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hiva\"/>
    </mc:Choice>
  </mc:AlternateContent>
  <xr:revisionPtr revIDLastSave="0" documentId="13_ncr:1_{4ABECF4A-B1C0-46C3-A876-14B731E3F669}" xr6:coauthVersionLast="47" xr6:coauthVersionMax="47" xr10:uidLastSave="{00000000-0000-0000-0000-000000000000}"/>
  <bookViews>
    <workbookView xWindow="-108" yWindow="-108" windowWidth="23256" windowHeight="12456" activeTab="3" xr2:uid="{5DA289CF-A6EE-497E-8259-1F48BB835316}"/>
  </bookViews>
  <sheets>
    <sheet name="dataset_3" sheetId="1" r:id="rId1"/>
    <sheet name="Forecast Rides" sheetId="4" r:id="rId2"/>
    <sheet name="Dataset 3" sheetId="2" r:id="rId3"/>
    <sheet name="Analysis" sheetId="3" r:id="rId4"/>
  </sheets>
  <definedNames>
    <definedName name="_xlnm._FilterDatabase" localSheetId="0" hidden="1">dataset_3!$A$1:$P$391</definedName>
    <definedName name="ExternalData_1" localSheetId="2" hidden="1">'Dataset 3'!$A$1:$U$391</definedName>
    <definedName name="ExternalData_1" localSheetId="2" hidden="1">'Dataset 3'!$A$1:$U$391</definedName>
  </definedNames>
  <calcPr calcId="191029"/>
  <pivotCaches>
    <pivotCache cacheId="4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2" l="1" a="1"/>
  <c r="V2" i="2" s="1"/>
  <c r="V3" i="2" a="1"/>
  <c r="V3" i="2"/>
  <c r="V4" i="2" a="1"/>
  <c r="V4" i="2" s="1"/>
  <c r="V5" i="2" a="1"/>
  <c r="V5" i="2" s="1"/>
  <c r="V6" i="2" a="1"/>
  <c r="V6" i="2" s="1"/>
  <c r="V7" i="2" a="1"/>
  <c r="V7" i="2" s="1"/>
  <c r="V8" i="2" a="1"/>
  <c r="V8" i="2"/>
  <c r="V9" i="2" a="1"/>
  <c r="V9" i="2"/>
  <c r="V10" i="2" a="1"/>
  <c r="V10" i="2" s="1"/>
  <c r="V11" i="2" a="1"/>
  <c r="V11" i="2"/>
  <c r="V12" i="2" a="1"/>
  <c r="V12" i="2" s="1"/>
  <c r="V13" i="2" a="1"/>
  <c r="V13" i="2" s="1"/>
  <c r="V14" i="2" a="1"/>
  <c r="V14" i="2" s="1"/>
  <c r="V15" i="2" a="1"/>
  <c r="V15" i="2" s="1"/>
  <c r="V16" i="2" a="1"/>
  <c r="V16" i="2"/>
  <c r="V17" i="2" a="1"/>
  <c r="V17" i="2"/>
  <c r="V18" i="2" a="1"/>
  <c r="V18" i="2" s="1"/>
  <c r="V19" i="2" a="1"/>
  <c r="V19" i="2" s="1"/>
  <c r="V20" i="2" a="1"/>
  <c r="V20" i="2" s="1"/>
  <c r="V21" i="2" a="1"/>
  <c r="V21" i="2" s="1"/>
  <c r="V22" i="2" a="1"/>
  <c r="V22" i="2" s="1"/>
  <c r="V23" i="2" a="1"/>
  <c r="V23" i="2" s="1"/>
  <c r="V24" i="2" a="1"/>
  <c r="V24" i="2"/>
  <c r="V25" i="2" a="1"/>
  <c r="V25" i="2"/>
  <c r="V26" i="2" a="1"/>
  <c r="V26" i="2" s="1"/>
  <c r="V27" i="2" a="1"/>
  <c r="V27" i="2" s="1"/>
  <c r="V28" i="2" a="1"/>
  <c r="V28" i="2" s="1"/>
  <c r="V29" i="2" a="1"/>
  <c r="V29" i="2" s="1"/>
  <c r="V30" i="2" a="1"/>
  <c r="V30" i="2" s="1"/>
  <c r="V31" i="2" a="1"/>
  <c r="V31" i="2" s="1"/>
  <c r="V32" i="2" a="1"/>
  <c r="V32" i="2"/>
  <c r="V33" i="2" a="1"/>
  <c r="V33" i="2"/>
  <c r="V34" i="2" a="1"/>
  <c r="V34" i="2" s="1"/>
  <c r="V35" i="2" a="1"/>
  <c r="V35" i="2" s="1"/>
  <c r="V36" i="2" a="1"/>
  <c r="V36" i="2" s="1"/>
  <c r="V37" i="2" a="1"/>
  <c r="V37" i="2" s="1"/>
  <c r="V38" i="2" a="1"/>
  <c r="V38" i="2" s="1"/>
  <c r="V39" i="2" a="1"/>
  <c r="V39" i="2" s="1"/>
  <c r="V40" i="2" a="1"/>
  <c r="V40" i="2"/>
  <c r="V41" i="2" a="1"/>
  <c r="V41" i="2"/>
  <c r="V42" i="2" a="1"/>
  <c r="V42" i="2" s="1"/>
  <c r="V43" i="2" a="1"/>
  <c r="V43" i="2" s="1"/>
  <c r="V44" i="2" a="1"/>
  <c r="V44" i="2" s="1"/>
  <c r="V45" i="2" a="1"/>
  <c r="V45" i="2" s="1"/>
  <c r="V46" i="2" a="1"/>
  <c r="V46" i="2" s="1"/>
  <c r="V47" i="2" a="1"/>
  <c r="V47" i="2" s="1"/>
  <c r="V48" i="2" a="1"/>
  <c r="V48" i="2"/>
  <c r="V49" i="2" a="1"/>
  <c r="V49" i="2"/>
  <c r="V50" i="2" a="1"/>
  <c r="V50" i="2" s="1"/>
  <c r="V51" i="2" a="1"/>
  <c r="V51" i="2" s="1"/>
  <c r="V52" i="2" a="1"/>
  <c r="V52" i="2" s="1"/>
  <c r="V53" i="2" a="1"/>
  <c r="V53" i="2" s="1"/>
  <c r="V54" i="2" a="1"/>
  <c r="V54" i="2" s="1"/>
  <c r="V55" i="2" a="1"/>
  <c r="V55" i="2" s="1"/>
  <c r="V56" i="2" a="1"/>
  <c r="V56" i="2"/>
  <c r="V57" i="2" a="1"/>
  <c r="V57" i="2"/>
  <c r="V58" i="2" a="1"/>
  <c r="V58" i="2" s="1"/>
  <c r="V59" i="2" a="1"/>
  <c r="V59" i="2" s="1"/>
  <c r="V60" i="2" a="1"/>
  <c r="V60" i="2" s="1"/>
  <c r="V61" i="2" a="1"/>
  <c r="V61" i="2" s="1"/>
  <c r="V62" i="2" a="1"/>
  <c r="V62" i="2" s="1"/>
  <c r="V63" i="2" a="1"/>
  <c r="V63" i="2" s="1"/>
  <c r="V64" i="2" a="1"/>
  <c r="V64" i="2"/>
  <c r="V65" i="2" a="1"/>
  <c r="V65" i="2"/>
  <c r="V66" i="2" a="1"/>
  <c r="V66" i="2" s="1"/>
  <c r="V67" i="2" a="1"/>
  <c r="V67" i="2" s="1"/>
  <c r="V68" i="2" a="1"/>
  <c r="V68" i="2" s="1"/>
  <c r="V69" i="2" a="1"/>
  <c r="V69" i="2" s="1"/>
  <c r="V70" i="2" a="1"/>
  <c r="V70" i="2" s="1"/>
  <c r="V71" i="2" a="1"/>
  <c r="V71" i="2" s="1"/>
  <c r="V72" i="2" a="1"/>
  <c r="V72" i="2"/>
  <c r="V73" i="2" a="1"/>
  <c r="V73" i="2"/>
  <c r="V74" i="2" a="1"/>
  <c r="V74" i="2" s="1"/>
  <c r="V75" i="2" a="1"/>
  <c r="V75" i="2" s="1"/>
  <c r="V76" i="2" a="1"/>
  <c r="V76" i="2" s="1"/>
  <c r="V77" i="2" a="1"/>
  <c r="V77" i="2" s="1"/>
  <c r="V78" i="2" a="1"/>
  <c r="V78" i="2" s="1"/>
  <c r="V79" i="2" a="1"/>
  <c r="V79" i="2" s="1"/>
  <c r="V80" i="2" a="1"/>
  <c r="V80" i="2"/>
  <c r="V81" i="2" a="1"/>
  <c r="V81" i="2"/>
  <c r="V82" i="2" a="1"/>
  <c r="V82" i="2" s="1"/>
  <c r="V83" i="2" a="1"/>
  <c r="V83" i="2" s="1"/>
  <c r="V84" i="2" a="1"/>
  <c r="V84" i="2" s="1"/>
  <c r="V85" i="2" a="1"/>
  <c r="V85" i="2" s="1"/>
  <c r="V86" i="2" a="1"/>
  <c r="V86" i="2" s="1"/>
  <c r="V87" i="2" a="1"/>
  <c r="V87" i="2" s="1"/>
  <c r="V88" i="2" a="1"/>
  <c r="V88" i="2"/>
  <c r="V89" i="2" a="1"/>
  <c r="V89" i="2"/>
  <c r="V90" i="2" a="1"/>
  <c r="V90" i="2" s="1"/>
  <c r="V91" i="2" a="1"/>
  <c r="V91" i="2" s="1"/>
  <c r="V92" i="2" a="1"/>
  <c r="V92" i="2" s="1"/>
  <c r="V93" i="2" a="1"/>
  <c r="V93" i="2" s="1"/>
  <c r="V94" i="2" a="1"/>
  <c r="V94" i="2" s="1"/>
  <c r="V95" i="2" a="1"/>
  <c r="V95" i="2" s="1"/>
  <c r="V96" i="2" a="1"/>
  <c r="V96" i="2"/>
  <c r="V97" i="2" a="1"/>
  <c r="V97" i="2"/>
  <c r="V98" i="2" a="1"/>
  <c r="V98" i="2" s="1"/>
  <c r="V99" i="2" a="1"/>
  <c r="V99" i="2" s="1"/>
  <c r="V100" i="2" a="1"/>
  <c r="V100" i="2" s="1"/>
  <c r="V101" i="2" a="1"/>
  <c r="V101" i="2" s="1"/>
  <c r="V102" i="2" a="1"/>
  <c r="V102" i="2" s="1"/>
  <c r="V103" i="2" a="1"/>
  <c r="V103" i="2" s="1"/>
  <c r="V104" i="2" a="1"/>
  <c r="V104" i="2"/>
  <c r="V105" i="2" a="1"/>
  <c r="V105" i="2"/>
  <c r="V106" i="2" a="1"/>
  <c r="V106" i="2" s="1"/>
  <c r="V107" i="2" a="1"/>
  <c r="V107" i="2" s="1"/>
  <c r="V108" i="2" a="1"/>
  <c r="V108" i="2" s="1"/>
  <c r="V109" i="2" a="1"/>
  <c r="V109" i="2" s="1"/>
  <c r="V110" i="2" a="1"/>
  <c r="V110" i="2" s="1"/>
  <c r="V111" i="2" a="1"/>
  <c r="V111" i="2" s="1"/>
  <c r="V112" i="2" a="1"/>
  <c r="V112" i="2"/>
  <c r="V113" i="2" a="1"/>
  <c r="V113" i="2"/>
  <c r="V114" i="2" a="1"/>
  <c r="V114" i="2" s="1"/>
  <c r="V115" i="2" a="1"/>
  <c r="V115" i="2" s="1"/>
  <c r="V116" i="2" a="1"/>
  <c r="V116" i="2" s="1"/>
  <c r="V117" i="2" a="1"/>
  <c r="V117" i="2" s="1"/>
  <c r="V118" i="2" a="1"/>
  <c r="V118" i="2" s="1"/>
  <c r="V119" i="2" a="1"/>
  <c r="V119" i="2" s="1"/>
  <c r="V120" i="2" a="1"/>
  <c r="V120" i="2"/>
  <c r="V121" i="2" a="1"/>
  <c r="V121" i="2"/>
  <c r="V122" i="2" a="1"/>
  <c r="V122" i="2" s="1"/>
  <c r="V123" i="2" a="1"/>
  <c r="V123" i="2" s="1"/>
  <c r="V124" i="2" a="1"/>
  <c r="V124" i="2" s="1"/>
  <c r="V125" i="2" a="1"/>
  <c r="V125" i="2" s="1"/>
  <c r="V126" i="2" a="1"/>
  <c r="V126" i="2" s="1"/>
  <c r="V127" i="2" a="1"/>
  <c r="V127" i="2" s="1"/>
  <c r="V128" i="2" a="1"/>
  <c r="V128" i="2"/>
  <c r="V129" i="2" a="1"/>
  <c r="V129" i="2"/>
  <c r="V130" i="2" a="1"/>
  <c r="V130" i="2" s="1"/>
  <c r="V131" i="2" a="1"/>
  <c r="V131" i="2" s="1"/>
  <c r="V132" i="2" a="1"/>
  <c r="V132" i="2" s="1"/>
  <c r="V133" i="2" a="1"/>
  <c r="V133" i="2" s="1"/>
  <c r="V134" i="2" a="1"/>
  <c r="V134" i="2" s="1"/>
  <c r="V135" i="2" a="1"/>
  <c r="V135" i="2" s="1"/>
  <c r="V136" i="2" a="1"/>
  <c r="V136" i="2"/>
  <c r="V137" i="2" a="1"/>
  <c r="V137" i="2"/>
  <c r="V138" i="2" a="1"/>
  <c r="V138" i="2" s="1"/>
  <c r="V139" i="2" a="1"/>
  <c r="V139" i="2" s="1"/>
  <c r="V140" i="2" a="1"/>
  <c r="V140" i="2" s="1"/>
  <c r="V141" i="2" a="1"/>
  <c r="V141" i="2" s="1"/>
  <c r="V142" i="2" a="1"/>
  <c r="V142" i="2" s="1"/>
  <c r="V143" i="2" a="1"/>
  <c r="V143" i="2" s="1"/>
  <c r="V144" i="2" a="1"/>
  <c r="V144" i="2"/>
  <c r="V145" i="2" a="1"/>
  <c r="V145" i="2"/>
  <c r="V146" i="2" a="1"/>
  <c r="V146" i="2" s="1"/>
  <c r="V147" i="2" a="1"/>
  <c r="V147" i="2" s="1"/>
  <c r="V148" i="2" a="1"/>
  <c r="V148" i="2" s="1"/>
  <c r="V149" i="2" a="1"/>
  <c r="V149" i="2" s="1"/>
  <c r="V150" i="2" a="1"/>
  <c r="V150" i="2" s="1"/>
  <c r="V151" i="2" a="1"/>
  <c r="V151" i="2" s="1"/>
  <c r="V152" i="2" a="1"/>
  <c r="V152" i="2"/>
  <c r="V153" i="2" a="1"/>
  <c r="V153" i="2"/>
  <c r="V154" i="2" a="1"/>
  <c r="V154" i="2" s="1"/>
  <c r="V155" i="2" a="1"/>
  <c r="V155" i="2" s="1"/>
  <c r="V156" i="2" a="1"/>
  <c r="V156" i="2" s="1"/>
  <c r="V157" i="2" a="1"/>
  <c r="V157" i="2" s="1"/>
  <c r="V158" i="2" a="1"/>
  <c r="V158" i="2" s="1"/>
  <c r="V159" i="2" a="1"/>
  <c r="V159" i="2" s="1"/>
  <c r="V160" i="2" a="1"/>
  <c r="V160" i="2"/>
  <c r="V161" i="2" a="1"/>
  <c r="V161" i="2"/>
  <c r="V162" i="2" a="1"/>
  <c r="V162" i="2" s="1"/>
  <c r="V163" i="2" a="1"/>
  <c r="V163" i="2" s="1"/>
  <c r="V164" i="2" a="1"/>
  <c r="V164" i="2" s="1"/>
  <c r="V165" i="2" a="1"/>
  <c r="V165" i="2" s="1"/>
  <c r="V166" i="2" a="1"/>
  <c r="V166" i="2" s="1"/>
  <c r="V167" i="2" a="1"/>
  <c r="V167" i="2" s="1"/>
  <c r="V168" i="2" a="1"/>
  <c r="V168" i="2"/>
  <c r="V169" i="2" a="1"/>
  <c r="V169" i="2"/>
  <c r="V170" i="2" a="1"/>
  <c r="V170" i="2" s="1"/>
  <c r="V171" i="2" a="1"/>
  <c r="V171" i="2" s="1"/>
  <c r="V172" i="2" a="1"/>
  <c r="V172" i="2" s="1"/>
  <c r="V173" i="2" a="1"/>
  <c r="V173" i="2" s="1"/>
  <c r="V174" i="2" a="1"/>
  <c r="V174" i="2" s="1"/>
  <c r="V175" i="2" a="1"/>
  <c r="V175" i="2" s="1"/>
  <c r="V176" i="2" a="1"/>
  <c r="V176" i="2"/>
  <c r="V177" i="2" a="1"/>
  <c r="V177" i="2"/>
  <c r="V178" i="2" a="1"/>
  <c r="V178" i="2" s="1"/>
  <c r="V179" i="2" a="1"/>
  <c r="V179" i="2" s="1"/>
  <c r="V180" i="2" a="1"/>
  <c r="V180" i="2" s="1"/>
  <c r="V181" i="2" a="1"/>
  <c r="V181" i="2" s="1"/>
  <c r="V182" i="2" a="1"/>
  <c r="V182" i="2" s="1"/>
  <c r="V183" i="2" a="1"/>
  <c r="V183" i="2" s="1"/>
  <c r="V184" i="2" a="1"/>
  <c r="V184" i="2"/>
  <c r="V185" i="2" a="1"/>
  <c r="V185" i="2"/>
  <c r="V186" i="2" a="1"/>
  <c r="V186" i="2" s="1"/>
  <c r="V187" i="2" a="1"/>
  <c r="V187" i="2" s="1"/>
  <c r="V188" i="2" a="1"/>
  <c r="V188" i="2" s="1"/>
  <c r="V189" i="2" a="1"/>
  <c r="V189" i="2" s="1"/>
  <c r="V190" i="2" a="1"/>
  <c r="V190" i="2" s="1"/>
  <c r="V191" i="2" a="1"/>
  <c r="V191" i="2" s="1"/>
  <c r="V192" i="2" a="1"/>
  <c r="V192" i="2"/>
  <c r="V193" i="2" a="1"/>
  <c r="V193" i="2"/>
  <c r="V194" i="2" a="1"/>
  <c r="V194" i="2" s="1"/>
  <c r="V195" i="2" a="1"/>
  <c r="V195" i="2" s="1"/>
  <c r="V196" i="2" a="1"/>
  <c r="V196" i="2" s="1"/>
  <c r="V197" i="2" a="1"/>
  <c r="V197" i="2" s="1"/>
  <c r="V198" i="2" a="1"/>
  <c r="V198" i="2" s="1"/>
  <c r="V199" i="2" a="1"/>
  <c r="V199" i="2" s="1"/>
  <c r="V200" i="2" a="1"/>
  <c r="V200" i="2"/>
  <c r="V201" i="2" a="1"/>
  <c r="V201" i="2"/>
  <c r="V202" i="2" a="1"/>
  <c r="V202" i="2" s="1"/>
  <c r="V203" i="2" a="1"/>
  <c r="V203" i="2" s="1"/>
  <c r="V204" i="2" a="1"/>
  <c r="V204" i="2" s="1"/>
  <c r="V205" i="2" a="1"/>
  <c r="V205" i="2" s="1"/>
  <c r="V206" i="2" a="1"/>
  <c r="V206" i="2" s="1"/>
  <c r="V207" i="2" a="1"/>
  <c r="V207" i="2" s="1"/>
  <c r="V208" i="2" a="1"/>
  <c r="V208" i="2"/>
  <c r="V209" i="2" a="1"/>
  <c r="V209" i="2"/>
  <c r="V210" i="2" a="1"/>
  <c r="V210" i="2" s="1"/>
  <c r="V211" i="2" a="1"/>
  <c r="V211" i="2" s="1"/>
  <c r="V212" i="2" a="1"/>
  <c r="V212" i="2" s="1"/>
  <c r="V213" i="2" a="1"/>
  <c r="V213" i="2" s="1"/>
  <c r="V214" i="2" a="1"/>
  <c r="V214" i="2" s="1"/>
  <c r="V215" i="2" a="1"/>
  <c r="V215" i="2" s="1"/>
  <c r="V216" i="2" a="1"/>
  <c r="V216" i="2"/>
  <c r="V217" i="2" a="1"/>
  <c r="V217" i="2"/>
  <c r="V218" i="2" a="1"/>
  <c r="V218" i="2" s="1"/>
  <c r="V219" i="2" a="1"/>
  <c r="V219" i="2" s="1"/>
  <c r="V220" i="2" a="1"/>
  <c r="V220" i="2" s="1"/>
  <c r="V221" i="2" a="1"/>
  <c r="V221" i="2" s="1"/>
  <c r="V222" i="2" a="1"/>
  <c r="V222" i="2" s="1"/>
  <c r="V223" i="2" a="1"/>
  <c r="V223" i="2" s="1"/>
  <c r="V224" i="2" a="1"/>
  <c r="V224" i="2"/>
  <c r="V225" i="2" a="1"/>
  <c r="V225" i="2"/>
  <c r="V226" i="2" a="1"/>
  <c r="V226" i="2" s="1"/>
  <c r="V227" i="2" a="1"/>
  <c r="V227" i="2" s="1"/>
  <c r="V228" i="2" a="1"/>
  <c r="V228" i="2" s="1"/>
  <c r="V229" i="2" a="1"/>
  <c r="V229" i="2" s="1"/>
  <c r="V230" i="2" a="1"/>
  <c r="V230" i="2" s="1"/>
  <c r="V231" i="2" a="1"/>
  <c r="V231" i="2" s="1"/>
  <c r="V232" i="2" a="1"/>
  <c r="V232" i="2"/>
  <c r="V233" i="2" a="1"/>
  <c r="V233" i="2"/>
  <c r="V234" i="2" a="1"/>
  <c r="V234" i="2" s="1"/>
  <c r="V235" i="2" a="1"/>
  <c r="V235" i="2" s="1"/>
  <c r="V236" i="2" a="1"/>
  <c r="V236" i="2" s="1"/>
  <c r="V237" i="2" a="1"/>
  <c r="V237" i="2" s="1"/>
  <c r="V238" i="2" a="1"/>
  <c r="V238" i="2" s="1"/>
  <c r="V239" i="2" a="1"/>
  <c r="V239" i="2" s="1"/>
  <c r="V240" i="2" a="1"/>
  <c r="V240" i="2"/>
  <c r="V241" i="2" a="1"/>
  <c r="V241" i="2"/>
  <c r="V242" i="2" a="1"/>
  <c r="V242" i="2" s="1"/>
  <c r="V243" i="2" a="1"/>
  <c r="V243" i="2" s="1"/>
  <c r="V244" i="2" a="1"/>
  <c r="V244" i="2" s="1"/>
  <c r="V245" i="2" a="1"/>
  <c r="V245" i="2" s="1"/>
  <c r="V246" i="2" a="1"/>
  <c r="V246" i="2" s="1"/>
  <c r="V247" i="2" a="1"/>
  <c r="V247" i="2" s="1"/>
  <c r="V248" i="2" a="1"/>
  <c r="V248" i="2"/>
  <c r="V249" i="2" a="1"/>
  <c r="V249" i="2"/>
  <c r="V250" i="2" a="1"/>
  <c r="V250" i="2" s="1"/>
  <c r="V251" i="2" a="1"/>
  <c r="V251" i="2" s="1"/>
  <c r="V252" i="2" a="1"/>
  <c r="V252" i="2" s="1"/>
  <c r="V253" i="2" a="1"/>
  <c r="V253" i="2" s="1"/>
  <c r="V254" i="2" a="1"/>
  <c r="V254" i="2" s="1"/>
  <c r="V255" i="2" a="1"/>
  <c r="V255" i="2" s="1"/>
  <c r="V256" i="2" a="1"/>
  <c r="V256" i="2"/>
  <c r="V257" i="2" a="1"/>
  <c r="V257" i="2"/>
  <c r="V258" i="2" a="1"/>
  <c r="V258" i="2" s="1"/>
  <c r="V259" i="2" a="1"/>
  <c r="V259" i="2" s="1"/>
  <c r="V260" i="2" a="1"/>
  <c r="V260" i="2" s="1"/>
  <c r="V261" i="2" a="1"/>
  <c r="V261" i="2" s="1"/>
  <c r="V262" i="2" a="1"/>
  <c r="V262" i="2" s="1"/>
  <c r="V263" i="2" a="1"/>
  <c r="V263" i="2" s="1"/>
  <c r="V264" i="2" a="1"/>
  <c r="V264" i="2"/>
  <c r="V265" i="2" a="1"/>
  <c r="V265" i="2"/>
  <c r="V266" i="2" a="1"/>
  <c r="V266" i="2" s="1"/>
  <c r="V267" i="2" a="1"/>
  <c r="V267" i="2" s="1"/>
  <c r="V268" i="2" a="1"/>
  <c r="V268" i="2" s="1"/>
  <c r="V269" i="2" a="1"/>
  <c r="V269" i="2" s="1"/>
  <c r="V270" i="2" a="1"/>
  <c r="V270" i="2" s="1"/>
  <c r="V271" i="2" a="1"/>
  <c r="V271" i="2" s="1"/>
  <c r="V272" i="2" a="1"/>
  <c r="V272" i="2"/>
  <c r="V273" i="2" a="1"/>
  <c r="V273" i="2"/>
  <c r="V274" i="2" a="1"/>
  <c r="V274" i="2" s="1"/>
  <c r="V275" i="2" a="1"/>
  <c r="V275" i="2" s="1"/>
  <c r="V276" i="2" a="1"/>
  <c r="V276" i="2" s="1"/>
  <c r="V277" i="2" a="1"/>
  <c r="V277" i="2" s="1"/>
  <c r="V278" i="2" a="1"/>
  <c r="V278" i="2" s="1"/>
  <c r="V279" i="2" a="1"/>
  <c r="V279" i="2" s="1"/>
  <c r="V280" i="2" a="1"/>
  <c r="V280" i="2"/>
  <c r="V281" i="2" a="1"/>
  <c r="V281" i="2"/>
  <c r="V282" i="2" a="1"/>
  <c r="V282" i="2" s="1"/>
  <c r="V283" i="2" a="1"/>
  <c r="V283" i="2" s="1"/>
  <c r="V284" i="2" a="1"/>
  <c r="V284" i="2" s="1"/>
  <c r="V285" i="2" a="1"/>
  <c r="V285" i="2" s="1"/>
  <c r="V286" i="2" a="1"/>
  <c r="V286" i="2" s="1"/>
  <c r="V287" i="2" a="1"/>
  <c r="V287" i="2" s="1"/>
  <c r="V288" i="2" a="1"/>
  <c r="V288" i="2"/>
  <c r="V289" i="2" a="1"/>
  <c r="V289" i="2"/>
  <c r="V290" i="2" a="1"/>
  <c r="V290" i="2" s="1"/>
  <c r="V291" i="2" a="1"/>
  <c r="V291" i="2" s="1"/>
  <c r="V292" i="2" a="1"/>
  <c r="V292" i="2" s="1"/>
  <c r="V293" i="2" a="1"/>
  <c r="V293" i="2" s="1"/>
  <c r="V294" i="2" a="1"/>
  <c r="V294" i="2" s="1"/>
  <c r="V295" i="2" a="1"/>
  <c r="V295" i="2" s="1"/>
  <c r="V296" i="2" a="1"/>
  <c r="V296" i="2"/>
  <c r="V297" i="2" a="1"/>
  <c r="V297" i="2"/>
  <c r="V298" i="2" a="1"/>
  <c r="V298" i="2" s="1"/>
  <c r="V299" i="2" a="1"/>
  <c r="V299" i="2" s="1"/>
  <c r="V300" i="2" a="1"/>
  <c r="V300" i="2" s="1"/>
  <c r="V301" i="2" a="1"/>
  <c r="V301" i="2" s="1"/>
  <c r="V302" i="2" a="1"/>
  <c r="V302" i="2" s="1"/>
  <c r="V303" i="2" a="1"/>
  <c r="V303" i="2" s="1"/>
  <c r="V304" i="2" a="1"/>
  <c r="V304" i="2"/>
  <c r="V305" i="2" a="1"/>
  <c r="V305" i="2"/>
  <c r="V306" i="2" a="1"/>
  <c r="V306" i="2" s="1"/>
  <c r="V307" i="2" a="1"/>
  <c r="V307" i="2" s="1"/>
  <c r="V308" i="2" a="1"/>
  <c r="V308" i="2" s="1"/>
  <c r="V309" i="2" a="1"/>
  <c r="V309" i="2" s="1"/>
  <c r="V310" i="2" a="1"/>
  <c r="V310" i="2" s="1"/>
  <c r="V311" i="2" a="1"/>
  <c r="V311" i="2" s="1"/>
  <c r="V312" i="2" a="1"/>
  <c r="V312" i="2"/>
  <c r="V313" i="2" a="1"/>
  <c r="V313" i="2"/>
  <c r="V314" i="2" a="1"/>
  <c r="V314" i="2" s="1"/>
  <c r="V315" i="2" a="1"/>
  <c r="V315" i="2" s="1"/>
  <c r="V316" i="2" a="1"/>
  <c r="V316" i="2" s="1"/>
  <c r="V317" i="2" a="1"/>
  <c r="V317" i="2" s="1"/>
  <c r="V318" i="2" a="1"/>
  <c r="V318" i="2" s="1"/>
  <c r="V319" i="2" a="1"/>
  <c r="V319" i="2" s="1"/>
  <c r="V320" i="2" a="1"/>
  <c r="V320" i="2"/>
  <c r="V321" i="2" a="1"/>
  <c r="V321" i="2"/>
  <c r="V322" i="2" a="1"/>
  <c r="V322" i="2" s="1"/>
  <c r="V323" i="2" a="1"/>
  <c r="V323" i="2" s="1"/>
  <c r="V324" i="2" a="1"/>
  <c r="V324" i="2" s="1"/>
  <c r="V325" i="2" a="1"/>
  <c r="V325" i="2" s="1"/>
  <c r="V326" i="2" a="1"/>
  <c r="V326" i="2" s="1"/>
  <c r="V327" i="2" a="1"/>
  <c r="V327" i="2" s="1"/>
  <c r="V328" i="2" a="1"/>
  <c r="V328" i="2"/>
  <c r="V329" i="2" a="1"/>
  <c r="V329" i="2"/>
  <c r="V330" i="2" a="1"/>
  <c r="V330" i="2" s="1"/>
  <c r="V331" i="2" a="1"/>
  <c r="V331" i="2" s="1"/>
  <c r="V332" i="2" a="1"/>
  <c r="V332" i="2" s="1"/>
  <c r="V333" i="2" a="1"/>
  <c r="V333" i="2" s="1"/>
  <c r="V334" i="2" a="1"/>
  <c r="V334" i="2" s="1"/>
  <c r="V335" i="2" a="1"/>
  <c r="V335" i="2" s="1"/>
  <c r="V336" i="2" a="1"/>
  <c r="V336" i="2"/>
  <c r="V337" i="2" a="1"/>
  <c r="V337" i="2"/>
  <c r="V338" i="2" a="1"/>
  <c r="V338" i="2" s="1"/>
  <c r="V339" i="2" a="1"/>
  <c r="V339" i="2" s="1"/>
  <c r="V340" i="2" a="1"/>
  <c r="V340" i="2" s="1"/>
  <c r="V341" i="2" a="1"/>
  <c r="V341" i="2" s="1"/>
  <c r="V342" i="2" a="1"/>
  <c r="V342" i="2" s="1"/>
  <c r="V343" i="2" a="1"/>
  <c r="V343" i="2" s="1"/>
  <c r="V344" i="2" a="1"/>
  <c r="V344" i="2"/>
  <c r="V345" i="2" a="1"/>
  <c r="V345" i="2"/>
  <c r="V346" i="2" a="1"/>
  <c r="V346" i="2" s="1"/>
  <c r="V347" i="2" a="1"/>
  <c r="V347" i="2" s="1"/>
  <c r="V348" i="2" a="1"/>
  <c r="V348" i="2" s="1"/>
  <c r="V349" i="2" a="1"/>
  <c r="V349" i="2" s="1"/>
  <c r="V350" i="2" a="1"/>
  <c r="V350" i="2" s="1"/>
  <c r="V351" i="2" a="1"/>
  <c r="V351" i="2" s="1"/>
  <c r="V352" i="2" a="1"/>
  <c r="V352" i="2"/>
  <c r="V353" i="2" a="1"/>
  <c r="V353" i="2"/>
  <c r="V354" i="2" a="1"/>
  <c r="V354" i="2" s="1"/>
  <c r="V355" i="2" a="1"/>
  <c r="V355" i="2" s="1"/>
  <c r="V356" i="2" a="1"/>
  <c r="V356" i="2" s="1"/>
  <c r="V357" i="2" a="1"/>
  <c r="V357" i="2" s="1"/>
  <c r="V358" i="2" a="1"/>
  <c r="V358" i="2" s="1"/>
  <c r="V359" i="2" a="1"/>
  <c r="V359" i="2" s="1"/>
  <c r="V360" i="2" a="1"/>
  <c r="V360" i="2"/>
  <c r="V361" i="2" a="1"/>
  <c r="V361" i="2"/>
  <c r="V362" i="2" a="1"/>
  <c r="V362" i="2" s="1"/>
  <c r="V363" i="2" a="1"/>
  <c r="V363" i="2" s="1"/>
  <c r="V364" i="2" a="1"/>
  <c r="V364" i="2" s="1"/>
  <c r="V365" i="2" a="1"/>
  <c r="V365" i="2" s="1"/>
  <c r="V366" i="2" a="1"/>
  <c r="V366" i="2" s="1"/>
  <c r="V367" i="2" a="1"/>
  <c r="V367" i="2" s="1"/>
  <c r="V368" i="2" a="1"/>
  <c r="V368" i="2"/>
  <c r="V369" i="2" a="1"/>
  <c r="V369" i="2"/>
  <c r="V370" i="2" a="1"/>
  <c r="V370" i="2" s="1"/>
  <c r="V371" i="2" a="1"/>
  <c r="V371" i="2" s="1"/>
  <c r="V372" i="2" a="1"/>
  <c r="V372" i="2" s="1"/>
  <c r="V373" i="2" a="1"/>
  <c r="V373" i="2" s="1"/>
  <c r="V374" i="2" a="1"/>
  <c r="V374" i="2" s="1"/>
  <c r="V375" i="2" a="1"/>
  <c r="V375" i="2" s="1"/>
  <c r="V376" i="2" a="1"/>
  <c r="V376" i="2"/>
  <c r="V377" i="2" a="1"/>
  <c r="V377" i="2"/>
  <c r="V378" i="2" a="1"/>
  <c r="V378" i="2" s="1"/>
  <c r="V379" i="2" a="1"/>
  <c r="V379" i="2" s="1"/>
  <c r="V380" i="2" a="1"/>
  <c r="V380" i="2" s="1"/>
  <c r="V381" i="2" a="1"/>
  <c r="V381" i="2" s="1"/>
  <c r="V382" i="2" a="1"/>
  <c r="V382" i="2" s="1"/>
  <c r="V383" i="2" a="1"/>
  <c r="V383" i="2" s="1"/>
  <c r="V384" i="2" a="1"/>
  <c r="V384" i="2"/>
  <c r="V385" i="2" a="1"/>
  <c r="V385" i="2"/>
  <c r="V386" i="2" a="1"/>
  <c r="V386" i="2" s="1"/>
  <c r="V387" i="2" a="1"/>
  <c r="V387" i="2" s="1"/>
  <c r="V388" i="2" a="1"/>
  <c r="V388" i="2" s="1"/>
  <c r="V389" i="2" a="1"/>
  <c r="V389" i="2" s="1"/>
  <c r="V390" i="2" a="1"/>
  <c r="V390" i="2" s="1"/>
  <c r="V391" i="2" a="1"/>
  <c r="V391" i="2" s="1"/>
  <c r="R2" i="2" a="1"/>
  <c r="R2" i="2" s="1"/>
  <c r="R3" i="2" a="1"/>
  <c r="R3" i="2" s="1"/>
  <c r="R4" i="2" a="1"/>
  <c r="R4" i="2" s="1"/>
  <c r="R5" i="2" a="1"/>
  <c r="R5" i="2" s="1"/>
  <c r="R6" i="2" a="1"/>
  <c r="R6" i="2" s="1"/>
  <c r="R7" i="2" a="1"/>
  <c r="R7" i="2" s="1"/>
  <c r="R8" i="2" a="1"/>
  <c r="R8" i="2" s="1"/>
  <c r="R9" i="2" a="1"/>
  <c r="R9" i="2"/>
  <c r="R10" i="2" a="1"/>
  <c r="R10" i="2" s="1"/>
  <c r="R11" i="2" a="1"/>
  <c r="R11" i="2" s="1"/>
  <c r="R12" i="2" a="1"/>
  <c r="R12" i="2" s="1"/>
  <c r="R13" i="2" a="1"/>
  <c r="R13" i="2" s="1"/>
  <c r="R14" i="2" a="1"/>
  <c r="R14" i="2" s="1"/>
  <c r="R15" i="2" a="1"/>
  <c r="R15" i="2" s="1"/>
  <c r="R16" i="2" a="1"/>
  <c r="R16" i="2" s="1"/>
  <c r="R17" i="2" a="1"/>
  <c r="R17" i="2" s="1"/>
  <c r="R18" i="2" a="1"/>
  <c r="R18" i="2" s="1"/>
  <c r="R19" i="2" a="1"/>
  <c r="R19" i="2" s="1"/>
  <c r="R20" i="2" a="1"/>
  <c r="R20" i="2" s="1"/>
  <c r="R21" i="2" a="1"/>
  <c r="R21" i="2" s="1"/>
  <c r="R22" i="2" a="1"/>
  <c r="R22" i="2" s="1"/>
  <c r="R23" i="2" a="1"/>
  <c r="R23" i="2" s="1"/>
  <c r="R24" i="2" a="1"/>
  <c r="R24" i="2"/>
  <c r="R25" i="2" a="1"/>
  <c r="R25" i="2" s="1"/>
  <c r="R26" i="2" a="1"/>
  <c r="R26" i="2" s="1"/>
  <c r="R27" i="2" a="1"/>
  <c r="R27" i="2" s="1"/>
  <c r="R28" i="2" a="1"/>
  <c r="R28" i="2" s="1"/>
  <c r="R29" i="2" a="1"/>
  <c r="R29" i="2" s="1"/>
  <c r="R30" i="2" a="1"/>
  <c r="R30" i="2" s="1"/>
  <c r="R31" i="2" a="1"/>
  <c r="R31" i="2"/>
  <c r="R32" i="2" a="1"/>
  <c r="R32" i="2" s="1"/>
  <c r="R33" i="2" a="1"/>
  <c r="R33" i="2"/>
  <c r="R34" i="2" a="1"/>
  <c r="R34" i="2" s="1"/>
  <c r="R35" i="2" a="1"/>
  <c r="R35" i="2" s="1"/>
  <c r="R36" i="2" a="1"/>
  <c r="R36" i="2" s="1"/>
  <c r="R37" i="2" a="1"/>
  <c r="R37" i="2" s="1"/>
  <c r="R38" i="2" a="1"/>
  <c r="R38" i="2" s="1"/>
  <c r="R39" i="2" a="1"/>
  <c r="R39" i="2" s="1"/>
  <c r="R40" i="2" a="1"/>
  <c r="R40" i="2" s="1"/>
  <c r="R41" i="2" a="1"/>
  <c r="R41" i="2"/>
  <c r="R42" i="2" a="1"/>
  <c r="R42" i="2" s="1"/>
  <c r="R43" i="2" a="1"/>
  <c r="R43" i="2" s="1"/>
  <c r="R44" i="2" a="1"/>
  <c r="R44" i="2" s="1"/>
  <c r="R45" i="2" a="1"/>
  <c r="R45" i="2" s="1"/>
  <c r="R46" i="2" a="1"/>
  <c r="R46" i="2" s="1"/>
  <c r="R47" i="2" a="1"/>
  <c r="R47" i="2" s="1"/>
  <c r="R48" i="2" a="1"/>
  <c r="R48" i="2"/>
  <c r="R49" i="2" a="1"/>
  <c r="R49" i="2" s="1"/>
  <c r="R50" i="2" a="1"/>
  <c r="R50" i="2" s="1"/>
  <c r="R51" i="2" a="1"/>
  <c r="R51" i="2" s="1"/>
  <c r="R52" i="2" a="1"/>
  <c r="R52" i="2" s="1"/>
  <c r="R53" i="2" a="1"/>
  <c r="R53" i="2" s="1"/>
  <c r="R54" i="2" a="1"/>
  <c r="R54" i="2" s="1"/>
  <c r="R55" i="2" a="1"/>
  <c r="R55" i="2"/>
  <c r="R56" i="2" a="1"/>
  <c r="R56" i="2"/>
  <c r="R57" i="2" a="1"/>
  <c r="R57" i="2" s="1"/>
  <c r="R58" i="2" a="1"/>
  <c r="R58" i="2" s="1"/>
  <c r="R59" i="2" a="1"/>
  <c r="R59" i="2" s="1"/>
  <c r="R60" i="2" a="1"/>
  <c r="R60" i="2" s="1"/>
  <c r="R61" i="2" a="1"/>
  <c r="R61" i="2" s="1"/>
  <c r="R62" i="2" a="1"/>
  <c r="R62" i="2" s="1"/>
  <c r="R63" i="2" a="1"/>
  <c r="R63" i="2" s="1"/>
  <c r="R64" i="2" a="1"/>
  <c r="R64" i="2" s="1"/>
  <c r="R65" i="2" a="1"/>
  <c r="R65" i="2"/>
  <c r="R66" i="2" a="1"/>
  <c r="R66" i="2" s="1"/>
  <c r="R67" i="2" a="1"/>
  <c r="R67" i="2" s="1"/>
  <c r="R68" i="2" a="1"/>
  <c r="R68" i="2" s="1"/>
  <c r="R69" i="2" a="1"/>
  <c r="R69" i="2" s="1"/>
  <c r="R70" i="2" a="1"/>
  <c r="R70" i="2" s="1"/>
  <c r="R71" i="2" a="1"/>
  <c r="R71" i="2"/>
  <c r="R72" i="2" a="1"/>
  <c r="R72" i="2" s="1"/>
  <c r="R73" i="2" a="1"/>
  <c r="R73" i="2" s="1"/>
  <c r="R74" i="2" a="1"/>
  <c r="R74" i="2" s="1"/>
  <c r="R75" i="2" a="1"/>
  <c r="R75" i="2" s="1"/>
  <c r="R76" i="2" a="1"/>
  <c r="R76" i="2" s="1"/>
  <c r="R77" i="2" a="1"/>
  <c r="R77" i="2" s="1"/>
  <c r="R78" i="2" a="1"/>
  <c r="R78" i="2" s="1"/>
  <c r="R79" i="2" a="1"/>
  <c r="R79" i="2" s="1"/>
  <c r="R80" i="2" a="1"/>
  <c r="R80" i="2"/>
  <c r="R81" i="2" a="1"/>
  <c r="R81" i="2" s="1"/>
  <c r="R82" i="2" a="1"/>
  <c r="R82" i="2" s="1"/>
  <c r="R83" i="2" a="1"/>
  <c r="R83" i="2" s="1"/>
  <c r="R84" i="2" a="1"/>
  <c r="R84" i="2" s="1"/>
  <c r="R85" i="2" a="1"/>
  <c r="R85" i="2" s="1"/>
  <c r="R86" i="2" a="1"/>
  <c r="R86" i="2" s="1"/>
  <c r="R87" i="2" a="1"/>
  <c r="R87" i="2" s="1"/>
  <c r="R88" i="2" a="1"/>
  <c r="R88" i="2"/>
  <c r="R89" i="2" a="1"/>
  <c r="R89" i="2"/>
  <c r="R90" i="2" a="1"/>
  <c r="R90" i="2" s="1"/>
  <c r="R91" i="2" a="1"/>
  <c r="R91" i="2" s="1"/>
  <c r="R92" i="2" a="1"/>
  <c r="R92" i="2" s="1"/>
  <c r="R93" i="2" a="1"/>
  <c r="R93" i="2" s="1"/>
  <c r="R94" i="2" a="1"/>
  <c r="R94" i="2" s="1"/>
  <c r="R95" i="2" a="1"/>
  <c r="R95" i="2"/>
  <c r="R96" i="2" a="1"/>
  <c r="R96" i="2" s="1"/>
  <c r="R97" i="2" a="1"/>
  <c r="R97" i="2" s="1"/>
  <c r="R98" i="2" a="1"/>
  <c r="R98" i="2" s="1"/>
  <c r="R99" i="2" a="1"/>
  <c r="R99" i="2" s="1"/>
  <c r="R100" i="2" a="1"/>
  <c r="R100" i="2" s="1"/>
  <c r="R101" i="2" a="1"/>
  <c r="R101" i="2" s="1"/>
  <c r="R102" i="2" a="1"/>
  <c r="R102" i="2" s="1"/>
  <c r="R103" i="2" a="1"/>
  <c r="R103" i="2"/>
  <c r="R104" i="2" a="1"/>
  <c r="R104" i="2" s="1"/>
  <c r="R105" i="2" a="1"/>
  <c r="R105" i="2"/>
  <c r="R106" i="2" a="1"/>
  <c r="R106" i="2" s="1"/>
  <c r="R107" i="2" a="1"/>
  <c r="R107" i="2" s="1"/>
  <c r="R108" i="2" a="1"/>
  <c r="R108" i="2" s="1"/>
  <c r="R109" i="2" a="1"/>
  <c r="R109" i="2" s="1"/>
  <c r="R110" i="2" a="1"/>
  <c r="R110" i="2" s="1"/>
  <c r="R111" i="2" a="1"/>
  <c r="R111" i="2" s="1"/>
  <c r="R112" i="2" a="1"/>
  <c r="R112" i="2"/>
  <c r="R113" i="2" a="1"/>
  <c r="R113" i="2" s="1"/>
  <c r="R114" i="2" a="1"/>
  <c r="R114" i="2" s="1"/>
  <c r="R115" i="2" a="1"/>
  <c r="R115" i="2" s="1"/>
  <c r="R116" i="2" a="1"/>
  <c r="R116" i="2" s="1"/>
  <c r="R117" i="2" a="1"/>
  <c r="R117" i="2" s="1"/>
  <c r="R118" i="2" a="1"/>
  <c r="R118" i="2" s="1"/>
  <c r="R119" i="2" a="1"/>
  <c r="R119" i="2" s="1"/>
  <c r="R120" i="2" a="1"/>
  <c r="R120" i="2"/>
  <c r="R121" i="2" a="1"/>
  <c r="R121" i="2" s="1"/>
  <c r="R122" i="2" a="1"/>
  <c r="R122" i="2" s="1"/>
  <c r="R123" i="2" a="1"/>
  <c r="R123" i="2" s="1"/>
  <c r="R124" i="2" a="1"/>
  <c r="R124" i="2" s="1"/>
  <c r="R125" i="2" a="1"/>
  <c r="R125" i="2" s="1"/>
  <c r="R126" i="2" a="1"/>
  <c r="R126" i="2" s="1"/>
  <c r="R127" i="2" a="1"/>
  <c r="R127" i="2"/>
  <c r="R128" i="2" a="1"/>
  <c r="R128" i="2" s="1"/>
  <c r="R129" i="2" a="1"/>
  <c r="R129" i="2"/>
  <c r="R130" i="2" a="1"/>
  <c r="R130" i="2" s="1"/>
  <c r="R131" i="2" a="1"/>
  <c r="R131" i="2" s="1"/>
  <c r="R132" i="2" a="1"/>
  <c r="R132" i="2" s="1"/>
  <c r="R133" i="2" a="1"/>
  <c r="R133" i="2" s="1"/>
  <c r="R134" i="2" a="1"/>
  <c r="R134" i="2" s="1"/>
  <c r="R135" i="2" a="1"/>
  <c r="R135" i="2"/>
  <c r="R136" i="2" a="1"/>
  <c r="R136" i="2"/>
  <c r="R137" i="2" a="1"/>
  <c r="R137" i="2"/>
  <c r="R138" i="2" a="1"/>
  <c r="R138" i="2" s="1"/>
  <c r="R139" i="2" a="1"/>
  <c r="R139" i="2" s="1"/>
  <c r="R140" i="2" a="1"/>
  <c r="R140" i="2" s="1"/>
  <c r="R141" i="2" a="1"/>
  <c r="R141" i="2" s="1"/>
  <c r="R142" i="2" a="1"/>
  <c r="R142" i="2" s="1"/>
  <c r="R143" i="2" a="1"/>
  <c r="R143" i="2" s="1"/>
  <c r="R144" i="2" a="1"/>
  <c r="R144" i="2" s="1"/>
  <c r="R145" i="2" a="1"/>
  <c r="R145" i="2" s="1"/>
  <c r="R146" i="2" a="1"/>
  <c r="R146" i="2" s="1"/>
  <c r="R147" i="2" a="1"/>
  <c r="R147" i="2" s="1"/>
  <c r="R148" i="2" a="1"/>
  <c r="R148" i="2" s="1"/>
  <c r="R149" i="2" a="1"/>
  <c r="R149" i="2" s="1"/>
  <c r="R150" i="2" a="1"/>
  <c r="R150" i="2" s="1"/>
  <c r="R151" i="2" a="1"/>
  <c r="R151" i="2" s="1"/>
  <c r="R152" i="2" a="1"/>
  <c r="R152" i="2" s="1"/>
  <c r="R153" i="2" a="1"/>
  <c r="R153" i="2"/>
  <c r="R154" i="2" a="1"/>
  <c r="R154" i="2" s="1"/>
  <c r="R155" i="2" a="1"/>
  <c r="R155" i="2" s="1"/>
  <c r="R156" i="2" a="1"/>
  <c r="R156" i="2" s="1"/>
  <c r="R157" i="2" a="1"/>
  <c r="R157" i="2" s="1"/>
  <c r="R158" i="2" a="1"/>
  <c r="R158" i="2" s="1"/>
  <c r="R159" i="2" a="1"/>
  <c r="R159" i="2" s="1"/>
  <c r="R160" i="2" a="1"/>
  <c r="R160" i="2"/>
  <c r="R161" i="2" a="1"/>
  <c r="R161" i="2"/>
  <c r="R162" i="2" a="1"/>
  <c r="R162" i="2" s="1"/>
  <c r="R163" i="2" a="1"/>
  <c r="R163" i="2" s="1"/>
  <c r="R164" i="2" a="1"/>
  <c r="R164" i="2" s="1"/>
  <c r="R165" i="2" a="1"/>
  <c r="R165" i="2" s="1"/>
  <c r="R166" i="2" a="1"/>
  <c r="R166" i="2" s="1"/>
  <c r="R167" i="2" a="1"/>
  <c r="R167" i="2" s="1"/>
  <c r="R168" i="2" a="1"/>
  <c r="R168" i="2" s="1"/>
  <c r="R169" i="2" a="1"/>
  <c r="R169" i="2" s="1"/>
  <c r="R170" i="2" a="1"/>
  <c r="R170" i="2" s="1"/>
  <c r="R171" i="2" a="1"/>
  <c r="R171" i="2" s="1"/>
  <c r="R172" i="2" a="1"/>
  <c r="R172" i="2" s="1"/>
  <c r="R173" i="2" a="1"/>
  <c r="R173" i="2" s="1"/>
  <c r="R174" i="2" a="1"/>
  <c r="R174" i="2" s="1"/>
  <c r="R175" i="2" a="1"/>
  <c r="R175" i="2" s="1"/>
  <c r="R176" i="2" a="1"/>
  <c r="R176" i="2"/>
  <c r="R177" i="2" a="1"/>
  <c r="R177" i="2" s="1"/>
  <c r="R178" i="2" a="1"/>
  <c r="R178" i="2" s="1"/>
  <c r="R179" i="2" a="1"/>
  <c r="R179" i="2" s="1"/>
  <c r="R180" i="2" a="1"/>
  <c r="R180" i="2" s="1"/>
  <c r="R181" i="2" a="1"/>
  <c r="R181" i="2" s="1"/>
  <c r="R182" i="2" a="1"/>
  <c r="R182" i="2" s="1"/>
  <c r="R183" i="2" a="1"/>
  <c r="R183" i="2" s="1"/>
  <c r="R184" i="2" a="1"/>
  <c r="R184" i="2" s="1"/>
  <c r="R185" i="2" a="1"/>
  <c r="R185" i="2" s="1"/>
  <c r="R186" i="2" a="1"/>
  <c r="R186" i="2" s="1"/>
  <c r="R187" i="2" a="1"/>
  <c r="R187" i="2" s="1"/>
  <c r="R188" i="2" a="1"/>
  <c r="R188" i="2" s="1"/>
  <c r="R189" i="2" a="1"/>
  <c r="R189" i="2" s="1"/>
  <c r="R190" i="2" a="1"/>
  <c r="R190" i="2" s="1"/>
  <c r="R191" i="2" a="1"/>
  <c r="R191" i="2" s="1"/>
  <c r="R192" i="2" a="1"/>
  <c r="R192" i="2"/>
  <c r="R193" i="2" a="1"/>
  <c r="R193" i="2" s="1"/>
  <c r="R194" i="2" a="1"/>
  <c r="R194" i="2" s="1"/>
  <c r="R195" i="2" a="1"/>
  <c r="R195" i="2" s="1"/>
  <c r="R196" i="2" a="1"/>
  <c r="R196" i="2" s="1"/>
  <c r="R197" i="2" a="1"/>
  <c r="R197" i="2" s="1"/>
  <c r="R198" i="2" a="1"/>
  <c r="R198" i="2" s="1"/>
  <c r="R199" i="2" a="1"/>
  <c r="R199" i="2" s="1"/>
  <c r="R200" i="2" a="1"/>
  <c r="R200" i="2" s="1"/>
  <c r="R201" i="2" a="1"/>
  <c r="R201" i="2" s="1"/>
  <c r="R202" i="2" a="1"/>
  <c r="R202" i="2" s="1"/>
  <c r="R203" i="2" a="1"/>
  <c r="R203" i="2" s="1"/>
  <c r="R204" i="2" a="1"/>
  <c r="R204" i="2" s="1"/>
  <c r="R205" i="2" a="1"/>
  <c r="R205" i="2" s="1"/>
  <c r="R206" i="2" a="1"/>
  <c r="R206" i="2" s="1"/>
  <c r="R207" i="2" a="1"/>
  <c r="R207" i="2" s="1"/>
  <c r="R208" i="2" a="1"/>
  <c r="R208" i="2" s="1"/>
  <c r="R209" i="2" a="1"/>
  <c r="R209" i="2" s="1"/>
  <c r="R210" i="2" a="1"/>
  <c r="R210" i="2" s="1"/>
  <c r="R211" i="2" a="1"/>
  <c r="R211" i="2" s="1"/>
  <c r="R212" i="2" a="1"/>
  <c r="R212" i="2" s="1"/>
  <c r="R213" i="2" a="1"/>
  <c r="R213" i="2" s="1"/>
  <c r="R214" i="2" a="1"/>
  <c r="R214" i="2" s="1"/>
  <c r="R215" i="2" a="1"/>
  <c r="R215" i="2" s="1"/>
  <c r="R216" i="2" a="1"/>
  <c r="R216" i="2" s="1"/>
  <c r="R217" i="2" a="1"/>
  <c r="R217" i="2"/>
  <c r="R218" i="2" a="1"/>
  <c r="R218" i="2" s="1"/>
  <c r="R219" i="2" a="1"/>
  <c r="R219" i="2" s="1"/>
  <c r="R220" i="2" a="1"/>
  <c r="R220" i="2" s="1"/>
  <c r="R221" i="2" a="1"/>
  <c r="R221" i="2" s="1"/>
  <c r="R222" i="2" a="1"/>
  <c r="R222" i="2" s="1"/>
  <c r="R223" i="2" a="1"/>
  <c r="R223" i="2" s="1"/>
  <c r="R224" i="2" a="1"/>
  <c r="R224" i="2" s="1"/>
  <c r="R225" i="2" a="1"/>
  <c r="R225" i="2" s="1"/>
  <c r="R226" i="2" a="1"/>
  <c r="R226" i="2" s="1"/>
  <c r="R227" i="2" a="1"/>
  <c r="R227" i="2" s="1"/>
  <c r="R228" i="2" a="1"/>
  <c r="R228" i="2" s="1"/>
  <c r="R229" i="2" a="1"/>
  <c r="R229" i="2" s="1"/>
  <c r="R230" i="2" a="1"/>
  <c r="R230" i="2" s="1"/>
  <c r="R231" i="2" a="1"/>
  <c r="R231" i="2" s="1"/>
  <c r="R232" i="2" a="1"/>
  <c r="R232" i="2" s="1"/>
  <c r="R233" i="2" a="1"/>
  <c r="R233" i="2" s="1"/>
  <c r="R234" i="2" a="1"/>
  <c r="R234" i="2" s="1"/>
  <c r="R235" i="2" a="1"/>
  <c r="R235" i="2" s="1"/>
  <c r="R236" i="2" a="1"/>
  <c r="R236" i="2" s="1"/>
  <c r="R237" i="2" a="1"/>
  <c r="R237" i="2" s="1"/>
  <c r="R238" i="2" a="1"/>
  <c r="R238" i="2" s="1"/>
  <c r="R239" i="2" a="1"/>
  <c r="R239" i="2" s="1"/>
  <c r="R240" i="2" a="1"/>
  <c r="R240" i="2" s="1"/>
  <c r="R241" i="2" a="1"/>
  <c r="R241" i="2" s="1"/>
  <c r="R242" i="2" a="1"/>
  <c r="R242" i="2" s="1"/>
  <c r="R243" i="2" a="1"/>
  <c r="R243" i="2" s="1"/>
  <c r="R244" i="2" a="1"/>
  <c r="R244" i="2" s="1"/>
  <c r="R245" i="2" a="1"/>
  <c r="R245" i="2" s="1"/>
  <c r="R246" i="2" a="1"/>
  <c r="R246" i="2" s="1"/>
  <c r="R247" i="2" a="1"/>
  <c r="R247" i="2" s="1"/>
  <c r="R248" i="2" a="1"/>
  <c r="R248" i="2" s="1"/>
  <c r="R249" i="2" a="1"/>
  <c r="R249" i="2" s="1"/>
  <c r="R250" i="2" a="1"/>
  <c r="R250" i="2" s="1"/>
  <c r="R251" i="2" a="1"/>
  <c r="R251" i="2" s="1"/>
  <c r="R252" i="2" a="1"/>
  <c r="R252" i="2" s="1"/>
  <c r="R253" i="2" a="1"/>
  <c r="R253" i="2" s="1"/>
  <c r="R254" i="2" a="1"/>
  <c r="R254" i="2" s="1"/>
  <c r="R255" i="2" a="1"/>
  <c r="R255" i="2" s="1"/>
  <c r="R256" i="2" a="1"/>
  <c r="R256" i="2"/>
  <c r="R257" i="2" a="1"/>
  <c r="R257" i="2" s="1"/>
  <c r="R258" i="2" a="1"/>
  <c r="R258" i="2" s="1"/>
  <c r="R259" i="2" a="1"/>
  <c r="R259" i="2" s="1"/>
  <c r="R260" i="2" a="1"/>
  <c r="R260" i="2" s="1"/>
  <c r="R261" i="2" a="1"/>
  <c r="R261" i="2" s="1"/>
  <c r="R262" i="2" a="1"/>
  <c r="R262" i="2" s="1"/>
  <c r="R263" i="2" a="1"/>
  <c r="R263" i="2" s="1"/>
  <c r="R264" i="2" a="1"/>
  <c r="R264" i="2" s="1"/>
  <c r="R265" i="2" a="1"/>
  <c r="R265" i="2" s="1"/>
  <c r="R266" i="2" a="1"/>
  <c r="R266" i="2" s="1"/>
  <c r="R267" i="2" a="1"/>
  <c r="R267" i="2" s="1"/>
  <c r="R268" i="2" a="1"/>
  <c r="R268" i="2" s="1"/>
  <c r="R269" i="2" a="1"/>
  <c r="R269" i="2" s="1"/>
  <c r="R270" i="2" a="1"/>
  <c r="R270" i="2" s="1"/>
  <c r="R271" i="2" a="1"/>
  <c r="R271" i="2" s="1"/>
  <c r="R272" i="2" a="1"/>
  <c r="R272" i="2" s="1"/>
  <c r="R273" i="2" a="1"/>
  <c r="R273" i="2" s="1"/>
  <c r="R274" i="2" a="1"/>
  <c r="R274" i="2" s="1"/>
  <c r="R275" i="2" a="1"/>
  <c r="R275" i="2" s="1"/>
  <c r="R276" i="2" a="1"/>
  <c r="R276" i="2" s="1"/>
  <c r="R277" i="2" a="1"/>
  <c r="R277" i="2" s="1"/>
  <c r="R278" i="2" a="1"/>
  <c r="R278" i="2" s="1"/>
  <c r="R279" i="2" a="1"/>
  <c r="R279" i="2" s="1"/>
  <c r="R280" i="2" a="1"/>
  <c r="R280" i="2" s="1"/>
  <c r="R281" i="2" a="1"/>
  <c r="R281" i="2"/>
  <c r="R282" i="2" a="1"/>
  <c r="R282" i="2" s="1"/>
  <c r="R283" i="2" a="1"/>
  <c r="R283" i="2" s="1"/>
  <c r="R284" i="2" a="1"/>
  <c r="R284" i="2" s="1"/>
  <c r="R285" i="2" a="1"/>
  <c r="R285" i="2" s="1"/>
  <c r="R286" i="2" a="1"/>
  <c r="R286" i="2" s="1"/>
  <c r="R287" i="2" a="1"/>
  <c r="R287" i="2" s="1"/>
  <c r="R288" i="2" a="1"/>
  <c r="R288" i="2" s="1"/>
  <c r="R289" i="2" a="1"/>
  <c r="R289" i="2" s="1"/>
  <c r="R290" i="2" a="1"/>
  <c r="R290" i="2" s="1"/>
  <c r="R291" i="2" a="1"/>
  <c r="R291" i="2" s="1"/>
  <c r="R292" i="2" a="1"/>
  <c r="R292" i="2" s="1"/>
  <c r="R293" i="2" a="1"/>
  <c r="R293" i="2" s="1"/>
  <c r="R294" i="2" a="1"/>
  <c r="R294" i="2" s="1"/>
  <c r="R295" i="2" a="1"/>
  <c r="R295" i="2" s="1"/>
  <c r="R296" i="2" a="1"/>
  <c r="R296" i="2" s="1"/>
  <c r="R297" i="2" a="1"/>
  <c r="R297" i="2" s="1"/>
  <c r="R298" i="2" a="1"/>
  <c r="R298" i="2" s="1"/>
  <c r="R299" i="2" a="1"/>
  <c r="R299" i="2" s="1"/>
  <c r="R300" i="2" a="1"/>
  <c r="R300" i="2" s="1"/>
  <c r="R301" i="2" a="1"/>
  <c r="R301" i="2" s="1"/>
  <c r="R302" i="2" a="1"/>
  <c r="R302" i="2" s="1"/>
  <c r="R303" i="2" a="1"/>
  <c r="R303" i="2" s="1"/>
  <c r="R304" i="2" a="1"/>
  <c r="R304" i="2" s="1"/>
  <c r="R305" i="2" a="1"/>
  <c r="R305" i="2" s="1"/>
  <c r="R306" i="2" a="1"/>
  <c r="R306" i="2" s="1"/>
  <c r="R307" i="2" a="1"/>
  <c r="R307" i="2" s="1"/>
  <c r="R308" i="2" a="1"/>
  <c r="R308" i="2" s="1"/>
  <c r="R309" i="2" a="1"/>
  <c r="R309" i="2" s="1"/>
  <c r="R310" i="2" a="1"/>
  <c r="R310" i="2" s="1"/>
  <c r="R311" i="2" a="1"/>
  <c r="R311" i="2" s="1"/>
  <c r="R312" i="2" a="1"/>
  <c r="R312" i="2" s="1"/>
  <c r="R313" i="2" a="1"/>
  <c r="R313" i="2" s="1"/>
  <c r="R314" i="2" a="1"/>
  <c r="R314" i="2" s="1"/>
  <c r="R315" i="2" a="1"/>
  <c r="R315" i="2" s="1"/>
  <c r="R316" i="2" a="1"/>
  <c r="R316" i="2" s="1"/>
  <c r="R317" i="2" a="1"/>
  <c r="R317" i="2" s="1"/>
  <c r="R318" i="2" a="1"/>
  <c r="R318" i="2" s="1"/>
  <c r="R319" i="2" a="1"/>
  <c r="R319" i="2" s="1"/>
  <c r="R320" i="2" a="1"/>
  <c r="R320" i="2"/>
  <c r="R321" i="2" a="1"/>
  <c r="R321" i="2" s="1"/>
  <c r="R322" i="2" a="1"/>
  <c r="R322" i="2" s="1"/>
  <c r="R323" i="2" a="1"/>
  <c r="R323" i="2" s="1"/>
  <c r="R324" i="2" a="1"/>
  <c r="R324" i="2" s="1"/>
  <c r="R325" i="2" a="1"/>
  <c r="R325" i="2" s="1"/>
  <c r="R326" i="2" a="1"/>
  <c r="R326" i="2" s="1"/>
  <c r="R327" i="2" a="1"/>
  <c r="R327" i="2" s="1"/>
  <c r="R328" i="2" a="1"/>
  <c r="R328" i="2" s="1"/>
  <c r="R329" i="2" a="1"/>
  <c r="R329" i="2" s="1"/>
  <c r="R330" i="2" a="1"/>
  <c r="R330" i="2" s="1"/>
  <c r="R331" i="2" a="1"/>
  <c r="R331" i="2" s="1"/>
  <c r="R332" i="2" a="1"/>
  <c r="R332" i="2" s="1"/>
  <c r="R333" i="2" a="1"/>
  <c r="R333" i="2" s="1"/>
  <c r="R334" i="2" a="1"/>
  <c r="R334" i="2" s="1"/>
  <c r="R335" i="2" a="1"/>
  <c r="R335" i="2" s="1"/>
  <c r="R336" i="2" a="1"/>
  <c r="R336" i="2" s="1"/>
  <c r="R337" i="2" a="1"/>
  <c r="R337" i="2" s="1"/>
  <c r="R338" i="2" a="1"/>
  <c r="R338" i="2" s="1"/>
  <c r="R339" i="2" a="1"/>
  <c r="R339" i="2" s="1"/>
  <c r="R340" i="2" a="1"/>
  <c r="R340" i="2" s="1"/>
  <c r="R341" i="2" a="1"/>
  <c r="R341" i="2" s="1"/>
  <c r="R342" i="2" a="1"/>
  <c r="R342" i="2" s="1"/>
  <c r="R343" i="2" a="1"/>
  <c r="R343" i="2" s="1"/>
  <c r="R344" i="2" a="1"/>
  <c r="R344" i="2" s="1"/>
  <c r="R345" i="2" a="1"/>
  <c r="R345" i="2"/>
  <c r="R346" i="2" a="1"/>
  <c r="R346" i="2" s="1"/>
  <c r="R347" i="2" a="1"/>
  <c r="R347" i="2" s="1"/>
  <c r="R348" i="2" a="1"/>
  <c r="R348" i="2" s="1"/>
  <c r="R349" i="2" a="1"/>
  <c r="R349" i="2" s="1"/>
  <c r="R350" i="2" a="1"/>
  <c r="R350" i="2" s="1"/>
  <c r="R351" i="2" a="1"/>
  <c r="R351" i="2" s="1"/>
  <c r="R352" i="2" a="1"/>
  <c r="R352" i="2" s="1"/>
  <c r="R353" i="2" a="1"/>
  <c r="R353" i="2" s="1"/>
  <c r="R354" i="2" a="1"/>
  <c r="R354" i="2" s="1"/>
  <c r="R355" i="2" a="1"/>
  <c r="R355" i="2" s="1"/>
  <c r="R356" i="2" a="1"/>
  <c r="R356" i="2" s="1"/>
  <c r="R357" i="2" a="1"/>
  <c r="R357" i="2" s="1"/>
  <c r="R358" i="2" a="1"/>
  <c r="R358" i="2" s="1"/>
  <c r="R359" i="2" a="1"/>
  <c r="R359" i="2" s="1"/>
  <c r="R360" i="2" a="1"/>
  <c r="R360" i="2" s="1"/>
  <c r="R361" i="2" a="1"/>
  <c r="R361" i="2" s="1"/>
  <c r="R362" i="2" a="1"/>
  <c r="R362" i="2" s="1"/>
  <c r="R363" i="2" a="1"/>
  <c r="R363" i="2" s="1"/>
  <c r="R364" i="2" a="1"/>
  <c r="R364" i="2" s="1"/>
  <c r="R365" i="2" a="1"/>
  <c r="R365" i="2" s="1"/>
  <c r="R366" i="2" a="1"/>
  <c r="R366" i="2" s="1"/>
  <c r="R367" i="2" a="1"/>
  <c r="R367" i="2" s="1"/>
  <c r="R368" i="2" a="1"/>
  <c r="R368" i="2" s="1"/>
  <c r="R369" i="2" a="1"/>
  <c r="R369" i="2" s="1"/>
  <c r="R370" i="2" a="1"/>
  <c r="R370" i="2" s="1"/>
  <c r="R371" i="2" a="1"/>
  <c r="R371" i="2" s="1"/>
  <c r="R372" i="2" a="1"/>
  <c r="R372" i="2" s="1"/>
  <c r="R373" i="2" a="1"/>
  <c r="R373" i="2" s="1"/>
  <c r="R374" i="2" a="1"/>
  <c r="R374" i="2" s="1"/>
  <c r="R375" i="2" a="1"/>
  <c r="R375" i="2" s="1"/>
  <c r="R376" i="2" a="1"/>
  <c r="R376" i="2" s="1"/>
  <c r="R377" i="2" a="1"/>
  <c r="R377" i="2" s="1"/>
  <c r="R378" i="2" a="1"/>
  <c r="R378" i="2" s="1"/>
  <c r="R379" i="2" a="1"/>
  <c r="R379" i="2" s="1"/>
  <c r="R380" i="2" a="1"/>
  <c r="R380" i="2" s="1"/>
  <c r="R381" i="2" a="1"/>
  <c r="R381" i="2" s="1"/>
  <c r="R382" i="2" a="1"/>
  <c r="R382" i="2" s="1"/>
  <c r="R383" i="2" a="1"/>
  <c r="R383" i="2" s="1"/>
  <c r="R384" i="2" a="1"/>
  <c r="R384" i="2"/>
  <c r="R385" i="2" a="1"/>
  <c r="R385" i="2" s="1"/>
  <c r="R386" i="2" a="1"/>
  <c r="R386" i="2" s="1"/>
  <c r="R387" i="2" a="1"/>
  <c r="R387" i="2" s="1"/>
  <c r="R388" i="2" a="1"/>
  <c r="R388" i="2" s="1"/>
  <c r="R389" i="2" a="1"/>
  <c r="R389" i="2" s="1"/>
  <c r="R390" i="2" a="1"/>
  <c r="R390" i="2" s="1"/>
  <c r="R391" i="2" a="1"/>
  <c r="R391" i="2" s="1"/>
  <c r="P2" i="2" a="1"/>
  <c r="P2" i="2" s="1"/>
  <c r="P3" i="2" a="1"/>
  <c r="P3" i="2" s="1"/>
  <c r="P4" i="2" a="1"/>
  <c r="P4" i="2" s="1"/>
  <c r="P5" i="2" a="1"/>
  <c r="P5" i="2" s="1"/>
  <c r="P6" i="2" a="1"/>
  <c r="P6" i="2" s="1"/>
  <c r="P7" i="2" a="1"/>
  <c r="P7" i="2"/>
  <c r="P8" i="2" a="1"/>
  <c r="P8" i="2"/>
  <c r="P9" i="2" a="1"/>
  <c r="P9" i="2" s="1"/>
  <c r="P10" i="2" a="1"/>
  <c r="P10" i="2" s="1"/>
  <c r="P11" i="2" a="1"/>
  <c r="P11" i="2" s="1"/>
  <c r="P12" i="2" a="1"/>
  <c r="P12" i="2" s="1"/>
  <c r="P13" i="2" a="1"/>
  <c r="P13" i="2" s="1"/>
  <c r="P14" i="2" a="1"/>
  <c r="P14" i="2" s="1"/>
  <c r="P15" i="2" a="1"/>
  <c r="P15" i="2" s="1"/>
  <c r="P16" i="2" a="1"/>
  <c r="P16" i="2" s="1"/>
  <c r="P17" i="2" a="1"/>
  <c r="P17" i="2" s="1"/>
  <c r="P18" i="2" a="1"/>
  <c r="P18" i="2" s="1"/>
  <c r="P19" i="2" a="1"/>
  <c r="P19" i="2" s="1"/>
  <c r="P20" i="2" a="1"/>
  <c r="P20" i="2" s="1"/>
  <c r="P21" i="2" a="1"/>
  <c r="P21" i="2" s="1"/>
  <c r="P22" i="2" a="1"/>
  <c r="P22" i="2" s="1"/>
  <c r="P23" i="2" a="1"/>
  <c r="P23" i="2"/>
  <c r="P24" i="2" a="1"/>
  <c r="P24" i="2" s="1"/>
  <c r="P25" i="2" a="1"/>
  <c r="P25" i="2"/>
  <c r="P26" i="2" a="1"/>
  <c r="P26" i="2" s="1"/>
  <c r="P27" i="2" a="1"/>
  <c r="P27" i="2" s="1"/>
  <c r="P28" i="2" a="1"/>
  <c r="P28" i="2" s="1"/>
  <c r="P29" i="2" a="1"/>
  <c r="P29" i="2" s="1"/>
  <c r="P30" i="2" a="1"/>
  <c r="P30" i="2" s="1"/>
  <c r="P31" i="2" a="1"/>
  <c r="P31" i="2"/>
  <c r="P32" i="2" a="1"/>
  <c r="P32" i="2" s="1"/>
  <c r="P33" i="2" a="1"/>
  <c r="P33" i="2" s="1"/>
  <c r="P34" i="2" a="1"/>
  <c r="P34" i="2" s="1"/>
  <c r="P35" i="2" a="1"/>
  <c r="P35" i="2" s="1"/>
  <c r="P36" i="2" a="1"/>
  <c r="P36" i="2" s="1"/>
  <c r="P37" i="2" a="1"/>
  <c r="P37" i="2" s="1"/>
  <c r="P38" i="2" a="1"/>
  <c r="P38" i="2" s="1"/>
  <c r="P39" i="2" a="1"/>
  <c r="P39" i="2" s="1"/>
  <c r="P40" i="2" a="1"/>
  <c r="P40" i="2"/>
  <c r="P41" i="2" a="1"/>
  <c r="P41" i="2"/>
  <c r="P42" i="2" a="1"/>
  <c r="P42" i="2" s="1"/>
  <c r="P43" i="2" a="1"/>
  <c r="P43" i="2" s="1"/>
  <c r="P44" i="2" a="1"/>
  <c r="P44" i="2" s="1"/>
  <c r="P45" i="2" a="1"/>
  <c r="P45" i="2" s="1"/>
  <c r="P46" i="2" a="1"/>
  <c r="P46" i="2" s="1"/>
  <c r="P47" i="2" a="1"/>
  <c r="P47" i="2" s="1"/>
  <c r="P48" i="2" a="1"/>
  <c r="P48" i="2" s="1"/>
  <c r="P49" i="2" a="1"/>
  <c r="P49" i="2" s="1"/>
  <c r="P50" i="2" a="1"/>
  <c r="P50" i="2" s="1"/>
  <c r="P51" i="2" a="1"/>
  <c r="P51" i="2" s="1"/>
  <c r="P52" i="2" a="1"/>
  <c r="P52" i="2" s="1"/>
  <c r="P53" i="2" a="1"/>
  <c r="P53" i="2" s="1"/>
  <c r="P54" i="2" a="1"/>
  <c r="P54" i="2" s="1"/>
  <c r="P55" i="2" a="1"/>
  <c r="P55" i="2"/>
  <c r="P56" i="2" a="1"/>
  <c r="P56" i="2" s="1"/>
  <c r="P57" i="2" a="1"/>
  <c r="P57" i="2" s="1"/>
  <c r="P58" i="2" a="1"/>
  <c r="P58" i="2" s="1"/>
  <c r="P59" i="2" a="1"/>
  <c r="P59" i="2" s="1"/>
  <c r="P60" i="2" a="1"/>
  <c r="P60" i="2" s="1"/>
  <c r="P61" i="2" a="1"/>
  <c r="P61" i="2" s="1"/>
  <c r="P62" i="2" a="1"/>
  <c r="P62" i="2" s="1"/>
  <c r="P63" i="2" a="1"/>
  <c r="P63" i="2" s="1"/>
  <c r="P64" i="2" a="1"/>
  <c r="P64" i="2" s="1"/>
  <c r="P65" i="2" a="1"/>
  <c r="P65" i="2"/>
  <c r="P66" i="2" a="1"/>
  <c r="P66" i="2" s="1"/>
  <c r="P67" i="2" a="1"/>
  <c r="P67" i="2" s="1"/>
  <c r="P68" i="2" a="1"/>
  <c r="P68" i="2" s="1"/>
  <c r="P69" i="2" a="1"/>
  <c r="P69" i="2" s="1"/>
  <c r="P70" i="2" a="1"/>
  <c r="P70" i="2" s="1"/>
  <c r="P71" i="2" a="1"/>
  <c r="P71" i="2"/>
  <c r="P72" i="2" a="1"/>
  <c r="P72" i="2"/>
  <c r="P73" i="2" a="1"/>
  <c r="P73" i="2"/>
  <c r="P74" i="2" a="1"/>
  <c r="P74" i="2" s="1"/>
  <c r="P75" i="2" a="1"/>
  <c r="P75" i="2" s="1"/>
  <c r="P76" i="2" a="1"/>
  <c r="P76" i="2" s="1"/>
  <c r="P77" i="2" a="1"/>
  <c r="P77" i="2" s="1"/>
  <c r="P78" i="2" a="1"/>
  <c r="P78" i="2" s="1"/>
  <c r="P79" i="2" a="1"/>
  <c r="P79" i="2" s="1"/>
  <c r="P80" i="2" a="1"/>
  <c r="P80" i="2" s="1"/>
  <c r="P81" i="2" a="1"/>
  <c r="P81" i="2" s="1"/>
  <c r="P82" i="2" a="1"/>
  <c r="P82" i="2" s="1"/>
  <c r="P83" i="2" a="1"/>
  <c r="P83" i="2" s="1"/>
  <c r="P84" i="2" a="1"/>
  <c r="P84" i="2" s="1"/>
  <c r="P85" i="2" a="1"/>
  <c r="P85" i="2" s="1"/>
  <c r="P86" i="2" a="1"/>
  <c r="P86" i="2" s="1"/>
  <c r="P87" i="2" a="1"/>
  <c r="P87" i="2"/>
  <c r="P88" i="2" a="1"/>
  <c r="P88" i="2"/>
  <c r="P89" i="2" a="1"/>
  <c r="P89" i="2"/>
  <c r="P90" i="2" a="1"/>
  <c r="P90" i="2" s="1"/>
  <c r="P91" i="2" a="1"/>
  <c r="P91" i="2" s="1"/>
  <c r="P92" i="2" a="1"/>
  <c r="P92" i="2" s="1"/>
  <c r="P93" i="2" a="1"/>
  <c r="P93" i="2" s="1"/>
  <c r="P94" i="2" a="1"/>
  <c r="P94" i="2" s="1"/>
  <c r="P95" i="2" a="1"/>
  <c r="P95" i="2" s="1"/>
  <c r="P96" i="2" a="1"/>
  <c r="P96" i="2" s="1"/>
  <c r="P97" i="2" a="1"/>
  <c r="P97" i="2" s="1"/>
  <c r="P98" i="2" a="1"/>
  <c r="P98" i="2" s="1"/>
  <c r="P99" i="2" a="1"/>
  <c r="P99" i="2" s="1"/>
  <c r="P100" i="2" a="1"/>
  <c r="P100" i="2" s="1"/>
  <c r="P101" i="2" a="1"/>
  <c r="P101" i="2" s="1"/>
  <c r="P102" i="2" a="1"/>
  <c r="P102" i="2" s="1"/>
  <c r="P103" i="2" a="1"/>
  <c r="P103" i="2" s="1"/>
  <c r="P104" i="2" a="1"/>
  <c r="P104" i="2" s="1"/>
  <c r="P105" i="2" a="1"/>
  <c r="P105" i="2"/>
  <c r="P106" i="2" a="1"/>
  <c r="P106" i="2" s="1"/>
  <c r="P107" i="2" a="1"/>
  <c r="P107" i="2" s="1"/>
  <c r="P108" i="2" a="1"/>
  <c r="P108" i="2" s="1"/>
  <c r="P109" i="2" a="1"/>
  <c r="P109" i="2" s="1"/>
  <c r="P110" i="2" a="1"/>
  <c r="P110" i="2" s="1"/>
  <c r="P111" i="2" a="1"/>
  <c r="P111" i="2" s="1"/>
  <c r="P112" i="2" a="1"/>
  <c r="P112" i="2"/>
  <c r="P113" i="2" a="1"/>
  <c r="P113" i="2" s="1"/>
  <c r="P114" i="2" a="1"/>
  <c r="P114" i="2" s="1"/>
  <c r="P115" i="2" a="1"/>
  <c r="P115" i="2" s="1"/>
  <c r="P116" i="2" a="1"/>
  <c r="P116" i="2" s="1"/>
  <c r="P117" i="2" a="1"/>
  <c r="P117" i="2" s="1"/>
  <c r="P118" i="2" a="1"/>
  <c r="P118" i="2" s="1"/>
  <c r="P119" i="2" a="1"/>
  <c r="P119" i="2"/>
  <c r="P120" i="2" a="1"/>
  <c r="P120" i="2"/>
  <c r="P121" i="2" a="1"/>
  <c r="P121" i="2"/>
  <c r="P122" i="2" a="1"/>
  <c r="P122" i="2" s="1"/>
  <c r="P123" i="2" a="1"/>
  <c r="P123" i="2" s="1"/>
  <c r="P124" i="2" a="1"/>
  <c r="P124" i="2" s="1"/>
  <c r="P125" i="2" a="1"/>
  <c r="P125" i="2" s="1"/>
  <c r="P126" i="2" a="1"/>
  <c r="P126" i="2" s="1"/>
  <c r="P127" i="2" a="1"/>
  <c r="P127" i="2" s="1"/>
  <c r="P128" i="2" a="1"/>
  <c r="P128" i="2" s="1"/>
  <c r="P129" i="2" a="1"/>
  <c r="P129" i="2" s="1"/>
  <c r="P130" i="2" a="1"/>
  <c r="P130" i="2" s="1"/>
  <c r="P131" i="2" a="1"/>
  <c r="P131" i="2" s="1"/>
  <c r="P132" i="2" a="1"/>
  <c r="P132" i="2" s="1"/>
  <c r="P133" i="2" a="1"/>
  <c r="P133" i="2" s="1"/>
  <c r="P134" i="2" a="1"/>
  <c r="P134" i="2" s="1"/>
  <c r="P135" i="2" a="1"/>
  <c r="P135" i="2" s="1"/>
  <c r="P136" i="2" a="1"/>
  <c r="P136" i="2"/>
  <c r="P137" i="2" a="1"/>
  <c r="P137" i="2"/>
  <c r="P138" i="2" a="1"/>
  <c r="P138" i="2" s="1"/>
  <c r="P139" i="2" a="1"/>
  <c r="P139" i="2" s="1"/>
  <c r="P140" i="2" a="1"/>
  <c r="P140" i="2" s="1"/>
  <c r="P141" i="2" a="1"/>
  <c r="P141" i="2" s="1"/>
  <c r="P142" i="2" a="1"/>
  <c r="P142" i="2" s="1"/>
  <c r="P143" i="2" a="1"/>
  <c r="P143" i="2" s="1"/>
  <c r="P144" i="2" a="1"/>
  <c r="P144" i="2" s="1"/>
  <c r="P145" i="2" a="1"/>
  <c r="P145" i="2" s="1"/>
  <c r="P146" i="2" a="1"/>
  <c r="P146" i="2" s="1"/>
  <c r="P147" i="2" a="1"/>
  <c r="P147" i="2" s="1"/>
  <c r="P148" i="2" a="1"/>
  <c r="P148" i="2" s="1"/>
  <c r="P149" i="2" a="1"/>
  <c r="P149" i="2" s="1"/>
  <c r="P150" i="2" a="1"/>
  <c r="P150" i="2" s="1"/>
  <c r="P151" i="2" a="1"/>
  <c r="P151" i="2" s="1"/>
  <c r="P152" i="2" a="1"/>
  <c r="P152" i="2"/>
  <c r="P153" i="2" a="1"/>
  <c r="P153" i="2" s="1"/>
  <c r="P154" i="2" a="1"/>
  <c r="P154" i="2" s="1"/>
  <c r="P155" i="2" a="1"/>
  <c r="P155" i="2" s="1"/>
  <c r="P156" i="2" a="1"/>
  <c r="P156" i="2" s="1"/>
  <c r="P157" i="2" a="1"/>
  <c r="P157" i="2" s="1"/>
  <c r="P158" i="2" a="1"/>
  <c r="P158" i="2" s="1"/>
  <c r="P159" i="2" a="1"/>
  <c r="P159" i="2"/>
  <c r="P160" i="2" a="1"/>
  <c r="P160" i="2" s="1"/>
  <c r="P161" i="2" a="1"/>
  <c r="P161" i="2" s="1"/>
  <c r="P162" i="2" a="1"/>
  <c r="P162" i="2" s="1"/>
  <c r="P163" i="2" a="1"/>
  <c r="P163" i="2" s="1"/>
  <c r="P164" i="2" a="1"/>
  <c r="P164" i="2" s="1"/>
  <c r="P165" i="2" a="1"/>
  <c r="P165" i="2" s="1"/>
  <c r="P166" i="2" a="1"/>
  <c r="P166" i="2" s="1"/>
  <c r="P167" i="2" a="1"/>
  <c r="P167" i="2" s="1"/>
  <c r="P168" i="2" a="1"/>
  <c r="P168" i="2"/>
  <c r="P169" i="2" a="1"/>
  <c r="P169" i="2" s="1"/>
  <c r="P170" i="2" a="1"/>
  <c r="P170" i="2" s="1"/>
  <c r="P171" i="2" a="1"/>
  <c r="P171" i="2" s="1"/>
  <c r="P172" i="2" a="1"/>
  <c r="P172" i="2" s="1"/>
  <c r="P173" i="2" a="1"/>
  <c r="P173" i="2" s="1"/>
  <c r="P174" i="2" a="1"/>
  <c r="P174" i="2" s="1"/>
  <c r="P175" i="2" a="1"/>
  <c r="P175" i="2" s="1"/>
  <c r="P176" i="2" a="1"/>
  <c r="P176" i="2" s="1"/>
  <c r="P177" i="2" a="1"/>
  <c r="P177" i="2" s="1"/>
  <c r="P178" i="2" a="1"/>
  <c r="P178" i="2" s="1"/>
  <c r="P179" i="2" a="1"/>
  <c r="P179" i="2" s="1"/>
  <c r="P180" i="2" a="1"/>
  <c r="P180" i="2" s="1"/>
  <c r="P181" i="2" a="1"/>
  <c r="P181" i="2" s="1"/>
  <c r="P182" i="2" a="1"/>
  <c r="P182" i="2" s="1"/>
  <c r="P183" i="2" a="1"/>
  <c r="P183" i="2"/>
  <c r="P184" i="2" a="1"/>
  <c r="P184" i="2" s="1"/>
  <c r="P185" i="2" a="1"/>
  <c r="P185" i="2" s="1"/>
  <c r="P186" i="2" a="1"/>
  <c r="P186" i="2" s="1"/>
  <c r="P187" i="2" a="1"/>
  <c r="P187" i="2" s="1"/>
  <c r="P188" i="2" a="1"/>
  <c r="P188" i="2" s="1"/>
  <c r="P189" i="2" a="1"/>
  <c r="P189" i="2" s="1"/>
  <c r="P190" i="2" a="1"/>
  <c r="P190" i="2" s="1"/>
  <c r="P191" i="2" a="1"/>
  <c r="P191" i="2" s="1"/>
  <c r="P192" i="2" a="1"/>
  <c r="P192" i="2" s="1"/>
  <c r="P193" i="2" a="1"/>
  <c r="P193" i="2"/>
  <c r="P194" i="2" a="1"/>
  <c r="P194" i="2" s="1"/>
  <c r="P195" i="2" a="1"/>
  <c r="P195" i="2" s="1"/>
  <c r="P196" i="2" a="1"/>
  <c r="P196" i="2" s="1"/>
  <c r="P197" i="2" a="1"/>
  <c r="P197" i="2" s="1"/>
  <c r="P198" i="2" a="1"/>
  <c r="P198" i="2" s="1"/>
  <c r="P199" i="2" a="1"/>
  <c r="P199" i="2"/>
  <c r="P200" i="2" a="1"/>
  <c r="P200" i="2" s="1"/>
  <c r="P201" i="2" a="1"/>
  <c r="P201" i="2" s="1"/>
  <c r="P202" i="2" a="1"/>
  <c r="P202" i="2" s="1"/>
  <c r="P203" i="2" a="1"/>
  <c r="P203" i="2" s="1"/>
  <c r="P204" i="2" a="1"/>
  <c r="P204" i="2" s="1"/>
  <c r="P205" i="2" a="1"/>
  <c r="P205" i="2" s="1"/>
  <c r="P206" i="2" a="1"/>
  <c r="P206" i="2" s="1"/>
  <c r="P207" i="2" a="1"/>
  <c r="P207" i="2" s="1"/>
  <c r="P208" i="2" a="1"/>
  <c r="P208" i="2" s="1"/>
  <c r="P209" i="2" a="1"/>
  <c r="P209" i="2" s="1"/>
  <c r="P210" i="2" a="1"/>
  <c r="P210" i="2" s="1"/>
  <c r="P211" i="2" a="1"/>
  <c r="P211" i="2" s="1"/>
  <c r="P212" i="2" a="1"/>
  <c r="P212" i="2" s="1"/>
  <c r="P213" i="2" a="1"/>
  <c r="P213" i="2" s="1"/>
  <c r="P214" i="2" a="1"/>
  <c r="P214" i="2" s="1"/>
  <c r="P215" i="2" a="1"/>
  <c r="P215" i="2"/>
  <c r="P216" i="2" a="1"/>
  <c r="P216" i="2" s="1"/>
  <c r="P217" i="2" a="1"/>
  <c r="P217" i="2"/>
  <c r="P218" i="2" a="1"/>
  <c r="P218" i="2" s="1"/>
  <c r="P219" i="2" a="1"/>
  <c r="P219" i="2" s="1"/>
  <c r="P220" i="2" a="1"/>
  <c r="P220" i="2" s="1"/>
  <c r="P221" i="2" a="1"/>
  <c r="P221" i="2" s="1"/>
  <c r="P222" i="2" a="1"/>
  <c r="P222" i="2" s="1"/>
  <c r="P223" i="2" a="1"/>
  <c r="P223" i="2" s="1"/>
  <c r="P224" i="2" a="1"/>
  <c r="P224" i="2" s="1"/>
  <c r="P225" i="2" a="1"/>
  <c r="P225" i="2" s="1"/>
  <c r="P226" i="2" a="1"/>
  <c r="P226" i="2" s="1"/>
  <c r="P227" i="2" a="1"/>
  <c r="P227" i="2" s="1"/>
  <c r="P228" i="2" a="1"/>
  <c r="P228" i="2" s="1"/>
  <c r="P229" i="2" a="1"/>
  <c r="P229" i="2" s="1"/>
  <c r="P230" i="2" a="1"/>
  <c r="P230" i="2" s="1"/>
  <c r="P231" i="2" a="1"/>
  <c r="P231" i="2" s="1"/>
  <c r="P232" i="2" a="1"/>
  <c r="P232" i="2" s="1"/>
  <c r="P233" i="2" a="1"/>
  <c r="P233" i="2"/>
  <c r="P234" i="2" a="1"/>
  <c r="P234" i="2" s="1"/>
  <c r="P235" i="2" a="1"/>
  <c r="P235" i="2" s="1"/>
  <c r="P236" i="2" a="1"/>
  <c r="P236" i="2" s="1"/>
  <c r="P237" i="2" a="1"/>
  <c r="P237" i="2" s="1"/>
  <c r="P238" i="2" a="1"/>
  <c r="P238" i="2" s="1"/>
  <c r="P239" i="2" a="1"/>
  <c r="P239" i="2" s="1"/>
  <c r="P240" i="2" a="1"/>
  <c r="P240" i="2"/>
  <c r="P241" i="2" a="1"/>
  <c r="P241" i="2" s="1"/>
  <c r="P242" i="2" a="1"/>
  <c r="P242" i="2" s="1"/>
  <c r="P243" i="2" a="1"/>
  <c r="P243" i="2" s="1"/>
  <c r="P244" i="2" a="1"/>
  <c r="P244" i="2" s="1"/>
  <c r="P245" i="2" a="1"/>
  <c r="P245" i="2" s="1"/>
  <c r="P246" i="2" a="1"/>
  <c r="P246" i="2" s="1"/>
  <c r="P247" i="2" a="1"/>
  <c r="P247" i="2" s="1"/>
  <c r="P248" i="2" a="1"/>
  <c r="P248" i="2" s="1"/>
  <c r="P249" i="2" a="1"/>
  <c r="P249" i="2"/>
  <c r="P250" i="2" a="1"/>
  <c r="P250" i="2" s="1"/>
  <c r="P251" i="2" a="1"/>
  <c r="P251" i="2" s="1"/>
  <c r="P252" i="2" a="1"/>
  <c r="P252" i="2" s="1"/>
  <c r="P253" i="2" a="1"/>
  <c r="P253" i="2" s="1"/>
  <c r="P254" i="2" a="1"/>
  <c r="P254" i="2" s="1"/>
  <c r="P255" i="2" a="1"/>
  <c r="P255" i="2" s="1"/>
  <c r="P256" i="2" a="1"/>
  <c r="P256" i="2" s="1"/>
  <c r="P257" i="2" a="1"/>
  <c r="P257" i="2" s="1"/>
  <c r="P258" i="2" a="1"/>
  <c r="P258" i="2" s="1"/>
  <c r="P259" i="2" a="1"/>
  <c r="P259" i="2" s="1"/>
  <c r="P260" i="2" a="1"/>
  <c r="P260" i="2" s="1"/>
  <c r="P261" i="2" a="1"/>
  <c r="P261" i="2" s="1"/>
  <c r="P262" i="2" a="1"/>
  <c r="P262" i="2" s="1"/>
  <c r="P263" i="2" a="1"/>
  <c r="P263" i="2" s="1"/>
  <c r="P264" i="2" a="1"/>
  <c r="P264" i="2"/>
  <c r="P265" i="2" a="1"/>
  <c r="P265" i="2" s="1"/>
  <c r="P266" i="2" a="1"/>
  <c r="P266" i="2" s="1"/>
  <c r="P267" i="2" a="1"/>
  <c r="P267" i="2" s="1"/>
  <c r="P268" i="2" a="1"/>
  <c r="P268" i="2" s="1"/>
  <c r="P269" i="2" a="1"/>
  <c r="P269" i="2" s="1"/>
  <c r="P270" i="2" a="1"/>
  <c r="P270" i="2" s="1"/>
  <c r="P271" i="2" a="1"/>
  <c r="P271" i="2" s="1"/>
  <c r="P272" i="2" a="1"/>
  <c r="P272" i="2" s="1"/>
  <c r="P273" i="2" a="1"/>
  <c r="P273" i="2" s="1"/>
  <c r="P274" i="2" a="1"/>
  <c r="P274" i="2" s="1"/>
  <c r="P275" i="2" a="1"/>
  <c r="P275" i="2" s="1"/>
  <c r="P276" i="2" a="1"/>
  <c r="P276" i="2" s="1"/>
  <c r="P277" i="2" a="1"/>
  <c r="P277" i="2" s="1"/>
  <c r="P278" i="2" a="1"/>
  <c r="P278" i="2" s="1"/>
  <c r="P279" i="2" a="1"/>
  <c r="P279" i="2" s="1"/>
  <c r="P280" i="2" a="1"/>
  <c r="P280" i="2"/>
  <c r="P281" i="2" a="1"/>
  <c r="P281" i="2" s="1"/>
  <c r="P282" i="2" a="1"/>
  <c r="P282" i="2" s="1"/>
  <c r="P283" i="2" a="1"/>
  <c r="P283" i="2" s="1"/>
  <c r="P284" i="2" a="1"/>
  <c r="P284" i="2" s="1"/>
  <c r="P285" i="2" a="1"/>
  <c r="P285" i="2" s="1"/>
  <c r="P286" i="2" a="1"/>
  <c r="P286" i="2" s="1"/>
  <c r="P287" i="2" a="1"/>
  <c r="P287" i="2"/>
  <c r="P288" i="2" a="1"/>
  <c r="P288" i="2" s="1"/>
  <c r="P289" i="2" a="1"/>
  <c r="P289" i="2" s="1"/>
  <c r="P290" i="2" a="1"/>
  <c r="P290" i="2" s="1"/>
  <c r="P291" i="2" a="1"/>
  <c r="P291" i="2" s="1"/>
  <c r="P292" i="2" a="1"/>
  <c r="P292" i="2" s="1"/>
  <c r="P293" i="2" a="1"/>
  <c r="P293" i="2" s="1"/>
  <c r="P294" i="2" a="1"/>
  <c r="P294" i="2" s="1"/>
  <c r="P295" i="2" a="1"/>
  <c r="P295" i="2"/>
  <c r="P296" i="2" a="1"/>
  <c r="P296" i="2"/>
  <c r="P297" i="2" a="1"/>
  <c r="P297" i="2" s="1"/>
  <c r="P298" i="2" a="1"/>
  <c r="P298" i="2" s="1"/>
  <c r="P299" i="2" a="1"/>
  <c r="P299" i="2" s="1"/>
  <c r="P300" i="2" a="1"/>
  <c r="P300" i="2" s="1"/>
  <c r="P301" i="2" a="1"/>
  <c r="P301" i="2" s="1"/>
  <c r="P302" i="2" a="1"/>
  <c r="P302" i="2" s="1"/>
  <c r="P303" i="2" a="1"/>
  <c r="P303" i="2" s="1"/>
  <c r="P304" i="2" a="1"/>
  <c r="P304" i="2" s="1"/>
  <c r="P305" i="2" a="1"/>
  <c r="P305" i="2" s="1"/>
  <c r="P306" i="2" a="1"/>
  <c r="P306" i="2" s="1"/>
  <c r="P307" i="2" a="1"/>
  <c r="P307" i="2" s="1"/>
  <c r="P308" i="2" a="1"/>
  <c r="P308" i="2" s="1"/>
  <c r="P309" i="2" a="1"/>
  <c r="P309" i="2" s="1"/>
  <c r="P310" i="2" a="1"/>
  <c r="P310" i="2" s="1"/>
  <c r="P311" i="2" a="1"/>
  <c r="P311" i="2"/>
  <c r="P312" i="2" a="1"/>
  <c r="P312" i="2" s="1"/>
  <c r="P313" i="2" a="1"/>
  <c r="P313" i="2" s="1"/>
  <c r="P314" i="2" a="1"/>
  <c r="P314" i="2" s="1"/>
  <c r="P315" i="2" a="1"/>
  <c r="P315" i="2" s="1"/>
  <c r="P316" i="2" a="1"/>
  <c r="P316" i="2" s="1"/>
  <c r="P317" i="2" a="1"/>
  <c r="P317" i="2" s="1"/>
  <c r="P318" i="2" a="1"/>
  <c r="P318" i="2" s="1"/>
  <c r="P319" i="2" a="1"/>
  <c r="P319" i="2" s="1"/>
  <c r="P320" i="2" a="1"/>
  <c r="P320" i="2" s="1"/>
  <c r="P321" i="2" a="1"/>
  <c r="P321" i="2"/>
  <c r="P322" i="2" a="1"/>
  <c r="P322" i="2" s="1"/>
  <c r="P323" i="2" a="1"/>
  <c r="P323" i="2" s="1"/>
  <c r="P324" i="2" a="1"/>
  <c r="P324" i="2" s="1"/>
  <c r="P325" i="2" a="1"/>
  <c r="P325" i="2" s="1"/>
  <c r="P326" i="2" a="1"/>
  <c r="P326" i="2" s="1"/>
  <c r="P327" i="2" a="1"/>
  <c r="P327" i="2"/>
  <c r="P328" i="2" a="1"/>
  <c r="P328" i="2" s="1"/>
  <c r="P329" i="2" a="1"/>
  <c r="P329" i="2"/>
  <c r="P330" i="2" a="1"/>
  <c r="P330" i="2" s="1"/>
  <c r="P331" i="2" a="1"/>
  <c r="P331" i="2" s="1"/>
  <c r="P332" i="2" a="1"/>
  <c r="P332" i="2" s="1"/>
  <c r="P333" i="2" a="1"/>
  <c r="P333" i="2" s="1"/>
  <c r="P334" i="2" a="1"/>
  <c r="P334" i="2" s="1"/>
  <c r="P335" i="2" a="1"/>
  <c r="P335" i="2" s="1"/>
  <c r="P336" i="2" a="1"/>
  <c r="P336" i="2" s="1"/>
  <c r="P337" i="2" a="1"/>
  <c r="P337" i="2"/>
  <c r="P338" i="2" a="1"/>
  <c r="P338" i="2" s="1"/>
  <c r="P339" i="2" a="1"/>
  <c r="P339" i="2" s="1"/>
  <c r="P340" i="2" a="1"/>
  <c r="P340" i="2" s="1"/>
  <c r="P341" i="2" a="1"/>
  <c r="P341" i="2" s="1"/>
  <c r="P342" i="2" a="1"/>
  <c r="P342" i="2" s="1"/>
  <c r="P343" i="2" a="1"/>
  <c r="P343" i="2"/>
  <c r="P344" i="2" a="1"/>
  <c r="P344" i="2" s="1"/>
  <c r="P345" i="2" a="1"/>
  <c r="P345" i="2"/>
  <c r="P346" i="2" a="1"/>
  <c r="P346" i="2" s="1"/>
  <c r="P347" i="2" a="1"/>
  <c r="P347" i="2" s="1"/>
  <c r="P348" i="2" a="1"/>
  <c r="P348" i="2" s="1"/>
  <c r="P349" i="2" a="1"/>
  <c r="P349" i="2" s="1"/>
  <c r="P350" i="2" a="1"/>
  <c r="P350" i="2" s="1"/>
  <c r="P351" i="2" a="1"/>
  <c r="P351" i="2" s="1"/>
  <c r="P352" i="2" a="1"/>
  <c r="P352" i="2" s="1"/>
  <c r="P353" i="2" a="1"/>
  <c r="P353" i="2" s="1"/>
  <c r="P354" i="2" a="1"/>
  <c r="P354" i="2" s="1"/>
  <c r="P355" i="2" a="1"/>
  <c r="P355" i="2" s="1"/>
  <c r="P356" i="2" a="1"/>
  <c r="P356" i="2" s="1"/>
  <c r="P357" i="2" a="1"/>
  <c r="P357" i="2" s="1"/>
  <c r="P358" i="2" a="1"/>
  <c r="P358" i="2" s="1"/>
  <c r="P359" i="2" a="1"/>
  <c r="P359" i="2" s="1"/>
  <c r="P360" i="2" a="1"/>
  <c r="P360" i="2" s="1"/>
  <c r="P361" i="2" a="1"/>
  <c r="P361" i="2"/>
  <c r="P362" i="2" a="1"/>
  <c r="P362" i="2" s="1"/>
  <c r="P363" i="2" a="1"/>
  <c r="P363" i="2" s="1"/>
  <c r="P364" i="2" a="1"/>
  <c r="P364" i="2" s="1"/>
  <c r="P365" i="2" a="1"/>
  <c r="P365" i="2" s="1"/>
  <c r="P366" i="2" a="1"/>
  <c r="P366" i="2" s="1"/>
  <c r="P367" i="2" a="1"/>
  <c r="P367" i="2" s="1"/>
  <c r="P368" i="2" a="1"/>
  <c r="P368" i="2"/>
  <c r="P369" i="2" a="1"/>
  <c r="P369" i="2" s="1"/>
  <c r="P370" i="2" a="1"/>
  <c r="P370" i="2" s="1"/>
  <c r="P371" i="2" a="1"/>
  <c r="P371" i="2" s="1"/>
  <c r="P372" i="2" a="1"/>
  <c r="P372" i="2" s="1"/>
  <c r="P373" i="2" a="1"/>
  <c r="P373" i="2" s="1"/>
  <c r="P374" i="2" a="1"/>
  <c r="P374" i="2" s="1"/>
  <c r="P375" i="2" a="1"/>
  <c r="P375" i="2" s="1"/>
  <c r="P376" i="2" a="1"/>
  <c r="P376" i="2" s="1"/>
  <c r="P377" i="2" a="1"/>
  <c r="P377" i="2"/>
  <c r="P378" i="2" a="1"/>
  <c r="P378" i="2" s="1"/>
  <c r="P379" i="2" a="1"/>
  <c r="P379" i="2" s="1"/>
  <c r="P380" i="2" a="1"/>
  <c r="P380" i="2" s="1"/>
  <c r="P381" i="2" a="1"/>
  <c r="P381" i="2" s="1"/>
  <c r="P382" i="2" a="1"/>
  <c r="P382" i="2" s="1"/>
  <c r="P383" i="2" a="1"/>
  <c r="P383" i="2" s="1"/>
  <c r="P384" i="2" a="1"/>
  <c r="P384" i="2" s="1"/>
  <c r="P385" i="2" a="1"/>
  <c r="P385" i="2" s="1"/>
  <c r="P386" i="2" a="1"/>
  <c r="P386" i="2" s="1"/>
  <c r="P387" i="2" a="1"/>
  <c r="P387" i="2" s="1"/>
  <c r="P388" i="2" a="1"/>
  <c r="P388" i="2" s="1"/>
  <c r="P389" i="2" a="1"/>
  <c r="P389" i="2" s="1"/>
  <c r="P390" i="2" a="1"/>
  <c r="P390" i="2" s="1"/>
  <c r="P391" i="2" a="1"/>
  <c r="P391" i="2" s="1"/>
  <c r="M2" i="2" a="1"/>
  <c r="M2" i="2" s="1"/>
  <c r="M3" i="2" a="1"/>
  <c r="M3" i="2" s="1"/>
  <c r="M4" i="2" a="1"/>
  <c r="M4" i="2" s="1"/>
  <c r="M5" i="2" a="1"/>
  <c r="M5" i="2" s="1"/>
  <c r="M6" i="2" a="1"/>
  <c r="M6" i="2" s="1"/>
  <c r="M7" i="2" a="1"/>
  <c r="M7" i="2" s="1"/>
  <c r="M8" i="2" a="1"/>
  <c r="M8" i="2" s="1"/>
  <c r="M9" i="2" a="1"/>
  <c r="M9" i="2" s="1"/>
  <c r="M10" i="2" a="1"/>
  <c r="M10" i="2" s="1"/>
  <c r="M11" i="2" a="1"/>
  <c r="M11" i="2" s="1"/>
  <c r="M12" i="2" a="1"/>
  <c r="M12" i="2" s="1"/>
  <c r="M13" i="2" a="1"/>
  <c r="M13" i="2" s="1"/>
  <c r="M14" i="2" a="1"/>
  <c r="M14" i="2" s="1"/>
  <c r="M15" i="2" a="1"/>
  <c r="M15" i="2" s="1"/>
  <c r="M16" i="2" a="1"/>
  <c r="M16" i="2" s="1"/>
  <c r="M17" i="2" a="1"/>
  <c r="M17" i="2"/>
  <c r="M18" i="2" a="1"/>
  <c r="M18" i="2" s="1"/>
  <c r="M19" i="2" a="1"/>
  <c r="M19" i="2" s="1"/>
  <c r="M20" i="2" a="1"/>
  <c r="M20" i="2" s="1"/>
  <c r="M21" i="2" a="1"/>
  <c r="M21" i="2" s="1"/>
  <c r="M22" i="2" a="1"/>
  <c r="M22" i="2" s="1"/>
  <c r="M23" i="2" a="1"/>
  <c r="M23" i="2" s="1"/>
  <c r="M24" i="2" a="1"/>
  <c r="M24" i="2" s="1"/>
  <c r="M25" i="2" a="1"/>
  <c r="M25" i="2" s="1"/>
  <c r="M26" i="2" a="1"/>
  <c r="M26" i="2" s="1"/>
  <c r="M27" i="2" a="1"/>
  <c r="M27" i="2" s="1"/>
  <c r="M28" i="2" a="1"/>
  <c r="M28" i="2" s="1"/>
  <c r="M29" i="2" a="1"/>
  <c r="M29" i="2" s="1"/>
  <c r="M30" i="2" a="1"/>
  <c r="M30" i="2" s="1"/>
  <c r="M31" i="2" a="1"/>
  <c r="M31" i="2" s="1"/>
  <c r="M32" i="2" a="1"/>
  <c r="M32" i="2" s="1"/>
  <c r="M33" i="2" a="1"/>
  <c r="M33" i="2" s="1"/>
  <c r="M34" i="2" a="1"/>
  <c r="M34" i="2" s="1"/>
  <c r="M35" i="2" a="1"/>
  <c r="M35" i="2" s="1"/>
  <c r="M36" i="2" a="1"/>
  <c r="M36" i="2" s="1"/>
  <c r="M37" i="2" a="1"/>
  <c r="M37" i="2" s="1"/>
  <c r="M38" i="2" a="1"/>
  <c r="M38" i="2" s="1"/>
  <c r="M39" i="2" a="1"/>
  <c r="M39" i="2" s="1"/>
  <c r="M40" i="2" a="1"/>
  <c r="M40" i="2" s="1"/>
  <c r="M41" i="2" a="1"/>
  <c r="M41" i="2" s="1"/>
  <c r="M42" i="2" a="1"/>
  <c r="M42" i="2" s="1"/>
  <c r="M43" i="2" a="1"/>
  <c r="M43" i="2" s="1"/>
  <c r="M44" i="2" a="1"/>
  <c r="M44" i="2" s="1"/>
  <c r="M45" i="2" a="1"/>
  <c r="M45" i="2" s="1"/>
  <c r="M46" i="2" a="1"/>
  <c r="M46" i="2" s="1"/>
  <c r="M47" i="2" a="1"/>
  <c r="M47" i="2" s="1"/>
  <c r="M48" i="2" a="1"/>
  <c r="M48" i="2" s="1"/>
  <c r="M49" i="2" a="1"/>
  <c r="M49" i="2" s="1"/>
  <c r="M50" i="2" a="1"/>
  <c r="M50" i="2" s="1"/>
  <c r="M51" i="2" a="1"/>
  <c r="M51" i="2" s="1"/>
  <c r="M52" i="2" a="1"/>
  <c r="M52" i="2" s="1"/>
  <c r="M53" i="2" a="1"/>
  <c r="M53" i="2" s="1"/>
  <c r="M54" i="2" a="1"/>
  <c r="M54" i="2" s="1"/>
  <c r="M55" i="2" a="1"/>
  <c r="M55" i="2" s="1"/>
  <c r="M56" i="2" a="1"/>
  <c r="M56" i="2" s="1"/>
  <c r="M57" i="2" a="1"/>
  <c r="M57" i="2" s="1"/>
  <c r="M58" i="2" a="1"/>
  <c r="M58" i="2" s="1"/>
  <c r="M59" i="2" a="1"/>
  <c r="M59" i="2" s="1"/>
  <c r="M60" i="2" a="1"/>
  <c r="M60" i="2" s="1"/>
  <c r="M61" i="2" a="1"/>
  <c r="M61" i="2" s="1"/>
  <c r="M62" i="2" a="1"/>
  <c r="M62" i="2" s="1"/>
  <c r="M63" i="2" a="1"/>
  <c r="M63" i="2" s="1"/>
  <c r="M64" i="2" a="1"/>
  <c r="M64" i="2" s="1"/>
  <c r="M65" i="2" a="1"/>
  <c r="M65" i="2"/>
  <c r="M66" i="2" a="1"/>
  <c r="M66" i="2" s="1"/>
  <c r="M67" i="2" a="1"/>
  <c r="M67" i="2" s="1"/>
  <c r="M68" i="2" a="1"/>
  <c r="M68" i="2" s="1"/>
  <c r="M69" i="2" a="1"/>
  <c r="M69" i="2" s="1"/>
  <c r="M70" i="2" a="1"/>
  <c r="M70" i="2" s="1"/>
  <c r="M71" i="2" a="1"/>
  <c r="M71" i="2" s="1"/>
  <c r="M72" i="2" a="1"/>
  <c r="M72" i="2" s="1"/>
  <c r="M73" i="2" a="1"/>
  <c r="M73" i="2"/>
  <c r="M74" i="2" a="1"/>
  <c r="M74" i="2" s="1"/>
  <c r="M75" i="2" a="1"/>
  <c r="M75" i="2" s="1"/>
  <c r="M76" i="2" a="1"/>
  <c r="M76" i="2" s="1"/>
  <c r="M77" i="2" a="1"/>
  <c r="M77" i="2" s="1"/>
  <c r="M78" i="2" a="1"/>
  <c r="M78" i="2" s="1"/>
  <c r="M79" i="2" a="1"/>
  <c r="M79" i="2" s="1"/>
  <c r="M80" i="2" a="1"/>
  <c r="M80" i="2" s="1"/>
  <c r="M81" i="2" a="1"/>
  <c r="M81" i="2" s="1"/>
  <c r="M82" i="2" a="1"/>
  <c r="M82" i="2" s="1"/>
  <c r="M83" i="2" a="1"/>
  <c r="M83" i="2" s="1"/>
  <c r="M84" i="2" a="1"/>
  <c r="M84" i="2" s="1"/>
  <c r="M85" i="2" a="1"/>
  <c r="M85" i="2" s="1"/>
  <c r="M86" i="2" a="1"/>
  <c r="M86" i="2" s="1"/>
  <c r="M87" i="2" a="1"/>
  <c r="M87" i="2" s="1"/>
  <c r="M88" i="2" a="1"/>
  <c r="M88" i="2" s="1"/>
  <c r="M89" i="2" a="1"/>
  <c r="M89" i="2" s="1"/>
  <c r="M90" i="2" a="1"/>
  <c r="M90" i="2" s="1"/>
  <c r="M91" i="2" a="1"/>
  <c r="M91" i="2" s="1"/>
  <c r="M92" i="2" a="1"/>
  <c r="M92" i="2" s="1"/>
  <c r="M93" i="2" a="1"/>
  <c r="M93" i="2" s="1"/>
  <c r="M94" i="2" a="1"/>
  <c r="M94" i="2" s="1"/>
  <c r="M95" i="2" a="1"/>
  <c r="M95" i="2" s="1"/>
  <c r="M96" i="2" a="1"/>
  <c r="M96" i="2" s="1"/>
  <c r="M97" i="2" a="1"/>
  <c r="M97" i="2" s="1"/>
  <c r="M98" i="2" a="1"/>
  <c r="M98" i="2" s="1"/>
  <c r="M99" i="2" a="1"/>
  <c r="M99" i="2" s="1"/>
  <c r="M100" i="2" a="1"/>
  <c r="M100" i="2" s="1"/>
  <c r="M101" i="2" a="1"/>
  <c r="M101" i="2" s="1"/>
  <c r="M102" i="2" a="1"/>
  <c r="M102" i="2" s="1"/>
  <c r="M103" i="2" a="1"/>
  <c r="M103" i="2" s="1"/>
  <c r="M104" i="2" a="1"/>
  <c r="M104" i="2" s="1"/>
  <c r="M105" i="2" a="1"/>
  <c r="M105" i="2" s="1"/>
  <c r="M106" i="2" a="1"/>
  <c r="M106" i="2" s="1"/>
  <c r="M107" i="2" a="1"/>
  <c r="M107" i="2" s="1"/>
  <c r="M108" i="2" a="1"/>
  <c r="M108" i="2" s="1"/>
  <c r="M109" i="2" a="1"/>
  <c r="M109" i="2" s="1"/>
  <c r="M110" i="2" a="1"/>
  <c r="M110" i="2" s="1"/>
  <c r="M111" i="2" a="1"/>
  <c r="M111" i="2" s="1"/>
  <c r="M112" i="2" a="1"/>
  <c r="M112" i="2" s="1"/>
  <c r="M113" i="2" a="1"/>
  <c r="M113" i="2"/>
  <c r="M114" i="2" a="1"/>
  <c r="M114" i="2" s="1"/>
  <c r="M115" i="2" a="1"/>
  <c r="M115" i="2" s="1"/>
  <c r="M116" i="2" a="1"/>
  <c r="M116" i="2" s="1"/>
  <c r="M117" i="2" a="1"/>
  <c r="M117" i="2" s="1"/>
  <c r="M118" i="2" a="1"/>
  <c r="M118" i="2" s="1"/>
  <c r="M119" i="2" a="1"/>
  <c r="M119" i="2" s="1"/>
  <c r="M120" i="2" a="1"/>
  <c r="M120" i="2" s="1"/>
  <c r="M121" i="2" a="1"/>
  <c r="M121" i="2" s="1"/>
  <c r="M122" i="2" a="1"/>
  <c r="M122" i="2" s="1"/>
  <c r="M123" i="2" a="1"/>
  <c r="M123" i="2" s="1"/>
  <c r="M124" i="2" a="1"/>
  <c r="M124" i="2" s="1"/>
  <c r="M125" i="2" a="1"/>
  <c r="M125" i="2" s="1"/>
  <c r="M126" i="2" a="1"/>
  <c r="M126" i="2" s="1"/>
  <c r="M127" i="2" a="1"/>
  <c r="M127" i="2" s="1"/>
  <c r="M128" i="2" a="1"/>
  <c r="M128" i="2" s="1"/>
  <c r="M129" i="2" a="1"/>
  <c r="M129" i="2" s="1"/>
  <c r="M130" i="2" a="1"/>
  <c r="M130" i="2" s="1"/>
  <c r="M131" i="2" a="1"/>
  <c r="M131" i="2" s="1"/>
  <c r="M132" i="2" a="1"/>
  <c r="M132" i="2" s="1"/>
  <c r="M133" i="2" a="1"/>
  <c r="M133" i="2" s="1"/>
  <c r="M134" i="2" a="1"/>
  <c r="M134" i="2" s="1"/>
  <c r="M135" i="2" a="1"/>
  <c r="M135" i="2" s="1"/>
  <c r="M136" i="2" a="1"/>
  <c r="M136" i="2" s="1"/>
  <c r="M137" i="2" a="1"/>
  <c r="M137" i="2" s="1"/>
  <c r="M138" i="2" a="1"/>
  <c r="M138" i="2" s="1"/>
  <c r="M139" i="2" a="1"/>
  <c r="M139" i="2" s="1"/>
  <c r="M140" i="2" a="1"/>
  <c r="M140" i="2" s="1"/>
  <c r="M141" i="2" a="1"/>
  <c r="M141" i="2" s="1"/>
  <c r="M142" i="2" a="1"/>
  <c r="M142" i="2" s="1"/>
  <c r="M143" i="2" a="1"/>
  <c r="M143" i="2" s="1"/>
  <c r="M144" i="2" a="1"/>
  <c r="M144" i="2" s="1"/>
  <c r="M145" i="2" a="1"/>
  <c r="M145" i="2"/>
  <c r="M146" i="2" a="1"/>
  <c r="M146" i="2" s="1"/>
  <c r="M147" i="2" a="1"/>
  <c r="M147" i="2" s="1"/>
  <c r="M148" i="2" a="1"/>
  <c r="M148" i="2" s="1"/>
  <c r="M149" i="2" a="1"/>
  <c r="M149" i="2" s="1"/>
  <c r="M150" i="2" a="1"/>
  <c r="M150" i="2" s="1"/>
  <c r="M151" i="2" a="1"/>
  <c r="M151" i="2" s="1"/>
  <c r="M152" i="2" a="1"/>
  <c r="M152" i="2" s="1"/>
  <c r="M153" i="2" a="1"/>
  <c r="M153" i="2"/>
  <c r="M154" i="2" a="1"/>
  <c r="M154" i="2" s="1"/>
  <c r="M155" i="2" a="1"/>
  <c r="M155" i="2" s="1"/>
  <c r="M156" i="2" a="1"/>
  <c r="M156" i="2" s="1"/>
  <c r="M157" i="2" a="1"/>
  <c r="M157" i="2" s="1"/>
  <c r="M158" i="2" a="1"/>
  <c r="M158" i="2" s="1"/>
  <c r="M159" i="2" a="1"/>
  <c r="M159" i="2" s="1"/>
  <c r="M160" i="2" a="1"/>
  <c r="M160" i="2" s="1"/>
  <c r="M161" i="2" a="1"/>
  <c r="M161" i="2"/>
  <c r="M162" i="2" a="1"/>
  <c r="M162" i="2" s="1"/>
  <c r="M163" i="2" a="1"/>
  <c r="M163" i="2" s="1"/>
  <c r="M164" i="2" a="1"/>
  <c r="M164" i="2" s="1"/>
  <c r="M165" i="2" a="1"/>
  <c r="M165" i="2" s="1"/>
  <c r="M166" i="2" a="1"/>
  <c r="M166" i="2" s="1"/>
  <c r="M167" i="2" a="1"/>
  <c r="M167" i="2" s="1"/>
  <c r="M168" i="2" a="1"/>
  <c r="M168" i="2" s="1"/>
  <c r="M169" i="2" a="1"/>
  <c r="M169" i="2" s="1"/>
  <c r="M170" i="2" a="1"/>
  <c r="M170" i="2" s="1"/>
  <c r="M171" i="2" a="1"/>
  <c r="M171" i="2" s="1"/>
  <c r="M172" i="2" a="1"/>
  <c r="M172" i="2" s="1"/>
  <c r="M173" i="2" a="1"/>
  <c r="M173" i="2" s="1"/>
  <c r="M174" i="2" a="1"/>
  <c r="M174" i="2" s="1"/>
  <c r="M175" i="2" a="1"/>
  <c r="M175" i="2" s="1"/>
  <c r="M176" i="2" a="1"/>
  <c r="M176" i="2" s="1"/>
  <c r="M177" i="2" a="1"/>
  <c r="M177" i="2" s="1"/>
  <c r="M178" i="2" a="1"/>
  <c r="M178" i="2" s="1"/>
  <c r="M179" i="2" a="1"/>
  <c r="M179" i="2" s="1"/>
  <c r="M180" i="2" a="1"/>
  <c r="M180" i="2" s="1"/>
  <c r="M181" i="2" a="1"/>
  <c r="M181" i="2" s="1"/>
  <c r="M182" i="2" a="1"/>
  <c r="M182" i="2" s="1"/>
  <c r="M183" i="2" a="1"/>
  <c r="M183" i="2" s="1"/>
  <c r="M184" i="2" a="1"/>
  <c r="M184" i="2" s="1"/>
  <c r="M185" i="2" a="1"/>
  <c r="M185" i="2" s="1"/>
  <c r="M186" i="2" a="1"/>
  <c r="M186" i="2" s="1"/>
  <c r="M187" i="2" a="1"/>
  <c r="M187" i="2" s="1"/>
  <c r="M188" i="2" a="1"/>
  <c r="M188" i="2" s="1"/>
  <c r="M189" i="2" a="1"/>
  <c r="M189" i="2" s="1"/>
  <c r="M190" i="2" a="1"/>
  <c r="M190" i="2" s="1"/>
  <c r="M191" i="2" a="1"/>
  <c r="M191" i="2" s="1"/>
  <c r="M192" i="2" a="1"/>
  <c r="M192" i="2" s="1"/>
  <c r="M193" i="2" a="1"/>
  <c r="M193" i="2"/>
  <c r="M194" i="2" a="1"/>
  <c r="M194" i="2" s="1"/>
  <c r="M195" i="2" a="1"/>
  <c r="M195" i="2" s="1"/>
  <c r="M196" i="2" a="1"/>
  <c r="M196" i="2" s="1"/>
  <c r="M197" i="2" a="1"/>
  <c r="M197" i="2" s="1"/>
  <c r="M198" i="2" a="1"/>
  <c r="M198" i="2" s="1"/>
  <c r="M199" i="2" a="1"/>
  <c r="M199" i="2" s="1"/>
  <c r="M200" i="2" a="1"/>
  <c r="M200" i="2" s="1"/>
  <c r="M201" i="2" a="1"/>
  <c r="M201" i="2"/>
  <c r="M202" i="2" a="1"/>
  <c r="M202" i="2" s="1"/>
  <c r="M203" i="2" a="1"/>
  <c r="M203" i="2" s="1"/>
  <c r="M204" i="2" a="1"/>
  <c r="M204" i="2" s="1"/>
  <c r="M205" i="2" a="1"/>
  <c r="M205" i="2" s="1"/>
  <c r="M206" i="2" a="1"/>
  <c r="M206" i="2" s="1"/>
  <c r="M207" i="2" a="1"/>
  <c r="M207" i="2" s="1"/>
  <c r="M208" i="2" a="1"/>
  <c r="M208" i="2" s="1"/>
  <c r="M209" i="2" a="1"/>
  <c r="M209" i="2" s="1"/>
  <c r="M210" i="2" a="1"/>
  <c r="M210" i="2" s="1"/>
  <c r="M211" i="2" a="1"/>
  <c r="M211" i="2" s="1"/>
  <c r="M212" i="2" a="1"/>
  <c r="M212" i="2" s="1"/>
  <c r="M213" i="2" a="1"/>
  <c r="M213" i="2" s="1"/>
  <c r="M214" i="2" a="1"/>
  <c r="M214" i="2" s="1"/>
  <c r="M215" i="2" a="1"/>
  <c r="M215" i="2" s="1"/>
  <c r="M216" i="2" a="1"/>
  <c r="M216" i="2" s="1"/>
  <c r="M217" i="2" a="1"/>
  <c r="M217" i="2" s="1"/>
  <c r="M218" i="2" a="1"/>
  <c r="M218" i="2" s="1"/>
  <c r="M219" i="2" a="1"/>
  <c r="M219" i="2" s="1"/>
  <c r="M220" i="2" a="1"/>
  <c r="M220" i="2" s="1"/>
  <c r="M221" i="2" a="1"/>
  <c r="M221" i="2" s="1"/>
  <c r="M222" i="2" a="1"/>
  <c r="M222" i="2" s="1"/>
  <c r="M223" i="2" a="1"/>
  <c r="M223" i="2" s="1"/>
  <c r="M224" i="2" a="1"/>
  <c r="M224" i="2" s="1"/>
  <c r="M225" i="2" a="1"/>
  <c r="M225" i="2"/>
  <c r="M226" i="2" a="1"/>
  <c r="M226" i="2" s="1"/>
  <c r="M227" i="2" a="1"/>
  <c r="M227" i="2" s="1"/>
  <c r="M228" i="2" a="1"/>
  <c r="M228" i="2" s="1"/>
  <c r="M229" i="2" a="1"/>
  <c r="M229" i="2" s="1"/>
  <c r="M230" i="2" a="1"/>
  <c r="M230" i="2" s="1"/>
  <c r="M231" i="2" a="1"/>
  <c r="M231" i="2" s="1"/>
  <c r="M232" i="2" a="1"/>
  <c r="M232" i="2" s="1"/>
  <c r="M233" i="2" a="1"/>
  <c r="M233" i="2" s="1"/>
  <c r="M234" i="2" a="1"/>
  <c r="M234" i="2" s="1"/>
  <c r="M235" i="2" a="1"/>
  <c r="M235" i="2" s="1"/>
  <c r="M236" i="2" a="1"/>
  <c r="M236" i="2" s="1"/>
  <c r="M237" i="2" a="1"/>
  <c r="M237" i="2" s="1"/>
  <c r="M238" i="2" a="1"/>
  <c r="M238" i="2" s="1"/>
  <c r="M239" i="2" a="1"/>
  <c r="M239" i="2" s="1"/>
  <c r="M240" i="2" a="1"/>
  <c r="M240" i="2" s="1"/>
  <c r="M241" i="2" a="1"/>
  <c r="M241" i="2"/>
  <c r="M242" i="2" a="1"/>
  <c r="M242" i="2" s="1"/>
  <c r="M243" i="2" a="1"/>
  <c r="M243" i="2" s="1"/>
  <c r="M244" i="2" a="1"/>
  <c r="M244" i="2" s="1"/>
  <c r="M245" i="2" a="1"/>
  <c r="M245" i="2" s="1"/>
  <c r="M246" i="2" a="1"/>
  <c r="M246" i="2" s="1"/>
  <c r="M247" i="2" a="1"/>
  <c r="M247" i="2" s="1"/>
  <c r="M248" i="2" a="1"/>
  <c r="M248" i="2" s="1"/>
  <c r="M249" i="2" a="1"/>
  <c r="M249" i="2" s="1"/>
  <c r="M250" i="2" a="1"/>
  <c r="M250" i="2" s="1"/>
  <c r="M251" i="2" a="1"/>
  <c r="M251" i="2" s="1"/>
  <c r="M252" i="2" a="1"/>
  <c r="M252" i="2" s="1"/>
  <c r="M253" i="2" a="1"/>
  <c r="M253" i="2" s="1"/>
  <c r="M254" i="2" a="1"/>
  <c r="M254" i="2" s="1"/>
  <c r="M255" i="2" a="1"/>
  <c r="M255" i="2" s="1"/>
  <c r="M256" i="2" a="1"/>
  <c r="M256" i="2" s="1"/>
  <c r="M257" i="2" a="1"/>
  <c r="M257" i="2" s="1"/>
  <c r="M258" i="2" a="1"/>
  <c r="M258" i="2" s="1"/>
  <c r="M259" i="2" a="1"/>
  <c r="M259" i="2" s="1"/>
  <c r="M260" i="2" a="1"/>
  <c r="M260" i="2" s="1"/>
  <c r="M261" i="2" a="1"/>
  <c r="M261" i="2" s="1"/>
  <c r="M262" i="2" a="1"/>
  <c r="M262" i="2" s="1"/>
  <c r="M263" i="2" a="1"/>
  <c r="M263" i="2" s="1"/>
  <c r="M264" i="2" a="1"/>
  <c r="M264" i="2" s="1"/>
  <c r="M265" i="2" a="1"/>
  <c r="M265" i="2" s="1"/>
  <c r="M266" i="2" a="1"/>
  <c r="M266" i="2" s="1"/>
  <c r="M267" i="2" a="1"/>
  <c r="M267" i="2" s="1"/>
  <c r="M268" i="2" a="1"/>
  <c r="M268" i="2" s="1"/>
  <c r="M269" i="2" a="1"/>
  <c r="M269" i="2" s="1"/>
  <c r="M270" i="2" a="1"/>
  <c r="M270" i="2" s="1"/>
  <c r="M271" i="2" a="1"/>
  <c r="M271" i="2" s="1"/>
  <c r="M272" i="2" a="1"/>
  <c r="M272" i="2" s="1"/>
  <c r="M273" i="2" a="1"/>
  <c r="M273" i="2"/>
  <c r="M274" i="2" a="1"/>
  <c r="M274" i="2" s="1"/>
  <c r="M275" i="2" a="1"/>
  <c r="M275" i="2" s="1"/>
  <c r="M276" i="2" a="1"/>
  <c r="M276" i="2" s="1"/>
  <c r="M277" i="2" a="1"/>
  <c r="M277" i="2" s="1"/>
  <c r="M278" i="2" a="1"/>
  <c r="M278" i="2" s="1"/>
  <c r="M279" i="2" a="1"/>
  <c r="M279" i="2" s="1"/>
  <c r="M280" i="2" a="1"/>
  <c r="M280" i="2" s="1"/>
  <c r="M281" i="2" a="1"/>
  <c r="M281" i="2" s="1"/>
  <c r="M282" i="2" a="1"/>
  <c r="M282" i="2" s="1"/>
  <c r="M283" i="2" a="1"/>
  <c r="M283" i="2" s="1"/>
  <c r="M284" i="2" a="1"/>
  <c r="M284" i="2" s="1"/>
  <c r="M285" i="2" a="1"/>
  <c r="M285" i="2" s="1"/>
  <c r="M286" i="2" a="1"/>
  <c r="M286" i="2" s="1"/>
  <c r="M287" i="2" a="1"/>
  <c r="M287" i="2" s="1"/>
  <c r="M288" i="2" a="1"/>
  <c r="M288" i="2" s="1"/>
  <c r="M289" i="2" a="1"/>
  <c r="M289" i="2" s="1"/>
  <c r="M290" i="2" a="1"/>
  <c r="M290" i="2" s="1"/>
  <c r="M291" i="2" a="1"/>
  <c r="M291" i="2" s="1"/>
  <c r="M292" i="2" a="1"/>
  <c r="M292" i="2" s="1"/>
  <c r="M293" i="2" a="1"/>
  <c r="M293" i="2" s="1"/>
  <c r="M294" i="2" a="1"/>
  <c r="M294" i="2" s="1"/>
  <c r="M295" i="2" a="1"/>
  <c r="M295" i="2" s="1"/>
  <c r="M296" i="2" a="1"/>
  <c r="M296" i="2" s="1"/>
  <c r="M297" i="2" a="1"/>
  <c r="M297" i="2" s="1"/>
  <c r="M298" i="2" a="1"/>
  <c r="M298" i="2" s="1"/>
  <c r="M299" i="2" a="1"/>
  <c r="M299" i="2" s="1"/>
  <c r="M300" i="2" a="1"/>
  <c r="M300" i="2" s="1"/>
  <c r="M301" i="2" a="1"/>
  <c r="M301" i="2" s="1"/>
  <c r="M302" i="2" a="1"/>
  <c r="M302" i="2" s="1"/>
  <c r="M303" i="2" a="1"/>
  <c r="M303" i="2" s="1"/>
  <c r="M304" i="2" a="1"/>
  <c r="M304" i="2" s="1"/>
  <c r="M305" i="2" a="1"/>
  <c r="M305" i="2"/>
  <c r="M306" i="2" a="1"/>
  <c r="M306" i="2" s="1"/>
  <c r="M307" i="2" a="1"/>
  <c r="M307" i="2" s="1"/>
  <c r="M308" i="2" a="1"/>
  <c r="M308" i="2" s="1"/>
  <c r="M309" i="2" a="1"/>
  <c r="M309" i="2" s="1"/>
  <c r="M310" i="2" a="1"/>
  <c r="M310" i="2" s="1"/>
  <c r="M311" i="2" a="1"/>
  <c r="M311" i="2" s="1"/>
  <c r="M312" i="2" a="1"/>
  <c r="M312" i="2" s="1"/>
  <c r="M313" i="2" a="1"/>
  <c r="M313" i="2" s="1"/>
  <c r="M314" i="2" a="1"/>
  <c r="M314" i="2" s="1"/>
  <c r="M315" i="2" a="1"/>
  <c r="M315" i="2" s="1"/>
  <c r="M316" i="2" a="1"/>
  <c r="M316" i="2" s="1"/>
  <c r="M317" i="2" a="1"/>
  <c r="M317" i="2" s="1"/>
  <c r="M318" i="2" a="1"/>
  <c r="M318" i="2" s="1"/>
  <c r="M319" i="2" a="1"/>
  <c r="M319" i="2" s="1"/>
  <c r="M320" i="2" a="1"/>
  <c r="M320" i="2" s="1"/>
  <c r="M321" i="2" a="1"/>
  <c r="M321" i="2"/>
  <c r="M322" i="2" a="1"/>
  <c r="M322" i="2" s="1"/>
  <c r="M323" i="2" a="1"/>
  <c r="M323" i="2" s="1"/>
  <c r="M324" i="2" a="1"/>
  <c r="M324" i="2" s="1"/>
  <c r="M325" i="2" a="1"/>
  <c r="M325" i="2" s="1"/>
  <c r="M326" i="2" a="1"/>
  <c r="M326" i="2" s="1"/>
  <c r="M327" i="2" a="1"/>
  <c r="M327" i="2" s="1"/>
  <c r="M328" i="2" a="1"/>
  <c r="M328" i="2" s="1"/>
  <c r="M329" i="2" a="1"/>
  <c r="M329" i="2"/>
  <c r="M330" i="2" a="1"/>
  <c r="M330" i="2" s="1"/>
  <c r="M331" i="2" a="1"/>
  <c r="M331" i="2" s="1"/>
  <c r="M332" i="2" a="1"/>
  <c r="M332" i="2" s="1"/>
  <c r="M333" i="2" a="1"/>
  <c r="M333" i="2" s="1"/>
  <c r="M334" i="2" a="1"/>
  <c r="M334" i="2" s="1"/>
  <c r="M335" i="2" a="1"/>
  <c r="M335" i="2" s="1"/>
  <c r="M336" i="2" a="1"/>
  <c r="M336" i="2" s="1"/>
  <c r="M337" i="2" a="1"/>
  <c r="M337" i="2" s="1"/>
  <c r="M338" i="2" a="1"/>
  <c r="M338" i="2" s="1"/>
  <c r="M339" i="2" a="1"/>
  <c r="M339" i="2" s="1"/>
  <c r="M340" i="2" a="1"/>
  <c r="M340" i="2" s="1"/>
  <c r="M341" i="2" a="1"/>
  <c r="M341" i="2" s="1"/>
  <c r="M342" i="2" a="1"/>
  <c r="M342" i="2" s="1"/>
  <c r="M343" i="2" a="1"/>
  <c r="M343" i="2" s="1"/>
  <c r="M344" i="2" a="1"/>
  <c r="M344" i="2" s="1"/>
  <c r="M345" i="2" a="1"/>
  <c r="M345" i="2" s="1"/>
  <c r="M346" i="2" a="1"/>
  <c r="M346" i="2" s="1"/>
  <c r="M347" i="2" a="1"/>
  <c r="M347" i="2" s="1"/>
  <c r="M348" i="2" a="1"/>
  <c r="M348" i="2" s="1"/>
  <c r="M349" i="2" a="1"/>
  <c r="M349" i="2" s="1"/>
  <c r="M350" i="2" a="1"/>
  <c r="M350" i="2" s="1"/>
  <c r="M351" i="2" a="1"/>
  <c r="M351" i="2" s="1"/>
  <c r="M352" i="2" a="1"/>
  <c r="M352" i="2" s="1"/>
  <c r="M353" i="2" a="1"/>
  <c r="M353" i="2"/>
  <c r="M354" i="2" a="1"/>
  <c r="M354" i="2" s="1"/>
  <c r="M355" i="2" a="1"/>
  <c r="M355" i="2" s="1"/>
  <c r="M356" i="2" a="1"/>
  <c r="M356" i="2" s="1"/>
  <c r="M357" i="2" a="1"/>
  <c r="M357" i="2" s="1"/>
  <c r="M358" i="2" a="1"/>
  <c r="M358" i="2" s="1"/>
  <c r="M359" i="2" a="1"/>
  <c r="M359" i="2" s="1"/>
  <c r="M360" i="2" a="1"/>
  <c r="M360" i="2" s="1"/>
  <c r="M361" i="2" a="1"/>
  <c r="M361" i="2" s="1"/>
  <c r="M362" i="2" a="1"/>
  <c r="M362" i="2" s="1"/>
  <c r="M363" i="2" a="1"/>
  <c r="M363" i="2" s="1"/>
  <c r="M364" i="2" a="1"/>
  <c r="M364" i="2" s="1"/>
  <c r="M365" i="2" a="1"/>
  <c r="M365" i="2" s="1"/>
  <c r="M366" i="2" a="1"/>
  <c r="M366" i="2" s="1"/>
  <c r="M367" i="2" a="1"/>
  <c r="M367" i="2" s="1"/>
  <c r="M368" i="2" a="1"/>
  <c r="M368" i="2" s="1"/>
  <c r="M369" i="2" a="1"/>
  <c r="M369" i="2"/>
  <c r="M370" i="2" a="1"/>
  <c r="M370" i="2" s="1"/>
  <c r="M371" i="2" a="1"/>
  <c r="M371" i="2" s="1"/>
  <c r="M372" i="2" a="1"/>
  <c r="M372" i="2" s="1"/>
  <c r="M373" i="2" a="1"/>
  <c r="M373" i="2" s="1"/>
  <c r="M374" i="2" a="1"/>
  <c r="M374" i="2" s="1"/>
  <c r="M375" i="2" a="1"/>
  <c r="M375" i="2" s="1"/>
  <c r="M376" i="2" a="1"/>
  <c r="M376" i="2" s="1"/>
  <c r="M377" i="2" a="1"/>
  <c r="M377" i="2" s="1"/>
  <c r="M378" i="2" a="1"/>
  <c r="M378" i="2" s="1"/>
  <c r="M379" i="2" a="1"/>
  <c r="M379" i="2" s="1"/>
  <c r="M380" i="2" a="1"/>
  <c r="M380" i="2" s="1"/>
  <c r="M381" i="2" a="1"/>
  <c r="M381" i="2" s="1"/>
  <c r="M382" i="2" a="1"/>
  <c r="M382" i="2" s="1"/>
  <c r="M383" i="2" a="1"/>
  <c r="M383" i="2" s="1"/>
  <c r="M384" i="2" a="1"/>
  <c r="M384" i="2" s="1"/>
  <c r="M385" i="2" a="1"/>
  <c r="M385" i="2" s="1"/>
  <c r="M386" i="2" a="1"/>
  <c r="M386" i="2" s="1"/>
  <c r="M387" i="2" a="1"/>
  <c r="M387" i="2" s="1"/>
  <c r="M388" i="2" a="1"/>
  <c r="M388" i="2" s="1"/>
  <c r="M389" i="2" a="1"/>
  <c r="M389" i="2" s="1"/>
  <c r="M390" i="2" a="1"/>
  <c r="M390" i="2" s="1"/>
  <c r="M391" i="2" a="1"/>
  <c r="M391" i="2" s="1"/>
  <c r="J2" i="2" a="1"/>
  <c r="J2" i="2" s="1"/>
  <c r="J3" i="2" a="1"/>
  <c r="J3" i="2" s="1"/>
  <c r="J4" i="2" a="1"/>
  <c r="J4" i="2" s="1"/>
  <c r="J5" i="2" a="1"/>
  <c r="J5" i="2" s="1"/>
  <c r="J6" i="2" a="1"/>
  <c r="J6" i="2" s="1"/>
  <c r="J7" i="2" a="1"/>
  <c r="J7" i="2" s="1"/>
  <c r="J8" i="2" a="1"/>
  <c r="J8" i="2" s="1"/>
  <c r="J9" i="2" a="1"/>
  <c r="J9" i="2" s="1"/>
  <c r="J10" i="2" a="1"/>
  <c r="J10" i="2" s="1"/>
  <c r="J11" i="2" a="1"/>
  <c r="J11" i="2" s="1"/>
  <c r="J12" i="2" a="1"/>
  <c r="J12" i="2" s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J18" i="2" a="1"/>
  <c r="J18" i="2" s="1"/>
  <c r="J19" i="2" a="1"/>
  <c r="J19" i="2" s="1"/>
  <c r="J20" i="2" a="1"/>
  <c r="J20" i="2" s="1"/>
  <c r="J21" i="2" a="1"/>
  <c r="J21" i="2" s="1"/>
  <c r="J22" i="2" a="1"/>
  <c r="J22" i="2" s="1"/>
  <c r="J23" i="2" a="1"/>
  <c r="J23" i="2" s="1"/>
  <c r="J24" i="2" a="1"/>
  <c r="J24" i="2" s="1"/>
  <c r="J25" i="2" a="1"/>
  <c r="J25" i="2" s="1"/>
  <c r="J26" i="2" a="1"/>
  <c r="J26" i="2" s="1"/>
  <c r="J27" i="2" a="1"/>
  <c r="J27" i="2" s="1"/>
  <c r="J28" i="2" a="1"/>
  <c r="J28" i="2" s="1"/>
  <c r="J29" i="2" a="1"/>
  <c r="J29" i="2" s="1"/>
  <c r="J30" i="2" a="1"/>
  <c r="J30" i="2" s="1"/>
  <c r="J31" i="2" a="1"/>
  <c r="J31" i="2" s="1"/>
  <c r="J32" i="2" a="1"/>
  <c r="J32" i="2" s="1"/>
  <c r="J33" i="2" a="1"/>
  <c r="J33" i="2" s="1"/>
  <c r="J34" i="2" a="1"/>
  <c r="J34" i="2" s="1"/>
  <c r="J35" i="2" a="1"/>
  <c r="J35" i="2" s="1"/>
  <c r="J36" i="2" a="1"/>
  <c r="J36" i="2" s="1"/>
  <c r="J37" i="2" a="1"/>
  <c r="J37" i="2" s="1"/>
  <c r="J38" i="2" a="1"/>
  <c r="J38" i="2" s="1"/>
  <c r="J39" i="2" a="1"/>
  <c r="J39" i="2" s="1"/>
  <c r="J40" i="2" a="1"/>
  <c r="J40" i="2" s="1"/>
  <c r="J41" i="2" a="1"/>
  <c r="J41" i="2" s="1"/>
  <c r="J42" i="2" a="1"/>
  <c r="J42" i="2" s="1"/>
  <c r="J43" i="2" a="1"/>
  <c r="J43" i="2" s="1"/>
  <c r="J44" i="2" a="1"/>
  <c r="J44" i="2" s="1"/>
  <c r="J45" i="2" a="1"/>
  <c r="J45" i="2" s="1"/>
  <c r="J46" i="2" a="1"/>
  <c r="J46" i="2" s="1"/>
  <c r="J47" i="2" a="1"/>
  <c r="J47" i="2" s="1"/>
  <c r="J48" i="2" a="1"/>
  <c r="J48" i="2" s="1"/>
  <c r="J49" i="2" a="1"/>
  <c r="J49" i="2" s="1"/>
  <c r="J50" i="2" a="1"/>
  <c r="J50" i="2" s="1"/>
  <c r="J51" i="2" a="1"/>
  <c r="J51" i="2" s="1"/>
  <c r="J52" i="2" a="1"/>
  <c r="J52" i="2" s="1"/>
  <c r="J53" i="2" a="1"/>
  <c r="J53" i="2" s="1"/>
  <c r="J54" i="2" a="1"/>
  <c r="J54" i="2" s="1"/>
  <c r="J55" i="2" a="1"/>
  <c r="J55" i="2" s="1"/>
  <c r="J56" i="2" a="1"/>
  <c r="J56" i="2" s="1"/>
  <c r="J57" i="2" a="1"/>
  <c r="J57" i="2" s="1"/>
  <c r="J58" i="2" a="1"/>
  <c r="J58" i="2" s="1"/>
  <c r="J59" i="2" a="1"/>
  <c r="J59" i="2" s="1"/>
  <c r="J60" i="2" a="1"/>
  <c r="J60" i="2" s="1"/>
  <c r="J61" i="2" a="1"/>
  <c r="J61" i="2" s="1"/>
  <c r="J62" i="2" a="1"/>
  <c r="J62" i="2" s="1"/>
  <c r="J63" i="2" a="1"/>
  <c r="J63" i="2" s="1"/>
  <c r="J64" i="2" a="1"/>
  <c r="J64" i="2" s="1"/>
  <c r="J65" i="2" a="1"/>
  <c r="J65" i="2" s="1"/>
  <c r="J66" i="2" a="1"/>
  <c r="J66" i="2" s="1"/>
  <c r="J67" i="2" a="1"/>
  <c r="J67" i="2" s="1"/>
  <c r="J68" i="2" a="1"/>
  <c r="J68" i="2" s="1"/>
  <c r="J69" i="2" a="1"/>
  <c r="J69" i="2" s="1"/>
  <c r="J70" i="2" a="1"/>
  <c r="J70" i="2" s="1"/>
  <c r="J71" i="2" a="1"/>
  <c r="J71" i="2" s="1"/>
  <c r="J72" i="2" a="1"/>
  <c r="J72" i="2" s="1"/>
  <c r="J73" i="2" a="1"/>
  <c r="J73" i="2" s="1"/>
  <c r="J74" i="2" a="1"/>
  <c r="J74" i="2" s="1"/>
  <c r="J75" i="2" a="1"/>
  <c r="J75" i="2" s="1"/>
  <c r="J76" i="2" a="1"/>
  <c r="J76" i="2" s="1"/>
  <c r="J77" i="2" a="1"/>
  <c r="J77" i="2" s="1"/>
  <c r="J78" i="2" a="1"/>
  <c r="J78" i="2" s="1"/>
  <c r="J79" i="2" a="1"/>
  <c r="J79" i="2" s="1"/>
  <c r="J80" i="2" a="1"/>
  <c r="J80" i="2" s="1"/>
  <c r="J81" i="2" a="1"/>
  <c r="J81" i="2" s="1"/>
  <c r="J82" i="2" a="1"/>
  <c r="J82" i="2" s="1"/>
  <c r="J83" i="2" a="1"/>
  <c r="J83" i="2" s="1"/>
  <c r="J84" i="2" a="1"/>
  <c r="J84" i="2" s="1"/>
  <c r="J85" i="2" a="1"/>
  <c r="J85" i="2" s="1"/>
  <c r="J86" i="2" a="1"/>
  <c r="J86" i="2" s="1"/>
  <c r="J87" i="2" a="1"/>
  <c r="J87" i="2" s="1"/>
  <c r="J88" i="2" a="1"/>
  <c r="J88" i="2" s="1"/>
  <c r="J89" i="2" a="1"/>
  <c r="J89" i="2" s="1"/>
  <c r="J90" i="2" a="1"/>
  <c r="J90" i="2" s="1"/>
  <c r="J91" i="2" a="1"/>
  <c r="J91" i="2" s="1"/>
  <c r="J92" i="2" a="1"/>
  <c r="J92" i="2" s="1"/>
  <c r="J93" i="2" a="1"/>
  <c r="J93" i="2" s="1"/>
  <c r="J94" i="2" a="1"/>
  <c r="J94" i="2" s="1"/>
  <c r="J95" i="2" a="1"/>
  <c r="J95" i="2" s="1"/>
  <c r="J96" i="2" a="1"/>
  <c r="J96" i="2" s="1"/>
  <c r="J97" i="2" a="1"/>
  <c r="J97" i="2" s="1"/>
  <c r="J98" i="2" a="1"/>
  <c r="J98" i="2" s="1"/>
  <c r="J99" i="2" a="1"/>
  <c r="J99" i="2" s="1"/>
  <c r="J100" i="2" a="1"/>
  <c r="J100" i="2" s="1"/>
  <c r="J101" i="2" a="1"/>
  <c r="J101" i="2" s="1"/>
  <c r="J102" i="2" a="1"/>
  <c r="J102" i="2" s="1"/>
  <c r="J103" i="2" a="1"/>
  <c r="J103" i="2" s="1"/>
  <c r="J104" i="2" a="1"/>
  <c r="J104" i="2" s="1"/>
  <c r="J105" i="2" a="1"/>
  <c r="J105" i="2" s="1"/>
  <c r="J106" i="2" a="1"/>
  <c r="J106" i="2" s="1"/>
  <c r="J107" i="2" a="1"/>
  <c r="J107" i="2" s="1"/>
  <c r="J108" i="2" a="1"/>
  <c r="J108" i="2" s="1"/>
  <c r="J109" i="2" a="1"/>
  <c r="J109" i="2" s="1"/>
  <c r="J110" i="2" a="1"/>
  <c r="J110" i="2" s="1"/>
  <c r="J111" i="2" a="1"/>
  <c r="J111" i="2" s="1"/>
  <c r="J112" i="2" a="1"/>
  <c r="J112" i="2" s="1"/>
  <c r="J113" i="2" a="1"/>
  <c r="J113" i="2" s="1"/>
  <c r="J114" i="2" a="1"/>
  <c r="J114" i="2" s="1"/>
  <c r="J115" i="2" a="1"/>
  <c r="J115" i="2" s="1"/>
  <c r="J116" i="2" a="1"/>
  <c r="J116" i="2" s="1"/>
  <c r="J117" i="2" a="1"/>
  <c r="J117" i="2" s="1"/>
  <c r="J118" i="2" a="1"/>
  <c r="J118" i="2" s="1"/>
  <c r="J119" i="2" a="1"/>
  <c r="J119" i="2" s="1"/>
  <c r="J120" i="2" a="1"/>
  <c r="J120" i="2" s="1"/>
  <c r="J121" i="2" a="1"/>
  <c r="J121" i="2" s="1"/>
  <c r="J122" i="2" a="1"/>
  <c r="J122" i="2" s="1"/>
  <c r="J123" i="2" a="1"/>
  <c r="J123" i="2"/>
  <c r="J124" i="2" a="1"/>
  <c r="J124" i="2" s="1"/>
  <c r="J125" i="2" a="1"/>
  <c r="J125" i="2" s="1"/>
  <c r="J126" i="2" a="1"/>
  <c r="J126" i="2" s="1"/>
  <c r="J127" i="2" a="1"/>
  <c r="J127" i="2" s="1"/>
  <c r="J128" i="2" a="1"/>
  <c r="J128" i="2" s="1"/>
  <c r="J129" i="2" a="1"/>
  <c r="J129" i="2" s="1"/>
  <c r="J130" i="2" a="1"/>
  <c r="J130" i="2" s="1"/>
  <c r="J131" i="2" a="1"/>
  <c r="J131" i="2" s="1"/>
  <c r="J132" i="2" a="1"/>
  <c r="J132" i="2" s="1"/>
  <c r="J133" i="2" a="1"/>
  <c r="J133" i="2" s="1"/>
  <c r="J134" i="2" a="1"/>
  <c r="J134" i="2" s="1"/>
  <c r="J135" i="2" a="1"/>
  <c r="J135" i="2" s="1"/>
  <c r="J136" i="2" a="1"/>
  <c r="J136" i="2" s="1"/>
  <c r="J137" i="2" a="1"/>
  <c r="J137" i="2" s="1"/>
  <c r="J138" i="2" a="1"/>
  <c r="J138" i="2" s="1"/>
  <c r="J139" i="2" a="1"/>
  <c r="J139" i="2" s="1"/>
  <c r="J140" i="2" a="1"/>
  <c r="J140" i="2" s="1"/>
  <c r="J141" i="2" a="1"/>
  <c r="J141" i="2" s="1"/>
  <c r="J142" i="2" a="1"/>
  <c r="J142" i="2" s="1"/>
  <c r="J143" i="2" a="1"/>
  <c r="J143" i="2" s="1"/>
  <c r="J144" i="2" a="1"/>
  <c r="J144" i="2" s="1"/>
  <c r="J145" i="2" a="1"/>
  <c r="J145" i="2" s="1"/>
  <c r="J146" i="2" a="1"/>
  <c r="J146" i="2" s="1"/>
  <c r="J147" i="2" a="1"/>
  <c r="J147" i="2" s="1"/>
  <c r="J148" i="2" a="1"/>
  <c r="J148" i="2" s="1"/>
  <c r="J149" i="2" a="1"/>
  <c r="J149" i="2" s="1"/>
  <c r="J150" i="2" a="1"/>
  <c r="J150" i="2" s="1"/>
  <c r="J151" i="2" a="1"/>
  <c r="J151" i="2" s="1"/>
  <c r="J152" i="2" a="1"/>
  <c r="J152" i="2" s="1"/>
  <c r="J153" i="2" a="1"/>
  <c r="J153" i="2" s="1"/>
  <c r="J154" i="2" a="1"/>
  <c r="J154" i="2" s="1"/>
  <c r="J155" i="2" a="1"/>
  <c r="J155" i="2" s="1"/>
  <c r="J156" i="2" a="1"/>
  <c r="J156" i="2" s="1"/>
  <c r="J157" i="2" a="1"/>
  <c r="J157" i="2" s="1"/>
  <c r="J158" i="2" a="1"/>
  <c r="J158" i="2" s="1"/>
  <c r="J159" i="2" a="1"/>
  <c r="J159" i="2" s="1"/>
  <c r="J160" i="2" a="1"/>
  <c r="J160" i="2" s="1"/>
  <c r="J161" i="2" a="1"/>
  <c r="J161" i="2" s="1"/>
  <c r="J162" i="2" a="1"/>
  <c r="J162" i="2" s="1"/>
  <c r="J163" i="2" a="1"/>
  <c r="J163" i="2" s="1"/>
  <c r="J164" i="2" a="1"/>
  <c r="J164" i="2" s="1"/>
  <c r="J165" i="2" a="1"/>
  <c r="J165" i="2" s="1"/>
  <c r="J166" i="2" a="1"/>
  <c r="J166" i="2" s="1"/>
  <c r="J167" i="2" a="1"/>
  <c r="J167" i="2" s="1"/>
  <c r="J168" i="2" a="1"/>
  <c r="J168" i="2" s="1"/>
  <c r="J169" i="2" a="1"/>
  <c r="J169" i="2" s="1"/>
  <c r="J170" i="2" a="1"/>
  <c r="J170" i="2" s="1"/>
  <c r="J171" i="2" a="1"/>
  <c r="J171" i="2" s="1"/>
  <c r="J172" i="2" a="1"/>
  <c r="J172" i="2" s="1"/>
  <c r="J173" i="2" a="1"/>
  <c r="J173" i="2" s="1"/>
  <c r="J174" i="2" a="1"/>
  <c r="J174" i="2" s="1"/>
  <c r="J175" i="2" a="1"/>
  <c r="J175" i="2" s="1"/>
  <c r="J176" i="2" a="1"/>
  <c r="J176" i="2" s="1"/>
  <c r="J177" i="2" a="1"/>
  <c r="J177" i="2" s="1"/>
  <c r="J178" i="2" a="1"/>
  <c r="J178" i="2" s="1"/>
  <c r="J179" i="2" a="1"/>
  <c r="J179" i="2" s="1"/>
  <c r="J180" i="2" a="1"/>
  <c r="J180" i="2" s="1"/>
  <c r="J181" i="2" a="1"/>
  <c r="J181" i="2" s="1"/>
  <c r="J182" i="2" a="1"/>
  <c r="J182" i="2" s="1"/>
  <c r="J183" i="2" a="1"/>
  <c r="J183" i="2" s="1"/>
  <c r="J184" i="2" a="1"/>
  <c r="J184" i="2" s="1"/>
  <c r="J185" i="2" a="1"/>
  <c r="J185" i="2" s="1"/>
  <c r="J186" i="2" a="1"/>
  <c r="J186" i="2" s="1"/>
  <c r="J187" i="2" a="1"/>
  <c r="J187" i="2" s="1"/>
  <c r="J188" i="2" a="1"/>
  <c r="J188" i="2" s="1"/>
  <c r="J189" i="2" a="1"/>
  <c r="J189" i="2" s="1"/>
  <c r="J190" i="2" a="1"/>
  <c r="J190" i="2" s="1"/>
  <c r="J191" i="2" a="1"/>
  <c r="J191" i="2" s="1"/>
  <c r="J192" i="2" a="1"/>
  <c r="J192" i="2" s="1"/>
  <c r="J193" i="2" a="1"/>
  <c r="J193" i="2" s="1"/>
  <c r="J194" i="2" a="1"/>
  <c r="J194" i="2" s="1"/>
  <c r="J195" i="2" a="1"/>
  <c r="J195" i="2" s="1"/>
  <c r="J196" i="2" a="1"/>
  <c r="J196" i="2" s="1"/>
  <c r="J197" i="2" a="1"/>
  <c r="J197" i="2" s="1"/>
  <c r="J198" i="2" a="1"/>
  <c r="J198" i="2" s="1"/>
  <c r="J199" i="2" a="1"/>
  <c r="J199" i="2" s="1"/>
  <c r="J200" i="2" a="1"/>
  <c r="J200" i="2" s="1"/>
  <c r="J201" i="2" a="1"/>
  <c r="J201" i="2" s="1"/>
  <c r="J202" i="2" a="1"/>
  <c r="J202" i="2" s="1"/>
  <c r="J203" i="2" a="1"/>
  <c r="J203" i="2" s="1"/>
  <c r="J204" i="2" a="1"/>
  <c r="J204" i="2" s="1"/>
  <c r="J205" i="2" a="1"/>
  <c r="J205" i="2" s="1"/>
  <c r="J206" i="2" a="1"/>
  <c r="J206" i="2" s="1"/>
  <c r="J207" i="2" a="1"/>
  <c r="J207" i="2" s="1"/>
  <c r="J208" i="2" a="1"/>
  <c r="J208" i="2" s="1"/>
  <c r="J209" i="2" a="1"/>
  <c r="J209" i="2" s="1"/>
  <c r="J210" i="2" a="1"/>
  <c r="J210" i="2" s="1"/>
  <c r="J211" i="2" a="1"/>
  <c r="J211" i="2" s="1"/>
  <c r="J212" i="2" a="1"/>
  <c r="J212" i="2" s="1"/>
  <c r="J213" i="2" a="1"/>
  <c r="J213" i="2" s="1"/>
  <c r="J214" i="2" a="1"/>
  <c r="J214" i="2" s="1"/>
  <c r="J215" i="2" a="1"/>
  <c r="J215" i="2" s="1"/>
  <c r="J216" i="2" a="1"/>
  <c r="J216" i="2" s="1"/>
  <c r="J217" i="2" a="1"/>
  <c r="J217" i="2" s="1"/>
  <c r="J218" i="2" a="1"/>
  <c r="J218" i="2" s="1"/>
  <c r="J219" i="2" a="1"/>
  <c r="J219" i="2" s="1"/>
  <c r="J220" i="2" a="1"/>
  <c r="J220" i="2" s="1"/>
  <c r="J221" i="2" a="1"/>
  <c r="J221" i="2" s="1"/>
  <c r="J222" i="2" a="1"/>
  <c r="J222" i="2" s="1"/>
  <c r="J223" i="2" a="1"/>
  <c r="J223" i="2" s="1"/>
  <c r="J224" i="2" a="1"/>
  <c r="J224" i="2" s="1"/>
  <c r="J225" i="2" a="1"/>
  <c r="J225" i="2" s="1"/>
  <c r="J226" i="2" a="1"/>
  <c r="J226" i="2" s="1"/>
  <c r="J227" i="2" a="1"/>
  <c r="J227" i="2" s="1"/>
  <c r="J228" i="2" a="1"/>
  <c r="J228" i="2" s="1"/>
  <c r="J229" i="2" a="1"/>
  <c r="J229" i="2" s="1"/>
  <c r="J230" i="2" a="1"/>
  <c r="J230" i="2" s="1"/>
  <c r="J231" i="2" a="1"/>
  <c r="J231" i="2" s="1"/>
  <c r="J232" i="2" a="1"/>
  <c r="J232" i="2" s="1"/>
  <c r="J233" i="2" a="1"/>
  <c r="J233" i="2" s="1"/>
  <c r="J234" i="2" a="1"/>
  <c r="J234" i="2" s="1"/>
  <c r="J235" i="2" a="1"/>
  <c r="J235" i="2" s="1"/>
  <c r="J236" i="2" a="1"/>
  <c r="J236" i="2" s="1"/>
  <c r="J237" i="2" a="1"/>
  <c r="J237" i="2" s="1"/>
  <c r="J238" i="2" a="1"/>
  <c r="J238" i="2" s="1"/>
  <c r="J239" i="2" a="1"/>
  <c r="J239" i="2" s="1"/>
  <c r="J240" i="2" a="1"/>
  <c r="J240" i="2" s="1"/>
  <c r="J241" i="2" a="1"/>
  <c r="J241" i="2" s="1"/>
  <c r="J242" i="2" a="1"/>
  <c r="J242" i="2" s="1"/>
  <c r="J243" i="2" a="1"/>
  <c r="J243" i="2" s="1"/>
  <c r="J244" i="2" a="1"/>
  <c r="J244" i="2" s="1"/>
  <c r="J245" i="2" a="1"/>
  <c r="J245" i="2" s="1"/>
  <c r="J246" i="2" a="1"/>
  <c r="J246" i="2" s="1"/>
  <c r="J247" i="2" a="1"/>
  <c r="J247" i="2" s="1"/>
  <c r="J248" i="2" a="1"/>
  <c r="J248" i="2" s="1"/>
  <c r="J249" i="2" a="1"/>
  <c r="J249" i="2" s="1"/>
  <c r="J250" i="2" a="1"/>
  <c r="J250" i="2" s="1"/>
  <c r="J251" i="2" a="1"/>
  <c r="J251" i="2" s="1"/>
  <c r="J252" i="2" a="1"/>
  <c r="J252" i="2" s="1"/>
  <c r="J253" i="2" a="1"/>
  <c r="J253" i="2" s="1"/>
  <c r="J254" i="2" a="1"/>
  <c r="J254" i="2" s="1"/>
  <c r="J255" i="2" a="1"/>
  <c r="J255" i="2" s="1"/>
  <c r="J256" i="2" a="1"/>
  <c r="J256" i="2" s="1"/>
  <c r="J257" i="2" a="1"/>
  <c r="J257" i="2" s="1"/>
  <c r="J258" i="2" a="1"/>
  <c r="J258" i="2" s="1"/>
  <c r="J259" i="2" a="1"/>
  <c r="J259" i="2" s="1"/>
  <c r="J260" i="2" a="1"/>
  <c r="J260" i="2" s="1"/>
  <c r="J261" i="2" a="1"/>
  <c r="J261" i="2" s="1"/>
  <c r="J262" i="2" a="1"/>
  <c r="J262" i="2" s="1"/>
  <c r="J263" i="2" a="1"/>
  <c r="J263" i="2" s="1"/>
  <c r="J264" i="2" a="1"/>
  <c r="J264" i="2" s="1"/>
  <c r="J265" i="2" a="1"/>
  <c r="J265" i="2" s="1"/>
  <c r="J266" i="2" a="1"/>
  <c r="J266" i="2" s="1"/>
  <c r="J267" i="2" a="1"/>
  <c r="J267" i="2" s="1"/>
  <c r="J268" i="2" a="1"/>
  <c r="J268" i="2" s="1"/>
  <c r="J269" i="2" a="1"/>
  <c r="J269" i="2" s="1"/>
  <c r="J270" i="2" a="1"/>
  <c r="J270" i="2" s="1"/>
  <c r="J271" i="2" a="1"/>
  <c r="J271" i="2" s="1"/>
  <c r="J272" i="2" a="1"/>
  <c r="J272" i="2" s="1"/>
  <c r="J273" i="2" a="1"/>
  <c r="J273" i="2" s="1"/>
  <c r="J274" i="2" a="1"/>
  <c r="J274" i="2" s="1"/>
  <c r="J275" i="2" a="1"/>
  <c r="J275" i="2" s="1"/>
  <c r="J276" i="2" a="1"/>
  <c r="J276" i="2" s="1"/>
  <c r="J277" i="2" a="1"/>
  <c r="J277" i="2" s="1"/>
  <c r="J278" i="2" a="1"/>
  <c r="J278" i="2" s="1"/>
  <c r="J279" i="2" a="1"/>
  <c r="J279" i="2" s="1"/>
  <c r="J280" i="2" a="1"/>
  <c r="J280" i="2" s="1"/>
  <c r="J281" i="2" a="1"/>
  <c r="J281" i="2" s="1"/>
  <c r="J282" i="2" a="1"/>
  <c r="J282" i="2" s="1"/>
  <c r="J283" i="2" a="1"/>
  <c r="J283" i="2"/>
  <c r="J284" i="2" a="1"/>
  <c r="J284" i="2" s="1"/>
  <c r="J285" i="2" a="1"/>
  <c r="J285" i="2" s="1"/>
  <c r="J286" i="2" a="1"/>
  <c r="J286" i="2" s="1"/>
  <c r="J287" i="2" a="1"/>
  <c r="J287" i="2" s="1"/>
  <c r="J288" i="2" a="1"/>
  <c r="J288" i="2" s="1"/>
  <c r="J289" i="2" a="1"/>
  <c r="J289" i="2" s="1"/>
  <c r="J290" i="2" a="1"/>
  <c r="J290" i="2" s="1"/>
  <c r="J291" i="2" a="1"/>
  <c r="J291" i="2" s="1"/>
  <c r="J292" i="2" a="1"/>
  <c r="J292" i="2" s="1"/>
  <c r="J293" i="2" a="1"/>
  <c r="J293" i="2" s="1"/>
  <c r="J294" i="2" a="1"/>
  <c r="J294" i="2" s="1"/>
  <c r="J295" i="2" a="1"/>
  <c r="J295" i="2" s="1"/>
  <c r="J296" i="2" a="1"/>
  <c r="J296" i="2" s="1"/>
  <c r="J297" i="2" a="1"/>
  <c r="J297" i="2" s="1"/>
  <c r="J298" i="2" a="1"/>
  <c r="J298" i="2" s="1"/>
  <c r="J299" i="2" a="1"/>
  <c r="J299" i="2" s="1"/>
  <c r="J300" i="2" a="1"/>
  <c r="J300" i="2" s="1"/>
  <c r="J301" i="2" a="1"/>
  <c r="J301" i="2" s="1"/>
  <c r="J302" i="2" a="1"/>
  <c r="J302" i="2" s="1"/>
  <c r="J303" i="2" a="1"/>
  <c r="J303" i="2" s="1"/>
  <c r="J304" i="2" a="1"/>
  <c r="J304" i="2" s="1"/>
  <c r="J305" i="2" a="1"/>
  <c r="J305" i="2" s="1"/>
  <c r="J306" i="2" a="1"/>
  <c r="J306" i="2" s="1"/>
  <c r="J307" i="2" a="1"/>
  <c r="J307" i="2" s="1"/>
  <c r="J308" i="2" a="1"/>
  <c r="J308" i="2" s="1"/>
  <c r="J309" i="2" a="1"/>
  <c r="J309" i="2" s="1"/>
  <c r="J310" i="2" a="1"/>
  <c r="J310" i="2" s="1"/>
  <c r="J311" i="2" a="1"/>
  <c r="J311" i="2" s="1"/>
  <c r="J312" i="2" a="1"/>
  <c r="J312" i="2" s="1"/>
  <c r="J313" i="2" a="1"/>
  <c r="J313" i="2" s="1"/>
  <c r="J314" i="2" a="1"/>
  <c r="J314" i="2" s="1"/>
  <c r="J315" i="2" a="1"/>
  <c r="J315" i="2" s="1"/>
  <c r="J316" i="2" a="1"/>
  <c r="J316" i="2" s="1"/>
  <c r="J317" i="2" a="1"/>
  <c r="J317" i="2" s="1"/>
  <c r="J318" i="2" a="1"/>
  <c r="J318" i="2" s="1"/>
  <c r="J319" i="2" a="1"/>
  <c r="J319" i="2" s="1"/>
  <c r="J320" i="2" a="1"/>
  <c r="J320" i="2" s="1"/>
  <c r="J321" i="2" a="1"/>
  <c r="J321" i="2" s="1"/>
  <c r="J322" i="2" a="1"/>
  <c r="J322" i="2" s="1"/>
  <c r="J323" i="2" a="1"/>
  <c r="J323" i="2" s="1"/>
  <c r="J324" i="2" a="1"/>
  <c r="J324" i="2" s="1"/>
  <c r="J325" i="2" a="1"/>
  <c r="J325" i="2" s="1"/>
  <c r="J326" i="2" a="1"/>
  <c r="J326" i="2" s="1"/>
  <c r="J327" i="2" a="1"/>
  <c r="J327" i="2" s="1"/>
  <c r="J328" i="2" a="1"/>
  <c r="J328" i="2" s="1"/>
  <c r="J329" i="2" a="1"/>
  <c r="J329" i="2" s="1"/>
  <c r="J330" i="2" a="1"/>
  <c r="J330" i="2" s="1"/>
  <c r="J331" i="2" a="1"/>
  <c r="J331" i="2" s="1"/>
  <c r="J332" i="2" a="1"/>
  <c r="J332" i="2" s="1"/>
  <c r="J333" i="2" a="1"/>
  <c r="J333" i="2" s="1"/>
  <c r="J334" i="2" a="1"/>
  <c r="J334" i="2" s="1"/>
  <c r="J335" i="2" a="1"/>
  <c r="J335" i="2" s="1"/>
  <c r="J336" i="2" a="1"/>
  <c r="J336" i="2" s="1"/>
  <c r="J337" i="2" a="1"/>
  <c r="J337" i="2" s="1"/>
  <c r="J338" i="2" a="1"/>
  <c r="J338" i="2" s="1"/>
  <c r="J339" i="2" a="1"/>
  <c r="J339" i="2" s="1"/>
  <c r="J340" i="2" a="1"/>
  <c r="J340" i="2" s="1"/>
  <c r="J341" i="2" a="1"/>
  <c r="J341" i="2" s="1"/>
  <c r="J342" i="2" a="1"/>
  <c r="J342" i="2" s="1"/>
  <c r="J343" i="2" a="1"/>
  <c r="J343" i="2" s="1"/>
  <c r="J344" i="2" a="1"/>
  <c r="J344" i="2" s="1"/>
  <c r="J345" i="2" a="1"/>
  <c r="J345" i="2" s="1"/>
  <c r="J346" i="2" a="1"/>
  <c r="J346" i="2" s="1"/>
  <c r="J347" i="2" a="1"/>
  <c r="J347" i="2" s="1"/>
  <c r="J348" i="2" a="1"/>
  <c r="J348" i="2" s="1"/>
  <c r="J349" i="2" a="1"/>
  <c r="J349" i="2" s="1"/>
  <c r="J350" i="2" a="1"/>
  <c r="J350" i="2" s="1"/>
  <c r="J351" i="2" a="1"/>
  <c r="J351" i="2" s="1"/>
  <c r="J352" i="2" a="1"/>
  <c r="J352" i="2" s="1"/>
  <c r="J353" i="2" a="1"/>
  <c r="J353" i="2" s="1"/>
  <c r="J354" i="2" a="1"/>
  <c r="J354" i="2" s="1"/>
  <c r="J355" i="2" a="1"/>
  <c r="J355" i="2" s="1"/>
  <c r="J356" i="2" a="1"/>
  <c r="J356" i="2" s="1"/>
  <c r="J357" i="2" a="1"/>
  <c r="J357" i="2" s="1"/>
  <c r="J358" i="2" a="1"/>
  <c r="J358" i="2" s="1"/>
  <c r="J359" i="2" a="1"/>
  <c r="J359" i="2" s="1"/>
  <c r="J360" i="2" a="1"/>
  <c r="J360" i="2" s="1"/>
  <c r="J361" i="2" a="1"/>
  <c r="J361" i="2" s="1"/>
  <c r="J362" i="2" a="1"/>
  <c r="J362" i="2" s="1"/>
  <c r="J363" i="2" a="1"/>
  <c r="J363" i="2" s="1"/>
  <c r="J364" i="2" a="1"/>
  <c r="J364" i="2" s="1"/>
  <c r="J365" i="2" a="1"/>
  <c r="J365" i="2" s="1"/>
  <c r="J366" i="2" a="1"/>
  <c r="J366" i="2" s="1"/>
  <c r="J367" i="2" a="1"/>
  <c r="J367" i="2" s="1"/>
  <c r="J368" i="2" a="1"/>
  <c r="J368" i="2" s="1"/>
  <c r="J369" i="2" a="1"/>
  <c r="J369" i="2" s="1"/>
  <c r="J370" i="2" a="1"/>
  <c r="J370" i="2" s="1"/>
  <c r="J371" i="2" a="1"/>
  <c r="J371" i="2" s="1"/>
  <c r="J372" i="2" a="1"/>
  <c r="J372" i="2" s="1"/>
  <c r="J373" i="2" a="1"/>
  <c r="J373" i="2" s="1"/>
  <c r="J374" i="2" a="1"/>
  <c r="J374" i="2" s="1"/>
  <c r="J375" i="2" a="1"/>
  <c r="J375" i="2" s="1"/>
  <c r="J376" i="2" a="1"/>
  <c r="J376" i="2" s="1"/>
  <c r="J377" i="2" a="1"/>
  <c r="J377" i="2" s="1"/>
  <c r="J378" i="2" a="1"/>
  <c r="J378" i="2" s="1"/>
  <c r="J379" i="2" a="1"/>
  <c r="J379" i="2" s="1"/>
  <c r="J380" i="2" a="1"/>
  <c r="J380" i="2" s="1"/>
  <c r="J381" i="2" a="1"/>
  <c r="J381" i="2" s="1"/>
  <c r="J382" i="2" a="1"/>
  <c r="J382" i="2" s="1"/>
  <c r="J383" i="2" a="1"/>
  <c r="J383" i="2" s="1"/>
  <c r="J384" i="2" a="1"/>
  <c r="J384" i="2" s="1"/>
  <c r="J385" i="2" a="1"/>
  <c r="J385" i="2" s="1"/>
  <c r="J386" i="2" a="1"/>
  <c r="J386" i="2" s="1"/>
  <c r="J387" i="2" a="1"/>
  <c r="J387" i="2" s="1"/>
  <c r="J388" i="2" a="1"/>
  <c r="J388" i="2" s="1"/>
  <c r="J389" i="2" a="1"/>
  <c r="J389" i="2" s="1"/>
  <c r="J390" i="2" a="1"/>
  <c r="J390" i="2" s="1"/>
  <c r="J391" i="2" a="1"/>
  <c r="J391" i="2" s="1"/>
  <c r="G2" i="2" a="1"/>
  <c r="G2" i="2" s="1"/>
  <c r="G3" i="2" a="1"/>
  <c r="G3" i="2" s="1"/>
  <c r="G4" i="2" a="1"/>
  <c r="G4" i="2" s="1"/>
  <c r="G5" i="2" a="1"/>
  <c r="G5" i="2" s="1"/>
  <c r="G6" i="2" a="1"/>
  <c r="G6" i="2" s="1"/>
  <c r="G7" i="2" a="1"/>
  <c r="G7" i="2" s="1"/>
  <c r="G8" i="2" a="1"/>
  <c r="G8" i="2" s="1"/>
  <c r="G9" i="2" a="1"/>
  <c r="G9" i="2" s="1"/>
  <c r="G10" i="2" a="1"/>
  <c r="G10" i="2" s="1"/>
  <c r="G11" i="2" a="1"/>
  <c r="G11" i="2" s="1"/>
  <c r="G12" i="2" a="1"/>
  <c r="G12" i="2" s="1"/>
  <c r="G13" i="2" a="1"/>
  <c r="G13" i="2" s="1"/>
  <c r="G14" i="2" a="1"/>
  <c r="G14" i="2" s="1"/>
  <c r="G15" i="2" a="1"/>
  <c r="G15" i="2" s="1"/>
  <c r="G16" i="2" a="1"/>
  <c r="G16" i="2" s="1"/>
  <c r="G17" i="2" a="1"/>
  <c r="G17" i="2" s="1"/>
  <c r="G18" i="2" a="1"/>
  <c r="G18" i="2" s="1"/>
  <c r="G19" i="2" a="1"/>
  <c r="G19" i="2" s="1"/>
  <c r="G20" i="2" a="1"/>
  <c r="G20" i="2" s="1"/>
  <c r="G21" i="2" a="1"/>
  <c r="G21" i="2" s="1"/>
  <c r="G22" i="2" a="1"/>
  <c r="G22" i="2" s="1"/>
  <c r="G23" i="2" a="1"/>
  <c r="G23" i="2" s="1"/>
  <c r="G24" i="2" a="1"/>
  <c r="G24" i="2" s="1"/>
  <c r="G25" i="2" a="1"/>
  <c r="G25" i="2" s="1"/>
  <c r="G26" i="2" a="1"/>
  <c r="G26" i="2" s="1"/>
  <c r="G27" i="2" a="1"/>
  <c r="G27" i="2" s="1"/>
  <c r="G28" i="2" a="1"/>
  <c r="G28" i="2" s="1"/>
  <c r="G29" i="2" a="1"/>
  <c r="G29" i="2" s="1"/>
  <c r="G30" i="2" a="1"/>
  <c r="G30" i="2" s="1"/>
  <c r="G31" i="2" a="1"/>
  <c r="G31" i="2" s="1"/>
  <c r="G32" i="2" a="1"/>
  <c r="G32" i="2" s="1"/>
  <c r="G33" i="2" a="1"/>
  <c r="G33" i="2" s="1"/>
  <c r="G34" i="2" a="1"/>
  <c r="G34" i="2" s="1"/>
  <c r="G35" i="2" a="1"/>
  <c r="G35" i="2" s="1"/>
  <c r="G36" i="2" a="1"/>
  <c r="G36" i="2" s="1"/>
  <c r="G37" i="2" a="1"/>
  <c r="G37" i="2" s="1"/>
  <c r="G38" i="2" a="1"/>
  <c r="G38" i="2" s="1"/>
  <c r="G39" i="2" a="1"/>
  <c r="G39" i="2" s="1"/>
  <c r="G40" i="2" a="1"/>
  <c r="G40" i="2" s="1"/>
  <c r="G41" i="2" a="1"/>
  <c r="G41" i="2" s="1"/>
  <c r="G42" i="2" a="1"/>
  <c r="G42" i="2" s="1"/>
  <c r="G43" i="2" a="1"/>
  <c r="G43" i="2" s="1"/>
  <c r="G44" i="2" a="1"/>
  <c r="G44" i="2" s="1"/>
  <c r="G45" i="2" a="1"/>
  <c r="G45" i="2" s="1"/>
  <c r="G46" i="2" a="1"/>
  <c r="G46" i="2" s="1"/>
  <c r="G47" i="2" a="1"/>
  <c r="G47" i="2" s="1"/>
  <c r="G48" i="2" a="1"/>
  <c r="G48" i="2" s="1"/>
  <c r="G49" i="2" a="1"/>
  <c r="G49" i="2" s="1"/>
  <c r="G50" i="2" a="1"/>
  <c r="G50" i="2" s="1"/>
  <c r="G51" i="2" a="1"/>
  <c r="G51" i="2" s="1"/>
  <c r="G52" i="2" a="1"/>
  <c r="G52" i="2" s="1"/>
  <c r="G53" i="2" a="1"/>
  <c r="G53" i="2" s="1"/>
  <c r="G54" i="2" a="1"/>
  <c r="G54" i="2" s="1"/>
  <c r="G55" i="2" a="1"/>
  <c r="G55" i="2" s="1"/>
  <c r="G56" i="2" a="1"/>
  <c r="G56" i="2" s="1"/>
  <c r="G57" i="2" a="1"/>
  <c r="G57" i="2" s="1"/>
  <c r="G58" i="2" a="1"/>
  <c r="G58" i="2" s="1"/>
  <c r="G59" i="2" a="1"/>
  <c r="G59" i="2" s="1"/>
  <c r="G60" i="2" a="1"/>
  <c r="G60" i="2" s="1"/>
  <c r="G61" i="2" a="1"/>
  <c r="G61" i="2" s="1"/>
  <c r="G62" i="2" a="1"/>
  <c r="G62" i="2" s="1"/>
  <c r="G63" i="2" a="1"/>
  <c r="G63" i="2" s="1"/>
  <c r="G64" i="2" a="1"/>
  <c r="G64" i="2" s="1"/>
  <c r="G65" i="2" a="1"/>
  <c r="G65" i="2" s="1"/>
  <c r="G66" i="2" a="1"/>
  <c r="G66" i="2" s="1"/>
  <c r="G67" i="2" a="1"/>
  <c r="G67" i="2" s="1"/>
  <c r="G68" i="2" a="1"/>
  <c r="G68" i="2" s="1"/>
  <c r="G69" i="2" a="1"/>
  <c r="G69" i="2" s="1"/>
  <c r="G70" i="2" a="1"/>
  <c r="G70" i="2" s="1"/>
  <c r="G71" i="2" a="1"/>
  <c r="G71" i="2" s="1"/>
  <c r="G72" i="2" a="1"/>
  <c r="G72" i="2" s="1"/>
  <c r="G73" i="2" a="1"/>
  <c r="G73" i="2" s="1"/>
  <c r="G74" i="2" a="1"/>
  <c r="G74" i="2" s="1"/>
  <c r="G75" i="2" a="1"/>
  <c r="G75" i="2" s="1"/>
  <c r="G76" i="2" a="1"/>
  <c r="G76" i="2" s="1"/>
  <c r="G77" i="2" a="1"/>
  <c r="G77" i="2" s="1"/>
  <c r="G78" i="2" a="1"/>
  <c r="G78" i="2" s="1"/>
  <c r="G79" i="2" a="1"/>
  <c r="G79" i="2" s="1"/>
  <c r="G80" i="2" a="1"/>
  <c r="G80" i="2" s="1"/>
  <c r="G81" i="2" a="1"/>
  <c r="G81" i="2" s="1"/>
  <c r="G82" i="2" a="1"/>
  <c r="G82" i="2" s="1"/>
  <c r="G83" i="2" a="1"/>
  <c r="G83" i="2" s="1"/>
  <c r="G84" i="2" a="1"/>
  <c r="G84" i="2" s="1"/>
  <c r="G85" i="2" a="1"/>
  <c r="G85" i="2" s="1"/>
  <c r="G86" i="2" a="1"/>
  <c r="G86" i="2" s="1"/>
  <c r="G87" i="2" a="1"/>
  <c r="G87" i="2" s="1"/>
  <c r="G88" i="2" a="1"/>
  <c r="G88" i="2" s="1"/>
  <c r="G89" i="2" a="1"/>
  <c r="G89" i="2" s="1"/>
  <c r="G90" i="2" a="1"/>
  <c r="G90" i="2" s="1"/>
  <c r="G91" i="2" a="1"/>
  <c r="G91" i="2" s="1"/>
  <c r="G92" i="2" a="1"/>
  <c r="G92" i="2" s="1"/>
  <c r="G93" i="2" a="1"/>
  <c r="G93" i="2" s="1"/>
  <c r="G94" i="2" a="1"/>
  <c r="G94" i="2" s="1"/>
  <c r="G95" i="2" a="1"/>
  <c r="G95" i="2" s="1"/>
  <c r="G96" i="2" a="1"/>
  <c r="G96" i="2" s="1"/>
  <c r="G97" i="2" a="1"/>
  <c r="G97" i="2" s="1"/>
  <c r="G98" i="2" a="1"/>
  <c r="G98" i="2" s="1"/>
  <c r="G99" i="2" a="1"/>
  <c r="G99" i="2" s="1"/>
  <c r="G100" i="2" a="1"/>
  <c r="G100" i="2" s="1"/>
  <c r="G101" i="2" a="1"/>
  <c r="G101" i="2" s="1"/>
  <c r="G102" i="2" a="1"/>
  <c r="G102" i="2" s="1"/>
  <c r="G103" i="2" a="1"/>
  <c r="G103" i="2" s="1"/>
  <c r="G104" i="2" a="1"/>
  <c r="G104" i="2" s="1"/>
  <c r="G105" i="2" a="1"/>
  <c r="G105" i="2" s="1"/>
  <c r="G106" i="2" a="1"/>
  <c r="G106" i="2" s="1"/>
  <c r="G107" i="2" a="1"/>
  <c r="G107" i="2" s="1"/>
  <c r="G108" i="2" a="1"/>
  <c r="G108" i="2" s="1"/>
  <c r="G109" i="2" a="1"/>
  <c r="G109" i="2" s="1"/>
  <c r="G110" i="2" a="1"/>
  <c r="G110" i="2" s="1"/>
  <c r="G111" i="2" a="1"/>
  <c r="G111" i="2" s="1"/>
  <c r="G112" i="2" a="1"/>
  <c r="G112" i="2" s="1"/>
  <c r="G113" i="2" a="1"/>
  <c r="G113" i="2" s="1"/>
  <c r="G114" i="2" a="1"/>
  <c r="G114" i="2" s="1"/>
  <c r="G115" i="2" a="1"/>
  <c r="G115" i="2" s="1"/>
  <c r="G116" i="2" a="1"/>
  <c r="G116" i="2" s="1"/>
  <c r="G117" i="2" a="1"/>
  <c r="G117" i="2" s="1"/>
  <c r="G118" i="2" a="1"/>
  <c r="G118" i="2" s="1"/>
  <c r="G119" i="2" a="1"/>
  <c r="G119" i="2" s="1"/>
  <c r="G120" i="2" a="1"/>
  <c r="G120" i="2" s="1"/>
  <c r="G121" i="2" a="1"/>
  <c r="G121" i="2" s="1"/>
  <c r="G122" i="2" a="1"/>
  <c r="G122" i="2" s="1"/>
  <c r="G123" i="2" a="1"/>
  <c r="G123" i="2" s="1"/>
  <c r="G124" i="2" a="1"/>
  <c r="G124" i="2" s="1"/>
  <c r="G125" i="2" a="1"/>
  <c r="G125" i="2" s="1"/>
  <c r="G126" i="2" a="1"/>
  <c r="G126" i="2" s="1"/>
  <c r="G127" i="2" a="1"/>
  <c r="G127" i="2" s="1"/>
  <c r="G128" i="2" a="1"/>
  <c r="G128" i="2" s="1"/>
  <c r="G129" i="2" a="1"/>
  <c r="G129" i="2" s="1"/>
  <c r="G130" i="2" a="1"/>
  <c r="G130" i="2" s="1"/>
  <c r="G131" i="2" a="1"/>
  <c r="G131" i="2" s="1"/>
  <c r="G132" i="2" a="1"/>
  <c r="G132" i="2" s="1"/>
  <c r="G133" i="2" a="1"/>
  <c r="G133" i="2" s="1"/>
  <c r="G134" i="2" a="1"/>
  <c r="G134" i="2" s="1"/>
  <c r="G135" i="2" a="1"/>
  <c r="G135" i="2" s="1"/>
  <c r="G136" i="2" a="1"/>
  <c r="G136" i="2" s="1"/>
  <c r="G137" i="2" a="1"/>
  <c r="G137" i="2" s="1"/>
  <c r="G138" i="2" a="1"/>
  <c r="G138" i="2" s="1"/>
  <c r="G139" i="2" a="1"/>
  <c r="G139" i="2" s="1"/>
  <c r="G140" i="2" a="1"/>
  <c r="G140" i="2" s="1"/>
  <c r="G141" i="2" a="1"/>
  <c r="G141" i="2" s="1"/>
  <c r="G142" i="2" a="1"/>
  <c r="G142" i="2" s="1"/>
  <c r="G143" i="2" a="1"/>
  <c r="G143" i="2" s="1"/>
  <c r="G144" i="2" a="1"/>
  <c r="G144" i="2" s="1"/>
  <c r="G145" i="2" a="1"/>
  <c r="G145" i="2" s="1"/>
  <c r="G146" i="2" a="1"/>
  <c r="G146" i="2" s="1"/>
  <c r="G147" i="2" a="1"/>
  <c r="G147" i="2" s="1"/>
  <c r="G148" i="2" a="1"/>
  <c r="G148" i="2" s="1"/>
  <c r="G149" i="2" a="1"/>
  <c r="G149" i="2" s="1"/>
  <c r="G150" i="2" a="1"/>
  <c r="G150" i="2" s="1"/>
  <c r="G151" i="2" a="1"/>
  <c r="G151" i="2" s="1"/>
  <c r="G152" i="2" a="1"/>
  <c r="G152" i="2" s="1"/>
  <c r="G153" i="2" a="1"/>
  <c r="G153" i="2" s="1"/>
  <c r="G154" i="2" a="1"/>
  <c r="G154" i="2" s="1"/>
  <c r="G155" i="2" a="1"/>
  <c r="G155" i="2" s="1"/>
  <c r="G156" i="2" a="1"/>
  <c r="G156" i="2" s="1"/>
  <c r="G157" i="2" a="1"/>
  <c r="G157" i="2" s="1"/>
  <c r="G158" i="2" a="1"/>
  <c r="G158" i="2" s="1"/>
  <c r="G159" i="2" a="1"/>
  <c r="G159" i="2" s="1"/>
  <c r="G160" i="2" a="1"/>
  <c r="G160" i="2" s="1"/>
  <c r="G161" i="2" a="1"/>
  <c r="G161" i="2" s="1"/>
  <c r="G162" i="2" a="1"/>
  <c r="G162" i="2" s="1"/>
  <c r="G163" i="2" a="1"/>
  <c r="G163" i="2" s="1"/>
  <c r="G164" i="2" a="1"/>
  <c r="G164" i="2" s="1"/>
  <c r="G165" i="2" a="1"/>
  <c r="G165" i="2" s="1"/>
  <c r="G166" i="2" a="1"/>
  <c r="G166" i="2" s="1"/>
  <c r="G167" i="2" a="1"/>
  <c r="G167" i="2" s="1"/>
  <c r="G168" i="2" a="1"/>
  <c r="G168" i="2" s="1"/>
  <c r="G169" i="2" a="1"/>
  <c r="G169" i="2" s="1"/>
  <c r="G170" i="2" a="1"/>
  <c r="G170" i="2" s="1"/>
  <c r="G171" i="2" a="1"/>
  <c r="G171" i="2" s="1"/>
  <c r="G172" i="2" a="1"/>
  <c r="G172" i="2" s="1"/>
  <c r="G173" i="2" a="1"/>
  <c r="G173" i="2" s="1"/>
  <c r="G174" i="2" a="1"/>
  <c r="G174" i="2" s="1"/>
  <c r="G175" i="2" a="1"/>
  <c r="G175" i="2" s="1"/>
  <c r="G176" i="2" a="1"/>
  <c r="G176" i="2" s="1"/>
  <c r="G177" i="2" a="1"/>
  <c r="G177" i="2" s="1"/>
  <c r="G178" i="2" a="1"/>
  <c r="G178" i="2" s="1"/>
  <c r="G179" i="2" a="1"/>
  <c r="G179" i="2" s="1"/>
  <c r="G180" i="2" a="1"/>
  <c r="G180" i="2" s="1"/>
  <c r="G181" i="2" a="1"/>
  <c r="G181" i="2" s="1"/>
  <c r="G182" i="2" a="1"/>
  <c r="G182" i="2" s="1"/>
  <c r="G183" i="2" a="1"/>
  <c r="G183" i="2" s="1"/>
  <c r="G184" i="2" a="1"/>
  <c r="G184" i="2" s="1"/>
  <c r="G185" i="2" a="1"/>
  <c r="G185" i="2" s="1"/>
  <c r="G186" i="2" a="1"/>
  <c r="G186" i="2" s="1"/>
  <c r="G187" i="2" a="1"/>
  <c r="G187" i="2" s="1"/>
  <c r="G188" i="2" a="1"/>
  <c r="G188" i="2" s="1"/>
  <c r="G189" i="2" a="1"/>
  <c r="G189" i="2" s="1"/>
  <c r="G190" i="2" a="1"/>
  <c r="G190" i="2" s="1"/>
  <c r="G191" i="2" a="1"/>
  <c r="G191" i="2" s="1"/>
  <c r="G192" i="2" a="1"/>
  <c r="G192" i="2" s="1"/>
  <c r="G193" i="2" a="1"/>
  <c r="G193" i="2" s="1"/>
  <c r="G194" i="2" a="1"/>
  <c r="G194" i="2" s="1"/>
  <c r="G195" i="2" a="1"/>
  <c r="G195" i="2" s="1"/>
  <c r="G196" i="2" a="1"/>
  <c r="G196" i="2" s="1"/>
  <c r="G197" i="2" a="1"/>
  <c r="G197" i="2" s="1"/>
  <c r="G198" i="2" a="1"/>
  <c r="G198" i="2" s="1"/>
  <c r="G199" i="2" a="1"/>
  <c r="G199" i="2" s="1"/>
  <c r="G200" i="2" a="1"/>
  <c r="G200" i="2" s="1"/>
  <c r="G201" i="2" a="1"/>
  <c r="G201" i="2" s="1"/>
  <c r="G202" i="2" a="1"/>
  <c r="G202" i="2" s="1"/>
  <c r="G203" i="2" a="1"/>
  <c r="G203" i="2" s="1"/>
  <c r="G204" i="2" a="1"/>
  <c r="G204" i="2" s="1"/>
  <c r="G205" i="2" a="1"/>
  <c r="G205" i="2" s="1"/>
  <c r="G206" i="2" a="1"/>
  <c r="G206" i="2" s="1"/>
  <c r="G207" i="2" a="1"/>
  <c r="G207" i="2" s="1"/>
  <c r="G208" i="2" a="1"/>
  <c r="G208" i="2" s="1"/>
  <c r="G209" i="2" a="1"/>
  <c r="G209" i="2" s="1"/>
  <c r="G210" i="2" a="1"/>
  <c r="G210" i="2" s="1"/>
  <c r="G211" i="2" a="1"/>
  <c r="G211" i="2" s="1"/>
  <c r="G212" i="2" a="1"/>
  <c r="G212" i="2" s="1"/>
  <c r="G213" i="2" a="1"/>
  <c r="G213" i="2" s="1"/>
  <c r="G214" i="2" a="1"/>
  <c r="G214" i="2" s="1"/>
  <c r="G215" i="2" a="1"/>
  <c r="G215" i="2" s="1"/>
  <c r="G216" i="2" a="1"/>
  <c r="G216" i="2" s="1"/>
  <c r="G217" i="2" a="1"/>
  <c r="G217" i="2" s="1"/>
  <c r="G218" i="2" a="1"/>
  <c r="G218" i="2" s="1"/>
  <c r="G219" i="2" a="1"/>
  <c r="G219" i="2" s="1"/>
  <c r="G220" i="2" a="1"/>
  <c r="G220" i="2" s="1"/>
  <c r="G221" i="2" a="1"/>
  <c r="G221" i="2" s="1"/>
  <c r="G222" i="2" a="1"/>
  <c r="G222" i="2" s="1"/>
  <c r="G223" i="2" a="1"/>
  <c r="G223" i="2" s="1"/>
  <c r="G224" i="2" a="1"/>
  <c r="G224" i="2" s="1"/>
  <c r="G225" i="2" a="1"/>
  <c r="G225" i="2" s="1"/>
  <c r="G226" i="2" a="1"/>
  <c r="G226" i="2" s="1"/>
  <c r="G227" i="2" a="1"/>
  <c r="G227" i="2" s="1"/>
  <c r="G228" i="2" a="1"/>
  <c r="G228" i="2" s="1"/>
  <c r="G229" i="2" a="1"/>
  <c r="G229" i="2" s="1"/>
  <c r="G230" i="2" a="1"/>
  <c r="G230" i="2" s="1"/>
  <c r="G231" i="2" a="1"/>
  <c r="G231" i="2" s="1"/>
  <c r="G232" i="2" a="1"/>
  <c r="G232" i="2" s="1"/>
  <c r="G233" i="2" a="1"/>
  <c r="G233" i="2" s="1"/>
  <c r="G234" i="2" a="1"/>
  <c r="G234" i="2" s="1"/>
  <c r="G235" i="2" a="1"/>
  <c r="G235" i="2" s="1"/>
  <c r="G236" i="2" a="1"/>
  <c r="G236" i="2" s="1"/>
  <c r="G237" i="2" a="1"/>
  <c r="G237" i="2" s="1"/>
  <c r="G238" i="2" a="1"/>
  <c r="G238" i="2" s="1"/>
  <c r="G239" i="2" a="1"/>
  <c r="G239" i="2" s="1"/>
  <c r="G240" i="2" a="1"/>
  <c r="G240" i="2" s="1"/>
  <c r="G241" i="2" a="1"/>
  <c r="G241" i="2" s="1"/>
  <c r="G242" i="2" a="1"/>
  <c r="G242" i="2" s="1"/>
  <c r="G243" i="2" a="1"/>
  <c r="G243" i="2" s="1"/>
  <c r="G244" i="2" a="1"/>
  <c r="G244" i="2" s="1"/>
  <c r="G245" i="2" a="1"/>
  <c r="G245" i="2" s="1"/>
  <c r="G246" i="2" a="1"/>
  <c r="G246" i="2" s="1"/>
  <c r="G247" i="2" a="1"/>
  <c r="G247" i="2" s="1"/>
  <c r="G248" i="2" a="1"/>
  <c r="G248" i="2" s="1"/>
  <c r="G249" i="2" a="1"/>
  <c r="G249" i="2" s="1"/>
  <c r="G250" i="2" a="1"/>
  <c r="G250" i="2" s="1"/>
  <c r="G251" i="2" a="1"/>
  <c r="G251" i="2" s="1"/>
  <c r="G252" i="2" a="1"/>
  <c r="G252" i="2" s="1"/>
  <c r="G253" i="2" a="1"/>
  <c r="G253" i="2" s="1"/>
  <c r="G254" i="2" a="1"/>
  <c r="G254" i="2" s="1"/>
  <c r="G255" i="2" a="1"/>
  <c r="G255" i="2" s="1"/>
  <c r="G256" i="2" a="1"/>
  <c r="G256" i="2" s="1"/>
  <c r="G257" i="2" a="1"/>
  <c r="G257" i="2" s="1"/>
  <c r="G258" i="2" a="1"/>
  <c r="G258" i="2" s="1"/>
  <c r="G259" i="2" a="1"/>
  <c r="G259" i="2" s="1"/>
  <c r="G260" i="2" a="1"/>
  <c r="G260" i="2" s="1"/>
  <c r="G261" i="2" a="1"/>
  <c r="G261" i="2" s="1"/>
  <c r="G262" i="2" a="1"/>
  <c r="G262" i="2" s="1"/>
  <c r="G263" i="2" a="1"/>
  <c r="G263" i="2" s="1"/>
  <c r="G264" i="2" a="1"/>
  <c r="G264" i="2" s="1"/>
  <c r="G265" i="2" a="1"/>
  <c r="G265" i="2" s="1"/>
  <c r="G266" i="2" a="1"/>
  <c r="G266" i="2" s="1"/>
  <c r="G267" i="2" a="1"/>
  <c r="G267" i="2" s="1"/>
  <c r="G268" i="2" a="1"/>
  <c r="G268" i="2" s="1"/>
  <c r="G269" i="2" a="1"/>
  <c r="G269" i="2" s="1"/>
  <c r="G270" i="2" a="1"/>
  <c r="G270" i="2" s="1"/>
  <c r="G271" i="2" a="1"/>
  <c r="G271" i="2" s="1"/>
  <c r="G272" i="2" a="1"/>
  <c r="G272" i="2" s="1"/>
  <c r="G273" i="2" a="1"/>
  <c r="G273" i="2" s="1"/>
  <c r="G274" i="2" a="1"/>
  <c r="G274" i="2" s="1"/>
  <c r="G275" i="2" a="1"/>
  <c r="G275" i="2" s="1"/>
  <c r="G276" i="2" a="1"/>
  <c r="G276" i="2" s="1"/>
  <c r="G277" i="2" a="1"/>
  <c r="G277" i="2" s="1"/>
  <c r="G278" i="2" a="1"/>
  <c r="G278" i="2" s="1"/>
  <c r="G279" i="2" a="1"/>
  <c r="G279" i="2" s="1"/>
  <c r="G280" i="2" a="1"/>
  <c r="G280" i="2" s="1"/>
  <c r="G281" i="2" a="1"/>
  <c r="G281" i="2" s="1"/>
  <c r="G282" i="2" a="1"/>
  <c r="G282" i="2" s="1"/>
  <c r="G283" i="2" a="1"/>
  <c r="G283" i="2" s="1"/>
  <c r="G284" i="2" a="1"/>
  <c r="G284" i="2" s="1"/>
  <c r="G285" i="2" a="1"/>
  <c r="G285" i="2" s="1"/>
  <c r="G286" i="2" a="1"/>
  <c r="G286" i="2" s="1"/>
  <c r="G287" i="2" a="1"/>
  <c r="G287" i="2" s="1"/>
  <c r="G288" i="2" a="1"/>
  <c r="G288" i="2" s="1"/>
  <c r="G289" i="2" a="1"/>
  <c r="G289" i="2"/>
  <c r="G290" i="2" a="1"/>
  <c r="G290" i="2" s="1"/>
  <c r="G291" i="2" a="1"/>
  <c r="G291" i="2" s="1"/>
  <c r="G292" i="2" a="1"/>
  <c r="G292" i="2" s="1"/>
  <c r="G293" i="2" a="1"/>
  <c r="G293" i="2" s="1"/>
  <c r="G294" i="2" a="1"/>
  <c r="G294" i="2" s="1"/>
  <c r="G295" i="2" a="1"/>
  <c r="G295" i="2" s="1"/>
  <c r="G296" i="2" a="1"/>
  <c r="G296" i="2" s="1"/>
  <c r="G297" i="2" a="1"/>
  <c r="G297" i="2" s="1"/>
  <c r="G298" i="2" a="1"/>
  <c r="G298" i="2" s="1"/>
  <c r="G299" i="2" a="1"/>
  <c r="G299" i="2" s="1"/>
  <c r="G300" i="2" a="1"/>
  <c r="G300" i="2" s="1"/>
  <c r="G301" i="2" a="1"/>
  <c r="G301" i="2" s="1"/>
  <c r="G302" i="2" a="1"/>
  <c r="G302" i="2" s="1"/>
  <c r="G303" i="2" a="1"/>
  <c r="G303" i="2" s="1"/>
  <c r="G304" i="2" a="1"/>
  <c r="G304" i="2" s="1"/>
  <c r="G305" i="2" a="1"/>
  <c r="G305" i="2" s="1"/>
  <c r="G306" i="2" a="1"/>
  <c r="G306" i="2" s="1"/>
  <c r="G307" i="2" a="1"/>
  <c r="G307" i="2" s="1"/>
  <c r="G308" i="2" a="1"/>
  <c r="G308" i="2" s="1"/>
  <c r="G309" i="2" a="1"/>
  <c r="G309" i="2" s="1"/>
  <c r="G310" i="2" a="1"/>
  <c r="G310" i="2" s="1"/>
  <c r="G311" i="2" a="1"/>
  <c r="G311" i="2" s="1"/>
  <c r="G312" i="2" a="1"/>
  <c r="G312" i="2" s="1"/>
  <c r="G313" i="2" a="1"/>
  <c r="G313" i="2" s="1"/>
  <c r="G314" i="2" a="1"/>
  <c r="G314" i="2" s="1"/>
  <c r="G315" i="2" a="1"/>
  <c r="G315" i="2" s="1"/>
  <c r="G316" i="2" a="1"/>
  <c r="G316" i="2" s="1"/>
  <c r="G317" i="2" a="1"/>
  <c r="G317" i="2" s="1"/>
  <c r="G318" i="2" a="1"/>
  <c r="G318" i="2" s="1"/>
  <c r="G319" i="2" a="1"/>
  <c r="G319" i="2" s="1"/>
  <c r="G320" i="2" a="1"/>
  <c r="G320" i="2" s="1"/>
  <c r="G321" i="2" a="1"/>
  <c r="G321" i="2" s="1"/>
  <c r="G322" i="2" a="1"/>
  <c r="G322" i="2" s="1"/>
  <c r="G323" i="2" a="1"/>
  <c r="G323" i="2" s="1"/>
  <c r="G324" i="2" a="1"/>
  <c r="G324" i="2" s="1"/>
  <c r="G325" i="2" a="1"/>
  <c r="G325" i="2" s="1"/>
  <c r="G326" i="2" a="1"/>
  <c r="G326" i="2" s="1"/>
  <c r="G327" i="2" a="1"/>
  <c r="G327" i="2" s="1"/>
  <c r="G328" i="2" a="1"/>
  <c r="G328" i="2" s="1"/>
  <c r="G329" i="2" a="1"/>
  <c r="G329" i="2" s="1"/>
  <c r="G330" i="2" a="1"/>
  <c r="G330" i="2" s="1"/>
  <c r="G331" i="2" a="1"/>
  <c r="G331" i="2" s="1"/>
  <c r="G332" i="2" a="1"/>
  <c r="G332" i="2" s="1"/>
  <c r="G333" i="2" a="1"/>
  <c r="G333" i="2" s="1"/>
  <c r="G334" i="2" a="1"/>
  <c r="G334" i="2" s="1"/>
  <c r="G335" i="2" a="1"/>
  <c r="G335" i="2" s="1"/>
  <c r="G336" i="2" a="1"/>
  <c r="G336" i="2" s="1"/>
  <c r="G337" i="2" a="1"/>
  <c r="G337" i="2" s="1"/>
  <c r="G338" i="2" a="1"/>
  <c r="G338" i="2" s="1"/>
  <c r="G339" i="2" a="1"/>
  <c r="G339" i="2" s="1"/>
  <c r="G340" i="2" a="1"/>
  <c r="G340" i="2" s="1"/>
  <c r="G341" i="2" a="1"/>
  <c r="G341" i="2" s="1"/>
  <c r="G342" i="2" a="1"/>
  <c r="G342" i="2" s="1"/>
  <c r="G343" i="2" a="1"/>
  <c r="G343" i="2" s="1"/>
  <c r="G344" i="2" a="1"/>
  <c r="G344" i="2" s="1"/>
  <c r="G345" i="2" a="1"/>
  <c r="G345" i="2" s="1"/>
  <c r="G346" i="2" a="1"/>
  <c r="G346" i="2" s="1"/>
  <c r="G347" i="2" a="1"/>
  <c r="G347" i="2" s="1"/>
  <c r="G348" i="2" a="1"/>
  <c r="G348" i="2" s="1"/>
  <c r="G349" i="2" a="1"/>
  <c r="G349" i="2" s="1"/>
  <c r="G350" i="2" a="1"/>
  <c r="G350" i="2" s="1"/>
  <c r="G351" i="2" a="1"/>
  <c r="G351" i="2" s="1"/>
  <c r="G352" i="2" a="1"/>
  <c r="G352" i="2" s="1"/>
  <c r="G353" i="2" a="1"/>
  <c r="G353" i="2" s="1"/>
  <c r="G354" i="2" a="1"/>
  <c r="G354" i="2" s="1"/>
  <c r="G355" i="2" a="1"/>
  <c r="G355" i="2" s="1"/>
  <c r="G356" i="2" a="1"/>
  <c r="G356" i="2" s="1"/>
  <c r="G357" i="2" a="1"/>
  <c r="G357" i="2" s="1"/>
  <c r="G358" i="2" a="1"/>
  <c r="G358" i="2" s="1"/>
  <c r="G359" i="2" a="1"/>
  <c r="G359" i="2" s="1"/>
  <c r="G360" i="2" a="1"/>
  <c r="G360" i="2" s="1"/>
  <c r="G361" i="2" a="1"/>
  <c r="G361" i="2" s="1"/>
  <c r="G362" i="2" a="1"/>
  <c r="G362" i="2" s="1"/>
  <c r="G363" i="2" a="1"/>
  <c r="G363" i="2" s="1"/>
  <c r="G364" i="2" a="1"/>
  <c r="G364" i="2" s="1"/>
  <c r="G365" i="2" a="1"/>
  <c r="G365" i="2" s="1"/>
  <c r="G366" i="2" a="1"/>
  <c r="G366" i="2" s="1"/>
  <c r="G367" i="2" a="1"/>
  <c r="G367" i="2" s="1"/>
  <c r="G368" i="2" a="1"/>
  <c r="G368" i="2" s="1"/>
  <c r="G369" i="2" a="1"/>
  <c r="G369" i="2" s="1"/>
  <c r="G370" i="2" a="1"/>
  <c r="G370" i="2" s="1"/>
  <c r="G371" i="2" a="1"/>
  <c r="G371" i="2" s="1"/>
  <c r="G372" i="2" a="1"/>
  <c r="G372" i="2" s="1"/>
  <c r="G373" i="2" a="1"/>
  <c r="G373" i="2" s="1"/>
  <c r="G374" i="2" a="1"/>
  <c r="G374" i="2" s="1"/>
  <c r="G375" i="2" a="1"/>
  <c r="G375" i="2" s="1"/>
  <c r="G376" i="2" a="1"/>
  <c r="G376" i="2" s="1"/>
  <c r="G377" i="2" a="1"/>
  <c r="G377" i="2" s="1"/>
  <c r="G378" i="2" a="1"/>
  <c r="G378" i="2" s="1"/>
  <c r="G379" i="2" a="1"/>
  <c r="G379" i="2" s="1"/>
  <c r="G380" i="2" a="1"/>
  <c r="G380" i="2" s="1"/>
  <c r="G381" i="2" a="1"/>
  <c r="G381" i="2" s="1"/>
  <c r="G382" i="2" a="1"/>
  <c r="G382" i="2" s="1"/>
  <c r="G383" i="2" a="1"/>
  <c r="G383" i="2" s="1"/>
  <c r="G384" i="2" a="1"/>
  <c r="G384" i="2" s="1"/>
  <c r="G385" i="2" a="1"/>
  <c r="G385" i="2" s="1"/>
  <c r="G386" i="2" a="1"/>
  <c r="G386" i="2" s="1"/>
  <c r="G387" i="2" a="1"/>
  <c r="G387" i="2" s="1"/>
  <c r="G388" i="2" a="1"/>
  <c r="G388" i="2" s="1"/>
  <c r="G389" i="2" a="1"/>
  <c r="G389" i="2" s="1"/>
  <c r="G390" i="2" a="1"/>
  <c r="G390" i="2" s="1"/>
  <c r="G391" i="2" a="1"/>
  <c r="G391" i="2" s="1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E33" i="4" l="1"/>
  <c r="E25" i="4"/>
  <c r="D33" i="4"/>
  <c r="D25" i="4"/>
  <c r="E32" i="4"/>
  <c r="E24" i="4"/>
  <c r="D32" i="4"/>
  <c r="D24" i="4"/>
  <c r="E27" i="4"/>
  <c r="E31" i="4"/>
  <c r="D23" i="4"/>
  <c r="D31" i="4"/>
  <c r="E23" i="4"/>
  <c r="E30" i="4"/>
  <c r="D22" i="4"/>
  <c r="D30" i="4"/>
  <c r="E22" i="4"/>
  <c r="E29" i="4"/>
  <c r="E21" i="4"/>
  <c r="D29" i="4"/>
  <c r="D21" i="4"/>
  <c r="E20" i="4"/>
  <c r="E28" i="4"/>
  <c r="D20" i="4"/>
  <c r="D28" i="4"/>
  <c r="D27" i="4"/>
  <c r="E26" i="4"/>
  <c r="D26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DEDA0B-C977-468D-8C70-022E2D5780CF}" keepAlive="1" name="Query - dataset_3" description="Connection to the 'dataset_3' query in the workbook." type="5" refreshedVersion="8" background="1" saveData="1">
    <dbPr connection="Provider=Microsoft.Mashup.OleDb.1;Data Source=$Workbook$;Location=dataset_3;Extended Properties=&quot;&quot;" command="SELECT * FROM [dataset_3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<sst xmlns="http://schemas.openxmlformats.org/spreadsheetml/2006/main" count="95" uniqueCount="51">
  <si>
    <t>Instant</t>
  </si>
  <si>
    <t>Date</t>
  </si>
  <si>
    <t>Season</t>
  </si>
  <si>
    <t>Year</t>
  </si>
  <si>
    <t>Month</t>
  </si>
  <si>
    <t>Hour</t>
  </si>
  <si>
    <t>Holiday</t>
  </si>
  <si>
    <t>Weekday</t>
  </si>
  <si>
    <t>Weathersit</t>
  </si>
  <si>
    <t>Temp</t>
  </si>
  <si>
    <t>Atemp</t>
  </si>
  <si>
    <t>Humidity</t>
  </si>
  <si>
    <t>Windspeed</t>
  </si>
  <si>
    <t>Casual Customers</t>
  </si>
  <si>
    <t>Registered Customers</t>
  </si>
  <si>
    <t>Total Customer</t>
  </si>
  <si>
    <t>Day</t>
  </si>
  <si>
    <t>Time of the Day</t>
  </si>
  <si>
    <t>Temp_Category</t>
  </si>
  <si>
    <t>Humid_c</t>
  </si>
  <si>
    <t>Wind_speed</t>
  </si>
  <si>
    <t>Rides Demand</t>
  </si>
  <si>
    <t>Forecast(Total Customer)</t>
  </si>
  <si>
    <t>Lower Confidence Bound(Total Customer)</t>
  </si>
  <si>
    <t>Upper Confidence Bound(Total Customer)</t>
  </si>
  <si>
    <t>Row Labels</t>
  </si>
  <si>
    <t>Sunday</t>
  </si>
  <si>
    <t>Monday</t>
  </si>
  <si>
    <t>Tuesday</t>
  </si>
  <si>
    <t>Wednesday</t>
  </si>
  <si>
    <t>Thursday</t>
  </si>
  <si>
    <t>Friday</t>
  </si>
  <si>
    <t>Saturday</t>
  </si>
  <si>
    <t>Grand Total</t>
  </si>
  <si>
    <t>Sum of Total Customer</t>
  </si>
  <si>
    <t>Casual Customer</t>
  </si>
  <si>
    <t>Registered Customer</t>
  </si>
  <si>
    <t>Total Customers</t>
  </si>
  <si>
    <t>Cold</t>
  </si>
  <si>
    <t>Hot</t>
  </si>
  <si>
    <t>Mild</t>
  </si>
  <si>
    <t>Warm</t>
  </si>
  <si>
    <t>Temperature</t>
  </si>
  <si>
    <t>Afternoon</t>
  </si>
  <si>
    <t>Early Morning</t>
  </si>
  <si>
    <t>Evening</t>
  </si>
  <si>
    <t>Morning</t>
  </si>
  <si>
    <t>Night</t>
  </si>
  <si>
    <t>High Windspeed</t>
  </si>
  <si>
    <t>Low Windspeed</t>
  </si>
  <si>
    <t>Medium Windspeed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</si>
</sst>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164" fontId="2" fillId="0" borderId="5" xfId="0" applyNumberFormat="1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164" fontId="2" fillId="0" borderId="8" xfId="0" applyNumberFormat="1" applyFont="1" applyBorder="1"/>
    <xf numFmtId="0" fontId="2" fillId="0" borderId="8" xfId="0" applyFont="1" applyBorder="1"/>
    <xf numFmtId="0" fontId="2" fillId="0" borderId="9" xfId="0" applyFont="1" applyBorder="1"/>
    <xf numFmtId="1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2" fontId="2" fillId="0" borderId="5" xfId="0" applyNumberFormat="1" applyFon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5" xfId="0" pivotButton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0" fillId="0" borderId="5" xfId="0" pivotButton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</cellXfs>
  <cellStyles count="2">
    <cellStyle name="Normal" xfId="0" builtinId="0"/>
    <cellStyle name="Normal 2" xfId="1" xr:uid="{7C5EBA44-F01A-4446-B291-2C1D0E1DA5DD}"/>
  </cellStyles>
  <dxfs count="135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numFmt numFmtId="19" formatCode="dd/mm/yyyy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dd\-mm\-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Rides</a:t>
            </a:r>
            <a:r>
              <a:rPr lang="en-IN" baseline="0"/>
              <a:t> Count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'Forecast Rides'!$B$1</c:f>
              <c:strCache>
                <c:ptCount val="1"/>
                <c:pt idx="0">
                  <c:v>Total Customer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'Forecast Rides'!$B$2:$B$33</c:f>
              <c:numCache>
                <c:formatCode>General</c:formatCode>
                <c:ptCount val="32"/>
                <c:pt idx="0">
                  <c:v>74.5</c:v>
                </c:pt>
                <c:pt idx="1">
                  <c:v>47.739130434782609</c:v>
                </c:pt>
                <c:pt idx="2">
                  <c:v>47.652173913043477</c:v>
                </c:pt>
                <c:pt idx="3">
                  <c:v>62.541666666666664</c:v>
                </c:pt>
                <c:pt idx="4">
                  <c:v>59.130434782608695</c:v>
                </c:pt>
                <c:pt idx="5">
                  <c:v>63.583333333333336</c:v>
                </c:pt>
                <c:pt idx="6">
                  <c:v>67.391304347826093</c:v>
                </c:pt>
                <c:pt idx="7">
                  <c:v>74.260869565217391</c:v>
                </c:pt>
                <c:pt idx="8">
                  <c:v>41.875</c:v>
                </c:pt>
                <c:pt idx="9">
                  <c:v>67.625</c:v>
                </c:pt>
                <c:pt idx="10">
                  <c:v>71.333333333333329</c:v>
                </c:pt>
                <c:pt idx="11">
                  <c:v>63.75</c:v>
                </c:pt>
                <c:pt idx="12">
                  <c:v>69.782608695652172</c:v>
                </c:pt>
                <c:pt idx="13">
                  <c:v>66.869565217391298</c:v>
                </c:pt>
                <c:pt idx="14">
                  <c:v>79.36363636363636</c:v>
                </c:pt>
                <c:pt idx="15">
                  <c:v>61.333333333333336</c:v>
                </c:pt>
                <c:pt idx="16">
                  <c:v>69.086956521739125</c:v>
                </c:pt>
                <c:pt idx="17">
                  <c:v>18.875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F5-4FA9-9C16-D07ADF41D295}"/>
            </c:ext>
          </c:extLst>
        </c:ser>
        <c:ser>
          <c:idx val="1"/>
          <c:order val="1"/>
          <c:tx>
            <c:strRef>
              <c:f>'Forecast Rides'!$C$1</c:f>
              <c:strCache>
                <c:ptCount val="1"/>
                <c:pt idx="0">
                  <c:v>Forecast(Total Customer)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'Forecast Rides'!$A$2:$A$33</c:f>
              <c:numCache>
                <c:formatCode>m/d/yyyy</c:formatCode>
                <c:ptCount val="32"/>
                <c:pt idx="0">
                  <c:v>40571</c:v>
                </c:pt>
                <c:pt idx="1">
                  <c:v>40572</c:v>
                </c:pt>
                <c:pt idx="2">
                  <c:v>40573</c:v>
                </c:pt>
                <c:pt idx="3">
                  <c:v>40574</c:v>
                </c:pt>
                <c:pt idx="4">
                  <c:v>40575</c:v>
                </c:pt>
                <c:pt idx="5">
                  <c:v>40576</c:v>
                </c:pt>
                <c:pt idx="6">
                  <c:v>40577</c:v>
                </c:pt>
                <c:pt idx="7">
                  <c:v>40578</c:v>
                </c:pt>
                <c:pt idx="8">
                  <c:v>40579</c:v>
                </c:pt>
                <c:pt idx="9">
                  <c:v>40580</c:v>
                </c:pt>
                <c:pt idx="10">
                  <c:v>40581</c:v>
                </c:pt>
                <c:pt idx="11">
                  <c:v>40582</c:v>
                </c:pt>
                <c:pt idx="12">
                  <c:v>40583</c:v>
                </c:pt>
                <c:pt idx="13">
                  <c:v>40584</c:v>
                </c:pt>
                <c:pt idx="14">
                  <c:v>40585</c:v>
                </c:pt>
                <c:pt idx="15">
                  <c:v>40586</c:v>
                </c:pt>
                <c:pt idx="16">
                  <c:v>40587</c:v>
                </c:pt>
                <c:pt idx="17">
                  <c:v>40588</c:v>
                </c:pt>
                <c:pt idx="18">
                  <c:v>40589</c:v>
                </c:pt>
                <c:pt idx="19">
                  <c:v>40590</c:v>
                </c:pt>
                <c:pt idx="20">
                  <c:v>40591</c:v>
                </c:pt>
                <c:pt idx="21">
                  <c:v>40592</c:v>
                </c:pt>
                <c:pt idx="22">
                  <c:v>40593</c:v>
                </c:pt>
                <c:pt idx="23">
                  <c:v>40594</c:v>
                </c:pt>
                <c:pt idx="24">
                  <c:v>40595</c:v>
                </c:pt>
                <c:pt idx="25">
                  <c:v>40596</c:v>
                </c:pt>
                <c:pt idx="26">
                  <c:v>40597</c:v>
                </c:pt>
                <c:pt idx="27">
                  <c:v>40598</c:v>
                </c:pt>
                <c:pt idx="28">
                  <c:v>40599</c:v>
                </c:pt>
                <c:pt idx="29">
                  <c:v>40600</c:v>
                </c:pt>
                <c:pt idx="30">
                  <c:v>40601</c:v>
                </c:pt>
                <c:pt idx="31">
                  <c:v>40602</c:v>
                </c:pt>
              </c:numCache>
            </c:numRef>
          </c:cat>
          <c:val>
            <c:numRef>
              <c:f>'Forecast Rides'!$C$2:$C$33</c:f>
              <c:numCache>
                <c:formatCode>General</c:formatCode>
                <c:ptCount val="32"/>
                <c:pt idx="17">
                  <c:v>18.875</c:v>
                </c:pt>
                <c:pt idx="18">
                  <c:v>54.766772110384849</c:v>
                </c:pt>
                <c:pt idx="19">
                  <c:v>54.546012267964457</c:v>
                </c:pt>
                <c:pt idx="20">
                  <c:v>54.325252425544093</c:v>
                </c:pt>
                <c:pt idx="21">
                  <c:v>54.104492583123694</c:v>
                </c:pt>
                <c:pt idx="22">
                  <c:v>53.88373274070333</c:v>
                </c:pt>
                <c:pt idx="23">
                  <c:v>53.662972898282938</c:v>
                </c:pt>
                <c:pt idx="24">
                  <c:v>53.442213055862574</c:v>
                </c:pt>
                <c:pt idx="25">
                  <c:v>53.221453213442182</c:v>
                </c:pt>
                <c:pt idx="26">
                  <c:v>53.000693371021818</c:v>
                </c:pt>
                <c:pt idx="27">
                  <c:v>52.779933528601418</c:v>
                </c:pt>
                <c:pt idx="28">
                  <c:v>52.559173686181055</c:v>
                </c:pt>
                <c:pt idx="29">
                  <c:v>52.338413843760662</c:v>
                </c:pt>
                <c:pt idx="30">
                  <c:v>52.117654001340298</c:v>
                </c:pt>
                <c:pt idx="31">
                  <c:v>51.896894158919906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F5-4FA9-9C16-D07ADF41D295}"/>
            </c:ext>
          </c:extLst>
        </c:ser>
        <c:ser>
          <c:idx val="2"/>
          <c:order val="2"/>
          <c:tx>
            <c:strRef>
              <c:f>'Forecast Rides'!$D$1</c:f>
              <c:strCache>
                <c:ptCount val="1"/>
                <c:pt idx="0">
                  <c:v>Lower Confidence Bound(Total Customer)</c:v>
                </c:pt>
              </c:strCache>
            </c:strRef>
          </c:tx>
          <c:spPr>
            <a:ln w="12700" cap="rnd">
              <a:solidFill>
                <a:srgbClr val="EA4335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Rides'!$A$2:$A$33</c:f>
              <c:numCache>
                <c:formatCode>m/d/yyyy</c:formatCode>
                <c:ptCount val="32"/>
                <c:pt idx="0">
                  <c:v>40571</c:v>
                </c:pt>
                <c:pt idx="1">
                  <c:v>40572</c:v>
                </c:pt>
                <c:pt idx="2">
                  <c:v>40573</c:v>
                </c:pt>
                <c:pt idx="3">
                  <c:v>40574</c:v>
                </c:pt>
                <c:pt idx="4">
                  <c:v>40575</c:v>
                </c:pt>
                <c:pt idx="5">
                  <c:v>40576</c:v>
                </c:pt>
                <c:pt idx="6">
                  <c:v>40577</c:v>
                </c:pt>
                <c:pt idx="7">
                  <c:v>40578</c:v>
                </c:pt>
                <c:pt idx="8">
                  <c:v>40579</c:v>
                </c:pt>
                <c:pt idx="9">
                  <c:v>40580</c:v>
                </c:pt>
                <c:pt idx="10">
                  <c:v>40581</c:v>
                </c:pt>
                <c:pt idx="11">
                  <c:v>40582</c:v>
                </c:pt>
                <c:pt idx="12">
                  <c:v>40583</c:v>
                </c:pt>
                <c:pt idx="13">
                  <c:v>40584</c:v>
                </c:pt>
                <c:pt idx="14">
                  <c:v>40585</c:v>
                </c:pt>
                <c:pt idx="15">
                  <c:v>40586</c:v>
                </c:pt>
                <c:pt idx="16">
                  <c:v>40587</c:v>
                </c:pt>
                <c:pt idx="17">
                  <c:v>40588</c:v>
                </c:pt>
                <c:pt idx="18">
                  <c:v>40589</c:v>
                </c:pt>
                <c:pt idx="19">
                  <c:v>40590</c:v>
                </c:pt>
                <c:pt idx="20">
                  <c:v>40591</c:v>
                </c:pt>
                <c:pt idx="21">
                  <c:v>40592</c:v>
                </c:pt>
                <c:pt idx="22">
                  <c:v>40593</c:v>
                </c:pt>
                <c:pt idx="23">
                  <c:v>40594</c:v>
                </c:pt>
                <c:pt idx="24">
                  <c:v>40595</c:v>
                </c:pt>
                <c:pt idx="25">
                  <c:v>40596</c:v>
                </c:pt>
                <c:pt idx="26">
                  <c:v>40597</c:v>
                </c:pt>
                <c:pt idx="27">
                  <c:v>40598</c:v>
                </c:pt>
                <c:pt idx="28">
                  <c:v>40599</c:v>
                </c:pt>
                <c:pt idx="29">
                  <c:v>40600</c:v>
                </c:pt>
                <c:pt idx="30">
                  <c:v>40601</c:v>
                </c:pt>
                <c:pt idx="31">
                  <c:v>40602</c:v>
                </c:pt>
              </c:numCache>
            </c:numRef>
          </c:cat>
          <c:val>
            <c:numRef>
              <c:f>'Forecast Rides'!$D$2:$D$33</c:f>
              <c:numCache>
                <c:formatCode>General</c:formatCode>
                <c:ptCount val="32"/>
                <c:pt idx="17" formatCode="0.00">
                  <c:v>18.875</c:v>
                </c:pt>
                <c:pt idx="18" formatCode="0.00">
                  <c:v>23.32616147101772</c:v>
                </c:pt>
                <c:pt idx="19" formatCode="0.00">
                  <c:v>22.13013279936159</c:v>
                </c:pt>
                <c:pt idx="20" formatCode="0.00">
                  <c:v>20.955150423836443</c:v>
                </c:pt>
                <c:pt idx="21" formatCode="0.00">
                  <c:v>19.799429224423541</c:v>
                </c:pt>
                <c:pt idx="22" formatCode="0.00">
                  <c:v>18.661407262859591</c:v>
                </c:pt>
                <c:pt idx="23" formatCode="0.00">
                  <c:v>17.539708861148185</c:v>
                </c:pt>
                <c:pt idx="24" formatCode="0.00">
                  <c:v>16.433115161471719</c:v>
                </c:pt>
                <c:pt idx="25" formatCode="0.00">
                  <c:v>15.340540396149727</c:v>
                </c:pt>
                <c:pt idx="26" formatCode="0.00">
                  <c:v>14.261012571295723</c:v>
                </c:pt>
                <c:pt idx="27" formatCode="0.00">
                  <c:v>13.193657601701382</c:v>
                </c:pt>
                <c:pt idx="28" formatCode="0.00">
                  <c:v>12.137686172937528</c:v>
                </c:pt>
                <c:pt idx="29" formatCode="0.00">
                  <c:v>11.092382779468274</c:v>
                </c:pt>
                <c:pt idx="30" formatCode="0.00">
                  <c:v>10.057096514492002</c:v>
                </c:pt>
                <c:pt idx="31" formatCode="0.00">
                  <c:v>9.0312332815813861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F5-4FA9-9C16-D07ADF41D295}"/>
            </c:ext>
          </c:extLst>
        </c:ser>
        <c:ser>
          <c:idx val="3"/>
          <c:order val="3"/>
          <c:tx>
            <c:strRef>
              <c:f>'Forecast Rides'!$E$1</c:f>
              <c:strCache>
                <c:ptCount val="1"/>
                <c:pt idx="0">
                  <c:v>Upper Confidence Bound(Total Customer)</c:v>
                </c:pt>
              </c:strCache>
            </c:strRef>
          </c:tx>
          <c:spPr>
            <a:ln w="12700" cap="rnd">
              <a:solidFill>
                <a:srgbClr val="EA4335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Rides'!$A$2:$A$33</c:f>
              <c:numCache>
                <c:formatCode>m/d/yyyy</c:formatCode>
                <c:ptCount val="32"/>
                <c:pt idx="0">
                  <c:v>40571</c:v>
                </c:pt>
                <c:pt idx="1">
                  <c:v>40572</c:v>
                </c:pt>
                <c:pt idx="2">
                  <c:v>40573</c:v>
                </c:pt>
                <c:pt idx="3">
                  <c:v>40574</c:v>
                </c:pt>
                <c:pt idx="4">
                  <c:v>40575</c:v>
                </c:pt>
                <c:pt idx="5">
                  <c:v>40576</c:v>
                </c:pt>
                <c:pt idx="6">
                  <c:v>40577</c:v>
                </c:pt>
                <c:pt idx="7">
                  <c:v>40578</c:v>
                </c:pt>
                <c:pt idx="8">
                  <c:v>40579</c:v>
                </c:pt>
                <c:pt idx="9">
                  <c:v>40580</c:v>
                </c:pt>
                <c:pt idx="10">
                  <c:v>40581</c:v>
                </c:pt>
                <c:pt idx="11">
                  <c:v>40582</c:v>
                </c:pt>
                <c:pt idx="12">
                  <c:v>40583</c:v>
                </c:pt>
                <c:pt idx="13">
                  <c:v>40584</c:v>
                </c:pt>
                <c:pt idx="14">
                  <c:v>40585</c:v>
                </c:pt>
                <c:pt idx="15">
                  <c:v>40586</c:v>
                </c:pt>
                <c:pt idx="16">
                  <c:v>40587</c:v>
                </c:pt>
                <c:pt idx="17">
                  <c:v>40588</c:v>
                </c:pt>
                <c:pt idx="18">
                  <c:v>40589</c:v>
                </c:pt>
                <c:pt idx="19">
                  <c:v>40590</c:v>
                </c:pt>
                <c:pt idx="20">
                  <c:v>40591</c:v>
                </c:pt>
                <c:pt idx="21">
                  <c:v>40592</c:v>
                </c:pt>
                <c:pt idx="22">
                  <c:v>40593</c:v>
                </c:pt>
                <c:pt idx="23">
                  <c:v>40594</c:v>
                </c:pt>
                <c:pt idx="24">
                  <c:v>40595</c:v>
                </c:pt>
                <c:pt idx="25">
                  <c:v>40596</c:v>
                </c:pt>
                <c:pt idx="26">
                  <c:v>40597</c:v>
                </c:pt>
                <c:pt idx="27">
                  <c:v>40598</c:v>
                </c:pt>
                <c:pt idx="28">
                  <c:v>40599</c:v>
                </c:pt>
                <c:pt idx="29">
                  <c:v>40600</c:v>
                </c:pt>
                <c:pt idx="30">
                  <c:v>40601</c:v>
                </c:pt>
                <c:pt idx="31">
                  <c:v>40602</c:v>
                </c:pt>
              </c:numCache>
            </c:numRef>
          </c:cat>
          <c:val>
            <c:numRef>
              <c:f>'Forecast Rides'!$E$2:$E$33</c:f>
              <c:numCache>
                <c:formatCode>General</c:formatCode>
                <c:ptCount val="32"/>
                <c:pt idx="17" formatCode="0.00">
                  <c:v>18.875</c:v>
                </c:pt>
                <c:pt idx="18" formatCode="0.00">
                  <c:v>86.207382749751986</c:v>
                </c:pt>
                <c:pt idx="19" formatCode="0.00">
                  <c:v>86.961891736567324</c:v>
                </c:pt>
                <c:pt idx="20" formatCode="0.00">
                  <c:v>87.695354427251743</c:v>
                </c:pt>
                <c:pt idx="21" formatCode="0.00">
                  <c:v>88.409555941823839</c:v>
                </c:pt>
                <c:pt idx="22" formatCode="0.00">
                  <c:v>89.106058218547076</c:v>
                </c:pt>
                <c:pt idx="23" formatCode="0.00">
                  <c:v>89.786236935417691</c:v>
                </c:pt>
                <c:pt idx="24" formatCode="0.00">
                  <c:v>90.451310950253429</c:v>
                </c:pt>
                <c:pt idx="25" formatCode="0.00">
                  <c:v>91.102366030734629</c:v>
                </c:pt>
                <c:pt idx="26" formatCode="0.00">
                  <c:v>91.740374170747913</c:v>
                </c:pt>
                <c:pt idx="27" formatCode="0.00">
                  <c:v>92.366209455501462</c:v>
                </c:pt>
                <c:pt idx="28" formatCode="0.00">
                  <c:v>92.980661199424588</c:v>
                </c:pt>
                <c:pt idx="29" formatCode="0.00">
                  <c:v>93.584444908053058</c:v>
                </c:pt>
                <c:pt idx="30" formatCode="0.00">
                  <c:v>94.178211488188595</c:v>
                </c:pt>
                <c:pt idx="31" formatCode="0.00">
                  <c:v>94.762555036258419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F5-4FA9-9C16-D07ADF41D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0150048"/>
        <c:axId val="440149088"/>
      </c:lineChart>
      <c:catAx>
        <c:axId val="44015004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149088"/>
        <c:crosses val="autoZero"/>
        <c:auto val="1"/>
        <c:lblAlgn val="ctr"/>
        <c:lblOffset val="100"/>
        <c:noMultiLvlLbl val="0"/>
      </c:catAx>
      <c:valAx>
        <c:axId val="44014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1500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[BikeSharing Dataset_3.xlsx]Analysis!PivotTable12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 Rides</a:t>
            </a:r>
          </a:p>
        </c:rich>
      </c:tx>
      <c:layout>
        <c:manualLayout>
          <c:xMode val="edge"/>
          <c:yMode val="edge"/>
          <c:x val="0.39826377952755898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Analysis!$B$23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Analysis!$A$24:$A$31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Analysis!$B$24:$B$31</c:f>
              <c:numCache>
                <c:formatCode>General</c:formatCode>
                <c:ptCount val="7"/>
                <c:pt idx="0">
                  <c:v>4308</c:v>
                </c:pt>
                <c:pt idx="1">
                  <c:v>3364</c:v>
                </c:pt>
                <c:pt idx="2">
                  <c:v>2890</c:v>
                </c:pt>
                <c:pt idx="3">
                  <c:v>3131</c:v>
                </c:pt>
                <c:pt idx="4">
                  <c:v>3088</c:v>
                </c:pt>
                <c:pt idx="5">
                  <c:v>4050</c:v>
                </c:pt>
                <c:pt idx="6">
                  <c:v>3575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2-4056-AFAB-0C31052794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01369024"/>
        <c:axId val="501370464"/>
        <c:axId val="0"/>
      </c:bar3DChart>
      <c:catAx>
        <c:axId val="50136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370464"/>
        <c:crosses val="autoZero"/>
        <c:auto val="1"/>
        <c:lblAlgn val="ctr"/>
        <c:lblOffset val="100"/>
        <c:noMultiLvlLbl val="0"/>
      </c:catAx>
      <c:valAx>
        <c:axId val="50137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36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[BikeSharing Dataset_3.xlsx]Analysis!PivotTable13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Rides</a:t>
            </a:r>
            <a:r>
              <a:rPr lang="en-US" baseline="0"/>
              <a:t> based on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Analysis!$F$22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Analysis!$E$23:$E$28</c:f>
              <c:strCache>
                <c:ptCount val="5"/>
                <c:pt idx="0">
                  <c:v>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Morning</c:v>
                </c:pt>
                <c:pt idx="4">
                  <c:v>Night</c:v>
                </c:pt>
              </c:strCache>
            </c:strRef>
          </c:cat>
          <c:val>
            <c:numRef>
              <c:f>Analysis!$F$23:$F$28</c:f>
              <c:numCache>
                <c:formatCode>General</c:formatCode>
                <c:ptCount val="5"/>
                <c:pt idx="0">
                  <c:v>8266</c:v>
                </c:pt>
                <c:pt idx="1">
                  <c:v>446</c:v>
                </c:pt>
                <c:pt idx="2">
                  <c:v>7383</c:v>
                </c:pt>
                <c:pt idx="3">
                  <c:v>5444</c:v>
                </c:pt>
                <c:pt idx="4">
                  <c:v>2867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D-4D97-9E06-D6B1942AF6F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49695136"/>
        <c:axId val="949695616"/>
      </c:barChart>
      <c:catAx>
        <c:axId val="94969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695616"/>
        <c:crosses val="autoZero"/>
        <c:auto val="1"/>
        <c:lblAlgn val="ctr"/>
        <c:lblOffset val="100"/>
        <c:noMultiLvlLbl val="0"/>
      </c:catAx>
      <c:valAx>
        <c:axId val="94969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69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[BikeSharing Dataset_3.xlsx]Analysis!PivotTable14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Rides based on Temp.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Analysis!$B$41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Analysis!$A$42:$A$46</c:f>
              <c:strCache>
                <c:ptCount val="4"/>
                <c:pt idx="0">
                  <c:v>Cold</c:v>
                </c:pt>
                <c:pt idx="1">
                  <c:v>Hot</c:v>
                </c:pt>
                <c:pt idx="2">
                  <c:v>Mild</c:v>
                </c:pt>
                <c:pt idx="3">
                  <c:v>Warm</c:v>
                </c:pt>
              </c:strCache>
            </c:strRef>
          </c:cat>
          <c:val>
            <c:numRef>
              <c:f>Analysis!$B$42:$B$46</c:f>
              <c:numCache>
                <c:formatCode>General</c:formatCode>
                <c:ptCount val="4"/>
                <c:pt idx="0">
                  <c:v>3149</c:v>
                </c:pt>
                <c:pt idx="1">
                  <c:v>3922</c:v>
                </c:pt>
                <c:pt idx="2">
                  <c:v>12381</c:v>
                </c:pt>
                <c:pt idx="3">
                  <c:v>4954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F-4B38-AB5C-42B2AB7EA0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59942400"/>
        <c:axId val="259941920"/>
      </c:barChart>
      <c:catAx>
        <c:axId val="25994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941920"/>
        <c:crosses val="autoZero"/>
        <c:auto val="1"/>
        <c:lblAlgn val="ctr"/>
        <c:lblOffset val="100"/>
        <c:noMultiLvlLbl val="0"/>
      </c:catAx>
      <c:valAx>
        <c:axId val="25994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94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[BikeSharing Dataset_3.xlsx]Analysis!PivotTable15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Rides based on Windspeed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Analysis!$F$41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Analysis!$E$42:$E$45</c:f>
              <c:strCache>
                <c:ptCount val="3"/>
                <c:pt idx="0">
                  <c:v>High Windspeed</c:v>
                </c:pt>
                <c:pt idx="1">
                  <c:v>Low Windspeed</c:v>
                </c:pt>
                <c:pt idx="2">
                  <c:v>Medium Windspeed</c:v>
                </c:pt>
              </c:strCache>
            </c:strRef>
          </c:cat>
          <c:val>
            <c:numRef>
              <c:f>Analysis!$F$42:$F$45</c:f>
              <c:numCache>
                <c:formatCode>General</c:formatCode>
                <c:ptCount val="3"/>
                <c:pt idx="0">
                  <c:v>3317</c:v>
                </c:pt>
                <c:pt idx="1">
                  <c:v>14459</c:v>
                </c:pt>
                <c:pt idx="2">
                  <c:v>6630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45-45A2-867F-B6AC86D6AA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2273280"/>
        <c:axId val="172278560"/>
      </c:barChart>
      <c:catAx>
        <c:axId val="17227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78560"/>
        <c:crosses val="autoZero"/>
        <c:auto val="1"/>
        <c:lblAlgn val="ctr"/>
        <c:lblOffset val="100"/>
        <c:noMultiLvlLbl val="0"/>
      </c:catAx>
      <c:valAx>
        <c:axId val="17227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7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510540</xdr:colOff>
      <xdr:row>33</xdr:row>
      <xdr:rowOff>114300</xdr:rowOff>
    </xdr:from>
    <xdr:to>
      <xdr:col>11</xdr:col>
      <xdr:colOff>47625</xdr:colOff>
      <xdr:row>58</xdr:row>
      <xdr:rowOff>81915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D766D-9502-6C2A-A761-713846DF9E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41910</xdr:rowOff>
    </xdr:from>
    <xdr:to>
      <xdr:col>3</xdr:col>
      <xdr:colOff>838200</xdr:colOff>
      <xdr:row>39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95FE77-9F91-D966-B6F4-5A44CF1DCD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830580</xdr:colOff>
      <xdr:row>21</xdr:row>
      <xdr:rowOff>34290</xdr:rowOff>
    </xdr:from>
    <xdr:to>
      <xdr:col>9</xdr:col>
      <xdr:colOff>495300</xdr:colOff>
      <xdr:row>39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354273-7342-02A6-7376-714C5C5A86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</xdr:colOff>
      <xdr:row>39</xdr:row>
      <xdr:rowOff>26670</xdr:rowOff>
    </xdr:from>
    <xdr:to>
      <xdr:col>3</xdr:col>
      <xdr:colOff>861060</xdr:colOff>
      <xdr:row>55</xdr:row>
      <xdr:rowOff>87630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A92032-D34D-F165-73FD-3371C325C9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868680</xdr:colOff>
      <xdr:row>39</xdr:row>
      <xdr:rowOff>38100</xdr:rowOff>
    </xdr:from>
    <xdr:to>
      <xdr:col>9</xdr:col>
      <xdr:colOff>502920</xdr:colOff>
      <xdr:row>55</xdr:row>
      <xdr:rowOff>110490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6BD523F-C47D-CBB7-1101-3FD109130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lpi" refreshedDate="46228.965816666663" createdVersion="8" refreshedVersion="8" minRefreshableVersion="3" recordCount="390" xr:uid="{D930A1D3-3A78-48D0-A75C-F693E6A636B0}">
  <cacheSource type="worksheet">
    <worksheetSource name="dataset_3"/>
  </cacheSource>
  <cacheFields count="22">
    <cacheField name="Instant" numFmtId="0">
      <sharedItems containsSemiMixedTypes="0" containsString="0" containsNumber="1" containsInteger="1" minValue="611" maxValue="1000"/>
    </cacheField>
    <cacheField name="Date" numFmtId="14">
      <sharedItems containsSemiMixedTypes="0" containsNonDate="0" containsDate="1" containsString="0" minDate="2011-01-28T00:00:00" maxDate="2011-02-15T00:00:00"/>
    </cacheField>
    <cacheField name="Season" numFmtId="0">
      <sharedItems containsSemiMixedTypes="0" containsString="0" containsNumber="1" containsInteger="1" minValue="1" maxValue="1"/>
    </cacheField>
    <cacheField name="Year" numFmtId="0">
      <sharedItems containsSemiMixedTypes="0" containsString="0" containsNumber="1" containsInteger="1" minValue="0" maxValue="0"/>
    </cacheField>
    <cacheField name="Month" numFmtId="0">
      <sharedItems containsSemiMixedTypes="0" containsString="0" containsNumber="1" containsInteger="1" minValue="1" maxValue="2"/>
    </cacheField>
    <cacheField name="Hour" numFmtId="0">
      <sharedItems containsSemiMixedTypes="0" containsString="0" containsNumber="1" containsInteger="1" minValue="0" maxValue="23"/>
    </cacheField>
    <cacheField name="Time of the Day" numFmtId="0">
      <sharedItems count="5">
        <s v="Afternoon"/>
        <s v="Evening"/>
        <s v="Night"/>
        <s v="Early Morning"/>
        <s v="Morning"/>
      </sharedItems>
    </cacheField>
    <cacheField name="Holiday" numFmtId="0">
      <sharedItems/>
    </cacheField>
    <cacheField name="Weekday" numFmtId="0">
      <sharedItems containsSemiMixedTypes="0" containsString="0" containsNumber="1" containsInteger="1" minValue="0" maxValue="6"/>
    </cacheField>
    <cacheField name="Day" numFmtId="0">
      <sharedItems count="7">
        <s v="Friday"/>
        <s v="Saturday"/>
        <s v="Sunday"/>
        <s v="Monday"/>
        <s v="Tuesday"/>
        <s v="Wednesday"/>
        <s v="Thursday"/>
      </sharedItems>
    </cacheField>
    <cacheField name="Weathersit" numFmtId="0">
      <sharedItems containsSemiMixedTypes="0" containsString="0" containsNumber="1" containsInteger="1" minValue="1" maxValue="3"/>
    </cacheField>
    <cacheField name="Temp" numFmtId="0">
      <sharedItems containsSemiMixedTypes="0" containsString="0" containsNumber="1" minValue="0.06" maxValue="0.42"/>
    </cacheField>
    <cacheField name="Temp_Category" numFmtId="2">
      <sharedItems count="4">
        <s v="Mild"/>
        <s v="Cold"/>
        <s v="Warm"/>
        <s v="Hot"/>
      </sharedItems>
    </cacheField>
    <cacheField name="Atemp" numFmtId="0">
      <sharedItems containsSemiMixedTypes="0" containsString="0" containsNumber="1" minValue="7.5800000000000006E-2" maxValue="0.42420000000000002"/>
    </cacheField>
    <cacheField name="Humidity" numFmtId="0">
      <sharedItems containsSemiMixedTypes="0" containsString="0" containsNumber="1" minValue="0.21" maxValue="1"/>
    </cacheField>
    <cacheField name="Humid_c" numFmtId="0">
      <sharedItems/>
    </cacheField>
    <cacheField name="Windspeed" numFmtId="0">
      <sharedItems containsSemiMixedTypes="0" containsString="0" containsNumber="1" minValue="0" maxValue="0.58209999999999995"/>
    </cacheField>
    <cacheField name="Wind_speed" numFmtId="0">
      <sharedItems count="3">
        <s v="Low Windspeed"/>
        <s v="Medium Windspeed"/>
        <s v="High Windspeed"/>
      </sharedItems>
    </cacheField>
    <cacheField name="Casual Customers" numFmtId="0">
      <sharedItems containsSemiMixedTypes="0" containsString="0" containsNumber="1" containsInteger="1" minValue="0" maxValue="62"/>
    </cacheField>
    <cacheField name="Registered Customers" numFmtId="0">
      <sharedItems containsSemiMixedTypes="0" containsString="0" containsNumber="1" containsInteger="1" minValue="0" maxValue="236"/>
    </cacheField>
    <cacheField name="Total Customer" numFmtId="0">
      <sharedItems containsSemiMixedTypes="0" containsString="0" containsNumber="1" containsInteger="1" minValue="1" maxValue="243"/>
    </cacheField>
    <cacheField name="Rides Deman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">
  <r>
    <n v="611"/>
    <d v="2011-01-28T00:00:00"/>
    <n v="1"/>
    <n v="0"/>
    <n v="1"/>
    <n v="16"/>
    <x v="0"/>
    <b v="0"/>
    <n v="5"/>
    <x v="0"/>
    <n v="1"/>
    <n v="0.22"/>
    <x v="0"/>
    <n v="0.2727"/>
    <n v="0.8"/>
    <s v="High Humidity"/>
    <n v="0"/>
    <x v="0"/>
    <n v="10"/>
    <n v="70"/>
    <n v="80"/>
    <s v="Medium"/>
  </r>
  <r>
    <n v="612"/>
    <d v="2011-01-28T00:00:00"/>
    <n v="1"/>
    <n v="0"/>
    <n v="1"/>
    <n v="17"/>
    <x v="1"/>
    <b v="0"/>
    <n v="5"/>
    <x v="0"/>
    <n v="1"/>
    <n v="0.24"/>
    <x v="0"/>
    <n v="0.2424"/>
    <n v="0.75"/>
    <s v="High Humidity"/>
    <n v="0.1343"/>
    <x v="0"/>
    <n v="2"/>
    <n v="147"/>
    <n v="149"/>
    <s v="Medium"/>
  </r>
  <r>
    <n v="613"/>
    <d v="2011-01-28T00:00:00"/>
    <n v="1"/>
    <n v="0"/>
    <n v="1"/>
    <n v="18"/>
    <x v="1"/>
    <b v="0"/>
    <n v="5"/>
    <x v="0"/>
    <n v="1"/>
    <n v="0.24"/>
    <x v="0"/>
    <n v="0.2273"/>
    <n v="0.75"/>
    <s v="High Humidity"/>
    <n v="0.19400000000000001"/>
    <x v="0"/>
    <n v="2"/>
    <n v="107"/>
    <n v="109"/>
    <s v="Medium"/>
  </r>
  <r>
    <n v="614"/>
    <d v="2011-01-28T00:00:00"/>
    <n v="1"/>
    <n v="0"/>
    <n v="1"/>
    <n v="19"/>
    <x v="1"/>
    <b v="0"/>
    <n v="5"/>
    <x v="0"/>
    <n v="2"/>
    <n v="0.24"/>
    <x v="0"/>
    <n v="0.2424"/>
    <n v="0.75"/>
    <s v="High Humidity"/>
    <n v="0.1343"/>
    <x v="0"/>
    <n v="5"/>
    <n v="84"/>
    <n v="89"/>
    <s v="Medium"/>
  </r>
  <r>
    <n v="615"/>
    <d v="2011-01-28T00:00:00"/>
    <n v="1"/>
    <n v="0"/>
    <n v="1"/>
    <n v="20"/>
    <x v="1"/>
    <b v="0"/>
    <n v="5"/>
    <x v="0"/>
    <n v="2"/>
    <n v="0.24"/>
    <x v="0"/>
    <n v="0.2273"/>
    <n v="0.7"/>
    <s v="High Humidity"/>
    <n v="0.19400000000000001"/>
    <x v="0"/>
    <n v="1"/>
    <n v="61"/>
    <n v="62"/>
    <s v="Low"/>
  </r>
  <r>
    <n v="616"/>
    <d v="2011-01-28T00:00:00"/>
    <n v="1"/>
    <n v="0"/>
    <n v="1"/>
    <n v="21"/>
    <x v="2"/>
    <b v="0"/>
    <n v="5"/>
    <x v="0"/>
    <n v="2"/>
    <n v="0.22"/>
    <x v="0"/>
    <n v="0.2273"/>
    <n v="0.75"/>
    <s v="High Humidity"/>
    <n v="0.1343"/>
    <x v="0"/>
    <n v="1"/>
    <n v="57"/>
    <n v="58"/>
    <s v="Low"/>
  </r>
  <r>
    <n v="617"/>
    <d v="2011-01-28T00:00:00"/>
    <n v="1"/>
    <n v="0"/>
    <n v="1"/>
    <n v="22"/>
    <x v="2"/>
    <b v="0"/>
    <n v="5"/>
    <x v="0"/>
    <n v="1"/>
    <n v="0.24"/>
    <x v="0"/>
    <n v="0.21210000000000001"/>
    <n v="0.65"/>
    <s v="High Humidity"/>
    <n v="0.35820000000000002"/>
    <x v="1"/>
    <n v="0"/>
    <n v="26"/>
    <n v="26"/>
    <s v="Low"/>
  </r>
  <r>
    <n v="618"/>
    <d v="2011-01-28T00:00:00"/>
    <n v="1"/>
    <n v="0"/>
    <n v="1"/>
    <n v="23"/>
    <x v="2"/>
    <b v="0"/>
    <n v="5"/>
    <x v="0"/>
    <n v="1"/>
    <n v="0.24"/>
    <x v="0"/>
    <n v="0.2273"/>
    <n v="0.6"/>
    <s v="Humid"/>
    <n v="0.22389999999999999"/>
    <x v="1"/>
    <n v="1"/>
    <n v="22"/>
    <n v="23"/>
    <s v="Low"/>
  </r>
  <r>
    <n v="619"/>
    <d v="2011-01-29T00:00:00"/>
    <n v="1"/>
    <n v="0"/>
    <n v="1"/>
    <n v="0"/>
    <x v="2"/>
    <b v="0"/>
    <n v="6"/>
    <x v="1"/>
    <n v="1"/>
    <n v="0.22"/>
    <x v="0"/>
    <n v="0.19700000000000001"/>
    <n v="0.64"/>
    <s v="High Humidity"/>
    <n v="0.35820000000000002"/>
    <x v="1"/>
    <n v="2"/>
    <n v="26"/>
    <n v="28"/>
    <s v="Low"/>
  </r>
  <r>
    <n v="620"/>
    <d v="2011-01-29T00:00:00"/>
    <n v="1"/>
    <n v="0"/>
    <n v="1"/>
    <n v="1"/>
    <x v="2"/>
    <b v="0"/>
    <n v="6"/>
    <x v="1"/>
    <n v="1"/>
    <n v="0.22"/>
    <x v="0"/>
    <n v="0.2273"/>
    <n v="0.64"/>
    <s v="High Humidity"/>
    <n v="0.19400000000000001"/>
    <x v="0"/>
    <n v="0"/>
    <n v="20"/>
    <n v="20"/>
    <s v="Low"/>
  </r>
  <r>
    <n v="621"/>
    <d v="2011-01-29T00:00:00"/>
    <n v="1"/>
    <n v="0"/>
    <n v="1"/>
    <n v="2"/>
    <x v="2"/>
    <b v="0"/>
    <n v="6"/>
    <x v="1"/>
    <n v="1"/>
    <n v="0.22"/>
    <x v="0"/>
    <n v="0.2273"/>
    <n v="0.64"/>
    <s v="High Humidity"/>
    <n v="0.16420000000000001"/>
    <x v="0"/>
    <n v="0"/>
    <n v="15"/>
    <n v="15"/>
    <s v="Low"/>
  </r>
  <r>
    <n v="622"/>
    <d v="2011-01-29T00:00:00"/>
    <n v="1"/>
    <n v="0"/>
    <n v="1"/>
    <n v="3"/>
    <x v="2"/>
    <b v="0"/>
    <n v="6"/>
    <x v="1"/>
    <n v="1"/>
    <n v="0.2"/>
    <x v="0"/>
    <n v="0.21210000000000001"/>
    <n v="0.64"/>
    <s v="High Humidity"/>
    <n v="0.1343"/>
    <x v="0"/>
    <n v="3"/>
    <n v="5"/>
    <n v="8"/>
    <s v="Low"/>
  </r>
  <r>
    <n v="623"/>
    <d v="2011-01-29T00:00:00"/>
    <n v="1"/>
    <n v="0"/>
    <n v="1"/>
    <n v="4"/>
    <x v="3"/>
    <b v="0"/>
    <n v="6"/>
    <x v="1"/>
    <n v="1"/>
    <n v="0.16"/>
    <x v="0"/>
    <n v="0.18179999999999999"/>
    <n v="0.69"/>
    <s v="High Humidity"/>
    <n v="0.1045"/>
    <x v="0"/>
    <n v="1"/>
    <n v="2"/>
    <n v="3"/>
    <s v="Low"/>
  </r>
  <r>
    <n v="624"/>
    <d v="2011-01-29T00:00:00"/>
    <n v="1"/>
    <n v="0"/>
    <n v="1"/>
    <n v="6"/>
    <x v="3"/>
    <b v="0"/>
    <n v="6"/>
    <x v="1"/>
    <n v="1"/>
    <n v="0.16"/>
    <x v="0"/>
    <n v="0.18179999999999999"/>
    <n v="0.64"/>
    <s v="High Humidity"/>
    <n v="0.1343"/>
    <x v="0"/>
    <n v="0"/>
    <n v="2"/>
    <n v="2"/>
    <s v="Low"/>
  </r>
  <r>
    <n v="625"/>
    <d v="2011-01-29T00:00:00"/>
    <n v="1"/>
    <n v="0"/>
    <n v="1"/>
    <n v="7"/>
    <x v="4"/>
    <b v="0"/>
    <n v="6"/>
    <x v="1"/>
    <n v="1"/>
    <n v="0.16"/>
    <x v="0"/>
    <n v="0.18179999999999999"/>
    <n v="0.59"/>
    <s v="Less Humidity"/>
    <n v="0.1045"/>
    <x v="0"/>
    <n v="1"/>
    <n v="4"/>
    <n v="5"/>
    <s v="Low"/>
  </r>
  <r>
    <n v="626"/>
    <d v="2011-01-29T00:00:00"/>
    <n v="1"/>
    <n v="0"/>
    <n v="1"/>
    <n v="8"/>
    <x v="4"/>
    <b v="0"/>
    <n v="6"/>
    <x v="1"/>
    <n v="1"/>
    <n v="0.18"/>
    <x v="0"/>
    <n v="0.19700000000000001"/>
    <n v="0.55000000000000004"/>
    <s v="Less Humidity"/>
    <n v="0.16420000000000001"/>
    <x v="0"/>
    <n v="3"/>
    <n v="31"/>
    <n v="34"/>
    <s v="Low"/>
  </r>
  <r>
    <n v="627"/>
    <d v="2011-01-29T00:00:00"/>
    <n v="1"/>
    <n v="0"/>
    <n v="1"/>
    <n v="9"/>
    <x v="4"/>
    <b v="0"/>
    <n v="6"/>
    <x v="1"/>
    <n v="1"/>
    <n v="0.18"/>
    <x v="0"/>
    <n v="0.21210000000000001"/>
    <n v="0.59"/>
    <s v="Less Humidity"/>
    <n v="8.9599999999999999E-2"/>
    <x v="0"/>
    <n v="0"/>
    <n v="34"/>
    <n v="34"/>
    <s v="Low"/>
  </r>
  <r>
    <n v="628"/>
    <d v="2011-01-29T00:00:00"/>
    <n v="1"/>
    <n v="0"/>
    <n v="1"/>
    <n v="10"/>
    <x v="4"/>
    <b v="0"/>
    <n v="6"/>
    <x v="1"/>
    <n v="2"/>
    <n v="0.18"/>
    <x v="0"/>
    <n v="0.21210000000000001"/>
    <n v="0.64"/>
    <s v="High Humidity"/>
    <n v="0.1045"/>
    <x v="0"/>
    <n v="4"/>
    <n v="51"/>
    <n v="55"/>
    <s v="Low"/>
  </r>
  <r>
    <n v="629"/>
    <d v="2011-01-29T00:00:00"/>
    <n v="1"/>
    <n v="0"/>
    <n v="1"/>
    <n v="11"/>
    <x v="0"/>
    <b v="0"/>
    <n v="6"/>
    <x v="1"/>
    <n v="2"/>
    <n v="0.18"/>
    <x v="0"/>
    <n v="0.19700000000000001"/>
    <n v="0.64"/>
    <s v="High Humidity"/>
    <n v="0.1343"/>
    <x v="0"/>
    <n v="4"/>
    <n v="60"/>
    <n v="64"/>
    <s v="Low"/>
  </r>
  <r>
    <n v="630"/>
    <d v="2011-01-29T00:00:00"/>
    <n v="1"/>
    <n v="0"/>
    <n v="1"/>
    <n v="12"/>
    <x v="0"/>
    <b v="0"/>
    <n v="6"/>
    <x v="1"/>
    <n v="2"/>
    <n v="0.2"/>
    <x v="0"/>
    <n v="0.19700000000000001"/>
    <n v="0.59"/>
    <s v="Less Humidity"/>
    <n v="0.19400000000000001"/>
    <x v="0"/>
    <n v="12"/>
    <n v="66"/>
    <n v="78"/>
    <s v="Medium"/>
  </r>
  <r>
    <n v="631"/>
    <d v="2011-01-29T00:00:00"/>
    <n v="1"/>
    <n v="0"/>
    <n v="1"/>
    <n v="13"/>
    <x v="0"/>
    <b v="0"/>
    <n v="6"/>
    <x v="1"/>
    <n v="2"/>
    <n v="0.22"/>
    <x v="0"/>
    <n v="0.2273"/>
    <n v="0.55000000000000004"/>
    <s v="Less Humidity"/>
    <n v="0.16420000000000001"/>
    <x v="0"/>
    <n v="9"/>
    <n v="56"/>
    <n v="65"/>
    <s v="Low"/>
  </r>
  <r>
    <n v="632"/>
    <d v="2011-01-29T00:00:00"/>
    <n v="1"/>
    <n v="0"/>
    <n v="1"/>
    <n v="14"/>
    <x v="0"/>
    <b v="0"/>
    <n v="6"/>
    <x v="1"/>
    <n v="2"/>
    <n v="0.22"/>
    <x v="0"/>
    <n v="0.2273"/>
    <n v="0.6"/>
    <s v="Humid"/>
    <n v="0.1343"/>
    <x v="0"/>
    <n v="10"/>
    <n v="89"/>
    <n v="99"/>
    <s v="Medium"/>
  </r>
  <r>
    <n v="633"/>
    <d v="2011-01-29T00:00:00"/>
    <n v="1"/>
    <n v="0"/>
    <n v="1"/>
    <n v="15"/>
    <x v="0"/>
    <b v="0"/>
    <n v="6"/>
    <x v="1"/>
    <n v="1"/>
    <n v="0.22"/>
    <x v="0"/>
    <n v="0.21210000000000001"/>
    <n v="0.69"/>
    <s v="High Humidity"/>
    <n v="0.25369999999999998"/>
    <x v="1"/>
    <n v="22"/>
    <n v="98"/>
    <n v="120"/>
    <s v="Medium"/>
  </r>
  <r>
    <n v="634"/>
    <d v="2011-01-29T00:00:00"/>
    <n v="1"/>
    <n v="0"/>
    <n v="1"/>
    <n v="16"/>
    <x v="0"/>
    <b v="0"/>
    <n v="6"/>
    <x v="1"/>
    <n v="1"/>
    <n v="0.24"/>
    <x v="0"/>
    <n v="0.2424"/>
    <n v="0.6"/>
    <s v="Humid"/>
    <n v="0.16420000000000001"/>
    <x v="0"/>
    <n v="19"/>
    <n v="88"/>
    <n v="107"/>
    <s v="Medium"/>
  </r>
  <r>
    <n v="635"/>
    <d v="2011-01-29T00:00:00"/>
    <n v="1"/>
    <n v="0"/>
    <n v="1"/>
    <n v="17"/>
    <x v="1"/>
    <b v="0"/>
    <n v="6"/>
    <x v="1"/>
    <n v="1"/>
    <n v="0.24"/>
    <x v="0"/>
    <n v="0.28789999999999999"/>
    <n v="0.6"/>
    <s v="Humid"/>
    <n v="0"/>
    <x v="0"/>
    <n v="9"/>
    <n v="82"/>
    <n v="91"/>
    <s v="Medium"/>
  </r>
  <r>
    <n v="636"/>
    <d v="2011-01-29T00:00:00"/>
    <n v="1"/>
    <n v="0"/>
    <n v="1"/>
    <n v="18"/>
    <x v="1"/>
    <b v="0"/>
    <n v="6"/>
    <x v="1"/>
    <n v="1"/>
    <n v="0.22"/>
    <x v="0"/>
    <n v="0.2273"/>
    <n v="0.69"/>
    <s v="High Humidity"/>
    <n v="0.1343"/>
    <x v="0"/>
    <n v="9"/>
    <n v="59"/>
    <n v="68"/>
    <s v="Low"/>
  </r>
  <r>
    <n v="637"/>
    <d v="2011-01-29T00:00:00"/>
    <n v="1"/>
    <n v="0"/>
    <n v="1"/>
    <n v="19"/>
    <x v="1"/>
    <b v="0"/>
    <n v="6"/>
    <x v="1"/>
    <n v="2"/>
    <n v="0.22"/>
    <x v="0"/>
    <n v="0.21210000000000001"/>
    <n v="0.69"/>
    <s v="High Humidity"/>
    <n v="0.25369999999999998"/>
    <x v="1"/>
    <n v="6"/>
    <n v="52"/>
    <n v="58"/>
    <s v="Low"/>
  </r>
  <r>
    <n v="638"/>
    <d v="2011-01-29T00:00:00"/>
    <n v="1"/>
    <n v="0"/>
    <n v="1"/>
    <n v="20"/>
    <x v="1"/>
    <b v="0"/>
    <n v="6"/>
    <x v="1"/>
    <n v="1"/>
    <n v="0.18"/>
    <x v="0"/>
    <n v="0.21210000000000001"/>
    <n v="0.74"/>
    <s v="High Humidity"/>
    <n v="8.9599999999999999E-2"/>
    <x v="0"/>
    <n v="1"/>
    <n v="42"/>
    <n v="43"/>
    <s v="Low"/>
  </r>
  <r>
    <n v="639"/>
    <d v="2011-01-29T00:00:00"/>
    <n v="1"/>
    <n v="0"/>
    <n v="1"/>
    <n v="21"/>
    <x v="2"/>
    <b v="0"/>
    <n v="6"/>
    <x v="1"/>
    <n v="1"/>
    <n v="0.18"/>
    <x v="0"/>
    <n v="0.21210000000000001"/>
    <n v="0.74"/>
    <s v="High Humidity"/>
    <n v="8.9599999999999999E-2"/>
    <x v="0"/>
    <n v="1"/>
    <n v="35"/>
    <n v="36"/>
    <s v="Low"/>
  </r>
  <r>
    <n v="640"/>
    <d v="2011-01-29T00:00:00"/>
    <n v="1"/>
    <n v="0"/>
    <n v="1"/>
    <n v="22"/>
    <x v="2"/>
    <b v="0"/>
    <n v="6"/>
    <x v="1"/>
    <n v="1"/>
    <n v="0.16"/>
    <x v="0"/>
    <n v="0.19700000000000001"/>
    <n v="0.8"/>
    <s v="High Humidity"/>
    <n v="8.9599999999999999E-2"/>
    <x v="0"/>
    <n v="4"/>
    <n v="28"/>
    <n v="32"/>
    <s v="Low"/>
  </r>
  <r>
    <n v="641"/>
    <d v="2011-01-29T00:00:00"/>
    <n v="1"/>
    <n v="0"/>
    <n v="1"/>
    <n v="23"/>
    <x v="2"/>
    <b v="0"/>
    <n v="6"/>
    <x v="1"/>
    <n v="1"/>
    <n v="0.16"/>
    <x v="0"/>
    <n v="0.19700000000000001"/>
    <n v="0.8"/>
    <s v="High Humidity"/>
    <n v="8.9599999999999999E-2"/>
    <x v="0"/>
    <n v="3"/>
    <n v="30"/>
    <n v="33"/>
    <s v="Low"/>
  </r>
  <r>
    <n v="642"/>
    <d v="2011-01-30T00:00:00"/>
    <n v="1"/>
    <n v="0"/>
    <n v="1"/>
    <n v="0"/>
    <x v="2"/>
    <b v="0"/>
    <n v="0"/>
    <x v="2"/>
    <n v="1"/>
    <n v="0.16"/>
    <x v="0"/>
    <n v="0.18179999999999999"/>
    <n v="0.8"/>
    <s v="High Humidity"/>
    <n v="0.1045"/>
    <x v="0"/>
    <n v="0"/>
    <n v="33"/>
    <n v="33"/>
    <s v="Low"/>
  </r>
  <r>
    <n v="643"/>
    <d v="2011-01-30T00:00:00"/>
    <n v="1"/>
    <n v="0"/>
    <n v="1"/>
    <n v="1"/>
    <x v="2"/>
    <b v="0"/>
    <n v="0"/>
    <x v="2"/>
    <n v="1"/>
    <n v="0.14000000000000001"/>
    <x v="1"/>
    <n v="0.21210000000000001"/>
    <n v="0.8"/>
    <s v="High Humidity"/>
    <n v="0"/>
    <x v="0"/>
    <n v="7"/>
    <n v="22"/>
    <n v="29"/>
    <s v="Low"/>
  </r>
  <r>
    <n v="644"/>
    <d v="2011-01-30T00:00:00"/>
    <n v="1"/>
    <n v="0"/>
    <n v="1"/>
    <n v="2"/>
    <x v="2"/>
    <b v="0"/>
    <n v="0"/>
    <x v="2"/>
    <n v="1"/>
    <n v="0.16"/>
    <x v="0"/>
    <n v="0.2273"/>
    <n v="0.8"/>
    <s v="High Humidity"/>
    <n v="0"/>
    <x v="0"/>
    <n v="1"/>
    <n v="10"/>
    <n v="11"/>
    <s v="Low"/>
  </r>
  <r>
    <n v="645"/>
    <d v="2011-01-30T00:00:00"/>
    <n v="1"/>
    <n v="0"/>
    <n v="1"/>
    <n v="3"/>
    <x v="2"/>
    <b v="0"/>
    <n v="0"/>
    <x v="2"/>
    <n v="1"/>
    <n v="0.14000000000000001"/>
    <x v="1"/>
    <n v="0.21210000000000001"/>
    <n v="0.93"/>
    <s v="High Humidity"/>
    <n v="0"/>
    <x v="0"/>
    <n v="1"/>
    <n v="7"/>
    <n v="8"/>
    <s v="Low"/>
  </r>
  <r>
    <n v="646"/>
    <d v="2011-01-30T00:00:00"/>
    <n v="1"/>
    <n v="0"/>
    <n v="1"/>
    <n v="4"/>
    <x v="3"/>
    <b v="0"/>
    <n v="0"/>
    <x v="2"/>
    <n v="1"/>
    <n v="0.14000000000000001"/>
    <x v="1"/>
    <n v="0.21210000000000001"/>
    <n v="0.93"/>
    <s v="High Humidity"/>
    <n v="0"/>
    <x v="0"/>
    <n v="0"/>
    <n v="1"/>
    <n v="1"/>
    <s v="Low"/>
  </r>
  <r>
    <n v="647"/>
    <d v="2011-01-30T00:00:00"/>
    <n v="1"/>
    <n v="0"/>
    <n v="1"/>
    <n v="5"/>
    <x v="3"/>
    <b v="0"/>
    <n v="0"/>
    <x v="2"/>
    <n v="1"/>
    <n v="0.14000000000000001"/>
    <x v="1"/>
    <n v="0.21210000000000001"/>
    <n v="0.86"/>
    <s v="High Humidity"/>
    <n v="0"/>
    <x v="0"/>
    <n v="0"/>
    <n v="3"/>
    <n v="3"/>
    <s v="Low"/>
  </r>
  <r>
    <n v="648"/>
    <d v="2011-01-30T00:00:00"/>
    <n v="1"/>
    <n v="0"/>
    <n v="1"/>
    <n v="7"/>
    <x v="4"/>
    <b v="0"/>
    <n v="0"/>
    <x v="2"/>
    <n v="1"/>
    <n v="0.14000000000000001"/>
    <x v="1"/>
    <n v="0.21210000000000001"/>
    <n v="0.86"/>
    <s v="High Humidity"/>
    <n v="0"/>
    <x v="0"/>
    <n v="0"/>
    <n v="3"/>
    <n v="3"/>
    <s v="Low"/>
  </r>
  <r>
    <n v="649"/>
    <d v="2011-01-30T00:00:00"/>
    <n v="1"/>
    <n v="0"/>
    <n v="1"/>
    <n v="8"/>
    <x v="4"/>
    <b v="0"/>
    <n v="0"/>
    <x v="2"/>
    <n v="2"/>
    <n v="0.14000000000000001"/>
    <x v="1"/>
    <n v="0.21210000000000001"/>
    <n v="0.86"/>
    <s v="High Humidity"/>
    <n v="0"/>
    <x v="0"/>
    <n v="1"/>
    <n v="11"/>
    <n v="12"/>
    <s v="Low"/>
  </r>
  <r>
    <n v="650"/>
    <d v="2011-01-30T00:00:00"/>
    <n v="1"/>
    <n v="0"/>
    <n v="1"/>
    <n v="9"/>
    <x v="4"/>
    <b v="0"/>
    <n v="0"/>
    <x v="2"/>
    <n v="2"/>
    <n v="0.16"/>
    <x v="0"/>
    <n v="0.2273"/>
    <n v="0.8"/>
    <s v="High Humidity"/>
    <n v="0"/>
    <x v="0"/>
    <n v="4"/>
    <n v="34"/>
    <n v="38"/>
    <s v="Low"/>
  </r>
  <r>
    <n v="651"/>
    <d v="2011-01-30T00:00:00"/>
    <n v="1"/>
    <n v="0"/>
    <n v="1"/>
    <n v="10"/>
    <x v="4"/>
    <b v="0"/>
    <n v="0"/>
    <x v="2"/>
    <n v="2"/>
    <n v="0.18"/>
    <x v="0"/>
    <n v="0.2424"/>
    <n v="0.8"/>
    <s v="High Humidity"/>
    <n v="0"/>
    <x v="0"/>
    <n v="7"/>
    <n v="57"/>
    <n v="64"/>
    <s v="Low"/>
  </r>
  <r>
    <n v="652"/>
    <d v="2011-01-30T00:00:00"/>
    <n v="1"/>
    <n v="0"/>
    <n v="1"/>
    <n v="11"/>
    <x v="0"/>
    <b v="0"/>
    <n v="0"/>
    <x v="2"/>
    <n v="1"/>
    <n v="0.22"/>
    <x v="0"/>
    <n v="0.2727"/>
    <n v="0.75"/>
    <s v="High Humidity"/>
    <n v="0"/>
    <x v="0"/>
    <n v="9"/>
    <n v="50"/>
    <n v="59"/>
    <s v="Low"/>
  </r>
  <r>
    <n v="653"/>
    <d v="2011-01-30T00:00:00"/>
    <n v="1"/>
    <n v="0"/>
    <n v="1"/>
    <n v="12"/>
    <x v="0"/>
    <b v="0"/>
    <n v="0"/>
    <x v="2"/>
    <n v="1"/>
    <n v="0.3"/>
    <x v="2"/>
    <n v="0.31819999999999998"/>
    <n v="0.52"/>
    <s v="Less Humidity"/>
    <n v="0.1045"/>
    <x v="0"/>
    <n v="10"/>
    <n v="87"/>
    <n v="97"/>
    <s v="Medium"/>
  </r>
  <r>
    <n v="654"/>
    <d v="2011-01-30T00:00:00"/>
    <n v="1"/>
    <n v="0"/>
    <n v="1"/>
    <n v="13"/>
    <x v="0"/>
    <b v="0"/>
    <n v="0"/>
    <x v="2"/>
    <n v="1"/>
    <n v="0.28000000000000003"/>
    <x v="2"/>
    <n v="0.28789999999999999"/>
    <n v="0.61"/>
    <s v="Humid"/>
    <n v="0.1045"/>
    <x v="0"/>
    <n v="13"/>
    <n v="71"/>
    <n v="84"/>
    <s v="Medium"/>
  </r>
  <r>
    <n v="655"/>
    <d v="2011-01-30T00:00:00"/>
    <n v="1"/>
    <n v="0"/>
    <n v="1"/>
    <n v="14"/>
    <x v="0"/>
    <b v="0"/>
    <n v="0"/>
    <x v="2"/>
    <n v="1"/>
    <n v="0.28000000000000003"/>
    <x v="2"/>
    <n v="0.30299999999999999"/>
    <n v="0.61"/>
    <s v="Humid"/>
    <n v="8.9599999999999999E-2"/>
    <x v="0"/>
    <n v="18"/>
    <n v="104"/>
    <n v="122"/>
    <s v="Medium"/>
  </r>
  <r>
    <n v="656"/>
    <d v="2011-01-30T00:00:00"/>
    <n v="1"/>
    <n v="0"/>
    <n v="1"/>
    <n v="15"/>
    <x v="0"/>
    <b v="0"/>
    <n v="0"/>
    <x v="2"/>
    <n v="1"/>
    <n v="0.3"/>
    <x v="2"/>
    <n v="0.33329999999999999"/>
    <n v="0.56000000000000005"/>
    <s v="Less Humidity"/>
    <n v="0"/>
    <x v="0"/>
    <n v="14"/>
    <n v="95"/>
    <n v="109"/>
    <s v="Medium"/>
  </r>
  <r>
    <n v="657"/>
    <d v="2011-01-30T00:00:00"/>
    <n v="1"/>
    <n v="0"/>
    <n v="1"/>
    <n v="16"/>
    <x v="0"/>
    <b v="0"/>
    <n v="0"/>
    <x v="2"/>
    <n v="1"/>
    <n v="0.3"/>
    <x v="2"/>
    <n v="0.33329999999999999"/>
    <n v="0.56000000000000005"/>
    <s v="Less Humidity"/>
    <n v="0"/>
    <x v="0"/>
    <n v="19"/>
    <n v="104"/>
    <n v="123"/>
    <s v="Medium"/>
  </r>
  <r>
    <n v="658"/>
    <d v="2011-01-30T00:00:00"/>
    <n v="1"/>
    <n v="0"/>
    <n v="1"/>
    <n v="17"/>
    <x v="1"/>
    <b v="0"/>
    <n v="0"/>
    <x v="2"/>
    <n v="1"/>
    <n v="0.3"/>
    <x v="2"/>
    <n v="0.28789999999999999"/>
    <n v="0.56000000000000005"/>
    <s v="Less Humidity"/>
    <n v="0.19400000000000001"/>
    <x v="0"/>
    <n v="6"/>
    <n v="71"/>
    <n v="77"/>
    <s v="Medium"/>
  </r>
  <r>
    <n v="659"/>
    <d v="2011-01-30T00:00:00"/>
    <n v="1"/>
    <n v="0"/>
    <n v="1"/>
    <n v="18"/>
    <x v="1"/>
    <b v="0"/>
    <n v="0"/>
    <x v="2"/>
    <n v="1"/>
    <n v="0.26"/>
    <x v="2"/>
    <n v="0.2576"/>
    <n v="0.65"/>
    <s v="High Humidity"/>
    <n v="0.16420000000000001"/>
    <x v="0"/>
    <n v="8"/>
    <n v="57"/>
    <n v="65"/>
    <s v="Low"/>
  </r>
  <r>
    <n v="660"/>
    <d v="2011-01-30T00:00:00"/>
    <n v="1"/>
    <n v="0"/>
    <n v="1"/>
    <n v="19"/>
    <x v="1"/>
    <b v="0"/>
    <n v="0"/>
    <x v="2"/>
    <n v="1"/>
    <n v="0.26"/>
    <x v="2"/>
    <n v="0.2576"/>
    <n v="0.65"/>
    <s v="High Humidity"/>
    <n v="0.19400000000000001"/>
    <x v="0"/>
    <n v="9"/>
    <n v="46"/>
    <n v="55"/>
    <s v="Low"/>
  </r>
  <r>
    <n v="661"/>
    <d v="2011-01-30T00:00:00"/>
    <n v="1"/>
    <n v="0"/>
    <n v="1"/>
    <n v="20"/>
    <x v="1"/>
    <b v="0"/>
    <n v="0"/>
    <x v="2"/>
    <n v="2"/>
    <n v="0.26"/>
    <x v="2"/>
    <n v="0.2727"/>
    <n v="0.65"/>
    <s v="High Humidity"/>
    <n v="0.1045"/>
    <x v="0"/>
    <n v="3"/>
    <n v="30"/>
    <n v="33"/>
    <s v="Low"/>
  </r>
  <r>
    <n v="662"/>
    <d v="2011-01-30T00:00:00"/>
    <n v="1"/>
    <n v="0"/>
    <n v="1"/>
    <n v="21"/>
    <x v="2"/>
    <b v="0"/>
    <n v="0"/>
    <x v="2"/>
    <n v="2"/>
    <n v="0.24"/>
    <x v="0"/>
    <n v="0.2424"/>
    <n v="0.7"/>
    <s v="High Humidity"/>
    <n v="0.16420000000000001"/>
    <x v="0"/>
    <n v="3"/>
    <n v="25"/>
    <n v="28"/>
    <s v="Low"/>
  </r>
  <r>
    <n v="663"/>
    <d v="2011-01-30T00:00:00"/>
    <n v="1"/>
    <n v="0"/>
    <n v="1"/>
    <n v="22"/>
    <x v="2"/>
    <b v="0"/>
    <n v="0"/>
    <x v="2"/>
    <n v="2"/>
    <n v="0.24"/>
    <x v="0"/>
    <n v="0.2273"/>
    <n v="0.7"/>
    <s v="High Humidity"/>
    <n v="0.19400000000000001"/>
    <x v="0"/>
    <n v="2"/>
    <n v="19"/>
    <n v="21"/>
    <s v="Low"/>
  </r>
  <r>
    <n v="664"/>
    <d v="2011-01-30T00:00:00"/>
    <n v="1"/>
    <n v="0"/>
    <n v="1"/>
    <n v="23"/>
    <x v="2"/>
    <b v="0"/>
    <n v="0"/>
    <x v="2"/>
    <n v="2"/>
    <n v="0.24"/>
    <x v="0"/>
    <n v="0.21210000000000001"/>
    <n v="0.65"/>
    <s v="High Humidity"/>
    <n v="0.28360000000000002"/>
    <x v="1"/>
    <n v="5"/>
    <n v="16"/>
    <n v="21"/>
    <s v="Low"/>
  </r>
  <r>
    <n v="665"/>
    <d v="2011-01-31T00:00:00"/>
    <n v="1"/>
    <n v="0"/>
    <n v="1"/>
    <n v="0"/>
    <x v="2"/>
    <b v="0"/>
    <n v="1"/>
    <x v="3"/>
    <n v="2"/>
    <n v="0.24"/>
    <x v="0"/>
    <n v="0.2273"/>
    <n v="0.65"/>
    <s v="High Humidity"/>
    <n v="0.22389999999999999"/>
    <x v="1"/>
    <n v="1"/>
    <n v="6"/>
    <n v="7"/>
    <s v="Low"/>
  </r>
  <r>
    <n v="666"/>
    <d v="2011-01-31T00:00:00"/>
    <n v="1"/>
    <n v="0"/>
    <n v="1"/>
    <n v="1"/>
    <x v="2"/>
    <b v="0"/>
    <n v="1"/>
    <x v="3"/>
    <n v="1"/>
    <n v="0.22"/>
    <x v="0"/>
    <n v="0.21210000000000001"/>
    <n v="0.64"/>
    <s v="High Humidity"/>
    <n v="0.25369999999999998"/>
    <x v="1"/>
    <n v="2"/>
    <n v="5"/>
    <n v="7"/>
    <s v="Low"/>
  </r>
  <r>
    <n v="667"/>
    <d v="2011-01-31T00:00:00"/>
    <n v="1"/>
    <n v="0"/>
    <n v="1"/>
    <n v="2"/>
    <x v="2"/>
    <b v="0"/>
    <n v="1"/>
    <x v="3"/>
    <n v="1"/>
    <n v="0.22"/>
    <x v="0"/>
    <n v="0.2273"/>
    <n v="0.64"/>
    <s v="High Humidity"/>
    <n v="0.19400000000000001"/>
    <x v="0"/>
    <n v="0"/>
    <n v="1"/>
    <n v="1"/>
    <s v="Low"/>
  </r>
  <r>
    <n v="668"/>
    <d v="2011-01-31T00:00:00"/>
    <n v="1"/>
    <n v="0"/>
    <n v="1"/>
    <n v="3"/>
    <x v="2"/>
    <b v="0"/>
    <n v="1"/>
    <x v="3"/>
    <n v="1"/>
    <n v="0.22"/>
    <x v="0"/>
    <n v="0.2273"/>
    <n v="0.64"/>
    <s v="High Humidity"/>
    <n v="0.19400000000000001"/>
    <x v="0"/>
    <n v="0"/>
    <n v="2"/>
    <n v="2"/>
    <s v="Low"/>
  </r>
  <r>
    <n v="669"/>
    <d v="2011-01-31T00:00:00"/>
    <n v="1"/>
    <n v="0"/>
    <n v="1"/>
    <n v="4"/>
    <x v="3"/>
    <b v="0"/>
    <n v="1"/>
    <x v="3"/>
    <n v="1"/>
    <n v="0.2"/>
    <x v="0"/>
    <n v="0.19700000000000001"/>
    <n v="0.59"/>
    <s v="Less Humidity"/>
    <n v="0.22389999999999999"/>
    <x v="1"/>
    <n v="0"/>
    <n v="2"/>
    <n v="2"/>
    <s v="Low"/>
  </r>
  <r>
    <n v="670"/>
    <d v="2011-01-31T00:00:00"/>
    <n v="1"/>
    <n v="0"/>
    <n v="1"/>
    <n v="5"/>
    <x v="3"/>
    <b v="0"/>
    <n v="1"/>
    <x v="3"/>
    <n v="1"/>
    <n v="0.18"/>
    <x v="0"/>
    <n v="0.16669999999999999"/>
    <n v="0.64"/>
    <s v="High Humidity"/>
    <n v="0.28360000000000002"/>
    <x v="1"/>
    <n v="0"/>
    <n v="8"/>
    <n v="8"/>
    <s v="Low"/>
  </r>
  <r>
    <n v="671"/>
    <d v="2011-01-31T00:00:00"/>
    <n v="1"/>
    <n v="0"/>
    <n v="1"/>
    <n v="6"/>
    <x v="3"/>
    <b v="0"/>
    <n v="1"/>
    <x v="3"/>
    <n v="1"/>
    <n v="0.16"/>
    <x v="0"/>
    <n v="0.13639999999999999"/>
    <n v="0.69"/>
    <s v="High Humidity"/>
    <n v="0.32840000000000003"/>
    <x v="1"/>
    <n v="0"/>
    <n v="37"/>
    <n v="37"/>
    <s v="Low"/>
  </r>
  <r>
    <n v="672"/>
    <d v="2011-01-31T00:00:00"/>
    <n v="1"/>
    <n v="0"/>
    <n v="1"/>
    <n v="7"/>
    <x v="4"/>
    <b v="0"/>
    <n v="1"/>
    <x v="3"/>
    <n v="2"/>
    <n v="0.16"/>
    <x v="0"/>
    <n v="0.13639999999999999"/>
    <n v="0.64"/>
    <s v="High Humidity"/>
    <n v="0.28360000000000002"/>
    <x v="1"/>
    <n v="1"/>
    <n v="71"/>
    <n v="72"/>
    <s v="Medium"/>
  </r>
  <r>
    <n v="673"/>
    <d v="2011-01-31T00:00:00"/>
    <n v="1"/>
    <n v="0"/>
    <n v="1"/>
    <n v="8"/>
    <x v="4"/>
    <b v="0"/>
    <n v="1"/>
    <x v="3"/>
    <n v="2"/>
    <n v="0.16"/>
    <x v="0"/>
    <n v="0.13639999999999999"/>
    <n v="0.59"/>
    <s v="Less Humidity"/>
    <n v="0.28360000000000002"/>
    <x v="1"/>
    <n v="3"/>
    <n v="182"/>
    <n v="185"/>
    <s v="High"/>
  </r>
  <r>
    <n v="674"/>
    <d v="2011-01-31T00:00:00"/>
    <n v="1"/>
    <n v="0"/>
    <n v="1"/>
    <n v="9"/>
    <x v="4"/>
    <b v="0"/>
    <n v="1"/>
    <x v="3"/>
    <n v="2"/>
    <n v="0.16"/>
    <x v="0"/>
    <n v="0.13639999999999999"/>
    <n v="0.59"/>
    <s v="Less Humidity"/>
    <n v="0.29849999999999999"/>
    <x v="1"/>
    <n v="0"/>
    <n v="112"/>
    <n v="112"/>
    <s v="Medium"/>
  </r>
  <r>
    <n v="675"/>
    <d v="2011-01-31T00:00:00"/>
    <n v="1"/>
    <n v="0"/>
    <n v="1"/>
    <n v="10"/>
    <x v="4"/>
    <b v="0"/>
    <n v="1"/>
    <x v="3"/>
    <n v="2"/>
    <n v="0.16"/>
    <x v="0"/>
    <n v="0.1515"/>
    <n v="0.59"/>
    <s v="Less Humidity"/>
    <n v="0.19400000000000001"/>
    <x v="0"/>
    <n v="1"/>
    <n v="68"/>
    <n v="69"/>
    <s v="Low"/>
  </r>
  <r>
    <n v="676"/>
    <d v="2011-01-31T00:00:00"/>
    <n v="1"/>
    <n v="0"/>
    <n v="1"/>
    <n v="11"/>
    <x v="0"/>
    <b v="0"/>
    <n v="1"/>
    <x v="3"/>
    <n v="2"/>
    <n v="0.16"/>
    <x v="0"/>
    <n v="0.1515"/>
    <n v="0.59"/>
    <s v="Less Humidity"/>
    <n v="0.19400000000000001"/>
    <x v="0"/>
    <n v="2"/>
    <n v="46"/>
    <n v="48"/>
    <s v="Low"/>
  </r>
  <r>
    <n v="677"/>
    <d v="2011-01-31T00:00:00"/>
    <n v="1"/>
    <n v="0"/>
    <n v="1"/>
    <n v="12"/>
    <x v="0"/>
    <b v="0"/>
    <n v="1"/>
    <x v="3"/>
    <n v="2"/>
    <n v="0.18"/>
    <x v="0"/>
    <n v="0.21210000000000001"/>
    <n v="0.55000000000000004"/>
    <s v="Less Humidity"/>
    <n v="0.1045"/>
    <x v="0"/>
    <n v="6"/>
    <n v="62"/>
    <n v="68"/>
    <s v="Low"/>
  </r>
  <r>
    <n v="678"/>
    <d v="2011-01-31T00:00:00"/>
    <n v="1"/>
    <n v="0"/>
    <n v="1"/>
    <n v="13"/>
    <x v="0"/>
    <b v="0"/>
    <n v="1"/>
    <x v="3"/>
    <n v="2"/>
    <n v="0.16"/>
    <x v="0"/>
    <n v="0.2273"/>
    <n v="0.59"/>
    <s v="Less Humidity"/>
    <n v="0"/>
    <x v="0"/>
    <n v="2"/>
    <n v="52"/>
    <n v="54"/>
    <s v="Low"/>
  </r>
  <r>
    <n v="679"/>
    <d v="2011-01-31T00:00:00"/>
    <n v="1"/>
    <n v="0"/>
    <n v="1"/>
    <n v="14"/>
    <x v="0"/>
    <b v="0"/>
    <n v="1"/>
    <x v="3"/>
    <n v="2"/>
    <n v="0.18"/>
    <x v="0"/>
    <n v="0.19700000000000001"/>
    <n v="0.55000000000000004"/>
    <s v="Less Humidity"/>
    <n v="0.1343"/>
    <x v="0"/>
    <n v="1"/>
    <n v="85"/>
    <n v="86"/>
    <s v="Medium"/>
  </r>
  <r>
    <n v="680"/>
    <d v="2011-01-31T00:00:00"/>
    <n v="1"/>
    <n v="0"/>
    <n v="1"/>
    <n v="15"/>
    <x v="0"/>
    <b v="0"/>
    <n v="1"/>
    <x v="3"/>
    <n v="2"/>
    <n v="0.16"/>
    <x v="0"/>
    <n v="0.18179999999999999"/>
    <n v="0.59"/>
    <s v="Less Humidity"/>
    <n v="0.1343"/>
    <x v="0"/>
    <n v="3"/>
    <n v="41"/>
    <n v="44"/>
    <s v="Low"/>
  </r>
  <r>
    <n v="681"/>
    <d v="2011-01-31T00:00:00"/>
    <n v="1"/>
    <n v="0"/>
    <n v="1"/>
    <n v="16"/>
    <x v="0"/>
    <b v="0"/>
    <n v="1"/>
    <x v="3"/>
    <n v="2"/>
    <n v="0.16"/>
    <x v="0"/>
    <n v="0.18179999999999999"/>
    <n v="0.56000000000000005"/>
    <s v="Less Humidity"/>
    <n v="0.19400000000000001"/>
    <x v="0"/>
    <n v="3"/>
    <n v="83"/>
    <n v="86"/>
    <s v="Medium"/>
  </r>
  <r>
    <n v="682"/>
    <d v="2011-01-31T00:00:00"/>
    <n v="1"/>
    <n v="0"/>
    <n v="1"/>
    <n v="17"/>
    <x v="1"/>
    <b v="0"/>
    <n v="1"/>
    <x v="3"/>
    <n v="2"/>
    <n v="0.16"/>
    <x v="0"/>
    <n v="0.1515"/>
    <n v="0.59"/>
    <s v="Less Humidity"/>
    <n v="0.19400000000000001"/>
    <x v="0"/>
    <n v="6"/>
    <n v="155"/>
    <n v="161"/>
    <s v="High"/>
  </r>
  <r>
    <n v="683"/>
    <d v="2011-01-31T00:00:00"/>
    <n v="1"/>
    <n v="0"/>
    <n v="1"/>
    <n v="18"/>
    <x v="1"/>
    <b v="0"/>
    <n v="1"/>
    <x v="3"/>
    <n v="2"/>
    <n v="0.16"/>
    <x v="0"/>
    <n v="0.1515"/>
    <n v="0.55000000000000004"/>
    <s v="Less Humidity"/>
    <n v="0.22389999999999999"/>
    <x v="1"/>
    <n v="3"/>
    <n v="153"/>
    <n v="156"/>
    <s v="Medium"/>
  </r>
  <r>
    <n v="684"/>
    <d v="2011-01-31T00:00:00"/>
    <n v="1"/>
    <n v="0"/>
    <n v="1"/>
    <n v="19"/>
    <x v="1"/>
    <b v="0"/>
    <n v="1"/>
    <x v="3"/>
    <n v="1"/>
    <n v="0.3"/>
    <x v="2"/>
    <n v="0.31819999999999998"/>
    <n v="0.61"/>
    <s v="Humid"/>
    <n v="0.1045"/>
    <x v="0"/>
    <n v="3"/>
    <n v="108"/>
    <n v="111"/>
    <s v="Medium"/>
  </r>
  <r>
    <n v="685"/>
    <d v="2011-01-31T00:00:00"/>
    <n v="1"/>
    <n v="0"/>
    <n v="1"/>
    <n v="20"/>
    <x v="1"/>
    <b v="0"/>
    <n v="1"/>
    <x v="3"/>
    <n v="3"/>
    <n v="0.16"/>
    <x v="0"/>
    <n v="0.16669999999999999"/>
    <n v="0.59"/>
    <s v="Less Humidity"/>
    <n v="0.16420000000000001"/>
    <x v="0"/>
    <n v="0"/>
    <n v="78"/>
    <n v="78"/>
    <s v="Medium"/>
  </r>
  <r>
    <n v="686"/>
    <d v="2011-01-31T00:00:00"/>
    <n v="1"/>
    <n v="0"/>
    <n v="1"/>
    <n v="21"/>
    <x v="2"/>
    <b v="0"/>
    <n v="1"/>
    <x v="3"/>
    <n v="3"/>
    <n v="0.16"/>
    <x v="0"/>
    <n v="0.19700000000000001"/>
    <n v="0.59"/>
    <s v="Less Humidity"/>
    <n v="8.9599999999999999E-2"/>
    <x v="0"/>
    <n v="3"/>
    <n v="53"/>
    <n v="56"/>
    <s v="Low"/>
  </r>
  <r>
    <n v="687"/>
    <d v="2011-01-31T00:00:00"/>
    <n v="1"/>
    <n v="0"/>
    <n v="1"/>
    <n v="22"/>
    <x v="2"/>
    <b v="0"/>
    <n v="1"/>
    <x v="3"/>
    <n v="2"/>
    <n v="0.16"/>
    <x v="0"/>
    <n v="0.18179999999999999"/>
    <n v="0.59"/>
    <s v="Less Humidity"/>
    <n v="0.1045"/>
    <x v="0"/>
    <n v="0"/>
    <n v="34"/>
    <n v="34"/>
    <s v="Low"/>
  </r>
  <r>
    <n v="688"/>
    <d v="2011-01-31T00:00:00"/>
    <n v="1"/>
    <n v="0"/>
    <n v="1"/>
    <n v="23"/>
    <x v="2"/>
    <b v="0"/>
    <n v="1"/>
    <x v="3"/>
    <n v="2"/>
    <n v="0.16"/>
    <x v="0"/>
    <n v="0.19700000000000001"/>
    <n v="0.64"/>
    <s v="High Humidity"/>
    <n v="8.9599999999999999E-2"/>
    <x v="0"/>
    <n v="2"/>
    <n v="15"/>
    <n v="17"/>
    <s v="Low"/>
  </r>
  <r>
    <n v="689"/>
    <d v="2011-02-01T00:00:00"/>
    <n v="1"/>
    <n v="0"/>
    <n v="2"/>
    <n v="0"/>
    <x v="2"/>
    <b v="0"/>
    <n v="2"/>
    <x v="4"/>
    <n v="2"/>
    <n v="0.16"/>
    <x v="0"/>
    <n v="0.18179999999999999"/>
    <n v="0.64"/>
    <s v="High Humidity"/>
    <n v="0.1045"/>
    <x v="0"/>
    <n v="2"/>
    <n v="6"/>
    <n v="8"/>
    <s v="Low"/>
  </r>
  <r>
    <n v="690"/>
    <d v="2011-02-01T00:00:00"/>
    <n v="1"/>
    <n v="0"/>
    <n v="2"/>
    <n v="1"/>
    <x v="2"/>
    <b v="0"/>
    <n v="2"/>
    <x v="4"/>
    <n v="2"/>
    <n v="0.16"/>
    <x v="0"/>
    <n v="0.18179999999999999"/>
    <n v="0.69"/>
    <s v="High Humidity"/>
    <n v="0.1045"/>
    <x v="0"/>
    <n v="0"/>
    <n v="3"/>
    <n v="3"/>
    <s v="Low"/>
  </r>
  <r>
    <n v="691"/>
    <d v="2011-02-01T00:00:00"/>
    <n v="1"/>
    <n v="0"/>
    <n v="2"/>
    <n v="2"/>
    <x v="2"/>
    <b v="0"/>
    <n v="2"/>
    <x v="4"/>
    <n v="2"/>
    <n v="0.16"/>
    <x v="0"/>
    <n v="0.2273"/>
    <n v="0.69"/>
    <s v="High Humidity"/>
    <n v="0"/>
    <x v="0"/>
    <n v="0"/>
    <n v="2"/>
    <n v="2"/>
    <s v="Low"/>
  </r>
  <r>
    <n v="692"/>
    <d v="2011-02-01T00:00:00"/>
    <n v="1"/>
    <n v="0"/>
    <n v="2"/>
    <n v="3"/>
    <x v="2"/>
    <b v="0"/>
    <n v="2"/>
    <x v="4"/>
    <n v="2"/>
    <n v="0.16"/>
    <x v="0"/>
    <n v="0.2273"/>
    <n v="0.69"/>
    <s v="High Humidity"/>
    <n v="0"/>
    <x v="0"/>
    <n v="0"/>
    <n v="2"/>
    <n v="2"/>
    <s v="Low"/>
  </r>
  <r>
    <n v="693"/>
    <d v="2011-02-01T00:00:00"/>
    <n v="1"/>
    <n v="0"/>
    <n v="2"/>
    <n v="5"/>
    <x v="3"/>
    <b v="0"/>
    <n v="2"/>
    <x v="4"/>
    <n v="3"/>
    <n v="0.14000000000000001"/>
    <x v="1"/>
    <n v="0.21210000000000001"/>
    <n v="0.93"/>
    <s v="High Humidity"/>
    <n v="0"/>
    <x v="0"/>
    <n v="0"/>
    <n v="3"/>
    <n v="3"/>
    <s v="Low"/>
  </r>
  <r>
    <n v="694"/>
    <d v="2011-02-01T00:00:00"/>
    <n v="1"/>
    <n v="0"/>
    <n v="2"/>
    <n v="6"/>
    <x v="3"/>
    <b v="0"/>
    <n v="2"/>
    <x v="4"/>
    <n v="3"/>
    <n v="0.14000000000000001"/>
    <x v="1"/>
    <n v="0.21210000000000001"/>
    <n v="0.93"/>
    <s v="High Humidity"/>
    <n v="0"/>
    <x v="0"/>
    <n v="0"/>
    <n v="22"/>
    <n v="22"/>
    <s v="Low"/>
  </r>
  <r>
    <n v="695"/>
    <d v="2011-02-01T00:00:00"/>
    <n v="1"/>
    <n v="0"/>
    <n v="2"/>
    <n v="7"/>
    <x v="4"/>
    <b v="0"/>
    <n v="2"/>
    <x v="4"/>
    <n v="3"/>
    <n v="0.16"/>
    <x v="0"/>
    <n v="0.2273"/>
    <n v="0.93"/>
    <s v="High Humidity"/>
    <n v="0"/>
    <x v="0"/>
    <n v="0"/>
    <n v="52"/>
    <n v="52"/>
    <s v="Low"/>
  </r>
  <r>
    <n v="696"/>
    <d v="2011-02-01T00:00:00"/>
    <n v="1"/>
    <n v="0"/>
    <n v="2"/>
    <n v="8"/>
    <x v="4"/>
    <b v="0"/>
    <n v="2"/>
    <x v="4"/>
    <n v="3"/>
    <n v="0.16"/>
    <x v="0"/>
    <n v="0.2273"/>
    <n v="0.93"/>
    <s v="High Humidity"/>
    <n v="0"/>
    <x v="0"/>
    <n v="3"/>
    <n v="132"/>
    <n v="135"/>
    <s v="Medium"/>
  </r>
  <r>
    <n v="697"/>
    <d v="2011-02-01T00:00:00"/>
    <n v="1"/>
    <n v="0"/>
    <n v="2"/>
    <n v="9"/>
    <x v="4"/>
    <b v="0"/>
    <n v="2"/>
    <x v="4"/>
    <n v="2"/>
    <n v="0.16"/>
    <x v="0"/>
    <n v="0.2273"/>
    <n v="0.93"/>
    <s v="High Humidity"/>
    <n v="0"/>
    <x v="0"/>
    <n v="2"/>
    <n v="114"/>
    <n v="116"/>
    <s v="Medium"/>
  </r>
  <r>
    <n v="698"/>
    <d v="2011-02-01T00:00:00"/>
    <n v="1"/>
    <n v="0"/>
    <n v="2"/>
    <n v="10"/>
    <x v="4"/>
    <b v="0"/>
    <n v="2"/>
    <x v="4"/>
    <n v="2"/>
    <n v="0.16"/>
    <x v="0"/>
    <n v="0.2273"/>
    <n v="0.93"/>
    <s v="High Humidity"/>
    <n v="0"/>
    <x v="0"/>
    <n v="0"/>
    <n v="47"/>
    <n v="47"/>
    <s v="Low"/>
  </r>
  <r>
    <n v="699"/>
    <d v="2011-02-01T00:00:00"/>
    <n v="1"/>
    <n v="0"/>
    <n v="2"/>
    <n v="11"/>
    <x v="0"/>
    <b v="0"/>
    <n v="2"/>
    <x v="4"/>
    <n v="2"/>
    <n v="0.18"/>
    <x v="0"/>
    <n v="0.2424"/>
    <n v="0.86"/>
    <s v="High Humidity"/>
    <n v="0"/>
    <x v="0"/>
    <n v="2"/>
    <n v="49"/>
    <n v="51"/>
    <s v="Low"/>
  </r>
  <r>
    <n v="700"/>
    <d v="2011-02-01T00:00:00"/>
    <n v="1"/>
    <n v="0"/>
    <n v="2"/>
    <n v="12"/>
    <x v="0"/>
    <b v="0"/>
    <n v="2"/>
    <x v="4"/>
    <n v="2"/>
    <n v="0.2"/>
    <x v="0"/>
    <n v="0.2576"/>
    <n v="0.86"/>
    <s v="High Humidity"/>
    <n v="0"/>
    <x v="0"/>
    <n v="2"/>
    <n v="53"/>
    <n v="55"/>
    <s v="Low"/>
  </r>
  <r>
    <n v="701"/>
    <d v="2011-02-01T00:00:00"/>
    <n v="1"/>
    <n v="0"/>
    <n v="2"/>
    <n v="13"/>
    <x v="0"/>
    <b v="0"/>
    <n v="2"/>
    <x v="4"/>
    <n v="2"/>
    <n v="0.2"/>
    <x v="0"/>
    <n v="0.2576"/>
    <n v="0.86"/>
    <s v="High Humidity"/>
    <n v="0"/>
    <x v="0"/>
    <n v="3"/>
    <n v="49"/>
    <n v="52"/>
    <s v="Low"/>
  </r>
  <r>
    <n v="702"/>
    <d v="2011-02-01T00:00:00"/>
    <n v="1"/>
    <n v="0"/>
    <n v="2"/>
    <n v="14"/>
    <x v="0"/>
    <b v="0"/>
    <n v="2"/>
    <x v="4"/>
    <n v="2"/>
    <n v="0.22"/>
    <x v="0"/>
    <n v="0.2576"/>
    <n v="0.8"/>
    <s v="High Humidity"/>
    <n v="8.9599999999999999E-2"/>
    <x v="0"/>
    <n v="5"/>
    <n v="49"/>
    <n v="54"/>
    <s v="Low"/>
  </r>
  <r>
    <n v="703"/>
    <d v="2011-02-01T00:00:00"/>
    <n v="1"/>
    <n v="0"/>
    <n v="2"/>
    <n v="15"/>
    <x v="0"/>
    <b v="0"/>
    <n v="2"/>
    <x v="4"/>
    <n v="2"/>
    <n v="0.24"/>
    <x v="0"/>
    <n v="0.28789999999999999"/>
    <n v="0.75"/>
    <s v="High Humidity"/>
    <n v="0"/>
    <x v="0"/>
    <n v="7"/>
    <n v="45"/>
    <n v="52"/>
    <s v="Low"/>
  </r>
  <r>
    <n v="704"/>
    <d v="2011-02-01T00:00:00"/>
    <n v="1"/>
    <n v="0"/>
    <n v="2"/>
    <n v="16"/>
    <x v="0"/>
    <b v="0"/>
    <n v="2"/>
    <x v="4"/>
    <n v="2"/>
    <n v="0.24"/>
    <x v="0"/>
    <n v="0.2424"/>
    <n v="0.75"/>
    <s v="High Humidity"/>
    <n v="0.1343"/>
    <x v="0"/>
    <n v="3"/>
    <n v="61"/>
    <n v="64"/>
    <s v="Low"/>
  </r>
  <r>
    <n v="705"/>
    <d v="2011-02-01T00:00:00"/>
    <n v="1"/>
    <n v="0"/>
    <n v="2"/>
    <n v="17"/>
    <x v="1"/>
    <b v="0"/>
    <n v="2"/>
    <x v="4"/>
    <n v="2"/>
    <n v="0.24"/>
    <x v="0"/>
    <n v="0.28789999999999999"/>
    <n v="0.75"/>
    <s v="High Humidity"/>
    <n v="0"/>
    <x v="0"/>
    <n v="4"/>
    <n v="172"/>
    <n v="176"/>
    <s v="High"/>
  </r>
  <r>
    <n v="706"/>
    <d v="2011-02-01T00:00:00"/>
    <n v="1"/>
    <n v="0"/>
    <n v="2"/>
    <n v="18"/>
    <x v="1"/>
    <b v="0"/>
    <n v="2"/>
    <x v="4"/>
    <n v="2"/>
    <n v="0.24"/>
    <x v="0"/>
    <n v="0.2576"/>
    <n v="0.81"/>
    <s v="High Humidity"/>
    <n v="0.1045"/>
    <x v="0"/>
    <n v="3"/>
    <n v="165"/>
    <n v="168"/>
    <s v="High"/>
  </r>
  <r>
    <n v="707"/>
    <d v="2011-02-01T00:00:00"/>
    <n v="1"/>
    <n v="0"/>
    <n v="2"/>
    <n v="19"/>
    <x v="1"/>
    <b v="0"/>
    <n v="2"/>
    <x v="4"/>
    <n v="2"/>
    <n v="0.24"/>
    <x v="0"/>
    <n v="0.2424"/>
    <n v="0.81"/>
    <s v="High Humidity"/>
    <n v="0.1343"/>
    <x v="0"/>
    <n v="3"/>
    <n v="105"/>
    <n v="108"/>
    <s v="Medium"/>
  </r>
  <r>
    <n v="708"/>
    <d v="2011-02-01T00:00:00"/>
    <n v="1"/>
    <n v="0"/>
    <n v="2"/>
    <n v="20"/>
    <x v="1"/>
    <b v="0"/>
    <n v="2"/>
    <x v="4"/>
    <n v="2"/>
    <n v="0.22"/>
    <x v="0"/>
    <n v="0.2273"/>
    <n v="0.87"/>
    <s v="High Humidity"/>
    <n v="0.1343"/>
    <x v="0"/>
    <n v="5"/>
    <n v="69"/>
    <n v="74"/>
    <s v="Medium"/>
  </r>
  <r>
    <n v="709"/>
    <d v="2011-02-01T00:00:00"/>
    <n v="1"/>
    <n v="0"/>
    <n v="2"/>
    <n v="21"/>
    <x v="2"/>
    <b v="0"/>
    <n v="2"/>
    <x v="4"/>
    <n v="2"/>
    <n v="0.22"/>
    <x v="0"/>
    <n v="0.2273"/>
    <n v="0.87"/>
    <s v="High Humidity"/>
    <n v="0.1343"/>
    <x v="0"/>
    <n v="0"/>
    <n v="64"/>
    <n v="64"/>
    <s v="Low"/>
  </r>
  <r>
    <n v="710"/>
    <d v="2011-02-01T00:00:00"/>
    <n v="1"/>
    <n v="0"/>
    <n v="2"/>
    <n v="22"/>
    <x v="2"/>
    <b v="0"/>
    <n v="2"/>
    <x v="4"/>
    <n v="2"/>
    <n v="0.22"/>
    <x v="0"/>
    <n v="0.2576"/>
    <n v="0.87"/>
    <s v="High Humidity"/>
    <n v="8.9599999999999999E-2"/>
    <x v="0"/>
    <n v="2"/>
    <n v="34"/>
    <n v="36"/>
    <s v="Low"/>
  </r>
  <r>
    <n v="711"/>
    <d v="2011-02-01T00:00:00"/>
    <n v="1"/>
    <n v="0"/>
    <n v="2"/>
    <n v="23"/>
    <x v="2"/>
    <b v="0"/>
    <n v="2"/>
    <x v="4"/>
    <n v="3"/>
    <n v="0.2"/>
    <x v="0"/>
    <n v="0.19700000000000001"/>
    <n v="0.93"/>
    <s v="High Humidity"/>
    <n v="0.19400000000000001"/>
    <x v="0"/>
    <n v="1"/>
    <n v="15"/>
    <n v="16"/>
    <s v="Low"/>
  </r>
  <r>
    <n v="712"/>
    <d v="2011-02-02T00:00:00"/>
    <n v="1"/>
    <n v="0"/>
    <n v="2"/>
    <n v="0"/>
    <x v="2"/>
    <b v="0"/>
    <n v="3"/>
    <x v="5"/>
    <n v="3"/>
    <n v="0.22"/>
    <x v="0"/>
    <n v="0.2424"/>
    <n v="0.93"/>
    <s v="High Humidity"/>
    <n v="0.1045"/>
    <x v="0"/>
    <n v="0"/>
    <n v="2"/>
    <n v="2"/>
    <s v="Low"/>
  </r>
  <r>
    <n v="713"/>
    <d v="2011-02-02T00:00:00"/>
    <n v="1"/>
    <n v="0"/>
    <n v="2"/>
    <n v="1"/>
    <x v="2"/>
    <b v="0"/>
    <n v="3"/>
    <x v="5"/>
    <n v="3"/>
    <n v="0.22"/>
    <x v="0"/>
    <n v="0.2273"/>
    <n v="0.93"/>
    <s v="High Humidity"/>
    <n v="0.19400000000000001"/>
    <x v="0"/>
    <n v="0"/>
    <n v="3"/>
    <n v="3"/>
    <s v="Low"/>
  </r>
  <r>
    <n v="714"/>
    <d v="2011-02-02T00:00:00"/>
    <n v="1"/>
    <n v="0"/>
    <n v="2"/>
    <n v="2"/>
    <x v="2"/>
    <b v="0"/>
    <n v="3"/>
    <x v="5"/>
    <n v="3"/>
    <n v="0.22"/>
    <x v="0"/>
    <n v="0.2273"/>
    <n v="0.93"/>
    <s v="High Humidity"/>
    <n v="0.1343"/>
    <x v="0"/>
    <n v="4"/>
    <n v="0"/>
    <n v="4"/>
    <s v="Low"/>
  </r>
  <r>
    <n v="715"/>
    <d v="2011-02-02T00:00:00"/>
    <n v="1"/>
    <n v="0"/>
    <n v="2"/>
    <n v="3"/>
    <x v="2"/>
    <b v="0"/>
    <n v="3"/>
    <x v="5"/>
    <n v="3"/>
    <n v="0.22"/>
    <x v="0"/>
    <n v="0.2273"/>
    <n v="0.93"/>
    <s v="High Humidity"/>
    <n v="0.1343"/>
    <x v="0"/>
    <n v="0"/>
    <n v="1"/>
    <n v="1"/>
    <s v="Low"/>
  </r>
  <r>
    <n v="716"/>
    <d v="2011-02-02T00:00:00"/>
    <n v="1"/>
    <n v="0"/>
    <n v="2"/>
    <n v="4"/>
    <x v="3"/>
    <b v="0"/>
    <n v="3"/>
    <x v="5"/>
    <n v="3"/>
    <n v="0.22"/>
    <x v="0"/>
    <n v="0.21210000000000001"/>
    <n v="0.93"/>
    <s v="High Humidity"/>
    <n v="0.28360000000000002"/>
    <x v="1"/>
    <n v="0"/>
    <n v="1"/>
    <n v="1"/>
    <s v="Low"/>
  </r>
  <r>
    <n v="717"/>
    <d v="2011-02-02T00:00:00"/>
    <n v="1"/>
    <n v="0"/>
    <n v="2"/>
    <n v="5"/>
    <x v="3"/>
    <b v="0"/>
    <n v="3"/>
    <x v="5"/>
    <n v="3"/>
    <n v="0.22"/>
    <x v="0"/>
    <n v="0.2424"/>
    <n v="0.93"/>
    <s v="High Humidity"/>
    <n v="0.1045"/>
    <x v="0"/>
    <n v="0"/>
    <n v="3"/>
    <n v="3"/>
    <s v="Low"/>
  </r>
  <r>
    <n v="718"/>
    <d v="2011-02-02T00:00:00"/>
    <n v="1"/>
    <n v="0"/>
    <n v="2"/>
    <n v="6"/>
    <x v="3"/>
    <b v="0"/>
    <n v="3"/>
    <x v="5"/>
    <n v="3"/>
    <n v="0.22"/>
    <x v="0"/>
    <n v="0.2424"/>
    <n v="0.93"/>
    <s v="High Humidity"/>
    <n v="0.1045"/>
    <x v="0"/>
    <n v="1"/>
    <n v="17"/>
    <n v="18"/>
    <s v="Low"/>
  </r>
  <r>
    <n v="719"/>
    <d v="2011-02-02T00:00:00"/>
    <n v="1"/>
    <n v="0"/>
    <n v="2"/>
    <n v="7"/>
    <x v="4"/>
    <b v="0"/>
    <n v="3"/>
    <x v="5"/>
    <n v="3"/>
    <n v="0.22"/>
    <x v="0"/>
    <n v="0.21210000000000001"/>
    <n v="0.93"/>
    <s v="High Humidity"/>
    <n v="0.22389999999999999"/>
    <x v="1"/>
    <n v="1"/>
    <n v="48"/>
    <n v="49"/>
    <s v="Low"/>
  </r>
  <r>
    <n v="720"/>
    <d v="2011-02-02T00:00:00"/>
    <n v="1"/>
    <n v="0"/>
    <n v="2"/>
    <n v="8"/>
    <x v="4"/>
    <b v="0"/>
    <n v="3"/>
    <x v="5"/>
    <n v="3"/>
    <n v="0.22"/>
    <x v="0"/>
    <n v="0.21210000000000001"/>
    <n v="0.93"/>
    <s v="High Humidity"/>
    <n v="0.22389999999999999"/>
    <x v="1"/>
    <n v="1"/>
    <n v="154"/>
    <n v="155"/>
    <s v="Medium"/>
  </r>
  <r>
    <n v="721"/>
    <d v="2011-02-02T00:00:00"/>
    <n v="1"/>
    <n v="0"/>
    <n v="2"/>
    <n v="9"/>
    <x v="4"/>
    <b v="0"/>
    <n v="3"/>
    <x v="5"/>
    <n v="2"/>
    <n v="0.24"/>
    <x v="0"/>
    <n v="0.2576"/>
    <n v="0.93"/>
    <s v="High Humidity"/>
    <n v="8.9599999999999999E-2"/>
    <x v="0"/>
    <n v="4"/>
    <n v="119"/>
    <n v="123"/>
    <s v="Medium"/>
  </r>
  <r>
    <n v="722"/>
    <d v="2011-02-02T00:00:00"/>
    <n v="1"/>
    <n v="0"/>
    <n v="2"/>
    <n v="10"/>
    <x v="4"/>
    <b v="0"/>
    <n v="3"/>
    <x v="5"/>
    <n v="2"/>
    <n v="0.22"/>
    <x v="0"/>
    <n v="0.2727"/>
    <n v="1"/>
    <s v="High Humidity"/>
    <n v="0"/>
    <x v="0"/>
    <n v="2"/>
    <n v="59"/>
    <n v="61"/>
    <s v="Low"/>
  </r>
  <r>
    <n v="723"/>
    <d v="2011-02-02T00:00:00"/>
    <n v="1"/>
    <n v="0"/>
    <n v="2"/>
    <n v="11"/>
    <x v="0"/>
    <b v="0"/>
    <n v="3"/>
    <x v="5"/>
    <n v="2"/>
    <n v="0.24"/>
    <x v="0"/>
    <n v="0.2273"/>
    <n v="0.93"/>
    <s v="High Humidity"/>
    <n v="0.19400000000000001"/>
    <x v="0"/>
    <n v="5"/>
    <n v="47"/>
    <n v="52"/>
    <s v="Low"/>
  </r>
  <r>
    <n v="724"/>
    <d v="2011-02-02T00:00:00"/>
    <n v="1"/>
    <n v="0"/>
    <n v="2"/>
    <n v="12"/>
    <x v="0"/>
    <b v="0"/>
    <n v="3"/>
    <x v="5"/>
    <n v="2"/>
    <n v="0.24"/>
    <x v="0"/>
    <n v="0.2273"/>
    <n v="0.93"/>
    <s v="High Humidity"/>
    <n v="0.22389999999999999"/>
    <x v="1"/>
    <n v="3"/>
    <n v="61"/>
    <n v="64"/>
    <s v="Low"/>
  </r>
  <r>
    <n v="725"/>
    <d v="2011-02-02T00:00:00"/>
    <n v="1"/>
    <n v="0"/>
    <n v="2"/>
    <n v="13"/>
    <x v="0"/>
    <b v="0"/>
    <n v="3"/>
    <x v="5"/>
    <n v="1"/>
    <n v="0.34"/>
    <x v="3"/>
    <n v="0.33329999999999999"/>
    <n v="0.93"/>
    <s v="High Humidity"/>
    <n v="0.16420000000000001"/>
    <x v="0"/>
    <n v="1"/>
    <n v="74"/>
    <n v="75"/>
    <s v="Medium"/>
  </r>
  <r>
    <n v="726"/>
    <d v="2011-02-02T00:00:00"/>
    <n v="1"/>
    <n v="0"/>
    <n v="2"/>
    <n v="14"/>
    <x v="0"/>
    <b v="0"/>
    <n v="3"/>
    <x v="5"/>
    <n v="1"/>
    <n v="0.38"/>
    <x v="3"/>
    <n v="0.39389999999999997"/>
    <n v="0.82"/>
    <s v="High Humidity"/>
    <n v="0.3881"/>
    <x v="1"/>
    <n v="2"/>
    <n v="61"/>
    <n v="63"/>
    <s v="Low"/>
  </r>
  <r>
    <n v="727"/>
    <d v="2011-02-02T00:00:00"/>
    <n v="1"/>
    <n v="0"/>
    <n v="2"/>
    <n v="15"/>
    <x v="0"/>
    <b v="0"/>
    <n v="3"/>
    <x v="5"/>
    <n v="1"/>
    <n v="0.38"/>
    <x v="3"/>
    <n v="0.39389999999999997"/>
    <n v="0.76"/>
    <s v="High Humidity"/>
    <n v="0.32840000000000003"/>
    <x v="1"/>
    <n v="10"/>
    <n v="66"/>
    <n v="76"/>
    <s v="Medium"/>
  </r>
  <r>
    <n v="728"/>
    <d v="2011-02-02T00:00:00"/>
    <n v="1"/>
    <n v="0"/>
    <n v="2"/>
    <n v="16"/>
    <x v="0"/>
    <b v="0"/>
    <n v="3"/>
    <x v="5"/>
    <n v="1"/>
    <n v="0.36"/>
    <x v="3"/>
    <n v="0.33329999999999999"/>
    <n v="0.71"/>
    <s v="High Humidity"/>
    <n v="0.29849999999999999"/>
    <x v="1"/>
    <n v="8"/>
    <n v="95"/>
    <n v="103"/>
    <s v="Medium"/>
  </r>
  <r>
    <n v="729"/>
    <d v="2011-02-02T00:00:00"/>
    <n v="1"/>
    <n v="0"/>
    <n v="2"/>
    <n v="17"/>
    <x v="1"/>
    <b v="0"/>
    <n v="3"/>
    <x v="5"/>
    <n v="1"/>
    <n v="0.36"/>
    <x v="3"/>
    <n v="0.31819999999999998"/>
    <n v="0.53"/>
    <s v="Less Humidity"/>
    <n v="0.52239999999999998"/>
    <x v="2"/>
    <n v="7"/>
    <n v="183"/>
    <n v="190"/>
    <s v="High"/>
  </r>
  <r>
    <n v="730"/>
    <d v="2011-02-02T00:00:00"/>
    <n v="1"/>
    <n v="0"/>
    <n v="2"/>
    <n v="18"/>
    <x v="1"/>
    <b v="0"/>
    <n v="3"/>
    <x v="5"/>
    <n v="1"/>
    <n v="0.34"/>
    <x v="3"/>
    <n v="0.28789999999999999"/>
    <n v="0.42"/>
    <s v="Less Humidity"/>
    <n v="0.55220000000000002"/>
    <x v="2"/>
    <n v="7"/>
    <n v="175"/>
    <n v="182"/>
    <s v="High"/>
  </r>
  <r>
    <n v="731"/>
    <d v="2011-02-02T00:00:00"/>
    <n v="1"/>
    <n v="0"/>
    <n v="2"/>
    <n v="19"/>
    <x v="1"/>
    <b v="0"/>
    <n v="3"/>
    <x v="5"/>
    <n v="1"/>
    <n v="0.28000000000000003"/>
    <x v="2"/>
    <n v="0.2424"/>
    <n v="0.45"/>
    <s v="Less Humidity"/>
    <n v="0.49249999999999999"/>
    <x v="2"/>
    <n v="3"/>
    <n v="88"/>
    <n v="91"/>
    <s v="Medium"/>
  </r>
  <r>
    <n v="732"/>
    <d v="2011-02-02T00:00:00"/>
    <n v="1"/>
    <n v="0"/>
    <n v="2"/>
    <n v="20"/>
    <x v="1"/>
    <b v="0"/>
    <n v="3"/>
    <x v="5"/>
    <n v="1"/>
    <n v="0.24"/>
    <x v="0"/>
    <n v="0.19700000000000001"/>
    <n v="0.48"/>
    <s v="Less Humidity"/>
    <n v="0.55220000000000002"/>
    <x v="2"/>
    <n v="4"/>
    <n v="71"/>
    <n v="75"/>
    <s v="Medium"/>
  </r>
  <r>
    <n v="733"/>
    <d v="2011-02-02T00:00:00"/>
    <n v="1"/>
    <n v="0"/>
    <n v="2"/>
    <n v="21"/>
    <x v="2"/>
    <b v="0"/>
    <n v="3"/>
    <x v="5"/>
    <n v="1"/>
    <n v="0.22"/>
    <x v="0"/>
    <n v="0.19700000000000001"/>
    <n v="0.47"/>
    <s v="Less Humidity"/>
    <n v="0.32840000000000003"/>
    <x v="1"/>
    <n v="1"/>
    <n v="62"/>
    <n v="63"/>
    <s v="Low"/>
  </r>
  <r>
    <n v="734"/>
    <d v="2011-02-02T00:00:00"/>
    <n v="1"/>
    <n v="0"/>
    <n v="2"/>
    <n v="22"/>
    <x v="2"/>
    <b v="0"/>
    <n v="3"/>
    <x v="5"/>
    <n v="1"/>
    <n v="0.22"/>
    <x v="0"/>
    <n v="0.21210000000000001"/>
    <n v="0.44"/>
    <s v="Less Humidity"/>
    <n v="0.25369999999999998"/>
    <x v="1"/>
    <n v="5"/>
    <n v="35"/>
    <n v="40"/>
    <s v="Low"/>
  </r>
  <r>
    <n v="735"/>
    <d v="2011-02-02T00:00:00"/>
    <n v="1"/>
    <n v="0"/>
    <n v="2"/>
    <n v="23"/>
    <x v="2"/>
    <b v="0"/>
    <n v="3"/>
    <x v="5"/>
    <n v="1"/>
    <n v="0.2"/>
    <x v="0"/>
    <n v="0.16669999999999999"/>
    <n v="0.44"/>
    <s v="Less Humidity"/>
    <n v="0.44779999999999998"/>
    <x v="2"/>
    <n v="3"/>
    <n v="29"/>
    <n v="32"/>
    <s v="Low"/>
  </r>
  <r>
    <n v="736"/>
    <d v="2011-02-03T00:00:00"/>
    <n v="1"/>
    <n v="0"/>
    <n v="2"/>
    <n v="0"/>
    <x v="2"/>
    <b v="0"/>
    <n v="4"/>
    <x v="6"/>
    <n v="1"/>
    <n v="0.2"/>
    <x v="0"/>
    <n v="0.16669999999999999"/>
    <n v="0.4"/>
    <s v="Dry"/>
    <n v="0.44779999999999998"/>
    <x v="2"/>
    <n v="1"/>
    <n v="11"/>
    <n v="12"/>
    <s v="Low"/>
  </r>
  <r>
    <n v="737"/>
    <d v="2011-02-03T00:00:00"/>
    <n v="1"/>
    <n v="0"/>
    <n v="2"/>
    <n v="1"/>
    <x v="2"/>
    <b v="0"/>
    <n v="4"/>
    <x v="6"/>
    <n v="1"/>
    <n v="0.2"/>
    <x v="0"/>
    <n v="0.1515"/>
    <n v="0.44"/>
    <s v="Less Humidity"/>
    <n v="0.52239999999999998"/>
    <x v="2"/>
    <n v="0"/>
    <n v="5"/>
    <n v="5"/>
    <s v="Low"/>
  </r>
  <r>
    <n v="738"/>
    <d v="2011-02-03T00:00:00"/>
    <n v="1"/>
    <n v="0"/>
    <n v="2"/>
    <n v="2"/>
    <x v="2"/>
    <b v="0"/>
    <n v="4"/>
    <x v="6"/>
    <n v="1"/>
    <n v="0.18"/>
    <x v="0"/>
    <n v="0.16669999999999999"/>
    <n v="0.43"/>
    <s v="Less Humidity"/>
    <n v="0.25369999999999998"/>
    <x v="1"/>
    <n v="0"/>
    <n v="2"/>
    <n v="2"/>
    <s v="Low"/>
  </r>
  <r>
    <n v="739"/>
    <d v="2011-02-03T00:00:00"/>
    <n v="1"/>
    <n v="0"/>
    <n v="2"/>
    <n v="3"/>
    <x v="2"/>
    <b v="0"/>
    <n v="4"/>
    <x v="6"/>
    <n v="1"/>
    <n v="0.18"/>
    <x v="0"/>
    <n v="0.16669999999999999"/>
    <n v="0.43"/>
    <s v="Less Humidity"/>
    <n v="0.25369999999999998"/>
    <x v="1"/>
    <n v="0"/>
    <n v="1"/>
    <n v="1"/>
    <s v="Low"/>
  </r>
  <r>
    <n v="740"/>
    <d v="2011-02-03T00:00:00"/>
    <n v="1"/>
    <n v="0"/>
    <n v="2"/>
    <n v="5"/>
    <x v="3"/>
    <b v="0"/>
    <n v="4"/>
    <x v="6"/>
    <n v="1"/>
    <n v="0.16"/>
    <x v="0"/>
    <n v="0.13639999999999999"/>
    <n v="0.5"/>
    <s v="Less Humidity"/>
    <n v="0.29849999999999999"/>
    <x v="1"/>
    <n v="0"/>
    <n v="2"/>
    <n v="2"/>
    <s v="Low"/>
  </r>
  <r>
    <n v="741"/>
    <d v="2011-02-03T00:00:00"/>
    <n v="1"/>
    <n v="0"/>
    <n v="2"/>
    <n v="6"/>
    <x v="3"/>
    <b v="0"/>
    <n v="4"/>
    <x v="6"/>
    <n v="1"/>
    <n v="0.16"/>
    <x v="0"/>
    <n v="0.13639999999999999"/>
    <n v="0.43"/>
    <s v="Less Humidity"/>
    <n v="0.35820000000000002"/>
    <x v="1"/>
    <n v="0"/>
    <n v="39"/>
    <n v="39"/>
    <s v="Low"/>
  </r>
  <r>
    <n v="742"/>
    <d v="2011-02-03T00:00:00"/>
    <n v="1"/>
    <n v="0"/>
    <n v="2"/>
    <n v="7"/>
    <x v="4"/>
    <b v="0"/>
    <n v="4"/>
    <x v="6"/>
    <n v="1"/>
    <n v="0.14000000000000001"/>
    <x v="1"/>
    <n v="0.1212"/>
    <n v="0.5"/>
    <s v="Less Humidity"/>
    <n v="0.32840000000000003"/>
    <x v="1"/>
    <n v="1"/>
    <n v="86"/>
    <n v="87"/>
    <s v="Medium"/>
  </r>
  <r>
    <n v="743"/>
    <d v="2011-02-03T00:00:00"/>
    <n v="1"/>
    <n v="0"/>
    <n v="2"/>
    <n v="8"/>
    <x v="4"/>
    <b v="0"/>
    <n v="4"/>
    <x v="6"/>
    <n v="1"/>
    <n v="0.14000000000000001"/>
    <x v="1"/>
    <n v="0.1212"/>
    <n v="0.5"/>
    <s v="Less Humidity"/>
    <n v="0.35820000000000002"/>
    <x v="1"/>
    <n v="4"/>
    <n v="184"/>
    <n v="188"/>
    <s v="High"/>
  </r>
  <r>
    <n v="744"/>
    <d v="2011-02-03T00:00:00"/>
    <n v="1"/>
    <n v="0"/>
    <n v="2"/>
    <n v="9"/>
    <x v="4"/>
    <b v="0"/>
    <n v="4"/>
    <x v="6"/>
    <n v="1"/>
    <n v="0.16"/>
    <x v="0"/>
    <n v="0.13639999999999999"/>
    <n v="0.47"/>
    <s v="Less Humidity"/>
    <n v="0.29849999999999999"/>
    <x v="1"/>
    <n v="6"/>
    <n v="127"/>
    <n v="133"/>
    <s v="Medium"/>
  </r>
  <r>
    <n v="745"/>
    <d v="2011-02-03T00:00:00"/>
    <n v="1"/>
    <n v="0"/>
    <n v="2"/>
    <n v="10"/>
    <x v="4"/>
    <b v="0"/>
    <n v="4"/>
    <x v="6"/>
    <n v="1"/>
    <n v="0.18"/>
    <x v="0"/>
    <n v="0.1515"/>
    <n v="0.43"/>
    <s v="Less Humidity"/>
    <n v="0.32840000000000003"/>
    <x v="1"/>
    <n v="2"/>
    <n v="50"/>
    <n v="52"/>
    <s v="Low"/>
  </r>
  <r>
    <n v="746"/>
    <d v="2011-02-03T00:00:00"/>
    <n v="1"/>
    <n v="0"/>
    <n v="2"/>
    <n v="11"/>
    <x v="0"/>
    <b v="0"/>
    <n v="4"/>
    <x v="6"/>
    <n v="1"/>
    <n v="0.18"/>
    <x v="0"/>
    <n v="0.13639999999999999"/>
    <n v="0.43"/>
    <s v="Less Humidity"/>
    <n v="0.44779999999999998"/>
    <x v="2"/>
    <n v="9"/>
    <n v="55"/>
    <n v="64"/>
    <s v="Low"/>
  </r>
  <r>
    <n v="747"/>
    <d v="2011-02-03T00:00:00"/>
    <n v="1"/>
    <n v="0"/>
    <n v="2"/>
    <n v="12"/>
    <x v="0"/>
    <b v="0"/>
    <n v="4"/>
    <x v="6"/>
    <n v="1"/>
    <n v="0.2"/>
    <x v="0"/>
    <n v="0.18179999999999999"/>
    <n v="0.4"/>
    <s v="Dry"/>
    <n v="0.35820000000000002"/>
    <x v="1"/>
    <n v="2"/>
    <n v="67"/>
    <n v="69"/>
    <s v="Low"/>
  </r>
  <r>
    <n v="748"/>
    <d v="2011-02-03T00:00:00"/>
    <n v="1"/>
    <n v="0"/>
    <n v="2"/>
    <n v="13"/>
    <x v="0"/>
    <b v="0"/>
    <n v="4"/>
    <x v="6"/>
    <n v="1"/>
    <n v="0.2"/>
    <x v="0"/>
    <n v="0.16669999999999999"/>
    <n v="0.4"/>
    <s v="Dry"/>
    <n v="0.41789999999999999"/>
    <x v="2"/>
    <n v="4"/>
    <n v="47"/>
    <n v="51"/>
    <s v="Low"/>
  </r>
  <r>
    <n v="749"/>
    <d v="2011-02-03T00:00:00"/>
    <n v="1"/>
    <n v="0"/>
    <n v="2"/>
    <n v="14"/>
    <x v="0"/>
    <b v="0"/>
    <n v="4"/>
    <x v="6"/>
    <n v="1"/>
    <n v="0.22"/>
    <x v="0"/>
    <n v="0.19700000000000001"/>
    <n v="0.37"/>
    <s v="Dry"/>
    <n v="0.3881"/>
    <x v="1"/>
    <n v="4"/>
    <n v="43"/>
    <n v="47"/>
    <s v="Low"/>
  </r>
  <r>
    <n v="750"/>
    <d v="2011-02-03T00:00:00"/>
    <n v="1"/>
    <n v="0"/>
    <n v="2"/>
    <n v="15"/>
    <x v="0"/>
    <b v="0"/>
    <n v="4"/>
    <x v="6"/>
    <n v="1"/>
    <n v="0.22"/>
    <x v="0"/>
    <n v="0.19700000000000001"/>
    <n v="0.37"/>
    <s v="Dry"/>
    <n v="0.32840000000000003"/>
    <x v="1"/>
    <n v="4"/>
    <n v="56"/>
    <n v="60"/>
    <s v="Low"/>
  </r>
  <r>
    <n v="751"/>
    <d v="2011-02-03T00:00:00"/>
    <n v="1"/>
    <n v="0"/>
    <n v="2"/>
    <n v="16"/>
    <x v="0"/>
    <b v="0"/>
    <n v="4"/>
    <x v="6"/>
    <n v="1"/>
    <n v="0.22"/>
    <x v="0"/>
    <n v="0.21210000000000001"/>
    <n v="0.37"/>
    <s v="Dry"/>
    <n v="0.25369999999999998"/>
    <x v="1"/>
    <n v="5"/>
    <n v="73"/>
    <n v="78"/>
    <s v="Medium"/>
  </r>
  <r>
    <n v="752"/>
    <d v="2011-02-03T00:00:00"/>
    <n v="1"/>
    <n v="0"/>
    <n v="2"/>
    <n v="17"/>
    <x v="1"/>
    <b v="0"/>
    <n v="4"/>
    <x v="6"/>
    <n v="1"/>
    <n v="0.2"/>
    <x v="0"/>
    <n v="0.19700000000000001"/>
    <n v="0.4"/>
    <s v="Dry"/>
    <n v="0.19400000000000001"/>
    <x v="0"/>
    <n v="5"/>
    <n v="170"/>
    <n v="175"/>
    <s v="High"/>
  </r>
  <r>
    <n v="753"/>
    <d v="2011-02-03T00:00:00"/>
    <n v="1"/>
    <n v="0"/>
    <n v="2"/>
    <n v="18"/>
    <x v="1"/>
    <b v="0"/>
    <n v="4"/>
    <x v="6"/>
    <n v="1"/>
    <n v="0.2"/>
    <x v="0"/>
    <n v="0.21210000000000001"/>
    <n v="0.4"/>
    <s v="Dry"/>
    <n v="0.16420000000000001"/>
    <x v="0"/>
    <n v="2"/>
    <n v="145"/>
    <n v="147"/>
    <s v="Medium"/>
  </r>
  <r>
    <n v="754"/>
    <d v="2011-02-03T00:00:00"/>
    <n v="1"/>
    <n v="0"/>
    <n v="2"/>
    <n v="19"/>
    <x v="1"/>
    <b v="0"/>
    <n v="4"/>
    <x v="6"/>
    <n v="1"/>
    <n v="0.2"/>
    <x v="0"/>
    <n v="0.2576"/>
    <n v="0.4"/>
    <s v="Dry"/>
    <n v="0"/>
    <x v="0"/>
    <n v="4"/>
    <n v="92"/>
    <n v="96"/>
    <s v="Medium"/>
  </r>
  <r>
    <n v="755"/>
    <d v="2011-02-03T00:00:00"/>
    <n v="1"/>
    <n v="0"/>
    <n v="2"/>
    <n v="20"/>
    <x v="1"/>
    <b v="0"/>
    <n v="4"/>
    <x v="6"/>
    <n v="1"/>
    <n v="0.2"/>
    <x v="0"/>
    <n v="0.2273"/>
    <n v="0.47"/>
    <s v="Less Humidity"/>
    <n v="8.9599999999999999E-2"/>
    <x v="0"/>
    <n v="1"/>
    <n v="108"/>
    <n v="109"/>
    <s v="Medium"/>
  </r>
  <r>
    <n v="756"/>
    <d v="2011-02-03T00:00:00"/>
    <n v="1"/>
    <n v="0"/>
    <n v="2"/>
    <n v="21"/>
    <x v="2"/>
    <b v="0"/>
    <n v="4"/>
    <x v="6"/>
    <n v="1"/>
    <n v="0.18"/>
    <x v="0"/>
    <n v="0.21210000000000001"/>
    <n v="0.55000000000000004"/>
    <s v="Less Humidity"/>
    <n v="0.1045"/>
    <x v="0"/>
    <n v="1"/>
    <n v="53"/>
    <n v="54"/>
    <s v="Low"/>
  </r>
  <r>
    <n v="757"/>
    <d v="2011-02-03T00:00:00"/>
    <n v="1"/>
    <n v="0"/>
    <n v="2"/>
    <n v="22"/>
    <x v="2"/>
    <b v="0"/>
    <n v="4"/>
    <x v="6"/>
    <n v="1"/>
    <n v="0.18"/>
    <x v="0"/>
    <n v="0.21210000000000001"/>
    <n v="0.51"/>
    <s v="Less Humidity"/>
    <n v="8.9599999999999999E-2"/>
    <x v="0"/>
    <n v="2"/>
    <n v="39"/>
    <n v="41"/>
    <s v="Low"/>
  </r>
  <r>
    <n v="758"/>
    <d v="2011-02-03T00:00:00"/>
    <n v="1"/>
    <n v="0"/>
    <n v="2"/>
    <n v="23"/>
    <x v="2"/>
    <b v="0"/>
    <n v="4"/>
    <x v="6"/>
    <n v="1"/>
    <n v="0.2"/>
    <x v="0"/>
    <n v="0.2273"/>
    <n v="0.47"/>
    <s v="Less Humidity"/>
    <n v="0.1045"/>
    <x v="0"/>
    <n v="4"/>
    <n v="34"/>
    <n v="38"/>
    <s v="Low"/>
  </r>
  <r>
    <n v="759"/>
    <d v="2011-02-04T00:00:00"/>
    <n v="1"/>
    <n v="0"/>
    <n v="2"/>
    <n v="0"/>
    <x v="2"/>
    <b v="0"/>
    <n v="5"/>
    <x v="0"/>
    <n v="2"/>
    <n v="0.2"/>
    <x v="0"/>
    <n v="0.2576"/>
    <n v="0.44"/>
    <s v="Less Humidity"/>
    <n v="0"/>
    <x v="0"/>
    <n v="3"/>
    <n v="10"/>
    <n v="13"/>
    <s v="Low"/>
  </r>
  <r>
    <n v="760"/>
    <d v="2011-02-04T00:00:00"/>
    <n v="1"/>
    <n v="0"/>
    <n v="2"/>
    <n v="1"/>
    <x v="2"/>
    <b v="0"/>
    <n v="5"/>
    <x v="0"/>
    <n v="2"/>
    <n v="0.16"/>
    <x v="0"/>
    <n v="0.2273"/>
    <n v="0.59"/>
    <s v="Less Humidity"/>
    <n v="0"/>
    <x v="0"/>
    <n v="0"/>
    <n v="7"/>
    <n v="7"/>
    <s v="Low"/>
  </r>
  <r>
    <n v="761"/>
    <d v="2011-02-04T00:00:00"/>
    <n v="1"/>
    <n v="0"/>
    <n v="2"/>
    <n v="2"/>
    <x v="2"/>
    <b v="0"/>
    <n v="5"/>
    <x v="0"/>
    <n v="2"/>
    <n v="0.14000000000000001"/>
    <x v="1"/>
    <n v="0.16669999999999999"/>
    <n v="0.63"/>
    <s v="High Humidity"/>
    <n v="0.1045"/>
    <x v="0"/>
    <n v="0"/>
    <n v="1"/>
    <n v="1"/>
    <s v="Low"/>
  </r>
  <r>
    <n v="762"/>
    <d v="2011-02-04T00:00:00"/>
    <n v="1"/>
    <n v="0"/>
    <n v="2"/>
    <n v="3"/>
    <x v="2"/>
    <b v="0"/>
    <n v="5"/>
    <x v="0"/>
    <n v="2"/>
    <n v="0.14000000000000001"/>
    <x v="1"/>
    <n v="0.16669999999999999"/>
    <n v="0.63"/>
    <s v="High Humidity"/>
    <n v="0.1045"/>
    <x v="0"/>
    <n v="0"/>
    <n v="1"/>
    <n v="1"/>
    <s v="Low"/>
  </r>
  <r>
    <n v="763"/>
    <d v="2011-02-04T00:00:00"/>
    <n v="1"/>
    <n v="0"/>
    <n v="2"/>
    <n v="5"/>
    <x v="3"/>
    <b v="0"/>
    <n v="5"/>
    <x v="0"/>
    <n v="2"/>
    <n v="0.14000000000000001"/>
    <x v="1"/>
    <n v="0.1515"/>
    <n v="0.63"/>
    <s v="High Humidity"/>
    <n v="0.1343"/>
    <x v="0"/>
    <n v="0"/>
    <n v="7"/>
    <n v="7"/>
    <s v="Low"/>
  </r>
  <r>
    <n v="764"/>
    <d v="2011-02-04T00:00:00"/>
    <n v="1"/>
    <n v="0"/>
    <n v="2"/>
    <n v="6"/>
    <x v="3"/>
    <b v="0"/>
    <n v="5"/>
    <x v="0"/>
    <n v="2"/>
    <n v="0.16"/>
    <x v="0"/>
    <n v="0.2273"/>
    <n v="0.55000000000000004"/>
    <s v="Less Humidity"/>
    <n v="0"/>
    <x v="0"/>
    <n v="2"/>
    <n v="26"/>
    <n v="28"/>
    <s v="Low"/>
  </r>
  <r>
    <n v="765"/>
    <d v="2011-02-04T00:00:00"/>
    <n v="1"/>
    <n v="0"/>
    <n v="2"/>
    <n v="7"/>
    <x v="4"/>
    <b v="0"/>
    <n v="5"/>
    <x v="0"/>
    <n v="1"/>
    <n v="0.14000000000000001"/>
    <x v="1"/>
    <n v="0.21210000000000001"/>
    <n v="0.59"/>
    <s v="Less Humidity"/>
    <n v="0"/>
    <x v="0"/>
    <n v="0"/>
    <n v="87"/>
    <n v="87"/>
    <s v="Medium"/>
  </r>
  <r>
    <n v="766"/>
    <d v="2011-02-04T00:00:00"/>
    <n v="1"/>
    <n v="0"/>
    <n v="2"/>
    <n v="8"/>
    <x v="4"/>
    <b v="0"/>
    <n v="5"/>
    <x v="0"/>
    <n v="1"/>
    <n v="0.14000000000000001"/>
    <x v="1"/>
    <n v="0.1515"/>
    <n v="0.74"/>
    <s v="High Humidity"/>
    <n v="0.1343"/>
    <x v="0"/>
    <n v="3"/>
    <n v="217"/>
    <n v="220"/>
    <s v="High"/>
  </r>
  <r>
    <n v="767"/>
    <d v="2011-02-04T00:00:00"/>
    <n v="1"/>
    <n v="0"/>
    <n v="2"/>
    <n v="9"/>
    <x v="4"/>
    <b v="0"/>
    <n v="5"/>
    <x v="0"/>
    <n v="2"/>
    <n v="0.16"/>
    <x v="0"/>
    <n v="0.18179999999999999"/>
    <n v="0.8"/>
    <s v="High Humidity"/>
    <n v="0.1343"/>
    <x v="0"/>
    <n v="3"/>
    <n v="124"/>
    <n v="127"/>
    <s v="Medium"/>
  </r>
  <r>
    <n v="768"/>
    <d v="2011-02-04T00:00:00"/>
    <n v="1"/>
    <n v="0"/>
    <n v="2"/>
    <n v="10"/>
    <x v="4"/>
    <b v="0"/>
    <n v="5"/>
    <x v="0"/>
    <n v="2"/>
    <n v="0.2"/>
    <x v="0"/>
    <n v="0.21210000000000001"/>
    <n v="0.51"/>
    <s v="Less Humidity"/>
    <n v="0.1343"/>
    <x v="0"/>
    <n v="5"/>
    <n v="46"/>
    <n v="51"/>
    <s v="Low"/>
  </r>
  <r>
    <n v="769"/>
    <d v="2011-02-04T00:00:00"/>
    <n v="1"/>
    <n v="0"/>
    <n v="2"/>
    <n v="11"/>
    <x v="0"/>
    <b v="0"/>
    <n v="5"/>
    <x v="0"/>
    <n v="1"/>
    <n v="0.22"/>
    <x v="0"/>
    <n v="0.2273"/>
    <n v="0.51"/>
    <s v="Less Humidity"/>
    <n v="0.16420000000000001"/>
    <x v="0"/>
    <n v="3"/>
    <n v="61"/>
    <n v="64"/>
    <s v="Low"/>
  </r>
  <r>
    <n v="770"/>
    <d v="2011-02-04T00:00:00"/>
    <n v="1"/>
    <n v="0"/>
    <n v="2"/>
    <n v="12"/>
    <x v="0"/>
    <b v="0"/>
    <n v="5"/>
    <x v="0"/>
    <n v="2"/>
    <n v="0.24"/>
    <x v="0"/>
    <n v="0.2424"/>
    <n v="0.48"/>
    <s v="Less Humidity"/>
    <n v="0.16420000000000001"/>
    <x v="0"/>
    <n v="8"/>
    <n v="78"/>
    <n v="86"/>
    <s v="Medium"/>
  </r>
  <r>
    <n v="771"/>
    <d v="2011-02-04T00:00:00"/>
    <n v="1"/>
    <n v="0"/>
    <n v="2"/>
    <n v="13"/>
    <x v="0"/>
    <b v="0"/>
    <n v="5"/>
    <x v="0"/>
    <n v="2"/>
    <n v="0.26"/>
    <x v="2"/>
    <n v="0.2576"/>
    <n v="0.5"/>
    <s v="Less Humidity"/>
    <n v="0.22389999999999999"/>
    <x v="1"/>
    <n v="9"/>
    <n v="73"/>
    <n v="82"/>
    <s v="Medium"/>
  </r>
  <r>
    <n v="772"/>
    <d v="2011-02-04T00:00:00"/>
    <n v="1"/>
    <n v="0"/>
    <n v="2"/>
    <n v="14"/>
    <x v="0"/>
    <b v="0"/>
    <n v="5"/>
    <x v="0"/>
    <n v="2"/>
    <n v="0.28000000000000003"/>
    <x v="2"/>
    <n v="0.2727"/>
    <n v="0.45"/>
    <s v="Less Humidity"/>
    <n v="0.16420000000000001"/>
    <x v="0"/>
    <n v="15"/>
    <n v="76"/>
    <n v="91"/>
    <s v="Medium"/>
  </r>
  <r>
    <n v="773"/>
    <d v="2011-02-04T00:00:00"/>
    <n v="1"/>
    <n v="0"/>
    <n v="2"/>
    <n v="15"/>
    <x v="0"/>
    <b v="0"/>
    <n v="5"/>
    <x v="0"/>
    <n v="2"/>
    <n v="0.28000000000000003"/>
    <x v="2"/>
    <n v="0.2727"/>
    <n v="0.48"/>
    <s v="Less Humidity"/>
    <n v="0.25369999999999998"/>
    <x v="1"/>
    <n v="9"/>
    <n v="81"/>
    <n v="90"/>
    <s v="Medium"/>
  </r>
  <r>
    <n v="774"/>
    <d v="2011-02-04T00:00:00"/>
    <n v="1"/>
    <n v="0"/>
    <n v="2"/>
    <n v="16"/>
    <x v="0"/>
    <b v="0"/>
    <n v="5"/>
    <x v="0"/>
    <n v="2"/>
    <n v="0.3"/>
    <x v="2"/>
    <n v="0.28789999999999999"/>
    <n v="0.42"/>
    <s v="Less Humidity"/>
    <n v="0.22389999999999999"/>
    <x v="1"/>
    <n v="8"/>
    <n v="91"/>
    <n v="99"/>
    <s v="Medium"/>
  </r>
  <r>
    <n v="775"/>
    <d v="2011-02-04T00:00:00"/>
    <n v="1"/>
    <n v="0"/>
    <n v="2"/>
    <n v="17"/>
    <x v="1"/>
    <b v="0"/>
    <n v="5"/>
    <x v="0"/>
    <n v="2"/>
    <n v="0.26"/>
    <x v="2"/>
    <n v="0.2727"/>
    <n v="0.56000000000000005"/>
    <s v="Less Humidity"/>
    <n v="0.1343"/>
    <x v="0"/>
    <n v="10"/>
    <n v="195"/>
    <n v="205"/>
    <s v="High"/>
  </r>
  <r>
    <n v="776"/>
    <d v="2011-02-04T00:00:00"/>
    <n v="1"/>
    <n v="0"/>
    <n v="2"/>
    <n v="18"/>
    <x v="1"/>
    <b v="0"/>
    <n v="5"/>
    <x v="0"/>
    <n v="2"/>
    <n v="0.24"/>
    <x v="0"/>
    <n v="0.2576"/>
    <n v="0.6"/>
    <s v="Humid"/>
    <n v="0.1045"/>
    <x v="0"/>
    <n v="3"/>
    <n v="152"/>
    <n v="155"/>
    <s v="Medium"/>
  </r>
  <r>
    <n v="777"/>
    <d v="2011-02-04T00:00:00"/>
    <n v="1"/>
    <n v="0"/>
    <n v="2"/>
    <n v="19"/>
    <x v="1"/>
    <b v="0"/>
    <n v="5"/>
    <x v="0"/>
    <n v="2"/>
    <n v="0.24"/>
    <x v="0"/>
    <n v="0.2424"/>
    <n v="0.65"/>
    <s v="High Humidity"/>
    <n v="0.1343"/>
    <x v="0"/>
    <n v="1"/>
    <n v="102"/>
    <n v="103"/>
    <s v="Medium"/>
  </r>
  <r>
    <n v="778"/>
    <d v="2011-02-04T00:00:00"/>
    <n v="1"/>
    <n v="0"/>
    <n v="2"/>
    <n v="20"/>
    <x v="1"/>
    <b v="0"/>
    <n v="5"/>
    <x v="0"/>
    <n v="2"/>
    <n v="0.24"/>
    <x v="0"/>
    <n v="0.2424"/>
    <n v="0.65"/>
    <s v="High Humidity"/>
    <n v="0.16420000000000001"/>
    <x v="0"/>
    <n v="2"/>
    <n v="69"/>
    <n v="71"/>
    <s v="Medium"/>
  </r>
  <r>
    <n v="779"/>
    <d v="2011-02-04T00:00:00"/>
    <n v="1"/>
    <n v="0"/>
    <n v="2"/>
    <n v="21"/>
    <x v="2"/>
    <b v="0"/>
    <n v="5"/>
    <x v="0"/>
    <n v="2"/>
    <n v="0.24"/>
    <x v="0"/>
    <n v="0.2424"/>
    <n v="0.7"/>
    <s v="High Humidity"/>
    <n v="0.16420000000000001"/>
    <x v="0"/>
    <n v="2"/>
    <n v="41"/>
    <n v="43"/>
    <s v="Low"/>
  </r>
  <r>
    <n v="780"/>
    <d v="2011-02-04T00:00:00"/>
    <n v="1"/>
    <n v="0"/>
    <n v="2"/>
    <n v="22"/>
    <x v="2"/>
    <b v="0"/>
    <n v="5"/>
    <x v="0"/>
    <n v="2"/>
    <n v="0.24"/>
    <x v="0"/>
    <n v="0.2424"/>
    <n v="0.65"/>
    <s v="High Humidity"/>
    <n v="0.16420000000000001"/>
    <x v="0"/>
    <n v="1"/>
    <n v="45"/>
    <n v="46"/>
    <s v="Low"/>
  </r>
  <r>
    <n v="781"/>
    <d v="2011-02-04T00:00:00"/>
    <n v="1"/>
    <n v="0"/>
    <n v="2"/>
    <n v="23"/>
    <x v="2"/>
    <b v="0"/>
    <n v="5"/>
    <x v="0"/>
    <n v="2"/>
    <n v="0.24"/>
    <x v="0"/>
    <n v="0.2424"/>
    <n v="0.7"/>
    <s v="High Humidity"/>
    <n v="0.1343"/>
    <x v="0"/>
    <n v="1"/>
    <n v="30"/>
    <n v="31"/>
    <s v="Low"/>
  </r>
  <r>
    <n v="782"/>
    <d v="2011-02-05T00:00:00"/>
    <n v="1"/>
    <n v="0"/>
    <n v="2"/>
    <n v="0"/>
    <x v="2"/>
    <b v="0"/>
    <n v="6"/>
    <x v="1"/>
    <n v="2"/>
    <n v="0.24"/>
    <x v="0"/>
    <n v="0.2424"/>
    <n v="0.7"/>
    <s v="High Humidity"/>
    <n v="0.16420000000000001"/>
    <x v="0"/>
    <n v="3"/>
    <n v="36"/>
    <n v="39"/>
    <s v="Low"/>
  </r>
  <r>
    <n v="783"/>
    <d v="2011-02-05T00:00:00"/>
    <n v="1"/>
    <n v="0"/>
    <n v="2"/>
    <n v="1"/>
    <x v="2"/>
    <b v="0"/>
    <n v="6"/>
    <x v="1"/>
    <n v="2"/>
    <n v="0.24"/>
    <x v="0"/>
    <n v="0.2424"/>
    <n v="0.65"/>
    <s v="High Humidity"/>
    <n v="0.16420000000000001"/>
    <x v="0"/>
    <n v="1"/>
    <n v="17"/>
    <n v="18"/>
    <s v="Low"/>
  </r>
  <r>
    <n v="784"/>
    <d v="2011-02-05T00:00:00"/>
    <n v="1"/>
    <n v="0"/>
    <n v="2"/>
    <n v="2"/>
    <x v="2"/>
    <b v="0"/>
    <n v="6"/>
    <x v="1"/>
    <n v="2"/>
    <n v="0.24"/>
    <x v="0"/>
    <n v="0.2424"/>
    <n v="0.75"/>
    <s v="High Humidity"/>
    <n v="0.16420000000000001"/>
    <x v="0"/>
    <n v="5"/>
    <n v="12"/>
    <n v="17"/>
    <s v="Low"/>
  </r>
  <r>
    <n v="785"/>
    <d v="2011-02-05T00:00:00"/>
    <n v="1"/>
    <n v="0"/>
    <n v="2"/>
    <n v="3"/>
    <x v="2"/>
    <b v="0"/>
    <n v="6"/>
    <x v="1"/>
    <n v="2"/>
    <n v="0.24"/>
    <x v="0"/>
    <n v="0.2424"/>
    <n v="0.75"/>
    <s v="High Humidity"/>
    <n v="0.16420000000000001"/>
    <x v="0"/>
    <n v="1"/>
    <n v="10"/>
    <n v="11"/>
    <s v="Low"/>
  </r>
  <r>
    <n v="786"/>
    <d v="2011-02-05T00:00:00"/>
    <n v="1"/>
    <n v="0"/>
    <n v="2"/>
    <n v="4"/>
    <x v="3"/>
    <b v="0"/>
    <n v="6"/>
    <x v="1"/>
    <n v="3"/>
    <n v="0.22"/>
    <x v="0"/>
    <n v="0.2273"/>
    <n v="0.93"/>
    <s v="High Humidity"/>
    <n v="0.1343"/>
    <x v="0"/>
    <n v="0"/>
    <n v="8"/>
    <n v="8"/>
    <s v="Low"/>
  </r>
  <r>
    <n v="787"/>
    <d v="2011-02-05T00:00:00"/>
    <n v="1"/>
    <n v="0"/>
    <n v="2"/>
    <n v="5"/>
    <x v="3"/>
    <b v="0"/>
    <n v="6"/>
    <x v="1"/>
    <n v="3"/>
    <n v="0.2"/>
    <x v="0"/>
    <n v="0.2273"/>
    <n v="1"/>
    <s v="High Humidity"/>
    <n v="8.9599999999999999E-2"/>
    <x v="0"/>
    <n v="0"/>
    <n v="9"/>
    <n v="9"/>
    <s v="Low"/>
  </r>
  <r>
    <n v="788"/>
    <d v="2011-02-05T00:00:00"/>
    <n v="1"/>
    <n v="0"/>
    <n v="2"/>
    <n v="6"/>
    <x v="3"/>
    <b v="0"/>
    <n v="6"/>
    <x v="1"/>
    <n v="3"/>
    <n v="0.2"/>
    <x v="0"/>
    <n v="0.2576"/>
    <n v="1"/>
    <s v="High Humidity"/>
    <n v="0"/>
    <x v="0"/>
    <n v="0"/>
    <n v="4"/>
    <n v="4"/>
    <s v="Low"/>
  </r>
  <r>
    <n v="789"/>
    <d v="2011-02-05T00:00:00"/>
    <n v="1"/>
    <n v="0"/>
    <n v="2"/>
    <n v="7"/>
    <x v="4"/>
    <b v="0"/>
    <n v="6"/>
    <x v="1"/>
    <n v="3"/>
    <n v="0.22"/>
    <x v="0"/>
    <n v="0.2576"/>
    <n v="0.93"/>
    <s v="High Humidity"/>
    <n v="8.9599999999999999E-2"/>
    <x v="0"/>
    <n v="0"/>
    <n v="4"/>
    <n v="4"/>
    <s v="Low"/>
  </r>
  <r>
    <n v="790"/>
    <d v="2011-02-05T00:00:00"/>
    <n v="1"/>
    <n v="0"/>
    <n v="2"/>
    <n v="8"/>
    <x v="4"/>
    <b v="0"/>
    <n v="6"/>
    <x v="1"/>
    <n v="3"/>
    <n v="0.2"/>
    <x v="0"/>
    <n v="0.2273"/>
    <n v="1"/>
    <s v="High Humidity"/>
    <n v="8.9599999999999999E-2"/>
    <x v="0"/>
    <n v="0"/>
    <n v="10"/>
    <n v="10"/>
    <s v="Low"/>
  </r>
  <r>
    <n v="791"/>
    <d v="2011-02-05T00:00:00"/>
    <n v="1"/>
    <n v="0"/>
    <n v="2"/>
    <n v="9"/>
    <x v="4"/>
    <b v="0"/>
    <n v="6"/>
    <x v="1"/>
    <n v="3"/>
    <n v="0.2"/>
    <x v="0"/>
    <n v="0.2273"/>
    <n v="1"/>
    <s v="High Humidity"/>
    <n v="8.9599999999999999E-2"/>
    <x v="0"/>
    <n v="3"/>
    <n v="17"/>
    <n v="20"/>
    <s v="Low"/>
  </r>
  <r>
    <n v="792"/>
    <d v="2011-02-05T00:00:00"/>
    <n v="1"/>
    <n v="0"/>
    <n v="2"/>
    <n v="10"/>
    <x v="4"/>
    <b v="0"/>
    <n v="6"/>
    <x v="1"/>
    <n v="3"/>
    <n v="0.2"/>
    <x v="0"/>
    <n v="0.21210000000000001"/>
    <n v="1"/>
    <s v="High Humidity"/>
    <n v="0.1343"/>
    <x v="0"/>
    <n v="3"/>
    <n v="31"/>
    <n v="34"/>
    <s v="Low"/>
  </r>
  <r>
    <n v="793"/>
    <d v="2011-02-05T00:00:00"/>
    <n v="1"/>
    <n v="0"/>
    <n v="2"/>
    <n v="11"/>
    <x v="0"/>
    <b v="0"/>
    <n v="6"/>
    <x v="1"/>
    <n v="3"/>
    <n v="0.22"/>
    <x v="0"/>
    <n v="0.2273"/>
    <n v="1"/>
    <s v="High Humidity"/>
    <n v="0.1343"/>
    <x v="0"/>
    <n v="1"/>
    <n v="46"/>
    <n v="47"/>
    <s v="Low"/>
  </r>
  <r>
    <n v="794"/>
    <d v="2011-02-05T00:00:00"/>
    <n v="1"/>
    <n v="0"/>
    <n v="2"/>
    <n v="12"/>
    <x v="0"/>
    <b v="0"/>
    <n v="6"/>
    <x v="1"/>
    <n v="3"/>
    <n v="0.22"/>
    <x v="0"/>
    <n v="0.2273"/>
    <n v="1"/>
    <s v="High Humidity"/>
    <n v="0.16420000000000001"/>
    <x v="0"/>
    <n v="10"/>
    <n v="42"/>
    <n v="52"/>
    <s v="Low"/>
  </r>
  <r>
    <n v="795"/>
    <d v="2011-02-05T00:00:00"/>
    <n v="1"/>
    <n v="0"/>
    <n v="2"/>
    <n v="13"/>
    <x v="0"/>
    <b v="0"/>
    <n v="6"/>
    <x v="1"/>
    <n v="3"/>
    <n v="0.22"/>
    <x v="0"/>
    <n v="0.2273"/>
    <n v="1"/>
    <s v="High Humidity"/>
    <n v="0.16420000000000001"/>
    <x v="0"/>
    <n v="10"/>
    <n v="62"/>
    <n v="72"/>
    <s v="Medium"/>
  </r>
  <r>
    <n v="796"/>
    <d v="2011-02-05T00:00:00"/>
    <n v="1"/>
    <n v="0"/>
    <n v="2"/>
    <n v="14"/>
    <x v="0"/>
    <b v="0"/>
    <n v="6"/>
    <x v="1"/>
    <n v="3"/>
    <n v="0.22"/>
    <x v="0"/>
    <n v="0.2727"/>
    <n v="1"/>
    <s v="High Humidity"/>
    <n v="0"/>
    <x v="0"/>
    <n v="5"/>
    <n v="50"/>
    <n v="55"/>
    <s v="Low"/>
  </r>
  <r>
    <n v="797"/>
    <d v="2011-02-05T00:00:00"/>
    <n v="1"/>
    <n v="0"/>
    <n v="2"/>
    <n v="15"/>
    <x v="0"/>
    <b v="0"/>
    <n v="6"/>
    <x v="1"/>
    <n v="3"/>
    <n v="0.22"/>
    <x v="0"/>
    <n v="0.2727"/>
    <n v="1"/>
    <s v="High Humidity"/>
    <n v="0"/>
    <x v="0"/>
    <n v="11"/>
    <n v="49"/>
    <n v="60"/>
    <s v="Low"/>
  </r>
  <r>
    <n v="798"/>
    <d v="2011-02-05T00:00:00"/>
    <n v="1"/>
    <n v="0"/>
    <n v="2"/>
    <n v="16"/>
    <x v="0"/>
    <b v="0"/>
    <n v="6"/>
    <x v="1"/>
    <n v="3"/>
    <n v="0.22"/>
    <x v="0"/>
    <n v="0.2273"/>
    <n v="1"/>
    <s v="High Humidity"/>
    <n v="0.1343"/>
    <x v="0"/>
    <n v="8"/>
    <n v="63"/>
    <n v="71"/>
    <s v="Medium"/>
  </r>
  <r>
    <n v="799"/>
    <d v="2011-02-05T00:00:00"/>
    <n v="1"/>
    <n v="0"/>
    <n v="2"/>
    <n v="17"/>
    <x v="1"/>
    <b v="0"/>
    <n v="6"/>
    <x v="1"/>
    <n v="2"/>
    <n v="0.24"/>
    <x v="0"/>
    <n v="0.21210000000000001"/>
    <n v="1"/>
    <s v="High Humidity"/>
    <n v="0.28360000000000002"/>
    <x v="1"/>
    <n v="14"/>
    <n v="64"/>
    <n v="78"/>
    <s v="Medium"/>
  </r>
  <r>
    <n v="800"/>
    <d v="2011-02-05T00:00:00"/>
    <n v="1"/>
    <n v="0"/>
    <n v="2"/>
    <n v="18"/>
    <x v="1"/>
    <b v="0"/>
    <n v="6"/>
    <x v="1"/>
    <n v="2"/>
    <n v="0.28000000000000003"/>
    <x v="2"/>
    <n v="0.2424"/>
    <n v="0.93"/>
    <s v="High Humidity"/>
    <n v="0.44779999999999998"/>
    <x v="2"/>
    <n v="2"/>
    <n v="81"/>
    <n v="83"/>
    <s v="Medium"/>
  </r>
  <r>
    <n v="801"/>
    <d v="2011-02-05T00:00:00"/>
    <n v="1"/>
    <n v="0"/>
    <n v="2"/>
    <n v="19"/>
    <x v="1"/>
    <b v="0"/>
    <n v="6"/>
    <x v="1"/>
    <n v="2"/>
    <n v="0.28000000000000003"/>
    <x v="2"/>
    <n v="0.2424"/>
    <n v="0.93"/>
    <s v="High Humidity"/>
    <n v="0.44779999999999998"/>
    <x v="2"/>
    <n v="6"/>
    <n v="78"/>
    <n v="84"/>
    <s v="Medium"/>
  </r>
  <r>
    <n v="802"/>
    <d v="2011-02-05T00:00:00"/>
    <n v="1"/>
    <n v="0"/>
    <n v="2"/>
    <n v="20"/>
    <x v="1"/>
    <b v="0"/>
    <n v="6"/>
    <x v="1"/>
    <n v="1"/>
    <n v="0.3"/>
    <x v="2"/>
    <n v="0.28789999999999999"/>
    <n v="0.87"/>
    <s v="High Humidity"/>
    <n v="0.25369999999999998"/>
    <x v="1"/>
    <n v="5"/>
    <n v="64"/>
    <n v="69"/>
    <s v="Low"/>
  </r>
  <r>
    <n v="803"/>
    <d v="2011-02-05T00:00:00"/>
    <n v="1"/>
    <n v="0"/>
    <n v="2"/>
    <n v="21"/>
    <x v="2"/>
    <b v="0"/>
    <n v="6"/>
    <x v="1"/>
    <n v="1"/>
    <n v="0.26"/>
    <x v="2"/>
    <n v="0.2576"/>
    <n v="1"/>
    <s v="High Humidity"/>
    <n v="0.19400000000000001"/>
    <x v="0"/>
    <n v="3"/>
    <n v="53"/>
    <n v="56"/>
    <s v="Low"/>
  </r>
  <r>
    <n v="804"/>
    <d v="2011-02-05T00:00:00"/>
    <n v="1"/>
    <n v="0"/>
    <n v="2"/>
    <n v="22"/>
    <x v="2"/>
    <b v="0"/>
    <n v="6"/>
    <x v="1"/>
    <n v="1"/>
    <n v="0.26"/>
    <x v="2"/>
    <n v="0.2727"/>
    <n v="0.93"/>
    <s v="High Humidity"/>
    <n v="0.1343"/>
    <x v="0"/>
    <n v="2"/>
    <n v="43"/>
    <n v="45"/>
    <s v="Low"/>
  </r>
  <r>
    <n v="805"/>
    <d v="2011-02-05T00:00:00"/>
    <n v="1"/>
    <n v="0"/>
    <n v="2"/>
    <n v="23"/>
    <x v="2"/>
    <b v="0"/>
    <n v="6"/>
    <x v="1"/>
    <n v="1"/>
    <n v="0.26"/>
    <x v="2"/>
    <n v="0.2576"/>
    <n v="0.93"/>
    <s v="High Humidity"/>
    <n v="0.22389999999999999"/>
    <x v="1"/>
    <n v="7"/>
    <n v="52"/>
    <n v="59"/>
    <s v="Low"/>
  </r>
  <r>
    <n v="806"/>
    <d v="2011-02-06T00:00:00"/>
    <n v="1"/>
    <n v="0"/>
    <n v="2"/>
    <n v="0"/>
    <x v="2"/>
    <b v="0"/>
    <n v="0"/>
    <x v="2"/>
    <n v="1"/>
    <n v="0.26"/>
    <x v="2"/>
    <n v="0.2576"/>
    <n v="0.7"/>
    <s v="High Humidity"/>
    <n v="0.19400000000000001"/>
    <x v="0"/>
    <n v="2"/>
    <n v="37"/>
    <n v="39"/>
    <s v="Low"/>
  </r>
  <r>
    <n v="807"/>
    <d v="2011-02-06T00:00:00"/>
    <n v="1"/>
    <n v="0"/>
    <n v="2"/>
    <n v="1"/>
    <x v="2"/>
    <b v="0"/>
    <n v="0"/>
    <x v="2"/>
    <n v="1"/>
    <n v="0.26"/>
    <x v="2"/>
    <n v="0.2273"/>
    <n v="0.65"/>
    <s v="High Humidity"/>
    <n v="0.41789999999999999"/>
    <x v="2"/>
    <n v="4"/>
    <n v="40"/>
    <n v="44"/>
    <s v="Low"/>
  </r>
  <r>
    <n v="808"/>
    <d v="2011-02-06T00:00:00"/>
    <n v="1"/>
    <n v="0"/>
    <n v="2"/>
    <n v="2"/>
    <x v="2"/>
    <b v="0"/>
    <n v="0"/>
    <x v="2"/>
    <n v="1"/>
    <n v="0.26"/>
    <x v="2"/>
    <n v="0.2273"/>
    <n v="0.6"/>
    <s v="Humid"/>
    <n v="0.32840000000000003"/>
    <x v="1"/>
    <n v="0"/>
    <n v="20"/>
    <n v="20"/>
    <s v="Low"/>
  </r>
  <r>
    <n v="809"/>
    <d v="2011-02-06T00:00:00"/>
    <n v="1"/>
    <n v="0"/>
    <n v="2"/>
    <n v="3"/>
    <x v="2"/>
    <b v="0"/>
    <n v="0"/>
    <x v="2"/>
    <n v="1"/>
    <n v="0.26"/>
    <x v="2"/>
    <n v="0.28789999999999999"/>
    <n v="0.6"/>
    <s v="Humid"/>
    <n v="8.9599999999999999E-2"/>
    <x v="0"/>
    <n v="3"/>
    <n v="10"/>
    <n v="13"/>
    <s v="Low"/>
  </r>
  <r>
    <n v="810"/>
    <d v="2011-02-06T00:00:00"/>
    <n v="1"/>
    <n v="0"/>
    <n v="2"/>
    <n v="4"/>
    <x v="3"/>
    <b v="0"/>
    <n v="0"/>
    <x v="2"/>
    <n v="1"/>
    <n v="0.26"/>
    <x v="2"/>
    <n v="0.2273"/>
    <n v="0.6"/>
    <s v="Humid"/>
    <n v="0.35820000000000002"/>
    <x v="1"/>
    <n v="0"/>
    <n v="2"/>
    <n v="2"/>
    <s v="Low"/>
  </r>
  <r>
    <n v="811"/>
    <d v="2011-02-06T00:00:00"/>
    <n v="1"/>
    <n v="0"/>
    <n v="2"/>
    <n v="5"/>
    <x v="3"/>
    <b v="0"/>
    <n v="0"/>
    <x v="2"/>
    <n v="1"/>
    <n v="0.26"/>
    <x v="2"/>
    <n v="0.2576"/>
    <n v="0.6"/>
    <s v="Humid"/>
    <n v="0.22389999999999999"/>
    <x v="1"/>
    <n v="0"/>
    <n v="1"/>
    <n v="1"/>
    <s v="Low"/>
  </r>
  <r>
    <n v="812"/>
    <d v="2011-02-06T00:00:00"/>
    <n v="1"/>
    <n v="0"/>
    <n v="2"/>
    <n v="6"/>
    <x v="3"/>
    <b v="0"/>
    <n v="0"/>
    <x v="2"/>
    <n v="1"/>
    <n v="0.26"/>
    <x v="2"/>
    <n v="0.2576"/>
    <n v="0.6"/>
    <s v="Humid"/>
    <n v="0.22389999999999999"/>
    <x v="1"/>
    <n v="0"/>
    <n v="1"/>
    <n v="1"/>
    <s v="Low"/>
  </r>
  <r>
    <n v="813"/>
    <d v="2011-02-06T00:00:00"/>
    <n v="1"/>
    <n v="0"/>
    <n v="2"/>
    <n v="7"/>
    <x v="4"/>
    <b v="0"/>
    <n v="0"/>
    <x v="2"/>
    <n v="1"/>
    <n v="0.24"/>
    <x v="0"/>
    <n v="0.2424"/>
    <n v="0.65"/>
    <s v="High Humidity"/>
    <n v="0.16420000000000001"/>
    <x v="0"/>
    <n v="0"/>
    <n v="8"/>
    <n v="8"/>
    <s v="Low"/>
  </r>
  <r>
    <n v="814"/>
    <d v="2011-02-06T00:00:00"/>
    <n v="1"/>
    <n v="0"/>
    <n v="2"/>
    <n v="8"/>
    <x v="4"/>
    <b v="0"/>
    <n v="0"/>
    <x v="2"/>
    <n v="1"/>
    <n v="0.24"/>
    <x v="0"/>
    <n v="0.2576"/>
    <n v="0.65"/>
    <s v="High Humidity"/>
    <n v="0.1045"/>
    <x v="0"/>
    <n v="2"/>
    <n v="21"/>
    <n v="23"/>
    <s v="Low"/>
  </r>
  <r>
    <n v="815"/>
    <d v="2011-02-06T00:00:00"/>
    <n v="1"/>
    <n v="0"/>
    <n v="2"/>
    <n v="9"/>
    <x v="4"/>
    <b v="0"/>
    <n v="0"/>
    <x v="2"/>
    <n v="1"/>
    <n v="0.28000000000000003"/>
    <x v="2"/>
    <n v="0.28789999999999999"/>
    <n v="0.56000000000000005"/>
    <s v="Less Humidity"/>
    <n v="0.1045"/>
    <x v="0"/>
    <n v="7"/>
    <n v="38"/>
    <n v="45"/>
    <s v="Low"/>
  </r>
  <r>
    <n v="816"/>
    <d v="2011-02-06T00:00:00"/>
    <n v="1"/>
    <n v="0"/>
    <n v="2"/>
    <n v="10"/>
    <x v="4"/>
    <b v="0"/>
    <n v="0"/>
    <x v="2"/>
    <n v="1"/>
    <n v="0.3"/>
    <x v="2"/>
    <n v="0.28789999999999999"/>
    <n v="0.52"/>
    <s v="Less Humidity"/>
    <n v="0.25369999999999998"/>
    <x v="1"/>
    <n v="15"/>
    <n v="74"/>
    <n v="89"/>
    <s v="Medium"/>
  </r>
  <r>
    <n v="817"/>
    <d v="2011-02-06T00:00:00"/>
    <n v="1"/>
    <n v="0"/>
    <n v="2"/>
    <n v="11"/>
    <x v="0"/>
    <b v="0"/>
    <n v="0"/>
    <x v="2"/>
    <n v="1"/>
    <n v="0.32"/>
    <x v="2"/>
    <n v="0.30299999999999999"/>
    <n v="0.49"/>
    <s v="Less Humidity"/>
    <n v="0.25369999999999998"/>
    <x v="1"/>
    <n v="28"/>
    <n v="89"/>
    <n v="117"/>
    <s v="Medium"/>
  </r>
  <r>
    <n v="818"/>
    <d v="2011-02-06T00:00:00"/>
    <n v="1"/>
    <n v="0"/>
    <n v="2"/>
    <n v="12"/>
    <x v="0"/>
    <b v="0"/>
    <n v="0"/>
    <x v="2"/>
    <n v="1"/>
    <n v="0.34"/>
    <x v="3"/>
    <n v="0.33329999999999999"/>
    <n v="0.46"/>
    <s v="Less Humidity"/>
    <n v="0"/>
    <x v="0"/>
    <n v="48"/>
    <n v="126"/>
    <n v="174"/>
    <s v="High"/>
  </r>
  <r>
    <n v="819"/>
    <d v="2011-02-06T00:00:00"/>
    <n v="1"/>
    <n v="0"/>
    <n v="2"/>
    <n v="13"/>
    <x v="0"/>
    <b v="0"/>
    <n v="0"/>
    <x v="2"/>
    <n v="1"/>
    <n v="0.34"/>
    <x v="3"/>
    <n v="0.36359999999999998"/>
    <n v="0.46"/>
    <s v="Less Humidity"/>
    <n v="0"/>
    <x v="0"/>
    <n v="47"/>
    <n v="135"/>
    <n v="182"/>
    <s v="High"/>
  </r>
  <r>
    <n v="820"/>
    <d v="2011-02-06T00:00:00"/>
    <n v="1"/>
    <n v="0"/>
    <n v="2"/>
    <n v="14"/>
    <x v="0"/>
    <b v="0"/>
    <n v="0"/>
    <x v="2"/>
    <n v="1"/>
    <n v="0.34"/>
    <x v="3"/>
    <n v="0.34849999999999998"/>
    <n v="0.46"/>
    <s v="Less Humidity"/>
    <n v="8.9599999999999999E-2"/>
    <x v="0"/>
    <n v="47"/>
    <n v="114"/>
    <n v="161"/>
    <s v="High"/>
  </r>
  <r>
    <n v="821"/>
    <d v="2011-02-06T00:00:00"/>
    <n v="1"/>
    <n v="0"/>
    <n v="2"/>
    <n v="15"/>
    <x v="0"/>
    <b v="0"/>
    <n v="0"/>
    <x v="2"/>
    <n v="1"/>
    <n v="0.34"/>
    <x v="3"/>
    <n v="0.34849999999999998"/>
    <n v="0.46"/>
    <s v="Less Humidity"/>
    <n v="8.9599999999999999E-2"/>
    <x v="0"/>
    <n v="52"/>
    <n v="130"/>
    <n v="182"/>
    <s v="High"/>
  </r>
  <r>
    <n v="822"/>
    <d v="2011-02-06T00:00:00"/>
    <n v="1"/>
    <n v="0"/>
    <n v="2"/>
    <n v="16"/>
    <x v="0"/>
    <b v="0"/>
    <n v="0"/>
    <x v="2"/>
    <n v="1"/>
    <n v="0.34"/>
    <x v="3"/>
    <n v="0.34849999999999998"/>
    <n v="0.49"/>
    <s v="Less Humidity"/>
    <n v="0.1045"/>
    <x v="0"/>
    <n v="42"/>
    <n v="115"/>
    <n v="157"/>
    <s v="Medium"/>
  </r>
  <r>
    <n v="823"/>
    <d v="2011-02-06T00:00:00"/>
    <n v="1"/>
    <n v="0"/>
    <n v="2"/>
    <n v="17"/>
    <x v="1"/>
    <b v="0"/>
    <n v="0"/>
    <x v="2"/>
    <n v="1"/>
    <n v="0.34"/>
    <x v="3"/>
    <n v="0.36359999999999998"/>
    <n v="0.46"/>
    <s v="Less Humidity"/>
    <n v="0"/>
    <x v="0"/>
    <n v="24"/>
    <n v="97"/>
    <n v="121"/>
    <s v="Medium"/>
  </r>
  <r>
    <n v="824"/>
    <d v="2011-02-06T00:00:00"/>
    <n v="1"/>
    <n v="0"/>
    <n v="2"/>
    <n v="18"/>
    <x v="1"/>
    <b v="0"/>
    <n v="0"/>
    <x v="2"/>
    <n v="1"/>
    <n v="0.3"/>
    <x v="2"/>
    <n v="0.30299999999999999"/>
    <n v="0.56000000000000005"/>
    <s v="Less Humidity"/>
    <n v="0.16420000000000001"/>
    <x v="0"/>
    <n v="13"/>
    <n v="65"/>
    <n v="78"/>
    <s v="Medium"/>
  </r>
  <r>
    <n v="825"/>
    <d v="2011-02-06T00:00:00"/>
    <n v="1"/>
    <n v="0"/>
    <n v="2"/>
    <n v="19"/>
    <x v="1"/>
    <b v="0"/>
    <n v="0"/>
    <x v="2"/>
    <n v="1"/>
    <n v="0.28000000000000003"/>
    <x v="2"/>
    <n v="0.28789999999999999"/>
    <n v="0.61"/>
    <s v="Humid"/>
    <n v="0.1343"/>
    <x v="0"/>
    <n v="1"/>
    <n v="20"/>
    <n v="21"/>
    <s v="Low"/>
  </r>
  <r>
    <n v="826"/>
    <d v="2011-02-06T00:00:00"/>
    <n v="1"/>
    <n v="0"/>
    <n v="2"/>
    <n v="20"/>
    <x v="1"/>
    <b v="0"/>
    <n v="0"/>
    <x v="2"/>
    <n v="1"/>
    <n v="0.28000000000000003"/>
    <x v="2"/>
    <n v="0.28789999999999999"/>
    <n v="0.61"/>
    <s v="Humid"/>
    <n v="0.1045"/>
    <x v="0"/>
    <n v="5"/>
    <n v="21"/>
    <n v="26"/>
    <s v="Low"/>
  </r>
  <r>
    <n v="827"/>
    <d v="2011-02-06T00:00:00"/>
    <n v="1"/>
    <n v="0"/>
    <n v="2"/>
    <n v="21"/>
    <x v="2"/>
    <b v="0"/>
    <n v="0"/>
    <x v="2"/>
    <n v="1"/>
    <n v="0.26"/>
    <x v="2"/>
    <n v="0.30299999999999999"/>
    <n v="0.6"/>
    <s v="Humid"/>
    <n v="0"/>
    <x v="0"/>
    <n v="5"/>
    <n v="22"/>
    <n v="27"/>
    <s v="Low"/>
  </r>
  <r>
    <n v="828"/>
    <d v="2011-02-06T00:00:00"/>
    <n v="1"/>
    <n v="0"/>
    <n v="2"/>
    <n v="22"/>
    <x v="2"/>
    <b v="0"/>
    <n v="0"/>
    <x v="2"/>
    <n v="1"/>
    <n v="0.26"/>
    <x v="2"/>
    <n v="0.30299999999999999"/>
    <n v="0.6"/>
    <s v="Humid"/>
    <n v="0"/>
    <x v="0"/>
    <n v="5"/>
    <n v="57"/>
    <n v="62"/>
    <s v="Low"/>
  </r>
  <r>
    <n v="829"/>
    <d v="2011-02-06T00:00:00"/>
    <n v="1"/>
    <n v="0"/>
    <n v="2"/>
    <n v="23"/>
    <x v="2"/>
    <b v="0"/>
    <n v="0"/>
    <x v="2"/>
    <n v="1"/>
    <n v="0.24"/>
    <x v="0"/>
    <n v="0.28789999999999999"/>
    <n v="0.65"/>
    <s v="High Humidity"/>
    <n v="0"/>
    <x v="0"/>
    <n v="4"/>
    <n v="26"/>
    <n v="30"/>
    <s v="Low"/>
  </r>
  <r>
    <n v="830"/>
    <d v="2011-02-07T00:00:00"/>
    <n v="1"/>
    <n v="0"/>
    <n v="2"/>
    <n v="0"/>
    <x v="2"/>
    <b v="0"/>
    <n v="1"/>
    <x v="3"/>
    <n v="1"/>
    <n v="0.24"/>
    <x v="0"/>
    <n v="0.28789999999999999"/>
    <n v="0.65"/>
    <s v="High Humidity"/>
    <n v="0"/>
    <x v="0"/>
    <n v="1"/>
    <n v="14"/>
    <n v="15"/>
    <s v="Low"/>
  </r>
  <r>
    <n v="831"/>
    <d v="2011-02-07T00:00:00"/>
    <n v="1"/>
    <n v="0"/>
    <n v="2"/>
    <n v="1"/>
    <x v="2"/>
    <b v="0"/>
    <n v="1"/>
    <x v="3"/>
    <n v="1"/>
    <n v="0.22"/>
    <x v="0"/>
    <n v="0.2727"/>
    <n v="0.75"/>
    <s v="High Humidity"/>
    <n v="0"/>
    <x v="0"/>
    <n v="1"/>
    <n v="4"/>
    <n v="5"/>
    <s v="Low"/>
  </r>
  <r>
    <n v="832"/>
    <d v="2011-02-07T00:00:00"/>
    <n v="1"/>
    <n v="0"/>
    <n v="2"/>
    <n v="2"/>
    <x v="2"/>
    <b v="0"/>
    <n v="1"/>
    <x v="3"/>
    <n v="1"/>
    <n v="0.2"/>
    <x v="0"/>
    <n v="0.2576"/>
    <n v="0.8"/>
    <s v="High Humidity"/>
    <n v="0"/>
    <x v="0"/>
    <n v="0"/>
    <n v="3"/>
    <n v="3"/>
    <s v="Low"/>
  </r>
  <r>
    <n v="833"/>
    <d v="2011-02-07T00:00:00"/>
    <n v="1"/>
    <n v="0"/>
    <n v="2"/>
    <n v="3"/>
    <x v="2"/>
    <b v="0"/>
    <n v="1"/>
    <x v="3"/>
    <n v="1"/>
    <n v="0.2"/>
    <x v="0"/>
    <n v="0.2576"/>
    <n v="0.86"/>
    <s v="High Humidity"/>
    <n v="0"/>
    <x v="0"/>
    <n v="0"/>
    <n v="1"/>
    <n v="1"/>
    <s v="Low"/>
  </r>
  <r>
    <n v="834"/>
    <d v="2011-02-07T00:00:00"/>
    <n v="1"/>
    <n v="0"/>
    <n v="2"/>
    <n v="4"/>
    <x v="3"/>
    <b v="0"/>
    <n v="1"/>
    <x v="3"/>
    <n v="1"/>
    <n v="0.2"/>
    <x v="0"/>
    <n v="0.2576"/>
    <n v="0.86"/>
    <s v="High Humidity"/>
    <n v="0"/>
    <x v="0"/>
    <n v="1"/>
    <n v="1"/>
    <n v="2"/>
    <s v="Low"/>
  </r>
  <r>
    <n v="835"/>
    <d v="2011-02-07T00:00:00"/>
    <n v="1"/>
    <n v="0"/>
    <n v="2"/>
    <n v="5"/>
    <x v="3"/>
    <b v="0"/>
    <n v="1"/>
    <x v="3"/>
    <n v="1"/>
    <n v="0.2"/>
    <x v="0"/>
    <n v="0.2576"/>
    <n v="0.86"/>
    <s v="High Humidity"/>
    <n v="0"/>
    <x v="0"/>
    <n v="1"/>
    <n v="9"/>
    <n v="10"/>
    <s v="Low"/>
  </r>
  <r>
    <n v="836"/>
    <d v="2011-02-07T00:00:00"/>
    <n v="1"/>
    <n v="0"/>
    <n v="2"/>
    <n v="6"/>
    <x v="3"/>
    <b v="0"/>
    <n v="1"/>
    <x v="3"/>
    <n v="1"/>
    <n v="0.18"/>
    <x v="0"/>
    <n v="0.2424"/>
    <n v="0.93"/>
    <s v="High Humidity"/>
    <n v="0"/>
    <x v="0"/>
    <n v="1"/>
    <n v="29"/>
    <n v="30"/>
    <s v="Low"/>
  </r>
  <r>
    <n v="837"/>
    <d v="2011-02-07T00:00:00"/>
    <n v="1"/>
    <n v="0"/>
    <n v="2"/>
    <n v="7"/>
    <x v="4"/>
    <b v="0"/>
    <n v="1"/>
    <x v="3"/>
    <n v="1"/>
    <n v="0.18"/>
    <x v="0"/>
    <n v="0.2424"/>
    <n v="0.86"/>
    <s v="High Humidity"/>
    <n v="0"/>
    <x v="0"/>
    <n v="6"/>
    <n v="89"/>
    <n v="95"/>
    <s v="Medium"/>
  </r>
  <r>
    <n v="838"/>
    <d v="2011-02-07T00:00:00"/>
    <n v="1"/>
    <n v="0"/>
    <n v="2"/>
    <n v="8"/>
    <x v="4"/>
    <b v="0"/>
    <n v="1"/>
    <x v="3"/>
    <n v="2"/>
    <n v="0.16"/>
    <x v="0"/>
    <n v="0.2273"/>
    <n v="1"/>
    <s v="High Humidity"/>
    <n v="0"/>
    <x v="0"/>
    <n v="7"/>
    <n v="223"/>
    <n v="230"/>
    <s v="High"/>
  </r>
  <r>
    <n v="839"/>
    <d v="2011-02-07T00:00:00"/>
    <n v="1"/>
    <n v="0"/>
    <n v="2"/>
    <n v="9"/>
    <x v="4"/>
    <b v="0"/>
    <n v="1"/>
    <x v="3"/>
    <n v="1"/>
    <n v="0.22"/>
    <x v="0"/>
    <n v="0.2727"/>
    <n v="0.8"/>
    <s v="High Humidity"/>
    <n v="0"/>
    <x v="0"/>
    <n v="3"/>
    <n v="115"/>
    <n v="118"/>
    <s v="Medium"/>
  </r>
  <r>
    <n v="840"/>
    <d v="2011-02-07T00:00:00"/>
    <n v="1"/>
    <n v="0"/>
    <n v="2"/>
    <n v="10"/>
    <x v="4"/>
    <b v="0"/>
    <n v="1"/>
    <x v="3"/>
    <n v="1"/>
    <n v="0.24"/>
    <x v="0"/>
    <n v="0.2576"/>
    <n v="0.75"/>
    <s v="High Humidity"/>
    <n v="0.1045"/>
    <x v="0"/>
    <n v="6"/>
    <n v="49"/>
    <n v="55"/>
    <s v="Low"/>
  </r>
  <r>
    <n v="841"/>
    <d v="2011-02-07T00:00:00"/>
    <n v="1"/>
    <n v="0"/>
    <n v="2"/>
    <n v="11"/>
    <x v="0"/>
    <b v="0"/>
    <n v="1"/>
    <x v="3"/>
    <n v="1"/>
    <n v="0.3"/>
    <x v="2"/>
    <n v="0.31819999999999998"/>
    <n v="0.65"/>
    <s v="High Humidity"/>
    <n v="8.9599999999999999E-2"/>
    <x v="0"/>
    <n v="11"/>
    <n v="36"/>
    <n v="47"/>
    <s v="Low"/>
  </r>
  <r>
    <n v="842"/>
    <d v="2011-02-07T00:00:00"/>
    <n v="1"/>
    <n v="0"/>
    <n v="2"/>
    <n v="12"/>
    <x v="0"/>
    <b v="0"/>
    <n v="1"/>
    <x v="3"/>
    <n v="2"/>
    <n v="0.32"/>
    <x v="2"/>
    <n v="0.34849999999999998"/>
    <n v="0.62"/>
    <s v="High Humidity"/>
    <n v="0"/>
    <x v="0"/>
    <n v="7"/>
    <n v="59"/>
    <n v="66"/>
    <s v="Low"/>
  </r>
  <r>
    <n v="843"/>
    <d v="2011-02-07T00:00:00"/>
    <n v="1"/>
    <n v="0"/>
    <n v="2"/>
    <n v="13"/>
    <x v="0"/>
    <b v="0"/>
    <n v="1"/>
    <x v="3"/>
    <n v="2"/>
    <n v="0.36"/>
    <x v="3"/>
    <n v="0.36359999999999998"/>
    <n v="0.56999999999999995"/>
    <s v="Less Humidity"/>
    <n v="8.9599999999999999E-2"/>
    <x v="0"/>
    <n v="10"/>
    <n v="54"/>
    <n v="64"/>
    <s v="Low"/>
  </r>
  <r>
    <n v="844"/>
    <d v="2011-02-07T00:00:00"/>
    <n v="1"/>
    <n v="0"/>
    <n v="2"/>
    <n v="14"/>
    <x v="0"/>
    <b v="0"/>
    <n v="1"/>
    <x v="3"/>
    <n v="2"/>
    <n v="0.36"/>
    <x v="3"/>
    <n v="0.36359999999999998"/>
    <n v="0.56999999999999995"/>
    <s v="Less Humidity"/>
    <n v="8.9599999999999999E-2"/>
    <x v="0"/>
    <n v="8"/>
    <n v="52"/>
    <n v="60"/>
    <s v="Low"/>
  </r>
  <r>
    <n v="845"/>
    <d v="2011-02-07T00:00:00"/>
    <n v="1"/>
    <n v="0"/>
    <n v="2"/>
    <n v="15"/>
    <x v="0"/>
    <b v="0"/>
    <n v="1"/>
    <x v="3"/>
    <n v="2"/>
    <n v="0.38"/>
    <x v="3"/>
    <n v="0.39389999999999997"/>
    <n v="0.54"/>
    <s v="Less Humidity"/>
    <n v="8.9599999999999999E-2"/>
    <x v="0"/>
    <n v="4"/>
    <n v="46"/>
    <n v="50"/>
    <s v="Low"/>
  </r>
  <r>
    <n v="846"/>
    <d v="2011-02-07T00:00:00"/>
    <n v="1"/>
    <n v="0"/>
    <n v="2"/>
    <n v="16"/>
    <x v="0"/>
    <b v="0"/>
    <n v="1"/>
    <x v="3"/>
    <n v="2"/>
    <n v="0.36"/>
    <x v="3"/>
    <n v="0.34849999999999998"/>
    <n v="0.56999999999999995"/>
    <s v="Less Humidity"/>
    <n v="0.1343"/>
    <x v="0"/>
    <n v="16"/>
    <n v="98"/>
    <n v="114"/>
    <s v="Medium"/>
  </r>
  <r>
    <n v="847"/>
    <d v="2011-02-07T00:00:00"/>
    <n v="1"/>
    <n v="0"/>
    <n v="2"/>
    <n v="17"/>
    <x v="1"/>
    <b v="0"/>
    <n v="1"/>
    <x v="3"/>
    <n v="2"/>
    <n v="0.32"/>
    <x v="2"/>
    <n v="0.31819999999999998"/>
    <n v="0.7"/>
    <s v="High Humidity"/>
    <n v="0.16420000000000001"/>
    <x v="0"/>
    <n v="9"/>
    <n v="207"/>
    <n v="216"/>
    <s v="High"/>
  </r>
  <r>
    <n v="848"/>
    <d v="2011-02-07T00:00:00"/>
    <n v="1"/>
    <n v="0"/>
    <n v="2"/>
    <n v="18"/>
    <x v="1"/>
    <b v="0"/>
    <n v="1"/>
    <x v="3"/>
    <n v="2"/>
    <n v="0.34"/>
    <x v="3"/>
    <n v="0.33329999999999999"/>
    <n v="0.66"/>
    <s v="High Humidity"/>
    <n v="0.1343"/>
    <x v="0"/>
    <n v="5"/>
    <n v="170"/>
    <n v="175"/>
    <s v="High"/>
  </r>
  <r>
    <n v="849"/>
    <d v="2011-02-07T00:00:00"/>
    <n v="1"/>
    <n v="0"/>
    <n v="2"/>
    <n v="19"/>
    <x v="1"/>
    <b v="0"/>
    <n v="1"/>
    <x v="3"/>
    <n v="2"/>
    <n v="0.32"/>
    <x v="2"/>
    <n v="0.34849999999999998"/>
    <n v="0.7"/>
    <s v="High Humidity"/>
    <n v="0"/>
    <x v="0"/>
    <n v="5"/>
    <n v="123"/>
    <n v="128"/>
    <s v="Medium"/>
  </r>
  <r>
    <n v="850"/>
    <d v="2011-02-07T00:00:00"/>
    <n v="1"/>
    <n v="0"/>
    <n v="2"/>
    <n v="20"/>
    <x v="1"/>
    <b v="0"/>
    <n v="1"/>
    <x v="3"/>
    <n v="2"/>
    <n v="0.32"/>
    <x v="2"/>
    <n v="0.33329999999999999"/>
    <n v="0.7"/>
    <s v="High Humidity"/>
    <n v="0.1045"/>
    <x v="0"/>
    <n v="6"/>
    <n v="82"/>
    <n v="88"/>
    <s v="Medium"/>
  </r>
  <r>
    <n v="851"/>
    <d v="2011-02-07T00:00:00"/>
    <n v="1"/>
    <n v="0"/>
    <n v="2"/>
    <n v="21"/>
    <x v="2"/>
    <b v="0"/>
    <n v="1"/>
    <x v="3"/>
    <n v="1"/>
    <n v="0.32"/>
    <x v="2"/>
    <n v="0.34849999999999998"/>
    <n v="0.7"/>
    <s v="High Humidity"/>
    <n v="0"/>
    <x v="0"/>
    <n v="3"/>
    <n v="75"/>
    <n v="78"/>
    <s v="Medium"/>
  </r>
  <r>
    <n v="852"/>
    <d v="2011-02-07T00:00:00"/>
    <n v="1"/>
    <n v="0"/>
    <n v="2"/>
    <n v="22"/>
    <x v="2"/>
    <b v="0"/>
    <n v="1"/>
    <x v="3"/>
    <n v="1"/>
    <n v="0.28000000000000003"/>
    <x v="2"/>
    <n v="0.30299999999999999"/>
    <n v="0.81"/>
    <s v="High Humidity"/>
    <n v="8.9599999999999999E-2"/>
    <x v="0"/>
    <n v="3"/>
    <n v="34"/>
    <n v="37"/>
    <s v="Low"/>
  </r>
  <r>
    <n v="853"/>
    <d v="2011-02-07T00:00:00"/>
    <n v="1"/>
    <n v="0"/>
    <n v="2"/>
    <n v="23"/>
    <x v="2"/>
    <b v="0"/>
    <n v="1"/>
    <x v="3"/>
    <n v="2"/>
    <n v="0.3"/>
    <x v="2"/>
    <n v="0.33329999999999999"/>
    <n v="0.81"/>
    <s v="High Humidity"/>
    <n v="0"/>
    <x v="0"/>
    <n v="6"/>
    <n v="19"/>
    <n v="25"/>
    <s v="Low"/>
  </r>
  <r>
    <n v="854"/>
    <d v="2011-02-08T00:00:00"/>
    <n v="1"/>
    <n v="0"/>
    <n v="2"/>
    <n v="0"/>
    <x v="2"/>
    <b v="0"/>
    <n v="2"/>
    <x v="4"/>
    <n v="2"/>
    <n v="0.28000000000000003"/>
    <x v="2"/>
    <n v="0.31819999999999998"/>
    <n v="0.87"/>
    <s v="High Humidity"/>
    <n v="0"/>
    <x v="0"/>
    <n v="4"/>
    <n v="6"/>
    <n v="10"/>
    <s v="Low"/>
  </r>
  <r>
    <n v="855"/>
    <d v="2011-02-08T00:00:00"/>
    <n v="1"/>
    <n v="0"/>
    <n v="2"/>
    <n v="1"/>
    <x v="2"/>
    <b v="0"/>
    <n v="2"/>
    <x v="4"/>
    <n v="2"/>
    <n v="0.28000000000000003"/>
    <x v="2"/>
    <n v="0.31819999999999998"/>
    <n v="0.87"/>
    <s v="High Humidity"/>
    <n v="0"/>
    <x v="0"/>
    <n v="0"/>
    <n v="4"/>
    <n v="4"/>
    <s v="Low"/>
  </r>
  <r>
    <n v="856"/>
    <d v="2011-02-08T00:00:00"/>
    <n v="1"/>
    <n v="0"/>
    <n v="2"/>
    <n v="2"/>
    <x v="2"/>
    <b v="0"/>
    <n v="2"/>
    <x v="4"/>
    <n v="2"/>
    <n v="0.26"/>
    <x v="2"/>
    <n v="0.2727"/>
    <n v="0.93"/>
    <s v="High Humidity"/>
    <n v="0.1045"/>
    <x v="0"/>
    <n v="1"/>
    <n v="1"/>
    <n v="2"/>
    <s v="Low"/>
  </r>
  <r>
    <n v="857"/>
    <d v="2011-02-08T00:00:00"/>
    <n v="1"/>
    <n v="0"/>
    <n v="2"/>
    <n v="3"/>
    <x v="2"/>
    <b v="0"/>
    <n v="2"/>
    <x v="4"/>
    <n v="3"/>
    <n v="0.28000000000000003"/>
    <x v="2"/>
    <n v="0.2727"/>
    <n v="0.93"/>
    <s v="High Humidity"/>
    <n v="0.16420000000000001"/>
    <x v="0"/>
    <n v="0"/>
    <n v="1"/>
    <n v="1"/>
    <s v="Low"/>
  </r>
  <r>
    <n v="858"/>
    <d v="2011-02-08T00:00:00"/>
    <n v="1"/>
    <n v="0"/>
    <n v="2"/>
    <n v="4"/>
    <x v="3"/>
    <b v="0"/>
    <n v="2"/>
    <x v="4"/>
    <n v="1"/>
    <n v="0.26"/>
    <x v="2"/>
    <n v="0.2576"/>
    <n v="0.93"/>
    <s v="High Humidity"/>
    <n v="0.16420000000000001"/>
    <x v="0"/>
    <n v="0"/>
    <n v="3"/>
    <n v="3"/>
    <s v="Low"/>
  </r>
  <r>
    <n v="859"/>
    <d v="2011-02-08T00:00:00"/>
    <n v="1"/>
    <n v="0"/>
    <n v="2"/>
    <n v="5"/>
    <x v="3"/>
    <b v="0"/>
    <n v="2"/>
    <x v="4"/>
    <n v="1"/>
    <n v="0.26"/>
    <x v="2"/>
    <n v="0.2273"/>
    <n v="0.81"/>
    <s v="High Humidity"/>
    <n v="0.32840000000000003"/>
    <x v="1"/>
    <n v="0"/>
    <n v="2"/>
    <n v="2"/>
    <s v="Low"/>
  </r>
  <r>
    <n v="860"/>
    <d v="2011-02-08T00:00:00"/>
    <n v="1"/>
    <n v="0"/>
    <n v="2"/>
    <n v="6"/>
    <x v="3"/>
    <b v="0"/>
    <n v="2"/>
    <x v="4"/>
    <n v="1"/>
    <n v="0.26"/>
    <x v="2"/>
    <n v="0.2273"/>
    <n v="0.7"/>
    <s v="High Humidity"/>
    <n v="0.32840000000000003"/>
    <x v="1"/>
    <n v="0"/>
    <n v="39"/>
    <n v="39"/>
    <s v="Low"/>
  </r>
  <r>
    <n v="861"/>
    <d v="2011-02-08T00:00:00"/>
    <n v="1"/>
    <n v="0"/>
    <n v="2"/>
    <n v="7"/>
    <x v="4"/>
    <b v="0"/>
    <n v="2"/>
    <x v="4"/>
    <n v="1"/>
    <n v="0.24"/>
    <x v="0"/>
    <n v="0.19700000000000001"/>
    <n v="0.65"/>
    <s v="High Humidity"/>
    <n v="0.41789999999999999"/>
    <x v="2"/>
    <n v="3"/>
    <n v="97"/>
    <n v="100"/>
    <s v="Medium"/>
  </r>
  <r>
    <n v="862"/>
    <d v="2011-02-08T00:00:00"/>
    <n v="1"/>
    <n v="0"/>
    <n v="2"/>
    <n v="8"/>
    <x v="4"/>
    <b v="0"/>
    <n v="2"/>
    <x v="4"/>
    <n v="1"/>
    <n v="0.24"/>
    <x v="0"/>
    <n v="0.19700000000000001"/>
    <n v="0.56000000000000005"/>
    <s v="Less Humidity"/>
    <n v="0.49249999999999999"/>
    <x v="2"/>
    <n v="7"/>
    <n v="236"/>
    <n v="243"/>
    <s v="High"/>
  </r>
  <r>
    <n v="863"/>
    <d v="2011-02-08T00:00:00"/>
    <n v="1"/>
    <n v="0"/>
    <n v="2"/>
    <n v="9"/>
    <x v="4"/>
    <b v="0"/>
    <n v="2"/>
    <x v="4"/>
    <n v="1"/>
    <n v="0.24"/>
    <x v="0"/>
    <n v="0.19700000000000001"/>
    <n v="0.52"/>
    <s v="Less Humidity"/>
    <n v="0.49249999999999999"/>
    <x v="2"/>
    <n v="7"/>
    <n v="128"/>
    <n v="135"/>
    <s v="Medium"/>
  </r>
  <r>
    <n v="864"/>
    <d v="2011-02-08T00:00:00"/>
    <n v="1"/>
    <n v="0"/>
    <n v="2"/>
    <n v="10"/>
    <x v="4"/>
    <b v="0"/>
    <n v="2"/>
    <x v="4"/>
    <n v="1"/>
    <n v="0.22"/>
    <x v="0"/>
    <n v="0.18179999999999999"/>
    <n v="0.47"/>
    <s v="Less Humidity"/>
    <n v="0.55220000000000002"/>
    <x v="2"/>
    <n v="4"/>
    <n v="44"/>
    <n v="48"/>
    <s v="Low"/>
  </r>
  <r>
    <n v="865"/>
    <d v="2011-02-08T00:00:00"/>
    <n v="1"/>
    <n v="0"/>
    <n v="2"/>
    <n v="11"/>
    <x v="0"/>
    <b v="0"/>
    <n v="2"/>
    <x v="4"/>
    <n v="1"/>
    <n v="0.22"/>
    <x v="0"/>
    <n v="0.18179999999999999"/>
    <n v="0.47"/>
    <s v="Less Humidity"/>
    <n v="0.4627"/>
    <x v="2"/>
    <n v="1"/>
    <n v="49"/>
    <n v="50"/>
    <s v="Low"/>
  </r>
  <r>
    <n v="866"/>
    <d v="2011-02-08T00:00:00"/>
    <n v="1"/>
    <n v="0"/>
    <n v="2"/>
    <n v="12"/>
    <x v="0"/>
    <b v="0"/>
    <n v="2"/>
    <x v="4"/>
    <n v="1"/>
    <n v="0.24"/>
    <x v="0"/>
    <n v="0.19700000000000001"/>
    <n v="0.38"/>
    <s v="Dry"/>
    <n v="0.49249999999999999"/>
    <x v="2"/>
    <n v="2"/>
    <n v="63"/>
    <n v="65"/>
    <s v="Low"/>
  </r>
  <r>
    <n v="867"/>
    <d v="2011-02-08T00:00:00"/>
    <n v="1"/>
    <n v="0"/>
    <n v="2"/>
    <n v="13"/>
    <x v="0"/>
    <b v="0"/>
    <n v="2"/>
    <x v="4"/>
    <n v="2"/>
    <n v="0.24"/>
    <x v="0"/>
    <n v="0.19700000000000001"/>
    <n v="0.32"/>
    <s v="Dry"/>
    <n v="0.44779999999999998"/>
    <x v="2"/>
    <n v="2"/>
    <n v="48"/>
    <n v="50"/>
    <s v="Low"/>
  </r>
  <r>
    <n v="868"/>
    <d v="2011-02-08T00:00:00"/>
    <n v="1"/>
    <n v="0"/>
    <n v="2"/>
    <n v="14"/>
    <x v="0"/>
    <b v="0"/>
    <n v="2"/>
    <x v="4"/>
    <n v="1"/>
    <n v="0.22"/>
    <x v="0"/>
    <n v="0.19700000000000001"/>
    <n v="0.37"/>
    <s v="Dry"/>
    <n v="0.41789999999999999"/>
    <x v="2"/>
    <n v="3"/>
    <n v="61"/>
    <n v="64"/>
    <s v="Low"/>
  </r>
  <r>
    <n v="869"/>
    <d v="2011-02-08T00:00:00"/>
    <n v="1"/>
    <n v="0"/>
    <n v="2"/>
    <n v="15"/>
    <x v="0"/>
    <b v="0"/>
    <n v="2"/>
    <x v="4"/>
    <n v="1"/>
    <n v="0.22"/>
    <x v="0"/>
    <n v="0.19700000000000001"/>
    <n v="0.35"/>
    <s v="Dry"/>
    <n v="0.3881"/>
    <x v="1"/>
    <n v="6"/>
    <n v="45"/>
    <n v="51"/>
    <s v="Low"/>
  </r>
  <r>
    <n v="870"/>
    <d v="2011-02-08T00:00:00"/>
    <n v="1"/>
    <n v="0"/>
    <n v="2"/>
    <n v="16"/>
    <x v="0"/>
    <b v="0"/>
    <n v="2"/>
    <x v="4"/>
    <n v="1"/>
    <n v="0.22"/>
    <x v="0"/>
    <n v="0.18179999999999999"/>
    <n v="0.35"/>
    <s v="Dry"/>
    <n v="0.52239999999999998"/>
    <x v="2"/>
    <n v="4"/>
    <n v="79"/>
    <n v="83"/>
    <s v="Medium"/>
  </r>
  <r>
    <n v="871"/>
    <d v="2011-02-08T00:00:00"/>
    <n v="1"/>
    <n v="0"/>
    <n v="2"/>
    <n v="17"/>
    <x v="1"/>
    <b v="0"/>
    <n v="2"/>
    <x v="4"/>
    <n v="1"/>
    <n v="0.22"/>
    <x v="0"/>
    <n v="0.18179999999999999"/>
    <n v="0.32"/>
    <s v="Dry"/>
    <n v="0.58209999999999995"/>
    <x v="2"/>
    <n v="4"/>
    <n v="172"/>
    <n v="176"/>
    <s v="High"/>
  </r>
  <r>
    <n v="872"/>
    <d v="2011-02-08T00:00:00"/>
    <n v="1"/>
    <n v="0"/>
    <n v="2"/>
    <n v="18"/>
    <x v="1"/>
    <b v="0"/>
    <n v="2"/>
    <x v="4"/>
    <n v="1"/>
    <n v="0.2"/>
    <x v="0"/>
    <n v="0.18179999999999999"/>
    <n v="0.32"/>
    <s v="Dry"/>
    <n v="0.3881"/>
    <x v="1"/>
    <n v="1"/>
    <n v="151"/>
    <n v="152"/>
    <s v="Medium"/>
  </r>
  <r>
    <n v="873"/>
    <d v="2011-02-08T00:00:00"/>
    <n v="1"/>
    <n v="0"/>
    <n v="2"/>
    <n v="19"/>
    <x v="1"/>
    <b v="0"/>
    <n v="2"/>
    <x v="4"/>
    <n v="1"/>
    <n v="0.16"/>
    <x v="0"/>
    <n v="0.1212"/>
    <n v="0.4"/>
    <s v="Dry"/>
    <n v="0.4627"/>
    <x v="2"/>
    <n v="1"/>
    <n v="100"/>
    <n v="101"/>
    <s v="Medium"/>
  </r>
  <r>
    <n v="874"/>
    <d v="2011-02-08T00:00:00"/>
    <n v="1"/>
    <n v="0"/>
    <n v="2"/>
    <n v="20"/>
    <x v="1"/>
    <b v="0"/>
    <n v="2"/>
    <x v="4"/>
    <n v="1"/>
    <n v="0.16"/>
    <x v="0"/>
    <n v="0.13639999999999999"/>
    <n v="0.4"/>
    <s v="Dry"/>
    <n v="0.32840000000000003"/>
    <x v="1"/>
    <n v="3"/>
    <n v="53"/>
    <n v="56"/>
    <s v="Low"/>
  </r>
  <r>
    <n v="875"/>
    <d v="2011-02-08T00:00:00"/>
    <n v="1"/>
    <n v="0"/>
    <n v="2"/>
    <n v="21"/>
    <x v="2"/>
    <b v="0"/>
    <n v="2"/>
    <x v="4"/>
    <n v="1"/>
    <n v="0.14000000000000001"/>
    <x v="1"/>
    <n v="0.1061"/>
    <n v="0.33"/>
    <s v="Dry"/>
    <n v="0.4627"/>
    <x v="2"/>
    <n v="8"/>
    <n v="46"/>
    <n v="54"/>
    <s v="Low"/>
  </r>
  <r>
    <n v="876"/>
    <d v="2011-02-08T00:00:00"/>
    <n v="1"/>
    <n v="0"/>
    <n v="2"/>
    <n v="22"/>
    <x v="2"/>
    <b v="0"/>
    <n v="2"/>
    <x v="4"/>
    <n v="1"/>
    <n v="0.12"/>
    <x v="1"/>
    <n v="0.1061"/>
    <n v="0.33"/>
    <s v="Dry"/>
    <n v="0.35820000000000002"/>
    <x v="1"/>
    <n v="0"/>
    <n v="29"/>
    <n v="29"/>
    <s v="Low"/>
  </r>
  <r>
    <n v="877"/>
    <d v="2011-02-08T00:00:00"/>
    <n v="1"/>
    <n v="0"/>
    <n v="2"/>
    <n v="23"/>
    <x v="2"/>
    <b v="0"/>
    <n v="2"/>
    <x v="4"/>
    <n v="1"/>
    <n v="0.12"/>
    <x v="1"/>
    <n v="0.1061"/>
    <n v="0.33"/>
    <s v="Dry"/>
    <n v="0.32840000000000003"/>
    <x v="1"/>
    <n v="3"/>
    <n v="9"/>
    <n v="12"/>
    <s v="Low"/>
  </r>
  <r>
    <n v="878"/>
    <d v="2011-02-09T00:00:00"/>
    <n v="1"/>
    <n v="0"/>
    <n v="2"/>
    <n v="0"/>
    <x v="2"/>
    <b v="0"/>
    <n v="3"/>
    <x v="5"/>
    <n v="1"/>
    <n v="0.1"/>
    <x v="1"/>
    <n v="7.5800000000000006E-2"/>
    <n v="0.36"/>
    <s v="Dry"/>
    <n v="0.35820000000000002"/>
    <x v="1"/>
    <n v="0"/>
    <n v="17"/>
    <n v="17"/>
    <s v="Low"/>
  </r>
  <r>
    <n v="879"/>
    <d v="2011-02-09T00:00:00"/>
    <n v="1"/>
    <n v="0"/>
    <n v="2"/>
    <n v="1"/>
    <x v="2"/>
    <b v="0"/>
    <n v="3"/>
    <x v="5"/>
    <n v="1"/>
    <n v="0.1"/>
    <x v="1"/>
    <n v="0.1061"/>
    <n v="0.36"/>
    <s v="Dry"/>
    <n v="0.22389999999999999"/>
    <x v="1"/>
    <n v="0"/>
    <n v="7"/>
    <n v="7"/>
    <s v="Low"/>
  </r>
  <r>
    <n v="880"/>
    <d v="2011-02-09T00:00:00"/>
    <n v="1"/>
    <n v="0"/>
    <n v="2"/>
    <n v="2"/>
    <x v="2"/>
    <b v="0"/>
    <n v="3"/>
    <x v="5"/>
    <n v="1"/>
    <n v="0.08"/>
    <x v="1"/>
    <n v="7.5800000000000006E-2"/>
    <n v="0.38"/>
    <s v="Dry"/>
    <n v="0.28360000000000002"/>
    <x v="1"/>
    <n v="1"/>
    <n v="2"/>
    <n v="3"/>
    <s v="Low"/>
  </r>
  <r>
    <n v="881"/>
    <d v="2011-02-09T00:00:00"/>
    <n v="1"/>
    <n v="0"/>
    <n v="2"/>
    <n v="3"/>
    <x v="2"/>
    <b v="0"/>
    <n v="3"/>
    <x v="5"/>
    <n v="1"/>
    <n v="0.06"/>
    <x v="1"/>
    <n v="7.5800000000000006E-2"/>
    <n v="0.45"/>
    <s v="Less Humidity"/>
    <n v="0.1343"/>
    <x v="0"/>
    <n v="0"/>
    <n v="2"/>
    <n v="2"/>
    <s v="Low"/>
  </r>
  <r>
    <n v="882"/>
    <d v="2011-02-09T00:00:00"/>
    <n v="1"/>
    <n v="0"/>
    <n v="2"/>
    <n v="5"/>
    <x v="3"/>
    <b v="0"/>
    <n v="3"/>
    <x v="5"/>
    <n v="1"/>
    <n v="0.06"/>
    <x v="1"/>
    <n v="0.1061"/>
    <n v="0.45"/>
    <s v="Less Humidity"/>
    <n v="0.1045"/>
    <x v="0"/>
    <n v="0"/>
    <n v="7"/>
    <n v="7"/>
    <s v="Low"/>
  </r>
  <r>
    <n v="883"/>
    <d v="2011-02-09T00:00:00"/>
    <n v="1"/>
    <n v="0"/>
    <n v="2"/>
    <n v="6"/>
    <x v="3"/>
    <b v="0"/>
    <n v="3"/>
    <x v="5"/>
    <n v="1"/>
    <n v="0.06"/>
    <x v="1"/>
    <n v="0.1515"/>
    <n v="0.45"/>
    <s v="Less Humidity"/>
    <n v="0"/>
    <x v="0"/>
    <n v="0"/>
    <n v="43"/>
    <n v="43"/>
    <s v="Low"/>
  </r>
  <r>
    <n v="884"/>
    <d v="2011-02-09T00:00:00"/>
    <n v="1"/>
    <n v="0"/>
    <n v="2"/>
    <n v="7"/>
    <x v="4"/>
    <b v="0"/>
    <n v="3"/>
    <x v="5"/>
    <n v="1"/>
    <n v="0.06"/>
    <x v="1"/>
    <n v="0.1061"/>
    <n v="0.49"/>
    <s v="Less Humidity"/>
    <n v="0.1045"/>
    <x v="0"/>
    <n v="4"/>
    <n v="95"/>
    <n v="99"/>
    <s v="Medium"/>
  </r>
  <r>
    <n v="885"/>
    <d v="2011-02-09T00:00:00"/>
    <n v="1"/>
    <n v="0"/>
    <n v="2"/>
    <n v="8"/>
    <x v="4"/>
    <b v="0"/>
    <n v="3"/>
    <x v="5"/>
    <n v="1"/>
    <n v="0.1"/>
    <x v="1"/>
    <n v="0.13639999999999999"/>
    <n v="0.42"/>
    <s v="Less Humidity"/>
    <n v="0"/>
    <x v="0"/>
    <n v="1"/>
    <n v="198"/>
    <n v="199"/>
    <s v="High"/>
  </r>
  <r>
    <n v="886"/>
    <d v="2011-02-09T00:00:00"/>
    <n v="1"/>
    <n v="0"/>
    <n v="2"/>
    <n v="9"/>
    <x v="4"/>
    <b v="0"/>
    <n v="3"/>
    <x v="5"/>
    <n v="1"/>
    <n v="0.12"/>
    <x v="1"/>
    <n v="0.13639999999999999"/>
    <n v="0.39"/>
    <s v="Dry"/>
    <n v="0.16420000000000001"/>
    <x v="0"/>
    <n v="4"/>
    <n v="119"/>
    <n v="123"/>
    <s v="Medium"/>
  </r>
  <r>
    <n v="887"/>
    <d v="2011-02-09T00:00:00"/>
    <n v="1"/>
    <n v="0"/>
    <n v="2"/>
    <n v="10"/>
    <x v="4"/>
    <b v="0"/>
    <n v="3"/>
    <x v="5"/>
    <n v="1"/>
    <n v="0.14000000000000001"/>
    <x v="1"/>
    <n v="0.18179999999999999"/>
    <n v="0.36"/>
    <s v="Dry"/>
    <n v="0"/>
    <x v="0"/>
    <n v="8"/>
    <n v="51"/>
    <n v="59"/>
    <s v="Low"/>
  </r>
  <r>
    <n v="888"/>
    <d v="2011-02-09T00:00:00"/>
    <n v="1"/>
    <n v="0"/>
    <n v="2"/>
    <n v="11"/>
    <x v="0"/>
    <b v="0"/>
    <n v="3"/>
    <x v="5"/>
    <n v="2"/>
    <n v="0.14000000000000001"/>
    <x v="1"/>
    <n v="0.1515"/>
    <n v="0.43"/>
    <s v="Less Humidity"/>
    <n v="0.16420000000000001"/>
    <x v="0"/>
    <n v="1"/>
    <n v="40"/>
    <n v="41"/>
    <s v="Low"/>
  </r>
  <r>
    <n v="889"/>
    <d v="2011-02-09T00:00:00"/>
    <n v="1"/>
    <n v="0"/>
    <n v="2"/>
    <n v="12"/>
    <x v="0"/>
    <b v="0"/>
    <n v="3"/>
    <x v="5"/>
    <n v="2"/>
    <n v="0.18"/>
    <x v="0"/>
    <n v="0.18179999999999999"/>
    <n v="0.4"/>
    <s v="Dry"/>
    <n v="0.22389999999999999"/>
    <x v="1"/>
    <n v="4"/>
    <n v="57"/>
    <n v="61"/>
    <s v="Low"/>
  </r>
  <r>
    <n v="890"/>
    <d v="2011-02-09T00:00:00"/>
    <n v="1"/>
    <n v="0"/>
    <n v="2"/>
    <n v="13"/>
    <x v="0"/>
    <b v="0"/>
    <n v="3"/>
    <x v="5"/>
    <n v="1"/>
    <n v="0.18"/>
    <x v="0"/>
    <n v="0.16669999999999999"/>
    <n v="0.4"/>
    <s v="Dry"/>
    <n v="0.25369999999999998"/>
    <x v="1"/>
    <n v="2"/>
    <n v="67"/>
    <n v="69"/>
    <s v="Low"/>
  </r>
  <r>
    <n v="891"/>
    <d v="2011-02-09T00:00:00"/>
    <n v="1"/>
    <n v="0"/>
    <n v="2"/>
    <n v="14"/>
    <x v="0"/>
    <b v="0"/>
    <n v="3"/>
    <x v="5"/>
    <n v="1"/>
    <n v="0.2"/>
    <x v="0"/>
    <n v="0.18179999999999999"/>
    <n v="0.34"/>
    <s v="Dry"/>
    <n v="0.29849999999999999"/>
    <x v="1"/>
    <n v="2"/>
    <n v="56"/>
    <n v="58"/>
    <s v="Low"/>
  </r>
  <r>
    <n v="892"/>
    <d v="2011-02-09T00:00:00"/>
    <n v="1"/>
    <n v="0"/>
    <n v="2"/>
    <n v="15"/>
    <x v="0"/>
    <b v="0"/>
    <n v="3"/>
    <x v="5"/>
    <n v="2"/>
    <n v="0.2"/>
    <x v="0"/>
    <n v="0.18179999999999999"/>
    <n v="0.34"/>
    <s v="Dry"/>
    <n v="0.28360000000000002"/>
    <x v="1"/>
    <n v="3"/>
    <n v="61"/>
    <n v="64"/>
    <s v="Low"/>
  </r>
  <r>
    <n v="893"/>
    <d v="2011-02-09T00:00:00"/>
    <n v="1"/>
    <n v="0"/>
    <n v="2"/>
    <n v="16"/>
    <x v="0"/>
    <b v="0"/>
    <n v="3"/>
    <x v="5"/>
    <n v="2"/>
    <n v="0.2"/>
    <x v="0"/>
    <n v="0.19700000000000001"/>
    <n v="0.37"/>
    <s v="Dry"/>
    <n v="0.25369999999999998"/>
    <x v="1"/>
    <n v="7"/>
    <n v="72"/>
    <n v="79"/>
    <s v="Medium"/>
  </r>
  <r>
    <n v="894"/>
    <d v="2011-02-09T00:00:00"/>
    <n v="1"/>
    <n v="0"/>
    <n v="2"/>
    <n v="17"/>
    <x v="1"/>
    <b v="0"/>
    <n v="3"/>
    <x v="5"/>
    <n v="2"/>
    <n v="0.2"/>
    <x v="0"/>
    <n v="0.19700000000000001"/>
    <n v="0.34"/>
    <s v="Dry"/>
    <n v="0.25369999999999998"/>
    <x v="1"/>
    <n v="9"/>
    <n v="157"/>
    <n v="166"/>
    <s v="High"/>
  </r>
  <r>
    <n v="895"/>
    <d v="2011-02-09T00:00:00"/>
    <n v="1"/>
    <n v="0"/>
    <n v="2"/>
    <n v="18"/>
    <x v="1"/>
    <b v="0"/>
    <n v="3"/>
    <x v="5"/>
    <n v="2"/>
    <n v="0.18"/>
    <x v="0"/>
    <n v="0.16669999999999999"/>
    <n v="0.47"/>
    <s v="Less Humidity"/>
    <n v="0.29849999999999999"/>
    <x v="1"/>
    <n v="2"/>
    <n v="168"/>
    <n v="170"/>
    <s v="High"/>
  </r>
  <r>
    <n v="896"/>
    <d v="2011-02-09T00:00:00"/>
    <n v="1"/>
    <n v="0"/>
    <n v="2"/>
    <n v="19"/>
    <x v="1"/>
    <b v="0"/>
    <n v="3"/>
    <x v="5"/>
    <n v="3"/>
    <n v="0.14000000000000001"/>
    <x v="1"/>
    <n v="0.1212"/>
    <n v="0.86"/>
    <s v="High Humidity"/>
    <n v="0.25369999999999998"/>
    <x v="1"/>
    <n v="1"/>
    <n v="87"/>
    <n v="88"/>
    <s v="Medium"/>
  </r>
  <r>
    <n v="897"/>
    <d v="2011-02-09T00:00:00"/>
    <n v="1"/>
    <n v="0"/>
    <n v="2"/>
    <n v="20"/>
    <x v="1"/>
    <b v="0"/>
    <n v="3"/>
    <x v="5"/>
    <n v="3"/>
    <n v="0.14000000000000001"/>
    <x v="1"/>
    <n v="0.1515"/>
    <n v="0.86"/>
    <s v="High Humidity"/>
    <n v="0.16420000000000001"/>
    <x v="0"/>
    <n v="0"/>
    <n v="84"/>
    <n v="84"/>
    <s v="Medium"/>
  </r>
  <r>
    <n v="898"/>
    <d v="2011-02-09T00:00:00"/>
    <n v="1"/>
    <n v="0"/>
    <n v="2"/>
    <n v="21"/>
    <x v="2"/>
    <b v="0"/>
    <n v="3"/>
    <x v="5"/>
    <n v="2"/>
    <n v="0.14000000000000001"/>
    <x v="1"/>
    <n v="0.1515"/>
    <n v="0.86"/>
    <s v="High Humidity"/>
    <n v="0.16420000000000001"/>
    <x v="0"/>
    <n v="0"/>
    <n v="83"/>
    <n v="83"/>
    <s v="Medium"/>
  </r>
  <r>
    <n v="899"/>
    <d v="2011-02-09T00:00:00"/>
    <n v="1"/>
    <n v="0"/>
    <n v="2"/>
    <n v="22"/>
    <x v="2"/>
    <b v="0"/>
    <n v="3"/>
    <x v="5"/>
    <n v="3"/>
    <n v="0.16"/>
    <x v="0"/>
    <n v="0.16669999999999999"/>
    <n v="0.8"/>
    <s v="High Humidity"/>
    <n v="0.16420000000000001"/>
    <x v="0"/>
    <n v="4"/>
    <n v="42"/>
    <n v="46"/>
    <s v="Low"/>
  </r>
  <r>
    <n v="900"/>
    <d v="2011-02-09T00:00:00"/>
    <n v="1"/>
    <n v="0"/>
    <n v="2"/>
    <n v="23"/>
    <x v="2"/>
    <b v="0"/>
    <n v="3"/>
    <x v="5"/>
    <n v="3"/>
    <n v="0.16"/>
    <x v="0"/>
    <n v="0.1515"/>
    <n v="0.8"/>
    <s v="High Humidity"/>
    <n v="0.19400000000000001"/>
    <x v="0"/>
    <n v="0"/>
    <n v="37"/>
    <n v="37"/>
    <s v="Low"/>
  </r>
  <r>
    <n v="901"/>
    <d v="2011-02-10T00:00:00"/>
    <n v="1"/>
    <n v="0"/>
    <n v="2"/>
    <n v="0"/>
    <x v="2"/>
    <b v="0"/>
    <n v="4"/>
    <x v="6"/>
    <n v="3"/>
    <n v="0.14000000000000001"/>
    <x v="1"/>
    <n v="0.13639999999999999"/>
    <n v="0.86"/>
    <s v="High Humidity"/>
    <n v="0.19400000000000001"/>
    <x v="0"/>
    <n v="0"/>
    <n v="16"/>
    <n v="16"/>
    <s v="Low"/>
  </r>
  <r>
    <n v="902"/>
    <d v="2011-02-10T00:00:00"/>
    <n v="1"/>
    <n v="0"/>
    <n v="2"/>
    <n v="1"/>
    <x v="2"/>
    <b v="0"/>
    <n v="4"/>
    <x v="6"/>
    <n v="3"/>
    <n v="0.14000000000000001"/>
    <x v="1"/>
    <n v="0.1515"/>
    <n v="0.8"/>
    <s v="High Humidity"/>
    <n v="0.1343"/>
    <x v="0"/>
    <n v="0"/>
    <n v="7"/>
    <n v="7"/>
    <s v="Low"/>
  </r>
  <r>
    <n v="903"/>
    <d v="2011-02-10T00:00:00"/>
    <n v="1"/>
    <n v="0"/>
    <n v="2"/>
    <n v="2"/>
    <x v="2"/>
    <b v="0"/>
    <n v="4"/>
    <x v="6"/>
    <n v="3"/>
    <n v="0.14000000000000001"/>
    <x v="1"/>
    <n v="0.1515"/>
    <n v="0.8"/>
    <s v="High Humidity"/>
    <n v="0.1343"/>
    <x v="0"/>
    <n v="0"/>
    <n v="3"/>
    <n v="3"/>
    <s v="Low"/>
  </r>
  <r>
    <n v="904"/>
    <d v="2011-02-10T00:00:00"/>
    <n v="1"/>
    <n v="0"/>
    <n v="2"/>
    <n v="4"/>
    <x v="3"/>
    <b v="0"/>
    <n v="4"/>
    <x v="6"/>
    <n v="2"/>
    <n v="0.14000000000000001"/>
    <x v="1"/>
    <n v="0.13639999999999999"/>
    <n v="0.59"/>
    <s v="Less Humidity"/>
    <n v="0.22389999999999999"/>
    <x v="1"/>
    <n v="0"/>
    <n v="1"/>
    <n v="1"/>
    <s v="Low"/>
  </r>
  <r>
    <n v="905"/>
    <d v="2011-02-10T00:00:00"/>
    <n v="1"/>
    <n v="0"/>
    <n v="2"/>
    <n v="5"/>
    <x v="3"/>
    <b v="0"/>
    <n v="4"/>
    <x v="6"/>
    <n v="2"/>
    <n v="0.12"/>
    <x v="1"/>
    <n v="0.1212"/>
    <n v="0.5"/>
    <s v="Less Humidity"/>
    <n v="0.22389999999999999"/>
    <x v="1"/>
    <n v="0"/>
    <n v="6"/>
    <n v="6"/>
    <s v="Low"/>
  </r>
  <r>
    <n v="906"/>
    <d v="2011-02-10T00:00:00"/>
    <n v="1"/>
    <n v="0"/>
    <n v="2"/>
    <n v="6"/>
    <x v="3"/>
    <b v="0"/>
    <n v="4"/>
    <x v="6"/>
    <n v="2"/>
    <n v="0.12"/>
    <x v="1"/>
    <n v="0.1212"/>
    <n v="0.54"/>
    <s v="Less Humidity"/>
    <n v="0.28360000000000002"/>
    <x v="1"/>
    <n v="0"/>
    <n v="26"/>
    <n v="26"/>
    <s v="Low"/>
  </r>
  <r>
    <n v="907"/>
    <d v="2011-02-10T00:00:00"/>
    <n v="1"/>
    <n v="0"/>
    <n v="2"/>
    <n v="7"/>
    <x v="4"/>
    <b v="0"/>
    <n v="4"/>
    <x v="6"/>
    <n v="1"/>
    <n v="0.1"/>
    <x v="1"/>
    <n v="7.5800000000000006E-2"/>
    <n v="0.5"/>
    <s v="Less Humidity"/>
    <n v="0.41789999999999999"/>
    <x v="2"/>
    <n v="0"/>
    <n v="99"/>
    <n v="99"/>
    <s v="Medium"/>
  </r>
  <r>
    <n v="908"/>
    <d v="2011-02-10T00:00:00"/>
    <n v="1"/>
    <n v="0"/>
    <n v="2"/>
    <n v="8"/>
    <x v="4"/>
    <b v="0"/>
    <n v="4"/>
    <x v="6"/>
    <n v="1"/>
    <n v="0.1"/>
    <x v="1"/>
    <n v="7.5800000000000006E-2"/>
    <n v="0.49"/>
    <s v="Less Humidity"/>
    <n v="0.32840000000000003"/>
    <x v="1"/>
    <n v="5"/>
    <n v="173"/>
    <n v="178"/>
    <s v="High"/>
  </r>
  <r>
    <n v="909"/>
    <d v="2011-02-10T00:00:00"/>
    <n v="1"/>
    <n v="0"/>
    <n v="2"/>
    <n v="9"/>
    <x v="4"/>
    <b v="0"/>
    <n v="4"/>
    <x v="6"/>
    <n v="1"/>
    <n v="0.12"/>
    <x v="1"/>
    <n v="0.1061"/>
    <n v="0.42"/>
    <s v="Less Humidity"/>
    <n v="0.35820000000000002"/>
    <x v="1"/>
    <n v="1"/>
    <n v="121"/>
    <n v="122"/>
    <s v="Medium"/>
  </r>
  <r>
    <n v="910"/>
    <d v="2011-02-10T00:00:00"/>
    <n v="1"/>
    <n v="0"/>
    <n v="2"/>
    <n v="10"/>
    <x v="4"/>
    <b v="0"/>
    <n v="4"/>
    <x v="6"/>
    <n v="1"/>
    <n v="0.12"/>
    <x v="1"/>
    <n v="0.1061"/>
    <n v="0.42"/>
    <s v="Less Humidity"/>
    <n v="0.29849999999999999"/>
    <x v="1"/>
    <n v="1"/>
    <n v="34"/>
    <n v="35"/>
    <s v="Low"/>
  </r>
  <r>
    <n v="911"/>
    <d v="2011-02-10T00:00:00"/>
    <n v="1"/>
    <n v="0"/>
    <n v="2"/>
    <n v="11"/>
    <x v="0"/>
    <b v="0"/>
    <n v="4"/>
    <x v="6"/>
    <n v="1"/>
    <n v="0.14000000000000001"/>
    <x v="1"/>
    <n v="0.1212"/>
    <n v="0.39"/>
    <s v="Dry"/>
    <n v="0.35820000000000002"/>
    <x v="1"/>
    <n v="1"/>
    <n v="44"/>
    <n v="45"/>
    <s v="Low"/>
  </r>
  <r>
    <n v="912"/>
    <d v="2011-02-10T00:00:00"/>
    <n v="1"/>
    <n v="0"/>
    <n v="2"/>
    <n v="12"/>
    <x v="0"/>
    <b v="0"/>
    <n v="4"/>
    <x v="6"/>
    <n v="1"/>
    <n v="0.16"/>
    <x v="0"/>
    <n v="0.13639999999999999"/>
    <n v="0.34"/>
    <s v="Dry"/>
    <n v="0.3881"/>
    <x v="1"/>
    <n v="4"/>
    <n v="65"/>
    <n v="69"/>
    <s v="Low"/>
  </r>
  <r>
    <n v="913"/>
    <d v="2011-02-10T00:00:00"/>
    <n v="1"/>
    <n v="0"/>
    <n v="2"/>
    <n v="13"/>
    <x v="0"/>
    <b v="0"/>
    <n v="4"/>
    <x v="6"/>
    <n v="1"/>
    <n v="0.18"/>
    <x v="0"/>
    <n v="0.16669999999999999"/>
    <n v="0.28999999999999998"/>
    <s v="Dry"/>
    <n v="0.29849999999999999"/>
    <x v="1"/>
    <n v="3"/>
    <n v="59"/>
    <n v="62"/>
    <s v="Low"/>
  </r>
  <r>
    <n v="914"/>
    <d v="2011-02-10T00:00:00"/>
    <n v="1"/>
    <n v="0"/>
    <n v="2"/>
    <n v="14"/>
    <x v="0"/>
    <b v="0"/>
    <n v="4"/>
    <x v="6"/>
    <n v="1"/>
    <n v="0.2"/>
    <x v="0"/>
    <n v="0.18179999999999999"/>
    <n v="0.27"/>
    <s v="Dry"/>
    <n v="0.28360000000000002"/>
    <x v="1"/>
    <n v="6"/>
    <n v="42"/>
    <n v="48"/>
    <s v="Low"/>
  </r>
  <r>
    <n v="915"/>
    <d v="2011-02-10T00:00:00"/>
    <n v="1"/>
    <n v="0"/>
    <n v="2"/>
    <n v="15"/>
    <x v="0"/>
    <b v="0"/>
    <n v="4"/>
    <x v="6"/>
    <n v="1"/>
    <n v="0.2"/>
    <x v="0"/>
    <n v="0.19700000000000001"/>
    <n v="0.25"/>
    <s v="Dry"/>
    <n v="0.25369999999999998"/>
    <x v="1"/>
    <n v="0"/>
    <n v="50"/>
    <n v="50"/>
    <s v="Low"/>
  </r>
  <r>
    <n v="916"/>
    <d v="2011-02-10T00:00:00"/>
    <n v="1"/>
    <n v="0"/>
    <n v="2"/>
    <n v="16"/>
    <x v="0"/>
    <b v="0"/>
    <n v="4"/>
    <x v="6"/>
    <n v="1"/>
    <n v="0.2"/>
    <x v="0"/>
    <n v="0.18179999999999999"/>
    <n v="0.27"/>
    <s v="Dry"/>
    <n v="0.29849999999999999"/>
    <x v="1"/>
    <n v="4"/>
    <n v="76"/>
    <n v="80"/>
    <s v="Medium"/>
  </r>
  <r>
    <n v="917"/>
    <d v="2011-02-10T00:00:00"/>
    <n v="1"/>
    <n v="0"/>
    <n v="2"/>
    <n v="17"/>
    <x v="1"/>
    <b v="0"/>
    <n v="4"/>
    <x v="6"/>
    <n v="1"/>
    <n v="0.18"/>
    <x v="0"/>
    <n v="0.18179999999999999"/>
    <n v="0.26"/>
    <s v="Dry"/>
    <n v="0.19400000000000001"/>
    <x v="0"/>
    <n v="6"/>
    <n v="159"/>
    <n v="165"/>
    <s v="High"/>
  </r>
  <r>
    <n v="918"/>
    <d v="2011-02-10T00:00:00"/>
    <n v="1"/>
    <n v="0"/>
    <n v="2"/>
    <n v="18"/>
    <x v="1"/>
    <b v="0"/>
    <n v="4"/>
    <x v="6"/>
    <n v="1"/>
    <n v="0.16"/>
    <x v="0"/>
    <n v="0.18179999999999999"/>
    <n v="0.28000000000000003"/>
    <s v="Dry"/>
    <n v="0.1343"/>
    <x v="0"/>
    <n v="3"/>
    <n v="157"/>
    <n v="160"/>
    <s v="Medium"/>
  </r>
  <r>
    <n v="919"/>
    <d v="2011-02-10T00:00:00"/>
    <n v="1"/>
    <n v="0"/>
    <n v="2"/>
    <n v="19"/>
    <x v="1"/>
    <b v="0"/>
    <n v="4"/>
    <x v="6"/>
    <n v="1"/>
    <n v="0.14000000000000001"/>
    <x v="1"/>
    <n v="0.16669999999999999"/>
    <n v="0.28000000000000003"/>
    <s v="Dry"/>
    <n v="0.1045"/>
    <x v="0"/>
    <n v="2"/>
    <n v="110"/>
    <n v="112"/>
    <s v="Medium"/>
  </r>
  <r>
    <n v="920"/>
    <d v="2011-02-10T00:00:00"/>
    <n v="1"/>
    <n v="0"/>
    <n v="2"/>
    <n v="20"/>
    <x v="1"/>
    <b v="0"/>
    <n v="4"/>
    <x v="6"/>
    <n v="1"/>
    <n v="0.14000000000000001"/>
    <x v="1"/>
    <n v="0.18179999999999999"/>
    <n v="0.31"/>
    <s v="Dry"/>
    <n v="8.9599999999999999E-2"/>
    <x v="0"/>
    <n v="4"/>
    <n v="93"/>
    <n v="97"/>
    <s v="Medium"/>
  </r>
  <r>
    <n v="921"/>
    <d v="2011-02-10T00:00:00"/>
    <n v="1"/>
    <n v="0"/>
    <n v="2"/>
    <n v="21"/>
    <x v="2"/>
    <b v="0"/>
    <n v="4"/>
    <x v="6"/>
    <n v="1"/>
    <n v="0.14000000000000001"/>
    <x v="1"/>
    <n v="0.21210000000000001"/>
    <n v="0.39"/>
    <s v="Dry"/>
    <n v="0"/>
    <x v="0"/>
    <n v="2"/>
    <n v="70"/>
    <n v="72"/>
    <s v="Medium"/>
  </r>
  <r>
    <n v="922"/>
    <d v="2011-02-10T00:00:00"/>
    <n v="1"/>
    <n v="0"/>
    <n v="2"/>
    <n v="22"/>
    <x v="2"/>
    <b v="0"/>
    <n v="4"/>
    <x v="6"/>
    <n v="1"/>
    <n v="0.12"/>
    <x v="1"/>
    <n v="0.19700000000000001"/>
    <n v="0.39"/>
    <s v="Dry"/>
    <n v="0"/>
    <x v="0"/>
    <n v="4"/>
    <n v="47"/>
    <n v="51"/>
    <s v="Low"/>
  </r>
  <r>
    <n v="923"/>
    <d v="2011-02-10T00:00:00"/>
    <n v="1"/>
    <n v="0"/>
    <n v="2"/>
    <n v="23"/>
    <x v="2"/>
    <b v="0"/>
    <n v="4"/>
    <x v="6"/>
    <n v="1"/>
    <n v="0.12"/>
    <x v="1"/>
    <n v="0.1515"/>
    <n v="0.42"/>
    <s v="Less Humidity"/>
    <n v="0.1045"/>
    <x v="0"/>
    <n v="1"/>
    <n v="33"/>
    <n v="34"/>
    <s v="Low"/>
  </r>
  <r>
    <n v="924"/>
    <d v="2011-02-11T00:00:00"/>
    <n v="1"/>
    <n v="0"/>
    <n v="2"/>
    <n v="0"/>
    <x v="2"/>
    <b v="0"/>
    <n v="5"/>
    <x v="0"/>
    <n v="1"/>
    <n v="0.1"/>
    <x v="1"/>
    <n v="0.13639999999999999"/>
    <n v="0.49"/>
    <s v="Less Humidity"/>
    <n v="0.1045"/>
    <x v="0"/>
    <n v="2"/>
    <n v="12"/>
    <n v="14"/>
    <s v="Low"/>
  </r>
  <r>
    <n v="925"/>
    <d v="2011-02-11T00:00:00"/>
    <n v="1"/>
    <n v="0"/>
    <n v="2"/>
    <n v="1"/>
    <x v="2"/>
    <b v="0"/>
    <n v="5"/>
    <x v="0"/>
    <n v="1"/>
    <n v="0.1"/>
    <x v="1"/>
    <n v="0.13639999999999999"/>
    <n v="0.54"/>
    <s v="Less Humidity"/>
    <n v="8.9599999999999999E-2"/>
    <x v="0"/>
    <n v="1"/>
    <n v="6"/>
    <n v="7"/>
    <s v="Low"/>
  </r>
  <r>
    <n v="926"/>
    <d v="2011-02-11T00:00:00"/>
    <n v="1"/>
    <n v="0"/>
    <n v="2"/>
    <n v="2"/>
    <x v="2"/>
    <b v="0"/>
    <n v="5"/>
    <x v="0"/>
    <n v="1"/>
    <n v="0.1"/>
    <x v="1"/>
    <n v="0.13639999999999999"/>
    <n v="0.54"/>
    <s v="Less Humidity"/>
    <n v="8.9599999999999999E-2"/>
    <x v="0"/>
    <n v="0"/>
    <n v="3"/>
    <n v="3"/>
    <s v="Low"/>
  </r>
  <r>
    <n v="927"/>
    <d v="2011-02-11T00:00:00"/>
    <n v="1"/>
    <n v="0"/>
    <n v="2"/>
    <n v="5"/>
    <x v="3"/>
    <b v="0"/>
    <n v="5"/>
    <x v="0"/>
    <n v="1"/>
    <n v="0.08"/>
    <x v="1"/>
    <n v="0.1212"/>
    <n v="0.63"/>
    <s v="High Humidity"/>
    <n v="8.9599999999999999E-2"/>
    <x v="0"/>
    <n v="0"/>
    <n v="4"/>
    <n v="4"/>
    <s v="Low"/>
  </r>
  <r>
    <n v="928"/>
    <d v="2011-02-11T00:00:00"/>
    <n v="1"/>
    <n v="0"/>
    <n v="2"/>
    <n v="6"/>
    <x v="3"/>
    <b v="0"/>
    <n v="5"/>
    <x v="0"/>
    <n v="1"/>
    <n v="0.1"/>
    <x v="1"/>
    <n v="0.18179999999999999"/>
    <n v="0.68"/>
    <s v="High Humidity"/>
    <n v="0"/>
    <x v="0"/>
    <n v="1"/>
    <n v="23"/>
    <n v="24"/>
    <s v="Low"/>
  </r>
  <r>
    <n v="929"/>
    <d v="2011-02-11T00:00:00"/>
    <n v="1"/>
    <n v="0"/>
    <n v="2"/>
    <n v="7"/>
    <x v="4"/>
    <b v="0"/>
    <n v="5"/>
    <x v="0"/>
    <n v="1"/>
    <n v="0.08"/>
    <x v="1"/>
    <n v="0.16669999999999999"/>
    <n v="0.73"/>
    <s v="High Humidity"/>
    <n v="0"/>
    <x v="0"/>
    <n v="1"/>
    <n v="73"/>
    <n v="74"/>
    <s v="Medium"/>
  </r>
  <r>
    <n v="930"/>
    <d v="2011-02-11T00:00:00"/>
    <n v="1"/>
    <n v="0"/>
    <n v="2"/>
    <n v="8"/>
    <x v="4"/>
    <b v="0"/>
    <n v="5"/>
    <x v="0"/>
    <n v="1"/>
    <n v="0.1"/>
    <x v="1"/>
    <n v="0.1212"/>
    <n v="0.74"/>
    <s v="High Humidity"/>
    <n v="0.16420000000000001"/>
    <x v="0"/>
    <n v="4"/>
    <n v="212"/>
    <n v="216"/>
    <s v="High"/>
  </r>
  <r>
    <n v="931"/>
    <d v="2011-02-11T00:00:00"/>
    <n v="1"/>
    <n v="0"/>
    <n v="2"/>
    <n v="9"/>
    <x v="4"/>
    <b v="0"/>
    <n v="5"/>
    <x v="0"/>
    <n v="1"/>
    <n v="0.12"/>
    <x v="1"/>
    <n v="0.1212"/>
    <n v="0.74"/>
    <s v="High Humidity"/>
    <n v="0.22389999999999999"/>
    <x v="1"/>
    <n v="8"/>
    <n v="132"/>
    <n v="140"/>
    <s v="Medium"/>
  </r>
  <r>
    <n v="932"/>
    <d v="2011-02-11T00:00:00"/>
    <n v="1"/>
    <n v="0"/>
    <n v="2"/>
    <n v="10"/>
    <x v="4"/>
    <b v="0"/>
    <n v="5"/>
    <x v="0"/>
    <n v="1"/>
    <n v="0.14000000000000001"/>
    <x v="1"/>
    <n v="0.13639999999999999"/>
    <n v="0.69"/>
    <s v="High Humidity"/>
    <n v="0.19400000000000001"/>
    <x v="0"/>
    <n v="5"/>
    <n v="39"/>
    <n v="44"/>
    <s v="Low"/>
  </r>
  <r>
    <n v="933"/>
    <d v="2011-02-11T00:00:00"/>
    <n v="1"/>
    <n v="0"/>
    <n v="2"/>
    <n v="11"/>
    <x v="0"/>
    <b v="0"/>
    <n v="5"/>
    <x v="0"/>
    <n v="1"/>
    <n v="0.22"/>
    <x v="0"/>
    <n v="0.2273"/>
    <n v="0.47"/>
    <s v="Less Humidity"/>
    <n v="0.1343"/>
    <x v="0"/>
    <n v="12"/>
    <n v="52"/>
    <n v="64"/>
    <s v="Low"/>
  </r>
  <r>
    <n v="934"/>
    <d v="2011-02-11T00:00:00"/>
    <n v="1"/>
    <n v="0"/>
    <n v="2"/>
    <n v="12"/>
    <x v="0"/>
    <b v="0"/>
    <n v="5"/>
    <x v="0"/>
    <n v="1"/>
    <n v="0.22"/>
    <x v="0"/>
    <n v="0.2273"/>
    <n v="0.47"/>
    <s v="Less Humidity"/>
    <n v="0.1343"/>
    <x v="0"/>
    <n v="7"/>
    <n v="64"/>
    <n v="71"/>
    <s v="Medium"/>
  </r>
  <r>
    <n v="935"/>
    <d v="2011-02-11T00:00:00"/>
    <n v="1"/>
    <n v="0"/>
    <n v="2"/>
    <n v="13"/>
    <x v="0"/>
    <b v="0"/>
    <n v="5"/>
    <x v="0"/>
    <n v="1"/>
    <n v="0.24"/>
    <x v="0"/>
    <n v="0.2273"/>
    <n v="0.35"/>
    <s v="Dry"/>
    <n v="0.19400000000000001"/>
    <x v="0"/>
    <n v="21"/>
    <n v="89"/>
    <n v="110"/>
    <s v="Medium"/>
  </r>
  <r>
    <n v="936"/>
    <d v="2011-02-11T00:00:00"/>
    <n v="1"/>
    <n v="0"/>
    <n v="2"/>
    <n v="14"/>
    <x v="0"/>
    <b v="0"/>
    <n v="5"/>
    <x v="0"/>
    <n v="1"/>
    <n v="0.3"/>
    <x v="2"/>
    <n v="0.28789999999999999"/>
    <n v="0.26"/>
    <s v="Dry"/>
    <n v="0.25369999999999998"/>
    <x v="1"/>
    <n v="17"/>
    <n v="67"/>
    <n v="84"/>
    <s v="Medium"/>
  </r>
  <r>
    <n v="937"/>
    <d v="2011-02-11T00:00:00"/>
    <n v="1"/>
    <n v="0"/>
    <n v="2"/>
    <n v="15"/>
    <x v="0"/>
    <b v="0"/>
    <n v="5"/>
    <x v="0"/>
    <n v="1"/>
    <n v="0.32"/>
    <x v="2"/>
    <n v="0.31819999999999998"/>
    <n v="0.21"/>
    <s v="Dry"/>
    <n v="0.16420000000000001"/>
    <x v="0"/>
    <n v="12"/>
    <n v="62"/>
    <n v="74"/>
    <s v="Medium"/>
  </r>
  <r>
    <n v="938"/>
    <d v="2011-02-11T00:00:00"/>
    <n v="1"/>
    <n v="0"/>
    <n v="2"/>
    <n v="16"/>
    <x v="0"/>
    <b v="0"/>
    <n v="5"/>
    <x v="0"/>
    <n v="1"/>
    <n v="0.3"/>
    <x v="2"/>
    <n v="0.28789999999999999"/>
    <n v="0.28000000000000003"/>
    <s v="Dry"/>
    <n v="0.19400000000000001"/>
    <x v="0"/>
    <n v="14"/>
    <n v="111"/>
    <n v="125"/>
    <s v="Medium"/>
  </r>
  <r>
    <n v="939"/>
    <d v="2011-02-11T00:00:00"/>
    <n v="1"/>
    <n v="0"/>
    <n v="2"/>
    <n v="17"/>
    <x v="1"/>
    <b v="0"/>
    <n v="5"/>
    <x v="0"/>
    <n v="1"/>
    <n v="0.3"/>
    <x v="2"/>
    <n v="0.33329999999999999"/>
    <n v="0.24"/>
    <s v="Dry"/>
    <n v="0"/>
    <x v="0"/>
    <n v="18"/>
    <n v="193"/>
    <n v="211"/>
    <s v="High"/>
  </r>
  <r>
    <n v="940"/>
    <d v="2011-02-11T00:00:00"/>
    <n v="1"/>
    <n v="0"/>
    <n v="2"/>
    <n v="18"/>
    <x v="1"/>
    <b v="0"/>
    <n v="5"/>
    <x v="0"/>
    <n v="1"/>
    <n v="0.28000000000000003"/>
    <x v="2"/>
    <n v="0.31819999999999998"/>
    <n v="0.28000000000000003"/>
    <s v="Dry"/>
    <n v="0"/>
    <x v="0"/>
    <n v="9"/>
    <n v="165"/>
    <n v="174"/>
    <s v="High"/>
  </r>
  <r>
    <n v="941"/>
    <d v="2011-02-11T00:00:00"/>
    <n v="1"/>
    <n v="0"/>
    <n v="2"/>
    <n v="19"/>
    <x v="1"/>
    <b v="0"/>
    <n v="5"/>
    <x v="0"/>
    <n v="1"/>
    <n v="0.26"/>
    <x v="2"/>
    <n v="0.30299999999999999"/>
    <n v="0.33"/>
    <s v="Dry"/>
    <n v="0"/>
    <x v="0"/>
    <n v="7"/>
    <n v="94"/>
    <n v="101"/>
    <s v="Medium"/>
  </r>
  <r>
    <n v="942"/>
    <d v="2011-02-11T00:00:00"/>
    <n v="1"/>
    <n v="0"/>
    <n v="2"/>
    <n v="20"/>
    <x v="1"/>
    <b v="0"/>
    <n v="5"/>
    <x v="0"/>
    <n v="1"/>
    <n v="0.22"/>
    <x v="0"/>
    <n v="0.2273"/>
    <n v="0.55000000000000004"/>
    <s v="Less Humidity"/>
    <n v="0.1343"/>
    <x v="0"/>
    <n v="2"/>
    <n v="61"/>
    <n v="63"/>
    <s v="Low"/>
  </r>
  <r>
    <n v="943"/>
    <d v="2011-02-11T00:00:00"/>
    <n v="1"/>
    <n v="0"/>
    <n v="2"/>
    <n v="21"/>
    <x v="2"/>
    <b v="0"/>
    <n v="5"/>
    <x v="0"/>
    <n v="1"/>
    <n v="0.2"/>
    <x v="0"/>
    <n v="0.21210000000000001"/>
    <n v="0.59"/>
    <s v="Less Humidity"/>
    <n v="0.1343"/>
    <x v="0"/>
    <n v="1"/>
    <n v="46"/>
    <n v="47"/>
    <s v="Low"/>
  </r>
  <r>
    <n v="944"/>
    <d v="2011-02-11T00:00:00"/>
    <n v="1"/>
    <n v="0"/>
    <n v="2"/>
    <n v="22"/>
    <x v="2"/>
    <b v="0"/>
    <n v="5"/>
    <x v="0"/>
    <n v="1"/>
    <n v="0.2"/>
    <x v="0"/>
    <n v="0.2273"/>
    <n v="0.64"/>
    <s v="High Humidity"/>
    <n v="8.9599999999999999E-2"/>
    <x v="0"/>
    <n v="2"/>
    <n v="41"/>
    <n v="43"/>
    <s v="Low"/>
  </r>
  <r>
    <n v="945"/>
    <d v="2011-02-11T00:00:00"/>
    <n v="1"/>
    <n v="0"/>
    <n v="2"/>
    <n v="23"/>
    <x v="2"/>
    <b v="0"/>
    <n v="5"/>
    <x v="0"/>
    <n v="1"/>
    <n v="0.18"/>
    <x v="0"/>
    <n v="0.2424"/>
    <n v="0.69"/>
    <s v="High Humidity"/>
    <n v="0"/>
    <x v="0"/>
    <n v="5"/>
    <n v="48"/>
    <n v="53"/>
    <s v="Low"/>
  </r>
  <r>
    <n v="946"/>
    <d v="2011-02-12T00:00:00"/>
    <n v="1"/>
    <n v="0"/>
    <n v="2"/>
    <n v="0"/>
    <x v="2"/>
    <b v="0"/>
    <n v="6"/>
    <x v="1"/>
    <n v="1"/>
    <n v="0.16"/>
    <x v="0"/>
    <n v="0.19700000000000001"/>
    <n v="0.69"/>
    <s v="High Humidity"/>
    <n v="8.9599999999999999E-2"/>
    <x v="0"/>
    <n v="3"/>
    <n v="27"/>
    <n v="30"/>
    <s v="Low"/>
  </r>
  <r>
    <n v="947"/>
    <d v="2011-02-12T00:00:00"/>
    <n v="1"/>
    <n v="0"/>
    <n v="2"/>
    <n v="1"/>
    <x v="2"/>
    <b v="0"/>
    <n v="6"/>
    <x v="1"/>
    <n v="1"/>
    <n v="0.14000000000000001"/>
    <x v="1"/>
    <n v="0.21210000000000001"/>
    <n v="0.86"/>
    <s v="High Humidity"/>
    <n v="0"/>
    <x v="0"/>
    <n v="2"/>
    <n v="22"/>
    <n v="24"/>
    <s v="Low"/>
  </r>
  <r>
    <n v="948"/>
    <d v="2011-02-12T00:00:00"/>
    <n v="1"/>
    <n v="0"/>
    <n v="2"/>
    <n v="2"/>
    <x v="2"/>
    <b v="0"/>
    <n v="6"/>
    <x v="1"/>
    <n v="1"/>
    <n v="0.14000000000000001"/>
    <x v="1"/>
    <n v="0.21210000000000001"/>
    <n v="0.8"/>
    <s v="High Humidity"/>
    <n v="0"/>
    <x v="0"/>
    <n v="2"/>
    <n v="13"/>
    <n v="15"/>
    <s v="Low"/>
  </r>
  <r>
    <n v="949"/>
    <d v="2011-02-12T00:00:00"/>
    <n v="1"/>
    <n v="0"/>
    <n v="2"/>
    <n v="3"/>
    <x v="2"/>
    <b v="0"/>
    <n v="6"/>
    <x v="1"/>
    <n v="1"/>
    <n v="0.12"/>
    <x v="1"/>
    <n v="0.19700000000000001"/>
    <n v="0.8"/>
    <s v="High Humidity"/>
    <n v="0"/>
    <x v="0"/>
    <n v="3"/>
    <n v="7"/>
    <n v="10"/>
    <s v="Low"/>
  </r>
  <r>
    <n v="950"/>
    <d v="2011-02-12T00:00:00"/>
    <n v="1"/>
    <n v="0"/>
    <n v="2"/>
    <n v="4"/>
    <x v="3"/>
    <b v="0"/>
    <n v="6"/>
    <x v="1"/>
    <n v="1"/>
    <n v="0.12"/>
    <x v="1"/>
    <n v="0.16669999999999999"/>
    <n v="0.74"/>
    <s v="High Humidity"/>
    <n v="8.9599999999999999E-2"/>
    <x v="0"/>
    <n v="0"/>
    <n v="4"/>
    <n v="4"/>
    <s v="Low"/>
  </r>
  <r>
    <n v="951"/>
    <d v="2011-02-12T00:00:00"/>
    <n v="1"/>
    <n v="0"/>
    <n v="2"/>
    <n v="5"/>
    <x v="3"/>
    <b v="0"/>
    <n v="6"/>
    <x v="1"/>
    <n v="1"/>
    <n v="0.12"/>
    <x v="1"/>
    <n v="0.16669999999999999"/>
    <n v="0.74"/>
    <s v="High Humidity"/>
    <n v="8.9599999999999999E-2"/>
    <x v="0"/>
    <n v="0"/>
    <n v="1"/>
    <n v="1"/>
    <s v="Low"/>
  </r>
  <r>
    <n v="952"/>
    <d v="2011-02-12T00:00:00"/>
    <n v="1"/>
    <n v="0"/>
    <n v="2"/>
    <n v="6"/>
    <x v="3"/>
    <b v="0"/>
    <n v="6"/>
    <x v="1"/>
    <n v="1"/>
    <n v="0.12"/>
    <x v="1"/>
    <n v="0.13639999999999999"/>
    <n v="0.93"/>
    <s v="High Humidity"/>
    <n v="0.19400000000000001"/>
    <x v="0"/>
    <n v="1"/>
    <n v="1"/>
    <n v="2"/>
    <s v="Low"/>
  </r>
  <r>
    <n v="953"/>
    <d v="2011-02-12T00:00:00"/>
    <n v="1"/>
    <n v="0"/>
    <n v="2"/>
    <n v="7"/>
    <x v="4"/>
    <b v="0"/>
    <n v="6"/>
    <x v="1"/>
    <n v="1"/>
    <n v="0.12"/>
    <x v="1"/>
    <n v="0.1515"/>
    <n v="0.8"/>
    <s v="High Humidity"/>
    <n v="0.1045"/>
    <x v="0"/>
    <n v="2"/>
    <n v="9"/>
    <n v="11"/>
    <s v="Low"/>
  </r>
  <r>
    <n v="954"/>
    <d v="2011-02-12T00:00:00"/>
    <n v="1"/>
    <n v="0"/>
    <n v="2"/>
    <n v="8"/>
    <x v="4"/>
    <b v="0"/>
    <n v="6"/>
    <x v="1"/>
    <n v="1"/>
    <n v="0.14000000000000001"/>
    <x v="1"/>
    <n v="0.1515"/>
    <n v="0.86"/>
    <s v="High Humidity"/>
    <n v="0.1343"/>
    <x v="0"/>
    <n v="2"/>
    <n v="28"/>
    <n v="30"/>
    <s v="Low"/>
  </r>
  <r>
    <n v="955"/>
    <d v="2011-02-12T00:00:00"/>
    <n v="1"/>
    <n v="0"/>
    <n v="2"/>
    <n v="9"/>
    <x v="4"/>
    <b v="0"/>
    <n v="6"/>
    <x v="1"/>
    <n v="1"/>
    <n v="0.16"/>
    <x v="0"/>
    <n v="0.18179999999999999"/>
    <n v="0.64"/>
    <s v="High Humidity"/>
    <n v="0.1343"/>
    <x v="0"/>
    <n v="5"/>
    <n v="38"/>
    <n v="43"/>
    <s v="Low"/>
  </r>
  <r>
    <n v="956"/>
    <d v="2011-02-12T00:00:00"/>
    <n v="1"/>
    <n v="0"/>
    <n v="2"/>
    <n v="10"/>
    <x v="4"/>
    <b v="0"/>
    <n v="6"/>
    <x v="1"/>
    <n v="1"/>
    <n v="0.22"/>
    <x v="0"/>
    <n v="0.21210000000000001"/>
    <n v="0.41"/>
    <s v="Less Humidity"/>
    <n v="0.25369999999999998"/>
    <x v="1"/>
    <n v="13"/>
    <n v="71"/>
    <n v="84"/>
    <s v="Medium"/>
  </r>
  <r>
    <n v="957"/>
    <d v="2011-02-12T00:00:00"/>
    <n v="1"/>
    <n v="0"/>
    <n v="2"/>
    <n v="11"/>
    <x v="0"/>
    <b v="0"/>
    <n v="6"/>
    <x v="1"/>
    <n v="1"/>
    <n v="0.3"/>
    <x v="2"/>
    <n v="0.2727"/>
    <n v="0.28000000000000003"/>
    <s v="Dry"/>
    <n v="0.32840000000000003"/>
    <x v="1"/>
    <n v="30"/>
    <n v="84"/>
    <n v="114"/>
    <s v="Medium"/>
  </r>
  <r>
    <n v="958"/>
    <d v="2011-02-12T00:00:00"/>
    <n v="1"/>
    <n v="0"/>
    <n v="2"/>
    <n v="12"/>
    <x v="0"/>
    <b v="0"/>
    <n v="6"/>
    <x v="1"/>
    <n v="1"/>
    <n v="0.3"/>
    <x v="2"/>
    <n v="0.2727"/>
    <n v="0.39"/>
    <s v="Dry"/>
    <n v="0.4627"/>
    <x v="2"/>
    <n v="27"/>
    <n v="93"/>
    <n v="120"/>
    <s v="Medium"/>
  </r>
  <r>
    <n v="959"/>
    <d v="2011-02-12T00:00:00"/>
    <n v="1"/>
    <n v="0"/>
    <n v="2"/>
    <n v="13"/>
    <x v="0"/>
    <b v="0"/>
    <n v="6"/>
    <x v="1"/>
    <n v="1"/>
    <n v="0.3"/>
    <x v="2"/>
    <n v="0.2727"/>
    <n v="0.39"/>
    <s v="Dry"/>
    <n v="0.41789999999999999"/>
    <x v="2"/>
    <n v="32"/>
    <n v="103"/>
    <n v="135"/>
    <s v="Medium"/>
  </r>
  <r>
    <n v="960"/>
    <d v="2011-02-12T00:00:00"/>
    <n v="1"/>
    <n v="0"/>
    <n v="2"/>
    <n v="14"/>
    <x v="0"/>
    <b v="0"/>
    <n v="6"/>
    <x v="1"/>
    <n v="1"/>
    <n v="0.34"/>
    <x v="3"/>
    <n v="0.31819999999999998"/>
    <n v="0.31"/>
    <s v="Dry"/>
    <n v="0.28360000000000002"/>
    <x v="1"/>
    <n v="30"/>
    <n v="90"/>
    <n v="120"/>
    <s v="Medium"/>
  </r>
  <r>
    <n v="961"/>
    <d v="2011-02-12T00:00:00"/>
    <n v="1"/>
    <n v="0"/>
    <n v="2"/>
    <n v="15"/>
    <x v="0"/>
    <b v="0"/>
    <n v="6"/>
    <x v="1"/>
    <n v="1"/>
    <n v="0.34"/>
    <x v="3"/>
    <n v="0.30299999999999999"/>
    <n v="0.28999999999999998"/>
    <s v="Dry"/>
    <n v="0.41789999999999999"/>
    <x v="2"/>
    <n v="47"/>
    <n v="127"/>
    <n v="174"/>
    <s v="High"/>
  </r>
  <r>
    <n v="962"/>
    <d v="2011-02-12T00:00:00"/>
    <n v="1"/>
    <n v="0"/>
    <n v="2"/>
    <n v="16"/>
    <x v="0"/>
    <b v="0"/>
    <n v="6"/>
    <x v="1"/>
    <n v="1"/>
    <n v="0.34"/>
    <x v="3"/>
    <n v="0.30299999999999999"/>
    <n v="0.28999999999999998"/>
    <s v="Dry"/>
    <n v="0.41789999999999999"/>
    <x v="2"/>
    <n v="42"/>
    <n v="103"/>
    <n v="145"/>
    <s v="Medium"/>
  </r>
  <r>
    <n v="963"/>
    <d v="2011-02-12T00:00:00"/>
    <n v="1"/>
    <n v="0"/>
    <n v="2"/>
    <n v="17"/>
    <x v="1"/>
    <b v="0"/>
    <n v="6"/>
    <x v="1"/>
    <n v="1"/>
    <n v="0.32"/>
    <x v="2"/>
    <n v="0.28789999999999999"/>
    <n v="0.31"/>
    <s v="Dry"/>
    <n v="0.52239999999999998"/>
    <x v="2"/>
    <n v="24"/>
    <n v="113"/>
    <n v="137"/>
    <s v="Medium"/>
  </r>
  <r>
    <n v="964"/>
    <d v="2011-02-12T00:00:00"/>
    <n v="1"/>
    <n v="0"/>
    <n v="2"/>
    <n v="18"/>
    <x v="1"/>
    <b v="0"/>
    <n v="6"/>
    <x v="1"/>
    <n v="1"/>
    <n v="0.28000000000000003"/>
    <x v="2"/>
    <n v="0.2576"/>
    <n v="0.38"/>
    <s v="Dry"/>
    <n v="0.32840000000000003"/>
    <x v="1"/>
    <n v="4"/>
    <n v="60"/>
    <n v="64"/>
    <s v="Low"/>
  </r>
  <r>
    <n v="965"/>
    <d v="2011-02-12T00:00:00"/>
    <n v="1"/>
    <n v="0"/>
    <n v="2"/>
    <n v="19"/>
    <x v="1"/>
    <b v="0"/>
    <n v="6"/>
    <x v="1"/>
    <n v="1"/>
    <n v="0.28000000000000003"/>
    <x v="2"/>
    <n v="0.2727"/>
    <n v="0.38"/>
    <s v="Dry"/>
    <n v="0.16420000000000001"/>
    <x v="0"/>
    <n v="2"/>
    <n v="39"/>
    <n v="41"/>
    <s v="Low"/>
  </r>
  <r>
    <n v="966"/>
    <d v="2011-02-12T00:00:00"/>
    <n v="1"/>
    <n v="0"/>
    <n v="2"/>
    <n v="20"/>
    <x v="1"/>
    <b v="0"/>
    <n v="6"/>
    <x v="1"/>
    <n v="1"/>
    <n v="0.26"/>
    <x v="2"/>
    <n v="0.2576"/>
    <n v="0.41"/>
    <s v="Less Humidity"/>
    <n v="0.22389999999999999"/>
    <x v="1"/>
    <n v="1"/>
    <n v="39"/>
    <n v="40"/>
    <s v="Low"/>
  </r>
  <r>
    <n v="967"/>
    <d v="2011-02-12T00:00:00"/>
    <n v="1"/>
    <n v="0"/>
    <n v="2"/>
    <n v="21"/>
    <x v="2"/>
    <b v="0"/>
    <n v="6"/>
    <x v="1"/>
    <n v="1"/>
    <n v="0.26"/>
    <x v="2"/>
    <n v="0.30299999999999999"/>
    <n v="0.41"/>
    <s v="Less Humidity"/>
    <n v="0"/>
    <x v="0"/>
    <n v="9"/>
    <n v="42"/>
    <n v="51"/>
    <s v="Low"/>
  </r>
  <r>
    <n v="968"/>
    <d v="2011-02-12T00:00:00"/>
    <n v="1"/>
    <n v="0"/>
    <n v="2"/>
    <n v="22"/>
    <x v="2"/>
    <b v="0"/>
    <n v="6"/>
    <x v="1"/>
    <n v="1"/>
    <n v="0.24"/>
    <x v="0"/>
    <n v="0.2576"/>
    <n v="0.44"/>
    <s v="Less Humidity"/>
    <n v="8.9599999999999999E-2"/>
    <x v="0"/>
    <n v="6"/>
    <n v="39"/>
    <n v="45"/>
    <s v="Low"/>
  </r>
  <r>
    <n v="969"/>
    <d v="2011-02-12T00:00:00"/>
    <n v="1"/>
    <n v="0"/>
    <n v="2"/>
    <n v="23"/>
    <x v="2"/>
    <b v="0"/>
    <n v="6"/>
    <x v="1"/>
    <n v="1"/>
    <n v="0.22"/>
    <x v="0"/>
    <n v="0.2273"/>
    <n v="0.51"/>
    <s v="Less Humidity"/>
    <n v="0.1343"/>
    <x v="0"/>
    <n v="1"/>
    <n v="31"/>
    <n v="32"/>
    <s v="Low"/>
  </r>
  <r>
    <n v="970"/>
    <d v="2011-02-13T00:00:00"/>
    <n v="1"/>
    <n v="0"/>
    <n v="2"/>
    <n v="0"/>
    <x v="2"/>
    <b v="0"/>
    <n v="0"/>
    <x v="2"/>
    <n v="1"/>
    <n v="0.2"/>
    <x v="0"/>
    <n v="0.2273"/>
    <n v="0.64"/>
    <s v="High Humidity"/>
    <n v="0.1045"/>
    <x v="0"/>
    <n v="5"/>
    <n v="34"/>
    <n v="39"/>
    <s v="Low"/>
  </r>
  <r>
    <n v="971"/>
    <d v="2011-02-13T00:00:00"/>
    <n v="1"/>
    <n v="0"/>
    <n v="2"/>
    <n v="1"/>
    <x v="2"/>
    <b v="0"/>
    <n v="0"/>
    <x v="2"/>
    <n v="1"/>
    <n v="0.2"/>
    <x v="0"/>
    <n v="0.2273"/>
    <n v="0.59"/>
    <s v="Less Humidity"/>
    <n v="8.9599999999999999E-2"/>
    <x v="0"/>
    <n v="1"/>
    <n v="23"/>
    <n v="24"/>
    <s v="Low"/>
  </r>
  <r>
    <n v="972"/>
    <d v="2011-02-13T00:00:00"/>
    <n v="1"/>
    <n v="0"/>
    <n v="2"/>
    <n v="2"/>
    <x v="2"/>
    <b v="0"/>
    <n v="0"/>
    <x v="2"/>
    <n v="2"/>
    <n v="0.2"/>
    <x v="0"/>
    <n v="0.2273"/>
    <n v="0.75"/>
    <s v="High Humidity"/>
    <n v="8.9599999999999999E-2"/>
    <x v="0"/>
    <n v="1"/>
    <n v="19"/>
    <n v="20"/>
    <s v="Low"/>
  </r>
  <r>
    <n v="973"/>
    <d v="2011-02-13T00:00:00"/>
    <n v="1"/>
    <n v="0"/>
    <n v="2"/>
    <n v="3"/>
    <x v="2"/>
    <b v="0"/>
    <n v="0"/>
    <x v="2"/>
    <n v="2"/>
    <n v="0.2"/>
    <x v="0"/>
    <n v="0.2273"/>
    <n v="0.69"/>
    <s v="High Humidity"/>
    <n v="0.1045"/>
    <x v="0"/>
    <n v="4"/>
    <n v="8"/>
    <n v="12"/>
    <s v="Low"/>
  </r>
  <r>
    <n v="974"/>
    <d v="2011-02-13T00:00:00"/>
    <n v="1"/>
    <n v="0"/>
    <n v="2"/>
    <n v="4"/>
    <x v="3"/>
    <b v="0"/>
    <n v="0"/>
    <x v="2"/>
    <n v="2"/>
    <n v="0.2"/>
    <x v="0"/>
    <n v="0.21210000000000001"/>
    <n v="0.69"/>
    <s v="High Humidity"/>
    <n v="0.16420000000000001"/>
    <x v="0"/>
    <n v="0"/>
    <n v="2"/>
    <n v="2"/>
    <s v="Low"/>
  </r>
  <r>
    <n v="975"/>
    <d v="2011-02-13T00:00:00"/>
    <n v="1"/>
    <n v="0"/>
    <n v="2"/>
    <n v="6"/>
    <x v="3"/>
    <b v="0"/>
    <n v="0"/>
    <x v="2"/>
    <n v="2"/>
    <n v="0.2"/>
    <x v="0"/>
    <n v="0.21210000000000001"/>
    <n v="0.69"/>
    <s v="High Humidity"/>
    <n v="0.1343"/>
    <x v="0"/>
    <n v="2"/>
    <n v="3"/>
    <n v="5"/>
    <s v="Low"/>
  </r>
  <r>
    <n v="976"/>
    <d v="2011-02-13T00:00:00"/>
    <n v="1"/>
    <n v="0"/>
    <n v="2"/>
    <n v="7"/>
    <x v="4"/>
    <b v="0"/>
    <n v="0"/>
    <x v="2"/>
    <n v="2"/>
    <n v="0.22"/>
    <x v="0"/>
    <n v="0.2727"/>
    <n v="0.55000000000000004"/>
    <s v="Less Humidity"/>
    <n v="0"/>
    <x v="0"/>
    <n v="0"/>
    <n v="3"/>
    <n v="3"/>
    <s v="Low"/>
  </r>
  <r>
    <n v="977"/>
    <d v="2011-02-13T00:00:00"/>
    <n v="1"/>
    <n v="0"/>
    <n v="2"/>
    <n v="8"/>
    <x v="4"/>
    <b v="0"/>
    <n v="0"/>
    <x v="2"/>
    <n v="2"/>
    <n v="0.22"/>
    <x v="0"/>
    <n v="0.2273"/>
    <n v="0.64"/>
    <s v="High Humidity"/>
    <n v="0.19400000000000001"/>
    <x v="0"/>
    <n v="1"/>
    <n v="11"/>
    <n v="12"/>
    <s v="Low"/>
  </r>
  <r>
    <n v="978"/>
    <d v="2011-02-13T00:00:00"/>
    <n v="1"/>
    <n v="0"/>
    <n v="2"/>
    <n v="9"/>
    <x v="4"/>
    <b v="0"/>
    <n v="0"/>
    <x v="2"/>
    <n v="2"/>
    <n v="0.24"/>
    <x v="0"/>
    <n v="0.2273"/>
    <n v="0.6"/>
    <s v="Humid"/>
    <n v="0.22389999999999999"/>
    <x v="1"/>
    <n v="12"/>
    <n v="35"/>
    <n v="47"/>
    <s v="Low"/>
  </r>
  <r>
    <n v="979"/>
    <d v="2011-02-13T00:00:00"/>
    <n v="1"/>
    <n v="0"/>
    <n v="2"/>
    <n v="10"/>
    <x v="4"/>
    <b v="0"/>
    <n v="0"/>
    <x v="2"/>
    <n v="1"/>
    <n v="0.3"/>
    <x v="2"/>
    <n v="0.2727"/>
    <n v="0.45"/>
    <s v="Less Humidity"/>
    <n v="0.32840000000000003"/>
    <x v="1"/>
    <n v="19"/>
    <n v="86"/>
    <n v="105"/>
    <s v="Medium"/>
  </r>
  <r>
    <n v="980"/>
    <d v="2011-02-13T00:00:00"/>
    <n v="1"/>
    <n v="0"/>
    <n v="2"/>
    <n v="11"/>
    <x v="0"/>
    <b v="0"/>
    <n v="0"/>
    <x v="2"/>
    <n v="1"/>
    <n v="0.32"/>
    <x v="2"/>
    <n v="0.28789999999999999"/>
    <n v="0.39"/>
    <s v="Dry"/>
    <n v="0.44779999999999998"/>
    <x v="2"/>
    <n v="26"/>
    <n v="86"/>
    <n v="112"/>
    <s v="Medium"/>
  </r>
  <r>
    <n v="981"/>
    <d v="2011-02-13T00:00:00"/>
    <n v="1"/>
    <n v="0"/>
    <n v="2"/>
    <n v="12"/>
    <x v="0"/>
    <b v="0"/>
    <n v="0"/>
    <x v="2"/>
    <n v="1"/>
    <n v="0.36"/>
    <x v="3"/>
    <n v="0.31819999999999998"/>
    <n v="0.32"/>
    <s v="Dry"/>
    <n v="0.4627"/>
    <x v="2"/>
    <n v="58"/>
    <n v="94"/>
    <n v="152"/>
    <s v="Medium"/>
  </r>
  <r>
    <n v="982"/>
    <d v="2011-02-13T00:00:00"/>
    <n v="1"/>
    <n v="0"/>
    <n v="2"/>
    <n v="13"/>
    <x v="0"/>
    <b v="0"/>
    <n v="0"/>
    <x v="2"/>
    <n v="1"/>
    <n v="0.38"/>
    <x v="3"/>
    <n v="0.39389999999999997"/>
    <n v="0.28999999999999998"/>
    <s v="Dry"/>
    <n v="0.35820000000000002"/>
    <x v="1"/>
    <n v="62"/>
    <n v="92"/>
    <n v="154"/>
    <s v="Medium"/>
  </r>
  <r>
    <n v="983"/>
    <d v="2011-02-13T00:00:00"/>
    <n v="1"/>
    <n v="0"/>
    <n v="2"/>
    <n v="14"/>
    <x v="0"/>
    <b v="0"/>
    <n v="0"/>
    <x v="2"/>
    <n v="2"/>
    <n v="0.4"/>
    <x v="3"/>
    <n v="0.40910000000000002"/>
    <n v="0.3"/>
    <s v="Dry"/>
    <n v="0.41789999999999999"/>
    <x v="2"/>
    <n v="51"/>
    <n v="110"/>
    <n v="161"/>
    <s v="High"/>
  </r>
  <r>
    <n v="984"/>
    <d v="2011-02-13T00:00:00"/>
    <n v="1"/>
    <n v="0"/>
    <n v="2"/>
    <n v="15"/>
    <x v="0"/>
    <b v="0"/>
    <n v="0"/>
    <x v="2"/>
    <n v="2"/>
    <n v="0.4"/>
    <x v="3"/>
    <n v="0.40910000000000002"/>
    <n v="0.3"/>
    <s v="Dry"/>
    <n v="0.29849999999999999"/>
    <x v="1"/>
    <n v="40"/>
    <n v="122"/>
    <n v="162"/>
    <s v="High"/>
  </r>
  <r>
    <n v="985"/>
    <d v="2011-02-13T00:00:00"/>
    <n v="1"/>
    <n v="0"/>
    <n v="2"/>
    <n v="16"/>
    <x v="0"/>
    <b v="0"/>
    <n v="0"/>
    <x v="2"/>
    <n v="2"/>
    <n v="0.42"/>
    <x v="3"/>
    <n v="0.42420000000000002"/>
    <n v="0.28000000000000003"/>
    <s v="Dry"/>
    <n v="0.32840000000000003"/>
    <x v="1"/>
    <n v="28"/>
    <n v="106"/>
    <n v="134"/>
    <s v="Medium"/>
  </r>
  <r>
    <n v="986"/>
    <d v="2011-02-13T00:00:00"/>
    <n v="1"/>
    <n v="0"/>
    <n v="2"/>
    <n v="17"/>
    <x v="1"/>
    <b v="0"/>
    <n v="0"/>
    <x v="2"/>
    <n v="1"/>
    <n v="0.42"/>
    <x v="3"/>
    <n v="0.42420000000000002"/>
    <n v="0.28000000000000003"/>
    <s v="Dry"/>
    <n v="0.32840000000000003"/>
    <x v="1"/>
    <n v="30"/>
    <n v="95"/>
    <n v="125"/>
    <s v="Medium"/>
  </r>
  <r>
    <n v="987"/>
    <d v="2011-02-13T00:00:00"/>
    <n v="1"/>
    <n v="0"/>
    <n v="2"/>
    <n v="18"/>
    <x v="1"/>
    <b v="0"/>
    <n v="0"/>
    <x v="2"/>
    <n v="1"/>
    <n v="0.4"/>
    <x v="3"/>
    <n v="0.40910000000000002"/>
    <n v="0.32"/>
    <s v="Dry"/>
    <n v="0.29849999999999999"/>
    <x v="1"/>
    <n v="17"/>
    <n v="78"/>
    <n v="95"/>
    <s v="Medium"/>
  </r>
  <r>
    <n v="988"/>
    <d v="2011-02-13T00:00:00"/>
    <n v="1"/>
    <n v="0"/>
    <n v="2"/>
    <n v="19"/>
    <x v="1"/>
    <b v="0"/>
    <n v="0"/>
    <x v="2"/>
    <n v="1"/>
    <n v="0.4"/>
    <x v="3"/>
    <n v="0.40910000000000002"/>
    <n v="0.35"/>
    <s v="Dry"/>
    <n v="0.28360000000000002"/>
    <x v="1"/>
    <n v="11"/>
    <n v="50"/>
    <n v="61"/>
    <s v="Low"/>
  </r>
  <r>
    <n v="989"/>
    <d v="2011-02-13T00:00:00"/>
    <n v="1"/>
    <n v="0"/>
    <n v="2"/>
    <n v="20"/>
    <x v="1"/>
    <b v="0"/>
    <n v="0"/>
    <x v="2"/>
    <n v="1"/>
    <n v="0.4"/>
    <x v="3"/>
    <n v="0.40910000000000002"/>
    <n v="0.35"/>
    <s v="Dry"/>
    <n v="0.32840000000000003"/>
    <x v="1"/>
    <n v="15"/>
    <n v="32"/>
    <n v="47"/>
    <s v="Low"/>
  </r>
  <r>
    <n v="990"/>
    <d v="2011-02-13T00:00:00"/>
    <n v="1"/>
    <n v="0"/>
    <n v="2"/>
    <n v="21"/>
    <x v="2"/>
    <b v="0"/>
    <n v="0"/>
    <x v="2"/>
    <n v="1"/>
    <n v="0.4"/>
    <x v="3"/>
    <n v="0.40910000000000002"/>
    <n v="0.35"/>
    <s v="Dry"/>
    <n v="0.35820000000000002"/>
    <x v="1"/>
    <n v="6"/>
    <n v="45"/>
    <n v="51"/>
    <s v="Low"/>
  </r>
  <r>
    <n v="991"/>
    <d v="2011-02-13T00:00:00"/>
    <n v="1"/>
    <n v="0"/>
    <n v="2"/>
    <n v="22"/>
    <x v="2"/>
    <b v="0"/>
    <n v="0"/>
    <x v="2"/>
    <n v="1"/>
    <n v="0.4"/>
    <x v="3"/>
    <n v="0.40910000000000002"/>
    <n v="0.35"/>
    <s v="Dry"/>
    <n v="0.29849999999999999"/>
    <x v="1"/>
    <n v="5"/>
    <n v="31"/>
    <n v="36"/>
    <s v="Low"/>
  </r>
  <r>
    <n v="992"/>
    <d v="2011-02-13T00:00:00"/>
    <n v="1"/>
    <n v="0"/>
    <n v="2"/>
    <n v="23"/>
    <x v="2"/>
    <b v="0"/>
    <n v="0"/>
    <x v="2"/>
    <n v="1"/>
    <n v="0.4"/>
    <x v="3"/>
    <n v="0.40910000000000002"/>
    <n v="0.35"/>
    <s v="Dry"/>
    <n v="0.35820000000000002"/>
    <x v="1"/>
    <n v="3"/>
    <n v="27"/>
    <n v="30"/>
    <s v="Low"/>
  </r>
  <r>
    <n v="993"/>
    <d v="2011-02-14T00:00:00"/>
    <n v="1"/>
    <n v="0"/>
    <n v="2"/>
    <n v="0"/>
    <x v="2"/>
    <b v="0"/>
    <n v="1"/>
    <x v="3"/>
    <n v="1"/>
    <n v="0.38"/>
    <x v="3"/>
    <n v="0.39389999999999997"/>
    <n v="0.37"/>
    <s v="Dry"/>
    <n v="0.35820000000000002"/>
    <x v="1"/>
    <n v="3"/>
    <n v="8"/>
    <n v="11"/>
    <s v="Low"/>
  </r>
  <r>
    <n v="994"/>
    <d v="2011-02-14T00:00:00"/>
    <n v="1"/>
    <n v="0"/>
    <n v="2"/>
    <n v="1"/>
    <x v="2"/>
    <b v="0"/>
    <n v="1"/>
    <x v="3"/>
    <n v="1"/>
    <n v="0.38"/>
    <x v="3"/>
    <n v="0.39389999999999997"/>
    <n v="0.37"/>
    <s v="Dry"/>
    <n v="0.35820000000000002"/>
    <x v="1"/>
    <n v="1"/>
    <n v="6"/>
    <n v="7"/>
    <s v="Low"/>
  </r>
  <r>
    <n v="995"/>
    <d v="2011-02-14T00:00:00"/>
    <n v="1"/>
    <n v="0"/>
    <n v="2"/>
    <n v="2"/>
    <x v="2"/>
    <b v="0"/>
    <n v="1"/>
    <x v="3"/>
    <n v="1"/>
    <n v="0.36"/>
    <x v="3"/>
    <n v="0.33329999999999999"/>
    <n v="0.4"/>
    <s v="Dry"/>
    <n v="0.29849999999999999"/>
    <x v="1"/>
    <n v="0"/>
    <n v="2"/>
    <n v="2"/>
    <s v="Low"/>
  </r>
  <r>
    <n v="996"/>
    <d v="2011-02-14T00:00:00"/>
    <n v="1"/>
    <n v="0"/>
    <n v="2"/>
    <n v="3"/>
    <x v="2"/>
    <b v="0"/>
    <n v="1"/>
    <x v="3"/>
    <n v="1"/>
    <n v="0.34"/>
    <x v="3"/>
    <n v="0.31819999999999998"/>
    <n v="0.46"/>
    <s v="Less Humidity"/>
    <n v="0.22389999999999999"/>
    <x v="1"/>
    <n v="1"/>
    <n v="1"/>
    <n v="2"/>
    <s v="Low"/>
  </r>
  <r>
    <n v="997"/>
    <d v="2011-02-14T00:00:00"/>
    <n v="1"/>
    <n v="0"/>
    <n v="2"/>
    <n v="4"/>
    <x v="3"/>
    <b v="0"/>
    <n v="1"/>
    <x v="3"/>
    <n v="1"/>
    <n v="0.32"/>
    <x v="2"/>
    <n v="0.30299999999999999"/>
    <n v="0.53"/>
    <s v="Less Humidity"/>
    <n v="0.28360000000000002"/>
    <x v="1"/>
    <n v="0"/>
    <n v="2"/>
    <n v="2"/>
    <s v="Low"/>
  </r>
  <r>
    <n v="998"/>
    <d v="2011-02-14T00:00:00"/>
    <n v="1"/>
    <n v="0"/>
    <n v="2"/>
    <n v="5"/>
    <x v="3"/>
    <b v="0"/>
    <n v="1"/>
    <x v="3"/>
    <n v="1"/>
    <n v="0.32"/>
    <x v="2"/>
    <n v="0.30299999999999999"/>
    <n v="0.53"/>
    <s v="Less Humidity"/>
    <n v="0.28360000000000002"/>
    <x v="1"/>
    <n v="0"/>
    <n v="3"/>
    <n v="3"/>
    <s v="Low"/>
  </r>
  <r>
    <n v="999"/>
    <d v="2011-02-14T00:00:00"/>
    <n v="1"/>
    <n v="0"/>
    <n v="2"/>
    <n v="6"/>
    <x v="3"/>
    <b v="0"/>
    <n v="1"/>
    <x v="3"/>
    <n v="1"/>
    <n v="0.34"/>
    <x v="3"/>
    <n v="0.30299999999999999"/>
    <n v="0.46"/>
    <s v="Less Humidity"/>
    <n v="0.29849999999999999"/>
    <x v="1"/>
    <n v="1"/>
    <n v="25"/>
    <n v="26"/>
    <s v="Low"/>
  </r>
  <r>
    <n v="1000"/>
    <d v="2011-02-14T00:00:00"/>
    <n v="1"/>
    <n v="0"/>
    <n v="2"/>
    <n v="7"/>
    <x v="4"/>
    <b v="0"/>
    <n v="1"/>
    <x v="3"/>
    <n v="1"/>
    <n v="0.34"/>
    <x v="3"/>
    <n v="0.30299999999999999"/>
    <n v="0.46"/>
    <s v="Less Humidity"/>
    <n v="0.29849999999999999"/>
    <x v="1"/>
    <n v="2"/>
    <n v="96"/>
    <n v="98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B62F78-0406-49F7-A21A-D653E89FD055}" name="PivotTable15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E41:F45" firstHeaderRow="1" firstDataRow="1" firstDataCol="1"/>
  <pivotFields count="22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Customer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ACCCA0-34BC-4363-9E0C-DDCF24D35147}" name="PivotTable14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1:B46" firstHeaderRow="1" firstDataRow="1" firstDataCol="1"/>
  <pivotFields count="22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Customer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06C418-6E6E-4021-9471-2313008D7BB3}" name="PivotTable13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E22:F28" firstHeaderRow="1" firstDataRow="1" firstDataCol="1"/>
  <pivotFields count="22">
    <pivotField showAll="0"/>
    <pivotField numFmtId="14" showAll="0"/>
    <pivotField showAll="0"/>
    <pivotField showAll="0"/>
    <pivotField showAll="0"/>
    <pivotField showAll="0"/>
    <pivotField axis="axisRow" showAll="0">
      <items count="6">
        <item x="0"/>
        <item x="3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Customer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D93CF-6085-4392-8617-30D4D8E2E6FE}" name="PivotTable12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23:B31" firstHeaderRow="1" firstDataRow="1" firstDataCol="1"/>
  <pivotFields count="22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Customer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D83F14-3D03-4725-BC33-59A81E999A86}" name="PivotTable11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emperature">
  <location ref="A15:D20" firstHeaderRow="0" firstDataRow="1" firstDataCol="1"/>
  <pivotFields count="22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asual Customer" fld="18" baseField="0" baseItem="0"/>
    <dataField name="Registered Customer" fld="19" baseField="0" baseItem="0"/>
    <dataField name="Total Customers" fld="20" baseField="0" baseItem="0"/>
  </dataFields>
  <formats count="18"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12" type="button" dataOnly="0" labelOnly="1" outline="0" axis="axisRow" fieldPosition="0"/>
    </format>
    <format dxfId="68">
      <pivotArea dataOnly="0" labelOnly="1" fieldPosition="0">
        <references count="1">
          <reference field="12" count="0"/>
        </references>
      </pivotArea>
    </format>
    <format dxfId="67">
      <pivotArea dataOnly="0" labelOnly="1" grandRow="1" outline="0" fieldPosition="0"/>
    </format>
    <format dxfId="6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12" type="button" dataOnly="0" labelOnly="1" outline="0" axis="axisRow" fieldPosition="0"/>
    </format>
    <format dxfId="62">
      <pivotArea dataOnly="0" labelOnly="1" fieldPosition="0">
        <references count="1">
          <reference field="12" count="0"/>
        </references>
      </pivotArea>
    </format>
    <format dxfId="61">
      <pivotArea dataOnly="0" labelOnly="1" grandRow="1" outline="0" fieldPosition="0"/>
    </format>
    <format dxfId="6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12" type="button" dataOnly="0" labelOnly="1" outline="0" axis="axisRow" fieldPosition="0"/>
    </format>
    <format dxfId="56">
      <pivotArea dataOnly="0" labelOnly="1" fieldPosition="0">
        <references count="1">
          <reference field="12" count="0"/>
        </references>
      </pivotArea>
    </format>
    <format dxfId="55">
      <pivotArea dataOnly="0" labelOnly="1" grandRow="1" outline="0" fieldPosition="0"/>
    </format>
    <format dxfId="5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339B19-F204-4DC3-82D2-3D51D0579C81}" name="PivotTable10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ay">
  <location ref="A3:D11" firstHeaderRow="0" firstDataRow="1" firstDataCol="1"/>
  <pivotFields count="22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asual Customer" fld="18" baseField="0" baseItem="0"/>
    <dataField name="Registered Customer" fld="19" baseField="0" baseItem="0"/>
    <dataField name="Total Customers" fld="20" baseField="0" baseItem="0"/>
  </dataFields>
  <formats count="12"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9" type="button" dataOnly="0" labelOnly="1" outline="0" axis="axisRow" fieldPosition="0"/>
    </format>
    <format dxfId="80">
      <pivotArea dataOnly="0" labelOnly="1" fieldPosition="0">
        <references count="1">
          <reference field="9" count="0"/>
        </references>
      </pivotArea>
    </format>
    <format dxfId="79">
      <pivotArea dataOnly="0" labelOnly="1" grandRow="1" outline="0" fieldPosition="0"/>
    </format>
    <format dxfId="7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9" type="button" dataOnly="0" labelOnly="1" outline="0" axis="axisRow" fieldPosition="0"/>
    </format>
    <format dxfId="74">
      <pivotArea dataOnly="0" labelOnly="1" fieldPosition="0">
        <references count="1">
          <reference field="9" count="0"/>
        </references>
      </pivotArea>
    </format>
    <format dxfId="73">
      <pivotArea dataOnly="0" labelOnly="1" grandRow="1" outline="0" fieldPosition="0"/>
    </format>
    <format dxfId="7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EA770B-9982-4305-AB5A-20D645A2C502}" autoFormatId="16" applyNumberFormats="0" applyBorderFormats="0" applyFontFormats="0" applyPatternFormats="0" applyAlignmentFormats="0" applyWidthHeightFormats="0">
  <queryTableRefresh nextId="23" unboundColumnsRight="1">
    <queryTableFields count="22">
      <queryTableField id="1" name="Instant" tableColumnId="1"/>
      <queryTableField id="2" name="Date" tableColumnId="2"/>
      <queryTableField id="3" name="Season" tableColumnId="3"/>
      <queryTableField id="4" name="Year" tableColumnId="4"/>
      <queryTableField id="5" name="Month" tableColumnId="5"/>
      <queryTableField id="6" name="Hour" tableColumnId="6"/>
      <queryTableField id="18" dataBound="0" tableColumnId="18"/>
      <queryTableField id="7" name="Holiday" tableColumnId="7"/>
      <queryTableField id="8" name="Weekday" tableColumnId="8"/>
      <queryTableField id="17" dataBound="0" tableColumnId="17"/>
      <queryTableField id="9" name="Weathersit" tableColumnId="9"/>
      <queryTableField id="10" name="Temp" tableColumnId="10"/>
      <queryTableField id="19" dataBound="0" tableColumnId="19"/>
      <queryTableField id="11" name="Atemp" tableColumnId="11"/>
      <queryTableField id="12" name="Humidity" tableColumnId="12"/>
      <queryTableField id="20" dataBound="0" tableColumnId="20"/>
      <queryTableField id="13" name="Windspeed" tableColumnId="13"/>
      <queryTableField id="21" dataBound="0" tableColumnId="21"/>
      <queryTableField id="14" name="Casual Customers" tableColumnId="14"/>
      <queryTableField id="15" name="Registered Customers" tableColumnId="15"/>
      <queryTableField id="16" name="Total Customer" tableColumnId="16"/>
      <queryTableField id="22" dataBound="0" tableColumnId="2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9CA5DF-3C10-4BD6-A724-4CBC05167AD5}" name="Table5" displayName="Table5" ref="A1:P391" totalsRowShown="0" headerRowDxfId="134" dataDxfId="133" headerRowBorderDxfId="131" tableBorderDxfId="132" totalsRowBorderDxfId="130">
  <autoFilter ref="A1:P391" xr:uid="{D355D9CC-9717-4C30-8E6F-394A082C3EDF}"/>
  <tableColumns count="16">
    <tableColumn id="1" xr3:uid="{3EB05764-D607-47C3-A5F7-CF9C90847C43}" name="Instant" dataDxfId="129"/>
    <tableColumn id="2" xr3:uid="{D1EF0222-DDAA-4EF3-A5F0-937BF95F70DD}" name="Date" dataDxfId="128"/>
    <tableColumn id="3" xr3:uid="{522C2189-961B-429E-8E3D-6C017C43623F}" name="Season" dataDxfId="127"/>
    <tableColumn id="4" xr3:uid="{1F12718D-B2E3-43F4-B59A-A2AE20C2B659}" name="Year" dataDxfId="126"/>
    <tableColumn id="5" xr3:uid="{6F0EA655-C1E5-435E-ACC9-BE18BBF68DA2}" name="Month" dataDxfId="125"/>
    <tableColumn id="6" xr3:uid="{101F3EED-1475-4EBA-A520-894E459C11B4}" name="Hour" dataDxfId="124"/>
    <tableColumn id="7" xr3:uid="{DC8FEA40-4B4D-4E93-B24E-160EEE3FAD7C}" name="Holiday" dataDxfId="123"/>
    <tableColumn id="8" xr3:uid="{FEB1485D-6A0E-4E0F-A29B-BDB153AFED59}" name="Weekday" dataDxfId="122"/>
    <tableColumn id="9" xr3:uid="{94426F12-8840-480A-880A-B25C2A187CF4}" name="Weathersit" dataDxfId="121"/>
    <tableColumn id="10" xr3:uid="{516D933A-D101-4FDD-BC04-52B280602893}" name="Temp" dataDxfId="120"/>
    <tableColumn id="11" xr3:uid="{3EEEE338-37BE-4B3B-9835-7CD61EF18E6A}" name="Atemp" dataDxfId="119"/>
    <tableColumn id="12" xr3:uid="{C2251B16-F32E-45B6-AC09-75D8EA15CB06}" name="Humidity" dataDxfId="118"/>
    <tableColumn id="13" xr3:uid="{11A47EFE-C6FE-488C-98EE-2C31F9EA4AE6}" name="Windspeed" dataDxfId="117"/>
    <tableColumn id="14" xr3:uid="{996E4504-2498-4F7A-AEAC-A91F55D55D33}" name="Casual Customers" dataDxfId="116"/>
    <tableColumn id="15" xr3:uid="{44A76670-F344-4033-8E74-2FF53241DE69}" name="Registered Customers" dataDxfId="115"/>
    <tableColumn id="16" xr3:uid="{487FD59B-3ADA-4BF7-91CB-CA19F1A9DBE3}" name="Total Customer" dataDxfId="114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31FC9E-418C-4159-8AB6-FBC17D28FAE7}" name="Table3" displayName="Table3" ref="A1:E33" totalsRowShown="0">
  <autoFilter ref="A1:E33" xr:uid="{E731FC9E-418C-4159-8AB6-FBC17D28FAE7}"/>
  <tableColumns count="5">
    <tableColumn id="1" xr3:uid="{21CACC16-4210-4E51-885C-477AC14DA47E}" name="Date" dataDxfId="86"/>
    <tableColumn id="2" xr3:uid="{62D92115-13BF-448E-B23C-C1A7ED1BA9BC}" name="Total Customer"/>
    <tableColumn id="3" xr3:uid="{85C99A4A-5DF0-4D5F-A98D-6AAF20DCB881}" name="Forecast(Total Customer)">
      <calculatedColumnFormula>_xlfn.FORECAST.ETS(A2,$B$2:$B$19,$A$2:$A$19,1,1)</calculatedColumnFormula>
    </tableColumn>
    <tableColumn id="4" xr3:uid="{94DA5104-7B52-4F4E-946E-CC3C6296A95E}" name="Lower Confidence Bound(Total Customer)" dataDxfId="85">
      <calculatedColumnFormula>C2-_xlfn.FORECAST.ETS.CONFINT(A2,$B$2:$B$19,$A$2:$A$19,0.95,1,1)</calculatedColumnFormula>
    </tableColumn>
    <tableColumn id="5" xr3:uid="{80ABD989-12DE-4B29-A98F-3E853683CD04}" name="Upper Confidence Bound(Total Customer)" dataDxfId="84">
      <calculatedColumnFormula>C2+_xlfn.FORECAST.ETS.CONFINT(A2,$B$2:$B$19,$A$2:$A$19,0.95,1,1)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97E337-7BC7-4BDE-975C-872C68F1BE71}" name="dataset_3" displayName="dataset_3" ref="A1:V391" tableType="queryTable" totalsRowShown="0" headerRowDxfId="93" dataDxfId="113" headerRowBorderDxfId="111" tableBorderDxfId="112" totalsRowBorderDxfId="110">
  <autoFilter ref="A1:V391" xr:uid="{671F2106-0EFC-4800-A8C9-7D536687C884}"/>
  <tableColumns count="22">
    <tableColumn id="1" xr3:uid="{6A31147D-31E0-49B4-A502-955A1AE14B68}" uniqueName="1" name="Instant" queryTableFieldId="1" dataDxfId="109"/>
    <tableColumn id="2" xr3:uid="{B1132A17-77A2-49C2-B72F-68AE43DC538D}" uniqueName="2" name="Date" queryTableFieldId="2" dataDxfId="108"/>
    <tableColumn id="3" xr3:uid="{39A021CB-5F50-40EE-B0A4-063B4D45C41B}" uniqueName="3" name="Season" queryTableFieldId="3" dataDxfId="107"/>
    <tableColumn id="4" xr3:uid="{37A0D4DB-2C35-4770-BCD4-7E1C07542A43}" uniqueName="4" name="Year" queryTableFieldId="4" dataDxfId="106"/>
    <tableColumn id="5" xr3:uid="{E389F60D-7694-47E8-8470-3F54DC84423B}" uniqueName="5" name="Month" queryTableFieldId="5" dataDxfId="105"/>
    <tableColumn id="6" xr3:uid="{1A515360-2947-47D3-9AD9-D00E2E39558F}" uniqueName="6" name="Hour" queryTableFieldId="6" dataDxfId="104"/>
    <tableColumn id="18" xr3:uid="{72A16AD9-C3B0-48A2-8FE2-E82D090678F5}" uniqueName="18" name="Time of the Day" queryTableFieldId="18" dataDxfId="92">
      <calculatedColumnFormula array="1">_xlfn.IFS(F2&lt;4,"Night",F2&lt;=6,"Early Morning",F2&lt;11,"Morning",F2&lt;12,"Afternoon",F2&lt;=16,"Afternoon",F2&lt;=20,"Evening",F2&gt;=21,"Night")</calculatedColumnFormula>
    </tableColumn>
    <tableColumn id="7" xr3:uid="{625D83B5-D73C-4B70-8425-4957C0EC7B7F}" uniqueName="7" name="Holiday" queryTableFieldId="7" dataDxfId="103"/>
    <tableColumn id="8" xr3:uid="{87A07F14-5D1E-41D8-BB48-4A4C24754F9C}" uniqueName="8" name="Weekday" queryTableFieldId="8" dataDxfId="102"/>
    <tableColumn id="17" xr3:uid="{2166A7F5-EBCE-4E39-A416-51842744180D}" uniqueName="17" name="Day" queryTableFieldId="17" dataDxfId="91">
      <calculatedColumnFormula array="1">_xlfn.IFS(I2=1,"Monday",I2=2,"Tuesday",I2=3,"Wednesday",I2=4,"Thursday",I2=5,"Friday",I2=6,"Saturday",I2=0,"Sunday")</calculatedColumnFormula>
    </tableColumn>
    <tableColumn id="9" xr3:uid="{6F3C2320-E5BB-43B5-81B0-D52174CFEDC9}" uniqueName="9" name="Weathersit" queryTableFieldId="9" dataDxfId="101"/>
    <tableColumn id="10" xr3:uid="{2E76A910-F3EF-49C0-8271-5434B87483D7}" uniqueName="10" name="Temp" queryTableFieldId="10" dataDxfId="100"/>
    <tableColumn id="19" xr3:uid="{0BB0DBBD-FAC0-4B34-A53C-DFC8E4321FE0}" uniqueName="19" name="Temp_Category" queryTableFieldId="19" dataDxfId="90">
      <calculatedColumnFormula array="1">_xlfn.IFS(L2&lt;0.15,"Cold",L2&lt;0.25,"Mild",L2&lt;=0.32,"Warm",L2&gt;=0.33,"Hot")</calculatedColumnFormula>
    </tableColumn>
    <tableColumn id="11" xr3:uid="{64489703-006B-45B5-8834-35D41576B575}" uniqueName="11" name="Atemp" queryTableFieldId="11" dataDxfId="99"/>
    <tableColumn id="12" xr3:uid="{1AEB6C5B-B61D-4A7C-9822-FE5763454A9B}" uniqueName="12" name="Humidity" queryTableFieldId="12" dataDxfId="98"/>
    <tableColumn id="20" xr3:uid="{448E2B12-DEFC-498C-A6AC-C713A0289DC2}" uniqueName="20" name="Humid_c" queryTableFieldId="20" dataDxfId="89">
      <calculatedColumnFormula array="1">_xlfn.IFS(O2&gt;0.61, "High Humidity", O2&gt;=0.6, "Humid", O2&gt;0.4, "Less Humidity", TRUE, "Dry")</calculatedColumnFormula>
    </tableColumn>
    <tableColumn id="13" xr3:uid="{C067F264-8BE8-4F9B-A915-598053CAB563}" uniqueName="13" name="Windspeed" queryTableFieldId="13" dataDxfId="97"/>
    <tableColumn id="21" xr3:uid="{874ED622-992F-4B8A-B275-59D6C7683337}" uniqueName="21" name="Wind_speed" queryTableFieldId="21" dataDxfId="88">
      <calculatedColumnFormula array="1">_xlfn.IFS(Q2&lt;=0.2,"Low Windspeed",Q2&lt;0.4,"Medium Windspeed",Q2&gt;=0.41,"High Windspeed")</calculatedColumnFormula>
    </tableColumn>
    <tableColumn id="14" xr3:uid="{01EE3E87-B26B-4D6F-8AE4-675BF25BAD65}" uniqueName="14" name="Casual Customers" queryTableFieldId="14" dataDxfId="96"/>
    <tableColumn id="15" xr3:uid="{086EED40-D3DE-4474-84B2-EB6C158C7825}" uniqueName="15" name="Registered Customers" queryTableFieldId="15" dataDxfId="95"/>
    <tableColumn id="16" xr3:uid="{EEB7BFAE-37D9-45BE-9B27-C7A3AEF04449}" uniqueName="16" name="Total Customer" queryTableFieldId="16" dataDxfId="94"/>
    <tableColumn id="22" xr3:uid="{D1DD091E-4DAE-4B18-B9D1-093F7220CBBE}" uniqueName="22" name="Rides Demand" queryTableFieldId="22" dataDxfId="87">
      <calculatedColumnFormula array="1">_xlfn.IFS(U2&lt;=70,"Low",U2&lt;=160,"Medium",U2&gt;=161,"High")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C8FCC-59A4-4B2F-B681-40B89D987C28}">
  <sheetPr>
    <tabColor theme="9"/>
    <outlinePr summaryBelow="0" summaryRight="0"/>
  </sheetPr>
  <dimension ref="A1:P391"/>
  <sheetViews>
    <sheetView workbookViewId="0"/>
  </sheetViews>
  <sheetFormatPr defaultColWidth="12.6640625" defaultRowHeight="15.75" customHeight="1" x14ac:dyDescent="0.25"/>
  <cols>
    <col min="14" max="14" width="18.88671875" customWidth="1"/>
    <col min="15" max="15" width="22.44140625" customWidth="1"/>
    <col min="16" max="16" width="16.33203125" customWidth="1"/>
  </cols>
  <sheetData>
    <row r="1" spans="1:16" ht="13.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3.2" x14ac:dyDescent="0.25">
      <c r="A2" s="4">
        <v>611</v>
      </c>
      <c r="B2" s="5">
        <v>40571</v>
      </c>
      <c r="C2" s="6">
        <v>1</v>
      </c>
      <c r="D2" s="6">
        <v>0</v>
      </c>
      <c r="E2" s="6">
        <v>1</v>
      </c>
      <c r="F2" s="6">
        <v>16</v>
      </c>
      <c r="G2" s="6" t="b">
        <v>0</v>
      </c>
      <c r="H2" s="6">
        <v>5</v>
      </c>
      <c r="I2" s="6">
        <v>1</v>
      </c>
      <c r="J2" s="6">
        <v>0.22</v>
      </c>
      <c r="K2" s="6">
        <v>0.2727</v>
      </c>
      <c r="L2" s="6">
        <v>0.8</v>
      </c>
      <c r="M2" s="6">
        <v>0</v>
      </c>
      <c r="N2" s="6">
        <v>10</v>
      </c>
      <c r="O2" s="6">
        <v>70</v>
      </c>
      <c r="P2" s="7">
        <v>80</v>
      </c>
    </row>
    <row r="3" spans="1:16" ht="13.2" x14ac:dyDescent="0.25">
      <c r="A3" s="4">
        <v>612</v>
      </c>
      <c r="B3" s="5">
        <v>40571</v>
      </c>
      <c r="C3" s="6">
        <v>1</v>
      </c>
      <c r="D3" s="6">
        <v>0</v>
      </c>
      <c r="E3" s="6">
        <v>1</v>
      </c>
      <c r="F3" s="6">
        <v>17</v>
      </c>
      <c r="G3" s="6" t="b">
        <v>0</v>
      </c>
      <c r="H3" s="6">
        <v>5</v>
      </c>
      <c r="I3" s="6">
        <v>1</v>
      </c>
      <c r="J3" s="6">
        <v>0.24</v>
      </c>
      <c r="K3" s="6">
        <v>0.2424</v>
      </c>
      <c r="L3" s="6">
        <v>0.75</v>
      </c>
      <c r="M3" s="6">
        <v>0.1343</v>
      </c>
      <c r="N3" s="6">
        <v>2</v>
      </c>
      <c r="O3" s="6">
        <v>147</v>
      </c>
      <c r="P3" s="7">
        <v>149</v>
      </c>
    </row>
    <row r="4" spans="1:16" ht="13.2" x14ac:dyDescent="0.25">
      <c r="A4" s="4">
        <v>613</v>
      </c>
      <c r="B4" s="5">
        <v>40571</v>
      </c>
      <c r="C4" s="6">
        <v>1</v>
      </c>
      <c r="D4" s="6">
        <v>0</v>
      </c>
      <c r="E4" s="6">
        <v>1</v>
      </c>
      <c r="F4" s="6">
        <v>18</v>
      </c>
      <c r="G4" s="6" t="b">
        <v>0</v>
      </c>
      <c r="H4" s="6">
        <v>5</v>
      </c>
      <c r="I4" s="6">
        <v>1</v>
      </c>
      <c r="J4" s="6">
        <v>0.24</v>
      </c>
      <c r="K4" s="6">
        <v>0.2273</v>
      </c>
      <c r="L4" s="6">
        <v>0.75</v>
      </c>
      <c r="M4" s="6">
        <v>0.19400000000000001</v>
      </c>
      <c r="N4" s="6">
        <v>2</v>
      </c>
      <c r="O4" s="6">
        <v>107</v>
      </c>
      <c r="P4" s="7">
        <v>109</v>
      </c>
    </row>
    <row r="5" spans="1:16" ht="13.2" x14ac:dyDescent="0.25">
      <c r="A5" s="4">
        <v>614</v>
      </c>
      <c r="B5" s="5">
        <v>40571</v>
      </c>
      <c r="C5" s="6">
        <v>1</v>
      </c>
      <c r="D5" s="6">
        <v>0</v>
      </c>
      <c r="E5" s="6">
        <v>1</v>
      </c>
      <c r="F5" s="6">
        <v>19</v>
      </c>
      <c r="G5" s="6" t="b">
        <v>0</v>
      </c>
      <c r="H5" s="6">
        <v>5</v>
      </c>
      <c r="I5" s="6">
        <v>2</v>
      </c>
      <c r="J5" s="6">
        <v>0.24</v>
      </c>
      <c r="K5" s="6">
        <v>0.2424</v>
      </c>
      <c r="L5" s="6">
        <v>0.75</v>
      </c>
      <c r="M5" s="6">
        <v>0.1343</v>
      </c>
      <c r="N5" s="6">
        <v>5</v>
      </c>
      <c r="O5" s="6">
        <v>84</v>
      </c>
      <c r="P5" s="7">
        <v>89</v>
      </c>
    </row>
    <row r="6" spans="1:16" ht="13.2" x14ac:dyDescent="0.25">
      <c r="A6" s="4">
        <v>615</v>
      </c>
      <c r="B6" s="5">
        <v>40571</v>
      </c>
      <c r="C6" s="6">
        <v>1</v>
      </c>
      <c r="D6" s="6">
        <v>0</v>
      </c>
      <c r="E6" s="6">
        <v>1</v>
      </c>
      <c r="F6" s="6">
        <v>20</v>
      </c>
      <c r="G6" s="6" t="b">
        <v>0</v>
      </c>
      <c r="H6" s="6">
        <v>5</v>
      </c>
      <c r="I6" s="6">
        <v>2</v>
      </c>
      <c r="J6" s="6">
        <v>0.24</v>
      </c>
      <c r="K6" s="6">
        <v>0.2273</v>
      </c>
      <c r="L6" s="6">
        <v>0.7</v>
      </c>
      <c r="M6" s="6">
        <v>0.19400000000000001</v>
      </c>
      <c r="N6" s="6">
        <v>1</v>
      </c>
      <c r="O6" s="6">
        <v>61</v>
      </c>
      <c r="P6" s="7">
        <v>62</v>
      </c>
    </row>
    <row r="7" spans="1:16" ht="13.2" x14ac:dyDescent="0.25">
      <c r="A7" s="4">
        <v>616</v>
      </c>
      <c r="B7" s="5">
        <v>40571</v>
      </c>
      <c r="C7" s="6">
        <v>1</v>
      </c>
      <c r="D7" s="6">
        <v>0</v>
      </c>
      <c r="E7" s="6">
        <v>1</v>
      </c>
      <c r="F7" s="6">
        <v>21</v>
      </c>
      <c r="G7" s="6" t="b">
        <v>0</v>
      </c>
      <c r="H7" s="6">
        <v>5</v>
      </c>
      <c r="I7" s="6">
        <v>2</v>
      </c>
      <c r="J7" s="6">
        <v>0.22</v>
      </c>
      <c r="K7" s="6">
        <v>0.2273</v>
      </c>
      <c r="L7" s="6">
        <v>0.75</v>
      </c>
      <c r="M7" s="6">
        <v>0.1343</v>
      </c>
      <c r="N7" s="6">
        <v>1</v>
      </c>
      <c r="O7" s="6">
        <v>57</v>
      </c>
      <c r="P7" s="7">
        <v>58</v>
      </c>
    </row>
    <row r="8" spans="1:16" ht="13.2" x14ac:dyDescent="0.25">
      <c r="A8" s="4">
        <v>617</v>
      </c>
      <c r="B8" s="5">
        <v>40571</v>
      </c>
      <c r="C8" s="6">
        <v>1</v>
      </c>
      <c r="D8" s="6">
        <v>0</v>
      </c>
      <c r="E8" s="6">
        <v>1</v>
      </c>
      <c r="F8" s="6">
        <v>22</v>
      </c>
      <c r="G8" s="6" t="b">
        <v>0</v>
      </c>
      <c r="H8" s="6">
        <v>5</v>
      </c>
      <c r="I8" s="6">
        <v>1</v>
      </c>
      <c r="J8" s="6">
        <v>0.24</v>
      </c>
      <c r="K8" s="6">
        <v>0.21210000000000001</v>
      </c>
      <c r="L8" s="6">
        <v>0.65</v>
      </c>
      <c r="M8" s="6">
        <v>0.35820000000000002</v>
      </c>
      <c r="N8" s="6">
        <v>0</v>
      </c>
      <c r="O8" s="6">
        <v>26</v>
      </c>
      <c r="P8" s="7">
        <v>26</v>
      </c>
    </row>
    <row r="9" spans="1:16" ht="13.2" x14ac:dyDescent="0.25">
      <c r="A9" s="4">
        <v>618</v>
      </c>
      <c r="B9" s="5">
        <v>40571</v>
      </c>
      <c r="C9" s="6">
        <v>1</v>
      </c>
      <c r="D9" s="6">
        <v>0</v>
      </c>
      <c r="E9" s="6">
        <v>1</v>
      </c>
      <c r="F9" s="6">
        <v>23</v>
      </c>
      <c r="G9" s="6" t="b">
        <v>0</v>
      </c>
      <c r="H9" s="6">
        <v>5</v>
      </c>
      <c r="I9" s="6">
        <v>1</v>
      </c>
      <c r="J9" s="6">
        <v>0.24</v>
      </c>
      <c r="K9" s="6">
        <v>0.2273</v>
      </c>
      <c r="L9" s="6">
        <v>0.6</v>
      </c>
      <c r="M9" s="6">
        <v>0.22389999999999999</v>
      </c>
      <c r="N9" s="6">
        <v>1</v>
      </c>
      <c r="O9" s="6">
        <v>22</v>
      </c>
      <c r="P9" s="7">
        <v>23</v>
      </c>
    </row>
    <row r="10" spans="1:16" ht="13.2" x14ac:dyDescent="0.25">
      <c r="A10" s="4">
        <v>619</v>
      </c>
      <c r="B10" s="5">
        <v>40572</v>
      </c>
      <c r="C10" s="6">
        <v>1</v>
      </c>
      <c r="D10" s="6">
        <v>0</v>
      </c>
      <c r="E10" s="6">
        <v>1</v>
      </c>
      <c r="F10" s="6">
        <v>0</v>
      </c>
      <c r="G10" s="6" t="b">
        <v>0</v>
      </c>
      <c r="H10" s="6">
        <v>6</v>
      </c>
      <c r="I10" s="6">
        <v>1</v>
      </c>
      <c r="J10" s="6">
        <v>0.22</v>
      </c>
      <c r="K10" s="6">
        <v>0.19700000000000001</v>
      </c>
      <c r="L10" s="6">
        <v>0.64</v>
      </c>
      <c r="M10" s="6">
        <v>0.35820000000000002</v>
      </c>
      <c r="N10" s="6">
        <v>2</v>
      </c>
      <c r="O10" s="6">
        <v>26</v>
      </c>
      <c r="P10" s="7">
        <v>28</v>
      </c>
    </row>
    <row r="11" spans="1:16" ht="13.2" x14ac:dyDescent="0.25">
      <c r="A11" s="4">
        <v>620</v>
      </c>
      <c r="B11" s="5">
        <v>40572</v>
      </c>
      <c r="C11" s="6">
        <v>1</v>
      </c>
      <c r="D11" s="6">
        <v>0</v>
      </c>
      <c r="E11" s="6">
        <v>1</v>
      </c>
      <c r="F11" s="6">
        <v>1</v>
      </c>
      <c r="G11" s="6" t="b">
        <v>0</v>
      </c>
      <c r="H11" s="6">
        <v>6</v>
      </c>
      <c r="I11" s="6">
        <v>1</v>
      </c>
      <c r="J11" s="6">
        <v>0.22</v>
      </c>
      <c r="K11" s="6">
        <v>0.2273</v>
      </c>
      <c r="L11" s="6">
        <v>0.64</v>
      </c>
      <c r="M11" s="6">
        <v>0.19400000000000001</v>
      </c>
      <c r="N11" s="6">
        <v>0</v>
      </c>
      <c r="O11" s="6">
        <v>20</v>
      </c>
      <c r="P11" s="7">
        <v>20</v>
      </c>
    </row>
    <row r="12" spans="1:16" ht="13.2" x14ac:dyDescent="0.25">
      <c r="A12" s="4">
        <v>621</v>
      </c>
      <c r="B12" s="5">
        <v>40572</v>
      </c>
      <c r="C12" s="6">
        <v>1</v>
      </c>
      <c r="D12" s="6">
        <v>0</v>
      </c>
      <c r="E12" s="6">
        <v>1</v>
      </c>
      <c r="F12" s="6">
        <v>2</v>
      </c>
      <c r="G12" s="6" t="b">
        <v>0</v>
      </c>
      <c r="H12" s="6">
        <v>6</v>
      </c>
      <c r="I12" s="6">
        <v>1</v>
      </c>
      <c r="J12" s="6">
        <v>0.22</v>
      </c>
      <c r="K12" s="6">
        <v>0.2273</v>
      </c>
      <c r="L12" s="6">
        <v>0.64</v>
      </c>
      <c r="M12" s="6">
        <v>0.16420000000000001</v>
      </c>
      <c r="N12" s="6">
        <v>0</v>
      </c>
      <c r="O12" s="6">
        <v>15</v>
      </c>
      <c r="P12" s="7">
        <v>15</v>
      </c>
    </row>
    <row r="13" spans="1:16" ht="13.2" x14ac:dyDescent="0.25">
      <c r="A13" s="4">
        <v>622</v>
      </c>
      <c r="B13" s="5">
        <v>40572</v>
      </c>
      <c r="C13" s="6">
        <v>1</v>
      </c>
      <c r="D13" s="6">
        <v>0</v>
      </c>
      <c r="E13" s="6">
        <v>1</v>
      </c>
      <c r="F13" s="6">
        <v>3</v>
      </c>
      <c r="G13" s="6" t="b">
        <v>0</v>
      </c>
      <c r="H13" s="6">
        <v>6</v>
      </c>
      <c r="I13" s="6">
        <v>1</v>
      </c>
      <c r="J13" s="6">
        <v>0.2</v>
      </c>
      <c r="K13" s="6">
        <v>0.21210000000000001</v>
      </c>
      <c r="L13" s="6">
        <v>0.64</v>
      </c>
      <c r="M13" s="6">
        <v>0.1343</v>
      </c>
      <c r="N13" s="6">
        <v>3</v>
      </c>
      <c r="O13" s="6">
        <v>5</v>
      </c>
      <c r="P13" s="7">
        <v>8</v>
      </c>
    </row>
    <row r="14" spans="1:16" ht="13.2" x14ac:dyDescent="0.25">
      <c r="A14" s="4">
        <v>623</v>
      </c>
      <c r="B14" s="5">
        <v>40572</v>
      </c>
      <c r="C14" s="6">
        <v>1</v>
      </c>
      <c r="D14" s="6">
        <v>0</v>
      </c>
      <c r="E14" s="6">
        <v>1</v>
      </c>
      <c r="F14" s="6">
        <v>4</v>
      </c>
      <c r="G14" s="6" t="b">
        <v>0</v>
      </c>
      <c r="H14" s="6">
        <v>6</v>
      </c>
      <c r="I14" s="6">
        <v>1</v>
      </c>
      <c r="J14" s="6">
        <v>0.16</v>
      </c>
      <c r="K14" s="6">
        <v>0.18179999999999999</v>
      </c>
      <c r="L14" s="6">
        <v>0.69</v>
      </c>
      <c r="M14" s="6">
        <v>0.1045</v>
      </c>
      <c r="N14" s="6">
        <v>1</v>
      </c>
      <c r="O14" s="6">
        <v>2</v>
      </c>
      <c r="P14" s="7">
        <v>3</v>
      </c>
    </row>
    <row r="15" spans="1:16" ht="13.2" x14ac:dyDescent="0.25">
      <c r="A15" s="4">
        <v>624</v>
      </c>
      <c r="B15" s="5">
        <v>40572</v>
      </c>
      <c r="C15" s="6">
        <v>1</v>
      </c>
      <c r="D15" s="6">
        <v>0</v>
      </c>
      <c r="E15" s="6">
        <v>1</v>
      </c>
      <c r="F15" s="6">
        <v>6</v>
      </c>
      <c r="G15" s="6" t="b">
        <v>0</v>
      </c>
      <c r="H15" s="6">
        <v>6</v>
      </c>
      <c r="I15" s="6">
        <v>1</v>
      </c>
      <c r="J15" s="6">
        <v>0.16</v>
      </c>
      <c r="K15" s="6">
        <v>0.18179999999999999</v>
      </c>
      <c r="L15" s="6">
        <v>0.64</v>
      </c>
      <c r="M15" s="6">
        <v>0.1343</v>
      </c>
      <c r="N15" s="6">
        <v>0</v>
      </c>
      <c r="O15" s="6">
        <v>2</v>
      </c>
      <c r="P15" s="7">
        <v>2</v>
      </c>
    </row>
    <row r="16" spans="1:16" ht="13.2" x14ac:dyDescent="0.25">
      <c r="A16" s="4">
        <v>625</v>
      </c>
      <c r="B16" s="5">
        <v>40572</v>
      </c>
      <c r="C16" s="6">
        <v>1</v>
      </c>
      <c r="D16" s="6">
        <v>0</v>
      </c>
      <c r="E16" s="6">
        <v>1</v>
      </c>
      <c r="F16" s="6">
        <v>7</v>
      </c>
      <c r="G16" s="6" t="b">
        <v>0</v>
      </c>
      <c r="H16" s="6">
        <v>6</v>
      </c>
      <c r="I16" s="6">
        <v>1</v>
      </c>
      <c r="J16" s="6">
        <v>0.16</v>
      </c>
      <c r="K16" s="6">
        <v>0.18179999999999999</v>
      </c>
      <c r="L16" s="6">
        <v>0.59</v>
      </c>
      <c r="M16" s="6">
        <v>0.1045</v>
      </c>
      <c r="N16" s="6">
        <v>1</v>
      </c>
      <c r="O16" s="6">
        <v>4</v>
      </c>
      <c r="P16" s="7">
        <v>5</v>
      </c>
    </row>
    <row r="17" spans="1:16" ht="13.2" x14ac:dyDescent="0.25">
      <c r="A17" s="4">
        <v>626</v>
      </c>
      <c r="B17" s="5">
        <v>40572</v>
      </c>
      <c r="C17" s="6">
        <v>1</v>
      </c>
      <c r="D17" s="6">
        <v>0</v>
      </c>
      <c r="E17" s="6">
        <v>1</v>
      </c>
      <c r="F17" s="6">
        <v>8</v>
      </c>
      <c r="G17" s="6" t="b">
        <v>0</v>
      </c>
      <c r="H17" s="6">
        <v>6</v>
      </c>
      <c r="I17" s="6">
        <v>1</v>
      </c>
      <c r="J17" s="6">
        <v>0.18</v>
      </c>
      <c r="K17" s="6">
        <v>0.19700000000000001</v>
      </c>
      <c r="L17" s="6">
        <v>0.55000000000000004</v>
      </c>
      <c r="M17" s="6">
        <v>0.16420000000000001</v>
      </c>
      <c r="N17" s="6">
        <v>3</v>
      </c>
      <c r="O17" s="6">
        <v>31</v>
      </c>
      <c r="P17" s="7">
        <v>34</v>
      </c>
    </row>
    <row r="18" spans="1:16" ht="13.2" x14ac:dyDescent="0.25">
      <c r="A18" s="4">
        <v>627</v>
      </c>
      <c r="B18" s="5">
        <v>40572</v>
      </c>
      <c r="C18" s="6">
        <v>1</v>
      </c>
      <c r="D18" s="6">
        <v>0</v>
      </c>
      <c r="E18" s="6">
        <v>1</v>
      </c>
      <c r="F18" s="6">
        <v>9</v>
      </c>
      <c r="G18" s="6" t="b">
        <v>0</v>
      </c>
      <c r="H18" s="6">
        <v>6</v>
      </c>
      <c r="I18" s="6">
        <v>1</v>
      </c>
      <c r="J18" s="6">
        <v>0.18</v>
      </c>
      <c r="K18" s="6">
        <v>0.21210000000000001</v>
      </c>
      <c r="L18" s="6">
        <v>0.59</v>
      </c>
      <c r="M18" s="6">
        <v>8.9599999999999999E-2</v>
      </c>
      <c r="N18" s="6">
        <v>0</v>
      </c>
      <c r="O18" s="6">
        <v>34</v>
      </c>
      <c r="P18" s="7">
        <v>34</v>
      </c>
    </row>
    <row r="19" spans="1:16" ht="13.2" x14ac:dyDescent="0.25">
      <c r="A19" s="4">
        <v>628</v>
      </c>
      <c r="B19" s="5">
        <v>40572</v>
      </c>
      <c r="C19" s="6">
        <v>1</v>
      </c>
      <c r="D19" s="6">
        <v>0</v>
      </c>
      <c r="E19" s="6">
        <v>1</v>
      </c>
      <c r="F19" s="6">
        <v>10</v>
      </c>
      <c r="G19" s="6" t="b">
        <v>0</v>
      </c>
      <c r="H19" s="6">
        <v>6</v>
      </c>
      <c r="I19" s="6">
        <v>2</v>
      </c>
      <c r="J19" s="6">
        <v>0.18</v>
      </c>
      <c r="K19" s="6">
        <v>0.21210000000000001</v>
      </c>
      <c r="L19" s="6">
        <v>0.64</v>
      </c>
      <c r="M19" s="6">
        <v>0.1045</v>
      </c>
      <c r="N19" s="6">
        <v>4</v>
      </c>
      <c r="O19" s="6">
        <v>51</v>
      </c>
      <c r="P19" s="7">
        <v>55</v>
      </c>
    </row>
    <row r="20" spans="1:16" ht="13.2" x14ac:dyDescent="0.25">
      <c r="A20" s="4">
        <v>629</v>
      </c>
      <c r="B20" s="5">
        <v>40572</v>
      </c>
      <c r="C20" s="6">
        <v>1</v>
      </c>
      <c r="D20" s="6">
        <v>0</v>
      </c>
      <c r="E20" s="6">
        <v>1</v>
      </c>
      <c r="F20" s="6">
        <v>11</v>
      </c>
      <c r="G20" s="6" t="b">
        <v>0</v>
      </c>
      <c r="H20" s="6">
        <v>6</v>
      </c>
      <c r="I20" s="6">
        <v>2</v>
      </c>
      <c r="J20" s="6">
        <v>0.18</v>
      </c>
      <c r="K20" s="6">
        <v>0.19700000000000001</v>
      </c>
      <c r="L20" s="6">
        <v>0.64</v>
      </c>
      <c r="M20" s="6">
        <v>0.1343</v>
      </c>
      <c r="N20" s="6">
        <v>4</v>
      </c>
      <c r="O20" s="6">
        <v>60</v>
      </c>
      <c r="P20" s="7">
        <v>64</v>
      </c>
    </row>
    <row r="21" spans="1:16" ht="13.2" x14ac:dyDescent="0.25">
      <c r="A21" s="4">
        <v>630</v>
      </c>
      <c r="B21" s="5">
        <v>40572</v>
      </c>
      <c r="C21" s="6">
        <v>1</v>
      </c>
      <c r="D21" s="6">
        <v>0</v>
      </c>
      <c r="E21" s="6">
        <v>1</v>
      </c>
      <c r="F21" s="6">
        <v>12</v>
      </c>
      <c r="G21" s="6" t="b">
        <v>0</v>
      </c>
      <c r="H21" s="6">
        <v>6</v>
      </c>
      <c r="I21" s="6">
        <v>2</v>
      </c>
      <c r="J21" s="6">
        <v>0.2</v>
      </c>
      <c r="K21" s="6">
        <v>0.19700000000000001</v>
      </c>
      <c r="L21" s="6">
        <v>0.59</v>
      </c>
      <c r="M21" s="6">
        <v>0.19400000000000001</v>
      </c>
      <c r="N21" s="6">
        <v>12</v>
      </c>
      <c r="O21" s="6">
        <v>66</v>
      </c>
      <c r="P21" s="7">
        <v>78</v>
      </c>
    </row>
    <row r="22" spans="1:16" ht="13.2" x14ac:dyDescent="0.25">
      <c r="A22" s="4">
        <v>631</v>
      </c>
      <c r="B22" s="5">
        <v>40572</v>
      </c>
      <c r="C22" s="6">
        <v>1</v>
      </c>
      <c r="D22" s="6">
        <v>0</v>
      </c>
      <c r="E22" s="6">
        <v>1</v>
      </c>
      <c r="F22" s="6">
        <v>13</v>
      </c>
      <c r="G22" s="6" t="b">
        <v>0</v>
      </c>
      <c r="H22" s="6">
        <v>6</v>
      </c>
      <c r="I22" s="6">
        <v>2</v>
      </c>
      <c r="J22" s="6">
        <v>0.22</v>
      </c>
      <c r="K22" s="6">
        <v>0.2273</v>
      </c>
      <c r="L22" s="6">
        <v>0.55000000000000004</v>
      </c>
      <c r="M22" s="6">
        <v>0.16420000000000001</v>
      </c>
      <c r="N22" s="6">
        <v>9</v>
      </c>
      <c r="O22" s="6">
        <v>56</v>
      </c>
      <c r="P22" s="7">
        <v>65</v>
      </c>
    </row>
    <row r="23" spans="1:16" ht="13.2" x14ac:dyDescent="0.25">
      <c r="A23" s="4">
        <v>632</v>
      </c>
      <c r="B23" s="5">
        <v>40572</v>
      </c>
      <c r="C23" s="6">
        <v>1</v>
      </c>
      <c r="D23" s="6">
        <v>0</v>
      </c>
      <c r="E23" s="6">
        <v>1</v>
      </c>
      <c r="F23" s="6">
        <v>14</v>
      </c>
      <c r="G23" s="6" t="b">
        <v>0</v>
      </c>
      <c r="H23" s="6">
        <v>6</v>
      </c>
      <c r="I23" s="6">
        <v>2</v>
      </c>
      <c r="J23" s="6">
        <v>0.22</v>
      </c>
      <c r="K23" s="6">
        <v>0.2273</v>
      </c>
      <c r="L23" s="6">
        <v>0.6</v>
      </c>
      <c r="M23" s="6">
        <v>0.1343</v>
      </c>
      <c r="N23" s="6">
        <v>10</v>
      </c>
      <c r="O23" s="6">
        <v>89</v>
      </c>
      <c r="P23" s="7">
        <v>99</v>
      </c>
    </row>
    <row r="24" spans="1:16" ht="13.2" x14ac:dyDescent="0.25">
      <c r="A24" s="4">
        <v>633</v>
      </c>
      <c r="B24" s="5">
        <v>40572</v>
      </c>
      <c r="C24" s="6">
        <v>1</v>
      </c>
      <c r="D24" s="6">
        <v>0</v>
      </c>
      <c r="E24" s="6">
        <v>1</v>
      </c>
      <c r="F24" s="6">
        <v>15</v>
      </c>
      <c r="G24" s="6" t="b">
        <v>0</v>
      </c>
      <c r="H24" s="6">
        <v>6</v>
      </c>
      <c r="I24" s="6">
        <v>1</v>
      </c>
      <c r="J24" s="6">
        <v>0.22</v>
      </c>
      <c r="K24" s="6">
        <v>0.21210000000000001</v>
      </c>
      <c r="L24" s="6">
        <v>0.69</v>
      </c>
      <c r="M24" s="6">
        <v>0.25369999999999998</v>
      </c>
      <c r="N24" s="6">
        <v>22</v>
      </c>
      <c r="O24" s="6">
        <v>98</v>
      </c>
      <c r="P24" s="7">
        <v>120</v>
      </c>
    </row>
    <row r="25" spans="1:16" ht="13.2" x14ac:dyDescent="0.25">
      <c r="A25" s="4">
        <v>634</v>
      </c>
      <c r="B25" s="5">
        <v>40572</v>
      </c>
      <c r="C25" s="6">
        <v>1</v>
      </c>
      <c r="D25" s="6">
        <v>0</v>
      </c>
      <c r="E25" s="6">
        <v>1</v>
      </c>
      <c r="F25" s="6">
        <v>16</v>
      </c>
      <c r="G25" s="6" t="b">
        <v>0</v>
      </c>
      <c r="H25" s="6">
        <v>6</v>
      </c>
      <c r="I25" s="6">
        <v>1</v>
      </c>
      <c r="J25" s="6">
        <v>0.24</v>
      </c>
      <c r="K25" s="6">
        <v>0.2424</v>
      </c>
      <c r="L25" s="6">
        <v>0.6</v>
      </c>
      <c r="M25" s="6">
        <v>0.16420000000000001</v>
      </c>
      <c r="N25" s="6">
        <v>19</v>
      </c>
      <c r="O25" s="6">
        <v>88</v>
      </c>
      <c r="P25" s="7">
        <v>107</v>
      </c>
    </row>
    <row r="26" spans="1:16" ht="13.2" x14ac:dyDescent="0.25">
      <c r="A26" s="4">
        <v>635</v>
      </c>
      <c r="B26" s="5">
        <v>40572</v>
      </c>
      <c r="C26" s="6">
        <v>1</v>
      </c>
      <c r="D26" s="6">
        <v>0</v>
      </c>
      <c r="E26" s="6">
        <v>1</v>
      </c>
      <c r="F26" s="6">
        <v>17</v>
      </c>
      <c r="G26" s="6" t="b">
        <v>0</v>
      </c>
      <c r="H26" s="6">
        <v>6</v>
      </c>
      <c r="I26" s="6">
        <v>1</v>
      </c>
      <c r="J26" s="6">
        <v>0.24</v>
      </c>
      <c r="K26" s="6">
        <v>0.28789999999999999</v>
      </c>
      <c r="L26" s="6">
        <v>0.6</v>
      </c>
      <c r="M26" s="6">
        <v>0</v>
      </c>
      <c r="N26" s="6">
        <v>9</v>
      </c>
      <c r="O26" s="6">
        <v>82</v>
      </c>
      <c r="P26" s="7">
        <v>91</v>
      </c>
    </row>
    <row r="27" spans="1:16" ht="13.2" x14ac:dyDescent="0.25">
      <c r="A27" s="4">
        <v>636</v>
      </c>
      <c r="B27" s="5">
        <v>40572</v>
      </c>
      <c r="C27" s="6">
        <v>1</v>
      </c>
      <c r="D27" s="6">
        <v>0</v>
      </c>
      <c r="E27" s="6">
        <v>1</v>
      </c>
      <c r="F27" s="6">
        <v>18</v>
      </c>
      <c r="G27" s="6" t="b">
        <v>0</v>
      </c>
      <c r="H27" s="6">
        <v>6</v>
      </c>
      <c r="I27" s="6">
        <v>1</v>
      </c>
      <c r="J27" s="6">
        <v>0.22</v>
      </c>
      <c r="K27" s="6">
        <v>0.2273</v>
      </c>
      <c r="L27" s="6">
        <v>0.69</v>
      </c>
      <c r="M27" s="6">
        <v>0.1343</v>
      </c>
      <c r="N27" s="6">
        <v>9</v>
      </c>
      <c r="O27" s="6">
        <v>59</v>
      </c>
      <c r="P27" s="7">
        <v>68</v>
      </c>
    </row>
    <row r="28" spans="1:16" ht="13.2" x14ac:dyDescent="0.25">
      <c r="A28" s="4">
        <v>637</v>
      </c>
      <c r="B28" s="5">
        <v>40572</v>
      </c>
      <c r="C28" s="6">
        <v>1</v>
      </c>
      <c r="D28" s="6">
        <v>0</v>
      </c>
      <c r="E28" s="6">
        <v>1</v>
      </c>
      <c r="F28" s="6">
        <v>19</v>
      </c>
      <c r="G28" s="6" t="b">
        <v>0</v>
      </c>
      <c r="H28" s="6">
        <v>6</v>
      </c>
      <c r="I28" s="6">
        <v>2</v>
      </c>
      <c r="J28" s="6">
        <v>0.22</v>
      </c>
      <c r="K28" s="6">
        <v>0.21210000000000001</v>
      </c>
      <c r="L28" s="6">
        <v>0.69</v>
      </c>
      <c r="M28" s="6">
        <v>0.25369999999999998</v>
      </c>
      <c r="N28" s="6">
        <v>6</v>
      </c>
      <c r="O28" s="6">
        <v>52</v>
      </c>
      <c r="P28" s="7">
        <v>58</v>
      </c>
    </row>
    <row r="29" spans="1:16" ht="13.2" x14ac:dyDescent="0.25">
      <c r="A29" s="4">
        <v>638</v>
      </c>
      <c r="B29" s="5">
        <v>40572</v>
      </c>
      <c r="C29" s="6">
        <v>1</v>
      </c>
      <c r="D29" s="6">
        <v>0</v>
      </c>
      <c r="E29" s="6">
        <v>1</v>
      </c>
      <c r="F29" s="6">
        <v>20</v>
      </c>
      <c r="G29" s="6" t="b">
        <v>0</v>
      </c>
      <c r="H29" s="6">
        <v>6</v>
      </c>
      <c r="I29" s="6">
        <v>1</v>
      </c>
      <c r="J29" s="6">
        <v>0.18</v>
      </c>
      <c r="K29" s="6">
        <v>0.21210000000000001</v>
      </c>
      <c r="L29" s="6">
        <v>0.74</v>
      </c>
      <c r="M29" s="6">
        <v>8.9599999999999999E-2</v>
      </c>
      <c r="N29" s="6">
        <v>1</v>
      </c>
      <c r="O29" s="6">
        <v>42</v>
      </c>
      <c r="P29" s="7">
        <v>43</v>
      </c>
    </row>
    <row r="30" spans="1:16" ht="13.2" x14ac:dyDescent="0.25">
      <c r="A30" s="4">
        <v>639</v>
      </c>
      <c r="B30" s="5">
        <v>40572</v>
      </c>
      <c r="C30" s="6">
        <v>1</v>
      </c>
      <c r="D30" s="6">
        <v>0</v>
      </c>
      <c r="E30" s="6">
        <v>1</v>
      </c>
      <c r="F30" s="6">
        <v>21</v>
      </c>
      <c r="G30" s="6" t="b">
        <v>0</v>
      </c>
      <c r="H30" s="6">
        <v>6</v>
      </c>
      <c r="I30" s="6">
        <v>1</v>
      </c>
      <c r="J30" s="6">
        <v>0.18</v>
      </c>
      <c r="K30" s="6">
        <v>0.21210000000000001</v>
      </c>
      <c r="L30" s="6">
        <v>0.74</v>
      </c>
      <c r="M30" s="6">
        <v>8.9599999999999999E-2</v>
      </c>
      <c r="N30" s="6">
        <v>1</v>
      </c>
      <c r="O30" s="6">
        <v>35</v>
      </c>
      <c r="P30" s="7">
        <v>36</v>
      </c>
    </row>
    <row r="31" spans="1:16" ht="13.2" x14ac:dyDescent="0.25">
      <c r="A31" s="4">
        <v>640</v>
      </c>
      <c r="B31" s="5">
        <v>40572</v>
      </c>
      <c r="C31" s="6">
        <v>1</v>
      </c>
      <c r="D31" s="6">
        <v>0</v>
      </c>
      <c r="E31" s="6">
        <v>1</v>
      </c>
      <c r="F31" s="6">
        <v>22</v>
      </c>
      <c r="G31" s="6" t="b">
        <v>0</v>
      </c>
      <c r="H31" s="6">
        <v>6</v>
      </c>
      <c r="I31" s="6">
        <v>1</v>
      </c>
      <c r="J31" s="6">
        <v>0.16</v>
      </c>
      <c r="K31" s="6">
        <v>0.19700000000000001</v>
      </c>
      <c r="L31" s="6">
        <v>0.8</v>
      </c>
      <c r="M31" s="6">
        <v>8.9599999999999999E-2</v>
      </c>
      <c r="N31" s="6">
        <v>4</v>
      </c>
      <c r="O31" s="6">
        <v>28</v>
      </c>
      <c r="P31" s="7">
        <v>32</v>
      </c>
    </row>
    <row r="32" spans="1:16" ht="13.2" x14ac:dyDescent="0.25">
      <c r="A32" s="4">
        <v>641</v>
      </c>
      <c r="B32" s="5">
        <v>40572</v>
      </c>
      <c r="C32" s="6">
        <v>1</v>
      </c>
      <c r="D32" s="6">
        <v>0</v>
      </c>
      <c r="E32" s="6">
        <v>1</v>
      </c>
      <c r="F32" s="6">
        <v>23</v>
      </c>
      <c r="G32" s="6" t="b">
        <v>0</v>
      </c>
      <c r="H32" s="6">
        <v>6</v>
      </c>
      <c r="I32" s="6">
        <v>1</v>
      </c>
      <c r="J32" s="6">
        <v>0.16</v>
      </c>
      <c r="K32" s="6">
        <v>0.19700000000000001</v>
      </c>
      <c r="L32" s="6">
        <v>0.8</v>
      </c>
      <c r="M32" s="6">
        <v>8.9599999999999999E-2</v>
      </c>
      <c r="N32" s="6">
        <v>3</v>
      </c>
      <c r="O32" s="6">
        <v>30</v>
      </c>
      <c r="P32" s="7">
        <v>33</v>
      </c>
    </row>
    <row r="33" spans="1:16" ht="13.2" x14ac:dyDescent="0.25">
      <c r="A33" s="4">
        <v>642</v>
      </c>
      <c r="B33" s="5">
        <v>40573</v>
      </c>
      <c r="C33" s="6">
        <v>1</v>
      </c>
      <c r="D33" s="6">
        <v>0</v>
      </c>
      <c r="E33" s="6">
        <v>1</v>
      </c>
      <c r="F33" s="6">
        <v>0</v>
      </c>
      <c r="G33" s="6" t="b">
        <v>0</v>
      </c>
      <c r="H33" s="6">
        <v>0</v>
      </c>
      <c r="I33" s="6">
        <v>1</v>
      </c>
      <c r="J33" s="6">
        <v>0.16</v>
      </c>
      <c r="K33" s="6">
        <v>0.18179999999999999</v>
      </c>
      <c r="L33" s="6">
        <v>0.8</v>
      </c>
      <c r="M33" s="6">
        <v>0.1045</v>
      </c>
      <c r="N33" s="6">
        <v>0</v>
      </c>
      <c r="O33" s="6">
        <v>33</v>
      </c>
      <c r="P33" s="7">
        <v>33</v>
      </c>
    </row>
    <row r="34" spans="1:16" ht="13.2" x14ac:dyDescent="0.25">
      <c r="A34" s="4">
        <v>643</v>
      </c>
      <c r="B34" s="5">
        <v>40573</v>
      </c>
      <c r="C34" s="6">
        <v>1</v>
      </c>
      <c r="D34" s="6">
        <v>0</v>
      </c>
      <c r="E34" s="6">
        <v>1</v>
      </c>
      <c r="F34" s="6">
        <v>1</v>
      </c>
      <c r="G34" s="6" t="b">
        <v>0</v>
      </c>
      <c r="H34" s="6">
        <v>0</v>
      </c>
      <c r="I34" s="6">
        <v>1</v>
      </c>
      <c r="J34" s="6">
        <v>0.14000000000000001</v>
      </c>
      <c r="K34" s="6">
        <v>0.21210000000000001</v>
      </c>
      <c r="L34" s="6">
        <v>0.8</v>
      </c>
      <c r="M34" s="6">
        <v>0</v>
      </c>
      <c r="N34" s="6">
        <v>7</v>
      </c>
      <c r="O34" s="6">
        <v>22</v>
      </c>
      <c r="P34" s="7">
        <v>29</v>
      </c>
    </row>
    <row r="35" spans="1:16" ht="13.2" x14ac:dyDescent="0.25">
      <c r="A35" s="4">
        <v>644</v>
      </c>
      <c r="B35" s="5">
        <v>40573</v>
      </c>
      <c r="C35" s="6">
        <v>1</v>
      </c>
      <c r="D35" s="6">
        <v>0</v>
      </c>
      <c r="E35" s="6">
        <v>1</v>
      </c>
      <c r="F35" s="6">
        <v>2</v>
      </c>
      <c r="G35" s="6" t="b">
        <v>0</v>
      </c>
      <c r="H35" s="6">
        <v>0</v>
      </c>
      <c r="I35" s="6">
        <v>1</v>
      </c>
      <c r="J35" s="6">
        <v>0.16</v>
      </c>
      <c r="K35" s="6">
        <v>0.2273</v>
      </c>
      <c r="L35" s="6">
        <v>0.8</v>
      </c>
      <c r="M35" s="6">
        <v>0</v>
      </c>
      <c r="N35" s="6">
        <v>1</v>
      </c>
      <c r="O35" s="6">
        <v>10</v>
      </c>
      <c r="P35" s="7">
        <v>11</v>
      </c>
    </row>
    <row r="36" spans="1:16" ht="13.2" x14ac:dyDescent="0.25">
      <c r="A36" s="4">
        <v>645</v>
      </c>
      <c r="B36" s="5">
        <v>40573</v>
      </c>
      <c r="C36" s="6">
        <v>1</v>
      </c>
      <c r="D36" s="6">
        <v>0</v>
      </c>
      <c r="E36" s="6">
        <v>1</v>
      </c>
      <c r="F36" s="6">
        <v>3</v>
      </c>
      <c r="G36" s="6" t="b">
        <v>0</v>
      </c>
      <c r="H36" s="6">
        <v>0</v>
      </c>
      <c r="I36" s="6">
        <v>1</v>
      </c>
      <c r="J36" s="6">
        <v>0.14000000000000001</v>
      </c>
      <c r="K36" s="6">
        <v>0.21210000000000001</v>
      </c>
      <c r="L36" s="6">
        <v>0.93</v>
      </c>
      <c r="M36" s="6">
        <v>0</v>
      </c>
      <c r="N36" s="6">
        <v>1</v>
      </c>
      <c r="O36" s="6">
        <v>7</v>
      </c>
      <c r="P36" s="7">
        <v>8</v>
      </c>
    </row>
    <row r="37" spans="1:16" ht="13.2" x14ac:dyDescent="0.25">
      <c r="A37" s="4">
        <v>646</v>
      </c>
      <c r="B37" s="5">
        <v>40573</v>
      </c>
      <c r="C37" s="6">
        <v>1</v>
      </c>
      <c r="D37" s="6">
        <v>0</v>
      </c>
      <c r="E37" s="6">
        <v>1</v>
      </c>
      <c r="F37" s="6">
        <v>4</v>
      </c>
      <c r="G37" s="6" t="b">
        <v>0</v>
      </c>
      <c r="H37" s="6">
        <v>0</v>
      </c>
      <c r="I37" s="6">
        <v>1</v>
      </c>
      <c r="J37" s="6">
        <v>0.14000000000000001</v>
      </c>
      <c r="K37" s="6">
        <v>0.21210000000000001</v>
      </c>
      <c r="L37" s="6">
        <v>0.93</v>
      </c>
      <c r="M37" s="6">
        <v>0</v>
      </c>
      <c r="N37" s="6">
        <v>0</v>
      </c>
      <c r="O37" s="6">
        <v>1</v>
      </c>
      <c r="P37" s="7">
        <v>1</v>
      </c>
    </row>
    <row r="38" spans="1:16" ht="13.2" x14ac:dyDescent="0.25">
      <c r="A38" s="4">
        <v>647</v>
      </c>
      <c r="B38" s="5">
        <v>40573</v>
      </c>
      <c r="C38" s="6">
        <v>1</v>
      </c>
      <c r="D38" s="6">
        <v>0</v>
      </c>
      <c r="E38" s="6">
        <v>1</v>
      </c>
      <c r="F38" s="6">
        <v>5</v>
      </c>
      <c r="G38" s="6" t="b">
        <v>0</v>
      </c>
      <c r="H38" s="6">
        <v>0</v>
      </c>
      <c r="I38" s="6">
        <v>1</v>
      </c>
      <c r="J38" s="6">
        <v>0.14000000000000001</v>
      </c>
      <c r="K38" s="6">
        <v>0.21210000000000001</v>
      </c>
      <c r="L38" s="6">
        <v>0.86</v>
      </c>
      <c r="M38" s="6">
        <v>0</v>
      </c>
      <c r="N38" s="6">
        <v>0</v>
      </c>
      <c r="O38" s="6">
        <v>3</v>
      </c>
      <c r="P38" s="7">
        <v>3</v>
      </c>
    </row>
    <row r="39" spans="1:16" ht="13.2" x14ac:dyDescent="0.25">
      <c r="A39" s="4">
        <v>648</v>
      </c>
      <c r="B39" s="5">
        <v>40573</v>
      </c>
      <c r="C39" s="6">
        <v>1</v>
      </c>
      <c r="D39" s="6">
        <v>0</v>
      </c>
      <c r="E39" s="6">
        <v>1</v>
      </c>
      <c r="F39" s="6">
        <v>7</v>
      </c>
      <c r="G39" s="6" t="b">
        <v>0</v>
      </c>
      <c r="H39" s="6">
        <v>0</v>
      </c>
      <c r="I39" s="6">
        <v>1</v>
      </c>
      <c r="J39" s="6">
        <v>0.14000000000000001</v>
      </c>
      <c r="K39" s="6">
        <v>0.21210000000000001</v>
      </c>
      <c r="L39" s="6">
        <v>0.86</v>
      </c>
      <c r="M39" s="6">
        <v>0</v>
      </c>
      <c r="N39" s="6">
        <v>0</v>
      </c>
      <c r="O39" s="6">
        <v>3</v>
      </c>
      <c r="P39" s="7">
        <v>3</v>
      </c>
    </row>
    <row r="40" spans="1:16" ht="13.2" x14ac:dyDescent="0.25">
      <c r="A40" s="4">
        <v>649</v>
      </c>
      <c r="B40" s="5">
        <v>40573</v>
      </c>
      <c r="C40" s="6">
        <v>1</v>
      </c>
      <c r="D40" s="6">
        <v>0</v>
      </c>
      <c r="E40" s="6">
        <v>1</v>
      </c>
      <c r="F40" s="6">
        <v>8</v>
      </c>
      <c r="G40" s="6" t="b">
        <v>0</v>
      </c>
      <c r="H40" s="6">
        <v>0</v>
      </c>
      <c r="I40" s="6">
        <v>2</v>
      </c>
      <c r="J40" s="6">
        <v>0.14000000000000001</v>
      </c>
      <c r="K40" s="6">
        <v>0.21210000000000001</v>
      </c>
      <c r="L40" s="6">
        <v>0.86</v>
      </c>
      <c r="M40" s="6">
        <v>0</v>
      </c>
      <c r="N40" s="6">
        <v>1</v>
      </c>
      <c r="O40" s="6">
        <v>11</v>
      </c>
      <c r="P40" s="7">
        <v>12</v>
      </c>
    </row>
    <row r="41" spans="1:16" ht="13.2" x14ac:dyDescent="0.25">
      <c r="A41" s="4">
        <v>650</v>
      </c>
      <c r="B41" s="5">
        <v>40573</v>
      </c>
      <c r="C41" s="6">
        <v>1</v>
      </c>
      <c r="D41" s="6">
        <v>0</v>
      </c>
      <c r="E41" s="6">
        <v>1</v>
      </c>
      <c r="F41" s="6">
        <v>9</v>
      </c>
      <c r="G41" s="6" t="b">
        <v>0</v>
      </c>
      <c r="H41" s="6">
        <v>0</v>
      </c>
      <c r="I41" s="6">
        <v>2</v>
      </c>
      <c r="J41" s="6">
        <v>0.16</v>
      </c>
      <c r="K41" s="6">
        <v>0.2273</v>
      </c>
      <c r="L41" s="6">
        <v>0.8</v>
      </c>
      <c r="M41" s="6">
        <v>0</v>
      </c>
      <c r="N41" s="6">
        <v>4</v>
      </c>
      <c r="O41" s="6">
        <v>34</v>
      </c>
      <c r="P41" s="7">
        <v>38</v>
      </c>
    </row>
    <row r="42" spans="1:16" ht="13.2" x14ac:dyDescent="0.25">
      <c r="A42" s="4">
        <v>651</v>
      </c>
      <c r="B42" s="5">
        <v>40573</v>
      </c>
      <c r="C42" s="6">
        <v>1</v>
      </c>
      <c r="D42" s="6">
        <v>0</v>
      </c>
      <c r="E42" s="6">
        <v>1</v>
      </c>
      <c r="F42" s="6">
        <v>10</v>
      </c>
      <c r="G42" s="6" t="b">
        <v>0</v>
      </c>
      <c r="H42" s="6">
        <v>0</v>
      </c>
      <c r="I42" s="6">
        <v>2</v>
      </c>
      <c r="J42" s="6">
        <v>0.18</v>
      </c>
      <c r="K42" s="6">
        <v>0.2424</v>
      </c>
      <c r="L42" s="6">
        <v>0.8</v>
      </c>
      <c r="M42" s="6">
        <v>0</v>
      </c>
      <c r="N42" s="6">
        <v>7</v>
      </c>
      <c r="O42" s="6">
        <v>57</v>
      </c>
      <c r="P42" s="7">
        <v>64</v>
      </c>
    </row>
    <row r="43" spans="1:16" ht="13.2" x14ac:dyDescent="0.25">
      <c r="A43" s="4">
        <v>652</v>
      </c>
      <c r="B43" s="5">
        <v>40573</v>
      </c>
      <c r="C43" s="6">
        <v>1</v>
      </c>
      <c r="D43" s="6">
        <v>0</v>
      </c>
      <c r="E43" s="6">
        <v>1</v>
      </c>
      <c r="F43" s="6">
        <v>11</v>
      </c>
      <c r="G43" s="6" t="b">
        <v>0</v>
      </c>
      <c r="H43" s="6">
        <v>0</v>
      </c>
      <c r="I43" s="6">
        <v>1</v>
      </c>
      <c r="J43" s="6">
        <v>0.22</v>
      </c>
      <c r="K43" s="6">
        <v>0.2727</v>
      </c>
      <c r="L43" s="6">
        <v>0.75</v>
      </c>
      <c r="M43" s="6">
        <v>0</v>
      </c>
      <c r="N43" s="6">
        <v>9</v>
      </c>
      <c r="O43" s="6">
        <v>50</v>
      </c>
      <c r="P43" s="7">
        <v>59</v>
      </c>
    </row>
    <row r="44" spans="1:16" ht="13.2" x14ac:dyDescent="0.25">
      <c r="A44" s="4">
        <v>653</v>
      </c>
      <c r="B44" s="5">
        <v>40573</v>
      </c>
      <c r="C44" s="6">
        <v>1</v>
      </c>
      <c r="D44" s="6">
        <v>0</v>
      </c>
      <c r="E44" s="6">
        <v>1</v>
      </c>
      <c r="F44" s="6">
        <v>12</v>
      </c>
      <c r="G44" s="6" t="b">
        <v>0</v>
      </c>
      <c r="H44" s="6">
        <v>0</v>
      </c>
      <c r="I44" s="6">
        <v>1</v>
      </c>
      <c r="J44" s="6">
        <v>0.3</v>
      </c>
      <c r="K44" s="6">
        <v>0.31819999999999998</v>
      </c>
      <c r="L44" s="6">
        <v>0.52</v>
      </c>
      <c r="M44" s="6">
        <v>0.1045</v>
      </c>
      <c r="N44" s="6">
        <v>10</v>
      </c>
      <c r="O44" s="6">
        <v>87</v>
      </c>
      <c r="P44" s="7">
        <v>97</v>
      </c>
    </row>
    <row r="45" spans="1:16" ht="13.2" x14ac:dyDescent="0.25">
      <c r="A45" s="4">
        <v>654</v>
      </c>
      <c r="B45" s="5">
        <v>40573</v>
      </c>
      <c r="C45" s="6">
        <v>1</v>
      </c>
      <c r="D45" s="6">
        <v>0</v>
      </c>
      <c r="E45" s="6">
        <v>1</v>
      </c>
      <c r="F45" s="6">
        <v>13</v>
      </c>
      <c r="G45" s="6" t="b">
        <v>0</v>
      </c>
      <c r="H45" s="6">
        <v>0</v>
      </c>
      <c r="I45" s="6">
        <v>1</v>
      </c>
      <c r="J45" s="6">
        <v>0.28000000000000003</v>
      </c>
      <c r="K45" s="6">
        <v>0.28789999999999999</v>
      </c>
      <c r="L45" s="6">
        <v>0.61</v>
      </c>
      <c r="M45" s="6">
        <v>0.1045</v>
      </c>
      <c r="N45" s="6">
        <v>13</v>
      </c>
      <c r="O45" s="6">
        <v>71</v>
      </c>
      <c r="P45" s="7">
        <v>84</v>
      </c>
    </row>
    <row r="46" spans="1:16" ht="13.2" x14ac:dyDescent="0.25">
      <c r="A46" s="4">
        <v>655</v>
      </c>
      <c r="B46" s="5">
        <v>40573</v>
      </c>
      <c r="C46" s="6">
        <v>1</v>
      </c>
      <c r="D46" s="6">
        <v>0</v>
      </c>
      <c r="E46" s="6">
        <v>1</v>
      </c>
      <c r="F46" s="6">
        <v>14</v>
      </c>
      <c r="G46" s="6" t="b">
        <v>0</v>
      </c>
      <c r="H46" s="6">
        <v>0</v>
      </c>
      <c r="I46" s="6">
        <v>1</v>
      </c>
      <c r="J46" s="6">
        <v>0.28000000000000003</v>
      </c>
      <c r="K46" s="6">
        <v>0.30299999999999999</v>
      </c>
      <c r="L46" s="6">
        <v>0.61</v>
      </c>
      <c r="M46" s="6">
        <v>8.9599999999999999E-2</v>
      </c>
      <c r="N46" s="6">
        <v>18</v>
      </c>
      <c r="O46" s="6">
        <v>104</v>
      </c>
      <c r="P46" s="7">
        <v>122</v>
      </c>
    </row>
    <row r="47" spans="1:16" ht="13.2" x14ac:dyDescent="0.25">
      <c r="A47" s="4">
        <v>656</v>
      </c>
      <c r="B47" s="5">
        <v>40573</v>
      </c>
      <c r="C47" s="6">
        <v>1</v>
      </c>
      <c r="D47" s="6">
        <v>0</v>
      </c>
      <c r="E47" s="6">
        <v>1</v>
      </c>
      <c r="F47" s="6">
        <v>15</v>
      </c>
      <c r="G47" s="6" t="b">
        <v>0</v>
      </c>
      <c r="H47" s="6">
        <v>0</v>
      </c>
      <c r="I47" s="6">
        <v>1</v>
      </c>
      <c r="J47" s="6">
        <v>0.3</v>
      </c>
      <c r="K47" s="6">
        <v>0.33329999999999999</v>
      </c>
      <c r="L47" s="6">
        <v>0.56000000000000005</v>
      </c>
      <c r="M47" s="6">
        <v>0</v>
      </c>
      <c r="N47" s="6">
        <v>14</v>
      </c>
      <c r="O47" s="6">
        <v>95</v>
      </c>
      <c r="P47" s="7">
        <v>109</v>
      </c>
    </row>
    <row r="48" spans="1:16" ht="13.2" x14ac:dyDescent="0.25">
      <c r="A48" s="4">
        <v>657</v>
      </c>
      <c r="B48" s="5">
        <v>40573</v>
      </c>
      <c r="C48" s="6">
        <v>1</v>
      </c>
      <c r="D48" s="6">
        <v>0</v>
      </c>
      <c r="E48" s="6">
        <v>1</v>
      </c>
      <c r="F48" s="6">
        <v>16</v>
      </c>
      <c r="G48" s="6" t="b">
        <v>0</v>
      </c>
      <c r="H48" s="6">
        <v>0</v>
      </c>
      <c r="I48" s="6">
        <v>1</v>
      </c>
      <c r="J48" s="6">
        <v>0.3</v>
      </c>
      <c r="K48" s="6">
        <v>0.33329999999999999</v>
      </c>
      <c r="L48" s="6">
        <v>0.56000000000000005</v>
      </c>
      <c r="M48" s="6">
        <v>0</v>
      </c>
      <c r="N48" s="6">
        <v>19</v>
      </c>
      <c r="O48" s="6">
        <v>104</v>
      </c>
      <c r="P48" s="7">
        <v>123</v>
      </c>
    </row>
    <row r="49" spans="1:16" ht="13.2" x14ac:dyDescent="0.25">
      <c r="A49" s="4">
        <v>658</v>
      </c>
      <c r="B49" s="5">
        <v>40573</v>
      </c>
      <c r="C49" s="6">
        <v>1</v>
      </c>
      <c r="D49" s="6">
        <v>0</v>
      </c>
      <c r="E49" s="6">
        <v>1</v>
      </c>
      <c r="F49" s="6">
        <v>17</v>
      </c>
      <c r="G49" s="6" t="b">
        <v>0</v>
      </c>
      <c r="H49" s="6">
        <v>0</v>
      </c>
      <c r="I49" s="6">
        <v>1</v>
      </c>
      <c r="J49" s="6">
        <v>0.3</v>
      </c>
      <c r="K49" s="6">
        <v>0.28789999999999999</v>
      </c>
      <c r="L49" s="6">
        <v>0.56000000000000005</v>
      </c>
      <c r="M49" s="6">
        <v>0.19400000000000001</v>
      </c>
      <c r="N49" s="6">
        <v>6</v>
      </c>
      <c r="O49" s="6">
        <v>71</v>
      </c>
      <c r="P49" s="7">
        <v>77</v>
      </c>
    </row>
    <row r="50" spans="1:16" ht="13.2" x14ac:dyDescent="0.25">
      <c r="A50" s="4">
        <v>659</v>
      </c>
      <c r="B50" s="5">
        <v>40573</v>
      </c>
      <c r="C50" s="6">
        <v>1</v>
      </c>
      <c r="D50" s="6">
        <v>0</v>
      </c>
      <c r="E50" s="6">
        <v>1</v>
      </c>
      <c r="F50" s="6">
        <v>18</v>
      </c>
      <c r="G50" s="6" t="b">
        <v>0</v>
      </c>
      <c r="H50" s="6">
        <v>0</v>
      </c>
      <c r="I50" s="6">
        <v>1</v>
      </c>
      <c r="J50" s="6">
        <v>0.26</v>
      </c>
      <c r="K50" s="6">
        <v>0.2576</v>
      </c>
      <c r="L50" s="6">
        <v>0.65</v>
      </c>
      <c r="M50" s="6">
        <v>0.16420000000000001</v>
      </c>
      <c r="N50" s="6">
        <v>8</v>
      </c>
      <c r="O50" s="6">
        <v>57</v>
      </c>
      <c r="P50" s="7">
        <v>65</v>
      </c>
    </row>
    <row r="51" spans="1:16" ht="13.2" x14ac:dyDescent="0.25">
      <c r="A51" s="4">
        <v>660</v>
      </c>
      <c r="B51" s="5">
        <v>40573</v>
      </c>
      <c r="C51" s="6">
        <v>1</v>
      </c>
      <c r="D51" s="6">
        <v>0</v>
      </c>
      <c r="E51" s="6">
        <v>1</v>
      </c>
      <c r="F51" s="6">
        <v>19</v>
      </c>
      <c r="G51" s="6" t="b">
        <v>0</v>
      </c>
      <c r="H51" s="6">
        <v>0</v>
      </c>
      <c r="I51" s="6">
        <v>1</v>
      </c>
      <c r="J51" s="6">
        <v>0.26</v>
      </c>
      <c r="K51" s="6">
        <v>0.2576</v>
      </c>
      <c r="L51" s="6">
        <v>0.65</v>
      </c>
      <c r="M51" s="6">
        <v>0.19400000000000001</v>
      </c>
      <c r="N51" s="6">
        <v>9</v>
      </c>
      <c r="O51" s="6">
        <v>46</v>
      </c>
      <c r="P51" s="7">
        <v>55</v>
      </c>
    </row>
    <row r="52" spans="1:16" ht="13.2" x14ac:dyDescent="0.25">
      <c r="A52" s="4">
        <v>661</v>
      </c>
      <c r="B52" s="5">
        <v>40573</v>
      </c>
      <c r="C52" s="6">
        <v>1</v>
      </c>
      <c r="D52" s="6">
        <v>0</v>
      </c>
      <c r="E52" s="6">
        <v>1</v>
      </c>
      <c r="F52" s="6">
        <v>20</v>
      </c>
      <c r="G52" s="6" t="b">
        <v>0</v>
      </c>
      <c r="H52" s="6">
        <v>0</v>
      </c>
      <c r="I52" s="6">
        <v>2</v>
      </c>
      <c r="J52" s="6">
        <v>0.26</v>
      </c>
      <c r="K52" s="6">
        <v>0.2727</v>
      </c>
      <c r="L52" s="6">
        <v>0.65</v>
      </c>
      <c r="M52" s="6">
        <v>0.1045</v>
      </c>
      <c r="N52" s="6">
        <v>3</v>
      </c>
      <c r="O52" s="6">
        <v>30</v>
      </c>
      <c r="P52" s="7">
        <v>33</v>
      </c>
    </row>
    <row r="53" spans="1:16" ht="13.2" x14ac:dyDescent="0.25">
      <c r="A53" s="4">
        <v>662</v>
      </c>
      <c r="B53" s="5">
        <v>40573</v>
      </c>
      <c r="C53" s="6">
        <v>1</v>
      </c>
      <c r="D53" s="6">
        <v>0</v>
      </c>
      <c r="E53" s="6">
        <v>1</v>
      </c>
      <c r="F53" s="6">
        <v>21</v>
      </c>
      <c r="G53" s="6" t="b">
        <v>0</v>
      </c>
      <c r="H53" s="6">
        <v>0</v>
      </c>
      <c r="I53" s="6">
        <v>2</v>
      </c>
      <c r="J53" s="6">
        <v>0.24</v>
      </c>
      <c r="K53" s="6">
        <v>0.2424</v>
      </c>
      <c r="L53" s="6">
        <v>0.7</v>
      </c>
      <c r="M53" s="6">
        <v>0.16420000000000001</v>
      </c>
      <c r="N53" s="6">
        <v>3</v>
      </c>
      <c r="O53" s="6">
        <v>25</v>
      </c>
      <c r="P53" s="7">
        <v>28</v>
      </c>
    </row>
    <row r="54" spans="1:16" ht="13.2" x14ac:dyDescent="0.25">
      <c r="A54" s="4">
        <v>663</v>
      </c>
      <c r="B54" s="5">
        <v>40573</v>
      </c>
      <c r="C54" s="6">
        <v>1</v>
      </c>
      <c r="D54" s="6">
        <v>0</v>
      </c>
      <c r="E54" s="6">
        <v>1</v>
      </c>
      <c r="F54" s="6">
        <v>22</v>
      </c>
      <c r="G54" s="6" t="b">
        <v>0</v>
      </c>
      <c r="H54" s="6">
        <v>0</v>
      </c>
      <c r="I54" s="6">
        <v>2</v>
      </c>
      <c r="J54" s="6">
        <v>0.24</v>
      </c>
      <c r="K54" s="6">
        <v>0.2273</v>
      </c>
      <c r="L54" s="6">
        <v>0.7</v>
      </c>
      <c r="M54" s="6">
        <v>0.19400000000000001</v>
      </c>
      <c r="N54" s="6">
        <v>2</v>
      </c>
      <c r="O54" s="6">
        <v>19</v>
      </c>
      <c r="P54" s="7">
        <v>21</v>
      </c>
    </row>
    <row r="55" spans="1:16" ht="13.2" x14ac:dyDescent="0.25">
      <c r="A55" s="4">
        <v>664</v>
      </c>
      <c r="B55" s="5">
        <v>40573</v>
      </c>
      <c r="C55" s="6">
        <v>1</v>
      </c>
      <c r="D55" s="6">
        <v>0</v>
      </c>
      <c r="E55" s="6">
        <v>1</v>
      </c>
      <c r="F55" s="6">
        <v>23</v>
      </c>
      <c r="G55" s="6" t="b">
        <v>0</v>
      </c>
      <c r="H55" s="6">
        <v>0</v>
      </c>
      <c r="I55" s="6">
        <v>2</v>
      </c>
      <c r="J55" s="6">
        <v>0.24</v>
      </c>
      <c r="K55" s="6">
        <v>0.21210000000000001</v>
      </c>
      <c r="L55" s="6">
        <v>0.65</v>
      </c>
      <c r="M55" s="6">
        <v>0.28360000000000002</v>
      </c>
      <c r="N55" s="6">
        <v>5</v>
      </c>
      <c r="O55" s="6">
        <v>16</v>
      </c>
      <c r="P55" s="7">
        <v>21</v>
      </c>
    </row>
    <row r="56" spans="1:16" ht="13.2" x14ac:dyDescent="0.25">
      <c r="A56" s="4">
        <v>665</v>
      </c>
      <c r="B56" s="5">
        <v>40574</v>
      </c>
      <c r="C56" s="6">
        <v>1</v>
      </c>
      <c r="D56" s="6">
        <v>0</v>
      </c>
      <c r="E56" s="6">
        <v>1</v>
      </c>
      <c r="F56" s="6">
        <v>0</v>
      </c>
      <c r="G56" s="6" t="b">
        <v>0</v>
      </c>
      <c r="H56" s="6">
        <v>1</v>
      </c>
      <c r="I56" s="6">
        <v>2</v>
      </c>
      <c r="J56" s="6">
        <v>0.24</v>
      </c>
      <c r="K56" s="6">
        <v>0.2273</v>
      </c>
      <c r="L56" s="6">
        <v>0.65</v>
      </c>
      <c r="M56" s="6">
        <v>0.22389999999999999</v>
      </c>
      <c r="N56" s="6">
        <v>1</v>
      </c>
      <c r="O56" s="6">
        <v>6</v>
      </c>
      <c r="P56" s="7">
        <v>7</v>
      </c>
    </row>
    <row r="57" spans="1:16" ht="13.2" x14ac:dyDescent="0.25">
      <c r="A57" s="4">
        <v>666</v>
      </c>
      <c r="B57" s="5">
        <v>40574</v>
      </c>
      <c r="C57" s="6">
        <v>1</v>
      </c>
      <c r="D57" s="6">
        <v>0</v>
      </c>
      <c r="E57" s="6">
        <v>1</v>
      </c>
      <c r="F57" s="6">
        <v>1</v>
      </c>
      <c r="G57" s="6" t="b">
        <v>0</v>
      </c>
      <c r="H57" s="6">
        <v>1</v>
      </c>
      <c r="I57" s="6">
        <v>1</v>
      </c>
      <c r="J57" s="6">
        <v>0.22</v>
      </c>
      <c r="K57" s="6">
        <v>0.21210000000000001</v>
      </c>
      <c r="L57" s="6">
        <v>0.64</v>
      </c>
      <c r="M57" s="6">
        <v>0.25369999999999998</v>
      </c>
      <c r="N57" s="6">
        <v>2</v>
      </c>
      <c r="O57" s="6">
        <v>5</v>
      </c>
      <c r="P57" s="7">
        <v>7</v>
      </c>
    </row>
    <row r="58" spans="1:16" ht="13.2" x14ac:dyDescent="0.25">
      <c r="A58" s="4">
        <v>667</v>
      </c>
      <c r="B58" s="5">
        <v>40574</v>
      </c>
      <c r="C58" s="6">
        <v>1</v>
      </c>
      <c r="D58" s="6">
        <v>0</v>
      </c>
      <c r="E58" s="6">
        <v>1</v>
      </c>
      <c r="F58" s="6">
        <v>2</v>
      </c>
      <c r="G58" s="6" t="b">
        <v>0</v>
      </c>
      <c r="H58" s="6">
        <v>1</v>
      </c>
      <c r="I58" s="6">
        <v>1</v>
      </c>
      <c r="J58" s="6">
        <v>0.22</v>
      </c>
      <c r="K58" s="6">
        <v>0.2273</v>
      </c>
      <c r="L58" s="6">
        <v>0.64</v>
      </c>
      <c r="M58" s="6">
        <v>0.19400000000000001</v>
      </c>
      <c r="N58" s="6">
        <v>0</v>
      </c>
      <c r="O58" s="6">
        <v>1</v>
      </c>
      <c r="P58" s="7">
        <v>1</v>
      </c>
    </row>
    <row r="59" spans="1:16" ht="13.2" x14ac:dyDescent="0.25">
      <c r="A59" s="4">
        <v>668</v>
      </c>
      <c r="B59" s="5">
        <v>40574</v>
      </c>
      <c r="C59" s="6">
        <v>1</v>
      </c>
      <c r="D59" s="6">
        <v>0</v>
      </c>
      <c r="E59" s="6">
        <v>1</v>
      </c>
      <c r="F59" s="6">
        <v>3</v>
      </c>
      <c r="G59" s="6" t="b">
        <v>0</v>
      </c>
      <c r="H59" s="6">
        <v>1</v>
      </c>
      <c r="I59" s="6">
        <v>1</v>
      </c>
      <c r="J59" s="6">
        <v>0.22</v>
      </c>
      <c r="K59" s="6">
        <v>0.2273</v>
      </c>
      <c r="L59" s="6">
        <v>0.64</v>
      </c>
      <c r="M59" s="6">
        <v>0.19400000000000001</v>
      </c>
      <c r="N59" s="6">
        <v>0</v>
      </c>
      <c r="O59" s="6">
        <v>2</v>
      </c>
      <c r="P59" s="7">
        <v>2</v>
      </c>
    </row>
    <row r="60" spans="1:16" ht="13.2" x14ac:dyDescent="0.25">
      <c r="A60" s="4">
        <v>669</v>
      </c>
      <c r="B60" s="5">
        <v>40574</v>
      </c>
      <c r="C60" s="6">
        <v>1</v>
      </c>
      <c r="D60" s="6">
        <v>0</v>
      </c>
      <c r="E60" s="6">
        <v>1</v>
      </c>
      <c r="F60" s="6">
        <v>4</v>
      </c>
      <c r="G60" s="6" t="b">
        <v>0</v>
      </c>
      <c r="H60" s="6">
        <v>1</v>
      </c>
      <c r="I60" s="6">
        <v>1</v>
      </c>
      <c r="J60" s="6">
        <v>0.2</v>
      </c>
      <c r="K60" s="6">
        <v>0.19700000000000001</v>
      </c>
      <c r="L60" s="6">
        <v>0.59</v>
      </c>
      <c r="M60" s="6">
        <v>0.22389999999999999</v>
      </c>
      <c r="N60" s="6">
        <v>0</v>
      </c>
      <c r="O60" s="6">
        <v>2</v>
      </c>
      <c r="P60" s="7">
        <v>2</v>
      </c>
    </row>
    <row r="61" spans="1:16" ht="13.2" x14ac:dyDescent="0.25">
      <c r="A61" s="4">
        <v>670</v>
      </c>
      <c r="B61" s="5">
        <v>40574</v>
      </c>
      <c r="C61" s="6">
        <v>1</v>
      </c>
      <c r="D61" s="6">
        <v>0</v>
      </c>
      <c r="E61" s="6">
        <v>1</v>
      </c>
      <c r="F61" s="6">
        <v>5</v>
      </c>
      <c r="G61" s="6" t="b">
        <v>0</v>
      </c>
      <c r="H61" s="6">
        <v>1</v>
      </c>
      <c r="I61" s="6">
        <v>1</v>
      </c>
      <c r="J61" s="6">
        <v>0.18</v>
      </c>
      <c r="K61" s="6">
        <v>0.16669999999999999</v>
      </c>
      <c r="L61" s="6">
        <v>0.64</v>
      </c>
      <c r="M61" s="6">
        <v>0.28360000000000002</v>
      </c>
      <c r="N61" s="6">
        <v>0</v>
      </c>
      <c r="O61" s="6">
        <v>8</v>
      </c>
      <c r="P61" s="7">
        <v>8</v>
      </c>
    </row>
    <row r="62" spans="1:16" ht="13.2" x14ac:dyDescent="0.25">
      <c r="A62" s="4">
        <v>671</v>
      </c>
      <c r="B62" s="5">
        <v>40574</v>
      </c>
      <c r="C62" s="6">
        <v>1</v>
      </c>
      <c r="D62" s="6">
        <v>0</v>
      </c>
      <c r="E62" s="6">
        <v>1</v>
      </c>
      <c r="F62" s="6">
        <v>6</v>
      </c>
      <c r="G62" s="6" t="b">
        <v>0</v>
      </c>
      <c r="H62" s="6">
        <v>1</v>
      </c>
      <c r="I62" s="6">
        <v>1</v>
      </c>
      <c r="J62" s="6">
        <v>0.16</v>
      </c>
      <c r="K62" s="6">
        <v>0.13639999999999999</v>
      </c>
      <c r="L62" s="6">
        <v>0.69</v>
      </c>
      <c r="M62" s="6">
        <v>0.32840000000000003</v>
      </c>
      <c r="N62" s="6">
        <v>0</v>
      </c>
      <c r="O62" s="6">
        <v>37</v>
      </c>
      <c r="P62" s="7">
        <v>37</v>
      </c>
    </row>
    <row r="63" spans="1:16" ht="13.2" x14ac:dyDescent="0.25">
      <c r="A63" s="4">
        <v>672</v>
      </c>
      <c r="B63" s="5">
        <v>40574</v>
      </c>
      <c r="C63" s="6">
        <v>1</v>
      </c>
      <c r="D63" s="6">
        <v>0</v>
      </c>
      <c r="E63" s="6">
        <v>1</v>
      </c>
      <c r="F63" s="6">
        <v>7</v>
      </c>
      <c r="G63" s="6" t="b">
        <v>0</v>
      </c>
      <c r="H63" s="6">
        <v>1</v>
      </c>
      <c r="I63" s="6">
        <v>2</v>
      </c>
      <c r="J63" s="6">
        <v>0.16</v>
      </c>
      <c r="K63" s="6">
        <v>0.13639999999999999</v>
      </c>
      <c r="L63" s="6">
        <v>0.64</v>
      </c>
      <c r="M63" s="6">
        <v>0.28360000000000002</v>
      </c>
      <c r="N63" s="6">
        <v>1</v>
      </c>
      <c r="O63" s="6">
        <v>71</v>
      </c>
      <c r="P63" s="7">
        <v>72</v>
      </c>
    </row>
    <row r="64" spans="1:16" ht="13.2" x14ac:dyDescent="0.25">
      <c r="A64" s="4">
        <v>673</v>
      </c>
      <c r="B64" s="5">
        <v>40574</v>
      </c>
      <c r="C64" s="6">
        <v>1</v>
      </c>
      <c r="D64" s="6">
        <v>0</v>
      </c>
      <c r="E64" s="6">
        <v>1</v>
      </c>
      <c r="F64" s="6">
        <v>8</v>
      </c>
      <c r="G64" s="6" t="b">
        <v>0</v>
      </c>
      <c r="H64" s="6">
        <v>1</v>
      </c>
      <c r="I64" s="6">
        <v>2</v>
      </c>
      <c r="J64" s="6">
        <v>0.16</v>
      </c>
      <c r="K64" s="6">
        <v>0.13639999999999999</v>
      </c>
      <c r="L64" s="6">
        <v>0.59</v>
      </c>
      <c r="M64" s="6">
        <v>0.28360000000000002</v>
      </c>
      <c r="N64" s="6">
        <v>3</v>
      </c>
      <c r="O64" s="6">
        <v>182</v>
      </c>
      <c r="P64" s="7">
        <v>185</v>
      </c>
    </row>
    <row r="65" spans="1:16" ht="13.2" x14ac:dyDescent="0.25">
      <c r="A65" s="4">
        <v>674</v>
      </c>
      <c r="B65" s="5">
        <v>40574</v>
      </c>
      <c r="C65" s="6">
        <v>1</v>
      </c>
      <c r="D65" s="6">
        <v>0</v>
      </c>
      <c r="E65" s="6">
        <v>1</v>
      </c>
      <c r="F65" s="6">
        <v>9</v>
      </c>
      <c r="G65" s="6" t="b">
        <v>0</v>
      </c>
      <c r="H65" s="6">
        <v>1</v>
      </c>
      <c r="I65" s="6">
        <v>2</v>
      </c>
      <c r="J65" s="6">
        <v>0.16</v>
      </c>
      <c r="K65" s="6">
        <v>0.13639999999999999</v>
      </c>
      <c r="L65" s="6">
        <v>0.59</v>
      </c>
      <c r="M65" s="6">
        <v>0.29849999999999999</v>
      </c>
      <c r="N65" s="6">
        <v>0</v>
      </c>
      <c r="O65" s="6">
        <v>112</v>
      </c>
      <c r="P65" s="7">
        <v>112</v>
      </c>
    </row>
    <row r="66" spans="1:16" ht="13.2" x14ac:dyDescent="0.25">
      <c r="A66" s="4">
        <v>675</v>
      </c>
      <c r="B66" s="5">
        <v>40574</v>
      </c>
      <c r="C66" s="6">
        <v>1</v>
      </c>
      <c r="D66" s="6">
        <v>0</v>
      </c>
      <c r="E66" s="6">
        <v>1</v>
      </c>
      <c r="F66" s="6">
        <v>10</v>
      </c>
      <c r="G66" s="6" t="b">
        <v>0</v>
      </c>
      <c r="H66" s="6">
        <v>1</v>
      </c>
      <c r="I66" s="6">
        <v>2</v>
      </c>
      <c r="J66" s="6">
        <v>0.16</v>
      </c>
      <c r="K66" s="6">
        <v>0.1515</v>
      </c>
      <c r="L66" s="6">
        <v>0.59</v>
      </c>
      <c r="M66" s="6">
        <v>0.19400000000000001</v>
      </c>
      <c r="N66" s="6">
        <v>1</v>
      </c>
      <c r="O66" s="6">
        <v>68</v>
      </c>
      <c r="P66" s="7">
        <v>69</v>
      </c>
    </row>
    <row r="67" spans="1:16" ht="13.2" x14ac:dyDescent="0.25">
      <c r="A67" s="4">
        <v>676</v>
      </c>
      <c r="B67" s="5">
        <v>40574</v>
      </c>
      <c r="C67" s="6">
        <v>1</v>
      </c>
      <c r="D67" s="6">
        <v>0</v>
      </c>
      <c r="E67" s="6">
        <v>1</v>
      </c>
      <c r="F67" s="6">
        <v>11</v>
      </c>
      <c r="G67" s="6" t="b">
        <v>0</v>
      </c>
      <c r="H67" s="6">
        <v>1</v>
      </c>
      <c r="I67" s="6">
        <v>2</v>
      </c>
      <c r="J67" s="6">
        <v>0.16</v>
      </c>
      <c r="K67" s="6">
        <v>0.1515</v>
      </c>
      <c r="L67" s="6">
        <v>0.59</v>
      </c>
      <c r="M67" s="6">
        <v>0.19400000000000001</v>
      </c>
      <c r="N67" s="6">
        <v>2</v>
      </c>
      <c r="O67" s="6">
        <v>46</v>
      </c>
      <c r="P67" s="7">
        <v>48</v>
      </c>
    </row>
    <row r="68" spans="1:16" ht="13.2" x14ac:dyDescent="0.25">
      <c r="A68" s="4">
        <v>677</v>
      </c>
      <c r="B68" s="5">
        <v>40574</v>
      </c>
      <c r="C68" s="6">
        <v>1</v>
      </c>
      <c r="D68" s="6">
        <v>0</v>
      </c>
      <c r="E68" s="6">
        <v>1</v>
      </c>
      <c r="F68" s="6">
        <v>12</v>
      </c>
      <c r="G68" s="6" t="b">
        <v>0</v>
      </c>
      <c r="H68" s="6">
        <v>1</v>
      </c>
      <c r="I68" s="6">
        <v>2</v>
      </c>
      <c r="J68" s="6">
        <v>0.18</v>
      </c>
      <c r="K68" s="6">
        <v>0.21210000000000001</v>
      </c>
      <c r="L68" s="6">
        <v>0.55000000000000004</v>
      </c>
      <c r="M68" s="6">
        <v>0.1045</v>
      </c>
      <c r="N68" s="6">
        <v>6</v>
      </c>
      <c r="O68" s="6">
        <v>62</v>
      </c>
      <c r="P68" s="7">
        <v>68</v>
      </c>
    </row>
    <row r="69" spans="1:16" ht="13.2" x14ac:dyDescent="0.25">
      <c r="A69" s="4">
        <v>678</v>
      </c>
      <c r="B69" s="5">
        <v>40574</v>
      </c>
      <c r="C69" s="6">
        <v>1</v>
      </c>
      <c r="D69" s="6">
        <v>0</v>
      </c>
      <c r="E69" s="6">
        <v>1</v>
      </c>
      <c r="F69" s="6">
        <v>13</v>
      </c>
      <c r="G69" s="6" t="b">
        <v>0</v>
      </c>
      <c r="H69" s="6">
        <v>1</v>
      </c>
      <c r="I69" s="6">
        <v>2</v>
      </c>
      <c r="J69" s="6">
        <v>0.16</v>
      </c>
      <c r="K69" s="6">
        <v>0.2273</v>
      </c>
      <c r="L69" s="6">
        <v>0.59</v>
      </c>
      <c r="M69" s="6">
        <v>0</v>
      </c>
      <c r="N69" s="6">
        <v>2</v>
      </c>
      <c r="O69" s="6">
        <v>52</v>
      </c>
      <c r="P69" s="7">
        <v>54</v>
      </c>
    </row>
    <row r="70" spans="1:16" ht="13.2" x14ac:dyDescent="0.25">
      <c r="A70" s="4">
        <v>679</v>
      </c>
      <c r="B70" s="5">
        <v>40574</v>
      </c>
      <c r="C70" s="6">
        <v>1</v>
      </c>
      <c r="D70" s="6">
        <v>0</v>
      </c>
      <c r="E70" s="6">
        <v>1</v>
      </c>
      <c r="F70" s="6">
        <v>14</v>
      </c>
      <c r="G70" s="6" t="b">
        <v>0</v>
      </c>
      <c r="H70" s="6">
        <v>1</v>
      </c>
      <c r="I70" s="6">
        <v>2</v>
      </c>
      <c r="J70" s="6">
        <v>0.18</v>
      </c>
      <c r="K70" s="6">
        <v>0.19700000000000001</v>
      </c>
      <c r="L70" s="6">
        <v>0.55000000000000004</v>
      </c>
      <c r="M70" s="6">
        <v>0.1343</v>
      </c>
      <c r="N70" s="6">
        <v>1</v>
      </c>
      <c r="O70" s="6">
        <v>85</v>
      </c>
      <c r="P70" s="7">
        <v>86</v>
      </c>
    </row>
    <row r="71" spans="1:16" ht="13.2" x14ac:dyDescent="0.25">
      <c r="A71" s="4">
        <v>680</v>
      </c>
      <c r="B71" s="5">
        <v>40574</v>
      </c>
      <c r="C71" s="6">
        <v>1</v>
      </c>
      <c r="D71" s="6">
        <v>0</v>
      </c>
      <c r="E71" s="6">
        <v>1</v>
      </c>
      <c r="F71" s="6">
        <v>15</v>
      </c>
      <c r="G71" s="6" t="b">
        <v>0</v>
      </c>
      <c r="H71" s="6">
        <v>1</v>
      </c>
      <c r="I71" s="6">
        <v>2</v>
      </c>
      <c r="J71" s="6">
        <v>0.16</v>
      </c>
      <c r="K71" s="6">
        <v>0.18179999999999999</v>
      </c>
      <c r="L71" s="6">
        <v>0.59</v>
      </c>
      <c r="M71" s="6">
        <v>0.1343</v>
      </c>
      <c r="N71" s="6">
        <v>3</v>
      </c>
      <c r="O71" s="6">
        <v>41</v>
      </c>
      <c r="P71" s="7">
        <v>44</v>
      </c>
    </row>
    <row r="72" spans="1:16" ht="13.2" x14ac:dyDescent="0.25">
      <c r="A72" s="4">
        <v>681</v>
      </c>
      <c r="B72" s="5">
        <v>40574</v>
      </c>
      <c r="C72" s="6">
        <v>1</v>
      </c>
      <c r="D72" s="6">
        <v>0</v>
      </c>
      <c r="E72" s="6">
        <v>1</v>
      </c>
      <c r="F72" s="6">
        <v>16</v>
      </c>
      <c r="G72" s="6" t="b">
        <v>0</v>
      </c>
      <c r="H72" s="6">
        <v>1</v>
      </c>
      <c r="I72" s="6">
        <v>2</v>
      </c>
      <c r="J72" s="6">
        <v>0.16</v>
      </c>
      <c r="K72" s="6">
        <v>0.18179999999999999</v>
      </c>
      <c r="L72" s="6">
        <v>0.56000000000000005</v>
      </c>
      <c r="M72" s="6">
        <v>0.19400000000000001</v>
      </c>
      <c r="N72" s="6">
        <v>3</v>
      </c>
      <c r="O72" s="6">
        <v>83</v>
      </c>
      <c r="P72" s="7">
        <v>86</v>
      </c>
    </row>
    <row r="73" spans="1:16" ht="13.2" x14ac:dyDescent="0.25">
      <c r="A73" s="4">
        <v>682</v>
      </c>
      <c r="B73" s="5">
        <v>40574</v>
      </c>
      <c r="C73" s="6">
        <v>1</v>
      </c>
      <c r="D73" s="6">
        <v>0</v>
      </c>
      <c r="E73" s="6">
        <v>1</v>
      </c>
      <c r="F73" s="6">
        <v>17</v>
      </c>
      <c r="G73" s="6" t="b">
        <v>0</v>
      </c>
      <c r="H73" s="6">
        <v>1</v>
      </c>
      <c r="I73" s="6">
        <v>2</v>
      </c>
      <c r="J73" s="6">
        <v>0.16</v>
      </c>
      <c r="K73" s="6">
        <v>0.1515</v>
      </c>
      <c r="L73" s="6">
        <v>0.59</v>
      </c>
      <c r="M73" s="6">
        <v>0.19400000000000001</v>
      </c>
      <c r="N73" s="6">
        <v>6</v>
      </c>
      <c r="O73" s="6">
        <v>155</v>
      </c>
      <c r="P73" s="7">
        <v>161</v>
      </c>
    </row>
    <row r="74" spans="1:16" ht="13.2" x14ac:dyDescent="0.25">
      <c r="A74" s="4">
        <v>683</v>
      </c>
      <c r="B74" s="5">
        <v>40574</v>
      </c>
      <c r="C74" s="6">
        <v>1</v>
      </c>
      <c r="D74" s="6">
        <v>0</v>
      </c>
      <c r="E74" s="6">
        <v>1</v>
      </c>
      <c r="F74" s="6">
        <v>18</v>
      </c>
      <c r="G74" s="6" t="b">
        <v>0</v>
      </c>
      <c r="H74" s="6">
        <v>1</v>
      </c>
      <c r="I74" s="6">
        <v>2</v>
      </c>
      <c r="J74" s="6">
        <v>0.16</v>
      </c>
      <c r="K74" s="6">
        <v>0.1515</v>
      </c>
      <c r="L74" s="6">
        <v>0.55000000000000004</v>
      </c>
      <c r="M74" s="6">
        <v>0.22389999999999999</v>
      </c>
      <c r="N74" s="6">
        <v>3</v>
      </c>
      <c r="O74" s="6">
        <v>153</v>
      </c>
      <c r="P74" s="7">
        <v>156</v>
      </c>
    </row>
    <row r="75" spans="1:16" ht="13.2" x14ac:dyDescent="0.25">
      <c r="A75" s="4">
        <v>684</v>
      </c>
      <c r="B75" s="5">
        <v>40574</v>
      </c>
      <c r="C75" s="6">
        <v>1</v>
      </c>
      <c r="D75" s="6">
        <v>0</v>
      </c>
      <c r="E75" s="6">
        <v>1</v>
      </c>
      <c r="F75" s="6">
        <v>19</v>
      </c>
      <c r="G75" s="6" t="b">
        <v>0</v>
      </c>
      <c r="H75" s="6">
        <v>1</v>
      </c>
      <c r="I75" s="6">
        <v>1</v>
      </c>
      <c r="J75" s="6">
        <v>0.3</v>
      </c>
      <c r="K75" s="6">
        <v>0.31819999999999998</v>
      </c>
      <c r="L75" s="6">
        <v>0.61</v>
      </c>
      <c r="M75" s="6">
        <v>0.1045</v>
      </c>
      <c r="N75" s="6">
        <v>3</v>
      </c>
      <c r="O75" s="6">
        <v>108</v>
      </c>
      <c r="P75" s="7">
        <v>111</v>
      </c>
    </row>
    <row r="76" spans="1:16" ht="13.2" x14ac:dyDescent="0.25">
      <c r="A76" s="4">
        <v>685</v>
      </c>
      <c r="B76" s="5">
        <v>40574</v>
      </c>
      <c r="C76" s="6">
        <v>1</v>
      </c>
      <c r="D76" s="6">
        <v>0</v>
      </c>
      <c r="E76" s="6">
        <v>1</v>
      </c>
      <c r="F76" s="6">
        <v>20</v>
      </c>
      <c r="G76" s="6" t="b">
        <v>0</v>
      </c>
      <c r="H76" s="6">
        <v>1</v>
      </c>
      <c r="I76" s="6">
        <v>3</v>
      </c>
      <c r="J76" s="6">
        <v>0.16</v>
      </c>
      <c r="K76" s="6">
        <v>0.16669999999999999</v>
      </c>
      <c r="L76" s="6">
        <v>0.59</v>
      </c>
      <c r="M76" s="6">
        <v>0.16420000000000001</v>
      </c>
      <c r="N76" s="6">
        <v>0</v>
      </c>
      <c r="O76" s="6">
        <v>78</v>
      </c>
      <c r="P76" s="7">
        <v>78</v>
      </c>
    </row>
    <row r="77" spans="1:16" ht="13.2" x14ac:dyDescent="0.25">
      <c r="A77" s="4">
        <v>686</v>
      </c>
      <c r="B77" s="5">
        <v>40574</v>
      </c>
      <c r="C77" s="6">
        <v>1</v>
      </c>
      <c r="D77" s="6">
        <v>0</v>
      </c>
      <c r="E77" s="6">
        <v>1</v>
      </c>
      <c r="F77" s="6">
        <v>21</v>
      </c>
      <c r="G77" s="6" t="b">
        <v>0</v>
      </c>
      <c r="H77" s="6">
        <v>1</v>
      </c>
      <c r="I77" s="6">
        <v>3</v>
      </c>
      <c r="J77" s="6">
        <v>0.16</v>
      </c>
      <c r="K77" s="6">
        <v>0.19700000000000001</v>
      </c>
      <c r="L77" s="6">
        <v>0.59</v>
      </c>
      <c r="M77" s="6">
        <v>8.9599999999999999E-2</v>
      </c>
      <c r="N77" s="6">
        <v>3</v>
      </c>
      <c r="O77" s="6">
        <v>53</v>
      </c>
      <c r="P77" s="7">
        <v>56</v>
      </c>
    </row>
    <row r="78" spans="1:16" ht="13.2" x14ac:dyDescent="0.25">
      <c r="A78" s="4">
        <v>687</v>
      </c>
      <c r="B78" s="5">
        <v>40574</v>
      </c>
      <c r="C78" s="6">
        <v>1</v>
      </c>
      <c r="D78" s="6">
        <v>0</v>
      </c>
      <c r="E78" s="6">
        <v>1</v>
      </c>
      <c r="F78" s="6">
        <v>22</v>
      </c>
      <c r="G78" s="6" t="b">
        <v>0</v>
      </c>
      <c r="H78" s="6">
        <v>1</v>
      </c>
      <c r="I78" s="6">
        <v>2</v>
      </c>
      <c r="J78" s="6">
        <v>0.16</v>
      </c>
      <c r="K78" s="6">
        <v>0.18179999999999999</v>
      </c>
      <c r="L78" s="6">
        <v>0.59</v>
      </c>
      <c r="M78" s="6">
        <v>0.1045</v>
      </c>
      <c r="N78" s="6">
        <v>0</v>
      </c>
      <c r="O78" s="6">
        <v>34</v>
      </c>
      <c r="P78" s="7">
        <v>34</v>
      </c>
    </row>
    <row r="79" spans="1:16" ht="13.2" x14ac:dyDescent="0.25">
      <c r="A79" s="4">
        <v>688</v>
      </c>
      <c r="B79" s="5">
        <v>40574</v>
      </c>
      <c r="C79" s="6">
        <v>1</v>
      </c>
      <c r="D79" s="6">
        <v>0</v>
      </c>
      <c r="E79" s="6">
        <v>1</v>
      </c>
      <c r="F79" s="6">
        <v>23</v>
      </c>
      <c r="G79" s="6" t="b">
        <v>0</v>
      </c>
      <c r="H79" s="6">
        <v>1</v>
      </c>
      <c r="I79" s="6">
        <v>2</v>
      </c>
      <c r="J79" s="6">
        <v>0.16</v>
      </c>
      <c r="K79" s="6">
        <v>0.19700000000000001</v>
      </c>
      <c r="L79" s="6">
        <v>0.64</v>
      </c>
      <c r="M79" s="6">
        <v>8.9599999999999999E-2</v>
      </c>
      <c r="N79" s="6">
        <v>2</v>
      </c>
      <c r="O79" s="6">
        <v>15</v>
      </c>
      <c r="P79" s="7">
        <v>17</v>
      </c>
    </row>
    <row r="80" spans="1:16" ht="13.2" x14ac:dyDescent="0.25">
      <c r="A80" s="4">
        <v>689</v>
      </c>
      <c r="B80" s="5">
        <v>40575</v>
      </c>
      <c r="C80" s="6">
        <v>1</v>
      </c>
      <c r="D80" s="6">
        <v>0</v>
      </c>
      <c r="E80" s="6">
        <v>2</v>
      </c>
      <c r="F80" s="6">
        <v>0</v>
      </c>
      <c r="G80" s="6" t="b">
        <v>0</v>
      </c>
      <c r="H80" s="6">
        <v>2</v>
      </c>
      <c r="I80" s="6">
        <v>2</v>
      </c>
      <c r="J80" s="6">
        <v>0.16</v>
      </c>
      <c r="K80" s="6">
        <v>0.18179999999999999</v>
      </c>
      <c r="L80" s="6">
        <v>0.64</v>
      </c>
      <c r="M80" s="6">
        <v>0.1045</v>
      </c>
      <c r="N80" s="6">
        <v>2</v>
      </c>
      <c r="O80" s="6">
        <v>6</v>
      </c>
      <c r="P80" s="7">
        <v>8</v>
      </c>
    </row>
    <row r="81" spans="1:16" ht="13.2" x14ac:dyDescent="0.25">
      <c r="A81" s="4">
        <v>690</v>
      </c>
      <c r="B81" s="5">
        <v>40575</v>
      </c>
      <c r="C81" s="6">
        <v>1</v>
      </c>
      <c r="D81" s="6">
        <v>0</v>
      </c>
      <c r="E81" s="6">
        <v>2</v>
      </c>
      <c r="F81" s="6">
        <v>1</v>
      </c>
      <c r="G81" s="6" t="b">
        <v>0</v>
      </c>
      <c r="H81" s="6">
        <v>2</v>
      </c>
      <c r="I81" s="6">
        <v>2</v>
      </c>
      <c r="J81" s="6">
        <v>0.16</v>
      </c>
      <c r="K81" s="6">
        <v>0.18179999999999999</v>
      </c>
      <c r="L81" s="6">
        <v>0.69</v>
      </c>
      <c r="M81" s="6">
        <v>0.1045</v>
      </c>
      <c r="N81" s="6">
        <v>0</v>
      </c>
      <c r="O81" s="6">
        <v>3</v>
      </c>
      <c r="P81" s="7">
        <v>3</v>
      </c>
    </row>
    <row r="82" spans="1:16" ht="13.2" x14ac:dyDescent="0.25">
      <c r="A82" s="4">
        <v>691</v>
      </c>
      <c r="B82" s="5">
        <v>40575</v>
      </c>
      <c r="C82" s="6">
        <v>1</v>
      </c>
      <c r="D82" s="6">
        <v>0</v>
      </c>
      <c r="E82" s="6">
        <v>2</v>
      </c>
      <c r="F82" s="6">
        <v>2</v>
      </c>
      <c r="G82" s="6" t="b">
        <v>0</v>
      </c>
      <c r="H82" s="6">
        <v>2</v>
      </c>
      <c r="I82" s="6">
        <v>2</v>
      </c>
      <c r="J82" s="6">
        <v>0.16</v>
      </c>
      <c r="K82" s="6">
        <v>0.2273</v>
      </c>
      <c r="L82" s="6">
        <v>0.69</v>
      </c>
      <c r="M82" s="6">
        <v>0</v>
      </c>
      <c r="N82" s="6">
        <v>0</v>
      </c>
      <c r="O82" s="6">
        <v>2</v>
      </c>
      <c r="P82" s="7">
        <v>2</v>
      </c>
    </row>
    <row r="83" spans="1:16" ht="13.2" x14ac:dyDescent="0.25">
      <c r="A83" s="4">
        <v>692</v>
      </c>
      <c r="B83" s="5">
        <v>40575</v>
      </c>
      <c r="C83" s="6">
        <v>1</v>
      </c>
      <c r="D83" s="6">
        <v>0</v>
      </c>
      <c r="E83" s="6">
        <v>2</v>
      </c>
      <c r="F83" s="6">
        <v>3</v>
      </c>
      <c r="G83" s="6" t="b">
        <v>0</v>
      </c>
      <c r="H83" s="6">
        <v>2</v>
      </c>
      <c r="I83" s="6">
        <v>2</v>
      </c>
      <c r="J83" s="6">
        <v>0.16</v>
      </c>
      <c r="K83" s="6">
        <v>0.2273</v>
      </c>
      <c r="L83" s="6">
        <v>0.69</v>
      </c>
      <c r="M83" s="6">
        <v>0</v>
      </c>
      <c r="N83" s="6">
        <v>0</v>
      </c>
      <c r="O83" s="6">
        <v>2</v>
      </c>
      <c r="P83" s="7">
        <v>2</v>
      </c>
    </row>
    <row r="84" spans="1:16" ht="13.2" x14ac:dyDescent="0.25">
      <c r="A84" s="4">
        <v>693</v>
      </c>
      <c r="B84" s="5">
        <v>40575</v>
      </c>
      <c r="C84" s="6">
        <v>1</v>
      </c>
      <c r="D84" s="6">
        <v>0</v>
      </c>
      <c r="E84" s="6">
        <v>2</v>
      </c>
      <c r="F84" s="6">
        <v>5</v>
      </c>
      <c r="G84" s="6" t="b">
        <v>0</v>
      </c>
      <c r="H84" s="6">
        <v>2</v>
      </c>
      <c r="I84" s="6">
        <v>3</v>
      </c>
      <c r="J84" s="6">
        <v>0.14000000000000001</v>
      </c>
      <c r="K84" s="6">
        <v>0.21210000000000001</v>
      </c>
      <c r="L84" s="6">
        <v>0.93</v>
      </c>
      <c r="M84" s="6">
        <v>0</v>
      </c>
      <c r="N84" s="6">
        <v>0</v>
      </c>
      <c r="O84" s="6">
        <v>3</v>
      </c>
      <c r="P84" s="7">
        <v>3</v>
      </c>
    </row>
    <row r="85" spans="1:16" ht="13.2" x14ac:dyDescent="0.25">
      <c r="A85" s="4">
        <v>694</v>
      </c>
      <c r="B85" s="5">
        <v>40575</v>
      </c>
      <c r="C85" s="6">
        <v>1</v>
      </c>
      <c r="D85" s="6">
        <v>0</v>
      </c>
      <c r="E85" s="6">
        <v>2</v>
      </c>
      <c r="F85" s="6">
        <v>6</v>
      </c>
      <c r="G85" s="6" t="b">
        <v>0</v>
      </c>
      <c r="H85" s="6">
        <v>2</v>
      </c>
      <c r="I85" s="6">
        <v>3</v>
      </c>
      <c r="J85" s="6">
        <v>0.14000000000000001</v>
      </c>
      <c r="K85" s="6">
        <v>0.21210000000000001</v>
      </c>
      <c r="L85" s="6">
        <v>0.93</v>
      </c>
      <c r="M85" s="6">
        <v>0</v>
      </c>
      <c r="N85" s="6">
        <v>0</v>
      </c>
      <c r="O85" s="6">
        <v>22</v>
      </c>
      <c r="P85" s="7">
        <v>22</v>
      </c>
    </row>
    <row r="86" spans="1:16" ht="13.2" x14ac:dyDescent="0.25">
      <c r="A86" s="4">
        <v>695</v>
      </c>
      <c r="B86" s="5">
        <v>40575</v>
      </c>
      <c r="C86" s="6">
        <v>1</v>
      </c>
      <c r="D86" s="6">
        <v>0</v>
      </c>
      <c r="E86" s="6">
        <v>2</v>
      </c>
      <c r="F86" s="6">
        <v>7</v>
      </c>
      <c r="G86" s="6" t="b">
        <v>0</v>
      </c>
      <c r="H86" s="6">
        <v>2</v>
      </c>
      <c r="I86" s="6">
        <v>3</v>
      </c>
      <c r="J86" s="6">
        <v>0.16</v>
      </c>
      <c r="K86" s="6">
        <v>0.2273</v>
      </c>
      <c r="L86" s="6">
        <v>0.93</v>
      </c>
      <c r="M86" s="6">
        <v>0</v>
      </c>
      <c r="N86" s="6">
        <v>0</v>
      </c>
      <c r="O86" s="6">
        <v>52</v>
      </c>
      <c r="P86" s="7">
        <v>52</v>
      </c>
    </row>
    <row r="87" spans="1:16" ht="13.2" x14ac:dyDescent="0.25">
      <c r="A87" s="4">
        <v>696</v>
      </c>
      <c r="B87" s="5">
        <v>40575</v>
      </c>
      <c r="C87" s="6">
        <v>1</v>
      </c>
      <c r="D87" s="6">
        <v>0</v>
      </c>
      <c r="E87" s="6">
        <v>2</v>
      </c>
      <c r="F87" s="6">
        <v>8</v>
      </c>
      <c r="G87" s="6" t="b">
        <v>0</v>
      </c>
      <c r="H87" s="6">
        <v>2</v>
      </c>
      <c r="I87" s="6">
        <v>3</v>
      </c>
      <c r="J87" s="6">
        <v>0.16</v>
      </c>
      <c r="K87" s="6">
        <v>0.2273</v>
      </c>
      <c r="L87" s="6">
        <v>0.93</v>
      </c>
      <c r="M87" s="6">
        <v>0</v>
      </c>
      <c r="N87" s="6">
        <v>3</v>
      </c>
      <c r="O87" s="6">
        <v>132</v>
      </c>
      <c r="P87" s="7">
        <v>135</v>
      </c>
    </row>
    <row r="88" spans="1:16" ht="13.2" x14ac:dyDescent="0.25">
      <c r="A88" s="4">
        <v>697</v>
      </c>
      <c r="B88" s="5">
        <v>40575</v>
      </c>
      <c r="C88" s="6">
        <v>1</v>
      </c>
      <c r="D88" s="6">
        <v>0</v>
      </c>
      <c r="E88" s="6">
        <v>2</v>
      </c>
      <c r="F88" s="6">
        <v>9</v>
      </c>
      <c r="G88" s="6" t="b">
        <v>0</v>
      </c>
      <c r="H88" s="6">
        <v>2</v>
      </c>
      <c r="I88" s="6">
        <v>2</v>
      </c>
      <c r="J88" s="6">
        <v>0.16</v>
      </c>
      <c r="K88" s="6">
        <v>0.2273</v>
      </c>
      <c r="L88" s="6">
        <v>0.93</v>
      </c>
      <c r="M88" s="6">
        <v>0</v>
      </c>
      <c r="N88" s="6">
        <v>2</v>
      </c>
      <c r="O88" s="6">
        <v>114</v>
      </c>
      <c r="P88" s="7">
        <v>116</v>
      </c>
    </row>
    <row r="89" spans="1:16" ht="13.2" x14ac:dyDescent="0.25">
      <c r="A89" s="4">
        <v>698</v>
      </c>
      <c r="B89" s="5">
        <v>40575</v>
      </c>
      <c r="C89" s="6">
        <v>1</v>
      </c>
      <c r="D89" s="6">
        <v>0</v>
      </c>
      <c r="E89" s="6">
        <v>2</v>
      </c>
      <c r="F89" s="6">
        <v>10</v>
      </c>
      <c r="G89" s="6" t="b">
        <v>0</v>
      </c>
      <c r="H89" s="6">
        <v>2</v>
      </c>
      <c r="I89" s="6">
        <v>2</v>
      </c>
      <c r="J89" s="6">
        <v>0.16</v>
      </c>
      <c r="K89" s="6">
        <v>0.2273</v>
      </c>
      <c r="L89" s="6">
        <v>0.93</v>
      </c>
      <c r="M89" s="6">
        <v>0</v>
      </c>
      <c r="N89" s="6">
        <v>0</v>
      </c>
      <c r="O89" s="6">
        <v>47</v>
      </c>
      <c r="P89" s="7">
        <v>47</v>
      </c>
    </row>
    <row r="90" spans="1:16" ht="13.2" x14ac:dyDescent="0.25">
      <c r="A90" s="4">
        <v>699</v>
      </c>
      <c r="B90" s="5">
        <v>40575</v>
      </c>
      <c r="C90" s="6">
        <v>1</v>
      </c>
      <c r="D90" s="6">
        <v>0</v>
      </c>
      <c r="E90" s="6">
        <v>2</v>
      </c>
      <c r="F90" s="6">
        <v>11</v>
      </c>
      <c r="G90" s="6" t="b">
        <v>0</v>
      </c>
      <c r="H90" s="6">
        <v>2</v>
      </c>
      <c r="I90" s="6">
        <v>2</v>
      </c>
      <c r="J90" s="6">
        <v>0.18</v>
      </c>
      <c r="K90" s="6">
        <v>0.2424</v>
      </c>
      <c r="L90" s="6">
        <v>0.86</v>
      </c>
      <c r="M90" s="6">
        <v>0</v>
      </c>
      <c r="N90" s="6">
        <v>2</v>
      </c>
      <c r="O90" s="6">
        <v>49</v>
      </c>
      <c r="P90" s="7">
        <v>51</v>
      </c>
    </row>
    <row r="91" spans="1:16" ht="13.2" x14ac:dyDescent="0.25">
      <c r="A91" s="4">
        <v>700</v>
      </c>
      <c r="B91" s="5">
        <v>40575</v>
      </c>
      <c r="C91" s="6">
        <v>1</v>
      </c>
      <c r="D91" s="6">
        <v>0</v>
      </c>
      <c r="E91" s="6">
        <v>2</v>
      </c>
      <c r="F91" s="6">
        <v>12</v>
      </c>
      <c r="G91" s="6" t="b">
        <v>0</v>
      </c>
      <c r="H91" s="6">
        <v>2</v>
      </c>
      <c r="I91" s="6">
        <v>2</v>
      </c>
      <c r="J91" s="6">
        <v>0.2</v>
      </c>
      <c r="K91" s="6">
        <v>0.2576</v>
      </c>
      <c r="L91" s="6">
        <v>0.86</v>
      </c>
      <c r="M91" s="6">
        <v>0</v>
      </c>
      <c r="N91" s="6">
        <v>2</v>
      </c>
      <c r="O91" s="6">
        <v>53</v>
      </c>
      <c r="P91" s="7">
        <v>55</v>
      </c>
    </row>
    <row r="92" spans="1:16" ht="13.2" x14ac:dyDescent="0.25">
      <c r="A92" s="4">
        <v>701</v>
      </c>
      <c r="B92" s="5">
        <v>40575</v>
      </c>
      <c r="C92" s="6">
        <v>1</v>
      </c>
      <c r="D92" s="6">
        <v>0</v>
      </c>
      <c r="E92" s="6">
        <v>2</v>
      </c>
      <c r="F92" s="6">
        <v>13</v>
      </c>
      <c r="G92" s="6" t="b">
        <v>0</v>
      </c>
      <c r="H92" s="6">
        <v>2</v>
      </c>
      <c r="I92" s="6">
        <v>2</v>
      </c>
      <c r="J92" s="6">
        <v>0.2</v>
      </c>
      <c r="K92" s="6">
        <v>0.2576</v>
      </c>
      <c r="L92" s="6">
        <v>0.86</v>
      </c>
      <c r="M92" s="6">
        <v>0</v>
      </c>
      <c r="N92" s="6">
        <v>3</v>
      </c>
      <c r="O92" s="6">
        <v>49</v>
      </c>
      <c r="P92" s="7">
        <v>52</v>
      </c>
    </row>
    <row r="93" spans="1:16" ht="13.2" x14ac:dyDescent="0.25">
      <c r="A93" s="4">
        <v>702</v>
      </c>
      <c r="B93" s="5">
        <v>40575</v>
      </c>
      <c r="C93" s="6">
        <v>1</v>
      </c>
      <c r="D93" s="6">
        <v>0</v>
      </c>
      <c r="E93" s="6">
        <v>2</v>
      </c>
      <c r="F93" s="6">
        <v>14</v>
      </c>
      <c r="G93" s="6" t="b">
        <v>0</v>
      </c>
      <c r="H93" s="6">
        <v>2</v>
      </c>
      <c r="I93" s="6">
        <v>2</v>
      </c>
      <c r="J93" s="6">
        <v>0.22</v>
      </c>
      <c r="K93" s="6">
        <v>0.2576</v>
      </c>
      <c r="L93" s="6">
        <v>0.8</v>
      </c>
      <c r="M93" s="6">
        <v>8.9599999999999999E-2</v>
      </c>
      <c r="N93" s="6">
        <v>5</v>
      </c>
      <c r="O93" s="6">
        <v>49</v>
      </c>
      <c r="P93" s="7">
        <v>54</v>
      </c>
    </row>
    <row r="94" spans="1:16" ht="13.2" x14ac:dyDescent="0.25">
      <c r="A94" s="4">
        <v>703</v>
      </c>
      <c r="B94" s="5">
        <v>40575</v>
      </c>
      <c r="C94" s="6">
        <v>1</v>
      </c>
      <c r="D94" s="6">
        <v>0</v>
      </c>
      <c r="E94" s="6">
        <v>2</v>
      </c>
      <c r="F94" s="6">
        <v>15</v>
      </c>
      <c r="G94" s="6" t="b">
        <v>0</v>
      </c>
      <c r="H94" s="6">
        <v>2</v>
      </c>
      <c r="I94" s="6">
        <v>2</v>
      </c>
      <c r="J94" s="6">
        <v>0.24</v>
      </c>
      <c r="K94" s="6">
        <v>0.28789999999999999</v>
      </c>
      <c r="L94" s="6">
        <v>0.75</v>
      </c>
      <c r="M94" s="6">
        <v>0</v>
      </c>
      <c r="N94" s="6">
        <v>7</v>
      </c>
      <c r="O94" s="6">
        <v>45</v>
      </c>
      <c r="P94" s="7">
        <v>52</v>
      </c>
    </row>
    <row r="95" spans="1:16" ht="13.2" x14ac:dyDescent="0.25">
      <c r="A95" s="4">
        <v>704</v>
      </c>
      <c r="B95" s="5">
        <v>40575</v>
      </c>
      <c r="C95" s="6">
        <v>1</v>
      </c>
      <c r="D95" s="6">
        <v>0</v>
      </c>
      <c r="E95" s="6">
        <v>2</v>
      </c>
      <c r="F95" s="6">
        <v>16</v>
      </c>
      <c r="G95" s="6" t="b">
        <v>0</v>
      </c>
      <c r="H95" s="6">
        <v>2</v>
      </c>
      <c r="I95" s="6">
        <v>2</v>
      </c>
      <c r="J95" s="6">
        <v>0.24</v>
      </c>
      <c r="K95" s="6">
        <v>0.2424</v>
      </c>
      <c r="L95" s="6">
        <v>0.75</v>
      </c>
      <c r="M95" s="6">
        <v>0.1343</v>
      </c>
      <c r="N95" s="6">
        <v>3</v>
      </c>
      <c r="O95" s="6">
        <v>61</v>
      </c>
      <c r="P95" s="7">
        <v>64</v>
      </c>
    </row>
    <row r="96" spans="1:16" ht="13.2" x14ac:dyDescent="0.25">
      <c r="A96" s="4">
        <v>705</v>
      </c>
      <c r="B96" s="5">
        <v>40575</v>
      </c>
      <c r="C96" s="6">
        <v>1</v>
      </c>
      <c r="D96" s="6">
        <v>0</v>
      </c>
      <c r="E96" s="6">
        <v>2</v>
      </c>
      <c r="F96" s="6">
        <v>17</v>
      </c>
      <c r="G96" s="6" t="b">
        <v>0</v>
      </c>
      <c r="H96" s="6">
        <v>2</v>
      </c>
      <c r="I96" s="6">
        <v>2</v>
      </c>
      <c r="J96" s="6">
        <v>0.24</v>
      </c>
      <c r="K96" s="6">
        <v>0.28789999999999999</v>
      </c>
      <c r="L96" s="6">
        <v>0.75</v>
      </c>
      <c r="M96" s="6">
        <v>0</v>
      </c>
      <c r="N96" s="6">
        <v>4</v>
      </c>
      <c r="O96" s="6">
        <v>172</v>
      </c>
      <c r="P96" s="7">
        <v>176</v>
      </c>
    </row>
    <row r="97" spans="1:16" ht="13.2" x14ac:dyDescent="0.25">
      <c r="A97" s="4">
        <v>706</v>
      </c>
      <c r="B97" s="5">
        <v>40575</v>
      </c>
      <c r="C97" s="6">
        <v>1</v>
      </c>
      <c r="D97" s="6">
        <v>0</v>
      </c>
      <c r="E97" s="6">
        <v>2</v>
      </c>
      <c r="F97" s="6">
        <v>18</v>
      </c>
      <c r="G97" s="6" t="b">
        <v>0</v>
      </c>
      <c r="H97" s="6">
        <v>2</v>
      </c>
      <c r="I97" s="6">
        <v>2</v>
      </c>
      <c r="J97" s="6">
        <v>0.24</v>
      </c>
      <c r="K97" s="6">
        <v>0.2576</v>
      </c>
      <c r="L97" s="6">
        <v>0.81</v>
      </c>
      <c r="M97" s="6">
        <v>0.1045</v>
      </c>
      <c r="N97" s="6">
        <v>3</v>
      </c>
      <c r="O97" s="6">
        <v>165</v>
      </c>
      <c r="P97" s="7">
        <v>168</v>
      </c>
    </row>
    <row r="98" spans="1:16" ht="13.2" x14ac:dyDescent="0.25">
      <c r="A98" s="4">
        <v>707</v>
      </c>
      <c r="B98" s="5">
        <v>40575</v>
      </c>
      <c r="C98" s="6">
        <v>1</v>
      </c>
      <c r="D98" s="6">
        <v>0</v>
      </c>
      <c r="E98" s="6">
        <v>2</v>
      </c>
      <c r="F98" s="6">
        <v>19</v>
      </c>
      <c r="G98" s="6" t="b">
        <v>0</v>
      </c>
      <c r="H98" s="6">
        <v>2</v>
      </c>
      <c r="I98" s="6">
        <v>2</v>
      </c>
      <c r="J98" s="6">
        <v>0.24</v>
      </c>
      <c r="K98" s="6">
        <v>0.2424</v>
      </c>
      <c r="L98" s="6">
        <v>0.81</v>
      </c>
      <c r="M98" s="6">
        <v>0.1343</v>
      </c>
      <c r="N98" s="6">
        <v>3</v>
      </c>
      <c r="O98" s="6">
        <v>105</v>
      </c>
      <c r="P98" s="7">
        <v>108</v>
      </c>
    </row>
    <row r="99" spans="1:16" ht="13.2" x14ac:dyDescent="0.25">
      <c r="A99" s="4">
        <v>708</v>
      </c>
      <c r="B99" s="5">
        <v>40575</v>
      </c>
      <c r="C99" s="6">
        <v>1</v>
      </c>
      <c r="D99" s="6">
        <v>0</v>
      </c>
      <c r="E99" s="6">
        <v>2</v>
      </c>
      <c r="F99" s="6">
        <v>20</v>
      </c>
      <c r="G99" s="6" t="b">
        <v>0</v>
      </c>
      <c r="H99" s="6">
        <v>2</v>
      </c>
      <c r="I99" s="6">
        <v>2</v>
      </c>
      <c r="J99" s="6">
        <v>0.22</v>
      </c>
      <c r="K99" s="6">
        <v>0.2273</v>
      </c>
      <c r="L99" s="6">
        <v>0.87</v>
      </c>
      <c r="M99" s="6">
        <v>0.1343</v>
      </c>
      <c r="N99" s="6">
        <v>5</v>
      </c>
      <c r="O99" s="6">
        <v>69</v>
      </c>
      <c r="P99" s="7">
        <v>74</v>
      </c>
    </row>
    <row r="100" spans="1:16" ht="13.2" x14ac:dyDescent="0.25">
      <c r="A100" s="4">
        <v>709</v>
      </c>
      <c r="B100" s="5">
        <v>40575</v>
      </c>
      <c r="C100" s="6">
        <v>1</v>
      </c>
      <c r="D100" s="6">
        <v>0</v>
      </c>
      <c r="E100" s="6">
        <v>2</v>
      </c>
      <c r="F100" s="6">
        <v>21</v>
      </c>
      <c r="G100" s="6" t="b">
        <v>0</v>
      </c>
      <c r="H100" s="6">
        <v>2</v>
      </c>
      <c r="I100" s="6">
        <v>2</v>
      </c>
      <c r="J100" s="6">
        <v>0.22</v>
      </c>
      <c r="K100" s="6">
        <v>0.2273</v>
      </c>
      <c r="L100" s="6">
        <v>0.87</v>
      </c>
      <c r="M100" s="6">
        <v>0.1343</v>
      </c>
      <c r="N100" s="6">
        <v>0</v>
      </c>
      <c r="O100" s="6">
        <v>64</v>
      </c>
      <c r="P100" s="7">
        <v>64</v>
      </c>
    </row>
    <row r="101" spans="1:16" ht="13.2" x14ac:dyDescent="0.25">
      <c r="A101" s="4">
        <v>710</v>
      </c>
      <c r="B101" s="5">
        <v>40575</v>
      </c>
      <c r="C101" s="6">
        <v>1</v>
      </c>
      <c r="D101" s="6">
        <v>0</v>
      </c>
      <c r="E101" s="6">
        <v>2</v>
      </c>
      <c r="F101" s="6">
        <v>22</v>
      </c>
      <c r="G101" s="6" t="b">
        <v>0</v>
      </c>
      <c r="H101" s="6">
        <v>2</v>
      </c>
      <c r="I101" s="6">
        <v>2</v>
      </c>
      <c r="J101" s="6">
        <v>0.22</v>
      </c>
      <c r="K101" s="6">
        <v>0.2576</v>
      </c>
      <c r="L101" s="6">
        <v>0.87</v>
      </c>
      <c r="M101" s="6">
        <v>8.9599999999999999E-2</v>
      </c>
      <c r="N101" s="6">
        <v>2</v>
      </c>
      <c r="O101" s="6">
        <v>34</v>
      </c>
      <c r="P101" s="7">
        <v>36</v>
      </c>
    </row>
    <row r="102" spans="1:16" ht="13.2" x14ac:dyDescent="0.25">
      <c r="A102" s="4">
        <v>711</v>
      </c>
      <c r="B102" s="5">
        <v>40575</v>
      </c>
      <c r="C102" s="6">
        <v>1</v>
      </c>
      <c r="D102" s="6">
        <v>0</v>
      </c>
      <c r="E102" s="6">
        <v>2</v>
      </c>
      <c r="F102" s="6">
        <v>23</v>
      </c>
      <c r="G102" s="6" t="b">
        <v>0</v>
      </c>
      <c r="H102" s="6">
        <v>2</v>
      </c>
      <c r="I102" s="6">
        <v>3</v>
      </c>
      <c r="J102" s="6">
        <v>0.2</v>
      </c>
      <c r="K102" s="6">
        <v>0.19700000000000001</v>
      </c>
      <c r="L102" s="6">
        <v>0.93</v>
      </c>
      <c r="M102" s="6">
        <v>0.19400000000000001</v>
      </c>
      <c r="N102" s="6">
        <v>1</v>
      </c>
      <c r="O102" s="6">
        <v>15</v>
      </c>
      <c r="P102" s="7">
        <v>16</v>
      </c>
    </row>
    <row r="103" spans="1:16" ht="13.2" x14ac:dyDescent="0.25">
      <c r="A103" s="4">
        <v>712</v>
      </c>
      <c r="B103" s="5">
        <v>40576</v>
      </c>
      <c r="C103" s="6">
        <v>1</v>
      </c>
      <c r="D103" s="6">
        <v>0</v>
      </c>
      <c r="E103" s="6">
        <v>2</v>
      </c>
      <c r="F103" s="6">
        <v>0</v>
      </c>
      <c r="G103" s="6" t="b">
        <v>0</v>
      </c>
      <c r="H103" s="6">
        <v>3</v>
      </c>
      <c r="I103" s="6">
        <v>3</v>
      </c>
      <c r="J103" s="6">
        <v>0.22</v>
      </c>
      <c r="K103" s="6">
        <v>0.2424</v>
      </c>
      <c r="L103" s="6">
        <v>0.93</v>
      </c>
      <c r="M103" s="6">
        <v>0.1045</v>
      </c>
      <c r="N103" s="6">
        <v>0</v>
      </c>
      <c r="O103" s="6">
        <v>2</v>
      </c>
      <c r="P103" s="7">
        <v>2</v>
      </c>
    </row>
    <row r="104" spans="1:16" ht="13.2" x14ac:dyDescent="0.25">
      <c r="A104" s="4">
        <v>713</v>
      </c>
      <c r="B104" s="5">
        <v>40576</v>
      </c>
      <c r="C104" s="6">
        <v>1</v>
      </c>
      <c r="D104" s="6">
        <v>0</v>
      </c>
      <c r="E104" s="6">
        <v>2</v>
      </c>
      <c r="F104" s="6">
        <v>1</v>
      </c>
      <c r="G104" s="6" t="b">
        <v>0</v>
      </c>
      <c r="H104" s="6">
        <v>3</v>
      </c>
      <c r="I104" s="6">
        <v>3</v>
      </c>
      <c r="J104" s="6">
        <v>0.22</v>
      </c>
      <c r="K104" s="6">
        <v>0.2273</v>
      </c>
      <c r="L104" s="6">
        <v>0.93</v>
      </c>
      <c r="M104" s="6">
        <v>0.19400000000000001</v>
      </c>
      <c r="N104" s="6">
        <v>0</v>
      </c>
      <c r="O104" s="6">
        <v>3</v>
      </c>
      <c r="P104" s="7">
        <v>3</v>
      </c>
    </row>
    <row r="105" spans="1:16" ht="13.2" x14ac:dyDescent="0.25">
      <c r="A105" s="4">
        <v>714</v>
      </c>
      <c r="B105" s="5">
        <v>40576</v>
      </c>
      <c r="C105" s="6">
        <v>1</v>
      </c>
      <c r="D105" s="6">
        <v>0</v>
      </c>
      <c r="E105" s="6">
        <v>2</v>
      </c>
      <c r="F105" s="6">
        <v>2</v>
      </c>
      <c r="G105" s="6" t="b">
        <v>0</v>
      </c>
      <c r="H105" s="6">
        <v>3</v>
      </c>
      <c r="I105" s="6">
        <v>3</v>
      </c>
      <c r="J105" s="6">
        <v>0.22</v>
      </c>
      <c r="K105" s="6">
        <v>0.2273</v>
      </c>
      <c r="L105" s="6">
        <v>0.93</v>
      </c>
      <c r="M105" s="6">
        <v>0.1343</v>
      </c>
      <c r="N105" s="6">
        <v>4</v>
      </c>
      <c r="O105" s="6">
        <v>0</v>
      </c>
      <c r="P105" s="7">
        <v>4</v>
      </c>
    </row>
    <row r="106" spans="1:16" ht="13.2" x14ac:dyDescent="0.25">
      <c r="A106" s="4">
        <v>715</v>
      </c>
      <c r="B106" s="5">
        <v>40576</v>
      </c>
      <c r="C106" s="6">
        <v>1</v>
      </c>
      <c r="D106" s="6">
        <v>0</v>
      </c>
      <c r="E106" s="6">
        <v>2</v>
      </c>
      <c r="F106" s="6">
        <v>3</v>
      </c>
      <c r="G106" s="6" t="b">
        <v>0</v>
      </c>
      <c r="H106" s="6">
        <v>3</v>
      </c>
      <c r="I106" s="6">
        <v>3</v>
      </c>
      <c r="J106" s="6">
        <v>0.22</v>
      </c>
      <c r="K106" s="6">
        <v>0.2273</v>
      </c>
      <c r="L106" s="6">
        <v>0.93</v>
      </c>
      <c r="M106" s="6">
        <v>0.1343</v>
      </c>
      <c r="N106" s="6">
        <v>0</v>
      </c>
      <c r="O106" s="6">
        <v>1</v>
      </c>
      <c r="P106" s="7">
        <v>1</v>
      </c>
    </row>
    <row r="107" spans="1:16" ht="13.2" x14ac:dyDescent="0.25">
      <c r="A107" s="4">
        <v>716</v>
      </c>
      <c r="B107" s="5">
        <v>40576</v>
      </c>
      <c r="C107" s="6">
        <v>1</v>
      </c>
      <c r="D107" s="6">
        <v>0</v>
      </c>
      <c r="E107" s="6">
        <v>2</v>
      </c>
      <c r="F107" s="6">
        <v>4</v>
      </c>
      <c r="G107" s="6" t="b">
        <v>0</v>
      </c>
      <c r="H107" s="6">
        <v>3</v>
      </c>
      <c r="I107" s="6">
        <v>3</v>
      </c>
      <c r="J107" s="6">
        <v>0.22</v>
      </c>
      <c r="K107" s="6">
        <v>0.21210000000000001</v>
      </c>
      <c r="L107" s="6">
        <v>0.93</v>
      </c>
      <c r="M107" s="6">
        <v>0.28360000000000002</v>
      </c>
      <c r="N107" s="6">
        <v>0</v>
      </c>
      <c r="O107" s="6">
        <v>1</v>
      </c>
      <c r="P107" s="7">
        <v>1</v>
      </c>
    </row>
    <row r="108" spans="1:16" ht="13.2" x14ac:dyDescent="0.25">
      <c r="A108" s="4">
        <v>717</v>
      </c>
      <c r="B108" s="5">
        <v>40576</v>
      </c>
      <c r="C108" s="6">
        <v>1</v>
      </c>
      <c r="D108" s="6">
        <v>0</v>
      </c>
      <c r="E108" s="6">
        <v>2</v>
      </c>
      <c r="F108" s="6">
        <v>5</v>
      </c>
      <c r="G108" s="6" t="b">
        <v>0</v>
      </c>
      <c r="H108" s="6">
        <v>3</v>
      </c>
      <c r="I108" s="6">
        <v>3</v>
      </c>
      <c r="J108" s="6">
        <v>0.22</v>
      </c>
      <c r="K108" s="6">
        <v>0.2424</v>
      </c>
      <c r="L108" s="6">
        <v>0.93</v>
      </c>
      <c r="M108" s="6">
        <v>0.1045</v>
      </c>
      <c r="N108" s="6">
        <v>0</v>
      </c>
      <c r="O108" s="6">
        <v>3</v>
      </c>
      <c r="P108" s="7">
        <v>3</v>
      </c>
    </row>
    <row r="109" spans="1:16" ht="13.2" x14ac:dyDescent="0.25">
      <c r="A109" s="4">
        <v>718</v>
      </c>
      <c r="B109" s="5">
        <v>40576</v>
      </c>
      <c r="C109" s="6">
        <v>1</v>
      </c>
      <c r="D109" s="6">
        <v>0</v>
      </c>
      <c r="E109" s="6">
        <v>2</v>
      </c>
      <c r="F109" s="6">
        <v>6</v>
      </c>
      <c r="G109" s="6" t="b">
        <v>0</v>
      </c>
      <c r="H109" s="6">
        <v>3</v>
      </c>
      <c r="I109" s="6">
        <v>3</v>
      </c>
      <c r="J109" s="6">
        <v>0.22</v>
      </c>
      <c r="K109" s="6">
        <v>0.2424</v>
      </c>
      <c r="L109" s="6">
        <v>0.93</v>
      </c>
      <c r="M109" s="6">
        <v>0.1045</v>
      </c>
      <c r="N109" s="6">
        <v>1</v>
      </c>
      <c r="O109" s="6">
        <v>17</v>
      </c>
      <c r="P109" s="7">
        <v>18</v>
      </c>
    </row>
    <row r="110" spans="1:16" ht="13.2" x14ac:dyDescent="0.25">
      <c r="A110" s="4">
        <v>719</v>
      </c>
      <c r="B110" s="5">
        <v>40576</v>
      </c>
      <c r="C110" s="6">
        <v>1</v>
      </c>
      <c r="D110" s="6">
        <v>0</v>
      </c>
      <c r="E110" s="6">
        <v>2</v>
      </c>
      <c r="F110" s="6">
        <v>7</v>
      </c>
      <c r="G110" s="6" t="b">
        <v>0</v>
      </c>
      <c r="H110" s="6">
        <v>3</v>
      </c>
      <c r="I110" s="6">
        <v>3</v>
      </c>
      <c r="J110" s="6">
        <v>0.22</v>
      </c>
      <c r="K110" s="6">
        <v>0.21210000000000001</v>
      </c>
      <c r="L110" s="6">
        <v>0.93</v>
      </c>
      <c r="M110" s="6">
        <v>0.22389999999999999</v>
      </c>
      <c r="N110" s="6">
        <v>1</v>
      </c>
      <c r="O110" s="6">
        <v>48</v>
      </c>
      <c r="P110" s="7">
        <v>49</v>
      </c>
    </row>
    <row r="111" spans="1:16" ht="13.2" x14ac:dyDescent="0.25">
      <c r="A111" s="4">
        <v>720</v>
      </c>
      <c r="B111" s="5">
        <v>40576</v>
      </c>
      <c r="C111" s="6">
        <v>1</v>
      </c>
      <c r="D111" s="6">
        <v>0</v>
      </c>
      <c r="E111" s="6">
        <v>2</v>
      </c>
      <c r="F111" s="6">
        <v>8</v>
      </c>
      <c r="G111" s="6" t="b">
        <v>0</v>
      </c>
      <c r="H111" s="6">
        <v>3</v>
      </c>
      <c r="I111" s="6">
        <v>3</v>
      </c>
      <c r="J111" s="6">
        <v>0.22</v>
      </c>
      <c r="K111" s="6">
        <v>0.21210000000000001</v>
      </c>
      <c r="L111" s="6">
        <v>0.93</v>
      </c>
      <c r="M111" s="6">
        <v>0.22389999999999999</v>
      </c>
      <c r="N111" s="6">
        <v>1</v>
      </c>
      <c r="O111" s="6">
        <v>154</v>
      </c>
      <c r="P111" s="7">
        <v>155</v>
      </c>
    </row>
    <row r="112" spans="1:16" ht="13.2" x14ac:dyDescent="0.25">
      <c r="A112" s="4">
        <v>721</v>
      </c>
      <c r="B112" s="5">
        <v>40576</v>
      </c>
      <c r="C112" s="6">
        <v>1</v>
      </c>
      <c r="D112" s="6">
        <v>0</v>
      </c>
      <c r="E112" s="6">
        <v>2</v>
      </c>
      <c r="F112" s="6">
        <v>9</v>
      </c>
      <c r="G112" s="6" t="b">
        <v>0</v>
      </c>
      <c r="H112" s="6">
        <v>3</v>
      </c>
      <c r="I112" s="6">
        <v>2</v>
      </c>
      <c r="J112" s="6">
        <v>0.24</v>
      </c>
      <c r="K112" s="6">
        <v>0.2576</v>
      </c>
      <c r="L112" s="6">
        <v>0.93</v>
      </c>
      <c r="M112" s="6">
        <v>8.9599999999999999E-2</v>
      </c>
      <c r="N112" s="6">
        <v>4</v>
      </c>
      <c r="O112" s="6">
        <v>119</v>
      </c>
      <c r="P112" s="7">
        <v>123</v>
      </c>
    </row>
    <row r="113" spans="1:16" ht="13.2" x14ac:dyDescent="0.25">
      <c r="A113" s="4">
        <v>722</v>
      </c>
      <c r="B113" s="5">
        <v>40576</v>
      </c>
      <c r="C113" s="6">
        <v>1</v>
      </c>
      <c r="D113" s="6">
        <v>0</v>
      </c>
      <c r="E113" s="6">
        <v>2</v>
      </c>
      <c r="F113" s="6">
        <v>10</v>
      </c>
      <c r="G113" s="6" t="b">
        <v>0</v>
      </c>
      <c r="H113" s="6">
        <v>3</v>
      </c>
      <c r="I113" s="6">
        <v>2</v>
      </c>
      <c r="J113" s="6">
        <v>0.22</v>
      </c>
      <c r="K113" s="6">
        <v>0.2727</v>
      </c>
      <c r="L113" s="6">
        <v>1</v>
      </c>
      <c r="M113" s="6">
        <v>0</v>
      </c>
      <c r="N113" s="6">
        <v>2</v>
      </c>
      <c r="O113" s="6">
        <v>59</v>
      </c>
      <c r="P113" s="7">
        <v>61</v>
      </c>
    </row>
    <row r="114" spans="1:16" ht="13.2" x14ac:dyDescent="0.25">
      <c r="A114" s="4">
        <v>723</v>
      </c>
      <c r="B114" s="5">
        <v>40576</v>
      </c>
      <c r="C114" s="6">
        <v>1</v>
      </c>
      <c r="D114" s="6">
        <v>0</v>
      </c>
      <c r="E114" s="6">
        <v>2</v>
      </c>
      <c r="F114" s="6">
        <v>11</v>
      </c>
      <c r="G114" s="6" t="b">
        <v>0</v>
      </c>
      <c r="H114" s="6">
        <v>3</v>
      </c>
      <c r="I114" s="6">
        <v>2</v>
      </c>
      <c r="J114" s="6">
        <v>0.24</v>
      </c>
      <c r="K114" s="6">
        <v>0.2273</v>
      </c>
      <c r="L114" s="6">
        <v>0.93</v>
      </c>
      <c r="M114" s="6">
        <v>0.19400000000000001</v>
      </c>
      <c r="N114" s="6">
        <v>5</v>
      </c>
      <c r="O114" s="6">
        <v>47</v>
      </c>
      <c r="P114" s="7">
        <v>52</v>
      </c>
    </row>
    <row r="115" spans="1:16" ht="13.2" x14ac:dyDescent="0.25">
      <c r="A115" s="4">
        <v>724</v>
      </c>
      <c r="B115" s="5">
        <v>40576</v>
      </c>
      <c r="C115" s="6">
        <v>1</v>
      </c>
      <c r="D115" s="6">
        <v>0</v>
      </c>
      <c r="E115" s="6">
        <v>2</v>
      </c>
      <c r="F115" s="6">
        <v>12</v>
      </c>
      <c r="G115" s="6" t="b">
        <v>0</v>
      </c>
      <c r="H115" s="6">
        <v>3</v>
      </c>
      <c r="I115" s="6">
        <v>2</v>
      </c>
      <c r="J115" s="6">
        <v>0.24</v>
      </c>
      <c r="K115" s="6">
        <v>0.2273</v>
      </c>
      <c r="L115" s="6">
        <v>0.93</v>
      </c>
      <c r="M115" s="6">
        <v>0.22389999999999999</v>
      </c>
      <c r="N115" s="6">
        <v>3</v>
      </c>
      <c r="O115" s="6">
        <v>61</v>
      </c>
      <c r="P115" s="7">
        <v>64</v>
      </c>
    </row>
    <row r="116" spans="1:16" ht="13.2" x14ac:dyDescent="0.25">
      <c r="A116" s="4">
        <v>725</v>
      </c>
      <c r="B116" s="5">
        <v>40576</v>
      </c>
      <c r="C116" s="6">
        <v>1</v>
      </c>
      <c r="D116" s="6">
        <v>0</v>
      </c>
      <c r="E116" s="6">
        <v>2</v>
      </c>
      <c r="F116" s="6">
        <v>13</v>
      </c>
      <c r="G116" s="6" t="b">
        <v>0</v>
      </c>
      <c r="H116" s="6">
        <v>3</v>
      </c>
      <c r="I116" s="6">
        <v>1</v>
      </c>
      <c r="J116" s="6">
        <v>0.34</v>
      </c>
      <c r="K116" s="6">
        <v>0.33329999999999999</v>
      </c>
      <c r="L116" s="6">
        <v>0.93</v>
      </c>
      <c r="M116" s="6">
        <v>0.16420000000000001</v>
      </c>
      <c r="N116" s="6">
        <v>1</v>
      </c>
      <c r="O116" s="6">
        <v>74</v>
      </c>
      <c r="P116" s="7">
        <v>75</v>
      </c>
    </row>
    <row r="117" spans="1:16" ht="13.2" x14ac:dyDescent="0.25">
      <c r="A117" s="4">
        <v>726</v>
      </c>
      <c r="B117" s="5">
        <v>40576</v>
      </c>
      <c r="C117" s="6">
        <v>1</v>
      </c>
      <c r="D117" s="6">
        <v>0</v>
      </c>
      <c r="E117" s="6">
        <v>2</v>
      </c>
      <c r="F117" s="6">
        <v>14</v>
      </c>
      <c r="G117" s="6" t="b">
        <v>0</v>
      </c>
      <c r="H117" s="6">
        <v>3</v>
      </c>
      <c r="I117" s="6">
        <v>1</v>
      </c>
      <c r="J117" s="6">
        <v>0.38</v>
      </c>
      <c r="K117" s="6">
        <v>0.39389999999999997</v>
      </c>
      <c r="L117" s="6">
        <v>0.82</v>
      </c>
      <c r="M117" s="6">
        <v>0.3881</v>
      </c>
      <c r="N117" s="6">
        <v>2</v>
      </c>
      <c r="O117" s="6">
        <v>61</v>
      </c>
      <c r="P117" s="7">
        <v>63</v>
      </c>
    </row>
    <row r="118" spans="1:16" ht="13.2" x14ac:dyDescent="0.25">
      <c r="A118" s="4">
        <v>727</v>
      </c>
      <c r="B118" s="5">
        <v>40576</v>
      </c>
      <c r="C118" s="6">
        <v>1</v>
      </c>
      <c r="D118" s="6">
        <v>0</v>
      </c>
      <c r="E118" s="6">
        <v>2</v>
      </c>
      <c r="F118" s="6">
        <v>15</v>
      </c>
      <c r="G118" s="6" t="b">
        <v>0</v>
      </c>
      <c r="H118" s="6">
        <v>3</v>
      </c>
      <c r="I118" s="6">
        <v>1</v>
      </c>
      <c r="J118" s="6">
        <v>0.38</v>
      </c>
      <c r="K118" s="6">
        <v>0.39389999999999997</v>
      </c>
      <c r="L118" s="6">
        <v>0.76</v>
      </c>
      <c r="M118" s="6">
        <v>0.32840000000000003</v>
      </c>
      <c r="N118" s="6">
        <v>10</v>
      </c>
      <c r="O118" s="6">
        <v>66</v>
      </c>
      <c r="P118" s="7">
        <v>76</v>
      </c>
    </row>
    <row r="119" spans="1:16" ht="13.2" x14ac:dyDescent="0.25">
      <c r="A119" s="4">
        <v>728</v>
      </c>
      <c r="B119" s="5">
        <v>40576</v>
      </c>
      <c r="C119" s="6">
        <v>1</v>
      </c>
      <c r="D119" s="6">
        <v>0</v>
      </c>
      <c r="E119" s="6">
        <v>2</v>
      </c>
      <c r="F119" s="6">
        <v>16</v>
      </c>
      <c r="G119" s="6" t="b">
        <v>0</v>
      </c>
      <c r="H119" s="6">
        <v>3</v>
      </c>
      <c r="I119" s="6">
        <v>1</v>
      </c>
      <c r="J119" s="6">
        <v>0.36</v>
      </c>
      <c r="K119" s="6">
        <v>0.33329999999999999</v>
      </c>
      <c r="L119" s="6">
        <v>0.71</v>
      </c>
      <c r="M119" s="6">
        <v>0.29849999999999999</v>
      </c>
      <c r="N119" s="6">
        <v>8</v>
      </c>
      <c r="O119" s="6">
        <v>95</v>
      </c>
      <c r="P119" s="7">
        <v>103</v>
      </c>
    </row>
    <row r="120" spans="1:16" ht="13.2" x14ac:dyDescent="0.25">
      <c r="A120" s="4">
        <v>729</v>
      </c>
      <c r="B120" s="5">
        <v>40576</v>
      </c>
      <c r="C120" s="6">
        <v>1</v>
      </c>
      <c r="D120" s="6">
        <v>0</v>
      </c>
      <c r="E120" s="6">
        <v>2</v>
      </c>
      <c r="F120" s="6">
        <v>17</v>
      </c>
      <c r="G120" s="6" t="b">
        <v>0</v>
      </c>
      <c r="H120" s="6">
        <v>3</v>
      </c>
      <c r="I120" s="6">
        <v>1</v>
      </c>
      <c r="J120" s="6">
        <v>0.36</v>
      </c>
      <c r="K120" s="6">
        <v>0.31819999999999998</v>
      </c>
      <c r="L120" s="6">
        <v>0.53</v>
      </c>
      <c r="M120" s="6">
        <v>0.52239999999999998</v>
      </c>
      <c r="N120" s="6">
        <v>7</v>
      </c>
      <c r="O120" s="6">
        <v>183</v>
      </c>
      <c r="P120" s="7">
        <v>190</v>
      </c>
    </row>
    <row r="121" spans="1:16" ht="13.2" x14ac:dyDescent="0.25">
      <c r="A121" s="4">
        <v>730</v>
      </c>
      <c r="B121" s="5">
        <v>40576</v>
      </c>
      <c r="C121" s="6">
        <v>1</v>
      </c>
      <c r="D121" s="6">
        <v>0</v>
      </c>
      <c r="E121" s="6">
        <v>2</v>
      </c>
      <c r="F121" s="6">
        <v>18</v>
      </c>
      <c r="G121" s="6" t="b">
        <v>0</v>
      </c>
      <c r="H121" s="6">
        <v>3</v>
      </c>
      <c r="I121" s="6">
        <v>1</v>
      </c>
      <c r="J121" s="6">
        <v>0.34</v>
      </c>
      <c r="K121" s="6">
        <v>0.28789999999999999</v>
      </c>
      <c r="L121" s="6">
        <v>0.42</v>
      </c>
      <c r="M121" s="6">
        <v>0.55220000000000002</v>
      </c>
      <c r="N121" s="6">
        <v>7</v>
      </c>
      <c r="O121" s="6">
        <v>175</v>
      </c>
      <c r="P121" s="7">
        <v>182</v>
      </c>
    </row>
    <row r="122" spans="1:16" ht="13.2" x14ac:dyDescent="0.25">
      <c r="A122" s="4">
        <v>731</v>
      </c>
      <c r="B122" s="5">
        <v>40576</v>
      </c>
      <c r="C122" s="6">
        <v>1</v>
      </c>
      <c r="D122" s="6">
        <v>0</v>
      </c>
      <c r="E122" s="6">
        <v>2</v>
      </c>
      <c r="F122" s="6">
        <v>19</v>
      </c>
      <c r="G122" s="6" t="b">
        <v>0</v>
      </c>
      <c r="H122" s="6">
        <v>3</v>
      </c>
      <c r="I122" s="6">
        <v>1</v>
      </c>
      <c r="J122" s="6">
        <v>0.28000000000000003</v>
      </c>
      <c r="K122" s="6">
        <v>0.2424</v>
      </c>
      <c r="L122" s="6">
        <v>0.45</v>
      </c>
      <c r="M122" s="6">
        <v>0.49249999999999999</v>
      </c>
      <c r="N122" s="6">
        <v>3</v>
      </c>
      <c r="O122" s="6">
        <v>88</v>
      </c>
      <c r="P122" s="7">
        <v>91</v>
      </c>
    </row>
    <row r="123" spans="1:16" ht="13.2" x14ac:dyDescent="0.25">
      <c r="A123" s="4">
        <v>732</v>
      </c>
      <c r="B123" s="5">
        <v>40576</v>
      </c>
      <c r="C123" s="6">
        <v>1</v>
      </c>
      <c r="D123" s="6">
        <v>0</v>
      </c>
      <c r="E123" s="6">
        <v>2</v>
      </c>
      <c r="F123" s="6">
        <v>20</v>
      </c>
      <c r="G123" s="6" t="b">
        <v>0</v>
      </c>
      <c r="H123" s="6">
        <v>3</v>
      </c>
      <c r="I123" s="6">
        <v>1</v>
      </c>
      <c r="J123" s="6">
        <v>0.24</v>
      </c>
      <c r="K123" s="6">
        <v>0.19700000000000001</v>
      </c>
      <c r="L123" s="6">
        <v>0.48</v>
      </c>
      <c r="M123" s="6">
        <v>0.55220000000000002</v>
      </c>
      <c r="N123" s="6">
        <v>4</v>
      </c>
      <c r="O123" s="6">
        <v>71</v>
      </c>
      <c r="P123" s="7">
        <v>75</v>
      </c>
    </row>
    <row r="124" spans="1:16" ht="13.2" x14ac:dyDescent="0.25">
      <c r="A124" s="4">
        <v>733</v>
      </c>
      <c r="B124" s="5">
        <v>40576</v>
      </c>
      <c r="C124" s="6">
        <v>1</v>
      </c>
      <c r="D124" s="6">
        <v>0</v>
      </c>
      <c r="E124" s="6">
        <v>2</v>
      </c>
      <c r="F124" s="6">
        <v>21</v>
      </c>
      <c r="G124" s="6" t="b">
        <v>0</v>
      </c>
      <c r="H124" s="6">
        <v>3</v>
      </c>
      <c r="I124" s="6">
        <v>1</v>
      </c>
      <c r="J124" s="6">
        <v>0.22</v>
      </c>
      <c r="K124" s="6">
        <v>0.19700000000000001</v>
      </c>
      <c r="L124" s="6">
        <v>0.47</v>
      </c>
      <c r="M124" s="6">
        <v>0.32840000000000003</v>
      </c>
      <c r="N124" s="6">
        <v>1</v>
      </c>
      <c r="O124" s="6">
        <v>62</v>
      </c>
      <c r="P124" s="7">
        <v>63</v>
      </c>
    </row>
    <row r="125" spans="1:16" ht="13.2" x14ac:dyDescent="0.25">
      <c r="A125" s="4">
        <v>734</v>
      </c>
      <c r="B125" s="5">
        <v>40576</v>
      </c>
      <c r="C125" s="6">
        <v>1</v>
      </c>
      <c r="D125" s="6">
        <v>0</v>
      </c>
      <c r="E125" s="6">
        <v>2</v>
      </c>
      <c r="F125" s="6">
        <v>22</v>
      </c>
      <c r="G125" s="6" t="b">
        <v>0</v>
      </c>
      <c r="H125" s="6">
        <v>3</v>
      </c>
      <c r="I125" s="6">
        <v>1</v>
      </c>
      <c r="J125" s="6">
        <v>0.22</v>
      </c>
      <c r="K125" s="6">
        <v>0.21210000000000001</v>
      </c>
      <c r="L125" s="6">
        <v>0.44</v>
      </c>
      <c r="M125" s="6">
        <v>0.25369999999999998</v>
      </c>
      <c r="N125" s="6">
        <v>5</v>
      </c>
      <c r="O125" s="6">
        <v>35</v>
      </c>
      <c r="P125" s="7">
        <v>40</v>
      </c>
    </row>
    <row r="126" spans="1:16" ht="13.2" x14ac:dyDescent="0.25">
      <c r="A126" s="4">
        <v>735</v>
      </c>
      <c r="B126" s="5">
        <v>40576</v>
      </c>
      <c r="C126" s="6">
        <v>1</v>
      </c>
      <c r="D126" s="6">
        <v>0</v>
      </c>
      <c r="E126" s="6">
        <v>2</v>
      </c>
      <c r="F126" s="6">
        <v>23</v>
      </c>
      <c r="G126" s="6" t="b">
        <v>0</v>
      </c>
      <c r="H126" s="6">
        <v>3</v>
      </c>
      <c r="I126" s="6">
        <v>1</v>
      </c>
      <c r="J126" s="6">
        <v>0.2</v>
      </c>
      <c r="K126" s="6">
        <v>0.16669999999999999</v>
      </c>
      <c r="L126" s="6">
        <v>0.44</v>
      </c>
      <c r="M126" s="6">
        <v>0.44779999999999998</v>
      </c>
      <c r="N126" s="6">
        <v>3</v>
      </c>
      <c r="O126" s="6">
        <v>29</v>
      </c>
      <c r="P126" s="7">
        <v>32</v>
      </c>
    </row>
    <row r="127" spans="1:16" ht="13.2" x14ac:dyDescent="0.25">
      <c r="A127" s="4">
        <v>736</v>
      </c>
      <c r="B127" s="5">
        <v>40577</v>
      </c>
      <c r="C127" s="6">
        <v>1</v>
      </c>
      <c r="D127" s="6">
        <v>0</v>
      </c>
      <c r="E127" s="6">
        <v>2</v>
      </c>
      <c r="F127" s="6">
        <v>0</v>
      </c>
      <c r="G127" s="6" t="b">
        <v>0</v>
      </c>
      <c r="H127" s="6">
        <v>4</v>
      </c>
      <c r="I127" s="6">
        <v>1</v>
      </c>
      <c r="J127" s="6">
        <v>0.2</v>
      </c>
      <c r="K127" s="6">
        <v>0.16669999999999999</v>
      </c>
      <c r="L127" s="6">
        <v>0.4</v>
      </c>
      <c r="M127" s="6">
        <v>0.44779999999999998</v>
      </c>
      <c r="N127" s="6">
        <v>1</v>
      </c>
      <c r="O127" s="6">
        <v>11</v>
      </c>
      <c r="P127" s="7">
        <v>12</v>
      </c>
    </row>
    <row r="128" spans="1:16" ht="13.2" x14ac:dyDescent="0.25">
      <c r="A128" s="4">
        <v>737</v>
      </c>
      <c r="B128" s="5">
        <v>40577</v>
      </c>
      <c r="C128" s="6">
        <v>1</v>
      </c>
      <c r="D128" s="6">
        <v>0</v>
      </c>
      <c r="E128" s="6">
        <v>2</v>
      </c>
      <c r="F128" s="6">
        <v>1</v>
      </c>
      <c r="G128" s="6" t="b">
        <v>0</v>
      </c>
      <c r="H128" s="6">
        <v>4</v>
      </c>
      <c r="I128" s="6">
        <v>1</v>
      </c>
      <c r="J128" s="6">
        <v>0.2</v>
      </c>
      <c r="K128" s="6">
        <v>0.1515</v>
      </c>
      <c r="L128" s="6">
        <v>0.44</v>
      </c>
      <c r="M128" s="6">
        <v>0.52239999999999998</v>
      </c>
      <c r="N128" s="6">
        <v>0</v>
      </c>
      <c r="O128" s="6">
        <v>5</v>
      </c>
      <c r="P128" s="7">
        <v>5</v>
      </c>
    </row>
    <row r="129" spans="1:16" ht="13.2" x14ac:dyDescent="0.25">
      <c r="A129" s="4">
        <v>738</v>
      </c>
      <c r="B129" s="5">
        <v>40577</v>
      </c>
      <c r="C129" s="6">
        <v>1</v>
      </c>
      <c r="D129" s="6">
        <v>0</v>
      </c>
      <c r="E129" s="6">
        <v>2</v>
      </c>
      <c r="F129" s="6">
        <v>2</v>
      </c>
      <c r="G129" s="6" t="b">
        <v>0</v>
      </c>
      <c r="H129" s="6">
        <v>4</v>
      </c>
      <c r="I129" s="6">
        <v>1</v>
      </c>
      <c r="J129" s="6">
        <v>0.18</v>
      </c>
      <c r="K129" s="6">
        <v>0.16669999999999999</v>
      </c>
      <c r="L129" s="6">
        <v>0.43</v>
      </c>
      <c r="M129" s="6">
        <v>0.25369999999999998</v>
      </c>
      <c r="N129" s="6">
        <v>0</v>
      </c>
      <c r="O129" s="6">
        <v>2</v>
      </c>
      <c r="P129" s="7">
        <v>2</v>
      </c>
    </row>
    <row r="130" spans="1:16" ht="13.2" x14ac:dyDescent="0.25">
      <c r="A130" s="4">
        <v>739</v>
      </c>
      <c r="B130" s="5">
        <v>40577</v>
      </c>
      <c r="C130" s="6">
        <v>1</v>
      </c>
      <c r="D130" s="6">
        <v>0</v>
      </c>
      <c r="E130" s="6">
        <v>2</v>
      </c>
      <c r="F130" s="6">
        <v>3</v>
      </c>
      <c r="G130" s="6" t="b">
        <v>0</v>
      </c>
      <c r="H130" s="6">
        <v>4</v>
      </c>
      <c r="I130" s="6">
        <v>1</v>
      </c>
      <c r="J130" s="6">
        <v>0.18</v>
      </c>
      <c r="K130" s="6">
        <v>0.16669999999999999</v>
      </c>
      <c r="L130" s="6">
        <v>0.43</v>
      </c>
      <c r="M130" s="6">
        <v>0.25369999999999998</v>
      </c>
      <c r="N130" s="6">
        <v>0</v>
      </c>
      <c r="O130" s="6">
        <v>1</v>
      </c>
      <c r="P130" s="7">
        <v>1</v>
      </c>
    </row>
    <row r="131" spans="1:16" ht="13.2" x14ac:dyDescent="0.25">
      <c r="A131" s="4">
        <v>740</v>
      </c>
      <c r="B131" s="5">
        <v>40577</v>
      </c>
      <c r="C131" s="6">
        <v>1</v>
      </c>
      <c r="D131" s="6">
        <v>0</v>
      </c>
      <c r="E131" s="6">
        <v>2</v>
      </c>
      <c r="F131" s="6">
        <v>5</v>
      </c>
      <c r="G131" s="6" t="b">
        <v>0</v>
      </c>
      <c r="H131" s="6">
        <v>4</v>
      </c>
      <c r="I131" s="6">
        <v>1</v>
      </c>
      <c r="J131" s="6">
        <v>0.16</v>
      </c>
      <c r="K131" s="6">
        <v>0.13639999999999999</v>
      </c>
      <c r="L131" s="6">
        <v>0.5</v>
      </c>
      <c r="M131" s="6">
        <v>0.29849999999999999</v>
      </c>
      <c r="N131" s="6">
        <v>0</v>
      </c>
      <c r="O131" s="6">
        <v>2</v>
      </c>
      <c r="P131" s="7">
        <v>2</v>
      </c>
    </row>
    <row r="132" spans="1:16" ht="13.2" x14ac:dyDescent="0.25">
      <c r="A132" s="4">
        <v>741</v>
      </c>
      <c r="B132" s="5">
        <v>40577</v>
      </c>
      <c r="C132" s="6">
        <v>1</v>
      </c>
      <c r="D132" s="6">
        <v>0</v>
      </c>
      <c r="E132" s="6">
        <v>2</v>
      </c>
      <c r="F132" s="6">
        <v>6</v>
      </c>
      <c r="G132" s="6" t="b">
        <v>0</v>
      </c>
      <c r="H132" s="6">
        <v>4</v>
      </c>
      <c r="I132" s="6">
        <v>1</v>
      </c>
      <c r="J132" s="6">
        <v>0.16</v>
      </c>
      <c r="K132" s="6">
        <v>0.13639999999999999</v>
      </c>
      <c r="L132" s="6">
        <v>0.43</v>
      </c>
      <c r="M132" s="6">
        <v>0.35820000000000002</v>
      </c>
      <c r="N132" s="6">
        <v>0</v>
      </c>
      <c r="O132" s="6">
        <v>39</v>
      </c>
      <c r="P132" s="7">
        <v>39</v>
      </c>
    </row>
    <row r="133" spans="1:16" ht="13.2" x14ac:dyDescent="0.25">
      <c r="A133" s="4">
        <v>742</v>
      </c>
      <c r="B133" s="5">
        <v>40577</v>
      </c>
      <c r="C133" s="6">
        <v>1</v>
      </c>
      <c r="D133" s="6">
        <v>0</v>
      </c>
      <c r="E133" s="6">
        <v>2</v>
      </c>
      <c r="F133" s="6">
        <v>7</v>
      </c>
      <c r="G133" s="6" t="b">
        <v>0</v>
      </c>
      <c r="H133" s="6">
        <v>4</v>
      </c>
      <c r="I133" s="6">
        <v>1</v>
      </c>
      <c r="J133" s="6">
        <v>0.14000000000000001</v>
      </c>
      <c r="K133" s="6">
        <v>0.1212</v>
      </c>
      <c r="L133" s="6">
        <v>0.5</v>
      </c>
      <c r="M133" s="6">
        <v>0.32840000000000003</v>
      </c>
      <c r="N133" s="6">
        <v>1</v>
      </c>
      <c r="O133" s="6">
        <v>86</v>
      </c>
      <c r="P133" s="7">
        <v>87</v>
      </c>
    </row>
    <row r="134" spans="1:16" ht="13.2" x14ac:dyDescent="0.25">
      <c r="A134" s="4">
        <v>743</v>
      </c>
      <c r="B134" s="5">
        <v>40577</v>
      </c>
      <c r="C134" s="6">
        <v>1</v>
      </c>
      <c r="D134" s="6">
        <v>0</v>
      </c>
      <c r="E134" s="6">
        <v>2</v>
      </c>
      <c r="F134" s="6">
        <v>8</v>
      </c>
      <c r="G134" s="6" t="b">
        <v>0</v>
      </c>
      <c r="H134" s="6">
        <v>4</v>
      </c>
      <c r="I134" s="6">
        <v>1</v>
      </c>
      <c r="J134" s="6">
        <v>0.14000000000000001</v>
      </c>
      <c r="K134" s="6">
        <v>0.1212</v>
      </c>
      <c r="L134" s="6">
        <v>0.5</v>
      </c>
      <c r="M134" s="6">
        <v>0.35820000000000002</v>
      </c>
      <c r="N134" s="6">
        <v>4</v>
      </c>
      <c r="O134" s="6">
        <v>184</v>
      </c>
      <c r="P134" s="7">
        <v>188</v>
      </c>
    </row>
    <row r="135" spans="1:16" ht="13.2" x14ac:dyDescent="0.25">
      <c r="A135" s="4">
        <v>744</v>
      </c>
      <c r="B135" s="5">
        <v>40577</v>
      </c>
      <c r="C135" s="6">
        <v>1</v>
      </c>
      <c r="D135" s="6">
        <v>0</v>
      </c>
      <c r="E135" s="6">
        <v>2</v>
      </c>
      <c r="F135" s="6">
        <v>9</v>
      </c>
      <c r="G135" s="6" t="b">
        <v>0</v>
      </c>
      <c r="H135" s="6">
        <v>4</v>
      </c>
      <c r="I135" s="6">
        <v>1</v>
      </c>
      <c r="J135" s="6">
        <v>0.16</v>
      </c>
      <c r="K135" s="6">
        <v>0.13639999999999999</v>
      </c>
      <c r="L135" s="6">
        <v>0.47</v>
      </c>
      <c r="M135" s="6">
        <v>0.29849999999999999</v>
      </c>
      <c r="N135" s="6">
        <v>6</v>
      </c>
      <c r="O135" s="6">
        <v>127</v>
      </c>
      <c r="P135" s="7">
        <v>133</v>
      </c>
    </row>
    <row r="136" spans="1:16" ht="13.2" x14ac:dyDescent="0.25">
      <c r="A136" s="4">
        <v>745</v>
      </c>
      <c r="B136" s="5">
        <v>40577</v>
      </c>
      <c r="C136" s="6">
        <v>1</v>
      </c>
      <c r="D136" s="6">
        <v>0</v>
      </c>
      <c r="E136" s="6">
        <v>2</v>
      </c>
      <c r="F136" s="6">
        <v>10</v>
      </c>
      <c r="G136" s="6" t="b">
        <v>0</v>
      </c>
      <c r="H136" s="6">
        <v>4</v>
      </c>
      <c r="I136" s="6">
        <v>1</v>
      </c>
      <c r="J136" s="6">
        <v>0.18</v>
      </c>
      <c r="K136" s="6">
        <v>0.1515</v>
      </c>
      <c r="L136" s="6">
        <v>0.43</v>
      </c>
      <c r="M136" s="6">
        <v>0.32840000000000003</v>
      </c>
      <c r="N136" s="6">
        <v>2</v>
      </c>
      <c r="O136" s="6">
        <v>50</v>
      </c>
      <c r="P136" s="7">
        <v>52</v>
      </c>
    </row>
    <row r="137" spans="1:16" ht="13.2" x14ac:dyDescent="0.25">
      <c r="A137" s="4">
        <v>746</v>
      </c>
      <c r="B137" s="5">
        <v>40577</v>
      </c>
      <c r="C137" s="6">
        <v>1</v>
      </c>
      <c r="D137" s="6">
        <v>0</v>
      </c>
      <c r="E137" s="6">
        <v>2</v>
      </c>
      <c r="F137" s="6">
        <v>11</v>
      </c>
      <c r="G137" s="6" t="b">
        <v>0</v>
      </c>
      <c r="H137" s="6">
        <v>4</v>
      </c>
      <c r="I137" s="6">
        <v>1</v>
      </c>
      <c r="J137" s="6">
        <v>0.18</v>
      </c>
      <c r="K137" s="6">
        <v>0.13639999999999999</v>
      </c>
      <c r="L137" s="6">
        <v>0.43</v>
      </c>
      <c r="M137" s="6">
        <v>0.44779999999999998</v>
      </c>
      <c r="N137" s="6">
        <v>9</v>
      </c>
      <c r="O137" s="6">
        <v>55</v>
      </c>
      <c r="P137" s="7">
        <v>64</v>
      </c>
    </row>
    <row r="138" spans="1:16" ht="13.2" x14ac:dyDescent="0.25">
      <c r="A138" s="4">
        <v>747</v>
      </c>
      <c r="B138" s="5">
        <v>40577</v>
      </c>
      <c r="C138" s="6">
        <v>1</v>
      </c>
      <c r="D138" s="6">
        <v>0</v>
      </c>
      <c r="E138" s="6">
        <v>2</v>
      </c>
      <c r="F138" s="6">
        <v>12</v>
      </c>
      <c r="G138" s="6" t="b">
        <v>0</v>
      </c>
      <c r="H138" s="6">
        <v>4</v>
      </c>
      <c r="I138" s="6">
        <v>1</v>
      </c>
      <c r="J138" s="6">
        <v>0.2</v>
      </c>
      <c r="K138" s="6">
        <v>0.18179999999999999</v>
      </c>
      <c r="L138" s="6">
        <v>0.4</v>
      </c>
      <c r="M138" s="6">
        <v>0.35820000000000002</v>
      </c>
      <c r="N138" s="6">
        <v>2</v>
      </c>
      <c r="O138" s="6">
        <v>67</v>
      </c>
      <c r="P138" s="7">
        <v>69</v>
      </c>
    </row>
    <row r="139" spans="1:16" ht="13.2" x14ac:dyDescent="0.25">
      <c r="A139" s="4">
        <v>748</v>
      </c>
      <c r="B139" s="5">
        <v>40577</v>
      </c>
      <c r="C139" s="6">
        <v>1</v>
      </c>
      <c r="D139" s="6">
        <v>0</v>
      </c>
      <c r="E139" s="6">
        <v>2</v>
      </c>
      <c r="F139" s="6">
        <v>13</v>
      </c>
      <c r="G139" s="6" t="b">
        <v>0</v>
      </c>
      <c r="H139" s="6">
        <v>4</v>
      </c>
      <c r="I139" s="6">
        <v>1</v>
      </c>
      <c r="J139" s="6">
        <v>0.2</v>
      </c>
      <c r="K139" s="6">
        <v>0.16669999999999999</v>
      </c>
      <c r="L139" s="6">
        <v>0.4</v>
      </c>
      <c r="M139" s="6">
        <v>0.41789999999999999</v>
      </c>
      <c r="N139" s="6">
        <v>4</v>
      </c>
      <c r="O139" s="6">
        <v>47</v>
      </c>
      <c r="P139" s="7">
        <v>51</v>
      </c>
    </row>
    <row r="140" spans="1:16" ht="13.2" x14ac:dyDescent="0.25">
      <c r="A140" s="4">
        <v>749</v>
      </c>
      <c r="B140" s="5">
        <v>40577</v>
      </c>
      <c r="C140" s="6">
        <v>1</v>
      </c>
      <c r="D140" s="6">
        <v>0</v>
      </c>
      <c r="E140" s="6">
        <v>2</v>
      </c>
      <c r="F140" s="6">
        <v>14</v>
      </c>
      <c r="G140" s="6" t="b">
        <v>0</v>
      </c>
      <c r="H140" s="6">
        <v>4</v>
      </c>
      <c r="I140" s="6">
        <v>1</v>
      </c>
      <c r="J140" s="6">
        <v>0.22</v>
      </c>
      <c r="K140" s="6">
        <v>0.19700000000000001</v>
      </c>
      <c r="L140" s="6">
        <v>0.37</v>
      </c>
      <c r="M140" s="6">
        <v>0.3881</v>
      </c>
      <c r="N140" s="6">
        <v>4</v>
      </c>
      <c r="O140" s="6">
        <v>43</v>
      </c>
      <c r="P140" s="7">
        <v>47</v>
      </c>
    </row>
    <row r="141" spans="1:16" ht="13.2" x14ac:dyDescent="0.25">
      <c r="A141" s="4">
        <v>750</v>
      </c>
      <c r="B141" s="5">
        <v>40577</v>
      </c>
      <c r="C141" s="6">
        <v>1</v>
      </c>
      <c r="D141" s="6">
        <v>0</v>
      </c>
      <c r="E141" s="6">
        <v>2</v>
      </c>
      <c r="F141" s="6">
        <v>15</v>
      </c>
      <c r="G141" s="6" t="b">
        <v>0</v>
      </c>
      <c r="H141" s="6">
        <v>4</v>
      </c>
      <c r="I141" s="6">
        <v>1</v>
      </c>
      <c r="J141" s="6">
        <v>0.22</v>
      </c>
      <c r="K141" s="6">
        <v>0.19700000000000001</v>
      </c>
      <c r="L141" s="6">
        <v>0.37</v>
      </c>
      <c r="M141" s="6">
        <v>0.32840000000000003</v>
      </c>
      <c r="N141" s="6">
        <v>4</v>
      </c>
      <c r="O141" s="6">
        <v>56</v>
      </c>
      <c r="P141" s="7">
        <v>60</v>
      </c>
    </row>
    <row r="142" spans="1:16" ht="13.2" x14ac:dyDescent="0.25">
      <c r="A142" s="4">
        <v>751</v>
      </c>
      <c r="B142" s="5">
        <v>40577</v>
      </c>
      <c r="C142" s="6">
        <v>1</v>
      </c>
      <c r="D142" s="6">
        <v>0</v>
      </c>
      <c r="E142" s="6">
        <v>2</v>
      </c>
      <c r="F142" s="6">
        <v>16</v>
      </c>
      <c r="G142" s="6" t="b">
        <v>0</v>
      </c>
      <c r="H142" s="6">
        <v>4</v>
      </c>
      <c r="I142" s="6">
        <v>1</v>
      </c>
      <c r="J142" s="6">
        <v>0.22</v>
      </c>
      <c r="K142" s="6">
        <v>0.21210000000000001</v>
      </c>
      <c r="L142" s="6">
        <v>0.37</v>
      </c>
      <c r="M142" s="6">
        <v>0.25369999999999998</v>
      </c>
      <c r="N142" s="6">
        <v>5</v>
      </c>
      <c r="O142" s="6">
        <v>73</v>
      </c>
      <c r="P142" s="7">
        <v>78</v>
      </c>
    </row>
    <row r="143" spans="1:16" ht="13.2" x14ac:dyDescent="0.25">
      <c r="A143" s="4">
        <v>752</v>
      </c>
      <c r="B143" s="5">
        <v>40577</v>
      </c>
      <c r="C143" s="6">
        <v>1</v>
      </c>
      <c r="D143" s="6">
        <v>0</v>
      </c>
      <c r="E143" s="6">
        <v>2</v>
      </c>
      <c r="F143" s="6">
        <v>17</v>
      </c>
      <c r="G143" s="6" t="b">
        <v>0</v>
      </c>
      <c r="H143" s="6">
        <v>4</v>
      </c>
      <c r="I143" s="6">
        <v>1</v>
      </c>
      <c r="J143" s="6">
        <v>0.2</v>
      </c>
      <c r="K143" s="6">
        <v>0.19700000000000001</v>
      </c>
      <c r="L143" s="6">
        <v>0.4</v>
      </c>
      <c r="M143" s="6">
        <v>0.19400000000000001</v>
      </c>
      <c r="N143" s="6">
        <v>5</v>
      </c>
      <c r="O143" s="6">
        <v>170</v>
      </c>
      <c r="P143" s="7">
        <v>175</v>
      </c>
    </row>
    <row r="144" spans="1:16" ht="13.2" x14ac:dyDescent="0.25">
      <c r="A144" s="4">
        <v>753</v>
      </c>
      <c r="B144" s="5">
        <v>40577</v>
      </c>
      <c r="C144" s="6">
        <v>1</v>
      </c>
      <c r="D144" s="6">
        <v>0</v>
      </c>
      <c r="E144" s="6">
        <v>2</v>
      </c>
      <c r="F144" s="6">
        <v>18</v>
      </c>
      <c r="G144" s="6" t="b">
        <v>0</v>
      </c>
      <c r="H144" s="6">
        <v>4</v>
      </c>
      <c r="I144" s="6">
        <v>1</v>
      </c>
      <c r="J144" s="6">
        <v>0.2</v>
      </c>
      <c r="K144" s="6">
        <v>0.21210000000000001</v>
      </c>
      <c r="L144" s="6">
        <v>0.4</v>
      </c>
      <c r="M144" s="6">
        <v>0.16420000000000001</v>
      </c>
      <c r="N144" s="6">
        <v>2</v>
      </c>
      <c r="O144" s="6">
        <v>145</v>
      </c>
      <c r="P144" s="7">
        <v>147</v>
      </c>
    </row>
    <row r="145" spans="1:16" ht="13.2" x14ac:dyDescent="0.25">
      <c r="A145" s="4">
        <v>754</v>
      </c>
      <c r="B145" s="5">
        <v>40577</v>
      </c>
      <c r="C145" s="6">
        <v>1</v>
      </c>
      <c r="D145" s="6">
        <v>0</v>
      </c>
      <c r="E145" s="6">
        <v>2</v>
      </c>
      <c r="F145" s="6">
        <v>19</v>
      </c>
      <c r="G145" s="6" t="b">
        <v>0</v>
      </c>
      <c r="H145" s="6">
        <v>4</v>
      </c>
      <c r="I145" s="6">
        <v>1</v>
      </c>
      <c r="J145" s="6">
        <v>0.2</v>
      </c>
      <c r="K145" s="6">
        <v>0.2576</v>
      </c>
      <c r="L145" s="6">
        <v>0.4</v>
      </c>
      <c r="M145" s="6">
        <v>0</v>
      </c>
      <c r="N145" s="6">
        <v>4</v>
      </c>
      <c r="O145" s="6">
        <v>92</v>
      </c>
      <c r="P145" s="7">
        <v>96</v>
      </c>
    </row>
    <row r="146" spans="1:16" ht="13.2" x14ac:dyDescent="0.25">
      <c r="A146" s="4">
        <v>755</v>
      </c>
      <c r="B146" s="5">
        <v>40577</v>
      </c>
      <c r="C146" s="6">
        <v>1</v>
      </c>
      <c r="D146" s="6">
        <v>0</v>
      </c>
      <c r="E146" s="6">
        <v>2</v>
      </c>
      <c r="F146" s="6">
        <v>20</v>
      </c>
      <c r="G146" s="6" t="b">
        <v>0</v>
      </c>
      <c r="H146" s="6">
        <v>4</v>
      </c>
      <c r="I146" s="6">
        <v>1</v>
      </c>
      <c r="J146" s="6">
        <v>0.2</v>
      </c>
      <c r="K146" s="6">
        <v>0.2273</v>
      </c>
      <c r="L146" s="6">
        <v>0.47</v>
      </c>
      <c r="M146" s="6">
        <v>8.9599999999999999E-2</v>
      </c>
      <c r="N146" s="6">
        <v>1</v>
      </c>
      <c r="O146" s="6">
        <v>108</v>
      </c>
      <c r="P146" s="7">
        <v>109</v>
      </c>
    </row>
    <row r="147" spans="1:16" ht="13.2" x14ac:dyDescent="0.25">
      <c r="A147" s="4">
        <v>756</v>
      </c>
      <c r="B147" s="5">
        <v>40577</v>
      </c>
      <c r="C147" s="6">
        <v>1</v>
      </c>
      <c r="D147" s="6">
        <v>0</v>
      </c>
      <c r="E147" s="6">
        <v>2</v>
      </c>
      <c r="F147" s="6">
        <v>21</v>
      </c>
      <c r="G147" s="6" t="b">
        <v>0</v>
      </c>
      <c r="H147" s="6">
        <v>4</v>
      </c>
      <c r="I147" s="6">
        <v>1</v>
      </c>
      <c r="J147" s="6">
        <v>0.18</v>
      </c>
      <c r="K147" s="6">
        <v>0.21210000000000001</v>
      </c>
      <c r="L147" s="6">
        <v>0.55000000000000004</v>
      </c>
      <c r="M147" s="6">
        <v>0.1045</v>
      </c>
      <c r="N147" s="6">
        <v>1</v>
      </c>
      <c r="O147" s="6">
        <v>53</v>
      </c>
      <c r="P147" s="7">
        <v>54</v>
      </c>
    </row>
    <row r="148" spans="1:16" ht="13.2" x14ac:dyDescent="0.25">
      <c r="A148" s="4">
        <v>757</v>
      </c>
      <c r="B148" s="5">
        <v>40577</v>
      </c>
      <c r="C148" s="6">
        <v>1</v>
      </c>
      <c r="D148" s="6">
        <v>0</v>
      </c>
      <c r="E148" s="6">
        <v>2</v>
      </c>
      <c r="F148" s="6">
        <v>22</v>
      </c>
      <c r="G148" s="6" t="b">
        <v>0</v>
      </c>
      <c r="H148" s="6">
        <v>4</v>
      </c>
      <c r="I148" s="6">
        <v>1</v>
      </c>
      <c r="J148" s="6">
        <v>0.18</v>
      </c>
      <c r="K148" s="6">
        <v>0.21210000000000001</v>
      </c>
      <c r="L148" s="6">
        <v>0.51</v>
      </c>
      <c r="M148" s="6">
        <v>8.9599999999999999E-2</v>
      </c>
      <c r="N148" s="6">
        <v>2</v>
      </c>
      <c r="O148" s="6">
        <v>39</v>
      </c>
      <c r="P148" s="7">
        <v>41</v>
      </c>
    </row>
    <row r="149" spans="1:16" ht="13.2" x14ac:dyDescent="0.25">
      <c r="A149" s="4">
        <v>758</v>
      </c>
      <c r="B149" s="5">
        <v>40577</v>
      </c>
      <c r="C149" s="6">
        <v>1</v>
      </c>
      <c r="D149" s="6">
        <v>0</v>
      </c>
      <c r="E149" s="6">
        <v>2</v>
      </c>
      <c r="F149" s="6">
        <v>23</v>
      </c>
      <c r="G149" s="6" t="b">
        <v>0</v>
      </c>
      <c r="H149" s="6">
        <v>4</v>
      </c>
      <c r="I149" s="6">
        <v>1</v>
      </c>
      <c r="J149" s="6">
        <v>0.2</v>
      </c>
      <c r="K149" s="6">
        <v>0.2273</v>
      </c>
      <c r="L149" s="6">
        <v>0.47</v>
      </c>
      <c r="M149" s="6">
        <v>0.1045</v>
      </c>
      <c r="N149" s="6">
        <v>4</v>
      </c>
      <c r="O149" s="6">
        <v>34</v>
      </c>
      <c r="P149" s="7">
        <v>38</v>
      </c>
    </row>
    <row r="150" spans="1:16" ht="13.2" x14ac:dyDescent="0.25">
      <c r="A150" s="4">
        <v>759</v>
      </c>
      <c r="B150" s="5">
        <v>40578</v>
      </c>
      <c r="C150" s="6">
        <v>1</v>
      </c>
      <c r="D150" s="6">
        <v>0</v>
      </c>
      <c r="E150" s="6">
        <v>2</v>
      </c>
      <c r="F150" s="6">
        <v>0</v>
      </c>
      <c r="G150" s="6" t="b">
        <v>0</v>
      </c>
      <c r="H150" s="6">
        <v>5</v>
      </c>
      <c r="I150" s="6">
        <v>2</v>
      </c>
      <c r="J150" s="6">
        <v>0.2</v>
      </c>
      <c r="K150" s="6">
        <v>0.2576</v>
      </c>
      <c r="L150" s="6">
        <v>0.44</v>
      </c>
      <c r="M150" s="6">
        <v>0</v>
      </c>
      <c r="N150" s="6">
        <v>3</v>
      </c>
      <c r="O150" s="6">
        <v>10</v>
      </c>
      <c r="P150" s="7">
        <v>13</v>
      </c>
    </row>
    <row r="151" spans="1:16" ht="13.2" x14ac:dyDescent="0.25">
      <c r="A151" s="4">
        <v>760</v>
      </c>
      <c r="B151" s="5">
        <v>40578</v>
      </c>
      <c r="C151" s="6">
        <v>1</v>
      </c>
      <c r="D151" s="6">
        <v>0</v>
      </c>
      <c r="E151" s="6">
        <v>2</v>
      </c>
      <c r="F151" s="6">
        <v>1</v>
      </c>
      <c r="G151" s="6" t="b">
        <v>0</v>
      </c>
      <c r="H151" s="6">
        <v>5</v>
      </c>
      <c r="I151" s="6">
        <v>2</v>
      </c>
      <c r="J151" s="6">
        <v>0.16</v>
      </c>
      <c r="K151" s="6">
        <v>0.2273</v>
      </c>
      <c r="L151" s="6">
        <v>0.59</v>
      </c>
      <c r="M151" s="6">
        <v>0</v>
      </c>
      <c r="N151" s="6">
        <v>0</v>
      </c>
      <c r="O151" s="6">
        <v>7</v>
      </c>
      <c r="P151" s="7">
        <v>7</v>
      </c>
    </row>
    <row r="152" spans="1:16" ht="13.2" x14ac:dyDescent="0.25">
      <c r="A152" s="4">
        <v>761</v>
      </c>
      <c r="B152" s="5">
        <v>40578</v>
      </c>
      <c r="C152" s="6">
        <v>1</v>
      </c>
      <c r="D152" s="6">
        <v>0</v>
      </c>
      <c r="E152" s="6">
        <v>2</v>
      </c>
      <c r="F152" s="6">
        <v>2</v>
      </c>
      <c r="G152" s="6" t="b">
        <v>0</v>
      </c>
      <c r="H152" s="6">
        <v>5</v>
      </c>
      <c r="I152" s="6">
        <v>2</v>
      </c>
      <c r="J152" s="6">
        <v>0.14000000000000001</v>
      </c>
      <c r="K152" s="6">
        <v>0.16669999999999999</v>
      </c>
      <c r="L152" s="6">
        <v>0.63</v>
      </c>
      <c r="M152" s="6">
        <v>0.1045</v>
      </c>
      <c r="N152" s="6">
        <v>0</v>
      </c>
      <c r="O152" s="6">
        <v>1</v>
      </c>
      <c r="P152" s="7">
        <v>1</v>
      </c>
    </row>
    <row r="153" spans="1:16" ht="13.2" x14ac:dyDescent="0.25">
      <c r="A153" s="4">
        <v>762</v>
      </c>
      <c r="B153" s="5">
        <v>40578</v>
      </c>
      <c r="C153" s="6">
        <v>1</v>
      </c>
      <c r="D153" s="6">
        <v>0</v>
      </c>
      <c r="E153" s="6">
        <v>2</v>
      </c>
      <c r="F153" s="6">
        <v>3</v>
      </c>
      <c r="G153" s="6" t="b">
        <v>0</v>
      </c>
      <c r="H153" s="6">
        <v>5</v>
      </c>
      <c r="I153" s="6">
        <v>2</v>
      </c>
      <c r="J153" s="6">
        <v>0.14000000000000001</v>
      </c>
      <c r="K153" s="6">
        <v>0.16669999999999999</v>
      </c>
      <c r="L153" s="6">
        <v>0.63</v>
      </c>
      <c r="M153" s="6">
        <v>0.1045</v>
      </c>
      <c r="N153" s="6">
        <v>0</v>
      </c>
      <c r="O153" s="6">
        <v>1</v>
      </c>
      <c r="P153" s="7">
        <v>1</v>
      </c>
    </row>
    <row r="154" spans="1:16" ht="13.2" x14ac:dyDescent="0.25">
      <c r="A154" s="4">
        <v>763</v>
      </c>
      <c r="B154" s="5">
        <v>40578</v>
      </c>
      <c r="C154" s="6">
        <v>1</v>
      </c>
      <c r="D154" s="6">
        <v>0</v>
      </c>
      <c r="E154" s="6">
        <v>2</v>
      </c>
      <c r="F154" s="6">
        <v>5</v>
      </c>
      <c r="G154" s="6" t="b">
        <v>0</v>
      </c>
      <c r="H154" s="6">
        <v>5</v>
      </c>
      <c r="I154" s="6">
        <v>2</v>
      </c>
      <c r="J154" s="6">
        <v>0.14000000000000001</v>
      </c>
      <c r="K154" s="6">
        <v>0.1515</v>
      </c>
      <c r="L154" s="6">
        <v>0.63</v>
      </c>
      <c r="M154" s="6">
        <v>0.1343</v>
      </c>
      <c r="N154" s="6">
        <v>0</v>
      </c>
      <c r="O154" s="6">
        <v>7</v>
      </c>
      <c r="P154" s="7">
        <v>7</v>
      </c>
    </row>
    <row r="155" spans="1:16" ht="13.2" x14ac:dyDescent="0.25">
      <c r="A155" s="4">
        <v>764</v>
      </c>
      <c r="B155" s="5">
        <v>40578</v>
      </c>
      <c r="C155" s="6">
        <v>1</v>
      </c>
      <c r="D155" s="6">
        <v>0</v>
      </c>
      <c r="E155" s="6">
        <v>2</v>
      </c>
      <c r="F155" s="6">
        <v>6</v>
      </c>
      <c r="G155" s="6" t="b">
        <v>0</v>
      </c>
      <c r="H155" s="6">
        <v>5</v>
      </c>
      <c r="I155" s="6">
        <v>2</v>
      </c>
      <c r="J155" s="6">
        <v>0.16</v>
      </c>
      <c r="K155" s="6">
        <v>0.2273</v>
      </c>
      <c r="L155" s="6">
        <v>0.55000000000000004</v>
      </c>
      <c r="M155" s="6">
        <v>0</v>
      </c>
      <c r="N155" s="6">
        <v>2</v>
      </c>
      <c r="O155" s="6">
        <v>26</v>
      </c>
      <c r="P155" s="7">
        <v>28</v>
      </c>
    </row>
    <row r="156" spans="1:16" ht="13.2" x14ac:dyDescent="0.25">
      <c r="A156" s="4">
        <v>765</v>
      </c>
      <c r="B156" s="5">
        <v>40578</v>
      </c>
      <c r="C156" s="6">
        <v>1</v>
      </c>
      <c r="D156" s="6">
        <v>0</v>
      </c>
      <c r="E156" s="6">
        <v>2</v>
      </c>
      <c r="F156" s="6">
        <v>7</v>
      </c>
      <c r="G156" s="6" t="b">
        <v>0</v>
      </c>
      <c r="H156" s="6">
        <v>5</v>
      </c>
      <c r="I156" s="6">
        <v>1</v>
      </c>
      <c r="J156" s="6">
        <v>0.14000000000000001</v>
      </c>
      <c r="K156" s="6">
        <v>0.21210000000000001</v>
      </c>
      <c r="L156" s="6">
        <v>0.59</v>
      </c>
      <c r="M156" s="6">
        <v>0</v>
      </c>
      <c r="N156" s="6">
        <v>0</v>
      </c>
      <c r="O156" s="6">
        <v>87</v>
      </c>
      <c r="P156" s="7">
        <v>87</v>
      </c>
    </row>
    <row r="157" spans="1:16" ht="13.2" x14ac:dyDescent="0.25">
      <c r="A157" s="4">
        <v>766</v>
      </c>
      <c r="B157" s="5">
        <v>40578</v>
      </c>
      <c r="C157" s="6">
        <v>1</v>
      </c>
      <c r="D157" s="6">
        <v>0</v>
      </c>
      <c r="E157" s="6">
        <v>2</v>
      </c>
      <c r="F157" s="6">
        <v>8</v>
      </c>
      <c r="G157" s="6" t="b">
        <v>0</v>
      </c>
      <c r="H157" s="6">
        <v>5</v>
      </c>
      <c r="I157" s="6">
        <v>1</v>
      </c>
      <c r="J157" s="6">
        <v>0.14000000000000001</v>
      </c>
      <c r="K157" s="6">
        <v>0.1515</v>
      </c>
      <c r="L157" s="6">
        <v>0.74</v>
      </c>
      <c r="M157" s="6">
        <v>0.1343</v>
      </c>
      <c r="N157" s="6">
        <v>3</v>
      </c>
      <c r="O157" s="6">
        <v>217</v>
      </c>
      <c r="P157" s="7">
        <v>220</v>
      </c>
    </row>
    <row r="158" spans="1:16" ht="13.2" x14ac:dyDescent="0.25">
      <c r="A158" s="4">
        <v>767</v>
      </c>
      <c r="B158" s="5">
        <v>40578</v>
      </c>
      <c r="C158" s="6">
        <v>1</v>
      </c>
      <c r="D158" s="6">
        <v>0</v>
      </c>
      <c r="E158" s="6">
        <v>2</v>
      </c>
      <c r="F158" s="6">
        <v>9</v>
      </c>
      <c r="G158" s="6" t="b">
        <v>0</v>
      </c>
      <c r="H158" s="6">
        <v>5</v>
      </c>
      <c r="I158" s="6">
        <v>2</v>
      </c>
      <c r="J158" s="6">
        <v>0.16</v>
      </c>
      <c r="K158" s="6">
        <v>0.18179999999999999</v>
      </c>
      <c r="L158" s="6">
        <v>0.8</v>
      </c>
      <c r="M158" s="6">
        <v>0.1343</v>
      </c>
      <c r="N158" s="6">
        <v>3</v>
      </c>
      <c r="O158" s="6">
        <v>124</v>
      </c>
      <c r="P158" s="7">
        <v>127</v>
      </c>
    </row>
    <row r="159" spans="1:16" ht="13.2" x14ac:dyDescent="0.25">
      <c r="A159" s="4">
        <v>768</v>
      </c>
      <c r="B159" s="5">
        <v>40578</v>
      </c>
      <c r="C159" s="6">
        <v>1</v>
      </c>
      <c r="D159" s="6">
        <v>0</v>
      </c>
      <c r="E159" s="6">
        <v>2</v>
      </c>
      <c r="F159" s="6">
        <v>10</v>
      </c>
      <c r="G159" s="6" t="b">
        <v>0</v>
      </c>
      <c r="H159" s="6">
        <v>5</v>
      </c>
      <c r="I159" s="6">
        <v>2</v>
      </c>
      <c r="J159" s="6">
        <v>0.2</v>
      </c>
      <c r="K159" s="6">
        <v>0.21210000000000001</v>
      </c>
      <c r="L159" s="6">
        <v>0.51</v>
      </c>
      <c r="M159" s="6">
        <v>0.1343</v>
      </c>
      <c r="N159" s="6">
        <v>5</v>
      </c>
      <c r="O159" s="6">
        <v>46</v>
      </c>
      <c r="P159" s="7">
        <v>51</v>
      </c>
    </row>
    <row r="160" spans="1:16" ht="13.2" x14ac:dyDescent="0.25">
      <c r="A160" s="4">
        <v>769</v>
      </c>
      <c r="B160" s="5">
        <v>40578</v>
      </c>
      <c r="C160" s="6">
        <v>1</v>
      </c>
      <c r="D160" s="6">
        <v>0</v>
      </c>
      <c r="E160" s="6">
        <v>2</v>
      </c>
      <c r="F160" s="6">
        <v>11</v>
      </c>
      <c r="G160" s="6" t="b">
        <v>0</v>
      </c>
      <c r="H160" s="6">
        <v>5</v>
      </c>
      <c r="I160" s="6">
        <v>1</v>
      </c>
      <c r="J160" s="6">
        <v>0.22</v>
      </c>
      <c r="K160" s="6">
        <v>0.2273</v>
      </c>
      <c r="L160" s="6">
        <v>0.51</v>
      </c>
      <c r="M160" s="6">
        <v>0.16420000000000001</v>
      </c>
      <c r="N160" s="6">
        <v>3</v>
      </c>
      <c r="O160" s="6">
        <v>61</v>
      </c>
      <c r="P160" s="7">
        <v>64</v>
      </c>
    </row>
    <row r="161" spans="1:16" ht="13.2" x14ac:dyDescent="0.25">
      <c r="A161" s="4">
        <v>770</v>
      </c>
      <c r="B161" s="5">
        <v>40578</v>
      </c>
      <c r="C161" s="6">
        <v>1</v>
      </c>
      <c r="D161" s="6">
        <v>0</v>
      </c>
      <c r="E161" s="6">
        <v>2</v>
      </c>
      <c r="F161" s="6">
        <v>12</v>
      </c>
      <c r="G161" s="6" t="b">
        <v>0</v>
      </c>
      <c r="H161" s="6">
        <v>5</v>
      </c>
      <c r="I161" s="6">
        <v>2</v>
      </c>
      <c r="J161" s="6">
        <v>0.24</v>
      </c>
      <c r="K161" s="6">
        <v>0.2424</v>
      </c>
      <c r="L161" s="6">
        <v>0.48</v>
      </c>
      <c r="M161" s="6">
        <v>0.16420000000000001</v>
      </c>
      <c r="N161" s="6">
        <v>8</v>
      </c>
      <c r="O161" s="6">
        <v>78</v>
      </c>
      <c r="P161" s="7">
        <v>86</v>
      </c>
    </row>
    <row r="162" spans="1:16" ht="13.2" x14ac:dyDescent="0.25">
      <c r="A162" s="4">
        <v>771</v>
      </c>
      <c r="B162" s="5">
        <v>40578</v>
      </c>
      <c r="C162" s="6">
        <v>1</v>
      </c>
      <c r="D162" s="6">
        <v>0</v>
      </c>
      <c r="E162" s="6">
        <v>2</v>
      </c>
      <c r="F162" s="6">
        <v>13</v>
      </c>
      <c r="G162" s="6" t="b">
        <v>0</v>
      </c>
      <c r="H162" s="6">
        <v>5</v>
      </c>
      <c r="I162" s="6">
        <v>2</v>
      </c>
      <c r="J162" s="6">
        <v>0.26</v>
      </c>
      <c r="K162" s="6">
        <v>0.2576</v>
      </c>
      <c r="L162" s="6">
        <v>0.5</v>
      </c>
      <c r="M162" s="6">
        <v>0.22389999999999999</v>
      </c>
      <c r="N162" s="6">
        <v>9</v>
      </c>
      <c r="O162" s="6">
        <v>73</v>
      </c>
      <c r="P162" s="7">
        <v>82</v>
      </c>
    </row>
    <row r="163" spans="1:16" ht="13.2" x14ac:dyDescent="0.25">
      <c r="A163" s="4">
        <v>772</v>
      </c>
      <c r="B163" s="5">
        <v>40578</v>
      </c>
      <c r="C163" s="6">
        <v>1</v>
      </c>
      <c r="D163" s="6">
        <v>0</v>
      </c>
      <c r="E163" s="6">
        <v>2</v>
      </c>
      <c r="F163" s="6">
        <v>14</v>
      </c>
      <c r="G163" s="6" t="b">
        <v>0</v>
      </c>
      <c r="H163" s="6">
        <v>5</v>
      </c>
      <c r="I163" s="6">
        <v>2</v>
      </c>
      <c r="J163" s="6">
        <v>0.28000000000000003</v>
      </c>
      <c r="K163" s="6">
        <v>0.2727</v>
      </c>
      <c r="L163" s="6">
        <v>0.45</v>
      </c>
      <c r="M163" s="6">
        <v>0.16420000000000001</v>
      </c>
      <c r="N163" s="6">
        <v>15</v>
      </c>
      <c r="O163" s="6">
        <v>76</v>
      </c>
      <c r="P163" s="7">
        <v>91</v>
      </c>
    </row>
    <row r="164" spans="1:16" ht="13.2" x14ac:dyDescent="0.25">
      <c r="A164" s="4">
        <v>773</v>
      </c>
      <c r="B164" s="5">
        <v>40578</v>
      </c>
      <c r="C164" s="6">
        <v>1</v>
      </c>
      <c r="D164" s="6">
        <v>0</v>
      </c>
      <c r="E164" s="6">
        <v>2</v>
      </c>
      <c r="F164" s="6">
        <v>15</v>
      </c>
      <c r="G164" s="6" t="b">
        <v>0</v>
      </c>
      <c r="H164" s="6">
        <v>5</v>
      </c>
      <c r="I164" s="6">
        <v>2</v>
      </c>
      <c r="J164" s="6">
        <v>0.28000000000000003</v>
      </c>
      <c r="K164" s="6">
        <v>0.2727</v>
      </c>
      <c r="L164" s="6">
        <v>0.48</v>
      </c>
      <c r="M164" s="6">
        <v>0.25369999999999998</v>
      </c>
      <c r="N164" s="6">
        <v>9</v>
      </c>
      <c r="O164" s="6">
        <v>81</v>
      </c>
      <c r="P164" s="7">
        <v>90</v>
      </c>
    </row>
    <row r="165" spans="1:16" ht="13.2" x14ac:dyDescent="0.25">
      <c r="A165" s="4">
        <v>774</v>
      </c>
      <c r="B165" s="5">
        <v>40578</v>
      </c>
      <c r="C165" s="6">
        <v>1</v>
      </c>
      <c r="D165" s="6">
        <v>0</v>
      </c>
      <c r="E165" s="6">
        <v>2</v>
      </c>
      <c r="F165" s="6">
        <v>16</v>
      </c>
      <c r="G165" s="6" t="b">
        <v>0</v>
      </c>
      <c r="H165" s="6">
        <v>5</v>
      </c>
      <c r="I165" s="6">
        <v>2</v>
      </c>
      <c r="J165" s="6">
        <v>0.3</v>
      </c>
      <c r="K165" s="6">
        <v>0.28789999999999999</v>
      </c>
      <c r="L165" s="6">
        <v>0.42</v>
      </c>
      <c r="M165" s="6">
        <v>0.22389999999999999</v>
      </c>
      <c r="N165" s="6">
        <v>8</v>
      </c>
      <c r="O165" s="6">
        <v>91</v>
      </c>
      <c r="P165" s="7">
        <v>99</v>
      </c>
    </row>
    <row r="166" spans="1:16" ht="13.2" x14ac:dyDescent="0.25">
      <c r="A166" s="4">
        <v>775</v>
      </c>
      <c r="B166" s="5">
        <v>40578</v>
      </c>
      <c r="C166" s="6">
        <v>1</v>
      </c>
      <c r="D166" s="6">
        <v>0</v>
      </c>
      <c r="E166" s="6">
        <v>2</v>
      </c>
      <c r="F166" s="6">
        <v>17</v>
      </c>
      <c r="G166" s="6" t="b">
        <v>0</v>
      </c>
      <c r="H166" s="6">
        <v>5</v>
      </c>
      <c r="I166" s="6">
        <v>2</v>
      </c>
      <c r="J166" s="6">
        <v>0.26</v>
      </c>
      <c r="K166" s="6">
        <v>0.2727</v>
      </c>
      <c r="L166" s="6">
        <v>0.56000000000000005</v>
      </c>
      <c r="M166" s="6">
        <v>0.1343</v>
      </c>
      <c r="N166" s="6">
        <v>10</v>
      </c>
      <c r="O166" s="6">
        <v>195</v>
      </c>
      <c r="P166" s="7">
        <v>205</v>
      </c>
    </row>
    <row r="167" spans="1:16" ht="13.2" x14ac:dyDescent="0.25">
      <c r="A167" s="4">
        <v>776</v>
      </c>
      <c r="B167" s="5">
        <v>40578</v>
      </c>
      <c r="C167" s="6">
        <v>1</v>
      </c>
      <c r="D167" s="6">
        <v>0</v>
      </c>
      <c r="E167" s="6">
        <v>2</v>
      </c>
      <c r="F167" s="6">
        <v>18</v>
      </c>
      <c r="G167" s="6" t="b">
        <v>0</v>
      </c>
      <c r="H167" s="6">
        <v>5</v>
      </c>
      <c r="I167" s="6">
        <v>2</v>
      </c>
      <c r="J167" s="6">
        <v>0.24</v>
      </c>
      <c r="K167" s="6">
        <v>0.2576</v>
      </c>
      <c r="L167" s="6">
        <v>0.6</v>
      </c>
      <c r="M167" s="6">
        <v>0.1045</v>
      </c>
      <c r="N167" s="6">
        <v>3</v>
      </c>
      <c r="O167" s="6">
        <v>152</v>
      </c>
      <c r="P167" s="7">
        <v>155</v>
      </c>
    </row>
    <row r="168" spans="1:16" ht="13.2" x14ac:dyDescent="0.25">
      <c r="A168" s="4">
        <v>777</v>
      </c>
      <c r="B168" s="5">
        <v>40578</v>
      </c>
      <c r="C168" s="6">
        <v>1</v>
      </c>
      <c r="D168" s="6">
        <v>0</v>
      </c>
      <c r="E168" s="6">
        <v>2</v>
      </c>
      <c r="F168" s="6">
        <v>19</v>
      </c>
      <c r="G168" s="6" t="b">
        <v>0</v>
      </c>
      <c r="H168" s="6">
        <v>5</v>
      </c>
      <c r="I168" s="6">
        <v>2</v>
      </c>
      <c r="J168" s="6">
        <v>0.24</v>
      </c>
      <c r="K168" s="6">
        <v>0.2424</v>
      </c>
      <c r="L168" s="6">
        <v>0.65</v>
      </c>
      <c r="M168" s="6">
        <v>0.1343</v>
      </c>
      <c r="N168" s="6">
        <v>1</v>
      </c>
      <c r="O168" s="6">
        <v>102</v>
      </c>
      <c r="P168" s="7">
        <v>103</v>
      </c>
    </row>
    <row r="169" spans="1:16" ht="13.2" x14ac:dyDescent="0.25">
      <c r="A169" s="4">
        <v>778</v>
      </c>
      <c r="B169" s="5">
        <v>40578</v>
      </c>
      <c r="C169" s="6">
        <v>1</v>
      </c>
      <c r="D169" s="6">
        <v>0</v>
      </c>
      <c r="E169" s="6">
        <v>2</v>
      </c>
      <c r="F169" s="6">
        <v>20</v>
      </c>
      <c r="G169" s="6" t="b">
        <v>0</v>
      </c>
      <c r="H169" s="6">
        <v>5</v>
      </c>
      <c r="I169" s="6">
        <v>2</v>
      </c>
      <c r="J169" s="6">
        <v>0.24</v>
      </c>
      <c r="K169" s="6">
        <v>0.2424</v>
      </c>
      <c r="L169" s="6">
        <v>0.65</v>
      </c>
      <c r="M169" s="6">
        <v>0.16420000000000001</v>
      </c>
      <c r="N169" s="6">
        <v>2</v>
      </c>
      <c r="O169" s="6">
        <v>69</v>
      </c>
      <c r="P169" s="7">
        <v>71</v>
      </c>
    </row>
    <row r="170" spans="1:16" ht="13.2" x14ac:dyDescent="0.25">
      <c r="A170" s="4">
        <v>779</v>
      </c>
      <c r="B170" s="5">
        <v>40578</v>
      </c>
      <c r="C170" s="6">
        <v>1</v>
      </c>
      <c r="D170" s="6">
        <v>0</v>
      </c>
      <c r="E170" s="6">
        <v>2</v>
      </c>
      <c r="F170" s="6">
        <v>21</v>
      </c>
      <c r="G170" s="6" t="b">
        <v>0</v>
      </c>
      <c r="H170" s="6">
        <v>5</v>
      </c>
      <c r="I170" s="6">
        <v>2</v>
      </c>
      <c r="J170" s="6">
        <v>0.24</v>
      </c>
      <c r="K170" s="6">
        <v>0.2424</v>
      </c>
      <c r="L170" s="6">
        <v>0.7</v>
      </c>
      <c r="M170" s="6">
        <v>0.16420000000000001</v>
      </c>
      <c r="N170" s="6">
        <v>2</v>
      </c>
      <c r="O170" s="6">
        <v>41</v>
      </c>
      <c r="P170" s="7">
        <v>43</v>
      </c>
    </row>
    <row r="171" spans="1:16" ht="13.2" x14ac:dyDescent="0.25">
      <c r="A171" s="4">
        <v>780</v>
      </c>
      <c r="B171" s="5">
        <v>40578</v>
      </c>
      <c r="C171" s="6">
        <v>1</v>
      </c>
      <c r="D171" s="6">
        <v>0</v>
      </c>
      <c r="E171" s="6">
        <v>2</v>
      </c>
      <c r="F171" s="6">
        <v>22</v>
      </c>
      <c r="G171" s="6" t="b">
        <v>0</v>
      </c>
      <c r="H171" s="6">
        <v>5</v>
      </c>
      <c r="I171" s="6">
        <v>2</v>
      </c>
      <c r="J171" s="6">
        <v>0.24</v>
      </c>
      <c r="K171" s="6">
        <v>0.2424</v>
      </c>
      <c r="L171" s="6">
        <v>0.65</v>
      </c>
      <c r="M171" s="6">
        <v>0.16420000000000001</v>
      </c>
      <c r="N171" s="6">
        <v>1</v>
      </c>
      <c r="O171" s="6">
        <v>45</v>
      </c>
      <c r="P171" s="7">
        <v>46</v>
      </c>
    </row>
    <row r="172" spans="1:16" ht="13.2" x14ac:dyDescent="0.25">
      <c r="A172" s="4">
        <v>781</v>
      </c>
      <c r="B172" s="5">
        <v>40578</v>
      </c>
      <c r="C172" s="6">
        <v>1</v>
      </c>
      <c r="D172" s="6">
        <v>0</v>
      </c>
      <c r="E172" s="6">
        <v>2</v>
      </c>
      <c r="F172" s="6">
        <v>23</v>
      </c>
      <c r="G172" s="6" t="b">
        <v>0</v>
      </c>
      <c r="H172" s="6">
        <v>5</v>
      </c>
      <c r="I172" s="6">
        <v>2</v>
      </c>
      <c r="J172" s="6">
        <v>0.24</v>
      </c>
      <c r="K172" s="6">
        <v>0.2424</v>
      </c>
      <c r="L172" s="6">
        <v>0.7</v>
      </c>
      <c r="M172" s="6">
        <v>0.1343</v>
      </c>
      <c r="N172" s="6">
        <v>1</v>
      </c>
      <c r="O172" s="6">
        <v>30</v>
      </c>
      <c r="P172" s="7">
        <v>31</v>
      </c>
    </row>
    <row r="173" spans="1:16" ht="13.2" x14ac:dyDescent="0.25">
      <c r="A173" s="4">
        <v>782</v>
      </c>
      <c r="B173" s="5">
        <v>40579</v>
      </c>
      <c r="C173" s="6">
        <v>1</v>
      </c>
      <c r="D173" s="6">
        <v>0</v>
      </c>
      <c r="E173" s="6">
        <v>2</v>
      </c>
      <c r="F173" s="6">
        <v>0</v>
      </c>
      <c r="G173" s="6" t="b">
        <v>0</v>
      </c>
      <c r="H173" s="6">
        <v>6</v>
      </c>
      <c r="I173" s="6">
        <v>2</v>
      </c>
      <c r="J173" s="6">
        <v>0.24</v>
      </c>
      <c r="K173" s="6">
        <v>0.2424</v>
      </c>
      <c r="L173" s="6">
        <v>0.7</v>
      </c>
      <c r="M173" s="6">
        <v>0.16420000000000001</v>
      </c>
      <c r="N173" s="6">
        <v>3</v>
      </c>
      <c r="O173" s="6">
        <v>36</v>
      </c>
      <c r="P173" s="7">
        <v>39</v>
      </c>
    </row>
    <row r="174" spans="1:16" ht="13.2" x14ac:dyDescent="0.25">
      <c r="A174" s="4">
        <v>783</v>
      </c>
      <c r="B174" s="5">
        <v>40579</v>
      </c>
      <c r="C174" s="6">
        <v>1</v>
      </c>
      <c r="D174" s="6">
        <v>0</v>
      </c>
      <c r="E174" s="6">
        <v>2</v>
      </c>
      <c r="F174" s="6">
        <v>1</v>
      </c>
      <c r="G174" s="6" t="b">
        <v>0</v>
      </c>
      <c r="H174" s="6">
        <v>6</v>
      </c>
      <c r="I174" s="6">
        <v>2</v>
      </c>
      <c r="J174" s="6">
        <v>0.24</v>
      </c>
      <c r="K174" s="6">
        <v>0.2424</v>
      </c>
      <c r="L174" s="6">
        <v>0.65</v>
      </c>
      <c r="M174" s="6">
        <v>0.16420000000000001</v>
      </c>
      <c r="N174" s="6">
        <v>1</v>
      </c>
      <c r="O174" s="6">
        <v>17</v>
      </c>
      <c r="P174" s="7">
        <v>18</v>
      </c>
    </row>
    <row r="175" spans="1:16" ht="13.2" x14ac:dyDescent="0.25">
      <c r="A175" s="4">
        <v>784</v>
      </c>
      <c r="B175" s="5">
        <v>40579</v>
      </c>
      <c r="C175" s="6">
        <v>1</v>
      </c>
      <c r="D175" s="6">
        <v>0</v>
      </c>
      <c r="E175" s="6">
        <v>2</v>
      </c>
      <c r="F175" s="6">
        <v>2</v>
      </c>
      <c r="G175" s="6" t="b">
        <v>0</v>
      </c>
      <c r="H175" s="6">
        <v>6</v>
      </c>
      <c r="I175" s="6">
        <v>2</v>
      </c>
      <c r="J175" s="6">
        <v>0.24</v>
      </c>
      <c r="K175" s="6">
        <v>0.2424</v>
      </c>
      <c r="L175" s="6">
        <v>0.75</v>
      </c>
      <c r="M175" s="6">
        <v>0.16420000000000001</v>
      </c>
      <c r="N175" s="6">
        <v>5</v>
      </c>
      <c r="O175" s="6">
        <v>12</v>
      </c>
      <c r="P175" s="7">
        <v>17</v>
      </c>
    </row>
    <row r="176" spans="1:16" ht="13.2" x14ac:dyDescent="0.25">
      <c r="A176" s="4">
        <v>785</v>
      </c>
      <c r="B176" s="5">
        <v>40579</v>
      </c>
      <c r="C176" s="6">
        <v>1</v>
      </c>
      <c r="D176" s="6">
        <v>0</v>
      </c>
      <c r="E176" s="6">
        <v>2</v>
      </c>
      <c r="F176" s="6">
        <v>3</v>
      </c>
      <c r="G176" s="6" t="b">
        <v>0</v>
      </c>
      <c r="H176" s="6">
        <v>6</v>
      </c>
      <c r="I176" s="6">
        <v>2</v>
      </c>
      <c r="J176" s="6">
        <v>0.24</v>
      </c>
      <c r="K176" s="6">
        <v>0.2424</v>
      </c>
      <c r="L176" s="6">
        <v>0.75</v>
      </c>
      <c r="M176" s="6">
        <v>0.16420000000000001</v>
      </c>
      <c r="N176" s="6">
        <v>1</v>
      </c>
      <c r="O176" s="6">
        <v>10</v>
      </c>
      <c r="P176" s="7">
        <v>11</v>
      </c>
    </row>
    <row r="177" spans="1:16" ht="13.2" x14ac:dyDescent="0.25">
      <c r="A177" s="4">
        <v>786</v>
      </c>
      <c r="B177" s="5">
        <v>40579</v>
      </c>
      <c r="C177" s="6">
        <v>1</v>
      </c>
      <c r="D177" s="6">
        <v>0</v>
      </c>
      <c r="E177" s="6">
        <v>2</v>
      </c>
      <c r="F177" s="6">
        <v>4</v>
      </c>
      <c r="G177" s="6" t="b">
        <v>0</v>
      </c>
      <c r="H177" s="6">
        <v>6</v>
      </c>
      <c r="I177" s="6">
        <v>3</v>
      </c>
      <c r="J177" s="6">
        <v>0.22</v>
      </c>
      <c r="K177" s="6">
        <v>0.2273</v>
      </c>
      <c r="L177" s="6">
        <v>0.93</v>
      </c>
      <c r="M177" s="6">
        <v>0.1343</v>
      </c>
      <c r="N177" s="6">
        <v>0</v>
      </c>
      <c r="O177" s="6">
        <v>8</v>
      </c>
      <c r="P177" s="7">
        <v>8</v>
      </c>
    </row>
    <row r="178" spans="1:16" ht="13.2" x14ac:dyDescent="0.25">
      <c r="A178" s="4">
        <v>787</v>
      </c>
      <c r="B178" s="5">
        <v>40579</v>
      </c>
      <c r="C178" s="6">
        <v>1</v>
      </c>
      <c r="D178" s="6">
        <v>0</v>
      </c>
      <c r="E178" s="6">
        <v>2</v>
      </c>
      <c r="F178" s="6">
        <v>5</v>
      </c>
      <c r="G178" s="6" t="b">
        <v>0</v>
      </c>
      <c r="H178" s="6">
        <v>6</v>
      </c>
      <c r="I178" s="6">
        <v>3</v>
      </c>
      <c r="J178" s="6">
        <v>0.2</v>
      </c>
      <c r="K178" s="6">
        <v>0.2273</v>
      </c>
      <c r="L178" s="6">
        <v>1</v>
      </c>
      <c r="M178" s="6">
        <v>8.9599999999999999E-2</v>
      </c>
      <c r="N178" s="6">
        <v>0</v>
      </c>
      <c r="O178" s="6">
        <v>9</v>
      </c>
      <c r="P178" s="7">
        <v>9</v>
      </c>
    </row>
    <row r="179" spans="1:16" ht="13.2" x14ac:dyDescent="0.25">
      <c r="A179" s="4">
        <v>788</v>
      </c>
      <c r="B179" s="5">
        <v>40579</v>
      </c>
      <c r="C179" s="6">
        <v>1</v>
      </c>
      <c r="D179" s="6">
        <v>0</v>
      </c>
      <c r="E179" s="6">
        <v>2</v>
      </c>
      <c r="F179" s="6">
        <v>6</v>
      </c>
      <c r="G179" s="6" t="b">
        <v>0</v>
      </c>
      <c r="H179" s="6">
        <v>6</v>
      </c>
      <c r="I179" s="6">
        <v>3</v>
      </c>
      <c r="J179" s="6">
        <v>0.2</v>
      </c>
      <c r="K179" s="6">
        <v>0.2576</v>
      </c>
      <c r="L179" s="6">
        <v>1</v>
      </c>
      <c r="M179" s="6">
        <v>0</v>
      </c>
      <c r="N179" s="6">
        <v>0</v>
      </c>
      <c r="O179" s="6">
        <v>4</v>
      </c>
      <c r="P179" s="7">
        <v>4</v>
      </c>
    </row>
    <row r="180" spans="1:16" ht="13.2" x14ac:dyDescent="0.25">
      <c r="A180" s="4">
        <v>789</v>
      </c>
      <c r="B180" s="5">
        <v>40579</v>
      </c>
      <c r="C180" s="6">
        <v>1</v>
      </c>
      <c r="D180" s="6">
        <v>0</v>
      </c>
      <c r="E180" s="6">
        <v>2</v>
      </c>
      <c r="F180" s="6">
        <v>7</v>
      </c>
      <c r="G180" s="6" t="b">
        <v>0</v>
      </c>
      <c r="H180" s="6">
        <v>6</v>
      </c>
      <c r="I180" s="6">
        <v>3</v>
      </c>
      <c r="J180" s="6">
        <v>0.22</v>
      </c>
      <c r="K180" s="6">
        <v>0.2576</v>
      </c>
      <c r="L180" s="6">
        <v>0.93</v>
      </c>
      <c r="M180" s="6">
        <v>8.9599999999999999E-2</v>
      </c>
      <c r="N180" s="6">
        <v>0</v>
      </c>
      <c r="O180" s="6">
        <v>4</v>
      </c>
      <c r="P180" s="7">
        <v>4</v>
      </c>
    </row>
    <row r="181" spans="1:16" ht="13.2" x14ac:dyDescent="0.25">
      <c r="A181" s="4">
        <v>790</v>
      </c>
      <c r="B181" s="5">
        <v>40579</v>
      </c>
      <c r="C181" s="6">
        <v>1</v>
      </c>
      <c r="D181" s="6">
        <v>0</v>
      </c>
      <c r="E181" s="6">
        <v>2</v>
      </c>
      <c r="F181" s="6">
        <v>8</v>
      </c>
      <c r="G181" s="6" t="b">
        <v>0</v>
      </c>
      <c r="H181" s="6">
        <v>6</v>
      </c>
      <c r="I181" s="6">
        <v>3</v>
      </c>
      <c r="J181" s="6">
        <v>0.2</v>
      </c>
      <c r="K181" s="6">
        <v>0.2273</v>
      </c>
      <c r="L181" s="6">
        <v>1</v>
      </c>
      <c r="M181" s="6">
        <v>8.9599999999999999E-2</v>
      </c>
      <c r="N181" s="6">
        <v>0</v>
      </c>
      <c r="O181" s="6">
        <v>10</v>
      </c>
      <c r="P181" s="7">
        <v>10</v>
      </c>
    </row>
    <row r="182" spans="1:16" ht="13.2" x14ac:dyDescent="0.25">
      <c r="A182" s="4">
        <v>791</v>
      </c>
      <c r="B182" s="5">
        <v>40579</v>
      </c>
      <c r="C182" s="6">
        <v>1</v>
      </c>
      <c r="D182" s="6">
        <v>0</v>
      </c>
      <c r="E182" s="6">
        <v>2</v>
      </c>
      <c r="F182" s="6">
        <v>9</v>
      </c>
      <c r="G182" s="6" t="b">
        <v>0</v>
      </c>
      <c r="H182" s="6">
        <v>6</v>
      </c>
      <c r="I182" s="6">
        <v>3</v>
      </c>
      <c r="J182" s="6">
        <v>0.2</v>
      </c>
      <c r="K182" s="6">
        <v>0.2273</v>
      </c>
      <c r="L182" s="6">
        <v>1</v>
      </c>
      <c r="M182" s="6">
        <v>8.9599999999999999E-2</v>
      </c>
      <c r="N182" s="6">
        <v>3</v>
      </c>
      <c r="O182" s="6">
        <v>17</v>
      </c>
      <c r="P182" s="7">
        <v>20</v>
      </c>
    </row>
    <row r="183" spans="1:16" ht="13.2" x14ac:dyDescent="0.25">
      <c r="A183" s="4">
        <v>792</v>
      </c>
      <c r="B183" s="5">
        <v>40579</v>
      </c>
      <c r="C183" s="6">
        <v>1</v>
      </c>
      <c r="D183" s="6">
        <v>0</v>
      </c>
      <c r="E183" s="6">
        <v>2</v>
      </c>
      <c r="F183" s="6">
        <v>10</v>
      </c>
      <c r="G183" s="6" t="b">
        <v>0</v>
      </c>
      <c r="H183" s="6">
        <v>6</v>
      </c>
      <c r="I183" s="6">
        <v>3</v>
      </c>
      <c r="J183" s="6">
        <v>0.2</v>
      </c>
      <c r="K183" s="6">
        <v>0.21210000000000001</v>
      </c>
      <c r="L183" s="6">
        <v>1</v>
      </c>
      <c r="M183" s="6">
        <v>0.1343</v>
      </c>
      <c r="N183" s="6">
        <v>3</v>
      </c>
      <c r="O183" s="6">
        <v>31</v>
      </c>
      <c r="P183" s="7">
        <v>34</v>
      </c>
    </row>
    <row r="184" spans="1:16" ht="13.2" x14ac:dyDescent="0.25">
      <c r="A184" s="4">
        <v>793</v>
      </c>
      <c r="B184" s="5">
        <v>40579</v>
      </c>
      <c r="C184" s="6">
        <v>1</v>
      </c>
      <c r="D184" s="6">
        <v>0</v>
      </c>
      <c r="E184" s="6">
        <v>2</v>
      </c>
      <c r="F184" s="6">
        <v>11</v>
      </c>
      <c r="G184" s="6" t="b">
        <v>0</v>
      </c>
      <c r="H184" s="6">
        <v>6</v>
      </c>
      <c r="I184" s="6">
        <v>3</v>
      </c>
      <c r="J184" s="6">
        <v>0.22</v>
      </c>
      <c r="K184" s="6">
        <v>0.2273</v>
      </c>
      <c r="L184" s="6">
        <v>1</v>
      </c>
      <c r="M184" s="6">
        <v>0.1343</v>
      </c>
      <c r="N184" s="6">
        <v>1</v>
      </c>
      <c r="O184" s="6">
        <v>46</v>
      </c>
      <c r="P184" s="7">
        <v>47</v>
      </c>
    </row>
    <row r="185" spans="1:16" ht="13.2" x14ac:dyDescent="0.25">
      <c r="A185" s="4">
        <v>794</v>
      </c>
      <c r="B185" s="5">
        <v>40579</v>
      </c>
      <c r="C185" s="6">
        <v>1</v>
      </c>
      <c r="D185" s="6">
        <v>0</v>
      </c>
      <c r="E185" s="6">
        <v>2</v>
      </c>
      <c r="F185" s="6">
        <v>12</v>
      </c>
      <c r="G185" s="6" t="b">
        <v>0</v>
      </c>
      <c r="H185" s="6">
        <v>6</v>
      </c>
      <c r="I185" s="6">
        <v>3</v>
      </c>
      <c r="J185" s="6">
        <v>0.22</v>
      </c>
      <c r="K185" s="6">
        <v>0.2273</v>
      </c>
      <c r="L185" s="6">
        <v>1</v>
      </c>
      <c r="M185" s="6">
        <v>0.16420000000000001</v>
      </c>
      <c r="N185" s="6">
        <v>10</v>
      </c>
      <c r="O185" s="6">
        <v>42</v>
      </c>
      <c r="P185" s="7">
        <v>52</v>
      </c>
    </row>
    <row r="186" spans="1:16" ht="13.2" x14ac:dyDescent="0.25">
      <c r="A186" s="4">
        <v>795</v>
      </c>
      <c r="B186" s="5">
        <v>40579</v>
      </c>
      <c r="C186" s="6">
        <v>1</v>
      </c>
      <c r="D186" s="6">
        <v>0</v>
      </c>
      <c r="E186" s="6">
        <v>2</v>
      </c>
      <c r="F186" s="6">
        <v>13</v>
      </c>
      <c r="G186" s="6" t="b">
        <v>0</v>
      </c>
      <c r="H186" s="6">
        <v>6</v>
      </c>
      <c r="I186" s="6">
        <v>3</v>
      </c>
      <c r="J186" s="6">
        <v>0.22</v>
      </c>
      <c r="K186" s="6">
        <v>0.2273</v>
      </c>
      <c r="L186" s="6">
        <v>1</v>
      </c>
      <c r="M186" s="6">
        <v>0.16420000000000001</v>
      </c>
      <c r="N186" s="6">
        <v>10</v>
      </c>
      <c r="O186" s="6">
        <v>62</v>
      </c>
      <c r="P186" s="7">
        <v>72</v>
      </c>
    </row>
    <row r="187" spans="1:16" ht="13.2" x14ac:dyDescent="0.25">
      <c r="A187" s="4">
        <v>796</v>
      </c>
      <c r="B187" s="5">
        <v>40579</v>
      </c>
      <c r="C187" s="6">
        <v>1</v>
      </c>
      <c r="D187" s="6">
        <v>0</v>
      </c>
      <c r="E187" s="6">
        <v>2</v>
      </c>
      <c r="F187" s="6">
        <v>14</v>
      </c>
      <c r="G187" s="6" t="b">
        <v>0</v>
      </c>
      <c r="H187" s="6">
        <v>6</v>
      </c>
      <c r="I187" s="6">
        <v>3</v>
      </c>
      <c r="J187" s="6">
        <v>0.22</v>
      </c>
      <c r="K187" s="6">
        <v>0.2727</v>
      </c>
      <c r="L187" s="6">
        <v>1</v>
      </c>
      <c r="M187" s="6">
        <v>0</v>
      </c>
      <c r="N187" s="6">
        <v>5</v>
      </c>
      <c r="O187" s="6">
        <v>50</v>
      </c>
      <c r="P187" s="7">
        <v>55</v>
      </c>
    </row>
    <row r="188" spans="1:16" ht="13.2" x14ac:dyDescent="0.25">
      <c r="A188" s="4">
        <v>797</v>
      </c>
      <c r="B188" s="5">
        <v>40579</v>
      </c>
      <c r="C188" s="6">
        <v>1</v>
      </c>
      <c r="D188" s="6">
        <v>0</v>
      </c>
      <c r="E188" s="6">
        <v>2</v>
      </c>
      <c r="F188" s="6">
        <v>15</v>
      </c>
      <c r="G188" s="6" t="b">
        <v>0</v>
      </c>
      <c r="H188" s="6">
        <v>6</v>
      </c>
      <c r="I188" s="6">
        <v>3</v>
      </c>
      <c r="J188" s="6">
        <v>0.22</v>
      </c>
      <c r="K188" s="6">
        <v>0.2727</v>
      </c>
      <c r="L188" s="6">
        <v>1</v>
      </c>
      <c r="M188" s="6">
        <v>0</v>
      </c>
      <c r="N188" s="6">
        <v>11</v>
      </c>
      <c r="O188" s="6">
        <v>49</v>
      </c>
      <c r="P188" s="7">
        <v>60</v>
      </c>
    </row>
    <row r="189" spans="1:16" ht="13.2" x14ac:dyDescent="0.25">
      <c r="A189" s="4">
        <v>798</v>
      </c>
      <c r="B189" s="5">
        <v>40579</v>
      </c>
      <c r="C189" s="6">
        <v>1</v>
      </c>
      <c r="D189" s="6">
        <v>0</v>
      </c>
      <c r="E189" s="6">
        <v>2</v>
      </c>
      <c r="F189" s="6">
        <v>16</v>
      </c>
      <c r="G189" s="6" t="b">
        <v>0</v>
      </c>
      <c r="H189" s="6">
        <v>6</v>
      </c>
      <c r="I189" s="6">
        <v>3</v>
      </c>
      <c r="J189" s="6">
        <v>0.22</v>
      </c>
      <c r="K189" s="6">
        <v>0.2273</v>
      </c>
      <c r="L189" s="6">
        <v>1</v>
      </c>
      <c r="M189" s="6">
        <v>0.1343</v>
      </c>
      <c r="N189" s="6">
        <v>8</v>
      </c>
      <c r="O189" s="6">
        <v>63</v>
      </c>
      <c r="P189" s="7">
        <v>71</v>
      </c>
    </row>
    <row r="190" spans="1:16" ht="13.2" x14ac:dyDescent="0.25">
      <c r="A190" s="4">
        <v>799</v>
      </c>
      <c r="B190" s="5">
        <v>40579</v>
      </c>
      <c r="C190" s="6">
        <v>1</v>
      </c>
      <c r="D190" s="6">
        <v>0</v>
      </c>
      <c r="E190" s="6">
        <v>2</v>
      </c>
      <c r="F190" s="6">
        <v>17</v>
      </c>
      <c r="G190" s="6" t="b">
        <v>0</v>
      </c>
      <c r="H190" s="6">
        <v>6</v>
      </c>
      <c r="I190" s="6">
        <v>2</v>
      </c>
      <c r="J190" s="6">
        <v>0.24</v>
      </c>
      <c r="K190" s="6">
        <v>0.21210000000000001</v>
      </c>
      <c r="L190" s="6">
        <v>1</v>
      </c>
      <c r="M190" s="6">
        <v>0.28360000000000002</v>
      </c>
      <c r="N190" s="6">
        <v>14</v>
      </c>
      <c r="O190" s="6">
        <v>64</v>
      </c>
      <c r="P190" s="7">
        <v>78</v>
      </c>
    </row>
    <row r="191" spans="1:16" ht="13.2" x14ac:dyDescent="0.25">
      <c r="A191" s="4">
        <v>800</v>
      </c>
      <c r="B191" s="5">
        <v>40579</v>
      </c>
      <c r="C191" s="6">
        <v>1</v>
      </c>
      <c r="D191" s="6">
        <v>0</v>
      </c>
      <c r="E191" s="6">
        <v>2</v>
      </c>
      <c r="F191" s="6">
        <v>18</v>
      </c>
      <c r="G191" s="6" t="b">
        <v>0</v>
      </c>
      <c r="H191" s="6">
        <v>6</v>
      </c>
      <c r="I191" s="6">
        <v>2</v>
      </c>
      <c r="J191" s="6">
        <v>0.28000000000000003</v>
      </c>
      <c r="K191" s="6">
        <v>0.2424</v>
      </c>
      <c r="L191" s="6">
        <v>0.93</v>
      </c>
      <c r="M191" s="6">
        <v>0.44779999999999998</v>
      </c>
      <c r="N191" s="6">
        <v>2</v>
      </c>
      <c r="O191" s="6">
        <v>81</v>
      </c>
      <c r="P191" s="7">
        <v>83</v>
      </c>
    </row>
    <row r="192" spans="1:16" ht="13.2" x14ac:dyDescent="0.25">
      <c r="A192" s="4">
        <v>801</v>
      </c>
      <c r="B192" s="5">
        <v>40579</v>
      </c>
      <c r="C192" s="6">
        <v>1</v>
      </c>
      <c r="D192" s="6">
        <v>0</v>
      </c>
      <c r="E192" s="6">
        <v>2</v>
      </c>
      <c r="F192" s="6">
        <v>19</v>
      </c>
      <c r="G192" s="6" t="b">
        <v>0</v>
      </c>
      <c r="H192" s="6">
        <v>6</v>
      </c>
      <c r="I192" s="6">
        <v>2</v>
      </c>
      <c r="J192" s="6">
        <v>0.28000000000000003</v>
      </c>
      <c r="K192" s="6">
        <v>0.2424</v>
      </c>
      <c r="L192" s="6">
        <v>0.93</v>
      </c>
      <c r="M192" s="6">
        <v>0.44779999999999998</v>
      </c>
      <c r="N192" s="6">
        <v>6</v>
      </c>
      <c r="O192" s="6">
        <v>78</v>
      </c>
      <c r="P192" s="7">
        <v>84</v>
      </c>
    </row>
    <row r="193" spans="1:16" ht="13.2" x14ac:dyDescent="0.25">
      <c r="A193" s="4">
        <v>802</v>
      </c>
      <c r="B193" s="5">
        <v>40579</v>
      </c>
      <c r="C193" s="6">
        <v>1</v>
      </c>
      <c r="D193" s="6">
        <v>0</v>
      </c>
      <c r="E193" s="6">
        <v>2</v>
      </c>
      <c r="F193" s="6">
        <v>20</v>
      </c>
      <c r="G193" s="6" t="b">
        <v>0</v>
      </c>
      <c r="H193" s="6">
        <v>6</v>
      </c>
      <c r="I193" s="6">
        <v>1</v>
      </c>
      <c r="J193" s="6">
        <v>0.3</v>
      </c>
      <c r="K193" s="6">
        <v>0.28789999999999999</v>
      </c>
      <c r="L193" s="6">
        <v>0.87</v>
      </c>
      <c r="M193" s="6">
        <v>0.25369999999999998</v>
      </c>
      <c r="N193" s="6">
        <v>5</v>
      </c>
      <c r="O193" s="6">
        <v>64</v>
      </c>
      <c r="P193" s="7">
        <v>69</v>
      </c>
    </row>
    <row r="194" spans="1:16" ht="13.2" x14ac:dyDescent="0.25">
      <c r="A194" s="4">
        <v>803</v>
      </c>
      <c r="B194" s="5">
        <v>40579</v>
      </c>
      <c r="C194" s="6">
        <v>1</v>
      </c>
      <c r="D194" s="6">
        <v>0</v>
      </c>
      <c r="E194" s="6">
        <v>2</v>
      </c>
      <c r="F194" s="6">
        <v>21</v>
      </c>
      <c r="G194" s="6" t="b">
        <v>0</v>
      </c>
      <c r="H194" s="6">
        <v>6</v>
      </c>
      <c r="I194" s="6">
        <v>1</v>
      </c>
      <c r="J194" s="6">
        <v>0.26</v>
      </c>
      <c r="K194" s="6">
        <v>0.2576</v>
      </c>
      <c r="L194" s="6">
        <v>1</v>
      </c>
      <c r="M194" s="6">
        <v>0.19400000000000001</v>
      </c>
      <c r="N194" s="6">
        <v>3</v>
      </c>
      <c r="O194" s="6">
        <v>53</v>
      </c>
      <c r="P194" s="7">
        <v>56</v>
      </c>
    </row>
    <row r="195" spans="1:16" ht="13.2" x14ac:dyDescent="0.25">
      <c r="A195" s="4">
        <v>804</v>
      </c>
      <c r="B195" s="5">
        <v>40579</v>
      </c>
      <c r="C195" s="6">
        <v>1</v>
      </c>
      <c r="D195" s="6">
        <v>0</v>
      </c>
      <c r="E195" s="6">
        <v>2</v>
      </c>
      <c r="F195" s="6">
        <v>22</v>
      </c>
      <c r="G195" s="6" t="b">
        <v>0</v>
      </c>
      <c r="H195" s="6">
        <v>6</v>
      </c>
      <c r="I195" s="6">
        <v>1</v>
      </c>
      <c r="J195" s="6">
        <v>0.26</v>
      </c>
      <c r="K195" s="6">
        <v>0.2727</v>
      </c>
      <c r="L195" s="6">
        <v>0.93</v>
      </c>
      <c r="M195" s="6">
        <v>0.1343</v>
      </c>
      <c r="N195" s="6">
        <v>2</v>
      </c>
      <c r="O195" s="6">
        <v>43</v>
      </c>
      <c r="P195" s="7">
        <v>45</v>
      </c>
    </row>
    <row r="196" spans="1:16" ht="13.2" x14ac:dyDescent="0.25">
      <c r="A196" s="4">
        <v>805</v>
      </c>
      <c r="B196" s="5">
        <v>40579</v>
      </c>
      <c r="C196" s="6">
        <v>1</v>
      </c>
      <c r="D196" s="6">
        <v>0</v>
      </c>
      <c r="E196" s="6">
        <v>2</v>
      </c>
      <c r="F196" s="6">
        <v>23</v>
      </c>
      <c r="G196" s="6" t="b">
        <v>0</v>
      </c>
      <c r="H196" s="6">
        <v>6</v>
      </c>
      <c r="I196" s="6">
        <v>1</v>
      </c>
      <c r="J196" s="6">
        <v>0.26</v>
      </c>
      <c r="K196" s="6">
        <v>0.2576</v>
      </c>
      <c r="L196" s="6">
        <v>0.93</v>
      </c>
      <c r="M196" s="6">
        <v>0.22389999999999999</v>
      </c>
      <c r="N196" s="6">
        <v>7</v>
      </c>
      <c r="O196" s="6">
        <v>52</v>
      </c>
      <c r="P196" s="7">
        <v>59</v>
      </c>
    </row>
    <row r="197" spans="1:16" ht="13.2" x14ac:dyDescent="0.25">
      <c r="A197" s="4">
        <v>806</v>
      </c>
      <c r="B197" s="5">
        <v>40580</v>
      </c>
      <c r="C197" s="6">
        <v>1</v>
      </c>
      <c r="D197" s="6">
        <v>0</v>
      </c>
      <c r="E197" s="6">
        <v>2</v>
      </c>
      <c r="F197" s="6">
        <v>0</v>
      </c>
      <c r="G197" s="6" t="b">
        <v>0</v>
      </c>
      <c r="H197" s="6">
        <v>0</v>
      </c>
      <c r="I197" s="6">
        <v>1</v>
      </c>
      <c r="J197" s="6">
        <v>0.26</v>
      </c>
      <c r="K197" s="6">
        <v>0.2576</v>
      </c>
      <c r="L197" s="6">
        <v>0.7</v>
      </c>
      <c r="M197" s="6">
        <v>0.19400000000000001</v>
      </c>
      <c r="N197" s="6">
        <v>2</v>
      </c>
      <c r="O197" s="6">
        <v>37</v>
      </c>
      <c r="P197" s="7">
        <v>39</v>
      </c>
    </row>
    <row r="198" spans="1:16" ht="13.2" x14ac:dyDescent="0.25">
      <c r="A198" s="4">
        <v>807</v>
      </c>
      <c r="B198" s="5">
        <v>40580</v>
      </c>
      <c r="C198" s="6">
        <v>1</v>
      </c>
      <c r="D198" s="6">
        <v>0</v>
      </c>
      <c r="E198" s="6">
        <v>2</v>
      </c>
      <c r="F198" s="6">
        <v>1</v>
      </c>
      <c r="G198" s="6" t="b">
        <v>0</v>
      </c>
      <c r="H198" s="6">
        <v>0</v>
      </c>
      <c r="I198" s="6">
        <v>1</v>
      </c>
      <c r="J198" s="6">
        <v>0.26</v>
      </c>
      <c r="K198" s="6">
        <v>0.2273</v>
      </c>
      <c r="L198" s="6">
        <v>0.65</v>
      </c>
      <c r="M198" s="6">
        <v>0.41789999999999999</v>
      </c>
      <c r="N198" s="6">
        <v>4</v>
      </c>
      <c r="O198" s="6">
        <v>40</v>
      </c>
      <c r="P198" s="7">
        <v>44</v>
      </c>
    </row>
    <row r="199" spans="1:16" ht="13.2" x14ac:dyDescent="0.25">
      <c r="A199" s="4">
        <v>808</v>
      </c>
      <c r="B199" s="5">
        <v>40580</v>
      </c>
      <c r="C199" s="6">
        <v>1</v>
      </c>
      <c r="D199" s="6">
        <v>0</v>
      </c>
      <c r="E199" s="6">
        <v>2</v>
      </c>
      <c r="F199" s="6">
        <v>2</v>
      </c>
      <c r="G199" s="6" t="b">
        <v>0</v>
      </c>
      <c r="H199" s="6">
        <v>0</v>
      </c>
      <c r="I199" s="6">
        <v>1</v>
      </c>
      <c r="J199" s="6">
        <v>0.26</v>
      </c>
      <c r="K199" s="6">
        <v>0.2273</v>
      </c>
      <c r="L199" s="6">
        <v>0.6</v>
      </c>
      <c r="M199" s="6">
        <v>0.32840000000000003</v>
      </c>
      <c r="N199" s="6">
        <v>0</v>
      </c>
      <c r="O199" s="6">
        <v>20</v>
      </c>
      <c r="P199" s="7">
        <v>20</v>
      </c>
    </row>
    <row r="200" spans="1:16" ht="13.2" x14ac:dyDescent="0.25">
      <c r="A200" s="4">
        <v>809</v>
      </c>
      <c r="B200" s="5">
        <v>40580</v>
      </c>
      <c r="C200" s="6">
        <v>1</v>
      </c>
      <c r="D200" s="6">
        <v>0</v>
      </c>
      <c r="E200" s="6">
        <v>2</v>
      </c>
      <c r="F200" s="6">
        <v>3</v>
      </c>
      <c r="G200" s="6" t="b">
        <v>0</v>
      </c>
      <c r="H200" s="6">
        <v>0</v>
      </c>
      <c r="I200" s="6">
        <v>1</v>
      </c>
      <c r="J200" s="6">
        <v>0.26</v>
      </c>
      <c r="K200" s="6">
        <v>0.28789999999999999</v>
      </c>
      <c r="L200" s="6">
        <v>0.6</v>
      </c>
      <c r="M200" s="6">
        <v>8.9599999999999999E-2</v>
      </c>
      <c r="N200" s="6">
        <v>3</v>
      </c>
      <c r="O200" s="6">
        <v>10</v>
      </c>
      <c r="P200" s="7">
        <v>13</v>
      </c>
    </row>
    <row r="201" spans="1:16" ht="13.2" x14ac:dyDescent="0.25">
      <c r="A201" s="4">
        <v>810</v>
      </c>
      <c r="B201" s="5">
        <v>40580</v>
      </c>
      <c r="C201" s="6">
        <v>1</v>
      </c>
      <c r="D201" s="6">
        <v>0</v>
      </c>
      <c r="E201" s="6">
        <v>2</v>
      </c>
      <c r="F201" s="6">
        <v>4</v>
      </c>
      <c r="G201" s="6" t="b">
        <v>0</v>
      </c>
      <c r="H201" s="6">
        <v>0</v>
      </c>
      <c r="I201" s="6">
        <v>1</v>
      </c>
      <c r="J201" s="6">
        <v>0.26</v>
      </c>
      <c r="K201" s="6">
        <v>0.2273</v>
      </c>
      <c r="L201" s="6">
        <v>0.6</v>
      </c>
      <c r="M201" s="6">
        <v>0.35820000000000002</v>
      </c>
      <c r="N201" s="6">
        <v>0</v>
      </c>
      <c r="O201" s="6">
        <v>2</v>
      </c>
      <c r="P201" s="7">
        <v>2</v>
      </c>
    </row>
    <row r="202" spans="1:16" ht="13.2" x14ac:dyDescent="0.25">
      <c r="A202" s="4">
        <v>811</v>
      </c>
      <c r="B202" s="5">
        <v>40580</v>
      </c>
      <c r="C202" s="6">
        <v>1</v>
      </c>
      <c r="D202" s="6">
        <v>0</v>
      </c>
      <c r="E202" s="6">
        <v>2</v>
      </c>
      <c r="F202" s="6">
        <v>5</v>
      </c>
      <c r="G202" s="6" t="b">
        <v>0</v>
      </c>
      <c r="H202" s="6">
        <v>0</v>
      </c>
      <c r="I202" s="6">
        <v>1</v>
      </c>
      <c r="J202" s="6">
        <v>0.26</v>
      </c>
      <c r="K202" s="6">
        <v>0.2576</v>
      </c>
      <c r="L202" s="6">
        <v>0.6</v>
      </c>
      <c r="M202" s="6">
        <v>0.22389999999999999</v>
      </c>
      <c r="N202" s="6">
        <v>0</v>
      </c>
      <c r="O202" s="6">
        <v>1</v>
      </c>
      <c r="P202" s="7">
        <v>1</v>
      </c>
    </row>
    <row r="203" spans="1:16" ht="13.2" x14ac:dyDescent="0.25">
      <c r="A203" s="4">
        <v>812</v>
      </c>
      <c r="B203" s="5">
        <v>40580</v>
      </c>
      <c r="C203" s="6">
        <v>1</v>
      </c>
      <c r="D203" s="6">
        <v>0</v>
      </c>
      <c r="E203" s="6">
        <v>2</v>
      </c>
      <c r="F203" s="6">
        <v>6</v>
      </c>
      <c r="G203" s="6" t="b">
        <v>0</v>
      </c>
      <c r="H203" s="6">
        <v>0</v>
      </c>
      <c r="I203" s="6">
        <v>1</v>
      </c>
      <c r="J203" s="6">
        <v>0.26</v>
      </c>
      <c r="K203" s="6">
        <v>0.2576</v>
      </c>
      <c r="L203" s="6">
        <v>0.6</v>
      </c>
      <c r="M203" s="6">
        <v>0.22389999999999999</v>
      </c>
      <c r="N203" s="6">
        <v>0</v>
      </c>
      <c r="O203" s="6">
        <v>1</v>
      </c>
      <c r="P203" s="7">
        <v>1</v>
      </c>
    </row>
    <row r="204" spans="1:16" ht="13.2" x14ac:dyDescent="0.25">
      <c r="A204" s="4">
        <v>813</v>
      </c>
      <c r="B204" s="5">
        <v>40580</v>
      </c>
      <c r="C204" s="6">
        <v>1</v>
      </c>
      <c r="D204" s="6">
        <v>0</v>
      </c>
      <c r="E204" s="6">
        <v>2</v>
      </c>
      <c r="F204" s="6">
        <v>7</v>
      </c>
      <c r="G204" s="6" t="b">
        <v>0</v>
      </c>
      <c r="H204" s="6">
        <v>0</v>
      </c>
      <c r="I204" s="6">
        <v>1</v>
      </c>
      <c r="J204" s="6">
        <v>0.24</v>
      </c>
      <c r="K204" s="6">
        <v>0.2424</v>
      </c>
      <c r="L204" s="6">
        <v>0.65</v>
      </c>
      <c r="M204" s="6">
        <v>0.16420000000000001</v>
      </c>
      <c r="N204" s="6">
        <v>0</v>
      </c>
      <c r="O204" s="6">
        <v>8</v>
      </c>
      <c r="P204" s="7">
        <v>8</v>
      </c>
    </row>
    <row r="205" spans="1:16" ht="13.2" x14ac:dyDescent="0.25">
      <c r="A205" s="4">
        <v>814</v>
      </c>
      <c r="B205" s="5">
        <v>40580</v>
      </c>
      <c r="C205" s="6">
        <v>1</v>
      </c>
      <c r="D205" s="6">
        <v>0</v>
      </c>
      <c r="E205" s="6">
        <v>2</v>
      </c>
      <c r="F205" s="6">
        <v>8</v>
      </c>
      <c r="G205" s="6" t="b">
        <v>0</v>
      </c>
      <c r="H205" s="6">
        <v>0</v>
      </c>
      <c r="I205" s="6">
        <v>1</v>
      </c>
      <c r="J205" s="6">
        <v>0.24</v>
      </c>
      <c r="K205" s="6">
        <v>0.2576</v>
      </c>
      <c r="L205" s="6">
        <v>0.65</v>
      </c>
      <c r="M205" s="6">
        <v>0.1045</v>
      </c>
      <c r="N205" s="6">
        <v>2</v>
      </c>
      <c r="O205" s="6">
        <v>21</v>
      </c>
      <c r="P205" s="7">
        <v>23</v>
      </c>
    </row>
    <row r="206" spans="1:16" ht="13.2" x14ac:dyDescent="0.25">
      <c r="A206" s="4">
        <v>815</v>
      </c>
      <c r="B206" s="5">
        <v>40580</v>
      </c>
      <c r="C206" s="6">
        <v>1</v>
      </c>
      <c r="D206" s="6">
        <v>0</v>
      </c>
      <c r="E206" s="6">
        <v>2</v>
      </c>
      <c r="F206" s="6">
        <v>9</v>
      </c>
      <c r="G206" s="6" t="b">
        <v>0</v>
      </c>
      <c r="H206" s="6">
        <v>0</v>
      </c>
      <c r="I206" s="6">
        <v>1</v>
      </c>
      <c r="J206" s="6">
        <v>0.28000000000000003</v>
      </c>
      <c r="K206" s="6">
        <v>0.28789999999999999</v>
      </c>
      <c r="L206" s="6">
        <v>0.56000000000000005</v>
      </c>
      <c r="M206" s="6">
        <v>0.1045</v>
      </c>
      <c r="N206" s="6">
        <v>7</v>
      </c>
      <c r="O206" s="6">
        <v>38</v>
      </c>
      <c r="P206" s="7">
        <v>45</v>
      </c>
    </row>
    <row r="207" spans="1:16" ht="13.2" x14ac:dyDescent="0.25">
      <c r="A207" s="4">
        <v>816</v>
      </c>
      <c r="B207" s="5">
        <v>40580</v>
      </c>
      <c r="C207" s="6">
        <v>1</v>
      </c>
      <c r="D207" s="6">
        <v>0</v>
      </c>
      <c r="E207" s="6">
        <v>2</v>
      </c>
      <c r="F207" s="6">
        <v>10</v>
      </c>
      <c r="G207" s="6" t="b">
        <v>0</v>
      </c>
      <c r="H207" s="6">
        <v>0</v>
      </c>
      <c r="I207" s="6">
        <v>1</v>
      </c>
      <c r="J207" s="6">
        <v>0.3</v>
      </c>
      <c r="K207" s="6">
        <v>0.28789999999999999</v>
      </c>
      <c r="L207" s="6">
        <v>0.52</v>
      </c>
      <c r="M207" s="6">
        <v>0.25369999999999998</v>
      </c>
      <c r="N207" s="6">
        <v>15</v>
      </c>
      <c r="O207" s="6">
        <v>74</v>
      </c>
      <c r="P207" s="7">
        <v>89</v>
      </c>
    </row>
    <row r="208" spans="1:16" ht="13.2" x14ac:dyDescent="0.25">
      <c r="A208" s="4">
        <v>817</v>
      </c>
      <c r="B208" s="5">
        <v>40580</v>
      </c>
      <c r="C208" s="6">
        <v>1</v>
      </c>
      <c r="D208" s="6">
        <v>0</v>
      </c>
      <c r="E208" s="6">
        <v>2</v>
      </c>
      <c r="F208" s="6">
        <v>11</v>
      </c>
      <c r="G208" s="6" t="b">
        <v>0</v>
      </c>
      <c r="H208" s="6">
        <v>0</v>
      </c>
      <c r="I208" s="6">
        <v>1</v>
      </c>
      <c r="J208" s="6">
        <v>0.32</v>
      </c>
      <c r="K208" s="6">
        <v>0.30299999999999999</v>
      </c>
      <c r="L208" s="6">
        <v>0.49</v>
      </c>
      <c r="M208" s="6">
        <v>0.25369999999999998</v>
      </c>
      <c r="N208" s="6">
        <v>28</v>
      </c>
      <c r="O208" s="6">
        <v>89</v>
      </c>
      <c r="P208" s="7">
        <v>117</v>
      </c>
    </row>
    <row r="209" spans="1:16" ht="13.2" x14ac:dyDescent="0.25">
      <c r="A209" s="4">
        <v>818</v>
      </c>
      <c r="B209" s="5">
        <v>40580</v>
      </c>
      <c r="C209" s="6">
        <v>1</v>
      </c>
      <c r="D209" s="6">
        <v>0</v>
      </c>
      <c r="E209" s="6">
        <v>2</v>
      </c>
      <c r="F209" s="6">
        <v>12</v>
      </c>
      <c r="G209" s="6" t="b">
        <v>0</v>
      </c>
      <c r="H209" s="6">
        <v>0</v>
      </c>
      <c r="I209" s="6">
        <v>1</v>
      </c>
      <c r="J209" s="6">
        <v>0.34</v>
      </c>
      <c r="K209" s="6">
        <v>0.33329999999999999</v>
      </c>
      <c r="L209" s="6">
        <v>0.46</v>
      </c>
      <c r="M209" s="6">
        <v>0</v>
      </c>
      <c r="N209" s="6">
        <v>48</v>
      </c>
      <c r="O209" s="6">
        <v>126</v>
      </c>
      <c r="P209" s="7">
        <v>174</v>
      </c>
    </row>
    <row r="210" spans="1:16" ht="13.2" x14ac:dyDescent="0.25">
      <c r="A210" s="4">
        <v>819</v>
      </c>
      <c r="B210" s="5">
        <v>40580</v>
      </c>
      <c r="C210" s="6">
        <v>1</v>
      </c>
      <c r="D210" s="6">
        <v>0</v>
      </c>
      <c r="E210" s="6">
        <v>2</v>
      </c>
      <c r="F210" s="6">
        <v>13</v>
      </c>
      <c r="G210" s="6" t="b">
        <v>0</v>
      </c>
      <c r="H210" s="6">
        <v>0</v>
      </c>
      <c r="I210" s="6">
        <v>1</v>
      </c>
      <c r="J210" s="6">
        <v>0.34</v>
      </c>
      <c r="K210" s="6">
        <v>0.36359999999999998</v>
      </c>
      <c r="L210" s="6">
        <v>0.46</v>
      </c>
      <c r="M210" s="6">
        <v>0</v>
      </c>
      <c r="N210" s="6">
        <v>47</v>
      </c>
      <c r="O210" s="6">
        <v>135</v>
      </c>
      <c r="P210" s="7">
        <v>182</v>
      </c>
    </row>
    <row r="211" spans="1:16" ht="13.2" x14ac:dyDescent="0.25">
      <c r="A211" s="4">
        <v>820</v>
      </c>
      <c r="B211" s="5">
        <v>40580</v>
      </c>
      <c r="C211" s="6">
        <v>1</v>
      </c>
      <c r="D211" s="6">
        <v>0</v>
      </c>
      <c r="E211" s="6">
        <v>2</v>
      </c>
      <c r="F211" s="6">
        <v>14</v>
      </c>
      <c r="G211" s="6" t="b">
        <v>0</v>
      </c>
      <c r="H211" s="6">
        <v>0</v>
      </c>
      <c r="I211" s="6">
        <v>1</v>
      </c>
      <c r="J211" s="6">
        <v>0.34</v>
      </c>
      <c r="K211" s="6">
        <v>0.34849999999999998</v>
      </c>
      <c r="L211" s="6">
        <v>0.46</v>
      </c>
      <c r="M211" s="6">
        <v>8.9599999999999999E-2</v>
      </c>
      <c r="N211" s="6">
        <v>47</v>
      </c>
      <c r="O211" s="6">
        <v>114</v>
      </c>
      <c r="P211" s="7">
        <v>161</v>
      </c>
    </row>
    <row r="212" spans="1:16" ht="13.2" x14ac:dyDescent="0.25">
      <c r="A212" s="4">
        <v>821</v>
      </c>
      <c r="B212" s="5">
        <v>40580</v>
      </c>
      <c r="C212" s="6">
        <v>1</v>
      </c>
      <c r="D212" s="6">
        <v>0</v>
      </c>
      <c r="E212" s="6">
        <v>2</v>
      </c>
      <c r="F212" s="6">
        <v>15</v>
      </c>
      <c r="G212" s="6" t="b">
        <v>0</v>
      </c>
      <c r="H212" s="6">
        <v>0</v>
      </c>
      <c r="I212" s="6">
        <v>1</v>
      </c>
      <c r="J212" s="6">
        <v>0.34</v>
      </c>
      <c r="K212" s="6">
        <v>0.34849999999999998</v>
      </c>
      <c r="L212" s="6">
        <v>0.46</v>
      </c>
      <c r="M212" s="6">
        <v>8.9599999999999999E-2</v>
      </c>
      <c r="N212" s="6">
        <v>52</v>
      </c>
      <c r="O212" s="6">
        <v>130</v>
      </c>
      <c r="P212" s="7">
        <v>182</v>
      </c>
    </row>
    <row r="213" spans="1:16" ht="13.2" x14ac:dyDescent="0.25">
      <c r="A213" s="4">
        <v>822</v>
      </c>
      <c r="B213" s="5">
        <v>40580</v>
      </c>
      <c r="C213" s="6">
        <v>1</v>
      </c>
      <c r="D213" s="6">
        <v>0</v>
      </c>
      <c r="E213" s="6">
        <v>2</v>
      </c>
      <c r="F213" s="6">
        <v>16</v>
      </c>
      <c r="G213" s="6" t="b">
        <v>0</v>
      </c>
      <c r="H213" s="6">
        <v>0</v>
      </c>
      <c r="I213" s="6">
        <v>1</v>
      </c>
      <c r="J213" s="6">
        <v>0.34</v>
      </c>
      <c r="K213" s="6">
        <v>0.34849999999999998</v>
      </c>
      <c r="L213" s="6">
        <v>0.49</v>
      </c>
      <c r="M213" s="6">
        <v>0.1045</v>
      </c>
      <c r="N213" s="6">
        <v>42</v>
      </c>
      <c r="O213" s="6">
        <v>115</v>
      </c>
      <c r="P213" s="7">
        <v>157</v>
      </c>
    </row>
    <row r="214" spans="1:16" ht="13.2" x14ac:dyDescent="0.25">
      <c r="A214" s="4">
        <v>823</v>
      </c>
      <c r="B214" s="5">
        <v>40580</v>
      </c>
      <c r="C214" s="6">
        <v>1</v>
      </c>
      <c r="D214" s="6">
        <v>0</v>
      </c>
      <c r="E214" s="6">
        <v>2</v>
      </c>
      <c r="F214" s="6">
        <v>17</v>
      </c>
      <c r="G214" s="6" t="b">
        <v>0</v>
      </c>
      <c r="H214" s="6">
        <v>0</v>
      </c>
      <c r="I214" s="6">
        <v>1</v>
      </c>
      <c r="J214" s="6">
        <v>0.34</v>
      </c>
      <c r="K214" s="6">
        <v>0.36359999999999998</v>
      </c>
      <c r="L214" s="6">
        <v>0.46</v>
      </c>
      <c r="M214" s="6">
        <v>0</v>
      </c>
      <c r="N214" s="6">
        <v>24</v>
      </c>
      <c r="O214" s="6">
        <v>97</v>
      </c>
      <c r="P214" s="7">
        <v>121</v>
      </c>
    </row>
    <row r="215" spans="1:16" ht="13.2" x14ac:dyDescent="0.25">
      <c r="A215" s="4">
        <v>824</v>
      </c>
      <c r="B215" s="5">
        <v>40580</v>
      </c>
      <c r="C215" s="6">
        <v>1</v>
      </c>
      <c r="D215" s="6">
        <v>0</v>
      </c>
      <c r="E215" s="6">
        <v>2</v>
      </c>
      <c r="F215" s="6">
        <v>18</v>
      </c>
      <c r="G215" s="6" t="b">
        <v>0</v>
      </c>
      <c r="H215" s="6">
        <v>0</v>
      </c>
      <c r="I215" s="6">
        <v>1</v>
      </c>
      <c r="J215" s="6">
        <v>0.3</v>
      </c>
      <c r="K215" s="6">
        <v>0.30299999999999999</v>
      </c>
      <c r="L215" s="6">
        <v>0.56000000000000005</v>
      </c>
      <c r="M215" s="6">
        <v>0.16420000000000001</v>
      </c>
      <c r="N215" s="6">
        <v>13</v>
      </c>
      <c r="O215" s="6">
        <v>65</v>
      </c>
      <c r="P215" s="7">
        <v>78</v>
      </c>
    </row>
    <row r="216" spans="1:16" ht="13.2" x14ac:dyDescent="0.25">
      <c r="A216" s="4">
        <v>825</v>
      </c>
      <c r="B216" s="5">
        <v>40580</v>
      </c>
      <c r="C216" s="6">
        <v>1</v>
      </c>
      <c r="D216" s="6">
        <v>0</v>
      </c>
      <c r="E216" s="6">
        <v>2</v>
      </c>
      <c r="F216" s="6">
        <v>19</v>
      </c>
      <c r="G216" s="6" t="b">
        <v>0</v>
      </c>
      <c r="H216" s="6">
        <v>0</v>
      </c>
      <c r="I216" s="6">
        <v>1</v>
      </c>
      <c r="J216" s="6">
        <v>0.28000000000000003</v>
      </c>
      <c r="K216" s="6">
        <v>0.28789999999999999</v>
      </c>
      <c r="L216" s="6">
        <v>0.61</v>
      </c>
      <c r="M216" s="6">
        <v>0.1343</v>
      </c>
      <c r="N216" s="6">
        <v>1</v>
      </c>
      <c r="O216" s="6">
        <v>20</v>
      </c>
      <c r="P216" s="7">
        <v>21</v>
      </c>
    </row>
    <row r="217" spans="1:16" ht="13.2" x14ac:dyDescent="0.25">
      <c r="A217" s="4">
        <v>826</v>
      </c>
      <c r="B217" s="5">
        <v>40580</v>
      </c>
      <c r="C217" s="6">
        <v>1</v>
      </c>
      <c r="D217" s="6">
        <v>0</v>
      </c>
      <c r="E217" s="6">
        <v>2</v>
      </c>
      <c r="F217" s="6">
        <v>20</v>
      </c>
      <c r="G217" s="6" t="b">
        <v>0</v>
      </c>
      <c r="H217" s="6">
        <v>0</v>
      </c>
      <c r="I217" s="6">
        <v>1</v>
      </c>
      <c r="J217" s="6">
        <v>0.28000000000000003</v>
      </c>
      <c r="K217" s="6">
        <v>0.28789999999999999</v>
      </c>
      <c r="L217" s="6">
        <v>0.61</v>
      </c>
      <c r="M217" s="6">
        <v>0.1045</v>
      </c>
      <c r="N217" s="6">
        <v>5</v>
      </c>
      <c r="O217" s="6">
        <v>21</v>
      </c>
      <c r="P217" s="7">
        <v>26</v>
      </c>
    </row>
    <row r="218" spans="1:16" ht="13.2" x14ac:dyDescent="0.25">
      <c r="A218" s="4">
        <v>827</v>
      </c>
      <c r="B218" s="5">
        <v>40580</v>
      </c>
      <c r="C218" s="6">
        <v>1</v>
      </c>
      <c r="D218" s="6">
        <v>0</v>
      </c>
      <c r="E218" s="6">
        <v>2</v>
      </c>
      <c r="F218" s="6">
        <v>21</v>
      </c>
      <c r="G218" s="6" t="b">
        <v>0</v>
      </c>
      <c r="H218" s="6">
        <v>0</v>
      </c>
      <c r="I218" s="6">
        <v>1</v>
      </c>
      <c r="J218" s="6">
        <v>0.26</v>
      </c>
      <c r="K218" s="6">
        <v>0.30299999999999999</v>
      </c>
      <c r="L218" s="6">
        <v>0.6</v>
      </c>
      <c r="M218" s="6">
        <v>0</v>
      </c>
      <c r="N218" s="6">
        <v>5</v>
      </c>
      <c r="O218" s="6">
        <v>22</v>
      </c>
      <c r="P218" s="7">
        <v>27</v>
      </c>
    </row>
    <row r="219" spans="1:16" ht="13.2" x14ac:dyDescent="0.25">
      <c r="A219" s="4">
        <v>828</v>
      </c>
      <c r="B219" s="5">
        <v>40580</v>
      </c>
      <c r="C219" s="6">
        <v>1</v>
      </c>
      <c r="D219" s="6">
        <v>0</v>
      </c>
      <c r="E219" s="6">
        <v>2</v>
      </c>
      <c r="F219" s="6">
        <v>22</v>
      </c>
      <c r="G219" s="6" t="b">
        <v>0</v>
      </c>
      <c r="H219" s="6">
        <v>0</v>
      </c>
      <c r="I219" s="6">
        <v>1</v>
      </c>
      <c r="J219" s="6">
        <v>0.26</v>
      </c>
      <c r="K219" s="6">
        <v>0.30299999999999999</v>
      </c>
      <c r="L219" s="6">
        <v>0.6</v>
      </c>
      <c r="M219" s="6">
        <v>0</v>
      </c>
      <c r="N219" s="6">
        <v>5</v>
      </c>
      <c r="O219" s="6">
        <v>57</v>
      </c>
      <c r="P219" s="7">
        <v>62</v>
      </c>
    </row>
    <row r="220" spans="1:16" ht="13.2" x14ac:dyDescent="0.25">
      <c r="A220" s="4">
        <v>829</v>
      </c>
      <c r="B220" s="5">
        <v>40580</v>
      </c>
      <c r="C220" s="6">
        <v>1</v>
      </c>
      <c r="D220" s="6">
        <v>0</v>
      </c>
      <c r="E220" s="6">
        <v>2</v>
      </c>
      <c r="F220" s="6">
        <v>23</v>
      </c>
      <c r="G220" s="6" t="b">
        <v>0</v>
      </c>
      <c r="H220" s="6">
        <v>0</v>
      </c>
      <c r="I220" s="6">
        <v>1</v>
      </c>
      <c r="J220" s="6">
        <v>0.24</v>
      </c>
      <c r="K220" s="6">
        <v>0.28789999999999999</v>
      </c>
      <c r="L220" s="6">
        <v>0.65</v>
      </c>
      <c r="M220" s="6">
        <v>0</v>
      </c>
      <c r="N220" s="6">
        <v>4</v>
      </c>
      <c r="O220" s="6">
        <v>26</v>
      </c>
      <c r="P220" s="7">
        <v>30</v>
      </c>
    </row>
    <row r="221" spans="1:16" ht="13.2" x14ac:dyDescent="0.25">
      <c r="A221" s="4">
        <v>830</v>
      </c>
      <c r="B221" s="5">
        <v>40581</v>
      </c>
      <c r="C221" s="6">
        <v>1</v>
      </c>
      <c r="D221" s="6">
        <v>0</v>
      </c>
      <c r="E221" s="6">
        <v>2</v>
      </c>
      <c r="F221" s="6">
        <v>0</v>
      </c>
      <c r="G221" s="6" t="b">
        <v>0</v>
      </c>
      <c r="H221" s="6">
        <v>1</v>
      </c>
      <c r="I221" s="6">
        <v>1</v>
      </c>
      <c r="J221" s="6">
        <v>0.24</v>
      </c>
      <c r="K221" s="6">
        <v>0.28789999999999999</v>
      </c>
      <c r="L221" s="6">
        <v>0.65</v>
      </c>
      <c r="M221" s="6">
        <v>0</v>
      </c>
      <c r="N221" s="6">
        <v>1</v>
      </c>
      <c r="O221" s="6">
        <v>14</v>
      </c>
      <c r="P221" s="7">
        <v>15</v>
      </c>
    </row>
    <row r="222" spans="1:16" ht="13.2" x14ac:dyDescent="0.25">
      <c r="A222" s="4">
        <v>831</v>
      </c>
      <c r="B222" s="5">
        <v>40581</v>
      </c>
      <c r="C222" s="6">
        <v>1</v>
      </c>
      <c r="D222" s="6">
        <v>0</v>
      </c>
      <c r="E222" s="6">
        <v>2</v>
      </c>
      <c r="F222" s="6">
        <v>1</v>
      </c>
      <c r="G222" s="6" t="b">
        <v>0</v>
      </c>
      <c r="H222" s="6">
        <v>1</v>
      </c>
      <c r="I222" s="6">
        <v>1</v>
      </c>
      <c r="J222" s="6">
        <v>0.22</v>
      </c>
      <c r="K222" s="6">
        <v>0.2727</v>
      </c>
      <c r="L222" s="6">
        <v>0.75</v>
      </c>
      <c r="M222" s="6">
        <v>0</v>
      </c>
      <c r="N222" s="6">
        <v>1</v>
      </c>
      <c r="O222" s="6">
        <v>4</v>
      </c>
      <c r="P222" s="7">
        <v>5</v>
      </c>
    </row>
    <row r="223" spans="1:16" ht="13.2" x14ac:dyDescent="0.25">
      <c r="A223" s="4">
        <v>832</v>
      </c>
      <c r="B223" s="5">
        <v>40581</v>
      </c>
      <c r="C223" s="6">
        <v>1</v>
      </c>
      <c r="D223" s="6">
        <v>0</v>
      </c>
      <c r="E223" s="6">
        <v>2</v>
      </c>
      <c r="F223" s="6">
        <v>2</v>
      </c>
      <c r="G223" s="6" t="b">
        <v>0</v>
      </c>
      <c r="H223" s="6">
        <v>1</v>
      </c>
      <c r="I223" s="6">
        <v>1</v>
      </c>
      <c r="J223" s="6">
        <v>0.2</v>
      </c>
      <c r="K223" s="6">
        <v>0.2576</v>
      </c>
      <c r="L223" s="6">
        <v>0.8</v>
      </c>
      <c r="M223" s="6">
        <v>0</v>
      </c>
      <c r="N223" s="6">
        <v>0</v>
      </c>
      <c r="O223" s="6">
        <v>3</v>
      </c>
      <c r="P223" s="7">
        <v>3</v>
      </c>
    </row>
    <row r="224" spans="1:16" ht="13.2" x14ac:dyDescent="0.25">
      <c r="A224" s="4">
        <v>833</v>
      </c>
      <c r="B224" s="5">
        <v>40581</v>
      </c>
      <c r="C224" s="6">
        <v>1</v>
      </c>
      <c r="D224" s="6">
        <v>0</v>
      </c>
      <c r="E224" s="6">
        <v>2</v>
      </c>
      <c r="F224" s="6">
        <v>3</v>
      </c>
      <c r="G224" s="6" t="b">
        <v>0</v>
      </c>
      <c r="H224" s="6">
        <v>1</v>
      </c>
      <c r="I224" s="6">
        <v>1</v>
      </c>
      <c r="J224" s="6">
        <v>0.2</v>
      </c>
      <c r="K224" s="6">
        <v>0.2576</v>
      </c>
      <c r="L224" s="6">
        <v>0.86</v>
      </c>
      <c r="M224" s="6">
        <v>0</v>
      </c>
      <c r="N224" s="6">
        <v>0</v>
      </c>
      <c r="O224" s="6">
        <v>1</v>
      </c>
      <c r="P224" s="7">
        <v>1</v>
      </c>
    </row>
    <row r="225" spans="1:16" ht="13.2" x14ac:dyDescent="0.25">
      <c r="A225" s="4">
        <v>834</v>
      </c>
      <c r="B225" s="5">
        <v>40581</v>
      </c>
      <c r="C225" s="6">
        <v>1</v>
      </c>
      <c r="D225" s="6">
        <v>0</v>
      </c>
      <c r="E225" s="6">
        <v>2</v>
      </c>
      <c r="F225" s="6">
        <v>4</v>
      </c>
      <c r="G225" s="6" t="b">
        <v>0</v>
      </c>
      <c r="H225" s="6">
        <v>1</v>
      </c>
      <c r="I225" s="6">
        <v>1</v>
      </c>
      <c r="J225" s="6">
        <v>0.2</v>
      </c>
      <c r="K225" s="6">
        <v>0.2576</v>
      </c>
      <c r="L225" s="6">
        <v>0.86</v>
      </c>
      <c r="M225" s="6">
        <v>0</v>
      </c>
      <c r="N225" s="6">
        <v>1</v>
      </c>
      <c r="O225" s="6">
        <v>1</v>
      </c>
      <c r="P225" s="7">
        <v>2</v>
      </c>
    </row>
    <row r="226" spans="1:16" ht="13.2" x14ac:dyDescent="0.25">
      <c r="A226" s="4">
        <v>835</v>
      </c>
      <c r="B226" s="5">
        <v>40581</v>
      </c>
      <c r="C226" s="6">
        <v>1</v>
      </c>
      <c r="D226" s="6">
        <v>0</v>
      </c>
      <c r="E226" s="6">
        <v>2</v>
      </c>
      <c r="F226" s="6">
        <v>5</v>
      </c>
      <c r="G226" s="6" t="b">
        <v>0</v>
      </c>
      <c r="H226" s="6">
        <v>1</v>
      </c>
      <c r="I226" s="6">
        <v>1</v>
      </c>
      <c r="J226" s="6">
        <v>0.2</v>
      </c>
      <c r="K226" s="6">
        <v>0.2576</v>
      </c>
      <c r="L226" s="6">
        <v>0.86</v>
      </c>
      <c r="M226" s="6">
        <v>0</v>
      </c>
      <c r="N226" s="6">
        <v>1</v>
      </c>
      <c r="O226" s="6">
        <v>9</v>
      </c>
      <c r="P226" s="7">
        <v>10</v>
      </c>
    </row>
    <row r="227" spans="1:16" ht="13.2" x14ac:dyDescent="0.25">
      <c r="A227" s="4">
        <v>836</v>
      </c>
      <c r="B227" s="5">
        <v>40581</v>
      </c>
      <c r="C227" s="6">
        <v>1</v>
      </c>
      <c r="D227" s="6">
        <v>0</v>
      </c>
      <c r="E227" s="6">
        <v>2</v>
      </c>
      <c r="F227" s="6">
        <v>6</v>
      </c>
      <c r="G227" s="6" t="b">
        <v>0</v>
      </c>
      <c r="H227" s="6">
        <v>1</v>
      </c>
      <c r="I227" s="6">
        <v>1</v>
      </c>
      <c r="J227" s="6">
        <v>0.18</v>
      </c>
      <c r="K227" s="6">
        <v>0.2424</v>
      </c>
      <c r="L227" s="6">
        <v>0.93</v>
      </c>
      <c r="M227" s="6">
        <v>0</v>
      </c>
      <c r="N227" s="6">
        <v>1</v>
      </c>
      <c r="O227" s="6">
        <v>29</v>
      </c>
      <c r="P227" s="7">
        <v>30</v>
      </c>
    </row>
    <row r="228" spans="1:16" ht="13.2" x14ac:dyDescent="0.25">
      <c r="A228" s="4">
        <v>837</v>
      </c>
      <c r="B228" s="5">
        <v>40581</v>
      </c>
      <c r="C228" s="6">
        <v>1</v>
      </c>
      <c r="D228" s="6">
        <v>0</v>
      </c>
      <c r="E228" s="6">
        <v>2</v>
      </c>
      <c r="F228" s="6">
        <v>7</v>
      </c>
      <c r="G228" s="6" t="b">
        <v>0</v>
      </c>
      <c r="H228" s="6">
        <v>1</v>
      </c>
      <c r="I228" s="6">
        <v>1</v>
      </c>
      <c r="J228" s="6">
        <v>0.18</v>
      </c>
      <c r="K228" s="6">
        <v>0.2424</v>
      </c>
      <c r="L228" s="6">
        <v>0.86</v>
      </c>
      <c r="M228" s="6">
        <v>0</v>
      </c>
      <c r="N228" s="6">
        <v>6</v>
      </c>
      <c r="O228" s="6">
        <v>89</v>
      </c>
      <c r="P228" s="7">
        <v>95</v>
      </c>
    </row>
    <row r="229" spans="1:16" ht="13.2" x14ac:dyDescent="0.25">
      <c r="A229" s="4">
        <v>838</v>
      </c>
      <c r="B229" s="5">
        <v>40581</v>
      </c>
      <c r="C229" s="6">
        <v>1</v>
      </c>
      <c r="D229" s="6">
        <v>0</v>
      </c>
      <c r="E229" s="6">
        <v>2</v>
      </c>
      <c r="F229" s="6">
        <v>8</v>
      </c>
      <c r="G229" s="6" t="b">
        <v>0</v>
      </c>
      <c r="H229" s="6">
        <v>1</v>
      </c>
      <c r="I229" s="6">
        <v>2</v>
      </c>
      <c r="J229" s="6">
        <v>0.16</v>
      </c>
      <c r="K229" s="6">
        <v>0.2273</v>
      </c>
      <c r="L229" s="6">
        <v>1</v>
      </c>
      <c r="M229" s="6">
        <v>0</v>
      </c>
      <c r="N229" s="6">
        <v>7</v>
      </c>
      <c r="O229" s="6">
        <v>223</v>
      </c>
      <c r="P229" s="7">
        <v>230</v>
      </c>
    </row>
    <row r="230" spans="1:16" ht="13.2" x14ac:dyDescent="0.25">
      <c r="A230" s="4">
        <v>839</v>
      </c>
      <c r="B230" s="5">
        <v>40581</v>
      </c>
      <c r="C230" s="6">
        <v>1</v>
      </c>
      <c r="D230" s="6">
        <v>0</v>
      </c>
      <c r="E230" s="6">
        <v>2</v>
      </c>
      <c r="F230" s="6">
        <v>9</v>
      </c>
      <c r="G230" s="6" t="b">
        <v>0</v>
      </c>
      <c r="H230" s="6">
        <v>1</v>
      </c>
      <c r="I230" s="6">
        <v>1</v>
      </c>
      <c r="J230" s="6">
        <v>0.22</v>
      </c>
      <c r="K230" s="6">
        <v>0.2727</v>
      </c>
      <c r="L230" s="6">
        <v>0.8</v>
      </c>
      <c r="M230" s="6">
        <v>0</v>
      </c>
      <c r="N230" s="6">
        <v>3</v>
      </c>
      <c r="O230" s="6">
        <v>115</v>
      </c>
      <c r="P230" s="7">
        <v>118</v>
      </c>
    </row>
    <row r="231" spans="1:16" ht="13.2" x14ac:dyDescent="0.25">
      <c r="A231" s="4">
        <v>840</v>
      </c>
      <c r="B231" s="5">
        <v>40581</v>
      </c>
      <c r="C231" s="6">
        <v>1</v>
      </c>
      <c r="D231" s="6">
        <v>0</v>
      </c>
      <c r="E231" s="6">
        <v>2</v>
      </c>
      <c r="F231" s="6">
        <v>10</v>
      </c>
      <c r="G231" s="6" t="b">
        <v>0</v>
      </c>
      <c r="H231" s="6">
        <v>1</v>
      </c>
      <c r="I231" s="6">
        <v>1</v>
      </c>
      <c r="J231" s="6">
        <v>0.24</v>
      </c>
      <c r="K231" s="6">
        <v>0.2576</v>
      </c>
      <c r="L231" s="6">
        <v>0.75</v>
      </c>
      <c r="M231" s="6">
        <v>0.1045</v>
      </c>
      <c r="N231" s="6">
        <v>6</v>
      </c>
      <c r="O231" s="6">
        <v>49</v>
      </c>
      <c r="P231" s="7">
        <v>55</v>
      </c>
    </row>
    <row r="232" spans="1:16" ht="13.2" x14ac:dyDescent="0.25">
      <c r="A232" s="4">
        <v>841</v>
      </c>
      <c r="B232" s="5">
        <v>40581</v>
      </c>
      <c r="C232" s="6">
        <v>1</v>
      </c>
      <c r="D232" s="6">
        <v>0</v>
      </c>
      <c r="E232" s="6">
        <v>2</v>
      </c>
      <c r="F232" s="6">
        <v>11</v>
      </c>
      <c r="G232" s="6" t="b">
        <v>0</v>
      </c>
      <c r="H232" s="6">
        <v>1</v>
      </c>
      <c r="I232" s="6">
        <v>1</v>
      </c>
      <c r="J232" s="6">
        <v>0.3</v>
      </c>
      <c r="K232" s="6">
        <v>0.31819999999999998</v>
      </c>
      <c r="L232" s="6">
        <v>0.65</v>
      </c>
      <c r="M232" s="6">
        <v>8.9599999999999999E-2</v>
      </c>
      <c r="N232" s="6">
        <v>11</v>
      </c>
      <c r="O232" s="6">
        <v>36</v>
      </c>
      <c r="P232" s="7">
        <v>47</v>
      </c>
    </row>
    <row r="233" spans="1:16" ht="13.2" x14ac:dyDescent="0.25">
      <c r="A233" s="4">
        <v>842</v>
      </c>
      <c r="B233" s="5">
        <v>40581</v>
      </c>
      <c r="C233" s="6">
        <v>1</v>
      </c>
      <c r="D233" s="6">
        <v>0</v>
      </c>
      <c r="E233" s="6">
        <v>2</v>
      </c>
      <c r="F233" s="6">
        <v>12</v>
      </c>
      <c r="G233" s="6" t="b">
        <v>0</v>
      </c>
      <c r="H233" s="6">
        <v>1</v>
      </c>
      <c r="I233" s="6">
        <v>2</v>
      </c>
      <c r="J233" s="6">
        <v>0.32</v>
      </c>
      <c r="K233" s="6">
        <v>0.34849999999999998</v>
      </c>
      <c r="L233" s="6">
        <v>0.62</v>
      </c>
      <c r="M233" s="6">
        <v>0</v>
      </c>
      <c r="N233" s="6">
        <v>7</v>
      </c>
      <c r="O233" s="6">
        <v>59</v>
      </c>
      <c r="P233" s="7">
        <v>66</v>
      </c>
    </row>
    <row r="234" spans="1:16" ht="13.2" x14ac:dyDescent="0.25">
      <c r="A234" s="4">
        <v>843</v>
      </c>
      <c r="B234" s="5">
        <v>40581</v>
      </c>
      <c r="C234" s="6">
        <v>1</v>
      </c>
      <c r="D234" s="6">
        <v>0</v>
      </c>
      <c r="E234" s="6">
        <v>2</v>
      </c>
      <c r="F234" s="6">
        <v>13</v>
      </c>
      <c r="G234" s="6" t="b">
        <v>0</v>
      </c>
      <c r="H234" s="6">
        <v>1</v>
      </c>
      <c r="I234" s="6">
        <v>2</v>
      </c>
      <c r="J234" s="6">
        <v>0.36</v>
      </c>
      <c r="K234" s="6">
        <v>0.36359999999999998</v>
      </c>
      <c r="L234" s="6">
        <v>0.56999999999999995</v>
      </c>
      <c r="M234" s="6">
        <v>8.9599999999999999E-2</v>
      </c>
      <c r="N234" s="6">
        <v>10</v>
      </c>
      <c r="O234" s="6">
        <v>54</v>
      </c>
      <c r="P234" s="7">
        <v>64</v>
      </c>
    </row>
    <row r="235" spans="1:16" ht="13.2" x14ac:dyDescent="0.25">
      <c r="A235" s="4">
        <v>844</v>
      </c>
      <c r="B235" s="5">
        <v>40581</v>
      </c>
      <c r="C235" s="6">
        <v>1</v>
      </c>
      <c r="D235" s="6">
        <v>0</v>
      </c>
      <c r="E235" s="6">
        <v>2</v>
      </c>
      <c r="F235" s="6">
        <v>14</v>
      </c>
      <c r="G235" s="6" t="b">
        <v>0</v>
      </c>
      <c r="H235" s="6">
        <v>1</v>
      </c>
      <c r="I235" s="6">
        <v>2</v>
      </c>
      <c r="J235" s="6">
        <v>0.36</v>
      </c>
      <c r="K235" s="6">
        <v>0.36359999999999998</v>
      </c>
      <c r="L235" s="6">
        <v>0.56999999999999995</v>
      </c>
      <c r="M235" s="6">
        <v>8.9599999999999999E-2</v>
      </c>
      <c r="N235" s="6">
        <v>8</v>
      </c>
      <c r="O235" s="6">
        <v>52</v>
      </c>
      <c r="P235" s="7">
        <v>60</v>
      </c>
    </row>
    <row r="236" spans="1:16" ht="13.2" x14ac:dyDescent="0.25">
      <c r="A236" s="4">
        <v>845</v>
      </c>
      <c r="B236" s="5">
        <v>40581</v>
      </c>
      <c r="C236" s="6">
        <v>1</v>
      </c>
      <c r="D236" s="6">
        <v>0</v>
      </c>
      <c r="E236" s="6">
        <v>2</v>
      </c>
      <c r="F236" s="6">
        <v>15</v>
      </c>
      <c r="G236" s="6" t="b">
        <v>0</v>
      </c>
      <c r="H236" s="6">
        <v>1</v>
      </c>
      <c r="I236" s="6">
        <v>2</v>
      </c>
      <c r="J236" s="6">
        <v>0.38</v>
      </c>
      <c r="K236" s="6">
        <v>0.39389999999999997</v>
      </c>
      <c r="L236" s="6">
        <v>0.54</v>
      </c>
      <c r="M236" s="6">
        <v>8.9599999999999999E-2</v>
      </c>
      <c r="N236" s="6">
        <v>4</v>
      </c>
      <c r="O236" s="6">
        <v>46</v>
      </c>
      <c r="P236" s="7">
        <v>50</v>
      </c>
    </row>
    <row r="237" spans="1:16" ht="13.2" x14ac:dyDescent="0.25">
      <c r="A237" s="4">
        <v>846</v>
      </c>
      <c r="B237" s="5">
        <v>40581</v>
      </c>
      <c r="C237" s="6">
        <v>1</v>
      </c>
      <c r="D237" s="6">
        <v>0</v>
      </c>
      <c r="E237" s="6">
        <v>2</v>
      </c>
      <c r="F237" s="6">
        <v>16</v>
      </c>
      <c r="G237" s="6" t="b">
        <v>0</v>
      </c>
      <c r="H237" s="6">
        <v>1</v>
      </c>
      <c r="I237" s="6">
        <v>2</v>
      </c>
      <c r="J237" s="6">
        <v>0.36</v>
      </c>
      <c r="K237" s="6">
        <v>0.34849999999999998</v>
      </c>
      <c r="L237" s="6">
        <v>0.56999999999999995</v>
      </c>
      <c r="M237" s="6">
        <v>0.1343</v>
      </c>
      <c r="N237" s="6">
        <v>16</v>
      </c>
      <c r="O237" s="6">
        <v>98</v>
      </c>
      <c r="P237" s="7">
        <v>114</v>
      </c>
    </row>
    <row r="238" spans="1:16" ht="13.2" x14ac:dyDescent="0.25">
      <c r="A238" s="4">
        <v>847</v>
      </c>
      <c r="B238" s="5">
        <v>40581</v>
      </c>
      <c r="C238" s="6">
        <v>1</v>
      </c>
      <c r="D238" s="6">
        <v>0</v>
      </c>
      <c r="E238" s="6">
        <v>2</v>
      </c>
      <c r="F238" s="6">
        <v>17</v>
      </c>
      <c r="G238" s="6" t="b">
        <v>0</v>
      </c>
      <c r="H238" s="6">
        <v>1</v>
      </c>
      <c r="I238" s="6">
        <v>2</v>
      </c>
      <c r="J238" s="6">
        <v>0.32</v>
      </c>
      <c r="K238" s="6">
        <v>0.31819999999999998</v>
      </c>
      <c r="L238" s="6">
        <v>0.7</v>
      </c>
      <c r="M238" s="6">
        <v>0.16420000000000001</v>
      </c>
      <c r="N238" s="6">
        <v>9</v>
      </c>
      <c r="O238" s="6">
        <v>207</v>
      </c>
      <c r="P238" s="7">
        <v>216</v>
      </c>
    </row>
    <row r="239" spans="1:16" ht="13.2" x14ac:dyDescent="0.25">
      <c r="A239" s="4">
        <v>848</v>
      </c>
      <c r="B239" s="5">
        <v>40581</v>
      </c>
      <c r="C239" s="6">
        <v>1</v>
      </c>
      <c r="D239" s="6">
        <v>0</v>
      </c>
      <c r="E239" s="6">
        <v>2</v>
      </c>
      <c r="F239" s="6">
        <v>18</v>
      </c>
      <c r="G239" s="6" t="b">
        <v>0</v>
      </c>
      <c r="H239" s="6">
        <v>1</v>
      </c>
      <c r="I239" s="6">
        <v>2</v>
      </c>
      <c r="J239" s="6">
        <v>0.34</v>
      </c>
      <c r="K239" s="6">
        <v>0.33329999999999999</v>
      </c>
      <c r="L239" s="6">
        <v>0.66</v>
      </c>
      <c r="M239" s="6">
        <v>0.1343</v>
      </c>
      <c r="N239" s="6">
        <v>5</v>
      </c>
      <c r="O239" s="6">
        <v>170</v>
      </c>
      <c r="P239" s="7">
        <v>175</v>
      </c>
    </row>
    <row r="240" spans="1:16" ht="13.2" x14ac:dyDescent="0.25">
      <c r="A240" s="4">
        <v>849</v>
      </c>
      <c r="B240" s="5">
        <v>40581</v>
      </c>
      <c r="C240" s="6">
        <v>1</v>
      </c>
      <c r="D240" s="6">
        <v>0</v>
      </c>
      <c r="E240" s="6">
        <v>2</v>
      </c>
      <c r="F240" s="6">
        <v>19</v>
      </c>
      <c r="G240" s="6" t="b">
        <v>0</v>
      </c>
      <c r="H240" s="6">
        <v>1</v>
      </c>
      <c r="I240" s="6">
        <v>2</v>
      </c>
      <c r="J240" s="6">
        <v>0.32</v>
      </c>
      <c r="K240" s="6">
        <v>0.34849999999999998</v>
      </c>
      <c r="L240" s="6">
        <v>0.7</v>
      </c>
      <c r="M240" s="6">
        <v>0</v>
      </c>
      <c r="N240" s="6">
        <v>5</v>
      </c>
      <c r="O240" s="6">
        <v>123</v>
      </c>
      <c r="P240" s="7">
        <v>128</v>
      </c>
    </row>
    <row r="241" spans="1:16" ht="13.2" x14ac:dyDescent="0.25">
      <c r="A241" s="4">
        <v>850</v>
      </c>
      <c r="B241" s="5">
        <v>40581</v>
      </c>
      <c r="C241" s="6">
        <v>1</v>
      </c>
      <c r="D241" s="6">
        <v>0</v>
      </c>
      <c r="E241" s="6">
        <v>2</v>
      </c>
      <c r="F241" s="6">
        <v>20</v>
      </c>
      <c r="G241" s="6" t="b">
        <v>0</v>
      </c>
      <c r="H241" s="6">
        <v>1</v>
      </c>
      <c r="I241" s="6">
        <v>2</v>
      </c>
      <c r="J241" s="6">
        <v>0.32</v>
      </c>
      <c r="K241" s="6">
        <v>0.33329999999999999</v>
      </c>
      <c r="L241" s="6">
        <v>0.7</v>
      </c>
      <c r="M241" s="6">
        <v>0.1045</v>
      </c>
      <c r="N241" s="6">
        <v>6</v>
      </c>
      <c r="O241" s="6">
        <v>82</v>
      </c>
      <c r="P241" s="7">
        <v>88</v>
      </c>
    </row>
    <row r="242" spans="1:16" ht="13.2" x14ac:dyDescent="0.25">
      <c r="A242" s="4">
        <v>851</v>
      </c>
      <c r="B242" s="5">
        <v>40581</v>
      </c>
      <c r="C242" s="6">
        <v>1</v>
      </c>
      <c r="D242" s="6">
        <v>0</v>
      </c>
      <c r="E242" s="6">
        <v>2</v>
      </c>
      <c r="F242" s="6">
        <v>21</v>
      </c>
      <c r="G242" s="6" t="b">
        <v>0</v>
      </c>
      <c r="H242" s="6">
        <v>1</v>
      </c>
      <c r="I242" s="6">
        <v>1</v>
      </c>
      <c r="J242" s="6">
        <v>0.32</v>
      </c>
      <c r="K242" s="6">
        <v>0.34849999999999998</v>
      </c>
      <c r="L242" s="6">
        <v>0.7</v>
      </c>
      <c r="M242" s="6">
        <v>0</v>
      </c>
      <c r="N242" s="6">
        <v>3</v>
      </c>
      <c r="O242" s="6">
        <v>75</v>
      </c>
      <c r="P242" s="7">
        <v>78</v>
      </c>
    </row>
    <row r="243" spans="1:16" ht="13.2" x14ac:dyDescent="0.25">
      <c r="A243" s="4">
        <v>852</v>
      </c>
      <c r="B243" s="5">
        <v>40581</v>
      </c>
      <c r="C243" s="6">
        <v>1</v>
      </c>
      <c r="D243" s="6">
        <v>0</v>
      </c>
      <c r="E243" s="6">
        <v>2</v>
      </c>
      <c r="F243" s="6">
        <v>22</v>
      </c>
      <c r="G243" s="6" t="b">
        <v>0</v>
      </c>
      <c r="H243" s="6">
        <v>1</v>
      </c>
      <c r="I243" s="6">
        <v>1</v>
      </c>
      <c r="J243" s="6">
        <v>0.28000000000000003</v>
      </c>
      <c r="K243" s="6">
        <v>0.30299999999999999</v>
      </c>
      <c r="L243" s="6">
        <v>0.81</v>
      </c>
      <c r="M243" s="6">
        <v>8.9599999999999999E-2</v>
      </c>
      <c r="N243" s="6">
        <v>3</v>
      </c>
      <c r="O243" s="6">
        <v>34</v>
      </c>
      <c r="P243" s="7">
        <v>37</v>
      </c>
    </row>
    <row r="244" spans="1:16" ht="13.2" x14ac:dyDescent="0.25">
      <c r="A244" s="4">
        <v>853</v>
      </c>
      <c r="B244" s="5">
        <v>40581</v>
      </c>
      <c r="C244" s="6">
        <v>1</v>
      </c>
      <c r="D244" s="6">
        <v>0</v>
      </c>
      <c r="E244" s="6">
        <v>2</v>
      </c>
      <c r="F244" s="6">
        <v>23</v>
      </c>
      <c r="G244" s="6" t="b">
        <v>0</v>
      </c>
      <c r="H244" s="6">
        <v>1</v>
      </c>
      <c r="I244" s="6">
        <v>2</v>
      </c>
      <c r="J244" s="6">
        <v>0.3</v>
      </c>
      <c r="K244" s="6">
        <v>0.33329999999999999</v>
      </c>
      <c r="L244" s="6">
        <v>0.81</v>
      </c>
      <c r="M244" s="6">
        <v>0</v>
      </c>
      <c r="N244" s="6">
        <v>6</v>
      </c>
      <c r="O244" s="6">
        <v>19</v>
      </c>
      <c r="P244" s="7">
        <v>25</v>
      </c>
    </row>
    <row r="245" spans="1:16" ht="13.2" x14ac:dyDescent="0.25">
      <c r="A245" s="4">
        <v>854</v>
      </c>
      <c r="B245" s="5">
        <v>40582</v>
      </c>
      <c r="C245" s="6">
        <v>1</v>
      </c>
      <c r="D245" s="6">
        <v>0</v>
      </c>
      <c r="E245" s="6">
        <v>2</v>
      </c>
      <c r="F245" s="6">
        <v>0</v>
      </c>
      <c r="G245" s="6" t="b">
        <v>0</v>
      </c>
      <c r="H245" s="6">
        <v>2</v>
      </c>
      <c r="I245" s="6">
        <v>2</v>
      </c>
      <c r="J245" s="6">
        <v>0.28000000000000003</v>
      </c>
      <c r="K245" s="6">
        <v>0.31819999999999998</v>
      </c>
      <c r="L245" s="6">
        <v>0.87</v>
      </c>
      <c r="M245" s="6">
        <v>0</v>
      </c>
      <c r="N245" s="6">
        <v>4</v>
      </c>
      <c r="O245" s="6">
        <v>6</v>
      </c>
      <c r="P245" s="7">
        <v>10</v>
      </c>
    </row>
    <row r="246" spans="1:16" ht="13.2" x14ac:dyDescent="0.25">
      <c r="A246" s="4">
        <v>855</v>
      </c>
      <c r="B246" s="5">
        <v>40582</v>
      </c>
      <c r="C246" s="6">
        <v>1</v>
      </c>
      <c r="D246" s="6">
        <v>0</v>
      </c>
      <c r="E246" s="6">
        <v>2</v>
      </c>
      <c r="F246" s="6">
        <v>1</v>
      </c>
      <c r="G246" s="6" t="b">
        <v>0</v>
      </c>
      <c r="H246" s="6">
        <v>2</v>
      </c>
      <c r="I246" s="6">
        <v>2</v>
      </c>
      <c r="J246" s="6">
        <v>0.28000000000000003</v>
      </c>
      <c r="K246" s="6">
        <v>0.31819999999999998</v>
      </c>
      <c r="L246" s="6">
        <v>0.87</v>
      </c>
      <c r="M246" s="6">
        <v>0</v>
      </c>
      <c r="N246" s="6">
        <v>0</v>
      </c>
      <c r="O246" s="6">
        <v>4</v>
      </c>
      <c r="P246" s="7">
        <v>4</v>
      </c>
    </row>
    <row r="247" spans="1:16" ht="13.2" x14ac:dyDescent="0.25">
      <c r="A247" s="4">
        <v>856</v>
      </c>
      <c r="B247" s="5">
        <v>40582</v>
      </c>
      <c r="C247" s="6">
        <v>1</v>
      </c>
      <c r="D247" s="6">
        <v>0</v>
      </c>
      <c r="E247" s="6">
        <v>2</v>
      </c>
      <c r="F247" s="6">
        <v>2</v>
      </c>
      <c r="G247" s="6" t="b">
        <v>0</v>
      </c>
      <c r="H247" s="6">
        <v>2</v>
      </c>
      <c r="I247" s="6">
        <v>2</v>
      </c>
      <c r="J247" s="6">
        <v>0.26</v>
      </c>
      <c r="K247" s="6">
        <v>0.2727</v>
      </c>
      <c r="L247" s="6">
        <v>0.93</v>
      </c>
      <c r="M247" s="6">
        <v>0.1045</v>
      </c>
      <c r="N247" s="6">
        <v>1</v>
      </c>
      <c r="O247" s="6">
        <v>1</v>
      </c>
      <c r="P247" s="7">
        <v>2</v>
      </c>
    </row>
    <row r="248" spans="1:16" ht="13.2" x14ac:dyDescent="0.25">
      <c r="A248" s="4">
        <v>857</v>
      </c>
      <c r="B248" s="5">
        <v>40582</v>
      </c>
      <c r="C248" s="6">
        <v>1</v>
      </c>
      <c r="D248" s="6">
        <v>0</v>
      </c>
      <c r="E248" s="6">
        <v>2</v>
      </c>
      <c r="F248" s="6">
        <v>3</v>
      </c>
      <c r="G248" s="6" t="b">
        <v>0</v>
      </c>
      <c r="H248" s="6">
        <v>2</v>
      </c>
      <c r="I248" s="6">
        <v>3</v>
      </c>
      <c r="J248" s="6">
        <v>0.28000000000000003</v>
      </c>
      <c r="K248" s="6">
        <v>0.2727</v>
      </c>
      <c r="L248" s="6">
        <v>0.93</v>
      </c>
      <c r="M248" s="6">
        <v>0.16420000000000001</v>
      </c>
      <c r="N248" s="6">
        <v>0</v>
      </c>
      <c r="O248" s="6">
        <v>1</v>
      </c>
      <c r="P248" s="7">
        <v>1</v>
      </c>
    </row>
    <row r="249" spans="1:16" ht="13.2" x14ac:dyDescent="0.25">
      <c r="A249" s="4">
        <v>858</v>
      </c>
      <c r="B249" s="5">
        <v>40582</v>
      </c>
      <c r="C249" s="6">
        <v>1</v>
      </c>
      <c r="D249" s="6">
        <v>0</v>
      </c>
      <c r="E249" s="6">
        <v>2</v>
      </c>
      <c r="F249" s="6">
        <v>4</v>
      </c>
      <c r="G249" s="6" t="b">
        <v>0</v>
      </c>
      <c r="H249" s="6">
        <v>2</v>
      </c>
      <c r="I249" s="6">
        <v>1</v>
      </c>
      <c r="J249" s="6">
        <v>0.26</v>
      </c>
      <c r="K249" s="6">
        <v>0.2576</v>
      </c>
      <c r="L249" s="6">
        <v>0.93</v>
      </c>
      <c r="M249" s="6">
        <v>0.16420000000000001</v>
      </c>
      <c r="N249" s="6">
        <v>0</v>
      </c>
      <c r="O249" s="6">
        <v>3</v>
      </c>
      <c r="P249" s="7">
        <v>3</v>
      </c>
    </row>
    <row r="250" spans="1:16" ht="13.2" x14ac:dyDescent="0.25">
      <c r="A250" s="4">
        <v>859</v>
      </c>
      <c r="B250" s="5">
        <v>40582</v>
      </c>
      <c r="C250" s="6">
        <v>1</v>
      </c>
      <c r="D250" s="6">
        <v>0</v>
      </c>
      <c r="E250" s="6">
        <v>2</v>
      </c>
      <c r="F250" s="6">
        <v>5</v>
      </c>
      <c r="G250" s="6" t="b">
        <v>0</v>
      </c>
      <c r="H250" s="6">
        <v>2</v>
      </c>
      <c r="I250" s="6">
        <v>1</v>
      </c>
      <c r="J250" s="6">
        <v>0.26</v>
      </c>
      <c r="K250" s="6">
        <v>0.2273</v>
      </c>
      <c r="L250" s="6">
        <v>0.81</v>
      </c>
      <c r="M250" s="6">
        <v>0.32840000000000003</v>
      </c>
      <c r="N250" s="6">
        <v>0</v>
      </c>
      <c r="O250" s="6">
        <v>2</v>
      </c>
      <c r="P250" s="7">
        <v>2</v>
      </c>
    </row>
    <row r="251" spans="1:16" ht="13.2" x14ac:dyDescent="0.25">
      <c r="A251" s="4">
        <v>860</v>
      </c>
      <c r="B251" s="5">
        <v>40582</v>
      </c>
      <c r="C251" s="6">
        <v>1</v>
      </c>
      <c r="D251" s="6">
        <v>0</v>
      </c>
      <c r="E251" s="6">
        <v>2</v>
      </c>
      <c r="F251" s="6">
        <v>6</v>
      </c>
      <c r="G251" s="6" t="b">
        <v>0</v>
      </c>
      <c r="H251" s="6">
        <v>2</v>
      </c>
      <c r="I251" s="6">
        <v>1</v>
      </c>
      <c r="J251" s="6">
        <v>0.26</v>
      </c>
      <c r="K251" s="6">
        <v>0.2273</v>
      </c>
      <c r="L251" s="6">
        <v>0.7</v>
      </c>
      <c r="M251" s="6">
        <v>0.32840000000000003</v>
      </c>
      <c r="N251" s="6">
        <v>0</v>
      </c>
      <c r="O251" s="6">
        <v>39</v>
      </c>
      <c r="P251" s="7">
        <v>39</v>
      </c>
    </row>
    <row r="252" spans="1:16" ht="13.2" x14ac:dyDescent="0.25">
      <c r="A252" s="4">
        <v>861</v>
      </c>
      <c r="B252" s="5">
        <v>40582</v>
      </c>
      <c r="C252" s="6">
        <v>1</v>
      </c>
      <c r="D252" s="6">
        <v>0</v>
      </c>
      <c r="E252" s="6">
        <v>2</v>
      </c>
      <c r="F252" s="6">
        <v>7</v>
      </c>
      <c r="G252" s="6" t="b">
        <v>0</v>
      </c>
      <c r="H252" s="6">
        <v>2</v>
      </c>
      <c r="I252" s="6">
        <v>1</v>
      </c>
      <c r="J252" s="6">
        <v>0.24</v>
      </c>
      <c r="K252" s="6">
        <v>0.19700000000000001</v>
      </c>
      <c r="L252" s="6">
        <v>0.65</v>
      </c>
      <c r="M252" s="6">
        <v>0.41789999999999999</v>
      </c>
      <c r="N252" s="6">
        <v>3</v>
      </c>
      <c r="O252" s="6">
        <v>97</v>
      </c>
      <c r="P252" s="7">
        <v>100</v>
      </c>
    </row>
    <row r="253" spans="1:16" ht="13.2" x14ac:dyDescent="0.25">
      <c r="A253" s="4">
        <v>862</v>
      </c>
      <c r="B253" s="5">
        <v>40582</v>
      </c>
      <c r="C253" s="6">
        <v>1</v>
      </c>
      <c r="D253" s="6">
        <v>0</v>
      </c>
      <c r="E253" s="6">
        <v>2</v>
      </c>
      <c r="F253" s="6">
        <v>8</v>
      </c>
      <c r="G253" s="6" t="b">
        <v>0</v>
      </c>
      <c r="H253" s="6">
        <v>2</v>
      </c>
      <c r="I253" s="6">
        <v>1</v>
      </c>
      <c r="J253" s="6">
        <v>0.24</v>
      </c>
      <c r="K253" s="6">
        <v>0.19700000000000001</v>
      </c>
      <c r="L253" s="6">
        <v>0.56000000000000005</v>
      </c>
      <c r="M253" s="6">
        <v>0.49249999999999999</v>
      </c>
      <c r="N253" s="6">
        <v>7</v>
      </c>
      <c r="O253" s="6">
        <v>236</v>
      </c>
      <c r="P253" s="7">
        <v>243</v>
      </c>
    </row>
    <row r="254" spans="1:16" ht="13.2" x14ac:dyDescent="0.25">
      <c r="A254" s="4">
        <v>863</v>
      </c>
      <c r="B254" s="5">
        <v>40582</v>
      </c>
      <c r="C254" s="6">
        <v>1</v>
      </c>
      <c r="D254" s="6">
        <v>0</v>
      </c>
      <c r="E254" s="6">
        <v>2</v>
      </c>
      <c r="F254" s="6">
        <v>9</v>
      </c>
      <c r="G254" s="6" t="b">
        <v>0</v>
      </c>
      <c r="H254" s="6">
        <v>2</v>
      </c>
      <c r="I254" s="6">
        <v>1</v>
      </c>
      <c r="J254" s="6">
        <v>0.24</v>
      </c>
      <c r="K254" s="6">
        <v>0.19700000000000001</v>
      </c>
      <c r="L254" s="6">
        <v>0.52</v>
      </c>
      <c r="M254" s="6">
        <v>0.49249999999999999</v>
      </c>
      <c r="N254" s="6">
        <v>7</v>
      </c>
      <c r="O254" s="6">
        <v>128</v>
      </c>
      <c r="P254" s="7">
        <v>135</v>
      </c>
    </row>
    <row r="255" spans="1:16" ht="13.2" x14ac:dyDescent="0.25">
      <c r="A255" s="4">
        <v>864</v>
      </c>
      <c r="B255" s="5">
        <v>40582</v>
      </c>
      <c r="C255" s="6">
        <v>1</v>
      </c>
      <c r="D255" s="6">
        <v>0</v>
      </c>
      <c r="E255" s="6">
        <v>2</v>
      </c>
      <c r="F255" s="6">
        <v>10</v>
      </c>
      <c r="G255" s="6" t="b">
        <v>0</v>
      </c>
      <c r="H255" s="6">
        <v>2</v>
      </c>
      <c r="I255" s="6">
        <v>1</v>
      </c>
      <c r="J255" s="6">
        <v>0.22</v>
      </c>
      <c r="K255" s="6">
        <v>0.18179999999999999</v>
      </c>
      <c r="L255" s="6">
        <v>0.47</v>
      </c>
      <c r="M255" s="6">
        <v>0.55220000000000002</v>
      </c>
      <c r="N255" s="6">
        <v>4</v>
      </c>
      <c r="O255" s="6">
        <v>44</v>
      </c>
      <c r="P255" s="7">
        <v>48</v>
      </c>
    </row>
    <row r="256" spans="1:16" ht="13.2" x14ac:dyDescent="0.25">
      <c r="A256" s="4">
        <v>865</v>
      </c>
      <c r="B256" s="5">
        <v>40582</v>
      </c>
      <c r="C256" s="6">
        <v>1</v>
      </c>
      <c r="D256" s="6">
        <v>0</v>
      </c>
      <c r="E256" s="6">
        <v>2</v>
      </c>
      <c r="F256" s="6">
        <v>11</v>
      </c>
      <c r="G256" s="6" t="b">
        <v>0</v>
      </c>
      <c r="H256" s="6">
        <v>2</v>
      </c>
      <c r="I256" s="6">
        <v>1</v>
      </c>
      <c r="J256" s="6">
        <v>0.22</v>
      </c>
      <c r="K256" s="6">
        <v>0.18179999999999999</v>
      </c>
      <c r="L256" s="6">
        <v>0.47</v>
      </c>
      <c r="M256" s="6">
        <v>0.4627</v>
      </c>
      <c r="N256" s="6">
        <v>1</v>
      </c>
      <c r="O256" s="6">
        <v>49</v>
      </c>
      <c r="P256" s="7">
        <v>50</v>
      </c>
    </row>
    <row r="257" spans="1:16" ht="13.2" x14ac:dyDescent="0.25">
      <c r="A257" s="4">
        <v>866</v>
      </c>
      <c r="B257" s="5">
        <v>40582</v>
      </c>
      <c r="C257" s="6">
        <v>1</v>
      </c>
      <c r="D257" s="6">
        <v>0</v>
      </c>
      <c r="E257" s="6">
        <v>2</v>
      </c>
      <c r="F257" s="6">
        <v>12</v>
      </c>
      <c r="G257" s="6" t="b">
        <v>0</v>
      </c>
      <c r="H257" s="6">
        <v>2</v>
      </c>
      <c r="I257" s="6">
        <v>1</v>
      </c>
      <c r="J257" s="6">
        <v>0.24</v>
      </c>
      <c r="K257" s="6">
        <v>0.19700000000000001</v>
      </c>
      <c r="L257" s="6">
        <v>0.38</v>
      </c>
      <c r="M257" s="6">
        <v>0.49249999999999999</v>
      </c>
      <c r="N257" s="6">
        <v>2</v>
      </c>
      <c r="O257" s="6">
        <v>63</v>
      </c>
      <c r="P257" s="7">
        <v>65</v>
      </c>
    </row>
    <row r="258" spans="1:16" ht="13.2" x14ac:dyDescent="0.25">
      <c r="A258" s="4">
        <v>867</v>
      </c>
      <c r="B258" s="5">
        <v>40582</v>
      </c>
      <c r="C258" s="6">
        <v>1</v>
      </c>
      <c r="D258" s="6">
        <v>0</v>
      </c>
      <c r="E258" s="6">
        <v>2</v>
      </c>
      <c r="F258" s="6">
        <v>13</v>
      </c>
      <c r="G258" s="6" t="b">
        <v>0</v>
      </c>
      <c r="H258" s="6">
        <v>2</v>
      </c>
      <c r="I258" s="6">
        <v>2</v>
      </c>
      <c r="J258" s="6">
        <v>0.24</v>
      </c>
      <c r="K258" s="6">
        <v>0.19700000000000001</v>
      </c>
      <c r="L258" s="6">
        <v>0.32</v>
      </c>
      <c r="M258" s="6">
        <v>0.44779999999999998</v>
      </c>
      <c r="N258" s="6">
        <v>2</v>
      </c>
      <c r="O258" s="6">
        <v>48</v>
      </c>
      <c r="P258" s="7">
        <v>50</v>
      </c>
    </row>
    <row r="259" spans="1:16" ht="13.2" x14ac:dyDescent="0.25">
      <c r="A259" s="4">
        <v>868</v>
      </c>
      <c r="B259" s="5">
        <v>40582</v>
      </c>
      <c r="C259" s="6">
        <v>1</v>
      </c>
      <c r="D259" s="6">
        <v>0</v>
      </c>
      <c r="E259" s="6">
        <v>2</v>
      </c>
      <c r="F259" s="6">
        <v>14</v>
      </c>
      <c r="G259" s="6" t="b">
        <v>0</v>
      </c>
      <c r="H259" s="6">
        <v>2</v>
      </c>
      <c r="I259" s="6">
        <v>1</v>
      </c>
      <c r="J259" s="6">
        <v>0.22</v>
      </c>
      <c r="K259" s="6">
        <v>0.19700000000000001</v>
      </c>
      <c r="L259" s="6">
        <v>0.37</v>
      </c>
      <c r="M259" s="6">
        <v>0.41789999999999999</v>
      </c>
      <c r="N259" s="6">
        <v>3</v>
      </c>
      <c r="O259" s="6">
        <v>61</v>
      </c>
      <c r="P259" s="7">
        <v>64</v>
      </c>
    </row>
    <row r="260" spans="1:16" ht="13.2" x14ac:dyDescent="0.25">
      <c r="A260" s="4">
        <v>869</v>
      </c>
      <c r="B260" s="5">
        <v>40582</v>
      </c>
      <c r="C260" s="6">
        <v>1</v>
      </c>
      <c r="D260" s="6">
        <v>0</v>
      </c>
      <c r="E260" s="6">
        <v>2</v>
      </c>
      <c r="F260" s="6">
        <v>15</v>
      </c>
      <c r="G260" s="6" t="b">
        <v>0</v>
      </c>
      <c r="H260" s="6">
        <v>2</v>
      </c>
      <c r="I260" s="6">
        <v>1</v>
      </c>
      <c r="J260" s="6">
        <v>0.22</v>
      </c>
      <c r="K260" s="6">
        <v>0.19700000000000001</v>
      </c>
      <c r="L260" s="6">
        <v>0.35</v>
      </c>
      <c r="M260" s="6">
        <v>0.3881</v>
      </c>
      <c r="N260" s="6">
        <v>6</v>
      </c>
      <c r="O260" s="6">
        <v>45</v>
      </c>
      <c r="P260" s="7">
        <v>51</v>
      </c>
    </row>
    <row r="261" spans="1:16" ht="13.2" x14ac:dyDescent="0.25">
      <c r="A261" s="4">
        <v>870</v>
      </c>
      <c r="B261" s="5">
        <v>40582</v>
      </c>
      <c r="C261" s="6">
        <v>1</v>
      </c>
      <c r="D261" s="6">
        <v>0</v>
      </c>
      <c r="E261" s="6">
        <v>2</v>
      </c>
      <c r="F261" s="6">
        <v>16</v>
      </c>
      <c r="G261" s="6" t="b">
        <v>0</v>
      </c>
      <c r="H261" s="6">
        <v>2</v>
      </c>
      <c r="I261" s="6">
        <v>1</v>
      </c>
      <c r="J261" s="6">
        <v>0.22</v>
      </c>
      <c r="K261" s="6">
        <v>0.18179999999999999</v>
      </c>
      <c r="L261" s="6">
        <v>0.35</v>
      </c>
      <c r="M261" s="6">
        <v>0.52239999999999998</v>
      </c>
      <c r="N261" s="6">
        <v>4</v>
      </c>
      <c r="O261" s="6">
        <v>79</v>
      </c>
      <c r="P261" s="7">
        <v>83</v>
      </c>
    </row>
    <row r="262" spans="1:16" ht="13.2" x14ac:dyDescent="0.25">
      <c r="A262" s="4">
        <v>871</v>
      </c>
      <c r="B262" s="5">
        <v>40582</v>
      </c>
      <c r="C262" s="6">
        <v>1</v>
      </c>
      <c r="D262" s="6">
        <v>0</v>
      </c>
      <c r="E262" s="6">
        <v>2</v>
      </c>
      <c r="F262" s="6">
        <v>17</v>
      </c>
      <c r="G262" s="6" t="b">
        <v>0</v>
      </c>
      <c r="H262" s="6">
        <v>2</v>
      </c>
      <c r="I262" s="6">
        <v>1</v>
      </c>
      <c r="J262" s="6">
        <v>0.22</v>
      </c>
      <c r="K262" s="6">
        <v>0.18179999999999999</v>
      </c>
      <c r="L262" s="6">
        <v>0.32</v>
      </c>
      <c r="M262" s="6">
        <v>0.58209999999999995</v>
      </c>
      <c r="N262" s="6">
        <v>4</v>
      </c>
      <c r="O262" s="6">
        <v>172</v>
      </c>
      <c r="P262" s="7">
        <v>176</v>
      </c>
    </row>
    <row r="263" spans="1:16" ht="13.2" x14ac:dyDescent="0.25">
      <c r="A263" s="4">
        <v>872</v>
      </c>
      <c r="B263" s="5">
        <v>40582</v>
      </c>
      <c r="C263" s="6">
        <v>1</v>
      </c>
      <c r="D263" s="6">
        <v>0</v>
      </c>
      <c r="E263" s="6">
        <v>2</v>
      </c>
      <c r="F263" s="6">
        <v>18</v>
      </c>
      <c r="G263" s="6" t="b">
        <v>0</v>
      </c>
      <c r="H263" s="6">
        <v>2</v>
      </c>
      <c r="I263" s="6">
        <v>1</v>
      </c>
      <c r="J263" s="6">
        <v>0.2</v>
      </c>
      <c r="K263" s="6">
        <v>0.18179999999999999</v>
      </c>
      <c r="L263" s="6">
        <v>0.32</v>
      </c>
      <c r="M263" s="6">
        <v>0.3881</v>
      </c>
      <c r="N263" s="6">
        <v>1</v>
      </c>
      <c r="O263" s="6">
        <v>151</v>
      </c>
      <c r="P263" s="7">
        <v>152</v>
      </c>
    </row>
    <row r="264" spans="1:16" ht="13.2" x14ac:dyDescent="0.25">
      <c r="A264" s="4">
        <v>873</v>
      </c>
      <c r="B264" s="5">
        <v>40582</v>
      </c>
      <c r="C264" s="6">
        <v>1</v>
      </c>
      <c r="D264" s="6">
        <v>0</v>
      </c>
      <c r="E264" s="6">
        <v>2</v>
      </c>
      <c r="F264" s="6">
        <v>19</v>
      </c>
      <c r="G264" s="6" t="b">
        <v>0</v>
      </c>
      <c r="H264" s="6">
        <v>2</v>
      </c>
      <c r="I264" s="6">
        <v>1</v>
      </c>
      <c r="J264" s="6">
        <v>0.16</v>
      </c>
      <c r="K264" s="6">
        <v>0.1212</v>
      </c>
      <c r="L264" s="6">
        <v>0.4</v>
      </c>
      <c r="M264" s="6">
        <v>0.4627</v>
      </c>
      <c r="N264" s="6">
        <v>1</v>
      </c>
      <c r="O264" s="6">
        <v>100</v>
      </c>
      <c r="P264" s="7">
        <v>101</v>
      </c>
    </row>
    <row r="265" spans="1:16" ht="13.2" x14ac:dyDescent="0.25">
      <c r="A265" s="4">
        <v>874</v>
      </c>
      <c r="B265" s="5">
        <v>40582</v>
      </c>
      <c r="C265" s="6">
        <v>1</v>
      </c>
      <c r="D265" s="6">
        <v>0</v>
      </c>
      <c r="E265" s="6">
        <v>2</v>
      </c>
      <c r="F265" s="6">
        <v>20</v>
      </c>
      <c r="G265" s="6" t="b">
        <v>0</v>
      </c>
      <c r="H265" s="6">
        <v>2</v>
      </c>
      <c r="I265" s="6">
        <v>1</v>
      </c>
      <c r="J265" s="6">
        <v>0.16</v>
      </c>
      <c r="K265" s="6">
        <v>0.13639999999999999</v>
      </c>
      <c r="L265" s="6">
        <v>0.4</v>
      </c>
      <c r="M265" s="6">
        <v>0.32840000000000003</v>
      </c>
      <c r="N265" s="6">
        <v>3</v>
      </c>
      <c r="O265" s="6">
        <v>53</v>
      </c>
      <c r="P265" s="7">
        <v>56</v>
      </c>
    </row>
    <row r="266" spans="1:16" ht="13.2" x14ac:dyDescent="0.25">
      <c r="A266" s="4">
        <v>875</v>
      </c>
      <c r="B266" s="5">
        <v>40582</v>
      </c>
      <c r="C266" s="6">
        <v>1</v>
      </c>
      <c r="D266" s="6">
        <v>0</v>
      </c>
      <c r="E266" s="6">
        <v>2</v>
      </c>
      <c r="F266" s="6">
        <v>21</v>
      </c>
      <c r="G266" s="6" t="b">
        <v>0</v>
      </c>
      <c r="H266" s="6">
        <v>2</v>
      </c>
      <c r="I266" s="6">
        <v>1</v>
      </c>
      <c r="J266" s="6">
        <v>0.14000000000000001</v>
      </c>
      <c r="K266" s="6">
        <v>0.1061</v>
      </c>
      <c r="L266" s="6">
        <v>0.33</v>
      </c>
      <c r="M266" s="6">
        <v>0.4627</v>
      </c>
      <c r="N266" s="6">
        <v>8</v>
      </c>
      <c r="O266" s="6">
        <v>46</v>
      </c>
      <c r="P266" s="7">
        <v>54</v>
      </c>
    </row>
    <row r="267" spans="1:16" ht="13.2" x14ac:dyDescent="0.25">
      <c r="A267" s="4">
        <v>876</v>
      </c>
      <c r="B267" s="5">
        <v>40582</v>
      </c>
      <c r="C267" s="6">
        <v>1</v>
      </c>
      <c r="D267" s="6">
        <v>0</v>
      </c>
      <c r="E267" s="6">
        <v>2</v>
      </c>
      <c r="F267" s="6">
        <v>22</v>
      </c>
      <c r="G267" s="6" t="b">
        <v>0</v>
      </c>
      <c r="H267" s="6">
        <v>2</v>
      </c>
      <c r="I267" s="6">
        <v>1</v>
      </c>
      <c r="J267" s="6">
        <v>0.12</v>
      </c>
      <c r="K267" s="6">
        <v>0.1061</v>
      </c>
      <c r="L267" s="6">
        <v>0.33</v>
      </c>
      <c r="M267" s="6">
        <v>0.35820000000000002</v>
      </c>
      <c r="N267" s="6">
        <v>0</v>
      </c>
      <c r="O267" s="6">
        <v>29</v>
      </c>
      <c r="P267" s="7">
        <v>29</v>
      </c>
    </row>
    <row r="268" spans="1:16" ht="13.2" x14ac:dyDescent="0.25">
      <c r="A268" s="4">
        <v>877</v>
      </c>
      <c r="B268" s="5">
        <v>40582</v>
      </c>
      <c r="C268" s="6">
        <v>1</v>
      </c>
      <c r="D268" s="6">
        <v>0</v>
      </c>
      <c r="E268" s="6">
        <v>2</v>
      </c>
      <c r="F268" s="6">
        <v>23</v>
      </c>
      <c r="G268" s="6" t="b">
        <v>0</v>
      </c>
      <c r="H268" s="6">
        <v>2</v>
      </c>
      <c r="I268" s="6">
        <v>1</v>
      </c>
      <c r="J268" s="6">
        <v>0.12</v>
      </c>
      <c r="K268" s="6">
        <v>0.1061</v>
      </c>
      <c r="L268" s="6">
        <v>0.33</v>
      </c>
      <c r="M268" s="6">
        <v>0.32840000000000003</v>
      </c>
      <c r="N268" s="6">
        <v>3</v>
      </c>
      <c r="O268" s="6">
        <v>9</v>
      </c>
      <c r="P268" s="7">
        <v>12</v>
      </c>
    </row>
    <row r="269" spans="1:16" ht="13.2" x14ac:dyDescent="0.25">
      <c r="A269" s="4">
        <v>878</v>
      </c>
      <c r="B269" s="5">
        <v>40583</v>
      </c>
      <c r="C269" s="6">
        <v>1</v>
      </c>
      <c r="D269" s="6">
        <v>0</v>
      </c>
      <c r="E269" s="6">
        <v>2</v>
      </c>
      <c r="F269" s="6">
        <v>0</v>
      </c>
      <c r="G269" s="6" t="b">
        <v>0</v>
      </c>
      <c r="H269" s="6">
        <v>3</v>
      </c>
      <c r="I269" s="6">
        <v>1</v>
      </c>
      <c r="J269" s="6">
        <v>0.1</v>
      </c>
      <c r="K269" s="6">
        <v>7.5800000000000006E-2</v>
      </c>
      <c r="L269" s="6">
        <v>0.36</v>
      </c>
      <c r="M269" s="6">
        <v>0.35820000000000002</v>
      </c>
      <c r="N269" s="6">
        <v>0</v>
      </c>
      <c r="O269" s="6">
        <v>17</v>
      </c>
      <c r="P269" s="7">
        <v>17</v>
      </c>
    </row>
    <row r="270" spans="1:16" ht="13.2" x14ac:dyDescent="0.25">
      <c r="A270" s="4">
        <v>879</v>
      </c>
      <c r="B270" s="5">
        <v>40583</v>
      </c>
      <c r="C270" s="6">
        <v>1</v>
      </c>
      <c r="D270" s="6">
        <v>0</v>
      </c>
      <c r="E270" s="6">
        <v>2</v>
      </c>
      <c r="F270" s="6">
        <v>1</v>
      </c>
      <c r="G270" s="6" t="b">
        <v>0</v>
      </c>
      <c r="H270" s="6">
        <v>3</v>
      </c>
      <c r="I270" s="6">
        <v>1</v>
      </c>
      <c r="J270" s="6">
        <v>0.1</v>
      </c>
      <c r="K270" s="6">
        <v>0.1061</v>
      </c>
      <c r="L270" s="6">
        <v>0.36</v>
      </c>
      <c r="M270" s="6">
        <v>0.22389999999999999</v>
      </c>
      <c r="N270" s="6">
        <v>0</v>
      </c>
      <c r="O270" s="6">
        <v>7</v>
      </c>
      <c r="P270" s="7">
        <v>7</v>
      </c>
    </row>
    <row r="271" spans="1:16" ht="13.2" x14ac:dyDescent="0.25">
      <c r="A271" s="4">
        <v>880</v>
      </c>
      <c r="B271" s="5">
        <v>40583</v>
      </c>
      <c r="C271" s="6">
        <v>1</v>
      </c>
      <c r="D271" s="6">
        <v>0</v>
      </c>
      <c r="E271" s="6">
        <v>2</v>
      </c>
      <c r="F271" s="6">
        <v>2</v>
      </c>
      <c r="G271" s="6" t="b">
        <v>0</v>
      </c>
      <c r="H271" s="6">
        <v>3</v>
      </c>
      <c r="I271" s="6">
        <v>1</v>
      </c>
      <c r="J271" s="6">
        <v>0.08</v>
      </c>
      <c r="K271" s="6">
        <v>7.5800000000000006E-2</v>
      </c>
      <c r="L271" s="6">
        <v>0.38</v>
      </c>
      <c r="M271" s="6">
        <v>0.28360000000000002</v>
      </c>
      <c r="N271" s="6">
        <v>1</v>
      </c>
      <c r="O271" s="6">
        <v>2</v>
      </c>
      <c r="P271" s="7">
        <v>3</v>
      </c>
    </row>
    <row r="272" spans="1:16" ht="13.2" x14ac:dyDescent="0.25">
      <c r="A272" s="4">
        <v>881</v>
      </c>
      <c r="B272" s="5">
        <v>40583</v>
      </c>
      <c r="C272" s="6">
        <v>1</v>
      </c>
      <c r="D272" s="6">
        <v>0</v>
      </c>
      <c r="E272" s="6">
        <v>2</v>
      </c>
      <c r="F272" s="6">
        <v>3</v>
      </c>
      <c r="G272" s="6" t="b">
        <v>0</v>
      </c>
      <c r="H272" s="6">
        <v>3</v>
      </c>
      <c r="I272" s="6">
        <v>1</v>
      </c>
      <c r="J272" s="6">
        <v>0.06</v>
      </c>
      <c r="K272" s="6">
        <v>7.5800000000000006E-2</v>
      </c>
      <c r="L272" s="6">
        <v>0.45</v>
      </c>
      <c r="M272" s="6">
        <v>0.1343</v>
      </c>
      <c r="N272" s="6">
        <v>0</v>
      </c>
      <c r="O272" s="6">
        <v>2</v>
      </c>
      <c r="P272" s="7">
        <v>2</v>
      </c>
    </row>
    <row r="273" spans="1:16" ht="13.2" x14ac:dyDescent="0.25">
      <c r="A273" s="4">
        <v>882</v>
      </c>
      <c r="B273" s="5">
        <v>40583</v>
      </c>
      <c r="C273" s="6">
        <v>1</v>
      </c>
      <c r="D273" s="6">
        <v>0</v>
      </c>
      <c r="E273" s="6">
        <v>2</v>
      </c>
      <c r="F273" s="6">
        <v>5</v>
      </c>
      <c r="G273" s="6" t="b">
        <v>0</v>
      </c>
      <c r="H273" s="6">
        <v>3</v>
      </c>
      <c r="I273" s="6">
        <v>1</v>
      </c>
      <c r="J273" s="6">
        <v>0.06</v>
      </c>
      <c r="K273" s="6">
        <v>0.1061</v>
      </c>
      <c r="L273" s="6">
        <v>0.45</v>
      </c>
      <c r="M273" s="6">
        <v>0.1045</v>
      </c>
      <c r="N273" s="6">
        <v>0</v>
      </c>
      <c r="O273" s="6">
        <v>7</v>
      </c>
      <c r="P273" s="7">
        <v>7</v>
      </c>
    </row>
    <row r="274" spans="1:16" ht="13.2" x14ac:dyDescent="0.25">
      <c r="A274" s="4">
        <v>883</v>
      </c>
      <c r="B274" s="5">
        <v>40583</v>
      </c>
      <c r="C274" s="6">
        <v>1</v>
      </c>
      <c r="D274" s="6">
        <v>0</v>
      </c>
      <c r="E274" s="6">
        <v>2</v>
      </c>
      <c r="F274" s="6">
        <v>6</v>
      </c>
      <c r="G274" s="6" t="b">
        <v>0</v>
      </c>
      <c r="H274" s="6">
        <v>3</v>
      </c>
      <c r="I274" s="6">
        <v>1</v>
      </c>
      <c r="J274" s="6">
        <v>0.06</v>
      </c>
      <c r="K274" s="6">
        <v>0.1515</v>
      </c>
      <c r="L274" s="6">
        <v>0.45</v>
      </c>
      <c r="M274" s="6">
        <v>0</v>
      </c>
      <c r="N274" s="6">
        <v>0</v>
      </c>
      <c r="O274" s="6">
        <v>43</v>
      </c>
      <c r="P274" s="7">
        <v>43</v>
      </c>
    </row>
    <row r="275" spans="1:16" ht="13.2" x14ac:dyDescent="0.25">
      <c r="A275" s="4">
        <v>884</v>
      </c>
      <c r="B275" s="5">
        <v>40583</v>
      </c>
      <c r="C275" s="6">
        <v>1</v>
      </c>
      <c r="D275" s="6">
        <v>0</v>
      </c>
      <c r="E275" s="6">
        <v>2</v>
      </c>
      <c r="F275" s="6">
        <v>7</v>
      </c>
      <c r="G275" s="6" t="b">
        <v>0</v>
      </c>
      <c r="H275" s="6">
        <v>3</v>
      </c>
      <c r="I275" s="6">
        <v>1</v>
      </c>
      <c r="J275" s="6">
        <v>0.06</v>
      </c>
      <c r="K275" s="6">
        <v>0.1061</v>
      </c>
      <c r="L275" s="6">
        <v>0.49</v>
      </c>
      <c r="M275" s="6">
        <v>0.1045</v>
      </c>
      <c r="N275" s="6">
        <v>4</v>
      </c>
      <c r="O275" s="6">
        <v>95</v>
      </c>
      <c r="P275" s="7">
        <v>99</v>
      </c>
    </row>
    <row r="276" spans="1:16" ht="13.2" x14ac:dyDescent="0.25">
      <c r="A276" s="4">
        <v>885</v>
      </c>
      <c r="B276" s="5">
        <v>40583</v>
      </c>
      <c r="C276" s="6">
        <v>1</v>
      </c>
      <c r="D276" s="6">
        <v>0</v>
      </c>
      <c r="E276" s="6">
        <v>2</v>
      </c>
      <c r="F276" s="6">
        <v>8</v>
      </c>
      <c r="G276" s="6" t="b">
        <v>0</v>
      </c>
      <c r="H276" s="6">
        <v>3</v>
      </c>
      <c r="I276" s="6">
        <v>1</v>
      </c>
      <c r="J276" s="6">
        <v>0.1</v>
      </c>
      <c r="K276" s="6">
        <v>0.13639999999999999</v>
      </c>
      <c r="L276" s="6">
        <v>0.42</v>
      </c>
      <c r="M276" s="6">
        <v>0</v>
      </c>
      <c r="N276" s="6">
        <v>1</v>
      </c>
      <c r="O276" s="6">
        <v>198</v>
      </c>
      <c r="P276" s="7">
        <v>199</v>
      </c>
    </row>
    <row r="277" spans="1:16" ht="13.2" x14ac:dyDescent="0.25">
      <c r="A277" s="4">
        <v>886</v>
      </c>
      <c r="B277" s="5">
        <v>40583</v>
      </c>
      <c r="C277" s="6">
        <v>1</v>
      </c>
      <c r="D277" s="6">
        <v>0</v>
      </c>
      <c r="E277" s="6">
        <v>2</v>
      </c>
      <c r="F277" s="6">
        <v>9</v>
      </c>
      <c r="G277" s="6" t="b">
        <v>0</v>
      </c>
      <c r="H277" s="6">
        <v>3</v>
      </c>
      <c r="I277" s="6">
        <v>1</v>
      </c>
      <c r="J277" s="6">
        <v>0.12</v>
      </c>
      <c r="K277" s="6">
        <v>0.13639999999999999</v>
      </c>
      <c r="L277" s="6">
        <v>0.39</v>
      </c>
      <c r="M277" s="6">
        <v>0.16420000000000001</v>
      </c>
      <c r="N277" s="6">
        <v>4</v>
      </c>
      <c r="O277" s="6">
        <v>119</v>
      </c>
      <c r="P277" s="7">
        <v>123</v>
      </c>
    </row>
    <row r="278" spans="1:16" ht="13.2" x14ac:dyDescent="0.25">
      <c r="A278" s="4">
        <v>887</v>
      </c>
      <c r="B278" s="5">
        <v>40583</v>
      </c>
      <c r="C278" s="6">
        <v>1</v>
      </c>
      <c r="D278" s="6">
        <v>0</v>
      </c>
      <c r="E278" s="6">
        <v>2</v>
      </c>
      <c r="F278" s="6">
        <v>10</v>
      </c>
      <c r="G278" s="6" t="b">
        <v>0</v>
      </c>
      <c r="H278" s="6">
        <v>3</v>
      </c>
      <c r="I278" s="6">
        <v>1</v>
      </c>
      <c r="J278" s="6">
        <v>0.14000000000000001</v>
      </c>
      <c r="K278" s="6">
        <v>0.18179999999999999</v>
      </c>
      <c r="L278" s="6">
        <v>0.36</v>
      </c>
      <c r="M278" s="6">
        <v>0</v>
      </c>
      <c r="N278" s="6">
        <v>8</v>
      </c>
      <c r="O278" s="6">
        <v>51</v>
      </c>
      <c r="P278" s="7">
        <v>59</v>
      </c>
    </row>
    <row r="279" spans="1:16" ht="13.2" x14ac:dyDescent="0.25">
      <c r="A279" s="4">
        <v>888</v>
      </c>
      <c r="B279" s="5">
        <v>40583</v>
      </c>
      <c r="C279" s="6">
        <v>1</v>
      </c>
      <c r="D279" s="6">
        <v>0</v>
      </c>
      <c r="E279" s="6">
        <v>2</v>
      </c>
      <c r="F279" s="6">
        <v>11</v>
      </c>
      <c r="G279" s="6" t="b">
        <v>0</v>
      </c>
      <c r="H279" s="6">
        <v>3</v>
      </c>
      <c r="I279" s="6">
        <v>2</v>
      </c>
      <c r="J279" s="6">
        <v>0.14000000000000001</v>
      </c>
      <c r="K279" s="6">
        <v>0.1515</v>
      </c>
      <c r="L279" s="6">
        <v>0.43</v>
      </c>
      <c r="M279" s="6">
        <v>0.16420000000000001</v>
      </c>
      <c r="N279" s="6">
        <v>1</v>
      </c>
      <c r="O279" s="6">
        <v>40</v>
      </c>
      <c r="P279" s="7">
        <v>41</v>
      </c>
    </row>
    <row r="280" spans="1:16" ht="13.2" x14ac:dyDescent="0.25">
      <c r="A280" s="4">
        <v>889</v>
      </c>
      <c r="B280" s="5">
        <v>40583</v>
      </c>
      <c r="C280" s="6">
        <v>1</v>
      </c>
      <c r="D280" s="6">
        <v>0</v>
      </c>
      <c r="E280" s="6">
        <v>2</v>
      </c>
      <c r="F280" s="6">
        <v>12</v>
      </c>
      <c r="G280" s="6" t="b">
        <v>0</v>
      </c>
      <c r="H280" s="6">
        <v>3</v>
      </c>
      <c r="I280" s="6">
        <v>2</v>
      </c>
      <c r="J280" s="6">
        <v>0.18</v>
      </c>
      <c r="K280" s="6">
        <v>0.18179999999999999</v>
      </c>
      <c r="L280" s="6">
        <v>0.4</v>
      </c>
      <c r="M280" s="6">
        <v>0.22389999999999999</v>
      </c>
      <c r="N280" s="6">
        <v>4</v>
      </c>
      <c r="O280" s="6">
        <v>57</v>
      </c>
      <c r="P280" s="7">
        <v>61</v>
      </c>
    </row>
    <row r="281" spans="1:16" ht="13.2" x14ac:dyDescent="0.25">
      <c r="A281" s="4">
        <v>890</v>
      </c>
      <c r="B281" s="5">
        <v>40583</v>
      </c>
      <c r="C281" s="6">
        <v>1</v>
      </c>
      <c r="D281" s="6">
        <v>0</v>
      </c>
      <c r="E281" s="6">
        <v>2</v>
      </c>
      <c r="F281" s="6">
        <v>13</v>
      </c>
      <c r="G281" s="6" t="b">
        <v>0</v>
      </c>
      <c r="H281" s="6">
        <v>3</v>
      </c>
      <c r="I281" s="6">
        <v>1</v>
      </c>
      <c r="J281" s="6">
        <v>0.18</v>
      </c>
      <c r="K281" s="6">
        <v>0.16669999999999999</v>
      </c>
      <c r="L281" s="6">
        <v>0.4</v>
      </c>
      <c r="M281" s="6">
        <v>0.25369999999999998</v>
      </c>
      <c r="N281" s="6">
        <v>2</v>
      </c>
      <c r="O281" s="6">
        <v>67</v>
      </c>
      <c r="P281" s="7">
        <v>69</v>
      </c>
    </row>
    <row r="282" spans="1:16" ht="13.2" x14ac:dyDescent="0.25">
      <c r="A282" s="4">
        <v>891</v>
      </c>
      <c r="B282" s="5">
        <v>40583</v>
      </c>
      <c r="C282" s="6">
        <v>1</v>
      </c>
      <c r="D282" s="6">
        <v>0</v>
      </c>
      <c r="E282" s="6">
        <v>2</v>
      </c>
      <c r="F282" s="6">
        <v>14</v>
      </c>
      <c r="G282" s="6" t="b">
        <v>0</v>
      </c>
      <c r="H282" s="6">
        <v>3</v>
      </c>
      <c r="I282" s="6">
        <v>1</v>
      </c>
      <c r="J282" s="6">
        <v>0.2</v>
      </c>
      <c r="K282" s="6">
        <v>0.18179999999999999</v>
      </c>
      <c r="L282" s="6">
        <v>0.34</v>
      </c>
      <c r="M282" s="6">
        <v>0.29849999999999999</v>
      </c>
      <c r="N282" s="6">
        <v>2</v>
      </c>
      <c r="O282" s="6">
        <v>56</v>
      </c>
      <c r="P282" s="7">
        <v>58</v>
      </c>
    </row>
    <row r="283" spans="1:16" ht="13.2" x14ac:dyDescent="0.25">
      <c r="A283" s="4">
        <v>892</v>
      </c>
      <c r="B283" s="5">
        <v>40583</v>
      </c>
      <c r="C283" s="6">
        <v>1</v>
      </c>
      <c r="D283" s="6">
        <v>0</v>
      </c>
      <c r="E283" s="6">
        <v>2</v>
      </c>
      <c r="F283" s="6">
        <v>15</v>
      </c>
      <c r="G283" s="6" t="b">
        <v>0</v>
      </c>
      <c r="H283" s="6">
        <v>3</v>
      </c>
      <c r="I283" s="6">
        <v>2</v>
      </c>
      <c r="J283" s="6">
        <v>0.2</v>
      </c>
      <c r="K283" s="6">
        <v>0.18179999999999999</v>
      </c>
      <c r="L283" s="6">
        <v>0.34</v>
      </c>
      <c r="M283" s="6">
        <v>0.28360000000000002</v>
      </c>
      <c r="N283" s="6">
        <v>3</v>
      </c>
      <c r="O283" s="6">
        <v>61</v>
      </c>
      <c r="P283" s="7">
        <v>64</v>
      </c>
    </row>
    <row r="284" spans="1:16" ht="13.2" x14ac:dyDescent="0.25">
      <c r="A284" s="4">
        <v>893</v>
      </c>
      <c r="B284" s="5">
        <v>40583</v>
      </c>
      <c r="C284" s="6">
        <v>1</v>
      </c>
      <c r="D284" s="6">
        <v>0</v>
      </c>
      <c r="E284" s="6">
        <v>2</v>
      </c>
      <c r="F284" s="6">
        <v>16</v>
      </c>
      <c r="G284" s="6" t="b">
        <v>0</v>
      </c>
      <c r="H284" s="6">
        <v>3</v>
      </c>
      <c r="I284" s="6">
        <v>2</v>
      </c>
      <c r="J284" s="6">
        <v>0.2</v>
      </c>
      <c r="K284" s="6">
        <v>0.19700000000000001</v>
      </c>
      <c r="L284" s="6">
        <v>0.37</v>
      </c>
      <c r="M284" s="6">
        <v>0.25369999999999998</v>
      </c>
      <c r="N284" s="6">
        <v>7</v>
      </c>
      <c r="O284" s="6">
        <v>72</v>
      </c>
      <c r="P284" s="7">
        <v>79</v>
      </c>
    </row>
    <row r="285" spans="1:16" ht="13.2" x14ac:dyDescent="0.25">
      <c r="A285" s="4">
        <v>894</v>
      </c>
      <c r="B285" s="5">
        <v>40583</v>
      </c>
      <c r="C285" s="6">
        <v>1</v>
      </c>
      <c r="D285" s="6">
        <v>0</v>
      </c>
      <c r="E285" s="6">
        <v>2</v>
      </c>
      <c r="F285" s="6">
        <v>17</v>
      </c>
      <c r="G285" s="6" t="b">
        <v>0</v>
      </c>
      <c r="H285" s="6">
        <v>3</v>
      </c>
      <c r="I285" s="6">
        <v>2</v>
      </c>
      <c r="J285" s="6">
        <v>0.2</v>
      </c>
      <c r="K285" s="6">
        <v>0.19700000000000001</v>
      </c>
      <c r="L285" s="6">
        <v>0.34</v>
      </c>
      <c r="M285" s="6">
        <v>0.25369999999999998</v>
      </c>
      <c r="N285" s="6">
        <v>9</v>
      </c>
      <c r="O285" s="6">
        <v>157</v>
      </c>
      <c r="P285" s="7">
        <v>166</v>
      </c>
    </row>
    <row r="286" spans="1:16" ht="13.2" x14ac:dyDescent="0.25">
      <c r="A286" s="4">
        <v>895</v>
      </c>
      <c r="B286" s="5">
        <v>40583</v>
      </c>
      <c r="C286" s="6">
        <v>1</v>
      </c>
      <c r="D286" s="6">
        <v>0</v>
      </c>
      <c r="E286" s="6">
        <v>2</v>
      </c>
      <c r="F286" s="6">
        <v>18</v>
      </c>
      <c r="G286" s="6" t="b">
        <v>0</v>
      </c>
      <c r="H286" s="6">
        <v>3</v>
      </c>
      <c r="I286" s="6">
        <v>2</v>
      </c>
      <c r="J286" s="6">
        <v>0.18</v>
      </c>
      <c r="K286" s="6">
        <v>0.16669999999999999</v>
      </c>
      <c r="L286" s="6">
        <v>0.47</v>
      </c>
      <c r="M286" s="6">
        <v>0.29849999999999999</v>
      </c>
      <c r="N286" s="6">
        <v>2</v>
      </c>
      <c r="O286" s="6">
        <v>168</v>
      </c>
      <c r="P286" s="7">
        <v>170</v>
      </c>
    </row>
    <row r="287" spans="1:16" ht="13.2" x14ac:dyDescent="0.25">
      <c r="A287" s="4">
        <v>896</v>
      </c>
      <c r="B287" s="5">
        <v>40583</v>
      </c>
      <c r="C287" s="6">
        <v>1</v>
      </c>
      <c r="D287" s="6">
        <v>0</v>
      </c>
      <c r="E287" s="6">
        <v>2</v>
      </c>
      <c r="F287" s="6">
        <v>19</v>
      </c>
      <c r="G287" s="6" t="b">
        <v>0</v>
      </c>
      <c r="H287" s="6">
        <v>3</v>
      </c>
      <c r="I287" s="6">
        <v>3</v>
      </c>
      <c r="J287" s="6">
        <v>0.14000000000000001</v>
      </c>
      <c r="K287" s="6">
        <v>0.1212</v>
      </c>
      <c r="L287" s="6">
        <v>0.86</v>
      </c>
      <c r="M287" s="6">
        <v>0.25369999999999998</v>
      </c>
      <c r="N287" s="6">
        <v>1</v>
      </c>
      <c r="O287" s="6">
        <v>87</v>
      </c>
      <c r="P287" s="7">
        <v>88</v>
      </c>
    </row>
    <row r="288" spans="1:16" ht="13.2" x14ac:dyDescent="0.25">
      <c r="A288" s="4">
        <v>897</v>
      </c>
      <c r="B288" s="5">
        <v>40583</v>
      </c>
      <c r="C288" s="6">
        <v>1</v>
      </c>
      <c r="D288" s="6">
        <v>0</v>
      </c>
      <c r="E288" s="6">
        <v>2</v>
      </c>
      <c r="F288" s="6">
        <v>20</v>
      </c>
      <c r="G288" s="6" t="b">
        <v>0</v>
      </c>
      <c r="H288" s="6">
        <v>3</v>
      </c>
      <c r="I288" s="6">
        <v>3</v>
      </c>
      <c r="J288" s="6">
        <v>0.14000000000000001</v>
      </c>
      <c r="K288" s="6">
        <v>0.1515</v>
      </c>
      <c r="L288" s="6">
        <v>0.86</v>
      </c>
      <c r="M288" s="6">
        <v>0.16420000000000001</v>
      </c>
      <c r="N288" s="6">
        <v>0</v>
      </c>
      <c r="O288" s="6">
        <v>84</v>
      </c>
      <c r="P288" s="7">
        <v>84</v>
      </c>
    </row>
    <row r="289" spans="1:16" ht="13.2" x14ac:dyDescent="0.25">
      <c r="A289" s="4">
        <v>898</v>
      </c>
      <c r="B289" s="5">
        <v>40583</v>
      </c>
      <c r="C289" s="6">
        <v>1</v>
      </c>
      <c r="D289" s="6">
        <v>0</v>
      </c>
      <c r="E289" s="6">
        <v>2</v>
      </c>
      <c r="F289" s="6">
        <v>21</v>
      </c>
      <c r="G289" s="6" t="b">
        <v>0</v>
      </c>
      <c r="H289" s="6">
        <v>3</v>
      </c>
      <c r="I289" s="6">
        <v>2</v>
      </c>
      <c r="J289" s="6">
        <v>0.14000000000000001</v>
      </c>
      <c r="K289" s="6">
        <v>0.1515</v>
      </c>
      <c r="L289" s="6">
        <v>0.86</v>
      </c>
      <c r="M289" s="6">
        <v>0.16420000000000001</v>
      </c>
      <c r="N289" s="6">
        <v>0</v>
      </c>
      <c r="O289" s="6">
        <v>83</v>
      </c>
      <c r="P289" s="7">
        <v>83</v>
      </c>
    </row>
    <row r="290" spans="1:16" ht="13.2" x14ac:dyDescent="0.25">
      <c r="A290" s="4">
        <v>899</v>
      </c>
      <c r="B290" s="5">
        <v>40583</v>
      </c>
      <c r="C290" s="6">
        <v>1</v>
      </c>
      <c r="D290" s="6">
        <v>0</v>
      </c>
      <c r="E290" s="6">
        <v>2</v>
      </c>
      <c r="F290" s="6">
        <v>22</v>
      </c>
      <c r="G290" s="6" t="b">
        <v>0</v>
      </c>
      <c r="H290" s="6">
        <v>3</v>
      </c>
      <c r="I290" s="6">
        <v>3</v>
      </c>
      <c r="J290" s="6">
        <v>0.16</v>
      </c>
      <c r="K290" s="6">
        <v>0.16669999999999999</v>
      </c>
      <c r="L290" s="6">
        <v>0.8</v>
      </c>
      <c r="M290" s="6">
        <v>0.16420000000000001</v>
      </c>
      <c r="N290" s="6">
        <v>4</v>
      </c>
      <c r="O290" s="6">
        <v>42</v>
      </c>
      <c r="P290" s="7">
        <v>46</v>
      </c>
    </row>
    <row r="291" spans="1:16" ht="13.2" x14ac:dyDescent="0.25">
      <c r="A291" s="4">
        <v>900</v>
      </c>
      <c r="B291" s="5">
        <v>40583</v>
      </c>
      <c r="C291" s="6">
        <v>1</v>
      </c>
      <c r="D291" s="6">
        <v>0</v>
      </c>
      <c r="E291" s="6">
        <v>2</v>
      </c>
      <c r="F291" s="6">
        <v>23</v>
      </c>
      <c r="G291" s="6" t="b">
        <v>0</v>
      </c>
      <c r="H291" s="6">
        <v>3</v>
      </c>
      <c r="I291" s="6">
        <v>3</v>
      </c>
      <c r="J291" s="6">
        <v>0.16</v>
      </c>
      <c r="K291" s="6">
        <v>0.1515</v>
      </c>
      <c r="L291" s="6">
        <v>0.8</v>
      </c>
      <c r="M291" s="6">
        <v>0.19400000000000001</v>
      </c>
      <c r="N291" s="6">
        <v>0</v>
      </c>
      <c r="O291" s="6">
        <v>37</v>
      </c>
      <c r="P291" s="7">
        <v>37</v>
      </c>
    </row>
    <row r="292" spans="1:16" ht="13.2" x14ac:dyDescent="0.25">
      <c r="A292" s="4">
        <v>901</v>
      </c>
      <c r="B292" s="5">
        <v>40584</v>
      </c>
      <c r="C292" s="6">
        <v>1</v>
      </c>
      <c r="D292" s="6">
        <v>0</v>
      </c>
      <c r="E292" s="6">
        <v>2</v>
      </c>
      <c r="F292" s="6">
        <v>0</v>
      </c>
      <c r="G292" s="6" t="b">
        <v>0</v>
      </c>
      <c r="H292" s="6">
        <v>4</v>
      </c>
      <c r="I292" s="6">
        <v>3</v>
      </c>
      <c r="J292" s="6">
        <v>0.14000000000000001</v>
      </c>
      <c r="K292" s="6">
        <v>0.13639999999999999</v>
      </c>
      <c r="L292" s="6">
        <v>0.86</v>
      </c>
      <c r="M292" s="6">
        <v>0.19400000000000001</v>
      </c>
      <c r="N292" s="6">
        <v>0</v>
      </c>
      <c r="O292" s="6">
        <v>16</v>
      </c>
      <c r="P292" s="7">
        <v>16</v>
      </c>
    </row>
    <row r="293" spans="1:16" ht="13.2" x14ac:dyDescent="0.25">
      <c r="A293" s="4">
        <v>902</v>
      </c>
      <c r="B293" s="5">
        <v>40584</v>
      </c>
      <c r="C293" s="6">
        <v>1</v>
      </c>
      <c r="D293" s="6">
        <v>0</v>
      </c>
      <c r="E293" s="6">
        <v>2</v>
      </c>
      <c r="F293" s="6">
        <v>1</v>
      </c>
      <c r="G293" s="6" t="b">
        <v>0</v>
      </c>
      <c r="H293" s="6">
        <v>4</v>
      </c>
      <c r="I293" s="6">
        <v>3</v>
      </c>
      <c r="J293" s="6">
        <v>0.14000000000000001</v>
      </c>
      <c r="K293" s="6">
        <v>0.1515</v>
      </c>
      <c r="L293" s="6">
        <v>0.8</v>
      </c>
      <c r="M293" s="6">
        <v>0.1343</v>
      </c>
      <c r="N293" s="6">
        <v>0</v>
      </c>
      <c r="O293" s="6">
        <v>7</v>
      </c>
      <c r="P293" s="7">
        <v>7</v>
      </c>
    </row>
    <row r="294" spans="1:16" ht="13.2" x14ac:dyDescent="0.25">
      <c r="A294" s="4">
        <v>903</v>
      </c>
      <c r="B294" s="5">
        <v>40584</v>
      </c>
      <c r="C294" s="6">
        <v>1</v>
      </c>
      <c r="D294" s="6">
        <v>0</v>
      </c>
      <c r="E294" s="6">
        <v>2</v>
      </c>
      <c r="F294" s="6">
        <v>2</v>
      </c>
      <c r="G294" s="6" t="b">
        <v>0</v>
      </c>
      <c r="H294" s="6">
        <v>4</v>
      </c>
      <c r="I294" s="6">
        <v>3</v>
      </c>
      <c r="J294" s="6">
        <v>0.14000000000000001</v>
      </c>
      <c r="K294" s="6">
        <v>0.1515</v>
      </c>
      <c r="L294" s="6">
        <v>0.8</v>
      </c>
      <c r="M294" s="6">
        <v>0.1343</v>
      </c>
      <c r="N294" s="6">
        <v>0</v>
      </c>
      <c r="O294" s="6">
        <v>3</v>
      </c>
      <c r="P294" s="7">
        <v>3</v>
      </c>
    </row>
    <row r="295" spans="1:16" ht="13.2" x14ac:dyDescent="0.25">
      <c r="A295" s="4">
        <v>904</v>
      </c>
      <c r="B295" s="5">
        <v>40584</v>
      </c>
      <c r="C295" s="6">
        <v>1</v>
      </c>
      <c r="D295" s="6">
        <v>0</v>
      </c>
      <c r="E295" s="6">
        <v>2</v>
      </c>
      <c r="F295" s="6">
        <v>4</v>
      </c>
      <c r="G295" s="6" t="b">
        <v>0</v>
      </c>
      <c r="H295" s="6">
        <v>4</v>
      </c>
      <c r="I295" s="6">
        <v>2</v>
      </c>
      <c r="J295" s="6">
        <v>0.14000000000000001</v>
      </c>
      <c r="K295" s="6">
        <v>0.13639999999999999</v>
      </c>
      <c r="L295" s="6">
        <v>0.59</v>
      </c>
      <c r="M295" s="6">
        <v>0.22389999999999999</v>
      </c>
      <c r="N295" s="6">
        <v>0</v>
      </c>
      <c r="O295" s="6">
        <v>1</v>
      </c>
      <c r="P295" s="7">
        <v>1</v>
      </c>
    </row>
    <row r="296" spans="1:16" ht="13.2" x14ac:dyDescent="0.25">
      <c r="A296" s="4">
        <v>905</v>
      </c>
      <c r="B296" s="5">
        <v>40584</v>
      </c>
      <c r="C296" s="6">
        <v>1</v>
      </c>
      <c r="D296" s="6">
        <v>0</v>
      </c>
      <c r="E296" s="6">
        <v>2</v>
      </c>
      <c r="F296" s="6">
        <v>5</v>
      </c>
      <c r="G296" s="6" t="b">
        <v>0</v>
      </c>
      <c r="H296" s="6">
        <v>4</v>
      </c>
      <c r="I296" s="6">
        <v>2</v>
      </c>
      <c r="J296" s="6">
        <v>0.12</v>
      </c>
      <c r="K296" s="6">
        <v>0.1212</v>
      </c>
      <c r="L296" s="6">
        <v>0.5</v>
      </c>
      <c r="M296" s="6">
        <v>0.22389999999999999</v>
      </c>
      <c r="N296" s="6">
        <v>0</v>
      </c>
      <c r="O296" s="6">
        <v>6</v>
      </c>
      <c r="P296" s="7">
        <v>6</v>
      </c>
    </row>
    <row r="297" spans="1:16" ht="13.2" x14ac:dyDescent="0.25">
      <c r="A297" s="4">
        <v>906</v>
      </c>
      <c r="B297" s="5">
        <v>40584</v>
      </c>
      <c r="C297" s="6">
        <v>1</v>
      </c>
      <c r="D297" s="6">
        <v>0</v>
      </c>
      <c r="E297" s="6">
        <v>2</v>
      </c>
      <c r="F297" s="6">
        <v>6</v>
      </c>
      <c r="G297" s="6" t="b">
        <v>0</v>
      </c>
      <c r="H297" s="6">
        <v>4</v>
      </c>
      <c r="I297" s="6">
        <v>2</v>
      </c>
      <c r="J297" s="6">
        <v>0.12</v>
      </c>
      <c r="K297" s="6">
        <v>0.1212</v>
      </c>
      <c r="L297" s="6">
        <v>0.54</v>
      </c>
      <c r="M297" s="6">
        <v>0.28360000000000002</v>
      </c>
      <c r="N297" s="6">
        <v>0</v>
      </c>
      <c r="O297" s="6">
        <v>26</v>
      </c>
      <c r="P297" s="7">
        <v>26</v>
      </c>
    </row>
    <row r="298" spans="1:16" ht="13.2" x14ac:dyDescent="0.25">
      <c r="A298" s="4">
        <v>907</v>
      </c>
      <c r="B298" s="5">
        <v>40584</v>
      </c>
      <c r="C298" s="6">
        <v>1</v>
      </c>
      <c r="D298" s="6">
        <v>0</v>
      </c>
      <c r="E298" s="6">
        <v>2</v>
      </c>
      <c r="F298" s="6">
        <v>7</v>
      </c>
      <c r="G298" s="6" t="b">
        <v>0</v>
      </c>
      <c r="H298" s="6">
        <v>4</v>
      </c>
      <c r="I298" s="6">
        <v>1</v>
      </c>
      <c r="J298" s="6">
        <v>0.1</v>
      </c>
      <c r="K298" s="6">
        <v>7.5800000000000006E-2</v>
      </c>
      <c r="L298" s="6">
        <v>0.5</v>
      </c>
      <c r="M298" s="6">
        <v>0.41789999999999999</v>
      </c>
      <c r="N298" s="6">
        <v>0</v>
      </c>
      <c r="O298" s="6">
        <v>99</v>
      </c>
      <c r="P298" s="7">
        <v>99</v>
      </c>
    </row>
    <row r="299" spans="1:16" ht="13.2" x14ac:dyDescent="0.25">
      <c r="A299" s="4">
        <v>908</v>
      </c>
      <c r="B299" s="5">
        <v>40584</v>
      </c>
      <c r="C299" s="6">
        <v>1</v>
      </c>
      <c r="D299" s="6">
        <v>0</v>
      </c>
      <c r="E299" s="6">
        <v>2</v>
      </c>
      <c r="F299" s="6">
        <v>8</v>
      </c>
      <c r="G299" s="6" t="b">
        <v>0</v>
      </c>
      <c r="H299" s="6">
        <v>4</v>
      </c>
      <c r="I299" s="6">
        <v>1</v>
      </c>
      <c r="J299" s="6">
        <v>0.1</v>
      </c>
      <c r="K299" s="6">
        <v>7.5800000000000006E-2</v>
      </c>
      <c r="L299" s="6">
        <v>0.49</v>
      </c>
      <c r="M299" s="6">
        <v>0.32840000000000003</v>
      </c>
      <c r="N299" s="6">
        <v>5</v>
      </c>
      <c r="O299" s="6">
        <v>173</v>
      </c>
      <c r="P299" s="7">
        <v>178</v>
      </c>
    </row>
    <row r="300" spans="1:16" ht="13.2" x14ac:dyDescent="0.25">
      <c r="A300" s="4">
        <v>909</v>
      </c>
      <c r="B300" s="5">
        <v>40584</v>
      </c>
      <c r="C300" s="6">
        <v>1</v>
      </c>
      <c r="D300" s="6">
        <v>0</v>
      </c>
      <c r="E300" s="6">
        <v>2</v>
      </c>
      <c r="F300" s="6">
        <v>9</v>
      </c>
      <c r="G300" s="6" t="b">
        <v>0</v>
      </c>
      <c r="H300" s="6">
        <v>4</v>
      </c>
      <c r="I300" s="6">
        <v>1</v>
      </c>
      <c r="J300" s="6">
        <v>0.12</v>
      </c>
      <c r="K300" s="6">
        <v>0.1061</v>
      </c>
      <c r="L300" s="6">
        <v>0.42</v>
      </c>
      <c r="M300" s="6">
        <v>0.35820000000000002</v>
      </c>
      <c r="N300" s="6">
        <v>1</v>
      </c>
      <c r="O300" s="6">
        <v>121</v>
      </c>
      <c r="P300" s="7">
        <v>122</v>
      </c>
    </row>
    <row r="301" spans="1:16" ht="13.2" x14ac:dyDescent="0.25">
      <c r="A301" s="4">
        <v>910</v>
      </c>
      <c r="B301" s="5">
        <v>40584</v>
      </c>
      <c r="C301" s="6">
        <v>1</v>
      </c>
      <c r="D301" s="6">
        <v>0</v>
      </c>
      <c r="E301" s="6">
        <v>2</v>
      </c>
      <c r="F301" s="6">
        <v>10</v>
      </c>
      <c r="G301" s="6" t="b">
        <v>0</v>
      </c>
      <c r="H301" s="6">
        <v>4</v>
      </c>
      <c r="I301" s="6">
        <v>1</v>
      </c>
      <c r="J301" s="6">
        <v>0.12</v>
      </c>
      <c r="K301" s="6">
        <v>0.1061</v>
      </c>
      <c r="L301" s="6">
        <v>0.42</v>
      </c>
      <c r="M301" s="6">
        <v>0.29849999999999999</v>
      </c>
      <c r="N301" s="6">
        <v>1</v>
      </c>
      <c r="O301" s="6">
        <v>34</v>
      </c>
      <c r="P301" s="7">
        <v>35</v>
      </c>
    </row>
    <row r="302" spans="1:16" ht="13.2" x14ac:dyDescent="0.25">
      <c r="A302" s="4">
        <v>911</v>
      </c>
      <c r="B302" s="5">
        <v>40584</v>
      </c>
      <c r="C302" s="6">
        <v>1</v>
      </c>
      <c r="D302" s="6">
        <v>0</v>
      </c>
      <c r="E302" s="6">
        <v>2</v>
      </c>
      <c r="F302" s="6">
        <v>11</v>
      </c>
      <c r="G302" s="6" t="b">
        <v>0</v>
      </c>
      <c r="H302" s="6">
        <v>4</v>
      </c>
      <c r="I302" s="6">
        <v>1</v>
      </c>
      <c r="J302" s="6">
        <v>0.14000000000000001</v>
      </c>
      <c r="K302" s="6">
        <v>0.1212</v>
      </c>
      <c r="L302" s="6">
        <v>0.39</v>
      </c>
      <c r="M302" s="6">
        <v>0.35820000000000002</v>
      </c>
      <c r="N302" s="6">
        <v>1</v>
      </c>
      <c r="O302" s="6">
        <v>44</v>
      </c>
      <c r="P302" s="7">
        <v>45</v>
      </c>
    </row>
    <row r="303" spans="1:16" ht="13.2" x14ac:dyDescent="0.25">
      <c r="A303" s="4">
        <v>912</v>
      </c>
      <c r="B303" s="5">
        <v>40584</v>
      </c>
      <c r="C303" s="6">
        <v>1</v>
      </c>
      <c r="D303" s="6">
        <v>0</v>
      </c>
      <c r="E303" s="6">
        <v>2</v>
      </c>
      <c r="F303" s="6">
        <v>12</v>
      </c>
      <c r="G303" s="6" t="b">
        <v>0</v>
      </c>
      <c r="H303" s="6">
        <v>4</v>
      </c>
      <c r="I303" s="6">
        <v>1</v>
      </c>
      <c r="J303" s="6">
        <v>0.16</v>
      </c>
      <c r="K303" s="6">
        <v>0.13639999999999999</v>
      </c>
      <c r="L303" s="6">
        <v>0.34</v>
      </c>
      <c r="M303" s="6">
        <v>0.3881</v>
      </c>
      <c r="N303" s="6">
        <v>4</v>
      </c>
      <c r="O303" s="6">
        <v>65</v>
      </c>
      <c r="P303" s="7">
        <v>69</v>
      </c>
    </row>
    <row r="304" spans="1:16" ht="13.2" x14ac:dyDescent="0.25">
      <c r="A304" s="4">
        <v>913</v>
      </c>
      <c r="B304" s="5">
        <v>40584</v>
      </c>
      <c r="C304" s="6">
        <v>1</v>
      </c>
      <c r="D304" s="6">
        <v>0</v>
      </c>
      <c r="E304" s="6">
        <v>2</v>
      </c>
      <c r="F304" s="6">
        <v>13</v>
      </c>
      <c r="G304" s="6" t="b">
        <v>0</v>
      </c>
      <c r="H304" s="6">
        <v>4</v>
      </c>
      <c r="I304" s="6">
        <v>1</v>
      </c>
      <c r="J304" s="6">
        <v>0.18</v>
      </c>
      <c r="K304" s="6">
        <v>0.16669999999999999</v>
      </c>
      <c r="L304" s="6">
        <v>0.28999999999999998</v>
      </c>
      <c r="M304" s="6">
        <v>0.29849999999999999</v>
      </c>
      <c r="N304" s="6">
        <v>3</v>
      </c>
      <c r="O304" s="6">
        <v>59</v>
      </c>
      <c r="P304" s="7">
        <v>62</v>
      </c>
    </row>
    <row r="305" spans="1:16" ht="13.2" x14ac:dyDescent="0.25">
      <c r="A305" s="4">
        <v>914</v>
      </c>
      <c r="B305" s="5">
        <v>40584</v>
      </c>
      <c r="C305" s="6">
        <v>1</v>
      </c>
      <c r="D305" s="6">
        <v>0</v>
      </c>
      <c r="E305" s="6">
        <v>2</v>
      </c>
      <c r="F305" s="6">
        <v>14</v>
      </c>
      <c r="G305" s="6" t="b">
        <v>0</v>
      </c>
      <c r="H305" s="6">
        <v>4</v>
      </c>
      <c r="I305" s="6">
        <v>1</v>
      </c>
      <c r="J305" s="6">
        <v>0.2</v>
      </c>
      <c r="K305" s="6">
        <v>0.18179999999999999</v>
      </c>
      <c r="L305" s="6">
        <v>0.27</v>
      </c>
      <c r="M305" s="6">
        <v>0.28360000000000002</v>
      </c>
      <c r="N305" s="6">
        <v>6</v>
      </c>
      <c r="O305" s="6">
        <v>42</v>
      </c>
      <c r="P305" s="7">
        <v>48</v>
      </c>
    </row>
    <row r="306" spans="1:16" ht="13.2" x14ac:dyDescent="0.25">
      <c r="A306" s="4">
        <v>915</v>
      </c>
      <c r="B306" s="5">
        <v>40584</v>
      </c>
      <c r="C306" s="6">
        <v>1</v>
      </c>
      <c r="D306" s="6">
        <v>0</v>
      </c>
      <c r="E306" s="6">
        <v>2</v>
      </c>
      <c r="F306" s="6">
        <v>15</v>
      </c>
      <c r="G306" s="6" t="b">
        <v>0</v>
      </c>
      <c r="H306" s="6">
        <v>4</v>
      </c>
      <c r="I306" s="6">
        <v>1</v>
      </c>
      <c r="J306" s="6">
        <v>0.2</v>
      </c>
      <c r="K306" s="6">
        <v>0.19700000000000001</v>
      </c>
      <c r="L306" s="6">
        <v>0.25</v>
      </c>
      <c r="M306" s="6">
        <v>0.25369999999999998</v>
      </c>
      <c r="N306" s="6">
        <v>0</v>
      </c>
      <c r="O306" s="6">
        <v>50</v>
      </c>
      <c r="P306" s="7">
        <v>50</v>
      </c>
    </row>
    <row r="307" spans="1:16" ht="13.2" x14ac:dyDescent="0.25">
      <c r="A307" s="4">
        <v>916</v>
      </c>
      <c r="B307" s="5">
        <v>40584</v>
      </c>
      <c r="C307" s="6">
        <v>1</v>
      </c>
      <c r="D307" s="6">
        <v>0</v>
      </c>
      <c r="E307" s="6">
        <v>2</v>
      </c>
      <c r="F307" s="6">
        <v>16</v>
      </c>
      <c r="G307" s="6" t="b">
        <v>0</v>
      </c>
      <c r="H307" s="6">
        <v>4</v>
      </c>
      <c r="I307" s="6">
        <v>1</v>
      </c>
      <c r="J307" s="6">
        <v>0.2</v>
      </c>
      <c r="K307" s="6">
        <v>0.18179999999999999</v>
      </c>
      <c r="L307" s="6">
        <v>0.27</v>
      </c>
      <c r="M307" s="6">
        <v>0.29849999999999999</v>
      </c>
      <c r="N307" s="6">
        <v>4</v>
      </c>
      <c r="O307" s="6">
        <v>76</v>
      </c>
      <c r="P307" s="7">
        <v>80</v>
      </c>
    </row>
    <row r="308" spans="1:16" ht="13.2" x14ac:dyDescent="0.25">
      <c r="A308" s="4">
        <v>917</v>
      </c>
      <c r="B308" s="5">
        <v>40584</v>
      </c>
      <c r="C308" s="6">
        <v>1</v>
      </c>
      <c r="D308" s="6">
        <v>0</v>
      </c>
      <c r="E308" s="6">
        <v>2</v>
      </c>
      <c r="F308" s="6">
        <v>17</v>
      </c>
      <c r="G308" s="6" t="b">
        <v>0</v>
      </c>
      <c r="H308" s="6">
        <v>4</v>
      </c>
      <c r="I308" s="6">
        <v>1</v>
      </c>
      <c r="J308" s="6">
        <v>0.18</v>
      </c>
      <c r="K308" s="6">
        <v>0.18179999999999999</v>
      </c>
      <c r="L308" s="6">
        <v>0.26</v>
      </c>
      <c r="M308" s="6">
        <v>0.19400000000000001</v>
      </c>
      <c r="N308" s="6">
        <v>6</v>
      </c>
      <c r="O308" s="6">
        <v>159</v>
      </c>
      <c r="P308" s="7">
        <v>165</v>
      </c>
    </row>
    <row r="309" spans="1:16" ht="13.2" x14ac:dyDescent="0.25">
      <c r="A309" s="4">
        <v>918</v>
      </c>
      <c r="B309" s="5">
        <v>40584</v>
      </c>
      <c r="C309" s="6">
        <v>1</v>
      </c>
      <c r="D309" s="6">
        <v>0</v>
      </c>
      <c r="E309" s="6">
        <v>2</v>
      </c>
      <c r="F309" s="6">
        <v>18</v>
      </c>
      <c r="G309" s="6" t="b">
        <v>0</v>
      </c>
      <c r="H309" s="6">
        <v>4</v>
      </c>
      <c r="I309" s="6">
        <v>1</v>
      </c>
      <c r="J309" s="6">
        <v>0.16</v>
      </c>
      <c r="K309" s="6">
        <v>0.18179999999999999</v>
      </c>
      <c r="L309" s="6">
        <v>0.28000000000000003</v>
      </c>
      <c r="M309" s="6">
        <v>0.1343</v>
      </c>
      <c r="N309" s="6">
        <v>3</v>
      </c>
      <c r="O309" s="6">
        <v>157</v>
      </c>
      <c r="P309" s="7">
        <v>160</v>
      </c>
    </row>
    <row r="310" spans="1:16" ht="13.2" x14ac:dyDescent="0.25">
      <c r="A310" s="4">
        <v>919</v>
      </c>
      <c r="B310" s="5">
        <v>40584</v>
      </c>
      <c r="C310" s="6">
        <v>1</v>
      </c>
      <c r="D310" s="6">
        <v>0</v>
      </c>
      <c r="E310" s="6">
        <v>2</v>
      </c>
      <c r="F310" s="6">
        <v>19</v>
      </c>
      <c r="G310" s="6" t="b">
        <v>0</v>
      </c>
      <c r="H310" s="6">
        <v>4</v>
      </c>
      <c r="I310" s="6">
        <v>1</v>
      </c>
      <c r="J310" s="6">
        <v>0.14000000000000001</v>
      </c>
      <c r="K310" s="6">
        <v>0.16669999999999999</v>
      </c>
      <c r="L310" s="6">
        <v>0.28000000000000003</v>
      </c>
      <c r="M310" s="6">
        <v>0.1045</v>
      </c>
      <c r="N310" s="6">
        <v>2</v>
      </c>
      <c r="O310" s="6">
        <v>110</v>
      </c>
      <c r="P310" s="7">
        <v>112</v>
      </c>
    </row>
    <row r="311" spans="1:16" ht="13.2" x14ac:dyDescent="0.25">
      <c r="A311" s="4">
        <v>920</v>
      </c>
      <c r="B311" s="5">
        <v>40584</v>
      </c>
      <c r="C311" s="6">
        <v>1</v>
      </c>
      <c r="D311" s="6">
        <v>0</v>
      </c>
      <c r="E311" s="6">
        <v>2</v>
      </c>
      <c r="F311" s="6">
        <v>20</v>
      </c>
      <c r="G311" s="6" t="b">
        <v>0</v>
      </c>
      <c r="H311" s="6">
        <v>4</v>
      </c>
      <c r="I311" s="6">
        <v>1</v>
      </c>
      <c r="J311" s="6">
        <v>0.14000000000000001</v>
      </c>
      <c r="K311" s="6">
        <v>0.18179999999999999</v>
      </c>
      <c r="L311" s="6">
        <v>0.31</v>
      </c>
      <c r="M311" s="6">
        <v>8.9599999999999999E-2</v>
      </c>
      <c r="N311" s="6">
        <v>4</v>
      </c>
      <c r="O311" s="6">
        <v>93</v>
      </c>
      <c r="P311" s="7">
        <v>97</v>
      </c>
    </row>
    <row r="312" spans="1:16" ht="13.2" x14ac:dyDescent="0.25">
      <c r="A312" s="4">
        <v>921</v>
      </c>
      <c r="B312" s="5">
        <v>40584</v>
      </c>
      <c r="C312" s="6">
        <v>1</v>
      </c>
      <c r="D312" s="6">
        <v>0</v>
      </c>
      <c r="E312" s="6">
        <v>2</v>
      </c>
      <c r="F312" s="6">
        <v>21</v>
      </c>
      <c r="G312" s="6" t="b">
        <v>0</v>
      </c>
      <c r="H312" s="6">
        <v>4</v>
      </c>
      <c r="I312" s="6">
        <v>1</v>
      </c>
      <c r="J312" s="6">
        <v>0.14000000000000001</v>
      </c>
      <c r="K312" s="6">
        <v>0.21210000000000001</v>
      </c>
      <c r="L312" s="6">
        <v>0.39</v>
      </c>
      <c r="M312" s="6">
        <v>0</v>
      </c>
      <c r="N312" s="6">
        <v>2</v>
      </c>
      <c r="O312" s="6">
        <v>70</v>
      </c>
      <c r="P312" s="7">
        <v>72</v>
      </c>
    </row>
    <row r="313" spans="1:16" ht="13.2" x14ac:dyDescent="0.25">
      <c r="A313" s="4">
        <v>922</v>
      </c>
      <c r="B313" s="5">
        <v>40584</v>
      </c>
      <c r="C313" s="6">
        <v>1</v>
      </c>
      <c r="D313" s="6">
        <v>0</v>
      </c>
      <c r="E313" s="6">
        <v>2</v>
      </c>
      <c r="F313" s="6">
        <v>22</v>
      </c>
      <c r="G313" s="6" t="b">
        <v>0</v>
      </c>
      <c r="H313" s="6">
        <v>4</v>
      </c>
      <c r="I313" s="6">
        <v>1</v>
      </c>
      <c r="J313" s="6">
        <v>0.12</v>
      </c>
      <c r="K313" s="6">
        <v>0.19700000000000001</v>
      </c>
      <c r="L313" s="6">
        <v>0.39</v>
      </c>
      <c r="M313" s="6">
        <v>0</v>
      </c>
      <c r="N313" s="6">
        <v>4</v>
      </c>
      <c r="O313" s="6">
        <v>47</v>
      </c>
      <c r="P313" s="7">
        <v>51</v>
      </c>
    </row>
    <row r="314" spans="1:16" ht="13.2" x14ac:dyDescent="0.25">
      <c r="A314" s="4">
        <v>923</v>
      </c>
      <c r="B314" s="5">
        <v>40584</v>
      </c>
      <c r="C314" s="6">
        <v>1</v>
      </c>
      <c r="D314" s="6">
        <v>0</v>
      </c>
      <c r="E314" s="6">
        <v>2</v>
      </c>
      <c r="F314" s="6">
        <v>23</v>
      </c>
      <c r="G314" s="6" t="b">
        <v>0</v>
      </c>
      <c r="H314" s="6">
        <v>4</v>
      </c>
      <c r="I314" s="6">
        <v>1</v>
      </c>
      <c r="J314" s="6">
        <v>0.12</v>
      </c>
      <c r="K314" s="6">
        <v>0.1515</v>
      </c>
      <c r="L314" s="6">
        <v>0.42</v>
      </c>
      <c r="M314" s="6">
        <v>0.1045</v>
      </c>
      <c r="N314" s="6">
        <v>1</v>
      </c>
      <c r="O314" s="6">
        <v>33</v>
      </c>
      <c r="P314" s="7">
        <v>34</v>
      </c>
    </row>
    <row r="315" spans="1:16" ht="13.2" x14ac:dyDescent="0.25">
      <c r="A315" s="4">
        <v>924</v>
      </c>
      <c r="B315" s="5">
        <v>40585</v>
      </c>
      <c r="C315" s="6">
        <v>1</v>
      </c>
      <c r="D315" s="6">
        <v>0</v>
      </c>
      <c r="E315" s="6">
        <v>2</v>
      </c>
      <c r="F315" s="6">
        <v>0</v>
      </c>
      <c r="G315" s="6" t="b">
        <v>0</v>
      </c>
      <c r="H315" s="6">
        <v>5</v>
      </c>
      <c r="I315" s="6">
        <v>1</v>
      </c>
      <c r="J315" s="6">
        <v>0.1</v>
      </c>
      <c r="K315" s="6">
        <v>0.13639999999999999</v>
      </c>
      <c r="L315" s="6">
        <v>0.49</v>
      </c>
      <c r="M315" s="6">
        <v>0.1045</v>
      </c>
      <c r="N315" s="6">
        <v>2</v>
      </c>
      <c r="O315" s="6">
        <v>12</v>
      </c>
      <c r="P315" s="7">
        <v>14</v>
      </c>
    </row>
    <row r="316" spans="1:16" ht="13.2" x14ac:dyDescent="0.25">
      <c r="A316" s="4">
        <v>925</v>
      </c>
      <c r="B316" s="5">
        <v>40585</v>
      </c>
      <c r="C316" s="6">
        <v>1</v>
      </c>
      <c r="D316" s="6">
        <v>0</v>
      </c>
      <c r="E316" s="6">
        <v>2</v>
      </c>
      <c r="F316" s="6">
        <v>1</v>
      </c>
      <c r="G316" s="6" t="b">
        <v>0</v>
      </c>
      <c r="H316" s="6">
        <v>5</v>
      </c>
      <c r="I316" s="6">
        <v>1</v>
      </c>
      <c r="J316" s="6">
        <v>0.1</v>
      </c>
      <c r="K316" s="6">
        <v>0.13639999999999999</v>
      </c>
      <c r="L316" s="6">
        <v>0.54</v>
      </c>
      <c r="M316" s="6">
        <v>8.9599999999999999E-2</v>
      </c>
      <c r="N316" s="6">
        <v>1</v>
      </c>
      <c r="O316" s="6">
        <v>6</v>
      </c>
      <c r="P316" s="7">
        <v>7</v>
      </c>
    </row>
    <row r="317" spans="1:16" ht="13.2" x14ac:dyDescent="0.25">
      <c r="A317" s="4">
        <v>926</v>
      </c>
      <c r="B317" s="5">
        <v>40585</v>
      </c>
      <c r="C317" s="6">
        <v>1</v>
      </c>
      <c r="D317" s="6">
        <v>0</v>
      </c>
      <c r="E317" s="6">
        <v>2</v>
      </c>
      <c r="F317" s="6">
        <v>2</v>
      </c>
      <c r="G317" s="6" t="b">
        <v>0</v>
      </c>
      <c r="H317" s="6">
        <v>5</v>
      </c>
      <c r="I317" s="6">
        <v>1</v>
      </c>
      <c r="J317" s="6">
        <v>0.1</v>
      </c>
      <c r="K317" s="6">
        <v>0.13639999999999999</v>
      </c>
      <c r="L317" s="6">
        <v>0.54</v>
      </c>
      <c r="M317" s="6">
        <v>8.9599999999999999E-2</v>
      </c>
      <c r="N317" s="6">
        <v>0</v>
      </c>
      <c r="O317" s="6">
        <v>3</v>
      </c>
      <c r="P317" s="7">
        <v>3</v>
      </c>
    </row>
    <row r="318" spans="1:16" ht="13.2" x14ac:dyDescent="0.25">
      <c r="A318" s="4">
        <v>927</v>
      </c>
      <c r="B318" s="5">
        <v>40585</v>
      </c>
      <c r="C318" s="6">
        <v>1</v>
      </c>
      <c r="D318" s="6">
        <v>0</v>
      </c>
      <c r="E318" s="6">
        <v>2</v>
      </c>
      <c r="F318" s="6">
        <v>5</v>
      </c>
      <c r="G318" s="6" t="b">
        <v>0</v>
      </c>
      <c r="H318" s="6">
        <v>5</v>
      </c>
      <c r="I318" s="6">
        <v>1</v>
      </c>
      <c r="J318" s="6">
        <v>0.08</v>
      </c>
      <c r="K318" s="6">
        <v>0.1212</v>
      </c>
      <c r="L318" s="6">
        <v>0.63</v>
      </c>
      <c r="M318" s="6">
        <v>8.9599999999999999E-2</v>
      </c>
      <c r="N318" s="6">
        <v>0</v>
      </c>
      <c r="O318" s="6">
        <v>4</v>
      </c>
      <c r="P318" s="7">
        <v>4</v>
      </c>
    </row>
    <row r="319" spans="1:16" ht="13.2" x14ac:dyDescent="0.25">
      <c r="A319" s="4">
        <v>928</v>
      </c>
      <c r="B319" s="5">
        <v>40585</v>
      </c>
      <c r="C319" s="6">
        <v>1</v>
      </c>
      <c r="D319" s="6">
        <v>0</v>
      </c>
      <c r="E319" s="6">
        <v>2</v>
      </c>
      <c r="F319" s="6">
        <v>6</v>
      </c>
      <c r="G319" s="6" t="b">
        <v>0</v>
      </c>
      <c r="H319" s="6">
        <v>5</v>
      </c>
      <c r="I319" s="6">
        <v>1</v>
      </c>
      <c r="J319" s="6">
        <v>0.1</v>
      </c>
      <c r="K319" s="6">
        <v>0.18179999999999999</v>
      </c>
      <c r="L319" s="6">
        <v>0.68</v>
      </c>
      <c r="M319" s="6">
        <v>0</v>
      </c>
      <c r="N319" s="6">
        <v>1</v>
      </c>
      <c r="O319" s="6">
        <v>23</v>
      </c>
      <c r="P319" s="7">
        <v>24</v>
      </c>
    </row>
    <row r="320" spans="1:16" ht="13.2" x14ac:dyDescent="0.25">
      <c r="A320" s="4">
        <v>929</v>
      </c>
      <c r="B320" s="5">
        <v>40585</v>
      </c>
      <c r="C320" s="6">
        <v>1</v>
      </c>
      <c r="D320" s="6">
        <v>0</v>
      </c>
      <c r="E320" s="6">
        <v>2</v>
      </c>
      <c r="F320" s="6">
        <v>7</v>
      </c>
      <c r="G320" s="6" t="b">
        <v>0</v>
      </c>
      <c r="H320" s="6">
        <v>5</v>
      </c>
      <c r="I320" s="6">
        <v>1</v>
      </c>
      <c r="J320" s="6">
        <v>0.08</v>
      </c>
      <c r="K320" s="6">
        <v>0.16669999999999999</v>
      </c>
      <c r="L320" s="6">
        <v>0.73</v>
      </c>
      <c r="M320" s="6">
        <v>0</v>
      </c>
      <c r="N320" s="6">
        <v>1</v>
      </c>
      <c r="O320" s="6">
        <v>73</v>
      </c>
      <c r="P320" s="7">
        <v>74</v>
      </c>
    </row>
    <row r="321" spans="1:16" ht="13.2" x14ac:dyDescent="0.25">
      <c r="A321" s="4">
        <v>930</v>
      </c>
      <c r="B321" s="5">
        <v>40585</v>
      </c>
      <c r="C321" s="6">
        <v>1</v>
      </c>
      <c r="D321" s="6">
        <v>0</v>
      </c>
      <c r="E321" s="6">
        <v>2</v>
      </c>
      <c r="F321" s="6">
        <v>8</v>
      </c>
      <c r="G321" s="6" t="b">
        <v>0</v>
      </c>
      <c r="H321" s="6">
        <v>5</v>
      </c>
      <c r="I321" s="6">
        <v>1</v>
      </c>
      <c r="J321" s="6">
        <v>0.1</v>
      </c>
      <c r="K321" s="6">
        <v>0.1212</v>
      </c>
      <c r="L321" s="6">
        <v>0.74</v>
      </c>
      <c r="M321" s="6">
        <v>0.16420000000000001</v>
      </c>
      <c r="N321" s="6">
        <v>4</v>
      </c>
      <c r="O321" s="6">
        <v>212</v>
      </c>
      <c r="P321" s="7">
        <v>216</v>
      </c>
    </row>
    <row r="322" spans="1:16" ht="13.2" x14ac:dyDescent="0.25">
      <c r="A322" s="4">
        <v>931</v>
      </c>
      <c r="B322" s="5">
        <v>40585</v>
      </c>
      <c r="C322" s="6">
        <v>1</v>
      </c>
      <c r="D322" s="6">
        <v>0</v>
      </c>
      <c r="E322" s="6">
        <v>2</v>
      </c>
      <c r="F322" s="6">
        <v>9</v>
      </c>
      <c r="G322" s="6" t="b">
        <v>0</v>
      </c>
      <c r="H322" s="6">
        <v>5</v>
      </c>
      <c r="I322" s="6">
        <v>1</v>
      </c>
      <c r="J322" s="6">
        <v>0.12</v>
      </c>
      <c r="K322" s="6">
        <v>0.1212</v>
      </c>
      <c r="L322" s="6">
        <v>0.74</v>
      </c>
      <c r="M322" s="6">
        <v>0.22389999999999999</v>
      </c>
      <c r="N322" s="6">
        <v>8</v>
      </c>
      <c r="O322" s="6">
        <v>132</v>
      </c>
      <c r="P322" s="7">
        <v>140</v>
      </c>
    </row>
    <row r="323" spans="1:16" ht="13.2" x14ac:dyDescent="0.25">
      <c r="A323" s="4">
        <v>932</v>
      </c>
      <c r="B323" s="5">
        <v>40585</v>
      </c>
      <c r="C323" s="6">
        <v>1</v>
      </c>
      <c r="D323" s="6">
        <v>0</v>
      </c>
      <c r="E323" s="6">
        <v>2</v>
      </c>
      <c r="F323" s="6">
        <v>10</v>
      </c>
      <c r="G323" s="6" t="b">
        <v>0</v>
      </c>
      <c r="H323" s="6">
        <v>5</v>
      </c>
      <c r="I323" s="6">
        <v>1</v>
      </c>
      <c r="J323" s="6">
        <v>0.14000000000000001</v>
      </c>
      <c r="K323" s="6">
        <v>0.13639999999999999</v>
      </c>
      <c r="L323" s="6">
        <v>0.69</v>
      </c>
      <c r="M323" s="6">
        <v>0.19400000000000001</v>
      </c>
      <c r="N323" s="6">
        <v>5</v>
      </c>
      <c r="O323" s="6">
        <v>39</v>
      </c>
      <c r="P323" s="7">
        <v>44</v>
      </c>
    </row>
    <row r="324" spans="1:16" ht="13.2" x14ac:dyDescent="0.25">
      <c r="A324" s="4">
        <v>933</v>
      </c>
      <c r="B324" s="5">
        <v>40585</v>
      </c>
      <c r="C324" s="6">
        <v>1</v>
      </c>
      <c r="D324" s="6">
        <v>0</v>
      </c>
      <c r="E324" s="6">
        <v>2</v>
      </c>
      <c r="F324" s="6">
        <v>11</v>
      </c>
      <c r="G324" s="6" t="b">
        <v>0</v>
      </c>
      <c r="H324" s="6">
        <v>5</v>
      </c>
      <c r="I324" s="6">
        <v>1</v>
      </c>
      <c r="J324" s="6">
        <v>0.22</v>
      </c>
      <c r="K324" s="6">
        <v>0.2273</v>
      </c>
      <c r="L324" s="6">
        <v>0.47</v>
      </c>
      <c r="M324" s="6">
        <v>0.1343</v>
      </c>
      <c r="N324" s="6">
        <v>12</v>
      </c>
      <c r="O324" s="6">
        <v>52</v>
      </c>
      <c r="P324" s="7">
        <v>64</v>
      </c>
    </row>
    <row r="325" spans="1:16" ht="13.2" x14ac:dyDescent="0.25">
      <c r="A325" s="4">
        <v>934</v>
      </c>
      <c r="B325" s="5">
        <v>40585</v>
      </c>
      <c r="C325" s="6">
        <v>1</v>
      </c>
      <c r="D325" s="6">
        <v>0</v>
      </c>
      <c r="E325" s="6">
        <v>2</v>
      </c>
      <c r="F325" s="6">
        <v>12</v>
      </c>
      <c r="G325" s="6" t="b">
        <v>0</v>
      </c>
      <c r="H325" s="6">
        <v>5</v>
      </c>
      <c r="I325" s="6">
        <v>1</v>
      </c>
      <c r="J325" s="6">
        <v>0.22</v>
      </c>
      <c r="K325" s="6">
        <v>0.2273</v>
      </c>
      <c r="L325" s="6">
        <v>0.47</v>
      </c>
      <c r="M325" s="6">
        <v>0.1343</v>
      </c>
      <c r="N325" s="6">
        <v>7</v>
      </c>
      <c r="O325" s="6">
        <v>64</v>
      </c>
      <c r="P325" s="7">
        <v>71</v>
      </c>
    </row>
    <row r="326" spans="1:16" ht="13.2" x14ac:dyDescent="0.25">
      <c r="A326" s="4">
        <v>935</v>
      </c>
      <c r="B326" s="5">
        <v>40585</v>
      </c>
      <c r="C326" s="6">
        <v>1</v>
      </c>
      <c r="D326" s="6">
        <v>0</v>
      </c>
      <c r="E326" s="6">
        <v>2</v>
      </c>
      <c r="F326" s="6">
        <v>13</v>
      </c>
      <c r="G326" s="6" t="b">
        <v>0</v>
      </c>
      <c r="H326" s="6">
        <v>5</v>
      </c>
      <c r="I326" s="6">
        <v>1</v>
      </c>
      <c r="J326" s="6">
        <v>0.24</v>
      </c>
      <c r="K326" s="6">
        <v>0.2273</v>
      </c>
      <c r="L326" s="6">
        <v>0.35</v>
      </c>
      <c r="M326" s="6">
        <v>0.19400000000000001</v>
      </c>
      <c r="N326" s="6">
        <v>21</v>
      </c>
      <c r="O326" s="6">
        <v>89</v>
      </c>
      <c r="P326" s="7">
        <v>110</v>
      </c>
    </row>
    <row r="327" spans="1:16" ht="13.2" x14ac:dyDescent="0.25">
      <c r="A327" s="4">
        <v>936</v>
      </c>
      <c r="B327" s="5">
        <v>40585</v>
      </c>
      <c r="C327" s="6">
        <v>1</v>
      </c>
      <c r="D327" s="6">
        <v>0</v>
      </c>
      <c r="E327" s="6">
        <v>2</v>
      </c>
      <c r="F327" s="6">
        <v>14</v>
      </c>
      <c r="G327" s="6" t="b">
        <v>0</v>
      </c>
      <c r="H327" s="6">
        <v>5</v>
      </c>
      <c r="I327" s="6">
        <v>1</v>
      </c>
      <c r="J327" s="6">
        <v>0.3</v>
      </c>
      <c r="K327" s="6">
        <v>0.28789999999999999</v>
      </c>
      <c r="L327" s="6">
        <v>0.26</v>
      </c>
      <c r="M327" s="6">
        <v>0.25369999999999998</v>
      </c>
      <c r="N327" s="6">
        <v>17</v>
      </c>
      <c r="O327" s="6">
        <v>67</v>
      </c>
      <c r="P327" s="7">
        <v>84</v>
      </c>
    </row>
    <row r="328" spans="1:16" ht="13.2" x14ac:dyDescent="0.25">
      <c r="A328" s="4">
        <v>937</v>
      </c>
      <c r="B328" s="5">
        <v>40585</v>
      </c>
      <c r="C328" s="6">
        <v>1</v>
      </c>
      <c r="D328" s="6">
        <v>0</v>
      </c>
      <c r="E328" s="6">
        <v>2</v>
      </c>
      <c r="F328" s="6">
        <v>15</v>
      </c>
      <c r="G328" s="6" t="b">
        <v>0</v>
      </c>
      <c r="H328" s="6">
        <v>5</v>
      </c>
      <c r="I328" s="6">
        <v>1</v>
      </c>
      <c r="J328" s="6">
        <v>0.32</v>
      </c>
      <c r="K328" s="6">
        <v>0.31819999999999998</v>
      </c>
      <c r="L328" s="6">
        <v>0.21</v>
      </c>
      <c r="M328" s="6">
        <v>0.16420000000000001</v>
      </c>
      <c r="N328" s="6">
        <v>12</v>
      </c>
      <c r="O328" s="6">
        <v>62</v>
      </c>
      <c r="P328" s="7">
        <v>74</v>
      </c>
    </row>
    <row r="329" spans="1:16" ht="13.2" x14ac:dyDescent="0.25">
      <c r="A329" s="4">
        <v>938</v>
      </c>
      <c r="B329" s="5">
        <v>40585</v>
      </c>
      <c r="C329" s="6">
        <v>1</v>
      </c>
      <c r="D329" s="6">
        <v>0</v>
      </c>
      <c r="E329" s="6">
        <v>2</v>
      </c>
      <c r="F329" s="6">
        <v>16</v>
      </c>
      <c r="G329" s="6" t="b">
        <v>0</v>
      </c>
      <c r="H329" s="6">
        <v>5</v>
      </c>
      <c r="I329" s="6">
        <v>1</v>
      </c>
      <c r="J329" s="6">
        <v>0.3</v>
      </c>
      <c r="K329" s="6">
        <v>0.28789999999999999</v>
      </c>
      <c r="L329" s="6">
        <v>0.28000000000000003</v>
      </c>
      <c r="M329" s="6">
        <v>0.19400000000000001</v>
      </c>
      <c r="N329" s="6">
        <v>14</v>
      </c>
      <c r="O329" s="6">
        <v>111</v>
      </c>
      <c r="P329" s="7">
        <v>125</v>
      </c>
    </row>
    <row r="330" spans="1:16" ht="13.2" x14ac:dyDescent="0.25">
      <c r="A330" s="4">
        <v>939</v>
      </c>
      <c r="B330" s="5">
        <v>40585</v>
      </c>
      <c r="C330" s="6">
        <v>1</v>
      </c>
      <c r="D330" s="6">
        <v>0</v>
      </c>
      <c r="E330" s="6">
        <v>2</v>
      </c>
      <c r="F330" s="6">
        <v>17</v>
      </c>
      <c r="G330" s="6" t="b">
        <v>0</v>
      </c>
      <c r="H330" s="6">
        <v>5</v>
      </c>
      <c r="I330" s="6">
        <v>1</v>
      </c>
      <c r="J330" s="6">
        <v>0.3</v>
      </c>
      <c r="K330" s="6">
        <v>0.33329999999999999</v>
      </c>
      <c r="L330" s="6">
        <v>0.24</v>
      </c>
      <c r="M330" s="6">
        <v>0</v>
      </c>
      <c r="N330" s="6">
        <v>18</v>
      </c>
      <c r="O330" s="6">
        <v>193</v>
      </c>
      <c r="P330" s="7">
        <v>211</v>
      </c>
    </row>
    <row r="331" spans="1:16" ht="13.2" x14ac:dyDescent="0.25">
      <c r="A331" s="4">
        <v>940</v>
      </c>
      <c r="B331" s="5">
        <v>40585</v>
      </c>
      <c r="C331" s="6">
        <v>1</v>
      </c>
      <c r="D331" s="6">
        <v>0</v>
      </c>
      <c r="E331" s="6">
        <v>2</v>
      </c>
      <c r="F331" s="6">
        <v>18</v>
      </c>
      <c r="G331" s="6" t="b">
        <v>0</v>
      </c>
      <c r="H331" s="6">
        <v>5</v>
      </c>
      <c r="I331" s="6">
        <v>1</v>
      </c>
      <c r="J331" s="6">
        <v>0.28000000000000003</v>
      </c>
      <c r="K331" s="6">
        <v>0.31819999999999998</v>
      </c>
      <c r="L331" s="6">
        <v>0.28000000000000003</v>
      </c>
      <c r="M331" s="6">
        <v>0</v>
      </c>
      <c r="N331" s="6">
        <v>9</v>
      </c>
      <c r="O331" s="6">
        <v>165</v>
      </c>
      <c r="P331" s="7">
        <v>174</v>
      </c>
    </row>
    <row r="332" spans="1:16" ht="13.2" x14ac:dyDescent="0.25">
      <c r="A332" s="4">
        <v>941</v>
      </c>
      <c r="B332" s="5">
        <v>40585</v>
      </c>
      <c r="C332" s="6">
        <v>1</v>
      </c>
      <c r="D332" s="6">
        <v>0</v>
      </c>
      <c r="E332" s="6">
        <v>2</v>
      </c>
      <c r="F332" s="6">
        <v>19</v>
      </c>
      <c r="G332" s="6" t="b">
        <v>0</v>
      </c>
      <c r="H332" s="6">
        <v>5</v>
      </c>
      <c r="I332" s="6">
        <v>1</v>
      </c>
      <c r="J332" s="6">
        <v>0.26</v>
      </c>
      <c r="K332" s="6">
        <v>0.30299999999999999</v>
      </c>
      <c r="L332" s="6">
        <v>0.33</v>
      </c>
      <c r="M332" s="6">
        <v>0</v>
      </c>
      <c r="N332" s="6">
        <v>7</v>
      </c>
      <c r="O332" s="6">
        <v>94</v>
      </c>
      <c r="P332" s="7">
        <v>101</v>
      </c>
    </row>
    <row r="333" spans="1:16" ht="13.2" x14ac:dyDescent="0.25">
      <c r="A333" s="4">
        <v>942</v>
      </c>
      <c r="B333" s="5">
        <v>40585</v>
      </c>
      <c r="C333" s="6">
        <v>1</v>
      </c>
      <c r="D333" s="6">
        <v>0</v>
      </c>
      <c r="E333" s="6">
        <v>2</v>
      </c>
      <c r="F333" s="6">
        <v>20</v>
      </c>
      <c r="G333" s="6" t="b">
        <v>0</v>
      </c>
      <c r="H333" s="6">
        <v>5</v>
      </c>
      <c r="I333" s="6">
        <v>1</v>
      </c>
      <c r="J333" s="6">
        <v>0.22</v>
      </c>
      <c r="K333" s="6">
        <v>0.2273</v>
      </c>
      <c r="L333" s="6">
        <v>0.55000000000000004</v>
      </c>
      <c r="M333" s="6">
        <v>0.1343</v>
      </c>
      <c r="N333" s="6">
        <v>2</v>
      </c>
      <c r="O333" s="6">
        <v>61</v>
      </c>
      <c r="P333" s="7">
        <v>63</v>
      </c>
    </row>
    <row r="334" spans="1:16" ht="13.2" x14ac:dyDescent="0.25">
      <c r="A334" s="4">
        <v>943</v>
      </c>
      <c r="B334" s="5">
        <v>40585</v>
      </c>
      <c r="C334" s="6">
        <v>1</v>
      </c>
      <c r="D334" s="6">
        <v>0</v>
      </c>
      <c r="E334" s="6">
        <v>2</v>
      </c>
      <c r="F334" s="6">
        <v>21</v>
      </c>
      <c r="G334" s="6" t="b">
        <v>0</v>
      </c>
      <c r="H334" s="6">
        <v>5</v>
      </c>
      <c r="I334" s="6">
        <v>1</v>
      </c>
      <c r="J334" s="6">
        <v>0.2</v>
      </c>
      <c r="K334" s="6">
        <v>0.21210000000000001</v>
      </c>
      <c r="L334" s="6">
        <v>0.59</v>
      </c>
      <c r="M334" s="6">
        <v>0.1343</v>
      </c>
      <c r="N334" s="6">
        <v>1</v>
      </c>
      <c r="O334" s="6">
        <v>46</v>
      </c>
      <c r="P334" s="7">
        <v>47</v>
      </c>
    </row>
    <row r="335" spans="1:16" ht="13.2" x14ac:dyDescent="0.25">
      <c r="A335" s="4">
        <v>944</v>
      </c>
      <c r="B335" s="5">
        <v>40585</v>
      </c>
      <c r="C335" s="6">
        <v>1</v>
      </c>
      <c r="D335" s="6">
        <v>0</v>
      </c>
      <c r="E335" s="6">
        <v>2</v>
      </c>
      <c r="F335" s="6">
        <v>22</v>
      </c>
      <c r="G335" s="6" t="b">
        <v>0</v>
      </c>
      <c r="H335" s="6">
        <v>5</v>
      </c>
      <c r="I335" s="6">
        <v>1</v>
      </c>
      <c r="J335" s="6">
        <v>0.2</v>
      </c>
      <c r="K335" s="6">
        <v>0.2273</v>
      </c>
      <c r="L335" s="6">
        <v>0.64</v>
      </c>
      <c r="M335" s="6">
        <v>8.9599999999999999E-2</v>
      </c>
      <c r="N335" s="6">
        <v>2</v>
      </c>
      <c r="O335" s="6">
        <v>41</v>
      </c>
      <c r="P335" s="7">
        <v>43</v>
      </c>
    </row>
    <row r="336" spans="1:16" ht="13.2" x14ac:dyDescent="0.25">
      <c r="A336" s="4">
        <v>945</v>
      </c>
      <c r="B336" s="5">
        <v>40585</v>
      </c>
      <c r="C336" s="6">
        <v>1</v>
      </c>
      <c r="D336" s="6">
        <v>0</v>
      </c>
      <c r="E336" s="6">
        <v>2</v>
      </c>
      <c r="F336" s="6">
        <v>23</v>
      </c>
      <c r="G336" s="6" t="b">
        <v>0</v>
      </c>
      <c r="H336" s="6">
        <v>5</v>
      </c>
      <c r="I336" s="6">
        <v>1</v>
      </c>
      <c r="J336" s="6">
        <v>0.18</v>
      </c>
      <c r="K336" s="6">
        <v>0.2424</v>
      </c>
      <c r="L336" s="6">
        <v>0.69</v>
      </c>
      <c r="M336" s="6">
        <v>0</v>
      </c>
      <c r="N336" s="6">
        <v>5</v>
      </c>
      <c r="O336" s="6">
        <v>48</v>
      </c>
      <c r="P336" s="7">
        <v>53</v>
      </c>
    </row>
    <row r="337" spans="1:16" ht="13.2" x14ac:dyDescent="0.25">
      <c r="A337" s="4">
        <v>946</v>
      </c>
      <c r="B337" s="5">
        <v>40586</v>
      </c>
      <c r="C337" s="6">
        <v>1</v>
      </c>
      <c r="D337" s="6">
        <v>0</v>
      </c>
      <c r="E337" s="6">
        <v>2</v>
      </c>
      <c r="F337" s="6">
        <v>0</v>
      </c>
      <c r="G337" s="6" t="b">
        <v>0</v>
      </c>
      <c r="H337" s="6">
        <v>6</v>
      </c>
      <c r="I337" s="6">
        <v>1</v>
      </c>
      <c r="J337" s="6">
        <v>0.16</v>
      </c>
      <c r="K337" s="6">
        <v>0.19700000000000001</v>
      </c>
      <c r="L337" s="6">
        <v>0.69</v>
      </c>
      <c r="M337" s="6">
        <v>8.9599999999999999E-2</v>
      </c>
      <c r="N337" s="6">
        <v>3</v>
      </c>
      <c r="O337" s="6">
        <v>27</v>
      </c>
      <c r="P337" s="7">
        <v>30</v>
      </c>
    </row>
    <row r="338" spans="1:16" ht="13.2" x14ac:dyDescent="0.25">
      <c r="A338" s="4">
        <v>947</v>
      </c>
      <c r="B338" s="5">
        <v>40586</v>
      </c>
      <c r="C338" s="6">
        <v>1</v>
      </c>
      <c r="D338" s="6">
        <v>0</v>
      </c>
      <c r="E338" s="6">
        <v>2</v>
      </c>
      <c r="F338" s="6">
        <v>1</v>
      </c>
      <c r="G338" s="6" t="b">
        <v>0</v>
      </c>
      <c r="H338" s="6">
        <v>6</v>
      </c>
      <c r="I338" s="6">
        <v>1</v>
      </c>
      <c r="J338" s="6">
        <v>0.14000000000000001</v>
      </c>
      <c r="K338" s="6">
        <v>0.21210000000000001</v>
      </c>
      <c r="L338" s="6">
        <v>0.86</v>
      </c>
      <c r="M338" s="6">
        <v>0</v>
      </c>
      <c r="N338" s="6">
        <v>2</v>
      </c>
      <c r="O338" s="6">
        <v>22</v>
      </c>
      <c r="P338" s="7">
        <v>24</v>
      </c>
    </row>
    <row r="339" spans="1:16" ht="13.2" x14ac:dyDescent="0.25">
      <c r="A339" s="4">
        <v>948</v>
      </c>
      <c r="B339" s="5">
        <v>40586</v>
      </c>
      <c r="C339" s="6">
        <v>1</v>
      </c>
      <c r="D339" s="6">
        <v>0</v>
      </c>
      <c r="E339" s="6">
        <v>2</v>
      </c>
      <c r="F339" s="6">
        <v>2</v>
      </c>
      <c r="G339" s="6" t="b">
        <v>0</v>
      </c>
      <c r="H339" s="6">
        <v>6</v>
      </c>
      <c r="I339" s="6">
        <v>1</v>
      </c>
      <c r="J339" s="6">
        <v>0.14000000000000001</v>
      </c>
      <c r="K339" s="6">
        <v>0.21210000000000001</v>
      </c>
      <c r="L339" s="6">
        <v>0.8</v>
      </c>
      <c r="M339" s="6">
        <v>0</v>
      </c>
      <c r="N339" s="6">
        <v>2</v>
      </c>
      <c r="O339" s="6">
        <v>13</v>
      </c>
      <c r="P339" s="7">
        <v>15</v>
      </c>
    </row>
    <row r="340" spans="1:16" ht="13.2" x14ac:dyDescent="0.25">
      <c r="A340" s="4">
        <v>949</v>
      </c>
      <c r="B340" s="5">
        <v>40586</v>
      </c>
      <c r="C340" s="6">
        <v>1</v>
      </c>
      <c r="D340" s="6">
        <v>0</v>
      </c>
      <c r="E340" s="6">
        <v>2</v>
      </c>
      <c r="F340" s="6">
        <v>3</v>
      </c>
      <c r="G340" s="6" t="b">
        <v>0</v>
      </c>
      <c r="H340" s="6">
        <v>6</v>
      </c>
      <c r="I340" s="6">
        <v>1</v>
      </c>
      <c r="J340" s="6">
        <v>0.12</v>
      </c>
      <c r="K340" s="6">
        <v>0.19700000000000001</v>
      </c>
      <c r="L340" s="6">
        <v>0.8</v>
      </c>
      <c r="M340" s="6">
        <v>0</v>
      </c>
      <c r="N340" s="6">
        <v>3</v>
      </c>
      <c r="O340" s="6">
        <v>7</v>
      </c>
      <c r="P340" s="7">
        <v>10</v>
      </c>
    </row>
    <row r="341" spans="1:16" ht="13.2" x14ac:dyDescent="0.25">
      <c r="A341" s="4">
        <v>950</v>
      </c>
      <c r="B341" s="5">
        <v>40586</v>
      </c>
      <c r="C341" s="6">
        <v>1</v>
      </c>
      <c r="D341" s="6">
        <v>0</v>
      </c>
      <c r="E341" s="6">
        <v>2</v>
      </c>
      <c r="F341" s="6">
        <v>4</v>
      </c>
      <c r="G341" s="6" t="b">
        <v>0</v>
      </c>
      <c r="H341" s="6">
        <v>6</v>
      </c>
      <c r="I341" s="6">
        <v>1</v>
      </c>
      <c r="J341" s="6">
        <v>0.12</v>
      </c>
      <c r="K341" s="6">
        <v>0.16669999999999999</v>
      </c>
      <c r="L341" s="6">
        <v>0.74</v>
      </c>
      <c r="M341" s="6">
        <v>8.9599999999999999E-2</v>
      </c>
      <c r="N341" s="6">
        <v>0</v>
      </c>
      <c r="O341" s="6">
        <v>4</v>
      </c>
      <c r="P341" s="7">
        <v>4</v>
      </c>
    </row>
    <row r="342" spans="1:16" ht="13.2" x14ac:dyDescent="0.25">
      <c r="A342" s="4">
        <v>951</v>
      </c>
      <c r="B342" s="5">
        <v>40586</v>
      </c>
      <c r="C342" s="6">
        <v>1</v>
      </c>
      <c r="D342" s="6">
        <v>0</v>
      </c>
      <c r="E342" s="6">
        <v>2</v>
      </c>
      <c r="F342" s="6">
        <v>5</v>
      </c>
      <c r="G342" s="6" t="b">
        <v>0</v>
      </c>
      <c r="H342" s="6">
        <v>6</v>
      </c>
      <c r="I342" s="6">
        <v>1</v>
      </c>
      <c r="J342" s="6">
        <v>0.12</v>
      </c>
      <c r="K342" s="6">
        <v>0.16669999999999999</v>
      </c>
      <c r="L342" s="6">
        <v>0.74</v>
      </c>
      <c r="M342" s="6">
        <v>8.9599999999999999E-2</v>
      </c>
      <c r="N342" s="6">
        <v>0</v>
      </c>
      <c r="O342" s="6">
        <v>1</v>
      </c>
      <c r="P342" s="7">
        <v>1</v>
      </c>
    </row>
    <row r="343" spans="1:16" ht="13.2" x14ac:dyDescent="0.25">
      <c r="A343" s="4">
        <v>952</v>
      </c>
      <c r="B343" s="5">
        <v>40586</v>
      </c>
      <c r="C343" s="6">
        <v>1</v>
      </c>
      <c r="D343" s="6">
        <v>0</v>
      </c>
      <c r="E343" s="6">
        <v>2</v>
      </c>
      <c r="F343" s="6">
        <v>6</v>
      </c>
      <c r="G343" s="6" t="b">
        <v>0</v>
      </c>
      <c r="H343" s="6">
        <v>6</v>
      </c>
      <c r="I343" s="6">
        <v>1</v>
      </c>
      <c r="J343" s="6">
        <v>0.12</v>
      </c>
      <c r="K343" s="6">
        <v>0.13639999999999999</v>
      </c>
      <c r="L343" s="6">
        <v>0.93</v>
      </c>
      <c r="M343" s="6">
        <v>0.19400000000000001</v>
      </c>
      <c r="N343" s="6">
        <v>1</v>
      </c>
      <c r="O343" s="6">
        <v>1</v>
      </c>
      <c r="P343" s="7">
        <v>2</v>
      </c>
    </row>
    <row r="344" spans="1:16" ht="13.2" x14ac:dyDescent="0.25">
      <c r="A344" s="4">
        <v>953</v>
      </c>
      <c r="B344" s="5">
        <v>40586</v>
      </c>
      <c r="C344" s="6">
        <v>1</v>
      </c>
      <c r="D344" s="6">
        <v>0</v>
      </c>
      <c r="E344" s="6">
        <v>2</v>
      </c>
      <c r="F344" s="6">
        <v>7</v>
      </c>
      <c r="G344" s="6" t="b">
        <v>0</v>
      </c>
      <c r="H344" s="6">
        <v>6</v>
      </c>
      <c r="I344" s="6">
        <v>1</v>
      </c>
      <c r="J344" s="6">
        <v>0.12</v>
      </c>
      <c r="K344" s="6">
        <v>0.1515</v>
      </c>
      <c r="L344" s="6">
        <v>0.8</v>
      </c>
      <c r="M344" s="6">
        <v>0.1045</v>
      </c>
      <c r="N344" s="6">
        <v>2</v>
      </c>
      <c r="O344" s="6">
        <v>9</v>
      </c>
      <c r="P344" s="7">
        <v>11</v>
      </c>
    </row>
    <row r="345" spans="1:16" ht="13.2" x14ac:dyDescent="0.25">
      <c r="A345" s="4">
        <v>954</v>
      </c>
      <c r="B345" s="5">
        <v>40586</v>
      </c>
      <c r="C345" s="6">
        <v>1</v>
      </c>
      <c r="D345" s="6">
        <v>0</v>
      </c>
      <c r="E345" s="6">
        <v>2</v>
      </c>
      <c r="F345" s="6">
        <v>8</v>
      </c>
      <c r="G345" s="6" t="b">
        <v>0</v>
      </c>
      <c r="H345" s="6">
        <v>6</v>
      </c>
      <c r="I345" s="6">
        <v>1</v>
      </c>
      <c r="J345" s="6">
        <v>0.14000000000000001</v>
      </c>
      <c r="K345" s="6">
        <v>0.1515</v>
      </c>
      <c r="L345" s="6">
        <v>0.86</v>
      </c>
      <c r="M345" s="6">
        <v>0.1343</v>
      </c>
      <c r="N345" s="6">
        <v>2</v>
      </c>
      <c r="O345" s="6">
        <v>28</v>
      </c>
      <c r="P345" s="7">
        <v>30</v>
      </c>
    </row>
    <row r="346" spans="1:16" ht="13.2" x14ac:dyDescent="0.25">
      <c r="A346" s="4">
        <v>955</v>
      </c>
      <c r="B346" s="5">
        <v>40586</v>
      </c>
      <c r="C346" s="6">
        <v>1</v>
      </c>
      <c r="D346" s="6">
        <v>0</v>
      </c>
      <c r="E346" s="6">
        <v>2</v>
      </c>
      <c r="F346" s="6">
        <v>9</v>
      </c>
      <c r="G346" s="6" t="b">
        <v>0</v>
      </c>
      <c r="H346" s="6">
        <v>6</v>
      </c>
      <c r="I346" s="6">
        <v>1</v>
      </c>
      <c r="J346" s="6">
        <v>0.16</v>
      </c>
      <c r="K346" s="6">
        <v>0.18179999999999999</v>
      </c>
      <c r="L346" s="6">
        <v>0.64</v>
      </c>
      <c r="M346" s="6">
        <v>0.1343</v>
      </c>
      <c r="N346" s="6">
        <v>5</v>
      </c>
      <c r="O346" s="6">
        <v>38</v>
      </c>
      <c r="P346" s="7">
        <v>43</v>
      </c>
    </row>
    <row r="347" spans="1:16" ht="13.2" x14ac:dyDescent="0.25">
      <c r="A347" s="4">
        <v>956</v>
      </c>
      <c r="B347" s="5">
        <v>40586</v>
      </c>
      <c r="C347" s="6">
        <v>1</v>
      </c>
      <c r="D347" s="6">
        <v>0</v>
      </c>
      <c r="E347" s="6">
        <v>2</v>
      </c>
      <c r="F347" s="6">
        <v>10</v>
      </c>
      <c r="G347" s="6" t="b">
        <v>0</v>
      </c>
      <c r="H347" s="6">
        <v>6</v>
      </c>
      <c r="I347" s="6">
        <v>1</v>
      </c>
      <c r="J347" s="6">
        <v>0.22</v>
      </c>
      <c r="K347" s="6">
        <v>0.21210000000000001</v>
      </c>
      <c r="L347" s="6">
        <v>0.41</v>
      </c>
      <c r="M347" s="6">
        <v>0.25369999999999998</v>
      </c>
      <c r="N347" s="6">
        <v>13</v>
      </c>
      <c r="O347" s="6">
        <v>71</v>
      </c>
      <c r="P347" s="7">
        <v>84</v>
      </c>
    </row>
    <row r="348" spans="1:16" ht="13.2" x14ac:dyDescent="0.25">
      <c r="A348" s="4">
        <v>957</v>
      </c>
      <c r="B348" s="5">
        <v>40586</v>
      </c>
      <c r="C348" s="6">
        <v>1</v>
      </c>
      <c r="D348" s="6">
        <v>0</v>
      </c>
      <c r="E348" s="6">
        <v>2</v>
      </c>
      <c r="F348" s="6">
        <v>11</v>
      </c>
      <c r="G348" s="6" t="b">
        <v>0</v>
      </c>
      <c r="H348" s="6">
        <v>6</v>
      </c>
      <c r="I348" s="6">
        <v>1</v>
      </c>
      <c r="J348" s="6">
        <v>0.3</v>
      </c>
      <c r="K348" s="6">
        <v>0.2727</v>
      </c>
      <c r="L348" s="6">
        <v>0.28000000000000003</v>
      </c>
      <c r="M348" s="6">
        <v>0.32840000000000003</v>
      </c>
      <c r="N348" s="6">
        <v>30</v>
      </c>
      <c r="O348" s="6">
        <v>84</v>
      </c>
      <c r="P348" s="7">
        <v>114</v>
      </c>
    </row>
    <row r="349" spans="1:16" ht="13.2" x14ac:dyDescent="0.25">
      <c r="A349" s="4">
        <v>958</v>
      </c>
      <c r="B349" s="5">
        <v>40586</v>
      </c>
      <c r="C349" s="6">
        <v>1</v>
      </c>
      <c r="D349" s="6">
        <v>0</v>
      </c>
      <c r="E349" s="6">
        <v>2</v>
      </c>
      <c r="F349" s="6">
        <v>12</v>
      </c>
      <c r="G349" s="6" t="b">
        <v>0</v>
      </c>
      <c r="H349" s="6">
        <v>6</v>
      </c>
      <c r="I349" s="6">
        <v>1</v>
      </c>
      <c r="J349" s="6">
        <v>0.3</v>
      </c>
      <c r="K349" s="6">
        <v>0.2727</v>
      </c>
      <c r="L349" s="6">
        <v>0.39</v>
      </c>
      <c r="M349" s="6">
        <v>0.4627</v>
      </c>
      <c r="N349" s="6">
        <v>27</v>
      </c>
      <c r="O349" s="6">
        <v>93</v>
      </c>
      <c r="P349" s="7">
        <v>120</v>
      </c>
    </row>
    <row r="350" spans="1:16" ht="13.2" x14ac:dyDescent="0.25">
      <c r="A350" s="4">
        <v>959</v>
      </c>
      <c r="B350" s="5">
        <v>40586</v>
      </c>
      <c r="C350" s="6">
        <v>1</v>
      </c>
      <c r="D350" s="6">
        <v>0</v>
      </c>
      <c r="E350" s="6">
        <v>2</v>
      </c>
      <c r="F350" s="6">
        <v>13</v>
      </c>
      <c r="G350" s="6" t="b">
        <v>0</v>
      </c>
      <c r="H350" s="6">
        <v>6</v>
      </c>
      <c r="I350" s="6">
        <v>1</v>
      </c>
      <c r="J350" s="6">
        <v>0.3</v>
      </c>
      <c r="K350" s="6">
        <v>0.2727</v>
      </c>
      <c r="L350" s="6">
        <v>0.39</v>
      </c>
      <c r="M350" s="6">
        <v>0.41789999999999999</v>
      </c>
      <c r="N350" s="6">
        <v>32</v>
      </c>
      <c r="O350" s="6">
        <v>103</v>
      </c>
      <c r="P350" s="7">
        <v>135</v>
      </c>
    </row>
    <row r="351" spans="1:16" ht="13.2" x14ac:dyDescent="0.25">
      <c r="A351" s="4">
        <v>960</v>
      </c>
      <c r="B351" s="5">
        <v>40586</v>
      </c>
      <c r="C351" s="6">
        <v>1</v>
      </c>
      <c r="D351" s="6">
        <v>0</v>
      </c>
      <c r="E351" s="6">
        <v>2</v>
      </c>
      <c r="F351" s="6">
        <v>14</v>
      </c>
      <c r="G351" s="6" t="b">
        <v>0</v>
      </c>
      <c r="H351" s="6">
        <v>6</v>
      </c>
      <c r="I351" s="6">
        <v>1</v>
      </c>
      <c r="J351" s="6">
        <v>0.34</v>
      </c>
      <c r="K351" s="6">
        <v>0.31819999999999998</v>
      </c>
      <c r="L351" s="6">
        <v>0.31</v>
      </c>
      <c r="M351" s="6">
        <v>0.28360000000000002</v>
      </c>
      <c r="N351" s="6">
        <v>30</v>
      </c>
      <c r="O351" s="6">
        <v>90</v>
      </c>
      <c r="P351" s="7">
        <v>120</v>
      </c>
    </row>
    <row r="352" spans="1:16" ht="13.2" x14ac:dyDescent="0.25">
      <c r="A352" s="4">
        <v>961</v>
      </c>
      <c r="B352" s="5">
        <v>40586</v>
      </c>
      <c r="C352" s="6">
        <v>1</v>
      </c>
      <c r="D352" s="6">
        <v>0</v>
      </c>
      <c r="E352" s="6">
        <v>2</v>
      </c>
      <c r="F352" s="6">
        <v>15</v>
      </c>
      <c r="G352" s="6" t="b">
        <v>0</v>
      </c>
      <c r="H352" s="6">
        <v>6</v>
      </c>
      <c r="I352" s="6">
        <v>1</v>
      </c>
      <c r="J352" s="6">
        <v>0.34</v>
      </c>
      <c r="K352" s="6">
        <v>0.30299999999999999</v>
      </c>
      <c r="L352" s="6">
        <v>0.28999999999999998</v>
      </c>
      <c r="M352" s="6">
        <v>0.41789999999999999</v>
      </c>
      <c r="N352" s="6">
        <v>47</v>
      </c>
      <c r="O352" s="6">
        <v>127</v>
      </c>
      <c r="P352" s="7">
        <v>174</v>
      </c>
    </row>
    <row r="353" spans="1:16" ht="13.2" x14ac:dyDescent="0.25">
      <c r="A353" s="4">
        <v>962</v>
      </c>
      <c r="B353" s="5">
        <v>40586</v>
      </c>
      <c r="C353" s="6">
        <v>1</v>
      </c>
      <c r="D353" s="6">
        <v>0</v>
      </c>
      <c r="E353" s="6">
        <v>2</v>
      </c>
      <c r="F353" s="6">
        <v>16</v>
      </c>
      <c r="G353" s="6" t="b">
        <v>0</v>
      </c>
      <c r="H353" s="6">
        <v>6</v>
      </c>
      <c r="I353" s="6">
        <v>1</v>
      </c>
      <c r="J353" s="6">
        <v>0.34</v>
      </c>
      <c r="K353" s="6">
        <v>0.30299999999999999</v>
      </c>
      <c r="L353" s="6">
        <v>0.28999999999999998</v>
      </c>
      <c r="M353" s="6">
        <v>0.41789999999999999</v>
      </c>
      <c r="N353" s="6">
        <v>42</v>
      </c>
      <c r="O353" s="6">
        <v>103</v>
      </c>
      <c r="P353" s="7">
        <v>145</v>
      </c>
    </row>
    <row r="354" spans="1:16" ht="13.2" x14ac:dyDescent="0.25">
      <c r="A354" s="4">
        <v>963</v>
      </c>
      <c r="B354" s="5">
        <v>40586</v>
      </c>
      <c r="C354" s="6">
        <v>1</v>
      </c>
      <c r="D354" s="6">
        <v>0</v>
      </c>
      <c r="E354" s="6">
        <v>2</v>
      </c>
      <c r="F354" s="6">
        <v>17</v>
      </c>
      <c r="G354" s="6" t="b">
        <v>0</v>
      </c>
      <c r="H354" s="6">
        <v>6</v>
      </c>
      <c r="I354" s="6">
        <v>1</v>
      </c>
      <c r="J354" s="6">
        <v>0.32</v>
      </c>
      <c r="K354" s="6">
        <v>0.28789999999999999</v>
      </c>
      <c r="L354" s="6">
        <v>0.31</v>
      </c>
      <c r="M354" s="6">
        <v>0.52239999999999998</v>
      </c>
      <c r="N354" s="6">
        <v>24</v>
      </c>
      <c r="O354" s="6">
        <v>113</v>
      </c>
      <c r="P354" s="7">
        <v>137</v>
      </c>
    </row>
    <row r="355" spans="1:16" ht="13.2" x14ac:dyDescent="0.25">
      <c r="A355" s="4">
        <v>964</v>
      </c>
      <c r="B355" s="5">
        <v>40586</v>
      </c>
      <c r="C355" s="6">
        <v>1</v>
      </c>
      <c r="D355" s="6">
        <v>0</v>
      </c>
      <c r="E355" s="6">
        <v>2</v>
      </c>
      <c r="F355" s="6">
        <v>18</v>
      </c>
      <c r="G355" s="6" t="b">
        <v>0</v>
      </c>
      <c r="H355" s="6">
        <v>6</v>
      </c>
      <c r="I355" s="6">
        <v>1</v>
      </c>
      <c r="J355" s="6">
        <v>0.28000000000000003</v>
      </c>
      <c r="K355" s="6">
        <v>0.2576</v>
      </c>
      <c r="L355" s="6">
        <v>0.38</v>
      </c>
      <c r="M355" s="6">
        <v>0.32840000000000003</v>
      </c>
      <c r="N355" s="6">
        <v>4</v>
      </c>
      <c r="O355" s="6">
        <v>60</v>
      </c>
      <c r="P355" s="7">
        <v>64</v>
      </c>
    </row>
    <row r="356" spans="1:16" ht="13.2" x14ac:dyDescent="0.25">
      <c r="A356" s="4">
        <v>965</v>
      </c>
      <c r="B356" s="5">
        <v>40586</v>
      </c>
      <c r="C356" s="6">
        <v>1</v>
      </c>
      <c r="D356" s="6">
        <v>0</v>
      </c>
      <c r="E356" s="6">
        <v>2</v>
      </c>
      <c r="F356" s="6">
        <v>19</v>
      </c>
      <c r="G356" s="6" t="b">
        <v>0</v>
      </c>
      <c r="H356" s="6">
        <v>6</v>
      </c>
      <c r="I356" s="6">
        <v>1</v>
      </c>
      <c r="J356" s="6">
        <v>0.28000000000000003</v>
      </c>
      <c r="K356" s="6">
        <v>0.2727</v>
      </c>
      <c r="L356" s="6">
        <v>0.38</v>
      </c>
      <c r="M356" s="6">
        <v>0.16420000000000001</v>
      </c>
      <c r="N356" s="6">
        <v>2</v>
      </c>
      <c r="O356" s="6">
        <v>39</v>
      </c>
      <c r="P356" s="7">
        <v>41</v>
      </c>
    </row>
    <row r="357" spans="1:16" ht="13.2" x14ac:dyDescent="0.25">
      <c r="A357" s="4">
        <v>966</v>
      </c>
      <c r="B357" s="5">
        <v>40586</v>
      </c>
      <c r="C357" s="6">
        <v>1</v>
      </c>
      <c r="D357" s="6">
        <v>0</v>
      </c>
      <c r="E357" s="6">
        <v>2</v>
      </c>
      <c r="F357" s="6">
        <v>20</v>
      </c>
      <c r="G357" s="6" t="b">
        <v>0</v>
      </c>
      <c r="H357" s="6">
        <v>6</v>
      </c>
      <c r="I357" s="6">
        <v>1</v>
      </c>
      <c r="J357" s="6">
        <v>0.26</v>
      </c>
      <c r="K357" s="6">
        <v>0.2576</v>
      </c>
      <c r="L357" s="6">
        <v>0.41</v>
      </c>
      <c r="M357" s="6">
        <v>0.22389999999999999</v>
      </c>
      <c r="N357" s="6">
        <v>1</v>
      </c>
      <c r="O357" s="6">
        <v>39</v>
      </c>
      <c r="P357" s="7">
        <v>40</v>
      </c>
    </row>
    <row r="358" spans="1:16" ht="13.2" x14ac:dyDescent="0.25">
      <c r="A358" s="4">
        <v>967</v>
      </c>
      <c r="B358" s="5">
        <v>40586</v>
      </c>
      <c r="C358" s="6">
        <v>1</v>
      </c>
      <c r="D358" s="6">
        <v>0</v>
      </c>
      <c r="E358" s="6">
        <v>2</v>
      </c>
      <c r="F358" s="6">
        <v>21</v>
      </c>
      <c r="G358" s="6" t="b">
        <v>0</v>
      </c>
      <c r="H358" s="6">
        <v>6</v>
      </c>
      <c r="I358" s="6">
        <v>1</v>
      </c>
      <c r="J358" s="6">
        <v>0.26</v>
      </c>
      <c r="K358" s="6">
        <v>0.30299999999999999</v>
      </c>
      <c r="L358" s="6">
        <v>0.41</v>
      </c>
      <c r="M358" s="6">
        <v>0</v>
      </c>
      <c r="N358" s="6">
        <v>9</v>
      </c>
      <c r="O358" s="6">
        <v>42</v>
      </c>
      <c r="P358" s="7">
        <v>51</v>
      </c>
    </row>
    <row r="359" spans="1:16" ht="13.2" x14ac:dyDescent="0.25">
      <c r="A359" s="4">
        <v>968</v>
      </c>
      <c r="B359" s="5">
        <v>40586</v>
      </c>
      <c r="C359" s="6">
        <v>1</v>
      </c>
      <c r="D359" s="6">
        <v>0</v>
      </c>
      <c r="E359" s="6">
        <v>2</v>
      </c>
      <c r="F359" s="6">
        <v>22</v>
      </c>
      <c r="G359" s="6" t="b">
        <v>0</v>
      </c>
      <c r="H359" s="6">
        <v>6</v>
      </c>
      <c r="I359" s="6">
        <v>1</v>
      </c>
      <c r="J359" s="6">
        <v>0.24</v>
      </c>
      <c r="K359" s="6">
        <v>0.2576</v>
      </c>
      <c r="L359" s="6">
        <v>0.44</v>
      </c>
      <c r="M359" s="6">
        <v>8.9599999999999999E-2</v>
      </c>
      <c r="N359" s="6">
        <v>6</v>
      </c>
      <c r="O359" s="6">
        <v>39</v>
      </c>
      <c r="P359" s="7">
        <v>45</v>
      </c>
    </row>
    <row r="360" spans="1:16" ht="13.2" x14ac:dyDescent="0.25">
      <c r="A360" s="4">
        <v>969</v>
      </c>
      <c r="B360" s="5">
        <v>40586</v>
      </c>
      <c r="C360" s="6">
        <v>1</v>
      </c>
      <c r="D360" s="6">
        <v>0</v>
      </c>
      <c r="E360" s="6">
        <v>2</v>
      </c>
      <c r="F360" s="6">
        <v>23</v>
      </c>
      <c r="G360" s="6" t="b">
        <v>0</v>
      </c>
      <c r="H360" s="6">
        <v>6</v>
      </c>
      <c r="I360" s="6">
        <v>1</v>
      </c>
      <c r="J360" s="6">
        <v>0.22</v>
      </c>
      <c r="K360" s="6">
        <v>0.2273</v>
      </c>
      <c r="L360" s="6">
        <v>0.51</v>
      </c>
      <c r="M360" s="6">
        <v>0.1343</v>
      </c>
      <c r="N360" s="6">
        <v>1</v>
      </c>
      <c r="O360" s="6">
        <v>31</v>
      </c>
      <c r="P360" s="7">
        <v>32</v>
      </c>
    </row>
    <row r="361" spans="1:16" ht="13.2" x14ac:dyDescent="0.25">
      <c r="A361" s="4">
        <v>970</v>
      </c>
      <c r="B361" s="5">
        <v>40587</v>
      </c>
      <c r="C361" s="6">
        <v>1</v>
      </c>
      <c r="D361" s="6">
        <v>0</v>
      </c>
      <c r="E361" s="6">
        <v>2</v>
      </c>
      <c r="F361" s="6">
        <v>0</v>
      </c>
      <c r="G361" s="6" t="b">
        <v>0</v>
      </c>
      <c r="H361" s="6">
        <v>0</v>
      </c>
      <c r="I361" s="6">
        <v>1</v>
      </c>
      <c r="J361" s="6">
        <v>0.2</v>
      </c>
      <c r="K361" s="6">
        <v>0.2273</v>
      </c>
      <c r="L361" s="6">
        <v>0.64</v>
      </c>
      <c r="M361" s="6">
        <v>0.1045</v>
      </c>
      <c r="N361" s="6">
        <v>5</v>
      </c>
      <c r="O361" s="6">
        <v>34</v>
      </c>
      <c r="P361" s="7">
        <v>39</v>
      </c>
    </row>
    <row r="362" spans="1:16" ht="13.2" x14ac:dyDescent="0.25">
      <c r="A362" s="4">
        <v>971</v>
      </c>
      <c r="B362" s="5">
        <v>40587</v>
      </c>
      <c r="C362" s="6">
        <v>1</v>
      </c>
      <c r="D362" s="6">
        <v>0</v>
      </c>
      <c r="E362" s="6">
        <v>2</v>
      </c>
      <c r="F362" s="6">
        <v>1</v>
      </c>
      <c r="G362" s="6" t="b">
        <v>0</v>
      </c>
      <c r="H362" s="6">
        <v>0</v>
      </c>
      <c r="I362" s="6">
        <v>1</v>
      </c>
      <c r="J362" s="6">
        <v>0.2</v>
      </c>
      <c r="K362" s="6">
        <v>0.2273</v>
      </c>
      <c r="L362" s="6">
        <v>0.59</v>
      </c>
      <c r="M362" s="6">
        <v>8.9599999999999999E-2</v>
      </c>
      <c r="N362" s="6">
        <v>1</v>
      </c>
      <c r="O362" s="6">
        <v>23</v>
      </c>
      <c r="P362" s="7">
        <v>24</v>
      </c>
    </row>
    <row r="363" spans="1:16" ht="13.2" x14ac:dyDescent="0.25">
      <c r="A363" s="4">
        <v>972</v>
      </c>
      <c r="B363" s="5">
        <v>40587</v>
      </c>
      <c r="C363" s="6">
        <v>1</v>
      </c>
      <c r="D363" s="6">
        <v>0</v>
      </c>
      <c r="E363" s="6">
        <v>2</v>
      </c>
      <c r="F363" s="6">
        <v>2</v>
      </c>
      <c r="G363" s="6" t="b">
        <v>0</v>
      </c>
      <c r="H363" s="6">
        <v>0</v>
      </c>
      <c r="I363" s="6">
        <v>2</v>
      </c>
      <c r="J363" s="6">
        <v>0.2</v>
      </c>
      <c r="K363" s="6">
        <v>0.2273</v>
      </c>
      <c r="L363" s="6">
        <v>0.75</v>
      </c>
      <c r="M363" s="6">
        <v>8.9599999999999999E-2</v>
      </c>
      <c r="N363" s="6">
        <v>1</v>
      </c>
      <c r="O363" s="6">
        <v>19</v>
      </c>
      <c r="P363" s="7">
        <v>20</v>
      </c>
    </row>
    <row r="364" spans="1:16" ht="13.2" x14ac:dyDescent="0.25">
      <c r="A364" s="4">
        <v>973</v>
      </c>
      <c r="B364" s="5">
        <v>40587</v>
      </c>
      <c r="C364" s="6">
        <v>1</v>
      </c>
      <c r="D364" s="6">
        <v>0</v>
      </c>
      <c r="E364" s="6">
        <v>2</v>
      </c>
      <c r="F364" s="6">
        <v>3</v>
      </c>
      <c r="G364" s="6" t="b">
        <v>0</v>
      </c>
      <c r="H364" s="6">
        <v>0</v>
      </c>
      <c r="I364" s="6">
        <v>2</v>
      </c>
      <c r="J364" s="6">
        <v>0.2</v>
      </c>
      <c r="K364" s="6">
        <v>0.2273</v>
      </c>
      <c r="L364" s="6">
        <v>0.69</v>
      </c>
      <c r="M364" s="6">
        <v>0.1045</v>
      </c>
      <c r="N364" s="6">
        <v>4</v>
      </c>
      <c r="O364" s="6">
        <v>8</v>
      </c>
      <c r="P364" s="7">
        <v>12</v>
      </c>
    </row>
    <row r="365" spans="1:16" ht="13.2" x14ac:dyDescent="0.25">
      <c r="A365" s="4">
        <v>974</v>
      </c>
      <c r="B365" s="5">
        <v>40587</v>
      </c>
      <c r="C365" s="6">
        <v>1</v>
      </c>
      <c r="D365" s="6">
        <v>0</v>
      </c>
      <c r="E365" s="6">
        <v>2</v>
      </c>
      <c r="F365" s="6">
        <v>4</v>
      </c>
      <c r="G365" s="6" t="b">
        <v>0</v>
      </c>
      <c r="H365" s="6">
        <v>0</v>
      </c>
      <c r="I365" s="6">
        <v>2</v>
      </c>
      <c r="J365" s="6">
        <v>0.2</v>
      </c>
      <c r="K365" s="6">
        <v>0.21210000000000001</v>
      </c>
      <c r="L365" s="6">
        <v>0.69</v>
      </c>
      <c r="M365" s="6">
        <v>0.16420000000000001</v>
      </c>
      <c r="N365" s="6">
        <v>0</v>
      </c>
      <c r="O365" s="6">
        <v>2</v>
      </c>
      <c r="P365" s="7">
        <v>2</v>
      </c>
    </row>
    <row r="366" spans="1:16" ht="13.2" x14ac:dyDescent="0.25">
      <c r="A366" s="4">
        <v>975</v>
      </c>
      <c r="B366" s="5">
        <v>40587</v>
      </c>
      <c r="C366" s="6">
        <v>1</v>
      </c>
      <c r="D366" s="6">
        <v>0</v>
      </c>
      <c r="E366" s="6">
        <v>2</v>
      </c>
      <c r="F366" s="6">
        <v>6</v>
      </c>
      <c r="G366" s="6" t="b">
        <v>0</v>
      </c>
      <c r="H366" s="6">
        <v>0</v>
      </c>
      <c r="I366" s="6">
        <v>2</v>
      </c>
      <c r="J366" s="6">
        <v>0.2</v>
      </c>
      <c r="K366" s="6">
        <v>0.21210000000000001</v>
      </c>
      <c r="L366" s="6">
        <v>0.69</v>
      </c>
      <c r="M366" s="6">
        <v>0.1343</v>
      </c>
      <c r="N366" s="6">
        <v>2</v>
      </c>
      <c r="O366" s="6">
        <v>3</v>
      </c>
      <c r="P366" s="7">
        <v>5</v>
      </c>
    </row>
    <row r="367" spans="1:16" ht="13.2" x14ac:dyDescent="0.25">
      <c r="A367" s="4">
        <v>976</v>
      </c>
      <c r="B367" s="5">
        <v>40587</v>
      </c>
      <c r="C367" s="6">
        <v>1</v>
      </c>
      <c r="D367" s="6">
        <v>0</v>
      </c>
      <c r="E367" s="6">
        <v>2</v>
      </c>
      <c r="F367" s="6">
        <v>7</v>
      </c>
      <c r="G367" s="6" t="b">
        <v>0</v>
      </c>
      <c r="H367" s="6">
        <v>0</v>
      </c>
      <c r="I367" s="6">
        <v>2</v>
      </c>
      <c r="J367" s="6">
        <v>0.22</v>
      </c>
      <c r="K367" s="6">
        <v>0.2727</v>
      </c>
      <c r="L367" s="6">
        <v>0.55000000000000004</v>
      </c>
      <c r="M367" s="6">
        <v>0</v>
      </c>
      <c r="N367" s="6">
        <v>0</v>
      </c>
      <c r="O367" s="6">
        <v>3</v>
      </c>
      <c r="P367" s="7">
        <v>3</v>
      </c>
    </row>
    <row r="368" spans="1:16" ht="13.2" x14ac:dyDescent="0.25">
      <c r="A368" s="4">
        <v>977</v>
      </c>
      <c r="B368" s="5">
        <v>40587</v>
      </c>
      <c r="C368" s="6">
        <v>1</v>
      </c>
      <c r="D368" s="6">
        <v>0</v>
      </c>
      <c r="E368" s="6">
        <v>2</v>
      </c>
      <c r="F368" s="6">
        <v>8</v>
      </c>
      <c r="G368" s="6" t="b">
        <v>0</v>
      </c>
      <c r="H368" s="6">
        <v>0</v>
      </c>
      <c r="I368" s="6">
        <v>2</v>
      </c>
      <c r="J368" s="6">
        <v>0.22</v>
      </c>
      <c r="K368" s="6">
        <v>0.2273</v>
      </c>
      <c r="L368" s="6">
        <v>0.64</v>
      </c>
      <c r="M368" s="6">
        <v>0.19400000000000001</v>
      </c>
      <c r="N368" s="6">
        <v>1</v>
      </c>
      <c r="O368" s="6">
        <v>11</v>
      </c>
      <c r="P368" s="7">
        <v>12</v>
      </c>
    </row>
    <row r="369" spans="1:16" ht="13.2" x14ac:dyDescent="0.25">
      <c r="A369" s="4">
        <v>978</v>
      </c>
      <c r="B369" s="5">
        <v>40587</v>
      </c>
      <c r="C369" s="6">
        <v>1</v>
      </c>
      <c r="D369" s="6">
        <v>0</v>
      </c>
      <c r="E369" s="6">
        <v>2</v>
      </c>
      <c r="F369" s="6">
        <v>9</v>
      </c>
      <c r="G369" s="6" t="b">
        <v>0</v>
      </c>
      <c r="H369" s="6">
        <v>0</v>
      </c>
      <c r="I369" s="6">
        <v>2</v>
      </c>
      <c r="J369" s="6">
        <v>0.24</v>
      </c>
      <c r="K369" s="6">
        <v>0.2273</v>
      </c>
      <c r="L369" s="6">
        <v>0.6</v>
      </c>
      <c r="M369" s="6">
        <v>0.22389999999999999</v>
      </c>
      <c r="N369" s="6">
        <v>12</v>
      </c>
      <c r="O369" s="6">
        <v>35</v>
      </c>
      <c r="P369" s="7">
        <v>47</v>
      </c>
    </row>
    <row r="370" spans="1:16" ht="13.2" x14ac:dyDescent="0.25">
      <c r="A370" s="4">
        <v>979</v>
      </c>
      <c r="B370" s="5">
        <v>40587</v>
      </c>
      <c r="C370" s="6">
        <v>1</v>
      </c>
      <c r="D370" s="6">
        <v>0</v>
      </c>
      <c r="E370" s="6">
        <v>2</v>
      </c>
      <c r="F370" s="6">
        <v>10</v>
      </c>
      <c r="G370" s="6" t="b">
        <v>0</v>
      </c>
      <c r="H370" s="6">
        <v>0</v>
      </c>
      <c r="I370" s="6">
        <v>1</v>
      </c>
      <c r="J370" s="6">
        <v>0.3</v>
      </c>
      <c r="K370" s="6">
        <v>0.2727</v>
      </c>
      <c r="L370" s="6">
        <v>0.45</v>
      </c>
      <c r="M370" s="6">
        <v>0.32840000000000003</v>
      </c>
      <c r="N370" s="6">
        <v>19</v>
      </c>
      <c r="O370" s="6">
        <v>86</v>
      </c>
      <c r="P370" s="7">
        <v>105</v>
      </c>
    </row>
    <row r="371" spans="1:16" ht="13.2" x14ac:dyDescent="0.25">
      <c r="A371" s="4">
        <v>980</v>
      </c>
      <c r="B371" s="5">
        <v>40587</v>
      </c>
      <c r="C371" s="6">
        <v>1</v>
      </c>
      <c r="D371" s="6">
        <v>0</v>
      </c>
      <c r="E371" s="6">
        <v>2</v>
      </c>
      <c r="F371" s="6">
        <v>11</v>
      </c>
      <c r="G371" s="6" t="b">
        <v>0</v>
      </c>
      <c r="H371" s="6">
        <v>0</v>
      </c>
      <c r="I371" s="6">
        <v>1</v>
      </c>
      <c r="J371" s="6">
        <v>0.32</v>
      </c>
      <c r="K371" s="6">
        <v>0.28789999999999999</v>
      </c>
      <c r="L371" s="6">
        <v>0.39</v>
      </c>
      <c r="M371" s="6">
        <v>0.44779999999999998</v>
      </c>
      <c r="N371" s="6">
        <v>26</v>
      </c>
      <c r="O371" s="6">
        <v>86</v>
      </c>
      <c r="P371" s="7">
        <v>112</v>
      </c>
    </row>
    <row r="372" spans="1:16" ht="13.2" x14ac:dyDescent="0.25">
      <c r="A372" s="4">
        <v>981</v>
      </c>
      <c r="B372" s="5">
        <v>40587</v>
      </c>
      <c r="C372" s="6">
        <v>1</v>
      </c>
      <c r="D372" s="6">
        <v>0</v>
      </c>
      <c r="E372" s="6">
        <v>2</v>
      </c>
      <c r="F372" s="6">
        <v>12</v>
      </c>
      <c r="G372" s="6" t="b">
        <v>0</v>
      </c>
      <c r="H372" s="6">
        <v>0</v>
      </c>
      <c r="I372" s="6">
        <v>1</v>
      </c>
      <c r="J372" s="6">
        <v>0.36</v>
      </c>
      <c r="K372" s="6">
        <v>0.31819999999999998</v>
      </c>
      <c r="L372" s="6">
        <v>0.32</v>
      </c>
      <c r="M372" s="6">
        <v>0.4627</v>
      </c>
      <c r="N372" s="6">
        <v>58</v>
      </c>
      <c r="O372" s="6">
        <v>94</v>
      </c>
      <c r="P372" s="7">
        <v>152</v>
      </c>
    </row>
    <row r="373" spans="1:16" ht="13.2" x14ac:dyDescent="0.25">
      <c r="A373" s="4">
        <v>982</v>
      </c>
      <c r="B373" s="5">
        <v>40587</v>
      </c>
      <c r="C373" s="6">
        <v>1</v>
      </c>
      <c r="D373" s="6">
        <v>0</v>
      </c>
      <c r="E373" s="6">
        <v>2</v>
      </c>
      <c r="F373" s="6">
        <v>13</v>
      </c>
      <c r="G373" s="6" t="b">
        <v>0</v>
      </c>
      <c r="H373" s="6">
        <v>0</v>
      </c>
      <c r="I373" s="6">
        <v>1</v>
      </c>
      <c r="J373" s="6">
        <v>0.38</v>
      </c>
      <c r="K373" s="6">
        <v>0.39389999999999997</v>
      </c>
      <c r="L373" s="6">
        <v>0.28999999999999998</v>
      </c>
      <c r="M373" s="6">
        <v>0.35820000000000002</v>
      </c>
      <c r="N373" s="6">
        <v>62</v>
      </c>
      <c r="O373" s="6">
        <v>92</v>
      </c>
      <c r="P373" s="7">
        <v>154</v>
      </c>
    </row>
    <row r="374" spans="1:16" ht="13.2" x14ac:dyDescent="0.25">
      <c r="A374" s="4">
        <v>983</v>
      </c>
      <c r="B374" s="5">
        <v>40587</v>
      </c>
      <c r="C374" s="6">
        <v>1</v>
      </c>
      <c r="D374" s="6">
        <v>0</v>
      </c>
      <c r="E374" s="6">
        <v>2</v>
      </c>
      <c r="F374" s="6">
        <v>14</v>
      </c>
      <c r="G374" s="6" t="b">
        <v>0</v>
      </c>
      <c r="H374" s="6">
        <v>0</v>
      </c>
      <c r="I374" s="6">
        <v>2</v>
      </c>
      <c r="J374" s="6">
        <v>0.4</v>
      </c>
      <c r="K374" s="6">
        <v>0.40910000000000002</v>
      </c>
      <c r="L374" s="6">
        <v>0.3</v>
      </c>
      <c r="M374" s="6">
        <v>0.41789999999999999</v>
      </c>
      <c r="N374" s="6">
        <v>51</v>
      </c>
      <c r="O374" s="6">
        <v>110</v>
      </c>
      <c r="P374" s="7">
        <v>161</v>
      </c>
    </row>
    <row r="375" spans="1:16" ht="13.2" x14ac:dyDescent="0.25">
      <c r="A375" s="4">
        <v>984</v>
      </c>
      <c r="B375" s="5">
        <v>40587</v>
      </c>
      <c r="C375" s="6">
        <v>1</v>
      </c>
      <c r="D375" s="6">
        <v>0</v>
      </c>
      <c r="E375" s="6">
        <v>2</v>
      </c>
      <c r="F375" s="6">
        <v>15</v>
      </c>
      <c r="G375" s="6" t="b">
        <v>0</v>
      </c>
      <c r="H375" s="6">
        <v>0</v>
      </c>
      <c r="I375" s="6">
        <v>2</v>
      </c>
      <c r="J375" s="6">
        <v>0.4</v>
      </c>
      <c r="K375" s="6">
        <v>0.40910000000000002</v>
      </c>
      <c r="L375" s="6">
        <v>0.3</v>
      </c>
      <c r="M375" s="6">
        <v>0.29849999999999999</v>
      </c>
      <c r="N375" s="6">
        <v>40</v>
      </c>
      <c r="O375" s="6">
        <v>122</v>
      </c>
      <c r="P375" s="7">
        <v>162</v>
      </c>
    </row>
    <row r="376" spans="1:16" ht="13.2" x14ac:dyDescent="0.25">
      <c r="A376" s="4">
        <v>985</v>
      </c>
      <c r="B376" s="5">
        <v>40587</v>
      </c>
      <c r="C376" s="6">
        <v>1</v>
      </c>
      <c r="D376" s="6">
        <v>0</v>
      </c>
      <c r="E376" s="6">
        <v>2</v>
      </c>
      <c r="F376" s="6">
        <v>16</v>
      </c>
      <c r="G376" s="6" t="b">
        <v>0</v>
      </c>
      <c r="H376" s="6">
        <v>0</v>
      </c>
      <c r="I376" s="6">
        <v>2</v>
      </c>
      <c r="J376" s="6">
        <v>0.42</v>
      </c>
      <c r="K376" s="6">
        <v>0.42420000000000002</v>
      </c>
      <c r="L376" s="6">
        <v>0.28000000000000003</v>
      </c>
      <c r="M376" s="6">
        <v>0.32840000000000003</v>
      </c>
      <c r="N376" s="6">
        <v>28</v>
      </c>
      <c r="O376" s="6">
        <v>106</v>
      </c>
      <c r="P376" s="7">
        <v>134</v>
      </c>
    </row>
    <row r="377" spans="1:16" ht="13.2" x14ac:dyDescent="0.25">
      <c r="A377" s="4">
        <v>986</v>
      </c>
      <c r="B377" s="5">
        <v>40587</v>
      </c>
      <c r="C377" s="6">
        <v>1</v>
      </c>
      <c r="D377" s="6">
        <v>0</v>
      </c>
      <c r="E377" s="6">
        <v>2</v>
      </c>
      <c r="F377" s="6">
        <v>17</v>
      </c>
      <c r="G377" s="6" t="b">
        <v>0</v>
      </c>
      <c r="H377" s="6">
        <v>0</v>
      </c>
      <c r="I377" s="6">
        <v>1</v>
      </c>
      <c r="J377" s="6">
        <v>0.42</v>
      </c>
      <c r="K377" s="6">
        <v>0.42420000000000002</v>
      </c>
      <c r="L377" s="6">
        <v>0.28000000000000003</v>
      </c>
      <c r="M377" s="6">
        <v>0.32840000000000003</v>
      </c>
      <c r="N377" s="6">
        <v>30</v>
      </c>
      <c r="O377" s="6">
        <v>95</v>
      </c>
      <c r="P377" s="7">
        <v>125</v>
      </c>
    </row>
    <row r="378" spans="1:16" ht="13.2" x14ac:dyDescent="0.25">
      <c r="A378" s="4">
        <v>987</v>
      </c>
      <c r="B378" s="5">
        <v>40587</v>
      </c>
      <c r="C378" s="6">
        <v>1</v>
      </c>
      <c r="D378" s="6">
        <v>0</v>
      </c>
      <c r="E378" s="6">
        <v>2</v>
      </c>
      <c r="F378" s="6">
        <v>18</v>
      </c>
      <c r="G378" s="6" t="b">
        <v>0</v>
      </c>
      <c r="H378" s="6">
        <v>0</v>
      </c>
      <c r="I378" s="6">
        <v>1</v>
      </c>
      <c r="J378" s="6">
        <v>0.4</v>
      </c>
      <c r="K378" s="6">
        <v>0.40910000000000002</v>
      </c>
      <c r="L378" s="6">
        <v>0.32</v>
      </c>
      <c r="M378" s="6">
        <v>0.29849999999999999</v>
      </c>
      <c r="N378" s="6">
        <v>17</v>
      </c>
      <c r="O378" s="6">
        <v>78</v>
      </c>
      <c r="P378" s="7">
        <v>95</v>
      </c>
    </row>
    <row r="379" spans="1:16" ht="13.2" x14ac:dyDescent="0.25">
      <c r="A379" s="4">
        <v>988</v>
      </c>
      <c r="B379" s="5">
        <v>40587</v>
      </c>
      <c r="C379" s="6">
        <v>1</v>
      </c>
      <c r="D379" s="6">
        <v>0</v>
      </c>
      <c r="E379" s="6">
        <v>2</v>
      </c>
      <c r="F379" s="6">
        <v>19</v>
      </c>
      <c r="G379" s="6" t="b">
        <v>0</v>
      </c>
      <c r="H379" s="6">
        <v>0</v>
      </c>
      <c r="I379" s="6">
        <v>1</v>
      </c>
      <c r="J379" s="6">
        <v>0.4</v>
      </c>
      <c r="K379" s="6">
        <v>0.40910000000000002</v>
      </c>
      <c r="L379" s="6">
        <v>0.35</v>
      </c>
      <c r="M379" s="6">
        <v>0.28360000000000002</v>
      </c>
      <c r="N379" s="6">
        <v>11</v>
      </c>
      <c r="O379" s="6">
        <v>50</v>
      </c>
      <c r="P379" s="7">
        <v>61</v>
      </c>
    </row>
    <row r="380" spans="1:16" ht="13.2" x14ac:dyDescent="0.25">
      <c r="A380" s="4">
        <v>989</v>
      </c>
      <c r="B380" s="5">
        <v>40587</v>
      </c>
      <c r="C380" s="6">
        <v>1</v>
      </c>
      <c r="D380" s="6">
        <v>0</v>
      </c>
      <c r="E380" s="6">
        <v>2</v>
      </c>
      <c r="F380" s="6">
        <v>20</v>
      </c>
      <c r="G380" s="6" t="b">
        <v>0</v>
      </c>
      <c r="H380" s="6">
        <v>0</v>
      </c>
      <c r="I380" s="6">
        <v>1</v>
      </c>
      <c r="J380" s="6">
        <v>0.4</v>
      </c>
      <c r="K380" s="6">
        <v>0.40910000000000002</v>
      </c>
      <c r="L380" s="6">
        <v>0.35</v>
      </c>
      <c r="M380" s="6">
        <v>0.32840000000000003</v>
      </c>
      <c r="N380" s="6">
        <v>15</v>
      </c>
      <c r="O380" s="6">
        <v>32</v>
      </c>
      <c r="P380" s="7">
        <v>47</v>
      </c>
    </row>
    <row r="381" spans="1:16" ht="13.2" x14ac:dyDescent="0.25">
      <c r="A381" s="4">
        <v>990</v>
      </c>
      <c r="B381" s="5">
        <v>40587</v>
      </c>
      <c r="C381" s="6">
        <v>1</v>
      </c>
      <c r="D381" s="6">
        <v>0</v>
      </c>
      <c r="E381" s="6">
        <v>2</v>
      </c>
      <c r="F381" s="6">
        <v>21</v>
      </c>
      <c r="G381" s="6" t="b">
        <v>0</v>
      </c>
      <c r="H381" s="6">
        <v>0</v>
      </c>
      <c r="I381" s="6">
        <v>1</v>
      </c>
      <c r="J381" s="6">
        <v>0.4</v>
      </c>
      <c r="K381" s="6">
        <v>0.40910000000000002</v>
      </c>
      <c r="L381" s="6">
        <v>0.35</v>
      </c>
      <c r="M381" s="6">
        <v>0.35820000000000002</v>
      </c>
      <c r="N381" s="6">
        <v>6</v>
      </c>
      <c r="O381" s="6">
        <v>45</v>
      </c>
      <c r="P381" s="7">
        <v>51</v>
      </c>
    </row>
    <row r="382" spans="1:16" ht="13.2" x14ac:dyDescent="0.25">
      <c r="A382" s="4">
        <v>991</v>
      </c>
      <c r="B382" s="5">
        <v>40587</v>
      </c>
      <c r="C382" s="6">
        <v>1</v>
      </c>
      <c r="D382" s="6">
        <v>0</v>
      </c>
      <c r="E382" s="6">
        <v>2</v>
      </c>
      <c r="F382" s="6">
        <v>22</v>
      </c>
      <c r="G382" s="6" t="b">
        <v>0</v>
      </c>
      <c r="H382" s="6">
        <v>0</v>
      </c>
      <c r="I382" s="6">
        <v>1</v>
      </c>
      <c r="J382" s="6">
        <v>0.4</v>
      </c>
      <c r="K382" s="6">
        <v>0.40910000000000002</v>
      </c>
      <c r="L382" s="6">
        <v>0.35</v>
      </c>
      <c r="M382" s="6">
        <v>0.29849999999999999</v>
      </c>
      <c r="N382" s="6">
        <v>5</v>
      </c>
      <c r="O382" s="6">
        <v>31</v>
      </c>
      <c r="P382" s="7">
        <v>36</v>
      </c>
    </row>
    <row r="383" spans="1:16" ht="13.2" x14ac:dyDescent="0.25">
      <c r="A383" s="4">
        <v>992</v>
      </c>
      <c r="B383" s="5">
        <v>40587</v>
      </c>
      <c r="C383" s="6">
        <v>1</v>
      </c>
      <c r="D383" s="6">
        <v>0</v>
      </c>
      <c r="E383" s="6">
        <v>2</v>
      </c>
      <c r="F383" s="6">
        <v>23</v>
      </c>
      <c r="G383" s="6" t="b">
        <v>0</v>
      </c>
      <c r="H383" s="6">
        <v>0</v>
      </c>
      <c r="I383" s="6">
        <v>1</v>
      </c>
      <c r="J383" s="6">
        <v>0.4</v>
      </c>
      <c r="K383" s="6">
        <v>0.40910000000000002</v>
      </c>
      <c r="L383" s="6">
        <v>0.35</v>
      </c>
      <c r="M383" s="6">
        <v>0.35820000000000002</v>
      </c>
      <c r="N383" s="6">
        <v>3</v>
      </c>
      <c r="O383" s="6">
        <v>27</v>
      </c>
      <c r="P383" s="7">
        <v>30</v>
      </c>
    </row>
    <row r="384" spans="1:16" ht="13.2" x14ac:dyDescent="0.25">
      <c r="A384" s="4">
        <v>993</v>
      </c>
      <c r="B384" s="5">
        <v>40588</v>
      </c>
      <c r="C384" s="6">
        <v>1</v>
      </c>
      <c r="D384" s="6">
        <v>0</v>
      </c>
      <c r="E384" s="6">
        <v>2</v>
      </c>
      <c r="F384" s="6">
        <v>0</v>
      </c>
      <c r="G384" s="6" t="b">
        <v>0</v>
      </c>
      <c r="H384" s="6">
        <v>1</v>
      </c>
      <c r="I384" s="6">
        <v>1</v>
      </c>
      <c r="J384" s="6">
        <v>0.38</v>
      </c>
      <c r="K384" s="6">
        <v>0.39389999999999997</v>
      </c>
      <c r="L384" s="6">
        <v>0.37</v>
      </c>
      <c r="M384" s="6">
        <v>0.35820000000000002</v>
      </c>
      <c r="N384" s="6">
        <v>3</v>
      </c>
      <c r="O384" s="6">
        <v>8</v>
      </c>
      <c r="P384" s="7">
        <v>11</v>
      </c>
    </row>
    <row r="385" spans="1:16" ht="13.2" x14ac:dyDescent="0.25">
      <c r="A385" s="4">
        <v>994</v>
      </c>
      <c r="B385" s="5">
        <v>40588</v>
      </c>
      <c r="C385" s="6">
        <v>1</v>
      </c>
      <c r="D385" s="6">
        <v>0</v>
      </c>
      <c r="E385" s="6">
        <v>2</v>
      </c>
      <c r="F385" s="6">
        <v>1</v>
      </c>
      <c r="G385" s="6" t="b">
        <v>0</v>
      </c>
      <c r="H385" s="6">
        <v>1</v>
      </c>
      <c r="I385" s="6">
        <v>1</v>
      </c>
      <c r="J385" s="6">
        <v>0.38</v>
      </c>
      <c r="K385" s="6">
        <v>0.39389999999999997</v>
      </c>
      <c r="L385" s="6">
        <v>0.37</v>
      </c>
      <c r="M385" s="6">
        <v>0.35820000000000002</v>
      </c>
      <c r="N385" s="6">
        <v>1</v>
      </c>
      <c r="O385" s="6">
        <v>6</v>
      </c>
      <c r="P385" s="7">
        <v>7</v>
      </c>
    </row>
    <row r="386" spans="1:16" ht="13.2" x14ac:dyDescent="0.25">
      <c r="A386" s="4">
        <v>995</v>
      </c>
      <c r="B386" s="5">
        <v>40588</v>
      </c>
      <c r="C386" s="6">
        <v>1</v>
      </c>
      <c r="D386" s="6">
        <v>0</v>
      </c>
      <c r="E386" s="6">
        <v>2</v>
      </c>
      <c r="F386" s="6">
        <v>2</v>
      </c>
      <c r="G386" s="6" t="b">
        <v>0</v>
      </c>
      <c r="H386" s="6">
        <v>1</v>
      </c>
      <c r="I386" s="6">
        <v>1</v>
      </c>
      <c r="J386" s="6">
        <v>0.36</v>
      </c>
      <c r="K386" s="6">
        <v>0.33329999999999999</v>
      </c>
      <c r="L386" s="6">
        <v>0.4</v>
      </c>
      <c r="M386" s="6">
        <v>0.29849999999999999</v>
      </c>
      <c r="N386" s="6">
        <v>0</v>
      </c>
      <c r="O386" s="6">
        <v>2</v>
      </c>
      <c r="P386" s="7">
        <v>2</v>
      </c>
    </row>
    <row r="387" spans="1:16" ht="13.2" x14ac:dyDescent="0.25">
      <c r="A387" s="4">
        <v>996</v>
      </c>
      <c r="B387" s="5">
        <v>40588</v>
      </c>
      <c r="C387" s="6">
        <v>1</v>
      </c>
      <c r="D387" s="6">
        <v>0</v>
      </c>
      <c r="E387" s="6">
        <v>2</v>
      </c>
      <c r="F387" s="6">
        <v>3</v>
      </c>
      <c r="G387" s="6" t="b">
        <v>0</v>
      </c>
      <c r="H387" s="6">
        <v>1</v>
      </c>
      <c r="I387" s="6">
        <v>1</v>
      </c>
      <c r="J387" s="6">
        <v>0.34</v>
      </c>
      <c r="K387" s="6">
        <v>0.31819999999999998</v>
      </c>
      <c r="L387" s="6">
        <v>0.46</v>
      </c>
      <c r="M387" s="6">
        <v>0.22389999999999999</v>
      </c>
      <c r="N387" s="6">
        <v>1</v>
      </c>
      <c r="O387" s="6">
        <v>1</v>
      </c>
      <c r="P387" s="7">
        <v>2</v>
      </c>
    </row>
    <row r="388" spans="1:16" ht="13.2" x14ac:dyDescent="0.25">
      <c r="A388" s="4">
        <v>997</v>
      </c>
      <c r="B388" s="5">
        <v>40588</v>
      </c>
      <c r="C388" s="6">
        <v>1</v>
      </c>
      <c r="D388" s="6">
        <v>0</v>
      </c>
      <c r="E388" s="6">
        <v>2</v>
      </c>
      <c r="F388" s="6">
        <v>4</v>
      </c>
      <c r="G388" s="6" t="b">
        <v>0</v>
      </c>
      <c r="H388" s="6">
        <v>1</v>
      </c>
      <c r="I388" s="6">
        <v>1</v>
      </c>
      <c r="J388" s="6">
        <v>0.32</v>
      </c>
      <c r="K388" s="6">
        <v>0.30299999999999999</v>
      </c>
      <c r="L388" s="6">
        <v>0.53</v>
      </c>
      <c r="M388" s="6">
        <v>0.28360000000000002</v>
      </c>
      <c r="N388" s="6">
        <v>0</v>
      </c>
      <c r="O388" s="6">
        <v>2</v>
      </c>
      <c r="P388" s="7">
        <v>2</v>
      </c>
    </row>
    <row r="389" spans="1:16" ht="13.2" x14ac:dyDescent="0.25">
      <c r="A389" s="4">
        <v>998</v>
      </c>
      <c r="B389" s="5">
        <v>40588</v>
      </c>
      <c r="C389" s="6">
        <v>1</v>
      </c>
      <c r="D389" s="6">
        <v>0</v>
      </c>
      <c r="E389" s="6">
        <v>2</v>
      </c>
      <c r="F389" s="6">
        <v>5</v>
      </c>
      <c r="G389" s="6" t="b">
        <v>0</v>
      </c>
      <c r="H389" s="6">
        <v>1</v>
      </c>
      <c r="I389" s="6">
        <v>1</v>
      </c>
      <c r="J389" s="6">
        <v>0.32</v>
      </c>
      <c r="K389" s="6">
        <v>0.30299999999999999</v>
      </c>
      <c r="L389" s="6">
        <v>0.53</v>
      </c>
      <c r="M389" s="6">
        <v>0.28360000000000002</v>
      </c>
      <c r="N389" s="6">
        <v>0</v>
      </c>
      <c r="O389" s="6">
        <v>3</v>
      </c>
      <c r="P389" s="7">
        <v>3</v>
      </c>
    </row>
    <row r="390" spans="1:16" ht="13.2" x14ac:dyDescent="0.25">
      <c r="A390" s="4">
        <v>999</v>
      </c>
      <c r="B390" s="5">
        <v>40588</v>
      </c>
      <c r="C390" s="6">
        <v>1</v>
      </c>
      <c r="D390" s="6">
        <v>0</v>
      </c>
      <c r="E390" s="6">
        <v>2</v>
      </c>
      <c r="F390" s="6">
        <v>6</v>
      </c>
      <c r="G390" s="6" t="b">
        <v>0</v>
      </c>
      <c r="H390" s="6">
        <v>1</v>
      </c>
      <c r="I390" s="6">
        <v>1</v>
      </c>
      <c r="J390" s="6">
        <v>0.34</v>
      </c>
      <c r="K390" s="6">
        <v>0.30299999999999999</v>
      </c>
      <c r="L390" s="6">
        <v>0.46</v>
      </c>
      <c r="M390" s="6">
        <v>0.29849999999999999</v>
      </c>
      <c r="N390" s="6">
        <v>1</v>
      </c>
      <c r="O390" s="6">
        <v>25</v>
      </c>
      <c r="P390" s="7">
        <v>26</v>
      </c>
    </row>
    <row r="391" spans="1:16" ht="13.2" x14ac:dyDescent="0.25">
      <c r="A391" s="8">
        <v>1000</v>
      </c>
      <c r="B391" s="9">
        <v>40588</v>
      </c>
      <c r="C391" s="10">
        <v>1</v>
      </c>
      <c r="D391" s="10">
        <v>0</v>
      </c>
      <c r="E391" s="10">
        <v>2</v>
      </c>
      <c r="F391" s="10">
        <v>7</v>
      </c>
      <c r="G391" s="10" t="b">
        <v>0</v>
      </c>
      <c r="H391" s="10">
        <v>1</v>
      </c>
      <c r="I391" s="10">
        <v>1</v>
      </c>
      <c r="J391" s="10">
        <v>0.34</v>
      </c>
      <c r="K391" s="10">
        <v>0.30299999999999999</v>
      </c>
      <c r="L391" s="10">
        <v>0.46</v>
      </c>
      <c r="M391" s="10">
        <v>0.29849999999999999</v>
      </c>
      <c r="N391" s="10">
        <v>2</v>
      </c>
      <c r="O391" s="10">
        <v>96</v>
      </c>
      <c r="P391" s="11">
        <v>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7017A-5B25-47D1-B126-A59EBA66F79D}">
  <dimension ref="A1:E33"/>
  <sheetViews>
    <sheetView workbookViewId="0">
      <selection activeCell="E10" sqref="E10"/>
    </sheetView>
  </sheetViews>
  <sheetFormatPr defaultRowHeight="13.2" x14ac:dyDescent="0.25"/>
  <cols>
    <col min="1" max="1" width="10.33203125" bestFit="1" customWidth="1"/>
    <col min="2" max="2" width="16.33203125" customWidth="1"/>
    <col min="3" max="3" width="25.33203125" customWidth="1"/>
    <col min="4" max="4" width="39.77734375" customWidth="1"/>
    <col min="5" max="5" width="39.6640625" customWidth="1"/>
  </cols>
  <sheetData>
    <row r="1" spans="1:5" x14ac:dyDescent="0.25">
      <c r="A1" t="s">
        <v>1</v>
      </c>
      <c r="B1" t="s">
        <v>15</v>
      </c>
      <c r="C1" t="s">
        <v>22</v>
      </c>
      <c r="D1" t="s">
        <v>23</v>
      </c>
      <c r="E1" t="s">
        <v>24</v>
      </c>
    </row>
    <row r="2" spans="1:5" x14ac:dyDescent="0.25">
      <c r="A2" s="12">
        <v>40571</v>
      </c>
      <c r="B2">
        <v>74.5</v>
      </c>
    </row>
    <row r="3" spans="1:5" x14ac:dyDescent="0.25">
      <c r="A3" s="12">
        <v>40572</v>
      </c>
      <c r="B3">
        <v>47.739130434782609</v>
      </c>
    </row>
    <row r="4" spans="1:5" x14ac:dyDescent="0.25">
      <c r="A4" s="12">
        <v>40573</v>
      </c>
      <c r="B4">
        <v>47.652173913043477</v>
      </c>
    </row>
    <row r="5" spans="1:5" x14ac:dyDescent="0.25">
      <c r="A5" s="12">
        <v>40574</v>
      </c>
      <c r="B5">
        <v>62.541666666666664</v>
      </c>
    </row>
    <row r="6" spans="1:5" x14ac:dyDescent="0.25">
      <c r="A6" s="12">
        <v>40575</v>
      </c>
      <c r="B6">
        <v>59.130434782608695</v>
      </c>
    </row>
    <row r="7" spans="1:5" x14ac:dyDescent="0.25">
      <c r="A7" s="12">
        <v>40576</v>
      </c>
      <c r="B7">
        <v>63.583333333333336</v>
      </c>
    </row>
    <row r="8" spans="1:5" x14ac:dyDescent="0.25">
      <c r="A8" s="12">
        <v>40577</v>
      </c>
      <c r="B8">
        <v>67.391304347826093</v>
      </c>
    </row>
    <row r="9" spans="1:5" x14ac:dyDescent="0.25">
      <c r="A9" s="12">
        <v>40578</v>
      </c>
      <c r="B9">
        <v>74.260869565217391</v>
      </c>
    </row>
    <row r="10" spans="1:5" x14ac:dyDescent="0.25">
      <c r="A10" s="12">
        <v>40579</v>
      </c>
      <c r="B10">
        <v>41.875</v>
      </c>
    </row>
    <row r="11" spans="1:5" x14ac:dyDescent="0.25">
      <c r="A11" s="12">
        <v>40580</v>
      </c>
      <c r="B11">
        <v>67.625</v>
      </c>
    </row>
    <row r="12" spans="1:5" x14ac:dyDescent="0.25">
      <c r="A12" s="12">
        <v>40581</v>
      </c>
      <c r="B12">
        <v>71.333333333333329</v>
      </c>
    </row>
    <row r="13" spans="1:5" x14ac:dyDescent="0.25">
      <c r="A13" s="12">
        <v>40582</v>
      </c>
      <c r="B13">
        <v>63.75</v>
      </c>
    </row>
    <row r="14" spans="1:5" x14ac:dyDescent="0.25">
      <c r="A14" s="12">
        <v>40583</v>
      </c>
      <c r="B14">
        <v>69.782608695652172</v>
      </c>
    </row>
    <row r="15" spans="1:5" x14ac:dyDescent="0.25">
      <c r="A15" s="12">
        <v>40584</v>
      </c>
      <c r="B15">
        <v>66.869565217391298</v>
      </c>
    </row>
    <row r="16" spans="1:5" x14ac:dyDescent="0.25">
      <c r="A16" s="12">
        <v>40585</v>
      </c>
      <c r="B16">
        <v>79.36363636363636</v>
      </c>
    </row>
    <row r="17" spans="1:5" x14ac:dyDescent="0.25">
      <c r="A17" s="12">
        <v>40586</v>
      </c>
      <c r="B17">
        <v>61.333333333333336</v>
      </c>
    </row>
    <row r="18" spans="1:5" x14ac:dyDescent="0.25">
      <c r="A18" s="12">
        <v>40587</v>
      </c>
      <c r="B18">
        <v>69.086956521739125</v>
      </c>
    </row>
    <row r="19" spans="1:5" x14ac:dyDescent="0.25">
      <c r="A19" s="12">
        <v>40588</v>
      </c>
      <c r="B19">
        <v>18.875</v>
      </c>
      <c r="C19">
        <v>18.875</v>
      </c>
      <c r="D19" s="31">
        <v>18.875</v>
      </c>
      <c r="E19" s="31">
        <v>18.875</v>
      </c>
    </row>
    <row r="20" spans="1:5" x14ac:dyDescent="0.25">
      <c r="A20" s="12">
        <v>40589</v>
      </c>
      <c r="C20">
        <f>_xlfn.FORECAST.ETS(A20,$B$2:$B$19,$A$2:$A$19,1,1)</f>
        <v>54.766772110384849</v>
      </c>
      <c r="D20" s="31">
        <f>C20-_xlfn.FORECAST.ETS.CONFINT(A20,$B$2:$B$19,$A$2:$A$19,0.95,1,1)</f>
        <v>23.32616147101772</v>
      </c>
      <c r="E20" s="31">
        <f>C20+_xlfn.FORECAST.ETS.CONFINT(A20,$B$2:$B$19,$A$2:$A$19,0.95,1,1)</f>
        <v>86.207382749751986</v>
      </c>
    </row>
    <row r="21" spans="1:5" x14ac:dyDescent="0.25">
      <c r="A21" s="12">
        <v>40590</v>
      </c>
      <c r="C21">
        <f>_xlfn.FORECAST.ETS(A21,$B$2:$B$19,$A$2:$A$19,1,1)</f>
        <v>54.546012267964457</v>
      </c>
      <c r="D21" s="31">
        <f>C21-_xlfn.FORECAST.ETS.CONFINT(A21,$B$2:$B$19,$A$2:$A$19,0.95,1,1)</f>
        <v>22.13013279936159</v>
      </c>
      <c r="E21" s="31">
        <f>C21+_xlfn.FORECAST.ETS.CONFINT(A21,$B$2:$B$19,$A$2:$A$19,0.95,1,1)</f>
        <v>86.961891736567324</v>
      </c>
    </row>
    <row r="22" spans="1:5" x14ac:dyDescent="0.25">
      <c r="A22" s="12">
        <v>40591</v>
      </c>
      <c r="C22">
        <f>_xlfn.FORECAST.ETS(A22,$B$2:$B$19,$A$2:$A$19,1,1)</f>
        <v>54.325252425544093</v>
      </c>
      <c r="D22" s="31">
        <f>C22-_xlfn.FORECAST.ETS.CONFINT(A22,$B$2:$B$19,$A$2:$A$19,0.95,1,1)</f>
        <v>20.955150423836443</v>
      </c>
      <c r="E22" s="31">
        <f>C22+_xlfn.FORECAST.ETS.CONFINT(A22,$B$2:$B$19,$A$2:$A$19,0.95,1,1)</f>
        <v>87.695354427251743</v>
      </c>
    </row>
    <row r="23" spans="1:5" x14ac:dyDescent="0.25">
      <c r="A23" s="12">
        <v>40592</v>
      </c>
      <c r="C23">
        <f>_xlfn.FORECAST.ETS(A23,$B$2:$B$19,$A$2:$A$19,1,1)</f>
        <v>54.104492583123694</v>
      </c>
      <c r="D23" s="31">
        <f>C23-_xlfn.FORECAST.ETS.CONFINT(A23,$B$2:$B$19,$A$2:$A$19,0.95,1,1)</f>
        <v>19.799429224423541</v>
      </c>
      <c r="E23" s="31">
        <f>C23+_xlfn.FORECAST.ETS.CONFINT(A23,$B$2:$B$19,$A$2:$A$19,0.95,1,1)</f>
        <v>88.409555941823839</v>
      </c>
    </row>
    <row r="24" spans="1:5" x14ac:dyDescent="0.25">
      <c r="A24" s="12">
        <v>40593</v>
      </c>
      <c r="C24">
        <f>_xlfn.FORECAST.ETS(A24,$B$2:$B$19,$A$2:$A$19,1,1)</f>
        <v>53.88373274070333</v>
      </c>
      <c r="D24" s="31">
        <f>C24-_xlfn.FORECAST.ETS.CONFINT(A24,$B$2:$B$19,$A$2:$A$19,0.95,1,1)</f>
        <v>18.661407262859591</v>
      </c>
      <c r="E24" s="31">
        <f>C24+_xlfn.FORECAST.ETS.CONFINT(A24,$B$2:$B$19,$A$2:$A$19,0.95,1,1)</f>
        <v>89.106058218547076</v>
      </c>
    </row>
    <row r="25" spans="1:5" x14ac:dyDescent="0.25">
      <c r="A25" s="12">
        <v>40594</v>
      </c>
      <c r="C25">
        <f>_xlfn.FORECAST.ETS(A25,$B$2:$B$19,$A$2:$A$19,1,1)</f>
        <v>53.662972898282938</v>
      </c>
      <c r="D25" s="31">
        <f>C25-_xlfn.FORECAST.ETS.CONFINT(A25,$B$2:$B$19,$A$2:$A$19,0.95,1,1)</f>
        <v>17.539708861148185</v>
      </c>
      <c r="E25" s="31">
        <f>C25+_xlfn.FORECAST.ETS.CONFINT(A25,$B$2:$B$19,$A$2:$A$19,0.95,1,1)</f>
        <v>89.786236935417691</v>
      </c>
    </row>
    <row r="26" spans="1:5" x14ac:dyDescent="0.25">
      <c r="A26" s="12">
        <v>40595</v>
      </c>
      <c r="C26">
        <f>_xlfn.FORECAST.ETS(A26,$B$2:$B$19,$A$2:$A$19,1,1)</f>
        <v>53.442213055862574</v>
      </c>
      <c r="D26" s="31">
        <f>C26-_xlfn.FORECAST.ETS.CONFINT(A26,$B$2:$B$19,$A$2:$A$19,0.95,1,1)</f>
        <v>16.433115161471719</v>
      </c>
      <c r="E26" s="31">
        <f>C26+_xlfn.FORECAST.ETS.CONFINT(A26,$B$2:$B$19,$A$2:$A$19,0.95,1,1)</f>
        <v>90.451310950253429</v>
      </c>
    </row>
    <row r="27" spans="1:5" x14ac:dyDescent="0.25">
      <c r="A27" s="12">
        <v>40596</v>
      </c>
      <c r="C27">
        <f>_xlfn.FORECAST.ETS(A27,$B$2:$B$19,$A$2:$A$19,1,1)</f>
        <v>53.221453213442182</v>
      </c>
      <c r="D27" s="31">
        <f>C27-_xlfn.FORECAST.ETS.CONFINT(A27,$B$2:$B$19,$A$2:$A$19,0.95,1,1)</f>
        <v>15.340540396149727</v>
      </c>
      <c r="E27" s="31">
        <f>C27+_xlfn.FORECAST.ETS.CONFINT(A27,$B$2:$B$19,$A$2:$A$19,0.95,1,1)</f>
        <v>91.102366030734629</v>
      </c>
    </row>
    <row r="28" spans="1:5" x14ac:dyDescent="0.25">
      <c r="A28" s="12">
        <v>40597</v>
      </c>
      <c r="C28">
        <f>_xlfn.FORECAST.ETS(A28,$B$2:$B$19,$A$2:$A$19,1,1)</f>
        <v>53.000693371021818</v>
      </c>
      <c r="D28" s="31">
        <f>C28-_xlfn.FORECAST.ETS.CONFINT(A28,$B$2:$B$19,$A$2:$A$19,0.95,1,1)</f>
        <v>14.261012571295723</v>
      </c>
      <c r="E28" s="31">
        <f>C28+_xlfn.FORECAST.ETS.CONFINT(A28,$B$2:$B$19,$A$2:$A$19,0.95,1,1)</f>
        <v>91.740374170747913</v>
      </c>
    </row>
    <row r="29" spans="1:5" x14ac:dyDescent="0.25">
      <c r="A29" s="12">
        <v>40598</v>
      </c>
      <c r="C29">
        <f>_xlfn.FORECAST.ETS(A29,$B$2:$B$19,$A$2:$A$19,1,1)</f>
        <v>52.779933528601418</v>
      </c>
      <c r="D29" s="31">
        <f>C29-_xlfn.FORECAST.ETS.CONFINT(A29,$B$2:$B$19,$A$2:$A$19,0.95,1,1)</f>
        <v>13.193657601701382</v>
      </c>
      <c r="E29" s="31">
        <f>C29+_xlfn.FORECAST.ETS.CONFINT(A29,$B$2:$B$19,$A$2:$A$19,0.95,1,1)</f>
        <v>92.366209455501462</v>
      </c>
    </row>
    <row r="30" spans="1:5" x14ac:dyDescent="0.25">
      <c r="A30" s="12">
        <v>40599</v>
      </c>
      <c r="C30">
        <f>_xlfn.FORECAST.ETS(A30,$B$2:$B$19,$A$2:$A$19,1,1)</f>
        <v>52.559173686181055</v>
      </c>
      <c r="D30" s="31">
        <f>C30-_xlfn.FORECAST.ETS.CONFINT(A30,$B$2:$B$19,$A$2:$A$19,0.95,1,1)</f>
        <v>12.137686172937528</v>
      </c>
      <c r="E30" s="31">
        <f>C30+_xlfn.FORECAST.ETS.CONFINT(A30,$B$2:$B$19,$A$2:$A$19,0.95,1,1)</f>
        <v>92.980661199424588</v>
      </c>
    </row>
    <row r="31" spans="1:5" x14ac:dyDescent="0.25">
      <c r="A31" s="12">
        <v>40600</v>
      </c>
      <c r="C31">
        <f>_xlfn.FORECAST.ETS(A31,$B$2:$B$19,$A$2:$A$19,1,1)</f>
        <v>52.338413843760662</v>
      </c>
      <c r="D31" s="31">
        <f>C31-_xlfn.FORECAST.ETS.CONFINT(A31,$B$2:$B$19,$A$2:$A$19,0.95,1,1)</f>
        <v>11.092382779468274</v>
      </c>
      <c r="E31" s="31">
        <f>C31+_xlfn.FORECAST.ETS.CONFINT(A31,$B$2:$B$19,$A$2:$A$19,0.95,1,1)</f>
        <v>93.584444908053058</v>
      </c>
    </row>
    <row r="32" spans="1:5" x14ac:dyDescent="0.25">
      <c r="A32" s="12">
        <v>40601</v>
      </c>
      <c r="C32">
        <f>_xlfn.FORECAST.ETS(A32,$B$2:$B$19,$A$2:$A$19,1,1)</f>
        <v>52.117654001340298</v>
      </c>
      <c r="D32" s="31">
        <f>C32-_xlfn.FORECAST.ETS.CONFINT(A32,$B$2:$B$19,$A$2:$A$19,0.95,1,1)</f>
        <v>10.057096514492002</v>
      </c>
      <c r="E32" s="31">
        <f>C32+_xlfn.FORECAST.ETS.CONFINT(A32,$B$2:$B$19,$A$2:$A$19,0.95,1,1)</f>
        <v>94.178211488188595</v>
      </c>
    </row>
    <row r="33" spans="1:5" x14ac:dyDescent="0.25">
      <c r="A33" s="12">
        <v>40602</v>
      </c>
      <c r="C33">
        <f>_xlfn.FORECAST.ETS(A33,$B$2:$B$19,$A$2:$A$19,1,1)</f>
        <v>51.896894158919906</v>
      </c>
      <c r="D33" s="31">
        <f>C33-_xlfn.FORECAST.ETS.CONFINT(A33,$B$2:$B$19,$A$2:$A$19,0.95,1,1)</f>
        <v>9.0312332815813861</v>
      </c>
      <c r="E33" s="31">
        <f>C33+_xlfn.FORECAST.ETS.CONFINT(A33,$B$2:$B$19,$A$2:$A$19,0.95,1,1)</f>
        <v>94.762555036258419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98CC1-1078-4AD2-8EF3-252A96E86B0C}">
  <dimension ref="A1:V391"/>
  <sheetViews>
    <sheetView topLeftCell="A2" workbookViewId="0">
      <selection activeCell="G11" sqref="G11"/>
    </sheetView>
  </sheetViews>
  <sheetFormatPr defaultColWidth="17" defaultRowHeight="13.2" x14ac:dyDescent="0.25"/>
  <cols>
    <col min="18" max="18" width="23" customWidth="1"/>
  </cols>
  <sheetData>
    <row r="1" spans="1:22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17</v>
      </c>
      <c r="H1" s="14" t="s">
        <v>6</v>
      </c>
      <c r="I1" s="14" t="s">
        <v>7</v>
      </c>
      <c r="J1" s="14" t="s">
        <v>16</v>
      </c>
      <c r="K1" s="14" t="s">
        <v>8</v>
      </c>
      <c r="L1" s="14" t="s">
        <v>9</v>
      </c>
      <c r="M1" s="14" t="s">
        <v>18</v>
      </c>
      <c r="N1" s="14" t="s">
        <v>10</v>
      </c>
      <c r="O1" s="14" t="s">
        <v>11</v>
      </c>
      <c r="P1" s="14" t="s">
        <v>19</v>
      </c>
      <c r="Q1" s="14" t="s">
        <v>12</v>
      </c>
      <c r="R1" s="14" t="s">
        <v>20</v>
      </c>
      <c r="S1" s="14" t="s">
        <v>13</v>
      </c>
      <c r="T1" s="14" t="s">
        <v>14</v>
      </c>
      <c r="U1" s="15" t="s">
        <v>15</v>
      </c>
      <c r="V1" s="14" t="s">
        <v>21</v>
      </c>
    </row>
    <row r="2" spans="1:22" x14ac:dyDescent="0.25">
      <c r="A2" s="16">
        <v>611</v>
      </c>
      <c r="B2" s="17">
        <v>40571</v>
      </c>
      <c r="C2" s="18">
        <v>1</v>
      </c>
      <c r="D2" s="18">
        <v>0</v>
      </c>
      <c r="E2" s="18">
        <v>1</v>
      </c>
      <c r="F2" s="18">
        <v>16</v>
      </c>
      <c r="G2" s="24" t="str" cm="1">
        <f t="array" ref="G2">_xlfn.IFS(F2&lt;4,"Night",F2&lt;=6,"Early Morning",F2&lt;11,"Morning",F2&lt;12,"Afternoon",F2&lt;=16,"Afternoon",F2&lt;=20,"Evening",F2&gt;=21,"Night")</f>
        <v>Afternoon</v>
      </c>
      <c r="H2" s="18" t="b">
        <v>0</v>
      </c>
      <c r="I2" s="18">
        <v>5</v>
      </c>
      <c r="J2" s="25" t="str" cm="1">
        <f t="array" ref="J2">_xlfn.IFS(I2=1,"Monday",I2=2,"Tuesday",I2=3,"Wednesday",I2=4,"Thursday",I2=5,"Friday",I2=6,"Saturday",I2=0,"Sunday")</f>
        <v>Friday</v>
      </c>
      <c r="K2" s="18">
        <v>1</v>
      </c>
      <c r="L2" s="18">
        <v>0.22</v>
      </c>
      <c r="M2" s="26" t="str" cm="1">
        <f t="array" ref="M2">_xlfn.IFS(L2&lt;0.15,"Cold",L2&lt;0.25,"Mild",L2&lt;=0.32,"Warm",L2&gt;=0.33,"Hot")</f>
        <v>Mild</v>
      </c>
      <c r="N2" s="18">
        <v>0.2727</v>
      </c>
      <c r="O2" s="18">
        <v>0.8</v>
      </c>
      <c r="P2" s="29" t="str" cm="1">
        <f t="array" ref="P2">_xlfn.IFS(O2&gt;0.61, "High Humidity", O2&gt;=0.6, "Humid", O2&gt;0.4, "Less Humidity", TRUE, "Dry")</f>
        <v>High Humidity</v>
      </c>
      <c r="Q2" s="18">
        <v>0</v>
      </c>
      <c r="R2" s="29" t="str" cm="1">
        <f t="array" ref="R2">_xlfn.IFS(Q2&lt;=0.2,"Low Windspeed",Q2&lt;0.4,"Medium Windspeed",Q2&gt;=0.41,"High Windspeed")</f>
        <v>Low Windspeed</v>
      </c>
      <c r="S2" s="18">
        <v>10</v>
      </c>
      <c r="T2" s="18">
        <v>70</v>
      </c>
      <c r="U2" s="19">
        <v>80</v>
      </c>
      <c r="V2" s="30" t="str" cm="1">
        <f t="array" ref="V2">_xlfn.IFS(U2&lt;=70,"Low",U2&lt;=160,"Medium",U2&gt;=161,"High")</f>
        <v>Medium</v>
      </c>
    </row>
    <row r="3" spans="1:22" x14ac:dyDescent="0.25">
      <c r="A3" s="16">
        <v>612</v>
      </c>
      <c r="B3" s="17">
        <v>40571</v>
      </c>
      <c r="C3" s="18">
        <v>1</v>
      </c>
      <c r="D3" s="18">
        <v>0</v>
      </c>
      <c r="E3" s="18">
        <v>1</v>
      </c>
      <c r="F3" s="18">
        <v>17</v>
      </c>
      <c r="G3" s="18" t="str" cm="1">
        <f t="array" ref="G3">_xlfn.IFS(F3&lt;4,"Night",F3&lt;=6,"Early Morning",F3&lt;11,"Morning",F3&lt;12,"Afternoon",F3&lt;=16,"Afternoon",F3&lt;=20,"Evening",F3&gt;=21,"Night")</f>
        <v>Evening</v>
      </c>
      <c r="H3" s="18" t="b">
        <v>0</v>
      </c>
      <c r="I3" s="18">
        <v>5</v>
      </c>
      <c r="J3" s="18" t="str" cm="1">
        <f t="array" ref="J3">_xlfn.IFS(I3=1,"Monday",I3=2,"Tuesday",I3=3,"Wednesday",I3=4,"Thursday",I3=5,"Friday",I3=6,"Saturday",I3=0,"Sunday")</f>
        <v>Friday</v>
      </c>
      <c r="K3" s="18">
        <v>1</v>
      </c>
      <c r="L3" s="18">
        <v>0.24</v>
      </c>
      <c r="M3" s="27" t="str" cm="1">
        <f t="array" ref="M3">_xlfn.IFS(L3&lt;0.15,"Cold",L3&lt;0.25,"Mild",L3&lt;=0.32,"Warm",L3&gt;=0.33,"Hot")</f>
        <v>Mild</v>
      </c>
      <c r="N3" s="18">
        <v>0.2424</v>
      </c>
      <c r="O3" s="18">
        <v>0.75</v>
      </c>
      <c r="P3" s="18" t="str" cm="1">
        <f t="array" ref="P3">_xlfn.IFS(O3&gt;0.61, "High Humidity", O3&gt;=0.6, "Humid", O3&gt;0.4, "Less Humidity", TRUE, "Dry")</f>
        <v>High Humidity</v>
      </c>
      <c r="Q3" s="18">
        <v>0.1343</v>
      </c>
      <c r="R3" s="18" t="str" cm="1">
        <f t="array" ref="R3">_xlfn.IFS(Q3&lt;=0.2,"Low Windspeed",Q3&lt;0.4,"Medium Windspeed",Q3&gt;=0.41,"High Windspeed")</f>
        <v>Low Windspeed</v>
      </c>
      <c r="S3" s="18">
        <v>2</v>
      </c>
      <c r="T3" s="18">
        <v>147</v>
      </c>
      <c r="U3" s="19">
        <v>149</v>
      </c>
      <c r="V3" s="18" t="str" cm="1">
        <f t="array" ref="V3">_xlfn.IFS(U3&lt;=70,"Low",U3&lt;=160,"Medium",U3&gt;=161,"High")</f>
        <v>Medium</v>
      </c>
    </row>
    <row r="4" spans="1:22" x14ac:dyDescent="0.25">
      <c r="A4" s="16">
        <v>613</v>
      </c>
      <c r="B4" s="17">
        <v>40571</v>
      </c>
      <c r="C4" s="18">
        <v>1</v>
      </c>
      <c r="D4" s="18">
        <v>0</v>
      </c>
      <c r="E4" s="18">
        <v>1</v>
      </c>
      <c r="F4" s="18">
        <v>18</v>
      </c>
      <c r="G4" s="18" t="str" cm="1">
        <f t="array" ref="G4">_xlfn.IFS(F4&lt;4,"Night",F4&lt;=6,"Early Morning",F4&lt;11,"Morning",F4&lt;12,"Afternoon",F4&lt;=16,"Afternoon",F4&lt;=20,"Evening",F4&gt;=21,"Night")</f>
        <v>Evening</v>
      </c>
      <c r="H4" s="18" t="b">
        <v>0</v>
      </c>
      <c r="I4" s="18">
        <v>5</v>
      </c>
      <c r="J4" s="18" t="str" cm="1">
        <f t="array" ref="J4">_xlfn.IFS(I4=1,"Monday",I4=2,"Tuesday",I4=3,"Wednesday",I4=4,"Thursday",I4=5,"Friday",I4=6,"Saturday",I4=0,"Sunday")</f>
        <v>Friday</v>
      </c>
      <c r="K4" s="18">
        <v>1</v>
      </c>
      <c r="L4" s="18">
        <v>0.24</v>
      </c>
      <c r="M4" s="27" t="str" cm="1">
        <f t="array" ref="M4">_xlfn.IFS(L4&lt;0.15,"Cold",L4&lt;0.25,"Mild",L4&lt;=0.32,"Warm",L4&gt;=0.33,"Hot")</f>
        <v>Mild</v>
      </c>
      <c r="N4" s="18">
        <v>0.2273</v>
      </c>
      <c r="O4" s="18">
        <v>0.75</v>
      </c>
      <c r="P4" s="18" t="str" cm="1">
        <f t="array" ref="P4">_xlfn.IFS(O4&gt;0.61, "High Humidity", O4&gt;=0.6, "Humid", O4&gt;0.4, "Less Humidity", TRUE, "Dry")</f>
        <v>High Humidity</v>
      </c>
      <c r="Q4" s="18">
        <v>0.19400000000000001</v>
      </c>
      <c r="R4" s="18" t="str" cm="1">
        <f t="array" ref="R4">_xlfn.IFS(Q4&lt;=0.2,"Low Windspeed",Q4&lt;0.4,"Medium Windspeed",Q4&gt;=0.41,"High Windspeed")</f>
        <v>Low Windspeed</v>
      </c>
      <c r="S4" s="18">
        <v>2</v>
      </c>
      <c r="T4" s="18">
        <v>107</v>
      </c>
      <c r="U4" s="19">
        <v>109</v>
      </c>
      <c r="V4" s="18" t="str" cm="1">
        <f t="array" ref="V4">_xlfn.IFS(U4&lt;=70,"Low",U4&lt;=160,"Medium",U4&gt;=161,"High")</f>
        <v>Medium</v>
      </c>
    </row>
    <row r="5" spans="1:22" x14ac:dyDescent="0.25">
      <c r="A5" s="16">
        <v>614</v>
      </c>
      <c r="B5" s="17">
        <v>40571</v>
      </c>
      <c r="C5" s="18">
        <v>1</v>
      </c>
      <c r="D5" s="18">
        <v>0</v>
      </c>
      <c r="E5" s="18">
        <v>1</v>
      </c>
      <c r="F5" s="18">
        <v>19</v>
      </c>
      <c r="G5" s="18" t="str" cm="1">
        <f t="array" ref="G5">_xlfn.IFS(F5&lt;4,"Night",F5&lt;=6,"Early Morning",F5&lt;11,"Morning",F5&lt;12,"Afternoon",F5&lt;=16,"Afternoon",F5&lt;=20,"Evening",F5&gt;=21,"Night")</f>
        <v>Evening</v>
      </c>
      <c r="H5" s="18" t="b">
        <v>0</v>
      </c>
      <c r="I5" s="18">
        <v>5</v>
      </c>
      <c r="J5" s="18" t="str" cm="1">
        <f t="array" ref="J5">_xlfn.IFS(I5=1,"Monday",I5=2,"Tuesday",I5=3,"Wednesday",I5=4,"Thursday",I5=5,"Friday",I5=6,"Saturday",I5=0,"Sunday")</f>
        <v>Friday</v>
      </c>
      <c r="K5" s="18">
        <v>2</v>
      </c>
      <c r="L5" s="18">
        <v>0.24</v>
      </c>
      <c r="M5" s="27" t="str" cm="1">
        <f t="array" ref="M5">_xlfn.IFS(L5&lt;0.15,"Cold",L5&lt;0.25,"Mild",L5&lt;=0.32,"Warm",L5&gt;=0.33,"Hot")</f>
        <v>Mild</v>
      </c>
      <c r="N5" s="18">
        <v>0.2424</v>
      </c>
      <c r="O5" s="18">
        <v>0.75</v>
      </c>
      <c r="P5" s="18" t="str" cm="1">
        <f t="array" ref="P5">_xlfn.IFS(O5&gt;0.61, "High Humidity", O5&gt;=0.6, "Humid", O5&gt;0.4, "Less Humidity", TRUE, "Dry")</f>
        <v>High Humidity</v>
      </c>
      <c r="Q5" s="18">
        <v>0.1343</v>
      </c>
      <c r="R5" s="18" t="str" cm="1">
        <f t="array" ref="R5">_xlfn.IFS(Q5&lt;=0.2,"Low Windspeed",Q5&lt;0.4,"Medium Windspeed",Q5&gt;=0.41,"High Windspeed")</f>
        <v>Low Windspeed</v>
      </c>
      <c r="S5" s="18">
        <v>5</v>
      </c>
      <c r="T5" s="18">
        <v>84</v>
      </c>
      <c r="U5" s="19">
        <v>89</v>
      </c>
      <c r="V5" s="18" t="str" cm="1">
        <f t="array" ref="V5">_xlfn.IFS(U5&lt;=70,"Low",U5&lt;=160,"Medium",U5&gt;=161,"High")</f>
        <v>Medium</v>
      </c>
    </row>
    <row r="6" spans="1:22" x14ac:dyDescent="0.25">
      <c r="A6" s="16">
        <v>615</v>
      </c>
      <c r="B6" s="17">
        <v>40571</v>
      </c>
      <c r="C6" s="18">
        <v>1</v>
      </c>
      <c r="D6" s="18">
        <v>0</v>
      </c>
      <c r="E6" s="18">
        <v>1</v>
      </c>
      <c r="F6" s="18">
        <v>20</v>
      </c>
      <c r="G6" s="18" t="str" cm="1">
        <f t="array" ref="G6">_xlfn.IFS(F6&lt;4,"Night",F6&lt;=6,"Early Morning",F6&lt;11,"Morning",F6&lt;12,"Afternoon",F6&lt;=16,"Afternoon",F6&lt;=20,"Evening",F6&gt;=21,"Night")</f>
        <v>Evening</v>
      </c>
      <c r="H6" s="18" t="b">
        <v>0</v>
      </c>
      <c r="I6" s="18">
        <v>5</v>
      </c>
      <c r="J6" s="18" t="str" cm="1">
        <f t="array" ref="J6">_xlfn.IFS(I6=1,"Monday",I6=2,"Tuesday",I6=3,"Wednesday",I6=4,"Thursday",I6=5,"Friday",I6=6,"Saturday",I6=0,"Sunday")</f>
        <v>Friday</v>
      </c>
      <c r="K6" s="18">
        <v>2</v>
      </c>
      <c r="L6" s="18">
        <v>0.24</v>
      </c>
      <c r="M6" s="27" t="str" cm="1">
        <f t="array" ref="M6">_xlfn.IFS(L6&lt;0.15,"Cold",L6&lt;0.25,"Mild",L6&lt;=0.32,"Warm",L6&gt;=0.33,"Hot")</f>
        <v>Mild</v>
      </c>
      <c r="N6" s="18">
        <v>0.2273</v>
      </c>
      <c r="O6" s="18">
        <v>0.7</v>
      </c>
      <c r="P6" s="18" t="str" cm="1">
        <f t="array" ref="P6">_xlfn.IFS(O6&gt;0.61, "High Humidity", O6&gt;=0.6, "Humid", O6&gt;0.4, "Less Humidity", TRUE, "Dry")</f>
        <v>High Humidity</v>
      </c>
      <c r="Q6" s="18">
        <v>0.19400000000000001</v>
      </c>
      <c r="R6" s="18" t="str" cm="1">
        <f t="array" ref="R6">_xlfn.IFS(Q6&lt;=0.2,"Low Windspeed",Q6&lt;0.4,"Medium Windspeed",Q6&gt;=0.41,"High Windspeed")</f>
        <v>Low Windspeed</v>
      </c>
      <c r="S6" s="18">
        <v>1</v>
      </c>
      <c r="T6" s="18">
        <v>61</v>
      </c>
      <c r="U6" s="19">
        <v>62</v>
      </c>
      <c r="V6" s="18" t="str" cm="1">
        <f t="array" ref="V6">_xlfn.IFS(U6&lt;=70,"Low",U6&lt;=160,"Medium",U6&gt;=161,"High")</f>
        <v>Low</v>
      </c>
    </row>
    <row r="7" spans="1:22" x14ac:dyDescent="0.25">
      <c r="A7" s="16">
        <v>616</v>
      </c>
      <c r="B7" s="17">
        <v>40571</v>
      </c>
      <c r="C7" s="18">
        <v>1</v>
      </c>
      <c r="D7" s="18">
        <v>0</v>
      </c>
      <c r="E7" s="18">
        <v>1</v>
      </c>
      <c r="F7" s="18">
        <v>21</v>
      </c>
      <c r="G7" s="18" t="str" cm="1">
        <f t="array" ref="G7">_xlfn.IFS(F7&lt;4,"Night",F7&lt;=6,"Early Morning",F7&lt;11,"Morning",F7&lt;12,"Afternoon",F7&lt;=16,"Afternoon",F7&lt;=20,"Evening",F7&gt;=21,"Night")</f>
        <v>Night</v>
      </c>
      <c r="H7" s="18" t="b">
        <v>0</v>
      </c>
      <c r="I7" s="18">
        <v>5</v>
      </c>
      <c r="J7" s="18" t="str" cm="1">
        <f t="array" ref="J7">_xlfn.IFS(I7=1,"Monday",I7=2,"Tuesday",I7=3,"Wednesday",I7=4,"Thursday",I7=5,"Friday",I7=6,"Saturday",I7=0,"Sunday")</f>
        <v>Friday</v>
      </c>
      <c r="K7" s="18">
        <v>2</v>
      </c>
      <c r="L7" s="18">
        <v>0.22</v>
      </c>
      <c r="M7" s="27" t="str" cm="1">
        <f t="array" ref="M7">_xlfn.IFS(L7&lt;0.15,"Cold",L7&lt;0.25,"Mild",L7&lt;=0.32,"Warm",L7&gt;=0.33,"Hot")</f>
        <v>Mild</v>
      </c>
      <c r="N7" s="18">
        <v>0.2273</v>
      </c>
      <c r="O7" s="18">
        <v>0.75</v>
      </c>
      <c r="P7" s="18" t="str" cm="1">
        <f t="array" ref="P7">_xlfn.IFS(O7&gt;0.61, "High Humidity", O7&gt;=0.6, "Humid", O7&gt;0.4, "Less Humidity", TRUE, "Dry")</f>
        <v>High Humidity</v>
      </c>
      <c r="Q7" s="18">
        <v>0.1343</v>
      </c>
      <c r="R7" s="18" t="str" cm="1">
        <f t="array" ref="R7">_xlfn.IFS(Q7&lt;=0.2,"Low Windspeed",Q7&lt;0.4,"Medium Windspeed",Q7&gt;=0.41,"High Windspeed")</f>
        <v>Low Windspeed</v>
      </c>
      <c r="S7" s="18">
        <v>1</v>
      </c>
      <c r="T7" s="18">
        <v>57</v>
      </c>
      <c r="U7" s="19">
        <v>58</v>
      </c>
      <c r="V7" s="18" t="str" cm="1">
        <f t="array" ref="V7">_xlfn.IFS(U7&lt;=70,"Low",U7&lt;=160,"Medium",U7&gt;=161,"High")</f>
        <v>Low</v>
      </c>
    </row>
    <row r="8" spans="1:22" x14ac:dyDescent="0.25">
      <c r="A8" s="16">
        <v>617</v>
      </c>
      <c r="B8" s="17">
        <v>40571</v>
      </c>
      <c r="C8" s="18">
        <v>1</v>
      </c>
      <c r="D8" s="18">
        <v>0</v>
      </c>
      <c r="E8" s="18">
        <v>1</v>
      </c>
      <c r="F8" s="18">
        <v>22</v>
      </c>
      <c r="G8" s="18" t="str" cm="1">
        <f t="array" ref="G8">_xlfn.IFS(F8&lt;4,"Night",F8&lt;=6,"Early Morning",F8&lt;11,"Morning",F8&lt;12,"Afternoon",F8&lt;=16,"Afternoon",F8&lt;=20,"Evening",F8&gt;=21,"Night")</f>
        <v>Night</v>
      </c>
      <c r="H8" s="18" t="b">
        <v>0</v>
      </c>
      <c r="I8" s="18">
        <v>5</v>
      </c>
      <c r="J8" s="18" t="str" cm="1">
        <f t="array" ref="J8">_xlfn.IFS(I8=1,"Monday",I8=2,"Tuesday",I8=3,"Wednesday",I8=4,"Thursday",I8=5,"Friday",I8=6,"Saturday",I8=0,"Sunday")</f>
        <v>Friday</v>
      </c>
      <c r="K8" s="18">
        <v>1</v>
      </c>
      <c r="L8" s="18">
        <v>0.24</v>
      </c>
      <c r="M8" s="27" t="str" cm="1">
        <f t="array" ref="M8">_xlfn.IFS(L8&lt;0.15,"Cold",L8&lt;0.25,"Mild",L8&lt;=0.32,"Warm",L8&gt;=0.33,"Hot")</f>
        <v>Mild</v>
      </c>
      <c r="N8" s="18">
        <v>0.21210000000000001</v>
      </c>
      <c r="O8" s="18">
        <v>0.65</v>
      </c>
      <c r="P8" s="18" t="str" cm="1">
        <f t="array" ref="P8">_xlfn.IFS(O8&gt;0.61, "High Humidity", O8&gt;=0.6, "Humid", O8&gt;0.4, "Less Humidity", TRUE, "Dry")</f>
        <v>High Humidity</v>
      </c>
      <c r="Q8" s="18">
        <v>0.35820000000000002</v>
      </c>
      <c r="R8" s="18" t="str" cm="1">
        <f t="array" ref="R8">_xlfn.IFS(Q8&lt;=0.2,"Low Windspeed",Q8&lt;0.4,"Medium Windspeed",Q8&gt;=0.41,"High Windspeed")</f>
        <v>Medium Windspeed</v>
      </c>
      <c r="S8" s="18">
        <v>0</v>
      </c>
      <c r="T8" s="18">
        <v>26</v>
      </c>
      <c r="U8" s="19">
        <v>26</v>
      </c>
      <c r="V8" s="18" t="str" cm="1">
        <f t="array" ref="V8">_xlfn.IFS(U8&lt;=70,"Low",U8&lt;=160,"Medium",U8&gt;=161,"High")</f>
        <v>Low</v>
      </c>
    </row>
    <row r="9" spans="1:22" x14ac:dyDescent="0.25">
      <c r="A9" s="16">
        <v>618</v>
      </c>
      <c r="B9" s="17">
        <v>40571</v>
      </c>
      <c r="C9" s="18">
        <v>1</v>
      </c>
      <c r="D9" s="18">
        <v>0</v>
      </c>
      <c r="E9" s="18">
        <v>1</v>
      </c>
      <c r="F9" s="18">
        <v>23</v>
      </c>
      <c r="G9" s="18" t="str" cm="1">
        <f t="array" ref="G9">_xlfn.IFS(F9&lt;4,"Night",F9&lt;=6,"Early Morning",F9&lt;11,"Morning",F9&lt;12,"Afternoon",F9&lt;=16,"Afternoon",F9&lt;=20,"Evening",F9&gt;=21,"Night")</f>
        <v>Night</v>
      </c>
      <c r="H9" s="18" t="b">
        <v>0</v>
      </c>
      <c r="I9" s="18">
        <v>5</v>
      </c>
      <c r="J9" s="18" t="str" cm="1">
        <f t="array" ref="J9">_xlfn.IFS(I9=1,"Monday",I9=2,"Tuesday",I9=3,"Wednesday",I9=4,"Thursday",I9=5,"Friday",I9=6,"Saturday",I9=0,"Sunday")</f>
        <v>Friday</v>
      </c>
      <c r="K9" s="18">
        <v>1</v>
      </c>
      <c r="L9" s="18">
        <v>0.24</v>
      </c>
      <c r="M9" s="27" t="str" cm="1">
        <f t="array" ref="M9">_xlfn.IFS(L9&lt;0.15,"Cold",L9&lt;0.25,"Mild",L9&lt;=0.32,"Warm",L9&gt;=0.33,"Hot")</f>
        <v>Mild</v>
      </c>
      <c r="N9" s="18">
        <v>0.2273</v>
      </c>
      <c r="O9" s="18">
        <v>0.6</v>
      </c>
      <c r="P9" s="18" t="str" cm="1">
        <f t="array" ref="P9">_xlfn.IFS(O9&gt;0.61, "High Humidity", O9&gt;=0.6, "Humid", O9&gt;0.4, "Less Humidity", TRUE, "Dry")</f>
        <v>Humid</v>
      </c>
      <c r="Q9" s="18">
        <v>0.22389999999999999</v>
      </c>
      <c r="R9" s="18" t="str" cm="1">
        <f t="array" ref="R9">_xlfn.IFS(Q9&lt;=0.2,"Low Windspeed",Q9&lt;0.4,"Medium Windspeed",Q9&gt;=0.41,"High Windspeed")</f>
        <v>Medium Windspeed</v>
      </c>
      <c r="S9" s="18">
        <v>1</v>
      </c>
      <c r="T9" s="18">
        <v>22</v>
      </c>
      <c r="U9" s="19">
        <v>23</v>
      </c>
      <c r="V9" s="18" t="str" cm="1">
        <f t="array" ref="V9">_xlfn.IFS(U9&lt;=70,"Low",U9&lt;=160,"Medium",U9&gt;=161,"High")</f>
        <v>Low</v>
      </c>
    </row>
    <row r="10" spans="1:22" x14ac:dyDescent="0.25">
      <c r="A10" s="16">
        <v>619</v>
      </c>
      <c r="B10" s="17">
        <v>40572</v>
      </c>
      <c r="C10" s="18">
        <v>1</v>
      </c>
      <c r="D10" s="18">
        <v>0</v>
      </c>
      <c r="E10" s="18">
        <v>1</v>
      </c>
      <c r="F10" s="18">
        <v>0</v>
      </c>
      <c r="G10" s="18" t="str" cm="1">
        <f t="array" ref="G10">_xlfn.IFS(F10&lt;4,"Night",F10&lt;=6,"Early Morning",F10&lt;11,"Morning",F10&lt;12,"Afternoon",F10&lt;=16,"Afternoon",F10&lt;=20,"Evening",F10&gt;=21,"Night")</f>
        <v>Night</v>
      </c>
      <c r="H10" s="18" t="b">
        <v>0</v>
      </c>
      <c r="I10" s="18">
        <v>6</v>
      </c>
      <c r="J10" s="18" t="str" cm="1">
        <f t="array" ref="J10">_xlfn.IFS(I10=1,"Monday",I10=2,"Tuesday",I10=3,"Wednesday",I10=4,"Thursday",I10=5,"Friday",I10=6,"Saturday",I10=0,"Sunday")</f>
        <v>Saturday</v>
      </c>
      <c r="K10" s="18">
        <v>1</v>
      </c>
      <c r="L10" s="18">
        <v>0.22</v>
      </c>
      <c r="M10" s="27" t="str" cm="1">
        <f t="array" ref="M10">_xlfn.IFS(L10&lt;0.15,"Cold",L10&lt;0.25,"Mild",L10&lt;=0.32,"Warm",L10&gt;=0.33,"Hot")</f>
        <v>Mild</v>
      </c>
      <c r="N10" s="18">
        <v>0.19700000000000001</v>
      </c>
      <c r="O10" s="18">
        <v>0.64</v>
      </c>
      <c r="P10" s="18" t="str" cm="1">
        <f t="array" ref="P10">_xlfn.IFS(O10&gt;0.61, "High Humidity", O10&gt;=0.6, "Humid", O10&gt;0.4, "Less Humidity", TRUE, "Dry")</f>
        <v>High Humidity</v>
      </c>
      <c r="Q10" s="18">
        <v>0.35820000000000002</v>
      </c>
      <c r="R10" s="18" t="str" cm="1">
        <f t="array" ref="R10">_xlfn.IFS(Q10&lt;=0.2,"Low Windspeed",Q10&lt;0.4,"Medium Windspeed",Q10&gt;=0.41,"High Windspeed")</f>
        <v>Medium Windspeed</v>
      </c>
      <c r="S10" s="18">
        <v>2</v>
      </c>
      <c r="T10" s="18">
        <v>26</v>
      </c>
      <c r="U10" s="19">
        <v>28</v>
      </c>
      <c r="V10" s="18" t="str" cm="1">
        <f t="array" ref="V10">_xlfn.IFS(U10&lt;=70,"Low",U10&lt;=160,"Medium",U10&gt;=161,"High")</f>
        <v>Low</v>
      </c>
    </row>
    <row r="11" spans="1:22" x14ac:dyDescent="0.25">
      <c r="A11" s="16">
        <v>620</v>
      </c>
      <c r="B11" s="17">
        <v>40572</v>
      </c>
      <c r="C11" s="18">
        <v>1</v>
      </c>
      <c r="D11" s="18">
        <v>0</v>
      </c>
      <c r="E11" s="18">
        <v>1</v>
      </c>
      <c r="F11" s="18">
        <v>1</v>
      </c>
      <c r="G11" s="18" t="str" cm="1">
        <f t="array" ref="G11">_xlfn.IFS(F11&lt;4,"Night",F11&lt;=6,"Early Morning",F11&lt;11,"Morning",F11&lt;12,"Afternoon",F11&lt;=16,"Afternoon",F11&lt;=20,"Evening",F11&gt;=21,"Night")</f>
        <v>Night</v>
      </c>
      <c r="H11" s="18" t="b">
        <v>0</v>
      </c>
      <c r="I11" s="18">
        <v>6</v>
      </c>
      <c r="J11" s="18" t="str" cm="1">
        <f t="array" ref="J11">_xlfn.IFS(I11=1,"Monday",I11=2,"Tuesday",I11=3,"Wednesday",I11=4,"Thursday",I11=5,"Friday",I11=6,"Saturday",I11=0,"Sunday")</f>
        <v>Saturday</v>
      </c>
      <c r="K11" s="18">
        <v>1</v>
      </c>
      <c r="L11" s="18">
        <v>0.22</v>
      </c>
      <c r="M11" s="27" t="str" cm="1">
        <f t="array" ref="M11">_xlfn.IFS(L11&lt;0.15,"Cold",L11&lt;0.25,"Mild",L11&lt;=0.32,"Warm",L11&gt;=0.33,"Hot")</f>
        <v>Mild</v>
      </c>
      <c r="N11" s="18">
        <v>0.2273</v>
      </c>
      <c r="O11" s="18">
        <v>0.64</v>
      </c>
      <c r="P11" s="18" t="str" cm="1">
        <f t="array" ref="P11">_xlfn.IFS(O11&gt;0.61, "High Humidity", O11&gt;=0.6, "Humid", O11&gt;0.4, "Less Humidity", TRUE, "Dry")</f>
        <v>High Humidity</v>
      </c>
      <c r="Q11" s="18">
        <v>0.19400000000000001</v>
      </c>
      <c r="R11" s="18" t="str" cm="1">
        <f t="array" ref="R11">_xlfn.IFS(Q11&lt;=0.2,"Low Windspeed",Q11&lt;0.4,"Medium Windspeed",Q11&gt;=0.41,"High Windspeed")</f>
        <v>Low Windspeed</v>
      </c>
      <c r="S11" s="18">
        <v>0</v>
      </c>
      <c r="T11" s="18">
        <v>20</v>
      </c>
      <c r="U11" s="19">
        <v>20</v>
      </c>
      <c r="V11" s="18" t="str" cm="1">
        <f t="array" ref="V11">_xlfn.IFS(U11&lt;=70,"Low",U11&lt;=160,"Medium",U11&gt;=161,"High")</f>
        <v>Low</v>
      </c>
    </row>
    <row r="12" spans="1:22" x14ac:dyDescent="0.25">
      <c r="A12" s="16">
        <v>621</v>
      </c>
      <c r="B12" s="17">
        <v>40572</v>
      </c>
      <c r="C12" s="18">
        <v>1</v>
      </c>
      <c r="D12" s="18">
        <v>0</v>
      </c>
      <c r="E12" s="18">
        <v>1</v>
      </c>
      <c r="F12" s="18">
        <v>2</v>
      </c>
      <c r="G12" s="18" t="str" cm="1">
        <f t="array" ref="G12">_xlfn.IFS(F12&lt;4,"Night",F12&lt;=6,"Early Morning",F12&lt;11,"Morning",F12&lt;12,"Afternoon",F12&lt;=16,"Afternoon",F12&lt;=20,"Evening",F12&gt;=21,"Night")</f>
        <v>Night</v>
      </c>
      <c r="H12" s="18" t="b">
        <v>0</v>
      </c>
      <c r="I12" s="18">
        <v>6</v>
      </c>
      <c r="J12" s="18" t="str" cm="1">
        <f t="array" ref="J12">_xlfn.IFS(I12=1,"Monday",I12=2,"Tuesday",I12=3,"Wednesday",I12=4,"Thursday",I12=5,"Friday",I12=6,"Saturday",I12=0,"Sunday")</f>
        <v>Saturday</v>
      </c>
      <c r="K12" s="18">
        <v>1</v>
      </c>
      <c r="L12" s="18">
        <v>0.22</v>
      </c>
      <c r="M12" s="27" t="str" cm="1">
        <f t="array" ref="M12">_xlfn.IFS(L12&lt;0.15,"Cold",L12&lt;0.25,"Mild",L12&lt;=0.32,"Warm",L12&gt;=0.33,"Hot")</f>
        <v>Mild</v>
      </c>
      <c r="N12" s="18">
        <v>0.2273</v>
      </c>
      <c r="O12" s="18">
        <v>0.64</v>
      </c>
      <c r="P12" s="18" t="str" cm="1">
        <f t="array" ref="P12">_xlfn.IFS(O12&gt;0.61, "High Humidity", O12&gt;=0.6, "Humid", O12&gt;0.4, "Less Humidity", TRUE, "Dry")</f>
        <v>High Humidity</v>
      </c>
      <c r="Q12" s="18">
        <v>0.16420000000000001</v>
      </c>
      <c r="R12" s="18" t="str" cm="1">
        <f t="array" ref="R12">_xlfn.IFS(Q12&lt;=0.2,"Low Windspeed",Q12&lt;0.4,"Medium Windspeed",Q12&gt;=0.41,"High Windspeed")</f>
        <v>Low Windspeed</v>
      </c>
      <c r="S12" s="18">
        <v>0</v>
      </c>
      <c r="T12" s="18">
        <v>15</v>
      </c>
      <c r="U12" s="19">
        <v>15</v>
      </c>
      <c r="V12" s="18" t="str" cm="1">
        <f t="array" ref="V12">_xlfn.IFS(U12&lt;=70,"Low",U12&lt;=160,"Medium",U12&gt;=161,"High")</f>
        <v>Low</v>
      </c>
    </row>
    <row r="13" spans="1:22" x14ac:dyDescent="0.25">
      <c r="A13" s="16">
        <v>622</v>
      </c>
      <c r="B13" s="17">
        <v>40572</v>
      </c>
      <c r="C13" s="18">
        <v>1</v>
      </c>
      <c r="D13" s="18">
        <v>0</v>
      </c>
      <c r="E13" s="18">
        <v>1</v>
      </c>
      <c r="F13" s="18">
        <v>3</v>
      </c>
      <c r="G13" s="18" t="str" cm="1">
        <f t="array" ref="G13">_xlfn.IFS(F13&lt;4,"Night",F13&lt;=6,"Early Morning",F13&lt;11,"Morning",F13&lt;12,"Afternoon",F13&lt;=16,"Afternoon",F13&lt;=20,"Evening",F13&gt;=21,"Night")</f>
        <v>Night</v>
      </c>
      <c r="H13" s="18" t="b">
        <v>0</v>
      </c>
      <c r="I13" s="18">
        <v>6</v>
      </c>
      <c r="J13" s="18" t="str" cm="1">
        <f t="array" ref="J13">_xlfn.IFS(I13=1,"Monday",I13=2,"Tuesday",I13=3,"Wednesday",I13=4,"Thursday",I13=5,"Friday",I13=6,"Saturday",I13=0,"Sunday")</f>
        <v>Saturday</v>
      </c>
      <c r="K13" s="18">
        <v>1</v>
      </c>
      <c r="L13" s="18">
        <v>0.2</v>
      </c>
      <c r="M13" s="27" t="str" cm="1">
        <f t="array" ref="M13">_xlfn.IFS(L13&lt;0.15,"Cold",L13&lt;0.25,"Mild",L13&lt;=0.32,"Warm",L13&gt;=0.33,"Hot")</f>
        <v>Mild</v>
      </c>
      <c r="N13" s="18">
        <v>0.21210000000000001</v>
      </c>
      <c r="O13" s="18">
        <v>0.64</v>
      </c>
      <c r="P13" s="18" t="str" cm="1">
        <f t="array" ref="P13">_xlfn.IFS(O13&gt;0.61, "High Humidity", O13&gt;=0.6, "Humid", O13&gt;0.4, "Less Humidity", TRUE, "Dry")</f>
        <v>High Humidity</v>
      </c>
      <c r="Q13" s="18">
        <v>0.1343</v>
      </c>
      <c r="R13" s="18" t="str" cm="1">
        <f t="array" ref="R13">_xlfn.IFS(Q13&lt;=0.2,"Low Windspeed",Q13&lt;0.4,"Medium Windspeed",Q13&gt;=0.41,"High Windspeed")</f>
        <v>Low Windspeed</v>
      </c>
      <c r="S13" s="18">
        <v>3</v>
      </c>
      <c r="T13" s="18">
        <v>5</v>
      </c>
      <c r="U13" s="19">
        <v>8</v>
      </c>
      <c r="V13" s="18" t="str" cm="1">
        <f t="array" ref="V13">_xlfn.IFS(U13&lt;=70,"Low",U13&lt;=160,"Medium",U13&gt;=161,"High")</f>
        <v>Low</v>
      </c>
    </row>
    <row r="14" spans="1:22" x14ac:dyDescent="0.25">
      <c r="A14" s="16">
        <v>623</v>
      </c>
      <c r="B14" s="17">
        <v>40572</v>
      </c>
      <c r="C14" s="18">
        <v>1</v>
      </c>
      <c r="D14" s="18">
        <v>0</v>
      </c>
      <c r="E14" s="18">
        <v>1</v>
      </c>
      <c r="F14" s="18">
        <v>4</v>
      </c>
      <c r="G14" s="18" t="str" cm="1">
        <f t="array" ref="G14">_xlfn.IFS(F14&lt;4,"Night",F14&lt;=6,"Early Morning",F14&lt;11,"Morning",F14&lt;12,"Afternoon",F14&lt;=16,"Afternoon",F14&lt;=20,"Evening",F14&gt;=21,"Night")</f>
        <v>Early Morning</v>
      </c>
      <c r="H14" s="18" t="b">
        <v>0</v>
      </c>
      <c r="I14" s="18">
        <v>6</v>
      </c>
      <c r="J14" s="18" t="str" cm="1">
        <f t="array" ref="J14">_xlfn.IFS(I14=1,"Monday",I14=2,"Tuesday",I14=3,"Wednesday",I14=4,"Thursday",I14=5,"Friday",I14=6,"Saturday",I14=0,"Sunday")</f>
        <v>Saturday</v>
      </c>
      <c r="K14" s="18">
        <v>1</v>
      </c>
      <c r="L14" s="18">
        <v>0.16</v>
      </c>
      <c r="M14" s="27" t="str" cm="1">
        <f t="array" ref="M14">_xlfn.IFS(L14&lt;0.15,"Cold",L14&lt;0.25,"Mild",L14&lt;=0.32,"Warm",L14&gt;=0.33,"Hot")</f>
        <v>Mild</v>
      </c>
      <c r="N14" s="18">
        <v>0.18179999999999999</v>
      </c>
      <c r="O14" s="18">
        <v>0.69</v>
      </c>
      <c r="P14" s="18" t="str" cm="1">
        <f t="array" ref="P14">_xlfn.IFS(O14&gt;0.61, "High Humidity", O14&gt;=0.6, "Humid", O14&gt;0.4, "Less Humidity", TRUE, "Dry")</f>
        <v>High Humidity</v>
      </c>
      <c r="Q14" s="18">
        <v>0.1045</v>
      </c>
      <c r="R14" s="18" t="str" cm="1">
        <f t="array" ref="R14">_xlfn.IFS(Q14&lt;=0.2,"Low Windspeed",Q14&lt;0.4,"Medium Windspeed",Q14&gt;=0.41,"High Windspeed")</f>
        <v>Low Windspeed</v>
      </c>
      <c r="S14" s="18">
        <v>1</v>
      </c>
      <c r="T14" s="18">
        <v>2</v>
      </c>
      <c r="U14" s="19">
        <v>3</v>
      </c>
      <c r="V14" s="18" t="str" cm="1">
        <f t="array" ref="V14">_xlfn.IFS(U14&lt;=70,"Low",U14&lt;=160,"Medium",U14&gt;=161,"High")</f>
        <v>Low</v>
      </c>
    </row>
    <row r="15" spans="1:22" x14ac:dyDescent="0.25">
      <c r="A15" s="16">
        <v>624</v>
      </c>
      <c r="B15" s="17">
        <v>40572</v>
      </c>
      <c r="C15" s="18">
        <v>1</v>
      </c>
      <c r="D15" s="18">
        <v>0</v>
      </c>
      <c r="E15" s="18">
        <v>1</v>
      </c>
      <c r="F15" s="18">
        <v>6</v>
      </c>
      <c r="G15" s="18" t="str" cm="1">
        <f t="array" ref="G15">_xlfn.IFS(F15&lt;4,"Night",F15&lt;=6,"Early Morning",F15&lt;11,"Morning",F15&lt;12,"Afternoon",F15&lt;=16,"Afternoon",F15&lt;=20,"Evening",F15&gt;=21,"Night")</f>
        <v>Early Morning</v>
      </c>
      <c r="H15" s="18" t="b">
        <v>0</v>
      </c>
      <c r="I15" s="18">
        <v>6</v>
      </c>
      <c r="J15" s="18" t="str" cm="1">
        <f t="array" ref="J15">_xlfn.IFS(I15=1,"Monday",I15=2,"Tuesday",I15=3,"Wednesday",I15=4,"Thursday",I15=5,"Friday",I15=6,"Saturday",I15=0,"Sunday")</f>
        <v>Saturday</v>
      </c>
      <c r="K15" s="18">
        <v>1</v>
      </c>
      <c r="L15" s="18">
        <v>0.16</v>
      </c>
      <c r="M15" s="27" t="str" cm="1">
        <f t="array" ref="M15">_xlfn.IFS(L15&lt;0.15,"Cold",L15&lt;0.25,"Mild",L15&lt;=0.32,"Warm",L15&gt;=0.33,"Hot")</f>
        <v>Mild</v>
      </c>
      <c r="N15" s="18">
        <v>0.18179999999999999</v>
      </c>
      <c r="O15" s="18">
        <v>0.64</v>
      </c>
      <c r="P15" s="18" t="str" cm="1">
        <f t="array" ref="P15">_xlfn.IFS(O15&gt;0.61, "High Humidity", O15&gt;=0.6, "Humid", O15&gt;0.4, "Less Humidity", TRUE, "Dry")</f>
        <v>High Humidity</v>
      </c>
      <c r="Q15" s="18">
        <v>0.1343</v>
      </c>
      <c r="R15" s="18" t="str" cm="1">
        <f t="array" ref="R15">_xlfn.IFS(Q15&lt;=0.2,"Low Windspeed",Q15&lt;0.4,"Medium Windspeed",Q15&gt;=0.41,"High Windspeed")</f>
        <v>Low Windspeed</v>
      </c>
      <c r="S15" s="18">
        <v>0</v>
      </c>
      <c r="T15" s="18">
        <v>2</v>
      </c>
      <c r="U15" s="19">
        <v>2</v>
      </c>
      <c r="V15" s="18" t="str" cm="1">
        <f t="array" ref="V15">_xlfn.IFS(U15&lt;=70,"Low",U15&lt;=160,"Medium",U15&gt;=161,"High")</f>
        <v>Low</v>
      </c>
    </row>
    <row r="16" spans="1:22" x14ac:dyDescent="0.25">
      <c r="A16" s="16">
        <v>625</v>
      </c>
      <c r="B16" s="17">
        <v>40572</v>
      </c>
      <c r="C16" s="18">
        <v>1</v>
      </c>
      <c r="D16" s="18">
        <v>0</v>
      </c>
      <c r="E16" s="18">
        <v>1</v>
      </c>
      <c r="F16" s="18">
        <v>7</v>
      </c>
      <c r="G16" s="18" t="str" cm="1">
        <f t="array" ref="G16">_xlfn.IFS(F16&lt;4,"Night",F16&lt;=6,"Early Morning",F16&lt;11,"Morning",F16&lt;12,"Afternoon",F16&lt;=16,"Afternoon",F16&lt;=20,"Evening",F16&gt;=21,"Night")</f>
        <v>Morning</v>
      </c>
      <c r="H16" s="18" t="b">
        <v>0</v>
      </c>
      <c r="I16" s="18">
        <v>6</v>
      </c>
      <c r="J16" s="18" t="str" cm="1">
        <f t="array" ref="J16">_xlfn.IFS(I16=1,"Monday",I16=2,"Tuesday",I16=3,"Wednesday",I16=4,"Thursday",I16=5,"Friday",I16=6,"Saturday",I16=0,"Sunday")</f>
        <v>Saturday</v>
      </c>
      <c r="K16" s="18">
        <v>1</v>
      </c>
      <c r="L16" s="18">
        <v>0.16</v>
      </c>
      <c r="M16" s="27" t="str" cm="1">
        <f t="array" ref="M16">_xlfn.IFS(L16&lt;0.15,"Cold",L16&lt;0.25,"Mild",L16&lt;=0.32,"Warm",L16&gt;=0.33,"Hot")</f>
        <v>Mild</v>
      </c>
      <c r="N16" s="18">
        <v>0.18179999999999999</v>
      </c>
      <c r="O16" s="18">
        <v>0.59</v>
      </c>
      <c r="P16" s="18" t="str" cm="1">
        <f t="array" ref="P16">_xlfn.IFS(O16&gt;0.61, "High Humidity", O16&gt;=0.6, "Humid", O16&gt;0.4, "Less Humidity", TRUE, "Dry")</f>
        <v>Less Humidity</v>
      </c>
      <c r="Q16" s="18">
        <v>0.1045</v>
      </c>
      <c r="R16" s="18" t="str" cm="1">
        <f t="array" ref="R16">_xlfn.IFS(Q16&lt;=0.2,"Low Windspeed",Q16&lt;0.4,"Medium Windspeed",Q16&gt;=0.41,"High Windspeed")</f>
        <v>Low Windspeed</v>
      </c>
      <c r="S16" s="18">
        <v>1</v>
      </c>
      <c r="T16" s="18">
        <v>4</v>
      </c>
      <c r="U16" s="19">
        <v>5</v>
      </c>
      <c r="V16" s="18" t="str" cm="1">
        <f t="array" ref="V16">_xlfn.IFS(U16&lt;=70,"Low",U16&lt;=160,"Medium",U16&gt;=161,"High")</f>
        <v>Low</v>
      </c>
    </row>
    <row r="17" spans="1:22" x14ac:dyDescent="0.25">
      <c r="A17" s="16">
        <v>626</v>
      </c>
      <c r="B17" s="17">
        <v>40572</v>
      </c>
      <c r="C17" s="18">
        <v>1</v>
      </c>
      <c r="D17" s="18">
        <v>0</v>
      </c>
      <c r="E17" s="18">
        <v>1</v>
      </c>
      <c r="F17" s="18">
        <v>8</v>
      </c>
      <c r="G17" s="18" t="str" cm="1">
        <f t="array" ref="G17">_xlfn.IFS(F17&lt;4,"Night",F17&lt;=6,"Early Morning",F17&lt;11,"Morning",F17&lt;12,"Afternoon",F17&lt;=16,"Afternoon",F17&lt;=20,"Evening",F17&gt;=21,"Night")</f>
        <v>Morning</v>
      </c>
      <c r="H17" s="18" t="b">
        <v>0</v>
      </c>
      <c r="I17" s="18">
        <v>6</v>
      </c>
      <c r="J17" s="18" t="str" cm="1">
        <f t="array" ref="J17">_xlfn.IFS(I17=1,"Monday",I17=2,"Tuesday",I17=3,"Wednesday",I17=4,"Thursday",I17=5,"Friday",I17=6,"Saturday",I17=0,"Sunday")</f>
        <v>Saturday</v>
      </c>
      <c r="K17" s="18">
        <v>1</v>
      </c>
      <c r="L17" s="18">
        <v>0.18</v>
      </c>
      <c r="M17" s="27" t="str" cm="1">
        <f t="array" ref="M17">_xlfn.IFS(L17&lt;0.15,"Cold",L17&lt;0.25,"Mild",L17&lt;=0.32,"Warm",L17&gt;=0.33,"Hot")</f>
        <v>Mild</v>
      </c>
      <c r="N17" s="18">
        <v>0.19700000000000001</v>
      </c>
      <c r="O17" s="18">
        <v>0.55000000000000004</v>
      </c>
      <c r="P17" s="18" t="str" cm="1">
        <f t="array" ref="P17">_xlfn.IFS(O17&gt;0.61, "High Humidity", O17&gt;=0.6, "Humid", O17&gt;0.4, "Less Humidity", TRUE, "Dry")</f>
        <v>Less Humidity</v>
      </c>
      <c r="Q17" s="18">
        <v>0.16420000000000001</v>
      </c>
      <c r="R17" s="18" t="str" cm="1">
        <f t="array" ref="R17">_xlfn.IFS(Q17&lt;=0.2,"Low Windspeed",Q17&lt;0.4,"Medium Windspeed",Q17&gt;=0.41,"High Windspeed")</f>
        <v>Low Windspeed</v>
      </c>
      <c r="S17" s="18">
        <v>3</v>
      </c>
      <c r="T17" s="18">
        <v>31</v>
      </c>
      <c r="U17" s="19">
        <v>34</v>
      </c>
      <c r="V17" s="18" t="str" cm="1">
        <f t="array" ref="V17">_xlfn.IFS(U17&lt;=70,"Low",U17&lt;=160,"Medium",U17&gt;=161,"High")</f>
        <v>Low</v>
      </c>
    </row>
    <row r="18" spans="1:22" x14ac:dyDescent="0.25">
      <c r="A18" s="16">
        <v>627</v>
      </c>
      <c r="B18" s="17">
        <v>40572</v>
      </c>
      <c r="C18" s="18">
        <v>1</v>
      </c>
      <c r="D18" s="18">
        <v>0</v>
      </c>
      <c r="E18" s="18">
        <v>1</v>
      </c>
      <c r="F18" s="18">
        <v>9</v>
      </c>
      <c r="G18" s="18" t="str" cm="1">
        <f t="array" ref="G18">_xlfn.IFS(F18&lt;4,"Night",F18&lt;=6,"Early Morning",F18&lt;11,"Morning",F18&lt;12,"Afternoon",F18&lt;=16,"Afternoon",F18&lt;=20,"Evening",F18&gt;=21,"Night")</f>
        <v>Morning</v>
      </c>
      <c r="H18" s="18" t="b">
        <v>0</v>
      </c>
      <c r="I18" s="18">
        <v>6</v>
      </c>
      <c r="J18" s="18" t="str" cm="1">
        <f t="array" ref="J18">_xlfn.IFS(I18=1,"Monday",I18=2,"Tuesday",I18=3,"Wednesday",I18=4,"Thursday",I18=5,"Friday",I18=6,"Saturday",I18=0,"Sunday")</f>
        <v>Saturday</v>
      </c>
      <c r="K18" s="18">
        <v>1</v>
      </c>
      <c r="L18" s="18">
        <v>0.18</v>
      </c>
      <c r="M18" s="27" t="str" cm="1">
        <f t="array" ref="M18">_xlfn.IFS(L18&lt;0.15,"Cold",L18&lt;0.25,"Mild",L18&lt;=0.32,"Warm",L18&gt;=0.33,"Hot")</f>
        <v>Mild</v>
      </c>
      <c r="N18" s="18">
        <v>0.21210000000000001</v>
      </c>
      <c r="O18" s="18">
        <v>0.59</v>
      </c>
      <c r="P18" s="18" t="str" cm="1">
        <f t="array" ref="P18">_xlfn.IFS(O18&gt;0.61, "High Humidity", O18&gt;=0.6, "Humid", O18&gt;0.4, "Less Humidity", TRUE, "Dry")</f>
        <v>Less Humidity</v>
      </c>
      <c r="Q18" s="18">
        <v>8.9599999999999999E-2</v>
      </c>
      <c r="R18" s="18" t="str" cm="1">
        <f t="array" ref="R18">_xlfn.IFS(Q18&lt;=0.2,"Low Windspeed",Q18&lt;0.4,"Medium Windspeed",Q18&gt;=0.41,"High Windspeed")</f>
        <v>Low Windspeed</v>
      </c>
      <c r="S18" s="18">
        <v>0</v>
      </c>
      <c r="T18" s="18">
        <v>34</v>
      </c>
      <c r="U18" s="19">
        <v>34</v>
      </c>
      <c r="V18" s="18" t="str" cm="1">
        <f t="array" ref="V18">_xlfn.IFS(U18&lt;=70,"Low",U18&lt;=160,"Medium",U18&gt;=161,"High")</f>
        <v>Low</v>
      </c>
    </row>
    <row r="19" spans="1:22" x14ac:dyDescent="0.25">
      <c r="A19" s="16">
        <v>628</v>
      </c>
      <c r="B19" s="17">
        <v>40572</v>
      </c>
      <c r="C19" s="18">
        <v>1</v>
      </c>
      <c r="D19" s="18">
        <v>0</v>
      </c>
      <c r="E19" s="18">
        <v>1</v>
      </c>
      <c r="F19" s="18">
        <v>10</v>
      </c>
      <c r="G19" s="18" t="str" cm="1">
        <f t="array" ref="G19">_xlfn.IFS(F19&lt;4,"Night",F19&lt;=6,"Early Morning",F19&lt;11,"Morning",F19&lt;12,"Afternoon",F19&lt;=16,"Afternoon",F19&lt;=20,"Evening",F19&gt;=21,"Night")</f>
        <v>Morning</v>
      </c>
      <c r="H19" s="18" t="b">
        <v>0</v>
      </c>
      <c r="I19" s="18">
        <v>6</v>
      </c>
      <c r="J19" s="18" t="str" cm="1">
        <f t="array" ref="J19">_xlfn.IFS(I19=1,"Monday",I19=2,"Tuesday",I19=3,"Wednesday",I19=4,"Thursday",I19=5,"Friday",I19=6,"Saturday",I19=0,"Sunday")</f>
        <v>Saturday</v>
      </c>
      <c r="K19" s="18">
        <v>2</v>
      </c>
      <c r="L19" s="18">
        <v>0.18</v>
      </c>
      <c r="M19" s="27" t="str" cm="1">
        <f t="array" ref="M19">_xlfn.IFS(L19&lt;0.15,"Cold",L19&lt;0.25,"Mild",L19&lt;=0.32,"Warm",L19&gt;=0.33,"Hot")</f>
        <v>Mild</v>
      </c>
      <c r="N19" s="18">
        <v>0.21210000000000001</v>
      </c>
      <c r="O19" s="18">
        <v>0.64</v>
      </c>
      <c r="P19" s="18" t="str" cm="1">
        <f t="array" ref="P19">_xlfn.IFS(O19&gt;0.61, "High Humidity", O19&gt;=0.6, "Humid", O19&gt;0.4, "Less Humidity", TRUE, "Dry")</f>
        <v>High Humidity</v>
      </c>
      <c r="Q19" s="18">
        <v>0.1045</v>
      </c>
      <c r="R19" s="18" t="str" cm="1">
        <f t="array" ref="R19">_xlfn.IFS(Q19&lt;=0.2,"Low Windspeed",Q19&lt;0.4,"Medium Windspeed",Q19&gt;=0.41,"High Windspeed")</f>
        <v>Low Windspeed</v>
      </c>
      <c r="S19" s="18">
        <v>4</v>
      </c>
      <c r="T19" s="18">
        <v>51</v>
      </c>
      <c r="U19" s="19">
        <v>55</v>
      </c>
      <c r="V19" s="18" t="str" cm="1">
        <f t="array" ref="V19">_xlfn.IFS(U19&lt;=70,"Low",U19&lt;=160,"Medium",U19&gt;=161,"High")</f>
        <v>Low</v>
      </c>
    </row>
    <row r="20" spans="1:22" x14ac:dyDescent="0.25">
      <c r="A20" s="16">
        <v>629</v>
      </c>
      <c r="B20" s="17">
        <v>40572</v>
      </c>
      <c r="C20" s="18">
        <v>1</v>
      </c>
      <c r="D20" s="18">
        <v>0</v>
      </c>
      <c r="E20" s="18">
        <v>1</v>
      </c>
      <c r="F20" s="18">
        <v>11</v>
      </c>
      <c r="G20" s="18" t="str" cm="1">
        <f t="array" ref="G20">_xlfn.IFS(F20&lt;4,"Night",F20&lt;=6,"Early Morning",F20&lt;11,"Morning",F20&lt;12,"Afternoon",F20&lt;=16,"Afternoon",F20&lt;=20,"Evening",F20&gt;=21,"Night")</f>
        <v>Afternoon</v>
      </c>
      <c r="H20" s="18" t="b">
        <v>0</v>
      </c>
      <c r="I20" s="18">
        <v>6</v>
      </c>
      <c r="J20" s="18" t="str" cm="1">
        <f t="array" ref="J20">_xlfn.IFS(I20=1,"Monday",I20=2,"Tuesday",I20=3,"Wednesday",I20=4,"Thursday",I20=5,"Friday",I20=6,"Saturday",I20=0,"Sunday")</f>
        <v>Saturday</v>
      </c>
      <c r="K20" s="18">
        <v>2</v>
      </c>
      <c r="L20" s="18">
        <v>0.18</v>
      </c>
      <c r="M20" s="27" t="str" cm="1">
        <f t="array" ref="M20">_xlfn.IFS(L20&lt;0.15,"Cold",L20&lt;0.25,"Mild",L20&lt;=0.32,"Warm",L20&gt;=0.33,"Hot")</f>
        <v>Mild</v>
      </c>
      <c r="N20" s="18">
        <v>0.19700000000000001</v>
      </c>
      <c r="O20" s="18">
        <v>0.64</v>
      </c>
      <c r="P20" s="18" t="str" cm="1">
        <f t="array" ref="P20">_xlfn.IFS(O20&gt;0.61, "High Humidity", O20&gt;=0.6, "Humid", O20&gt;0.4, "Less Humidity", TRUE, "Dry")</f>
        <v>High Humidity</v>
      </c>
      <c r="Q20" s="18">
        <v>0.1343</v>
      </c>
      <c r="R20" s="18" t="str" cm="1">
        <f t="array" ref="R20">_xlfn.IFS(Q20&lt;=0.2,"Low Windspeed",Q20&lt;0.4,"Medium Windspeed",Q20&gt;=0.41,"High Windspeed")</f>
        <v>Low Windspeed</v>
      </c>
      <c r="S20" s="18">
        <v>4</v>
      </c>
      <c r="T20" s="18">
        <v>60</v>
      </c>
      <c r="U20" s="19">
        <v>64</v>
      </c>
      <c r="V20" s="18" t="str" cm="1">
        <f t="array" ref="V20">_xlfn.IFS(U20&lt;=70,"Low",U20&lt;=160,"Medium",U20&gt;=161,"High")</f>
        <v>Low</v>
      </c>
    </row>
    <row r="21" spans="1:22" x14ac:dyDescent="0.25">
      <c r="A21" s="16">
        <v>630</v>
      </c>
      <c r="B21" s="17">
        <v>40572</v>
      </c>
      <c r="C21" s="18">
        <v>1</v>
      </c>
      <c r="D21" s="18">
        <v>0</v>
      </c>
      <c r="E21" s="18">
        <v>1</v>
      </c>
      <c r="F21" s="18">
        <v>12</v>
      </c>
      <c r="G21" s="18" t="str" cm="1">
        <f t="array" ref="G21">_xlfn.IFS(F21&lt;4,"Night",F21&lt;=6,"Early Morning",F21&lt;11,"Morning",F21&lt;12,"Afternoon",F21&lt;=16,"Afternoon",F21&lt;=20,"Evening",F21&gt;=21,"Night")</f>
        <v>Afternoon</v>
      </c>
      <c r="H21" s="18" t="b">
        <v>0</v>
      </c>
      <c r="I21" s="18">
        <v>6</v>
      </c>
      <c r="J21" s="18" t="str" cm="1">
        <f t="array" ref="J21">_xlfn.IFS(I21=1,"Monday",I21=2,"Tuesday",I21=3,"Wednesday",I21=4,"Thursday",I21=5,"Friday",I21=6,"Saturday",I21=0,"Sunday")</f>
        <v>Saturday</v>
      </c>
      <c r="K21" s="18">
        <v>2</v>
      </c>
      <c r="L21" s="18">
        <v>0.2</v>
      </c>
      <c r="M21" s="27" t="str" cm="1">
        <f t="array" ref="M21">_xlfn.IFS(L21&lt;0.15,"Cold",L21&lt;0.25,"Mild",L21&lt;=0.32,"Warm",L21&gt;=0.33,"Hot")</f>
        <v>Mild</v>
      </c>
      <c r="N21" s="18">
        <v>0.19700000000000001</v>
      </c>
      <c r="O21" s="18">
        <v>0.59</v>
      </c>
      <c r="P21" s="18" t="str" cm="1">
        <f t="array" ref="P21">_xlfn.IFS(O21&gt;0.61, "High Humidity", O21&gt;=0.6, "Humid", O21&gt;0.4, "Less Humidity", TRUE, "Dry")</f>
        <v>Less Humidity</v>
      </c>
      <c r="Q21" s="18">
        <v>0.19400000000000001</v>
      </c>
      <c r="R21" s="18" t="str" cm="1">
        <f t="array" ref="R21">_xlfn.IFS(Q21&lt;=0.2,"Low Windspeed",Q21&lt;0.4,"Medium Windspeed",Q21&gt;=0.41,"High Windspeed")</f>
        <v>Low Windspeed</v>
      </c>
      <c r="S21" s="18">
        <v>12</v>
      </c>
      <c r="T21" s="18">
        <v>66</v>
      </c>
      <c r="U21" s="19">
        <v>78</v>
      </c>
      <c r="V21" s="18" t="str" cm="1">
        <f t="array" ref="V21">_xlfn.IFS(U21&lt;=70,"Low",U21&lt;=160,"Medium",U21&gt;=161,"High")</f>
        <v>Medium</v>
      </c>
    </row>
    <row r="22" spans="1:22" x14ac:dyDescent="0.25">
      <c r="A22" s="16">
        <v>631</v>
      </c>
      <c r="B22" s="17">
        <v>40572</v>
      </c>
      <c r="C22" s="18">
        <v>1</v>
      </c>
      <c r="D22" s="18">
        <v>0</v>
      </c>
      <c r="E22" s="18">
        <v>1</v>
      </c>
      <c r="F22" s="18">
        <v>13</v>
      </c>
      <c r="G22" s="18" t="str" cm="1">
        <f t="array" ref="G22">_xlfn.IFS(F22&lt;4,"Night",F22&lt;=6,"Early Morning",F22&lt;11,"Morning",F22&lt;12,"Afternoon",F22&lt;=16,"Afternoon",F22&lt;=20,"Evening",F22&gt;=21,"Night")</f>
        <v>Afternoon</v>
      </c>
      <c r="H22" s="18" t="b">
        <v>0</v>
      </c>
      <c r="I22" s="18">
        <v>6</v>
      </c>
      <c r="J22" s="18" t="str" cm="1">
        <f t="array" ref="J22">_xlfn.IFS(I22=1,"Monday",I22=2,"Tuesday",I22=3,"Wednesday",I22=4,"Thursday",I22=5,"Friday",I22=6,"Saturday",I22=0,"Sunday")</f>
        <v>Saturday</v>
      </c>
      <c r="K22" s="18">
        <v>2</v>
      </c>
      <c r="L22" s="18">
        <v>0.22</v>
      </c>
      <c r="M22" s="27" t="str" cm="1">
        <f t="array" ref="M22">_xlfn.IFS(L22&lt;0.15,"Cold",L22&lt;0.25,"Mild",L22&lt;=0.32,"Warm",L22&gt;=0.33,"Hot")</f>
        <v>Mild</v>
      </c>
      <c r="N22" s="18">
        <v>0.2273</v>
      </c>
      <c r="O22" s="18">
        <v>0.55000000000000004</v>
      </c>
      <c r="P22" s="18" t="str" cm="1">
        <f t="array" ref="P22">_xlfn.IFS(O22&gt;0.61, "High Humidity", O22&gt;=0.6, "Humid", O22&gt;0.4, "Less Humidity", TRUE, "Dry")</f>
        <v>Less Humidity</v>
      </c>
      <c r="Q22" s="18">
        <v>0.16420000000000001</v>
      </c>
      <c r="R22" s="18" t="str" cm="1">
        <f t="array" ref="R22">_xlfn.IFS(Q22&lt;=0.2,"Low Windspeed",Q22&lt;0.4,"Medium Windspeed",Q22&gt;=0.41,"High Windspeed")</f>
        <v>Low Windspeed</v>
      </c>
      <c r="S22" s="18">
        <v>9</v>
      </c>
      <c r="T22" s="18">
        <v>56</v>
      </c>
      <c r="U22" s="19">
        <v>65</v>
      </c>
      <c r="V22" s="18" t="str" cm="1">
        <f t="array" ref="V22">_xlfn.IFS(U22&lt;=70,"Low",U22&lt;=160,"Medium",U22&gt;=161,"High")</f>
        <v>Low</v>
      </c>
    </row>
    <row r="23" spans="1:22" x14ac:dyDescent="0.25">
      <c r="A23" s="16">
        <v>632</v>
      </c>
      <c r="B23" s="17">
        <v>40572</v>
      </c>
      <c r="C23" s="18">
        <v>1</v>
      </c>
      <c r="D23" s="18">
        <v>0</v>
      </c>
      <c r="E23" s="18">
        <v>1</v>
      </c>
      <c r="F23" s="18">
        <v>14</v>
      </c>
      <c r="G23" s="18" t="str" cm="1">
        <f t="array" ref="G23">_xlfn.IFS(F23&lt;4,"Night",F23&lt;=6,"Early Morning",F23&lt;11,"Morning",F23&lt;12,"Afternoon",F23&lt;=16,"Afternoon",F23&lt;=20,"Evening",F23&gt;=21,"Night")</f>
        <v>Afternoon</v>
      </c>
      <c r="H23" s="18" t="b">
        <v>0</v>
      </c>
      <c r="I23" s="18">
        <v>6</v>
      </c>
      <c r="J23" s="18" t="str" cm="1">
        <f t="array" ref="J23">_xlfn.IFS(I23=1,"Monday",I23=2,"Tuesday",I23=3,"Wednesday",I23=4,"Thursday",I23=5,"Friday",I23=6,"Saturday",I23=0,"Sunday")</f>
        <v>Saturday</v>
      </c>
      <c r="K23" s="18">
        <v>2</v>
      </c>
      <c r="L23" s="18">
        <v>0.22</v>
      </c>
      <c r="M23" s="27" t="str" cm="1">
        <f t="array" ref="M23">_xlfn.IFS(L23&lt;0.15,"Cold",L23&lt;0.25,"Mild",L23&lt;=0.32,"Warm",L23&gt;=0.33,"Hot")</f>
        <v>Mild</v>
      </c>
      <c r="N23" s="18">
        <v>0.2273</v>
      </c>
      <c r="O23" s="18">
        <v>0.6</v>
      </c>
      <c r="P23" s="18" t="str" cm="1">
        <f t="array" ref="P23">_xlfn.IFS(O23&gt;0.61, "High Humidity", O23&gt;=0.6, "Humid", O23&gt;0.4, "Less Humidity", TRUE, "Dry")</f>
        <v>Humid</v>
      </c>
      <c r="Q23" s="18">
        <v>0.1343</v>
      </c>
      <c r="R23" s="18" t="str" cm="1">
        <f t="array" ref="R23">_xlfn.IFS(Q23&lt;=0.2,"Low Windspeed",Q23&lt;0.4,"Medium Windspeed",Q23&gt;=0.41,"High Windspeed")</f>
        <v>Low Windspeed</v>
      </c>
      <c r="S23" s="18">
        <v>10</v>
      </c>
      <c r="T23" s="18">
        <v>89</v>
      </c>
      <c r="U23" s="19">
        <v>99</v>
      </c>
      <c r="V23" s="18" t="str" cm="1">
        <f t="array" ref="V23">_xlfn.IFS(U23&lt;=70,"Low",U23&lt;=160,"Medium",U23&gt;=161,"High")</f>
        <v>Medium</v>
      </c>
    </row>
    <row r="24" spans="1:22" x14ac:dyDescent="0.25">
      <c r="A24" s="16">
        <v>633</v>
      </c>
      <c r="B24" s="17">
        <v>40572</v>
      </c>
      <c r="C24" s="18">
        <v>1</v>
      </c>
      <c r="D24" s="18">
        <v>0</v>
      </c>
      <c r="E24" s="18">
        <v>1</v>
      </c>
      <c r="F24" s="18">
        <v>15</v>
      </c>
      <c r="G24" s="18" t="str" cm="1">
        <f t="array" ref="G24">_xlfn.IFS(F24&lt;4,"Night",F24&lt;=6,"Early Morning",F24&lt;11,"Morning",F24&lt;12,"Afternoon",F24&lt;=16,"Afternoon",F24&lt;=20,"Evening",F24&gt;=21,"Night")</f>
        <v>Afternoon</v>
      </c>
      <c r="H24" s="18" t="b">
        <v>0</v>
      </c>
      <c r="I24" s="18">
        <v>6</v>
      </c>
      <c r="J24" s="18" t="str" cm="1">
        <f t="array" ref="J24">_xlfn.IFS(I24=1,"Monday",I24=2,"Tuesday",I24=3,"Wednesday",I24=4,"Thursday",I24=5,"Friday",I24=6,"Saturday",I24=0,"Sunday")</f>
        <v>Saturday</v>
      </c>
      <c r="K24" s="18">
        <v>1</v>
      </c>
      <c r="L24" s="18">
        <v>0.22</v>
      </c>
      <c r="M24" s="27" t="str" cm="1">
        <f t="array" ref="M24">_xlfn.IFS(L24&lt;0.15,"Cold",L24&lt;0.25,"Mild",L24&lt;=0.32,"Warm",L24&gt;=0.33,"Hot")</f>
        <v>Mild</v>
      </c>
      <c r="N24" s="18">
        <v>0.21210000000000001</v>
      </c>
      <c r="O24" s="18">
        <v>0.69</v>
      </c>
      <c r="P24" s="18" t="str" cm="1">
        <f t="array" ref="P24">_xlfn.IFS(O24&gt;0.61, "High Humidity", O24&gt;=0.6, "Humid", O24&gt;0.4, "Less Humidity", TRUE, "Dry")</f>
        <v>High Humidity</v>
      </c>
      <c r="Q24" s="18">
        <v>0.25369999999999998</v>
      </c>
      <c r="R24" s="18" t="str" cm="1">
        <f t="array" ref="R24">_xlfn.IFS(Q24&lt;=0.2,"Low Windspeed",Q24&lt;0.4,"Medium Windspeed",Q24&gt;=0.41,"High Windspeed")</f>
        <v>Medium Windspeed</v>
      </c>
      <c r="S24" s="18">
        <v>22</v>
      </c>
      <c r="T24" s="18">
        <v>98</v>
      </c>
      <c r="U24" s="19">
        <v>120</v>
      </c>
      <c r="V24" s="18" t="str" cm="1">
        <f t="array" ref="V24">_xlfn.IFS(U24&lt;=70,"Low",U24&lt;=160,"Medium",U24&gt;=161,"High")</f>
        <v>Medium</v>
      </c>
    </row>
    <row r="25" spans="1:22" x14ac:dyDescent="0.25">
      <c r="A25" s="16">
        <v>634</v>
      </c>
      <c r="B25" s="17">
        <v>40572</v>
      </c>
      <c r="C25" s="18">
        <v>1</v>
      </c>
      <c r="D25" s="18">
        <v>0</v>
      </c>
      <c r="E25" s="18">
        <v>1</v>
      </c>
      <c r="F25" s="18">
        <v>16</v>
      </c>
      <c r="G25" s="18" t="str" cm="1">
        <f t="array" ref="G25">_xlfn.IFS(F25&lt;4,"Night",F25&lt;=6,"Early Morning",F25&lt;11,"Morning",F25&lt;12,"Afternoon",F25&lt;=16,"Afternoon",F25&lt;=20,"Evening",F25&gt;=21,"Night")</f>
        <v>Afternoon</v>
      </c>
      <c r="H25" s="18" t="b">
        <v>0</v>
      </c>
      <c r="I25" s="18">
        <v>6</v>
      </c>
      <c r="J25" s="18" t="str" cm="1">
        <f t="array" ref="J25">_xlfn.IFS(I25=1,"Monday",I25=2,"Tuesday",I25=3,"Wednesday",I25=4,"Thursday",I25=5,"Friday",I25=6,"Saturday",I25=0,"Sunday")</f>
        <v>Saturday</v>
      </c>
      <c r="K25" s="18">
        <v>1</v>
      </c>
      <c r="L25" s="18">
        <v>0.24</v>
      </c>
      <c r="M25" s="27" t="str" cm="1">
        <f t="array" ref="M25">_xlfn.IFS(L25&lt;0.15,"Cold",L25&lt;0.25,"Mild",L25&lt;=0.32,"Warm",L25&gt;=0.33,"Hot")</f>
        <v>Mild</v>
      </c>
      <c r="N25" s="18">
        <v>0.2424</v>
      </c>
      <c r="O25" s="18">
        <v>0.6</v>
      </c>
      <c r="P25" s="18" t="str" cm="1">
        <f t="array" ref="P25">_xlfn.IFS(O25&gt;0.61, "High Humidity", O25&gt;=0.6, "Humid", O25&gt;0.4, "Less Humidity", TRUE, "Dry")</f>
        <v>Humid</v>
      </c>
      <c r="Q25" s="18">
        <v>0.16420000000000001</v>
      </c>
      <c r="R25" s="18" t="str" cm="1">
        <f t="array" ref="R25">_xlfn.IFS(Q25&lt;=0.2,"Low Windspeed",Q25&lt;0.4,"Medium Windspeed",Q25&gt;=0.41,"High Windspeed")</f>
        <v>Low Windspeed</v>
      </c>
      <c r="S25" s="18">
        <v>19</v>
      </c>
      <c r="T25" s="18">
        <v>88</v>
      </c>
      <c r="U25" s="19">
        <v>107</v>
      </c>
      <c r="V25" s="18" t="str" cm="1">
        <f t="array" ref="V25">_xlfn.IFS(U25&lt;=70,"Low",U25&lt;=160,"Medium",U25&gt;=161,"High")</f>
        <v>Medium</v>
      </c>
    </row>
    <row r="26" spans="1:22" x14ac:dyDescent="0.25">
      <c r="A26" s="16">
        <v>635</v>
      </c>
      <c r="B26" s="17">
        <v>40572</v>
      </c>
      <c r="C26" s="18">
        <v>1</v>
      </c>
      <c r="D26" s="18">
        <v>0</v>
      </c>
      <c r="E26" s="18">
        <v>1</v>
      </c>
      <c r="F26" s="18">
        <v>17</v>
      </c>
      <c r="G26" s="18" t="str" cm="1">
        <f t="array" ref="G26">_xlfn.IFS(F26&lt;4,"Night",F26&lt;=6,"Early Morning",F26&lt;11,"Morning",F26&lt;12,"Afternoon",F26&lt;=16,"Afternoon",F26&lt;=20,"Evening",F26&gt;=21,"Night")</f>
        <v>Evening</v>
      </c>
      <c r="H26" s="18" t="b">
        <v>0</v>
      </c>
      <c r="I26" s="18">
        <v>6</v>
      </c>
      <c r="J26" s="18" t="str" cm="1">
        <f t="array" ref="J26">_xlfn.IFS(I26=1,"Monday",I26=2,"Tuesday",I26=3,"Wednesday",I26=4,"Thursday",I26=5,"Friday",I26=6,"Saturday",I26=0,"Sunday")</f>
        <v>Saturday</v>
      </c>
      <c r="K26" s="18">
        <v>1</v>
      </c>
      <c r="L26" s="18">
        <v>0.24</v>
      </c>
      <c r="M26" s="27" t="str" cm="1">
        <f t="array" ref="M26">_xlfn.IFS(L26&lt;0.15,"Cold",L26&lt;0.25,"Mild",L26&lt;=0.32,"Warm",L26&gt;=0.33,"Hot")</f>
        <v>Mild</v>
      </c>
      <c r="N26" s="18">
        <v>0.28789999999999999</v>
      </c>
      <c r="O26" s="18">
        <v>0.6</v>
      </c>
      <c r="P26" s="18" t="str" cm="1">
        <f t="array" ref="P26">_xlfn.IFS(O26&gt;0.61, "High Humidity", O26&gt;=0.6, "Humid", O26&gt;0.4, "Less Humidity", TRUE, "Dry")</f>
        <v>Humid</v>
      </c>
      <c r="Q26" s="18">
        <v>0</v>
      </c>
      <c r="R26" s="18" t="str" cm="1">
        <f t="array" ref="R26">_xlfn.IFS(Q26&lt;=0.2,"Low Windspeed",Q26&lt;0.4,"Medium Windspeed",Q26&gt;=0.41,"High Windspeed")</f>
        <v>Low Windspeed</v>
      </c>
      <c r="S26" s="18">
        <v>9</v>
      </c>
      <c r="T26" s="18">
        <v>82</v>
      </c>
      <c r="U26" s="19">
        <v>91</v>
      </c>
      <c r="V26" s="18" t="str" cm="1">
        <f t="array" ref="V26">_xlfn.IFS(U26&lt;=70,"Low",U26&lt;=160,"Medium",U26&gt;=161,"High")</f>
        <v>Medium</v>
      </c>
    </row>
    <row r="27" spans="1:22" x14ac:dyDescent="0.25">
      <c r="A27" s="16">
        <v>636</v>
      </c>
      <c r="B27" s="17">
        <v>40572</v>
      </c>
      <c r="C27" s="18">
        <v>1</v>
      </c>
      <c r="D27" s="18">
        <v>0</v>
      </c>
      <c r="E27" s="18">
        <v>1</v>
      </c>
      <c r="F27" s="18">
        <v>18</v>
      </c>
      <c r="G27" s="18" t="str" cm="1">
        <f t="array" ref="G27">_xlfn.IFS(F27&lt;4,"Night",F27&lt;=6,"Early Morning",F27&lt;11,"Morning",F27&lt;12,"Afternoon",F27&lt;=16,"Afternoon",F27&lt;=20,"Evening",F27&gt;=21,"Night")</f>
        <v>Evening</v>
      </c>
      <c r="H27" s="18" t="b">
        <v>0</v>
      </c>
      <c r="I27" s="18">
        <v>6</v>
      </c>
      <c r="J27" s="18" t="str" cm="1">
        <f t="array" ref="J27">_xlfn.IFS(I27=1,"Monday",I27=2,"Tuesday",I27=3,"Wednesday",I27=4,"Thursday",I27=5,"Friday",I27=6,"Saturday",I27=0,"Sunday")</f>
        <v>Saturday</v>
      </c>
      <c r="K27" s="18">
        <v>1</v>
      </c>
      <c r="L27" s="18">
        <v>0.22</v>
      </c>
      <c r="M27" s="27" t="str" cm="1">
        <f t="array" ref="M27">_xlfn.IFS(L27&lt;0.15,"Cold",L27&lt;0.25,"Mild",L27&lt;=0.32,"Warm",L27&gt;=0.33,"Hot")</f>
        <v>Mild</v>
      </c>
      <c r="N27" s="18">
        <v>0.2273</v>
      </c>
      <c r="O27" s="18">
        <v>0.69</v>
      </c>
      <c r="P27" s="18" t="str" cm="1">
        <f t="array" ref="P27">_xlfn.IFS(O27&gt;0.61, "High Humidity", O27&gt;=0.6, "Humid", O27&gt;0.4, "Less Humidity", TRUE, "Dry")</f>
        <v>High Humidity</v>
      </c>
      <c r="Q27" s="18">
        <v>0.1343</v>
      </c>
      <c r="R27" s="18" t="str" cm="1">
        <f t="array" ref="R27">_xlfn.IFS(Q27&lt;=0.2,"Low Windspeed",Q27&lt;0.4,"Medium Windspeed",Q27&gt;=0.41,"High Windspeed")</f>
        <v>Low Windspeed</v>
      </c>
      <c r="S27" s="18">
        <v>9</v>
      </c>
      <c r="T27" s="18">
        <v>59</v>
      </c>
      <c r="U27" s="19">
        <v>68</v>
      </c>
      <c r="V27" s="18" t="str" cm="1">
        <f t="array" ref="V27">_xlfn.IFS(U27&lt;=70,"Low",U27&lt;=160,"Medium",U27&gt;=161,"High")</f>
        <v>Low</v>
      </c>
    </row>
    <row r="28" spans="1:22" x14ac:dyDescent="0.25">
      <c r="A28" s="16">
        <v>637</v>
      </c>
      <c r="B28" s="17">
        <v>40572</v>
      </c>
      <c r="C28" s="18">
        <v>1</v>
      </c>
      <c r="D28" s="18">
        <v>0</v>
      </c>
      <c r="E28" s="18">
        <v>1</v>
      </c>
      <c r="F28" s="18">
        <v>19</v>
      </c>
      <c r="G28" s="18" t="str" cm="1">
        <f t="array" ref="G28">_xlfn.IFS(F28&lt;4,"Night",F28&lt;=6,"Early Morning",F28&lt;11,"Morning",F28&lt;12,"Afternoon",F28&lt;=16,"Afternoon",F28&lt;=20,"Evening",F28&gt;=21,"Night")</f>
        <v>Evening</v>
      </c>
      <c r="H28" s="18" t="b">
        <v>0</v>
      </c>
      <c r="I28" s="18">
        <v>6</v>
      </c>
      <c r="J28" s="18" t="str" cm="1">
        <f t="array" ref="J28">_xlfn.IFS(I28=1,"Monday",I28=2,"Tuesday",I28=3,"Wednesday",I28=4,"Thursday",I28=5,"Friday",I28=6,"Saturday",I28=0,"Sunday")</f>
        <v>Saturday</v>
      </c>
      <c r="K28" s="18">
        <v>2</v>
      </c>
      <c r="L28" s="18">
        <v>0.22</v>
      </c>
      <c r="M28" s="27" t="str" cm="1">
        <f t="array" ref="M28">_xlfn.IFS(L28&lt;0.15,"Cold",L28&lt;0.25,"Mild",L28&lt;=0.32,"Warm",L28&gt;=0.33,"Hot")</f>
        <v>Mild</v>
      </c>
      <c r="N28" s="18">
        <v>0.21210000000000001</v>
      </c>
      <c r="O28" s="18">
        <v>0.69</v>
      </c>
      <c r="P28" s="18" t="str" cm="1">
        <f t="array" ref="P28">_xlfn.IFS(O28&gt;0.61, "High Humidity", O28&gt;=0.6, "Humid", O28&gt;0.4, "Less Humidity", TRUE, "Dry")</f>
        <v>High Humidity</v>
      </c>
      <c r="Q28" s="18">
        <v>0.25369999999999998</v>
      </c>
      <c r="R28" s="18" t="str" cm="1">
        <f t="array" ref="R28">_xlfn.IFS(Q28&lt;=0.2,"Low Windspeed",Q28&lt;0.4,"Medium Windspeed",Q28&gt;=0.41,"High Windspeed")</f>
        <v>Medium Windspeed</v>
      </c>
      <c r="S28" s="18">
        <v>6</v>
      </c>
      <c r="T28" s="18">
        <v>52</v>
      </c>
      <c r="U28" s="19">
        <v>58</v>
      </c>
      <c r="V28" s="18" t="str" cm="1">
        <f t="array" ref="V28">_xlfn.IFS(U28&lt;=70,"Low",U28&lt;=160,"Medium",U28&gt;=161,"High")</f>
        <v>Low</v>
      </c>
    </row>
    <row r="29" spans="1:22" x14ac:dyDescent="0.25">
      <c r="A29" s="16">
        <v>638</v>
      </c>
      <c r="B29" s="17">
        <v>40572</v>
      </c>
      <c r="C29" s="18">
        <v>1</v>
      </c>
      <c r="D29" s="18">
        <v>0</v>
      </c>
      <c r="E29" s="18">
        <v>1</v>
      </c>
      <c r="F29" s="18">
        <v>20</v>
      </c>
      <c r="G29" s="18" t="str" cm="1">
        <f t="array" ref="G29">_xlfn.IFS(F29&lt;4,"Night",F29&lt;=6,"Early Morning",F29&lt;11,"Morning",F29&lt;12,"Afternoon",F29&lt;=16,"Afternoon",F29&lt;=20,"Evening",F29&gt;=21,"Night")</f>
        <v>Evening</v>
      </c>
      <c r="H29" s="18" t="b">
        <v>0</v>
      </c>
      <c r="I29" s="18">
        <v>6</v>
      </c>
      <c r="J29" s="18" t="str" cm="1">
        <f t="array" ref="J29">_xlfn.IFS(I29=1,"Monday",I29=2,"Tuesday",I29=3,"Wednesday",I29=4,"Thursday",I29=5,"Friday",I29=6,"Saturday",I29=0,"Sunday")</f>
        <v>Saturday</v>
      </c>
      <c r="K29" s="18">
        <v>1</v>
      </c>
      <c r="L29" s="18">
        <v>0.18</v>
      </c>
      <c r="M29" s="27" t="str" cm="1">
        <f t="array" ref="M29">_xlfn.IFS(L29&lt;0.15,"Cold",L29&lt;0.25,"Mild",L29&lt;=0.32,"Warm",L29&gt;=0.33,"Hot")</f>
        <v>Mild</v>
      </c>
      <c r="N29" s="18">
        <v>0.21210000000000001</v>
      </c>
      <c r="O29" s="18">
        <v>0.74</v>
      </c>
      <c r="P29" s="18" t="str" cm="1">
        <f t="array" ref="P29">_xlfn.IFS(O29&gt;0.61, "High Humidity", O29&gt;=0.6, "Humid", O29&gt;0.4, "Less Humidity", TRUE, "Dry")</f>
        <v>High Humidity</v>
      </c>
      <c r="Q29" s="18">
        <v>8.9599999999999999E-2</v>
      </c>
      <c r="R29" s="18" t="str" cm="1">
        <f t="array" ref="R29">_xlfn.IFS(Q29&lt;=0.2,"Low Windspeed",Q29&lt;0.4,"Medium Windspeed",Q29&gt;=0.41,"High Windspeed")</f>
        <v>Low Windspeed</v>
      </c>
      <c r="S29" s="18">
        <v>1</v>
      </c>
      <c r="T29" s="18">
        <v>42</v>
      </c>
      <c r="U29" s="19">
        <v>43</v>
      </c>
      <c r="V29" s="18" t="str" cm="1">
        <f t="array" ref="V29">_xlfn.IFS(U29&lt;=70,"Low",U29&lt;=160,"Medium",U29&gt;=161,"High")</f>
        <v>Low</v>
      </c>
    </row>
    <row r="30" spans="1:22" x14ac:dyDescent="0.25">
      <c r="A30" s="16">
        <v>639</v>
      </c>
      <c r="B30" s="17">
        <v>40572</v>
      </c>
      <c r="C30" s="18">
        <v>1</v>
      </c>
      <c r="D30" s="18">
        <v>0</v>
      </c>
      <c r="E30" s="18">
        <v>1</v>
      </c>
      <c r="F30" s="18">
        <v>21</v>
      </c>
      <c r="G30" s="18" t="str" cm="1">
        <f t="array" ref="G30">_xlfn.IFS(F30&lt;4,"Night",F30&lt;=6,"Early Morning",F30&lt;11,"Morning",F30&lt;12,"Afternoon",F30&lt;=16,"Afternoon",F30&lt;=20,"Evening",F30&gt;=21,"Night")</f>
        <v>Night</v>
      </c>
      <c r="H30" s="18" t="b">
        <v>0</v>
      </c>
      <c r="I30" s="18">
        <v>6</v>
      </c>
      <c r="J30" s="18" t="str" cm="1">
        <f t="array" ref="J30">_xlfn.IFS(I30=1,"Monday",I30=2,"Tuesday",I30=3,"Wednesday",I30=4,"Thursday",I30=5,"Friday",I30=6,"Saturday",I30=0,"Sunday")</f>
        <v>Saturday</v>
      </c>
      <c r="K30" s="18">
        <v>1</v>
      </c>
      <c r="L30" s="18">
        <v>0.18</v>
      </c>
      <c r="M30" s="27" t="str" cm="1">
        <f t="array" ref="M30">_xlfn.IFS(L30&lt;0.15,"Cold",L30&lt;0.25,"Mild",L30&lt;=0.32,"Warm",L30&gt;=0.33,"Hot")</f>
        <v>Mild</v>
      </c>
      <c r="N30" s="18">
        <v>0.21210000000000001</v>
      </c>
      <c r="O30" s="18">
        <v>0.74</v>
      </c>
      <c r="P30" s="18" t="str" cm="1">
        <f t="array" ref="P30">_xlfn.IFS(O30&gt;0.61, "High Humidity", O30&gt;=0.6, "Humid", O30&gt;0.4, "Less Humidity", TRUE, "Dry")</f>
        <v>High Humidity</v>
      </c>
      <c r="Q30" s="18">
        <v>8.9599999999999999E-2</v>
      </c>
      <c r="R30" s="18" t="str" cm="1">
        <f t="array" ref="R30">_xlfn.IFS(Q30&lt;=0.2,"Low Windspeed",Q30&lt;0.4,"Medium Windspeed",Q30&gt;=0.41,"High Windspeed")</f>
        <v>Low Windspeed</v>
      </c>
      <c r="S30" s="18">
        <v>1</v>
      </c>
      <c r="T30" s="18">
        <v>35</v>
      </c>
      <c r="U30" s="19">
        <v>36</v>
      </c>
      <c r="V30" s="18" t="str" cm="1">
        <f t="array" ref="V30">_xlfn.IFS(U30&lt;=70,"Low",U30&lt;=160,"Medium",U30&gt;=161,"High")</f>
        <v>Low</v>
      </c>
    </row>
    <row r="31" spans="1:22" x14ac:dyDescent="0.25">
      <c r="A31" s="16">
        <v>640</v>
      </c>
      <c r="B31" s="17">
        <v>40572</v>
      </c>
      <c r="C31" s="18">
        <v>1</v>
      </c>
      <c r="D31" s="18">
        <v>0</v>
      </c>
      <c r="E31" s="18">
        <v>1</v>
      </c>
      <c r="F31" s="18">
        <v>22</v>
      </c>
      <c r="G31" s="18" t="str" cm="1">
        <f t="array" ref="G31">_xlfn.IFS(F31&lt;4,"Night",F31&lt;=6,"Early Morning",F31&lt;11,"Morning",F31&lt;12,"Afternoon",F31&lt;=16,"Afternoon",F31&lt;=20,"Evening",F31&gt;=21,"Night")</f>
        <v>Night</v>
      </c>
      <c r="H31" s="18" t="b">
        <v>0</v>
      </c>
      <c r="I31" s="18">
        <v>6</v>
      </c>
      <c r="J31" s="18" t="str" cm="1">
        <f t="array" ref="J31">_xlfn.IFS(I31=1,"Monday",I31=2,"Tuesday",I31=3,"Wednesday",I31=4,"Thursday",I31=5,"Friday",I31=6,"Saturday",I31=0,"Sunday")</f>
        <v>Saturday</v>
      </c>
      <c r="K31" s="18">
        <v>1</v>
      </c>
      <c r="L31" s="18">
        <v>0.16</v>
      </c>
      <c r="M31" s="27" t="str" cm="1">
        <f t="array" ref="M31">_xlfn.IFS(L31&lt;0.15,"Cold",L31&lt;0.25,"Mild",L31&lt;=0.32,"Warm",L31&gt;=0.33,"Hot")</f>
        <v>Mild</v>
      </c>
      <c r="N31" s="18">
        <v>0.19700000000000001</v>
      </c>
      <c r="O31" s="18">
        <v>0.8</v>
      </c>
      <c r="P31" s="18" t="str" cm="1">
        <f t="array" ref="P31">_xlfn.IFS(O31&gt;0.61, "High Humidity", O31&gt;=0.6, "Humid", O31&gt;0.4, "Less Humidity", TRUE, "Dry")</f>
        <v>High Humidity</v>
      </c>
      <c r="Q31" s="18">
        <v>8.9599999999999999E-2</v>
      </c>
      <c r="R31" s="18" t="str" cm="1">
        <f t="array" ref="R31">_xlfn.IFS(Q31&lt;=0.2,"Low Windspeed",Q31&lt;0.4,"Medium Windspeed",Q31&gt;=0.41,"High Windspeed")</f>
        <v>Low Windspeed</v>
      </c>
      <c r="S31" s="18">
        <v>4</v>
      </c>
      <c r="T31" s="18">
        <v>28</v>
      </c>
      <c r="U31" s="19">
        <v>32</v>
      </c>
      <c r="V31" s="18" t="str" cm="1">
        <f t="array" ref="V31">_xlfn.IFS(U31&lt;=70,"Low",U31&lt;=160,"Medium",U31&gt;=161,"High")</f>
        <v>Low</v>
      </c>
    </row>
    <row r="32" spans="1:22" x14ac:dyDescent="0.25">
      <c r="A32" s="16">
        <v>641</v>
      </c>
      <c r="B32" s="17">
        <v>40572</v>
      </c>
      <c r="C32" s="18">
        <v>1</v>
      </c>
      <c r="D32" s="18">
        <v>0</v>
      </c>
      <c r="E32" s="18">
        <v>1</v>
      </c>
      <c r="F32" s="18">
        <v>23</v>
      </c>
      <c r="G32" s="18" t="str" cm="1">
        <f t="array" ref="G32">_xlfn.IFS(F32&lt;4,"Night",F32&lt;=6,"Early Morning",F32&lt;11,"Morning",F32&lt;12,"Afternoon",F32&lt;=16,"Afternoon",F32&lt;=20,"Evening",F32&gt;=21,"Night")</f>
        <v>Night</v>
      </c>
      <c r="H32" s="18" t="b">
        <v>0</v>
      </c>
      <c r="I32" s="18">
        <v>6</v>
      </c>
      <c r="J32" s="18" t="str" cm="1">
        <f t="array" ref="J32">_xlfn.IFS(I32=1,"Monday",I32=2,"Tuesday",I32=3,"Wednesday",I32=4,"Thursday",I32=5,"Friday",I32=6,"Saturday",I32=0,"Sunday")</f>
        <v>Saturday</v>
      </c>
      <c r="K32" s="18">
        <v>1</v>
      </c>
      <c r="L32" s="18">
        <v>0.16</v>
      </c>
      <c r="M32" s="27" t="str" cm="1">
        <f t="array" ref="M32">_xlfn.IFS(L32&lt;0.15,"Cold",L32&lt;0.25,"Mild",L32&lt;=0.32,"Warm",L32&gt;=0.33,"Hot")</f>
        <v>Mild</v>
      </c>
      <c r="N32" s="18">
        <v>0.19700000000000001</v>
      </c>
      <c r="O32" s="18">
        <v>0.8</v>
      </c>
      <c r="P32" s="18" t="str" cm="1">
        <f t="array" ref="P32">_xlfn.IFS(O32&gt;0.61, "High Humidity", O32&gt;=0.6, "Humid", O32&gt;0.4, "Less Humidity", TRUE, "Dry")</f>
        <v>High Humidity</v>
      </c>
      <c r="Q32" s="18">
        <v>8.9599999999999999E-2</v>
      </c>
      <c r="R32" s="18" t="str" cm="1">
        <f t="array" ref="R32">_xlfn.IFS(Q32&lt;=0.2,"Low Windspeed",Q32&lt;0.4,"Medium Windspeed",Q32&gt;=0.41,"High Windspeed")</f>
        <v>Low Windspeed</v>
      </c>
      <c r="S32" s="18">
        <v>3</v>
      </c>
      <c r="T32" s="18">
        <v>30</v>
      </c>
      <c r="U32" s="19">
        <v>33</v>
      </c>
      <c r="V32" s="18" t="str" cm="1">
        <f t="array" ref="V32">_xlfn.IFS(U32&lt;=70,"Low",U32&lt;=160,"Medium",U32&gt;=161,"High")</f>
        <v>Low</v>
      </c>
    </row>
    <row r="33" spans="1:22" x14ac:dyDescent="0.25">
      <c r="A33" s="16">
        <v>642</v>
      </c>
      <c r="B33" s="17">
        <v>40573</v>
      </c>
      <c r="C33" s="18">
        <v>1</v>
      </c>
      <c r="D33" s="18">
        <v>0</v>
      </c>
      <c r="E33" s="18">
        <v>1</v>
      </c>
      <c r="F33" s="18">
        <v>0</v>
      </c>
      <c r="G33" s="18" t="str" cm="1">
        <f t="array" ref="G33">_xlfn.IFS(F33&lt;4,"Night",F33&lt;=6,"Early Morning",F33&lt;11,"Morning",F33&lt;12,"Afternoon",F33&lt;=16,"Afternoon",F33&lt;=20,"Evening",F33&gt;=21,"Night")</f>
        <v>Night</v>
      </c>
      <c r="H33" s="18" t="b">
        <v>0</v>
      </c>
      <c r="I33" s="18">
        <v>0</v>
      </c>
      <c r="J33" s="18" t="str" cm="1">
        <f t="array" ref="J33">_xlfn.IFS(I33=1,"Monday",I33=2,"Tuesday",I33=3,"Wednesday",I33=4,"Thursday",I33=5,"Friday",I33=6,"Saturday",I33=0,"Sunday")</f>
        <v>Sunday</v>
      </c>
      <c r="K33" s="18">
        <v>1</v>
      </c>
      <c r="L33" s="18">
        <v>0.16</v>
      </c>
      <c r="M33" s="27" t="str" cm="1">
        <f t="array" ref="M33">_xlfn.IFS(L33&lt;0.15,"Cold",L33&lt;0.25,"Mild",L33&lt;=0.32,"Warm",L33&gt;=0.33,"Hot")</f>
        <v>Mild</v>
      </c>
      <c r="N33" s="18">
        <v>0.18179999999999999</v>
      </c>
      <c r="O33" s="18">
        <v>0.8</v>
      </c>
      <c r="P33" s="18" t="str" cm="1">
        <f t="array" ref="P33">_xlfn.IFS(O33&gt;0.61, "High Humidity", O33&gt;=0.6, "Humid", O33&gt;0.4, "Less Humidity", TRUE, "Dry")</f>
        <v>High Humidity</v>
      </c>
      <c r="Q33" s="18">
        <v>0.1045</v>
      </c>
      <c r="R33" s="18" t="str" cm="1">
        <f t="array" ref="R33">_xlfn.IFS(Q33&lt;=0.2,"Low Windspeed",Q33&lt;0.4,"Medium Windspeed",Q33&gt;=0.41,"High Windspeed")</f>
        <v>Low Windspeed</v>
      </c>
      <c r="S33" s="18">
        <v>0</v>
      </c>
      <c r="T33" s="18">
        <v>33</v>
      </c>
      <c r="U33" s="19">
        <v>33</v>
      </c>
      <c r="V33" s="18" t="str" cm="1">
        <f t="array" ref="V33">_xlfn.IFS(U33&lt;=70,"Low",U33&lt;=160,"Medium",U33&gt;=161,"High")</f>
        <v>Low</v>
      </c>
    </row>
    <row r="34" spans="1:22" x14ac:dyDescent="0.25">
      <c r="A34" s="16">
        <v>643</v>
      </c>
      <c r="B34" s="17">
        <v>40573</v>
      </c>
      <c r="C34" s="18">
        <v>1</v>
      </c>
      <c r="D34" s="18">
        <v>0</v>
      </c>
      <c r="E34" s="18">
        <v>1</v>
      </c>
      <c r="F34" s="18">
        <v>1</v>
      </c>
      <c r="G34" s="18" t="str" cm="1">
        <f t="array" ref="G34">_xlfn.IFS(F34&lt;4,"Night",F34&lt;=6,"Early Morning",F34&lt;11,"Morning",F34&lt;12,"Afternoon",F34&lt;=16,"Afternoon",F34&lt;=20,"Evening",F34&gt;=21,"Night")</f>
        <v>Night</v>
      </c>
      <c r="H34" s="18" t="b">
        <v>0</v>
      </c>
      <c r="I34" s="18">
        <v>0</v>
      </c>
      <c r="J34" s="18" t="str" cm="1">
        <f t="array" ref="J34">_xlfn.IFS(I34=1,"Monday",I34=2,"Tuesday",I34=3,"Wednesday",I34=4,"Thursday",I34=5,"Friday",I34=6,"Saturday",I34=0,"Sunday")</f>
        <v>Sunday</v>
      </c>
      <c r="K34" s="18">
        <v>1</v>
      </c>
      <c r="L34" s="18">
        <v>0.14000000000000001</v>
      </c>
      <c r="M34" s="27" t="str" cm="1">
        <f t="array" ref="M34">_xlfn.IFS(L34&lt;0.15,"Cold",L34&lt;0.25,"Mild",L34&lt;=0.32,"Warm",L34&gt;=0.33,"Hot")</f>
        <v>Cold</v>
      </c>
      <c r="N34" s="18">
        <v>0.21210000000000001</v>
      </c>
      <c r="O34" s="18">
        <v>0.8</v>
      </c>
      <c r="P34" s="18" t="str" cm="1">
        <f t="array" ref="P34">_xlfn.IFS(O34&gt;0.61, "High Humidity", O34&gt;=0.6, "Humid", O34&gt;0.4, "Less Humidity", TRUE, "Dry")</f>
        <v>High Humidity</v>
      </c>
      <c r="Q34" s="18">
        <v>0</v>
      </c>
      <c r="R34" s="18" t="str" cm="1">
        <f t="array" ref="R34">_xlfn.IFS(Q34&lt;=0.2,"Low Windspeed",Q34&lt;0.4,"Medium Windspeed",Q34&gt;=0.41,"High Windspeed")</f>
        <v>Low Windspeed</v>
      </c>
      <c r="S34" s="18">
        <v>7</v>
      </c>
      <c r="T34" s="18">
        <v>22</v>
      </c>
      <c r="U34" s="19">
        <v>29</v>
      </c>
      <c r="V34" s="18" t="str" cm="1">
        <f t="array" ref="V34">_xlfn.IFS(U34&lt;=70,"Low",U34&lt;=160,"Medium",U34&gt;=161,"High")</f>
        <v>Low</v>
      </c>
    </row>
    <row r="35" spans="1:22" x14ac:dyDescent="0.25">
      <c r="A35" s="16">
        <v>644</v>
      </c>
      <c r="B35" s="17">
        <v>40573</v>
      </c>
      <c r="C35" s="18">
        <v>1</v>
      </c>
      <c r="D35" s="18">
        <v>0</v>
      </c>
      <c r="E35" s="18">
        <v>1</v>
      </c>
      <c r="F35" s="18">
        <v>2</v>
      </c>
      <c r="G35" s="18" t="str" cm="1">
        <f t="array" ref="G35">_xlfn.IFS(F35&lt;4,"Night",F35&lt;=6,"Early Morning",F35&lt;11,"Morning",F35&lt;12,"Afternoon",F35&lt;=16,"Afternoon",F35&lt;=20,"Evening",F35&gt;=21,"Night")</f>
        <v>Night</v>
      </c>
      <c r="H35" s="18" t="b">
        <v>0</v>
      </c>
      <c r="I35" s="18">
        <v>0</v>
      </c>
      <c r="J35" s="18" t="str" cm="1">
        <f t="array" ref="J35">_xlfn.IFS(I35=1,"Monday",I35=2,"Tuesday",I35=3,"Wednesday",I35=4,"Thursday",I35=5,"Friday",I35=6,"Saturday",I35=0,"Sunday")</f>
        <v>Sunday</v>
      </c>
      <c r="K35" s="18">
        <v>1</v>
      </c>
      <c r="L35" s="18">
        <v>0.16</v>
      </c>
      <c r="M35" s="27" t="str" cm="1">
        <f t="array" ref="M35">_xlfn.IFS(L35&lt;0.15,"Cold",L35&lt;0.25,"Mild",L35&lt;=0.32,"Warm",L35&gt;=0.33,"Hot")</f>
        <v>Mild</v>
      </c>
      <c r="N35" s="18">
        <v>0.2273</v>
      </c>
      <c r="O35" s="18">
        <v>0.8</v>
      </c>
      <c r="P35" s="18" t="str" cm="1">
        <f t="array" ref="P35">_xlfn.IFS(O35&gt;0.61, "High Humidity", O35&gt;=0.6, "Humid", O35&gt;0.4, "Less Humidity", TRUE, "Dry")</f>
        <v>High Humidity</v>
      </c>
      <c r="Q35" s="18">
        <v>0</v>
      </c>
      <c r="R35" s="18" t="str" cm="1">
        <f t="array" ref="R35">_xlfn.IFS(Q35&lt;=0.2,"Low Windspeed",Q35&lt;0.4,"Medium Windspeed",Q35&gt;=0.41,"High Windspeed")</f>
        <v>Low Windspeed</v>
      </c>
      <c r="S35" s="18">
        <v>1</v>
      </c>
      <c r="T35" s="18">
        <v>10</v>
      </c>
      <c r="U35" s="19">
        <v>11</v>
      </c>
      <c r="V35" s="18" t="str" cm="1">
        <f t="array" ref="V35">_xlfn.IFS(U35&lt;=70,"Low",U35&lt;=160,"Medium",U35&gt;=161,"High")</f>
        <v>Low</v>
      </c>
    </row>
    <row r="36" spans="1:22" x14ac:dyDescent="0.25">
      <c r="A36" s="16">
        <v>645</v>
      </c>
      <c r="B36" s="17">
        <v>40573</v>
      </c>
      <c r="C36" s="18">
        <v>1</v>
      </c>
      <c r="D36" s="18">
        <v>0</v>
      </c>
      <c r="E36" s="18">
        <v>1</v>
      </c>
      <c r="F36" s="18">
        <v>3</v>
      </c>
      <c r="G36" s="18" t="str" cm="1">
        <f t="array" ref="G36">_xlfn.IFS(F36&lt;4,"Night",F36&lt;=6,"Early Morning",F36&lt;11,"Morning",F36&lt;12,"Afternoon",F36&lt;=16,"Afternoon",F36&lt;=20,"Evening",F36&gt;=21,"Night")</f>
        <v>Night</v>
      </c>
      <c r="H36" s="18" t="b">
        <v>0</v>
      </c>
      <c r="I36" s="18">
        <v>0</v>
      </c>
      <c r="J36" s="18" t="str" cm="1">
        <f t="array" ref="J36">_xlfn.IFS(I36=1,"Monday",I36=2,"Tuesday",I36=3,"Wednesday",I36=4,"Thursday",I36=5,"Friday",I36=6,"Saturday",I36=0,"Sunday")</f>
        <v>Sunday</v>
      </c>
      <c r="K36" s="18">
        <v>1</v>
      </c>
      <c r="L36" s="18">
        <v>0.14000000000000001</v>
      </c>
      <c r="M36" s="27" t="str" cm="1">
        <f t="array" ref="M36">_xlfn.IFS(L36&lt;0.15,"Cold",L36&lt;0.25,"Mild",L36&lt;=0.32,"Warm",L36&gt;=0.33,"Hot")</f>
        <v>Cold</v>
      </c>
      <c r="N36" s="18">
        <v>0.21210000000000001</v>
      </c>
      <c r="O36" s="18">
        <v>0.93</v>
      </c>
      <c r="P36" s="18" t="str" cm="1">
        <f t="array" ref="P36">_xlfn.IFS(O36&gt;0.61, "High Humidity", O36&gt;=0.6, "Humid", O36&gt;0.4, "Less Humidity", TRUE, "Dry")</f>
        <v>High Humidity</v>
      </c>
      <c r="Q36" s="18">
        <v>0</v>
      </c>
      <c r="R36" s="18" t="str" cm="1">
        <f t="array" ref="R36">_xlfn.IFS(Q36&lt;=0.2,"Low Windspeed",Q36&lt;0.4,"Medium Windspeed",Q36&gt;=0.41,"High Windspeed")</f>
        <v>Low Windspeed</v>
      </c>
      <c r="S36" s="18">
        <v>1</v>
      </c>
      <c r="T36" s="18">
        <v>7</v>
      </c>
      <c r="U36" s="19">
        <v>8</v>
      </c>
      <c r="V36" s="18" t="str" cm="1">
        <f t="array" ref="V36">_xlfn.IFS(U36&lt;=70,"Low",U36&lt;=160,"Medium",U36&gt;=161,"High")</f>
        <v>Low</v>
      </c>
    </row>
    <row r="37" spans="1:22" x14ac:dyDescent="0.25">
      <c r="A37" s="16">
        <v>646</v>
      </c>
      <c r="B37" s="17">
        <v>40573</v>
      </c>
      <c r="C37" s="18">
        <v>1</v>
      </c>
      <c r="D37" s="18">
        <v>0</v>
      </c>
      <c r="E37" s="18">
        <v>1</v>
      </c>
      <c r="F37" s="18">
        <v>4</v>
      </c>
      <c r="G37" s="18" t="str" cm="1">
        <f t="array" ref="G37">_xlfn.IFS(F37&lt;4,"Night",F37&lt;=6,"Early Morning",F37&lt;11,"Morning",F37&lt;12,"Afternoon",F37&lt;=16,"Afternoon",F37&lt;=20,"Evening",F37&gt;=21,"Night")</f>
        <v>Early Morning</v>
      </c>
      <c r="H37" s="18" t="b">
        <v>0</v>
      </c>
      <c r="I37" s="18">
        <v>0</v>
      </c>
      <c r="J37" s="18" t="str" cm="1">
        <f t="array" ref="J37">_xlfn.IFS(I37=1,"Monday",I37=2,"Tuesday",I37=3,"Wednesday",I37=4,"Thursday",I37=5,"Friday",I37=6,"Saturday",I37=0,"Sunday")</f>
        <v>Sunday</v>
      </c>
      <c r="K37" s="18">
        <v>1</v>
      </c>
      <c r="L37" s="18">
        <v>0.14000000000000001</v>
      </c>
      <c r="M37" s="27" t="str" cm="1">
        <f t="array" ref="M37">_xlfn.IFS(L37&lt;0.15,"Cold",L37&lt;0.25,"Mild",L37&lt;=0.32,"Warm",L37&gt;=0.33,"Hot")</f>
        <v>Cold</v>
      </c>
      <c r="N37" s="18">
        <v>0.21210000000000001</v>
      </c>
      <c r="O37" s="18">
        <v>0.93</v>
      </c>
      <c r="P37" s="18" t="str" cm="1">
        <f t="array" ref="P37">_xlfn.IFS(O37&gt;0.61, "High Humidity", O37&gt;=0.6, "Humid", O37&gt;0.4, "Less Humidity", TRUE, "Dry")</f>
        <v>High Humidity</v>
      </c>
      <c r="Q37" s="18">
        <v>0</v>
      </c>
      <c r="R37" s="18" t="str" cm="1">
        <f t="array" ref="R37">_xlfn.IFS(Q37&lt;=0.2,"Low Windspeed",Q37&lt;0.4,"Medium Windspeed",Q37&gt;=0.41,"High Windspeed")</f>
        <v>Low Windspeed</v>
      </c>
      <c r="S37" s="18">
        <v>0</v>
      </c>
      <c r="T37" s="18">
        <v>1</v>
      </c>
      <c r="U37" s="19">
        <v>1</v>
      </c>
      <c r="V37" s="18" t="str" cm="1">
        <f t="array" ref="V37">_xlfn.IFS(U37&lt;=70,"Low",U37&lt;=160,"Medium",U37&gt;=161,"High")</f>
        <v>Low</v>
      </c>
    </row>
    <row r="38" spans="1:22" x14ac:dyDescent="0.25">
      <c r="A38" s="16">
        <v>647</v>
      </c>
      <c r="B38" s="17">
        <v>40573</v>
      </c>
      <c r="C38" s="18">
        <v>1</v>
      </c>
      <c r="D38" s="18">
        <v>0</v>
      </c>
      <c r="E38" s="18">
        <v>1</v>
      </c>
      <c r="F38" s="18">
        <v>5</v>
      </c>
      <c r="G38" s="18" t="str" cm="1">
        <f t="array" ref="G38">_xlfn.IFS(F38&lt;4,"Night",F38&lt;=6,"Early Morning",F38&lt;11,"Morning",F38&lt;12,"Afternoon",F38&lt;=16,"Afternoon",F38&lt;=20,"Evening",F38&gt;=21,"Night")</f>
        <v>Early Morning</v>
      </c>
      <c r="H38" s="18" t="b">
        <v>0</v>
      </c>
      <c r="I38" s="18">
        <v>0</v>
      </c>
      <c r="J38" s="18" t="str" cm="1">
        <f t="array" ref="J38">_xlfn.IFS(I38=1,"Monday",I38=2,"Tuesday",I38=3,"Wednesday",I38=4,"Thursday",I38=5,"Friday",I38=6,"Saturday",I38=0,"Sunday")</f>
        <v>Sunday</v>
      </c>
      <c r="K38" s="18">
        <v>1</v>
      </c>
      <c r="L38" s="18">
        <v>0.14000000000000001</v>
      </c>
      <c r="M38" s="27" t="str" cm="1">
        <f t="array" ref="M38">_xlfn.IFS(L38&lt;0.15,"Cold",L38&lt;0.25,"Mild",L38&lt;=0.32,"Warm",L38&gt;=0.33,"Hot")</f>
        <v>Cold</v>
      </c>
      <c r="N38" s="18">
        <v>0.21210000000000001</v>
      </c>
      <c r="O38" s="18">
        <v>0.86</v>
      </c>
      <c r="P38" s="18" t="str" cm="1">
        <f t="array" ref="P38">_xlfn.IFS(O38&gt;0.61, "High Humidity", O38&gt;=0.6, "Humid", O38&gt;0.4, "Less Humidity", TRUE, "Dry")</f>
        <v>High Humidity</v>
      </c>
      <c r="Q38" s="18">
        <v>0</v>
      </c>
      <c r="R38" s="18" t="str" cm="1">
        <f t="array" ref="R38">_xlfn.IFS(Q38&lt;=0.2,"Low Windspeed",Q38&lt;0.4,"Medium Windspeed",Q38&gt;=0.41,"High Windspeed")</f>
        <v>Low Windspeed</v>
      </c>
      <c r="S38" s="18">
        <v>0</v>
      </c>
      <c r="T38" s="18">
        <v>3</v>
      </c>
      <c r="U38" s="19">
        <v>3</v>
      </c>
      <c r="V38" s="18" t="str" cm="1">
        <f t="array" ref="V38">_xlfn.IFS(U38&lt;=70,"Low",U38&lt;=160,"Medium",U38&gt;=161,"High")</f>
        <v>Low</v>
      </c>
    </row>
    <row r="39" spans="1:22" x14ac:dyDescent="0.25">
      <c r="A39" s="16">
        <v>648</v>
      </c>
      <c r="B39" s="17">
        <v>40573</v>
      </c>
      <c r="C39" s="18">
        <v>1</v>
      </c>
      <c r="D39" s="18">
        <v>0</v>
      </c>
      <c r="E39" s="18">
        <v>1</v>
      </c>
      <c r="F39" s="18">
        <v>7</v>
      </c>
      <c r="G39" s="18" t="str" cm="1">
        <f t="array" ref="G39">_xlfn.IFS(F39&lt;4,"Night",F39&lt;=6,"Early Morning",F39&lt;11,"Morning",F39&lt;12,"Afternoon",F39&lt;=16,"Afternoon",F39&lt;=20,"Evening",F39&gt;=21,"Night")</f>
        <v>Morning</v>
      </c>
      <c r="H39" s="18" t="b">
        <v>0</v>
      </c>
      <c r="I39" s="18">
        <v>0</v>
      </c>
      <c r="J39" s="18" t="str" cm="1">
        <f t="array" ref="J39">_xlfn.IFS(I39=1,"Monday",I39=2,"Tuesday",I39=3,"Wednesday",I39=4,"Thursday",I39=5,"Friday",I39=6,"Saturday",I39=0,"Sunday")</f>
        <v>Sunday</v>
      </c>
      <c r="K39" s="18">
        <v>1</v>
      </c>
      <c r="L39" s="18">
        <v>0.14000000000000001</v>
      </c>
      <c r="M39" s="27" t="str" cm="1">
        <f t="array" ref="M39">_xlfn.IFS(L39&lt;0.15,"Cold",L39&lt;0.25,"Mild",L39&lt;=0.32,"Warm",L39&gt;=0.33,"Hot")</f>
        <v>Cold</v>
      </c>
      <c r="N39" s="18">
        <v>0.21210000000000001</v>
      </c>
      <c r="O39" s="18">
        <v>0.86</v>
      </c>
      <c r="P39" s="18" t="str" cm="1">
        <f t="array" ref="P39">_xlfn.IFS(O39&gt;0.61, "High Humidity", O39&gt;=0.6, "Humid", O39&gt;0.4, "Less Humidity", TRUE, "Dry")</f>
        <v>High Humidity</v>
      </c>
      <c r="Q39" s="18">
        <v>0</v>
      </c>
      <c r="R39" s="18" t="str" cm="1">
        <f t="array" ref="R39">_xlfn.IFS(Q39&lt;=0.2,"Low Windspeed",Q39&lt;0.4,"Medium Windspeed",Q39&gt;=0.41,"High Windspeed")</f>
        <v>Low Windspeed</v>
      </c>
      <c r="S39" s="18">
        <v>0</v>
      </c>
      <c r="T39" s="18">
        <v>3</v>
      </c>
      <c r="U39" s="19">
        <v>3</v>
      </c>
      <c r="V39" s="18" t="str" cm="1">
        <f t="array" ref="V39">_xlfn.IFS(U39&lt;=70,"Low",U39&lt;=160,"Medium",U39&gt;=161,"High")</f>
        <v>Low</v>
      </c>
    </row>
    <row r="40" spans="1:22" x14ac:dyDescent="0.25">
      <c r="A40" s="16">
        <v>649</v>
      </c>
      <c r="B40" s="17">
        <v>40573</v>
      </c>
      <c r="C40" s="18">
        <v>1</v>
      </c>
      <c r="D40" s="18">
        <v>0</v>
      </c>
      <c r="E40" s="18">
        <v>1</v>
      </c>
      <c r="F40" s="18">
        <v>8</v>
      </c>
      <c r="G40" s="18" t="str" cm="1">
        <f t="array" ref="G40">_xlfn.IFS(F40&lt;4,"Night",F40&lt;=6,"Early Morning",F40&lt;11,"Morning",F40&lt;12,"Afternoon",F40&lt;=16,"Afternoon",F40&lt;=20,"Evening",F40&gt;=21,"Night")</f>
        <v>Morning</v>
      </c>
      <c r="H40" s="18" t="b">
        <v>0</v>
      </c>
      <c r="I40" s="18">
        <v>0</v>
      </c>
      <c r="J40" s="18" t="str" cm="1">
        <f t="array" ref="J40">_xlfn.IFS(I40=1,"Monday",I40=2,"Tuesday",I40=3,"Wednesday",I40=4,"Thursday",I40=5,"Friday",I40=6,"Saturday",I40=0,"Sunday")</f>
        <v>Sunday</v>
      </c>
      <c r="K40" s="18">
        <v>2</v>
      </c>
      <c r="L40" s="18">
        <v>0.14000000000000001</v>
      </c>
      <c r="M40" s="27" t="str" cm="1">
        <f t="array" ref="M40">_xlfn.IFS(L40&lt;0.15,"Cold",L40&lt;0.25,"Mild",L40&lt;=0.32,"Warm",L40&gt;=0.33,"Hot")</f>
        <v>Cold</v>
      </c>
      <c r="N40" s="18">
        <v>0.21210000000000001</v>
      </c>
      <c r="O40" s="18">
        <v>0.86</v>
      </c>
      <c r="P40" s="18" t="str" cm="1">
        <f t="array" ref="P40">_xlfn.IFS(O40&gt;0.61, "High Humidity", O40&gt;=0.6, "Humid", O40&gt;0.4, "Less Humidity", TRUE, "Dry")</f>
        <v>High Humidity</v>
      </c>
      <c r="Q40" s="18">
        <v>0</v>
      </c>
      <c r="R40" s="18" t="str" cm="1">
        <f t="array" ref="R40">_xlfn.IFS(Q40&lt;=0.2,"Low Windspeed",Q40&lt;0.4,"Medium Windspeed",Q40&gt;=0.41,"High Windspeed")</f>
        <v>Low Windspeed</v>
      </c>
      <c r="S40" s="18">
        <v>1</v>
      </c>
      <c r="T40" s="18">
        <v>11</v>
      </c>
      <c r="U40" s="19">
        <v>12</v>
      </c>
      <c r="V40" s="18" t="str" cm="1">
        <f t="array" ref="V40">_xlfn.IFS(U40&lt;=70,"Low",U40&lt;=160,"Medium",U40&gt;=161,"High")</f>
        <v>Low</v>
      </c>
    </row>
    <row r="41" spans="1:22" x14ac:dyDescent="0.25">
      <c r="A41" s="16">
        <v>650</v>
      </c>
      <c r="B41" s="17">
        <v>40573</v>
      </c>
      <c r="C41" s="18">
        <v>1</v>
      </c>
      <c r="D41" s="18">
        <v>0</v>
      </c>
      <c r="E41" s="18">
        <v>1</v>
      </c>
      <c r="F41" s="18">
        <v>9</v>
      </c>
      <c r="G41" s="18" t="str" cm="1">
        <f t="array" ref="G41">_xlfn.IFS(F41&lt;4,"Night",F41&lt;=6,"Early Morning",F41&lt;11,"Morning",F41&lt;12,"Afternoon",F41&lt;=16,"Afternoon",F41&lt;=20,"Evening",F41&gt;=21,"Night")</f>
        <v>Morning</v>
      </c>
      <c r="H41" s="18" t="b">
        <v>0</v>
      </c>
      <c r="I41" s="18">
        <v>0</v>
      </c>
      <c r="J41" s="18" t="str" cm="1">
        <f t="array" ref="J41">_xlfn.IFS(I41=1,"Monday",I41=2,"Tuesday",I41=3,"Wednesday",I41=4,"Thursday",I41=5,"Friday",I41=6,"Saturday",I41=0,"Sunday")</f>
        <v>Sunday</v>
      </c>
      <c r="K41" s="18">
        <v>2</v>
      </c>
      <c r="L41" s="18">
        <v>0.16</v>
      </c>
      <c r="M41" s="27" t="str" cm="1">
        <f t="array" ref="M41">_xlfn.IFS(L41&lt;0.15,"Cold",L41&lt;0.25,"Mild",L41&lt;=0.32,"Warm",L41&gt;=0.33,"Hot")</f>
        <v>Mild</v>
      </c>
      <c r="N41" s="18">
        <v>0.2273</v>
      </c>
      <c r="O41" s="18">
        <v>0.8</v>
      </c>
      <c r="P41" s="18" t="str" cm="1">
        <f t="array" ref="P41">_xlfn.IFS(O41&gt;0.61, "High Humidity", O41&gt;=0.6, "Humid", O41&gt;0.4, "Less Humidity", TRUE, "Dry")</f>
        <v>High Humidity</v>
      </c>
      <c r="Q41" s="18">
        <v>0</v>
      </c>
      <c r="R41" s="18" t="str" cm="1">
        <f t="array" ref="R41">_xlfn.IFS(Q41&lt;=0.2,"Low Windspeed",Q41&lt;0.4,"Medium Windspeed",Q41&gt;=0.41,"High Windspeed")</f>
        <v>Low Windspeed</v>
      </c>
      <c r="S41" s="18">
        <v>4</v>
      </c>
      <c r="T41" s="18">
        <v>34</v>
      </c>
      <c r="U41" s="19">
        <v>38</v>
      </c>
      <c r="V41" s="18" t="str" cm="1">
        <f t="array" ref="V41">_xlfn.IFS(U41&lt;=70,"Low",U41&lt;=160,"Medium",U41&gt;=161,"High")</f>
        <v>Low</v>
      </c>
    </row>
    <row r="42" spans="1:22" x14ac:dyDescent="0.25">
      <c r="A42" s="16">
        <v>651</v>
      </c>
      <c r="B42" s="17">
        <v>40573</v>
      </c>
      <c r="C42" s="18">
        <v>1</v>
      </c>
      <c r="D42" s="18">
        <v>0</v>
      </c>
      <c r="E42" s="18">
        <v>1</v>
      </c>
      <c r="F42" s="18">
        <v>10</v>
      </c>
      <c r="G42" s="18" t="str" cm="1">
        <f t="array" ref="G42">_xlfn.IFS(F42&lt;4,"Night",F42&lt;=6,"Early Morning",F42&lt;11,"Morning",F42&lt;12,"Afternoon",F42&lt;=16,"Afternoon",F42&lt;=20,"Evening",F42&gt;=21,"Night")</f>
        <v>Morning</v>
      </c>
      <c r="H42" s="18" t="b">
        <v>0</v>
      </c>
      <c r="I42" s="18">
        <v>0</v>
      </c>
      <c r="J42" s="18" t="str" cm="1">
        <f t="array" ref="J42">_xlfn.IFS(I42=1,"Monday",I42=2,"Tuesday",I42=3,"Wednesday",I42=4,"Thursday",I42=5,"Friday",I42=6,"Saturday",I42=0,"Sunday")</f>
        <v>Sunday</v>
      </c>
      <c r="K42" s="18">
        <v>2</v>
      </c>
      <c r="L42" s="18">
        <v>0.18</v>
      </c>
      <c r="M42" s="27" t="str" cm="1">
        <f t="array" ref="M42">_xlfn.IFS(L42&lt;0.15,"Cold",L42&lt;0.25,"Mild",L42&lt;=0.32,"Warm",L42&gt;=0.33,"Hot")</f>
        <v>Mild</v>
      </c>
      <c r="N42" s="18">
        <v>0.2424</v>
      </c>
      <c r="O42" s="18">
        <v>0.8</v>
      </c>
      <c r="P42" s="18" t="str" cm="1">
        <f t="array" ref="P42">_xlfn.IFS(O42&gt;0.61, "High Humidity", O42&gt;=0.6, "Humid", O42&gt;0.4, "Less Humidity", TRUE, "Dry")</f>
        <v>High Humidity</v>
      </c>
      <c r="Q42" s="18">
        <v>0</v>
      </c>
      <c r="R42" s="18" t="str" cm="1">
        <f t="array" ref="R42">_xlfn.IFS(Q42&lt;=0.2,"Low Windspeed",Q42&lt;0.4,"Medium Windspeed",Q42&gt;=0.41,"High Windspeed")</f>
        <v>Low Windspeed</v>
      </c>
      <c r="S42" s="18">
        <v>7</v>
      </c>
      <c r="T42" s="18">
        <v>57</v>
      </c>
      <c r="U42" s="19">
        <v>64</v>
      </c>
      <c r="V42" s="18" t="str" cm="1">
        <f t="array" ref="V42">_xlfn.IFS(U42&lt;=70,"Low",U42&lt;=160,"Medium",U42&gt;=161,"High")</f>
        <v>Low</v>
      </c>
    </row>
    <row r="43" spans="1:22" x14ac:dyDescent="0.25">
      <c r="A43" s="16">
        <v>652</v>
      </c>
      <c r="B43" s="17">
        <v>40573</v>
      </c>
      <c r="C43" s="18">
        <v>1</v>
      </c>
      <c r="D43" s="18">
        <v>0</v>
      </c>
      <c r="E43" s="18">
        <v>1</v>
      </c>
      <c r="F43" s="18">
        <v>11</v>
      </c>
      <c r="G43" s="18" t="str" cm="1">
        <f t="array" ref="G43">_xlfn.IFS(F43&lt;4,"Night",F43&lt;=6,"Early Morning",F43&lt;11,"Morning",F43&lt;12,"Afternoon",F43&lt;=16,"Afternoon",F43&lt;=20,"Evening",F43&gt;=21,"Night")</f>
        <v>Afternoon</v>
      </c>
      <c r="H43" s="18" t="b">
        <v>0</v>
      </c>
      <c r="I43" s="18">
        <v>0</v>
      </c>
      <c r="J43" s="18" t="str" cm="1">
        <f t="array" ref="J43">_xlfn.IFS(I43=1,"Monday",I43=2,"Tuesday",I43=3,"Wednesday",I43=4,"Thursday",I43=5,"Friday",I43=6,"Saturday",I43=0,"Sunday")</f>
        <v>Sunday</v>
      </c>
      <c r="K43" s="18">
        <v>1</v>
      </c>
      <c r="L43" s="18">
        <v>0.22</v>
      </c>
      <c r="M43" s="27" t="str" cm="1">
        <f t="array" ref="M43">_xlfn.IFS(L43&lt;0.15,"Cold",L43&lt;0.25,"Mild",L43&lt;=0.32,"Warm",L43&gt;=0.33,"Hot")</f>
        <v>Mild</v>
      </c>
      <c r="N43" s="18">
        <v>0.2727</v>
      </c>
      <c r="O43" s="18">
        <v>0.75</v>
      </c>
      <c r="P43" s="18" t="str" cm="1">
        <f t="array" ref="P43">_xlfn.IFS(O43&gt;0.61, "High Humidity", O43&gt;=0.6, "Humid", O43&gt;0.4, "Less Humidity", TRUE, "Dry")</f>
        <v>High Humidity</v>
      </c>
      <c r="Q43" s="18">
        <v>0</v>
      </c>
      <c r="R43" s="18" t="str" cm="1">
        <f t="array" ref="R43">_xlfn.IFS(Q43&lt;=0.2,"Low Windspeed",Q43&lt;0.4,"Medium Windspeed",Q43&gt;=0.41,"High Windspeed")</f>
        <v>Low Windspeed</v>
      </c>
      <c r="S43" s="18">
        <v>9</v>
      </c>
      <c r="T43" s="18">
        <v>50</v>
      </c>
      <c r="U43" s="19">
        <v>59</v>
      </c>
      <c r="V43" s="18" t="str" cm="1">
        <f t="array" ref="V43">_xlfn.IFS(U43&lt;=70,"Low",U43&lt;=160,"Medium",U43&gt;=161,"High")</f>
        <v>Low</v>
      </c>
    </row>
    <row r="44" spans="1:22" x14ac:dyDescent="0.25">
      <c r="A44" s="16">
        <v>653</v>
      </c>
      <c r="B44" s="17">
        <v>40573</v>
      </c>
      <c r="C44" s="18">
        <v>1</v>
      </c>
      <c r="D44" s="18">
        <v>0</v>
      </c>
      <c r="E44" s="18">
        <v>1</v>
      </c>
      <c r="F44" s="18">
        <v>12</v>
      </c>
      <c r="G44" s="18" t="str" cm="1">
        <f t="array" ref="G44">_xlfn.IFS(F44&lt;4,"Night",F44&lt;=6,"Early Morning",F44&lt;11,"Morning",F44&lt;12,"Afternoon",F44&lt;=16,"Afternoon",F44&lt;=20,"Evening",F44&gt;=21,"Night")</f>
        <v>Afternoon</v>
      </c>
      <c r="H44" s="18" t="b">
        <v>0</v>
      </c>
      <c r="I44" s="18">
        <v>0</v>
      </c>
      <c r="J44" s="18" t="str" cm="1">
        <f t="array" ref="J44">_xlfn.IFS(I44=1,"Monday",I44=2,"Tuesday",I44=3,"Wednesday",I44=4,"Thursday",I44=5,"Friday",I44=6,"Saturday",I44=0,"Sunday")</f>
        <v>Sunday</v>
      </c>
      <c r="K44" s="18">
        <v>1</v>
      </c>
      <c r="L44" s="18">
        <v>0.3</v>
      </c>
      <c r="M44" s="27" t="str" cm="1">
        <f t="array" ref="M44">_xlfn.IFS(L44&lt;0.15,"Cold",L44&lt;0.25,"Mild",L44&lt;=0.32,"Warm",L44&gt;=0.33,"Hot")</f>
        <v>Warm</v>
      </c>
      <c r="N44" s="18">
        <v>0.31819999999999998</v>
      </c>
      <c r="O44" s="18">
        <v>0.52</v>
      </c>
      <c r="P44" s="18" t="str" cm="1">
        <f t="array" ref="P44">_xlfn.IFS(O44&gt;0.61, "High Humidity", O44&gt;=0.6, "Humid", O44&gt;0.4, "Less Humidity", TRUE, "Dry")</f>
        <v>Less Humidity</v>
      </c>
      <c r="Q44" s="18">
        <v>0.1045</v>
      </c>
      <c r="R44" s="18" t="str" cm="1">
        <f t="array" ref="R44">_xlfn.IFS(Q44&lt;=0.2,"Low Windspeed",Q44&lt;0.4,"Medium Windspeed",Q44&gt;=0.41,"High Windspeed")</f>
        <v>Low Windspeed</v>
      </c>
      <c r="S44" s="18">
        <v>10</v>
      </c>
      <c r="T44" s="18">
        <v>87</v>
      </c>
      <c r="U44" s="19">
        <v>97</v>
      </c>
      <c r="V44" s="18" t="str" cm="1">
        <f t="array" ref="V44">_xlfn.IFS(U44&lt;=70,"Low",U44&lt;=160,"Medium",U44&gt;=161,"High")</f>
        <v>Medium</v>
      </c>
    </row>
    <row r="45" spans="1:22" x14ac:dyDescent="0.25">
      <c r="A45" s="16">
        <v>654</v>
      </c>
      <c r="B45" s="17">
        <v>40573</v>
      </c>
      <c r="C45" s="18">
        <v>1</v>
      </c>
      <c r="D45" s="18">
        <v>0</v>
      </c>
      <c r="E45" s="18">
        <v>1</v>
      </c>
      <c r="F45" s="18">
        <v>13</v>
      </c>
      <c r="G45" s="18" t="str" cm="1">
        <f t="array" ref="G45">_xlfn.IFS(F45&lt;4,"Night",F45&lt;=6,"Early Morning",F45&lt;11,"Morning",F45&lt;12,"Afternoon",F45&lt;=16,"Afternoon",F45&lt;=20,"Evening",F45&gt;=21,"Night")</f>
        <v>Afternoon</v>
      </c>
      <c r="H45" s="18" t="b">
        <v>0</v>
      </c>
      <c r="I45" s="18">
        <v>0</v>
      </c>
      <c r="J45" s="18" t="str" cm="1">
        <f t="array" ref="J45">_xlfn.IFS(I45=1,"Monday",I45=2,"Tuesday",I45=3,"Wednesday",I45=4,"Thursday",I45=5,"Friday",I45=6,"Saturday",I45=0,"Sunday")</f>
        <v>Sunday</v>
      </c>
      <c r="K45" s="18">
        <v>1</v>
      </c>
      <c r="L45" s="18">
        <v>0.28000000000000003</v>
      </c>
      <c r="M45" s="27" t="str" cm="1">
        <f t="array" ref="M45">_xlfn.IFS(L45&lt;0.15,"Cold",L45&lt;0.25,"Mild",L45&lt;=0.32,"Warm",L45&gt;=0.33,"Hot")</f>
        <v>Warm</v>
      </c>
      <c r="N45" s="18">
        <v>0.28789999999999999</v>
      </c>
      <c r="O45" s="18">
        <v>0.61</v>
      </c>
      <c r="P45" s="18" t="str" cm="1">
        <f t="array" ref="P45">_xlfn.IFS(O45&gt;0.61, "High Humidity", O45&gt;=0.6, "Humid", O45&gt;0.4, "Less Humidity", TRUE, "Dry")</f>
        <v>Humid</v>
      </c>
      <c r="Q45" s="18">
        <v>0.1045</v>
      </c>
      <c r="R45" s="18" t="str" cm="1">
        <f t="array" ref="R45">_xlfn.IFS(Q45&lt;=0.2,"Low Windspeed",Q45&lt;0.4,"Medium Windspeed",Q45&gt;=0.41,"High Windspeed")</f>
        <v>Low Windspeed</v>
      </c>
      <c r="S45" s="18">
        <v>13</v>
      </c>
      <c r="T45" s="18">
        <v>71</v>
      </c>
      <c r="U45" s="19">
        <v>84</v>
      </c>
      <c r="V45" s="18" t="str" cm="1">
        <f t="array" ref="V45">_xlfn.IFS(U45&lt;=70,"Low",U45&lt;=160,"Medium",U45&gt;=161,"High")</f>
        <v>Medium</v>
      </c>
    </row>
    <row r="46" spans="1:22" x14ac:dyDescent="0.25">
      <c r="A46" s="16">
        <v>655</v>
      </c>
      <c r="B46" s="17">
        <v>40573</v>
      </c>
      <c r="C46" s="18">
        <v>1</v>
      </c>
      <c r="D46" s="18">
        <v>0</v>
      </c>
      <c r="E46" s="18">
        <v>1</v>
      </c>
      <c r="F46" s="18">
        <v>14</v>
      </c>
      <c r="G46" s="18" t="str" cm="1">
        <f t="array" ref="G46">_xlfn.IFS(F46&lt;4,"Night",F46&lt;=6,"Early Morning",F46&lt;11,"Morning",F46&lt;12,"Afternoon",F46&lt;=16,"Afternoon",F46&lt;=20,"Evening",F46&gt;=21,"Night")</f>
        <v>Afternoon</v>
      </c>
      <c r="H46" s="18" t="b">
        <v>0</v>
      </c>
      <c r="I46" s="18">
        <v>0</v>
      </c>
      <c r="J46" s="18" t="str" cm="1">
        <f t="array" ref="J46">_xlfn.IFS(I46=1,"Monday",I46=2,"Tuesday",I46=3,"Wednesday",I46=4,"Thursday",I46=5,"Friday",I46=6,"Saturday",I46=0,"Sunday")</f>
        <v>Sunday</v>
      </c>
      <c r="K46" s="18">
        <v>1</v>
      </c>
      <c r="L46" s="18">
        <v>0.28000000000000003</v>
      </c>
      <c r="M46" s="27" t="str" cm="1">
        <f t="array" ref="M46">_xlfn.IFS(L46&lt;0.15,"Cold",L46&lt;0.25,"Mild",L46&lt;=0.32,"Warm",L46&gt;=0.33,"Hot")</f>
        <v>Warm</v>
      </c>
      <c r="N46" s="18">
        <v>0.30299999999999999</v>
      </c>
      <c r="O46" s="18">
        <v>0.61</v>
      </c>
      <c r="P46" s="18" t="str" cm="1">
        <f t="array" ref="P46">_xlfn.IFS(O46&gt;0.61, "High Humidity", O46&gt;=0.6, "Humid", O46&gt;0.4, "Less Humidity", TRUE, "Dry")</f>
        <v>Humid</v>
      </c>
      <c r="Q46" s="18">
        <v>8.9599999999999999E-2</v>
      </c>
      <c r="R46" s="18" t="str" cm="1">
        <f t="array" ref="R46">_xlfn.IFS(Q46&lt;=0.2,"Low Windspeed",Q46&lt;0.4,"Medium Windspeed",Q46&gt;=0.41,"High Windspeed")</f>
        <v>Low Windspeed</v>
      </c>
      <c r="S46" s="18">
        <v>18</v>
      </c>
      <c r="T46" s="18">
        <v>104</v>
      </c>
      <c r="U46" s="19">
        <v>122</v>
      </c>
      <c r="V46" s="18" t="str" cm="1">
        <f t="array" ref="V46">_xlfn.IFS(U46&lt;=70,"Low",U46&lt;=160,"Medium",U46&gt;=161,"High")</f>
        <v>Medium</v>
      </c>
    </row>
    <row r="47" spans="1:22" x14ac:dyDescent="0.25">
      <c r="A47" s="16">
        <v>656</v>
      </c>
      <c r="B47" s="17">
        <v>40573</v>
      </c>
      <c r="C47" s="18">
        <v>1</v>
      </c>
      <c r="D47" s="18">
        <v>0</v>
      </c>
      <c r="E47" s="18">
        <v>1</v>
      </c>
      <c r="F47" s="18">
        <v>15</v>
      </c>
      <c r="G47" s="18" t="str" cm="1">
        <f t="array" ref="G47">_xlfn.IFS(F47&lt;4,"Night",F47&lt;=6,"Early Morning",F47&lt;11,"Morning",F47&lt;12,"Afternoon",F47&lt;=16,"Afternoon",F47&lt;=20,"Evening",F47&gt;=21,"Night")</f>
        <v>Afternoon</v>
      </c>
      <c r="H47" s="18" t="b">
        <v>0</v>
      </c>
      <c r="I47" s="18">
        <v>0</v>
      </c>
      <c r="J47" s="18" t="str" cm="1">
        <f t="array" ref="J47">_xlfn.IFS(I47=1,"Monday",I47=2,"Tuesday",I47=3,"Wednesday",I47=4,"Thursday",I47=5,"Friday",I47=6,"Saturday",I47=0,"Sunday")</f>
        <v>Sunday</v>
      </c>
      <c r="K47" s="18">
        <v>1</v>
      </c>
      <c r="L47" s="18">
        <v>0.3</v>
      </c>
      <c r="M47" s="27" t="str" cm="1">
        <f t="array" ref="M47">_xlfn.IFS(L47&lt;0.15,"Cold",L47&lt;0.25,"Mild",L47&lt;=0.32,"Warm",L47&gt;=0.33,"Hot")</f>
        <v>Warm</v>
      </c>
      <c r="N47" s="18">
        <v>0.33329999999999999</v>
      </c>
      <c r="O47" s="18">
        <v>0.56000000000000005</v>
      </c>
      <c r="P47" s="18" t="str" cm="1">
        <f t="array" ref="P47">_xlfn.IFS(O47&gt;0.61, "High Humidity", O47&gt;=0.6, "Humid", O47&gt;0.4, "Less Humidity", TRUE, "Dry")</f>
        <v>Less Humidity</v>
      </c>
      <c r="Q47" s="18">
        <v>0</v>
      </c>
      <c r="R47" s="18" t="str" cm="1">
        <f t="array" ref="R47">_xlfn.IFS(Q47&lt;=0.2,"Low Windspeed",Q47&lt;0.4,"Medium Windspeed",Q47&gt;=0.41,"High Windspeed")</f>
        <v>Low Windspeed</v>
      </c>
      <c r="S47" s="18">
        <v>14</v>
      </c>
      <c r="T47" s="18">
        <v>95</v>
      </c>
      <c r="U47" s="19">
        <v>109</v>
      </c>
      <c r="V47" s="18" t="str" cm="1">
        <f t="array" ref="V47">_xlfn.IFS(U47&lt;=70,"Low",U47&lt;=160,"Medium",U47&gt;=161,"High")</f>
        <v>Medium</v>
      </c>
    </row>
    <row r="48" spans="1:22" x14ac:dyDescent="0.25">
      <c r="A48" s="16">
        <v>657</v>
      </c>
      <c r="B48" s="17">
        <v>40573</v>
      </c>
      <c r="C48" s="18">
        <v>1</v>
      </c>
      <c r="D48" s="18">
        <v>0</v>
      </c>
      <c r="E48" s="18">
        <v>1</v>
      </c>
      <c r="F48" s="18">
        <v>16</v>
      </c>
      <c r="G48" s="18" t="str" cm="1">
        <f t="array" ref="G48">_xlfn.IFS(F48&lt;4,"Night",F48&lt;=6,"Early Morning",F48&lt;11,"Morning",F48&lt;12,"Afternoon",F48&lt;=16,"Afternoon",F48&lt;=20,"Evening",F48&gt;=21,"Night")</f>
        <v>Afternoon</v>
      </c>
      <c r="H48" s="18" t="b">
        <v>0</v>
      </c>
      <c r="I48" s="18">
        <v>0</v>
      </c>
      <c r="J48" s="18" t="str" cm="1">
        <f t="array" ref="J48">_xlfn.IFS(I48=1,"Monday",I48=2,"Tuesday",I48=3,"Wednesday",I48=4,"Thursday",I48=5,"Friday",I48=6,"Saturday",I48=0,"Sunday")</f>
        <v>Sunday</v>
      </c>
      <c r="K48" s="18">
        <v>1</v>
      </c>
      <c r="L48" s="18">
        <v>0.3</v>
      </c>
      <c r="M48" s="27" t="str" cm="1">
        <f t="array" ref="M48">_xlfn.IFS(L48&lt;0.15,"Cold",L48&lt;0.25,"Mild",L48&lt;=0.32,"Warm",L48&gt;=0.33,"Hot")</f>
        <v>Warm</v>
      </c>
      <c r="N48" s="18">
        <v>0.33329999999999999</v>
      </c>
      <c r="O48" s="18">
        <v>0.56000000000000005</v>
      </c>
      <c r="P48" s="18" t="str" cm="1">
        <f t="array" ref="P48">_xlfn.IFS(O48&gt;0.61, "High Humidity", O48&gt;=0.6, "Humid", O48&gt;0.4, "Less Humidity", TRUE, "Dry")</f>
        <v>Less Humidity</v>
      </c>
      <c r="Q48" s="18">
        <v>0</v>
      </c>
      <c r="R48" s="18" t="str" cm="1">
        <f t="array" ref="R48">_xlfn.IFS(Q48&lt;=0.2,"Low Windspeed",Q48&lt;0.4,"Medium Windspeed",Q48&gt;=0.41,"High Windspeed")</f>
        <v>Low Windspeed</v>
      </c>
      <c r="S48" s="18">
        <v>19</v>
      </c>
      <c r="T48" s="18">
        <v>104</v>
      </c>
      <c r="U48" s="19">
        <v>123</v>
      </c>
      <c r="V48" s="18" t="str" cm="1">
        <f t="array" ref="V48">_xlfn.IFS(U48&lt;=70,"Low",U48&lt;=160,"Medium",U48&gt;=161,"High")</f>
        <v>Medium</v>
      </c>
    </row>
    <row r="49" spans="1:22" x14ac:dyDescent="0.25">
      <c r="A49" s="16">
        <v>658</v>
      </c>
      <c r="B49" s="17">
        <v>40573</v>
      </c>
      <c r="C49" s="18">
        <v>1</v>
      </c>
      <c r="D49" s="18">
        <v>0</v>
      </c>
      <c r="E49" s="18">
        <v>1</v>
      </c>
      <c r="F49" s="18">
        <v>17</v>
      </c>
      <c r="G49" s="18" t="str" cm="1">
        <f t="array" ref="G49">_xlfn.IFS(F49&lt;4,"Night",F49&lt;=6,"Early Morning",F49&lt;11,"Morning",F49&lt;12,"Afternoon",F49&lt;=16,"Afternoon",F49&lt;=20,"Evening",F49&gt;=21,"Night")</f>
        <v>Evening</v>
      </c>
      <c r="H49" s="18" t="b">
        <v>0</v>
      </c>
      <c r="I49" s="18">
        <v>0</v>
      </c>
      <c r="J49" s="18" t="str" cm="1">
        <f t="array" ref="J49">_xlfn.IFS(I49=1,"Monday",I49=2,"Tuesday",I49=3,"Wednesday",I49=4,"Thursday",I49=5,"Friday",I49=6,"Saturday",I49=0,"Sunday")</f>
        <v>Sunday</v>
      </c>
      <c r="K49" s="18">
        <v>1</v>
      </c>
      <c r="L49" s="18">
        <v>0.3</v>
      </c>
      <c r="M49" s="27" t="str" cm="1">
        <f t="array" ref="M49">_xlfn.IFS(L49&lt;0.15,"Cold",L49&lt;0.25,"Mild",L49&lt;=0.32,"Warm",L49&gt;=0.33,"Hot")</f>
        <v>Warm</v>
      </c>
      <c r="N49" s="18">
        <v>0.28789999999999999</v>
      </c>
      <c r="O49" s="18">
        <v>0.56000000000000005</v>
      </c>
      <c r="P49" s="18" t="str" cm="1">
        <f t="array" ref="P49">_xlfn.IFS(O49&gt;0.61, "High Humidity", O49&gt;=0.6, "Humid", O49&gt;0.4, "Less Humidity", TRUE, "Dry")</f>
        <v>Less Humidity</v>
      </c>
      <c r="Q49" s="18">
        <v>0.19400000000000001</v>
      </c>
      <c r="R49" s="18" t="str" cm="1">
        <f t="array" ref="R49">_xlfn.IFS(Q49&lt;=0.2,"Low Windspeed",Q49&lt;0.4,"Medium Windspeed",Q49&gt;=0.41,"High Windspeed")</f>
        <v>Low Windspeed</v>
      </c>
      <c r="S49" s="18">
        <v>6</v>
      </c>
      <c r="T49" s="18">
        <v>71</v>
      </c>
      <c r="U49" s="19">
        <v>77</v>
      </c>
      <c r="V49" s="18" t="str" cm="1">
        <f t="array" ref="V49">_xlfn.IFS(U49&lt;=70,"Low",U49&lt;=160,"Medium",U49&gt;=161,"High")</f>
        <v>Medium</v>
      </c>
    </row>
    <row r="50" spans="1:22" x14ac:dyDescent="0.25">
      <c r="A50" s="16">
        <v>659</v>
      </c>
      <c r="B50" s="17">
        <v>40573</v>
      </c>
      <c r="C50" s="18">
        <v>1</v>
      </c>
      <c r="D50" s="18">
        <v>0</v>
      </c>
      <c r="E50" s="18">
        <v>1</v>
      </c>
      <c r="F50" s="18">
        <v>18</v>
      </c>
      <c r="G50" s="18" t="str" cm="1">
        <f t="array" ref="G50">_xlfn.IFS(F50&lt;4,"Night",F50&lt;=6,"Early Morning",F50&lt;11,"Morning",F50&lt;12,"Afternoon",F50&lt;=16,"Afternoon",F50&lt;=20,"Evening",F50&gt;=21,"Night")</f>
        <v>Evening</v>
      </c>
      <c r="H50" s="18" t="b">
        <v>0</v>
      </c>
      <c r="I50" s="18">
        <v>0</v>
      </c>
      <c r="J50" s="18" t="str" cm="1">
        <f t="array" ref="J50">_xlfn.IFS(I50=1,"Monday",I50=2,"Tuesday",I50=3,"Wednesday",I50=4,"Thursday",I50=5,"Friday",I50=6,"Saturday",I50=0,"Sunday")</f>
        <v>Sunday</v>
      </c>
      <c r="K50" s="18">
        <v>1</v>
      </c>
      <c r="L50" s="18">
        <v>0.26</v>
      </c>
      <c r="M50" s="27" t="str" cm="1">
        <f t="array" ref="M50">_xlfn.IFS(L50&lt;0.15,"Cold",L50&lt;0.25,"Mild",L50&lt;=0.32,"Warm",L50&gt;=0.33,"Hot")</f>
        <v>Warm</v>
      </c>
      <c r="N50" s="18">
        <v>0.2576</v>
      </c>
      <c r="O50" s="18">
        <v>0.65</v>
      </c>
      <c r="P50" s="18" t="str" cm="1">
        <f t="array" ref="P50">_xlfn.IFS(O50&gt;0.61, "High Humidity", O50&gt;=0.6, "Humid", O50&gt;0.4, "Less Humidity", TRUE, "Dry")</f>
        <v>High Humidity</v>
      </c>
      <c r="Q50" s="18">
        <v>0.16420000000000001</v>
      </c>
      <c r="R50" s="18" t="str" cm="1">
        <f t="array" ref="R50">_xlfn.IFS(Q50&lt;=0.2,"Low Windspeed",Q50&lt;0.4,"Medium Windspeed",Q50&gt;=0.41,"High Windspeed")</f>
        <v>Low Windspeed</v>
      </c>
      <c r="S50" s="18">
        <v>8</v>
      </c>
      <c r="T50" s="18">
        <v>57</v>
      </c>
      <c r="U50" s="19">
        <v>65</v>
      </c>
      <c r="V50" s="18" t="str" cm="1">
        <f t="array" ref="V50">_xlfn.IFS(U50&lt;=70,"Low",U50&lt;=160,"Medium",U50&gt;=161,"High")</f>
        <v>Low</v>
      </c>
    </row>
    <row r="51" spans="1:22" x14ac:dyDescent="0.25">
      <c r="A51" s="16">
        <v>660</v>
      </c>
      <c r="B51" s="17">
        <v>40573</v>
      </c>
      <c r="C51" s="18">
        <v>1</v>
      </c>
      <c r="D51" s="18">
        <v>0</v>
      </c>
      <c r="E51" s="18">
        <v>1</v>
      </c>
      <c r="F51" s="18">
        <v>19</v>
      </c>
      <c r="G51" s="18" t="str" cm="1">
        <f t="array" ref="G51">_xlfn.IFS(F51&lt;4,"Night",F51&lt;=6,"Early Morning",F51&lt;11,"Morning",F51&lt;12,"Afternoon",F51&lt;=16,"Afternoon",F51&lt;=20,"Evening",F51&gt;=21,"Night")</f>
        <v>Evening</v>
      </c>
      <c r="H51" s="18" t="b">
        <v>0</v>
      </c>
      <c r="I51" s="18">
        <v>0</v>
      </c>
      <c r="J51" s="18" t="str" cm="1">
        <f t="array" ref="J51">_xlfn.IFS(I51=1,"Monday",I51=2,"Tuesday",I51=3,"Wednesday",I51=4,"Thursday",I51=5,"Friday",I51=6,"Saturday",I51=0,"Sunday")</f>
        <v>Sunday</v>
      </c>
      <c r="K51" s="18">
        <v>1</v>
      </c>
      <c r="L51" s="18">
        <v>0.26</v>
      </c>
      <c r="M51" s="27" t="str" cm="1">
        <f t="array" ref="M51">_xlfn.IFS(L51&lt;0.15,"Cold",L51&lt;0.25,"Mild",L51&lt;=0.32,"Warm",L51&gt;=0.33,"Hot")</f>
        <v>Warm</v>
      </c>
      <c r="N51" s="18">
        <v>0.2576</v>
      </c>
      <c r="O51" s="18">
        <v>0.65</v>
      </c>
      <c r="P51" s="18" t="str" cm="1">
        <f t="array" ref="P51">_xlfn.IFS(O51&gt;0.61, "High Humidity", O51&gt;=0.6, "Humid", O51&gt;0.4, "Less Humidity", TRUE, "Dry")</f>
        <v>High Humidity</v>
      </c>
      <c r="Q51" s="18">
        <v>0.19400000000000001</v>
      </c>
      <c r="R51" s="18" t="str" cm="1">
        <f t="array" ref="R51">_xlfn.IFS(Q51&lt;=0.2,"Low Windspeed",Q51&lt;0.4,"Medium Windspeed",Q51&gt;=0.41,"High Windspeed")</f>
        <v>Low Windspeed</v>
      </c>
      <c r="S51" s="18">
        <v>9</v>
      </c>
      <c r="T51" s="18">
        <v>46</v>
      </c>
      <c r="U51" s="19">
        <v>55</v>
      </c>
      <c r="V51" s="18" t="str" cm="1">
        <f t="array" ref="V51">_xlfn.IFS(U51&lt;=70,"Low",U51&lt;=160,"Medium",U51&gt;=161,"High")</f>
        <v>Low</v>
      </c>
    </row>
    <row r="52" spans="1:22" x14ac:dyDescent="0.25">
      <c r="A52" s="16">
        <v>661</v>
      </c>
      <c r="B52" s="17">
        <v>40573</v>
      </c>
      <c r="C52" s="18">
        <v>1</v>
      </c>
      <c r="D52" s="18">
        <v>0</v>
      </c>
      <c r="E52" s="18">
        <v>1</v>
      </c>
      <c r="F52" s="18">
        <v>20</v>
      </c>
      <c r="G52" s="18" t="str" cm="1">
        <f t="array" ref="G52">_xlfn.IFS(F52&lt;4,"Night",F52&lt;=6,"Early Morning",F52&lt;11,"Morning",F52&lt;12,"Afternoon",F52&lt;=16,"Afternoon",F52&lt;=20,"Evening",F52&gt;=21,"Night")</f>
        <v>Evening</v>
      </c>
      <c r="H52" s="18" t="b">
        <v>0</v>
      </c>
      <c r="I52" s="18">
        <v>0</v>
      </c>
      <c r="J52" s="18" t="str" cm="1">
        <f t="array" ref="J52">_xlfn.IFS(I52=1,"Monday",I52=2,"Tuesday",I52=3,"Wednesday",I52=4,"Thursday",I52=5,"Friday",I52=6,"Saturday",I52=0,"Sunday")</f>
        <v>Sunday</v>
      </c>
      <c r="K52" s="18">
        <v>2</v>
      </c>
      <c r="L52" s="18">
        <v>0.26</v>
      </c>
      <c r="M52" s="27" t="str" cm="1">
        <f t="array" ref="M52">_xlfn.IFS(L52&lt;0.15,"Cold",L52&lt;0.25,"Mild",L52&lt;=0.32,"Warm",L52&gt;=0.33,"Hot")</f>
        <v>Warm</v>
      </c>
      <c r="N52" s="18">
        <v>0.2727</v>
      </c>
      <c r="O52" s="18">
        <v>0.65</v>
      </c>
      <c r="P52" s="18" t="str" cm="1">
        <f t="array" ref="P52">_xlfn.IFS(O52&gt;0.61, "High Humidity", O52&gt;=0.6, "Humid", O52&gt;0.4, "Less Humidity", TRUE, "Dry")</f>
        <v>High Humidity</v>
      </c>
      <c r="Q52" s="18">
        <v>0.1045</v>
      </c>
      <c r="R52" s="18" t="str" cm="1">
        <f t="array" ref="R52">_xlfn.IFS(Q52&lt;=0.2,"Low Windspeed",Q52&lt;0.4,"Medium Windspeed",Q52&gt;=0.41,"High Windspeed")</f>
        <v>Low Windspeed</v>
      </c>
      <c r="S52" s="18">
        <v>3</v>
      </c>
      <c r="T52" s="18">
        <v>30</v>
      </c>
      <c r="U52" s="19">
        <v>33</v>
      </c>
      <c r="V52" s="18" t="str" cm="1">
        <f t="array" ref="V52">_xlfn.IFS(U52&lt;=70,"Low",U52&lt;=160,"Medium",U52&gt;=161,"High")</f>
        <v>Low</v>
      </c>
    </row>
    <row r="53" spans="1:22" x14ac:dyDescent="0.25">
      <c r="A53" s="16">
        <v>662</v>
      </c>
      <c r="B53" s="17">
        <v>40573</v>
      </c>
      <c r="C53" s="18">
        <v>1</v>
      </c>
      <c r="D53" s="18">
        <v>0</v>
      </c>
      <c r="E53" s="18">
        <v>1</v>
      </c>
      <c r="F53" s="18">
        <v>21</v>
      </c>
      <c r="G53" s="18" t="str" cm="1">
        <f t="array" ref="G53">_xlfn.IFS(F53&lt;4,"Night",F53&lt;=6,"Early Morning",F53&lt;11,"Morning",F53&lt;12,"Afternoon",F53&lt;=16,"Afternoon",F53&lt;=20,"Evening",F53&gt;=21,"Night")</f>
        <v>Night</v>
      </c>
      <c r="H53" s="18" t="b">
        <v>0</v>
      </c>
      <c r="I53" s="18">
        <v>0</v>
      </c>
      <c r="J53" s="18" t="str" cm="1">
        <f t="array" ref="J53">_xlfn.IFS(I53=1,"Monday",I53=2,"Tuesday",I53=3,"Wednesday",I53=4,"Thursday",I53=5,"Friday",I53=6,"Saturday",I53=0,"Sunday")</f>
        <v>Sunday</v>
      </c>
      <c r="K53" s="18">
        <v>2</v>
      </c>
      <c r="L53" s="18">
        <v>0.24</v>
      </c>
      <c r="M53" s="27" t="str" cm="1">
        <f t="array" ref="M53">_xlfn.IFS(L53&lt;0.15,"Cold",L53&lt;0.25,"Mild",L53&lt;=0.32,"Warm",L53&gt;=0.33,"Hot")</f>
        <v>Mild</v>
      </c>
      <c r="N53" s="18">
        <v>0.2424</v>
      </c>
      <c r="O53" s="18">
        <v>0.7</v>
      </c>
      <c r="P53" s="18" t="str" cm="1">
        <f t="array" ref="P53">_xlfn.IFS(O53&gt;0.61, "High Humidity", O53&gt;=0.6, "Humid", O53&gt;0.4, "Less Humidity", TRUE, "Dry")</f>
        <v>High Humidity</v>
      </c>
      <c r="Q53" s="18">
        <v>0.16420000000000001</v>
      </c>
      <c r="R53" s="18" t="str" cm="1">
        <f t="array" ref="R53">_xlfn.IFS(Q53&lt;=0.2,"Low Windspeed",Q53&lt;0.4,"Medium Windspeed",Q53&gt;=0.41,"High Windspeed")</f>
        <v>Low Windspeed</v>
      </c>
      <c r="S53" s="18">
        <v>3</v>
      </c>
      <c r="T53" s="18">
        <v>25</v>
      </c>
      <c r="U53" s="19">
        <v>28</v>
      </c>
      <c r="V53" s="18" t="str" cm="1">
        <f t="array" ref="V53">_xlfn.IFS(U53&lt;=70,"Low",U53&lt;=160,"Medium",U53&gt;=161,"High")</f>
        <v>Low</v>
      </c>
    </row>
    <row r="54" spans="1:22" x14ac:dyDescent="0.25">
      <c r="A54" s="16">
        <v>663</v>
      </c>
      <c r="B54" s="17">
        <v>40573</v>
      </c>
      <c r="C54" s="18">
        <v>1</v>
      </c>
      <c r="D54" s="18">
        <v>0</v>
      </c>
      <c r="E54" s="18">
        <v>1</v>
      </c>
      <c r="F54" s="18">
        <v>22</v>
      </c>
      <c r="G54" s="18" t="str" cm="1">
        <f t="array" ref="G54">_xlfn.IFS(F54&lt;4,"Night",F54&lt;=6,"Early Morning",F54&lt;11,"Morning",F54&lt;12,"Afternoon",F54&lt;=16,"Afternoon",F54&lt;=20,"Evening",F54&gt;=21,"Night")</f>
        <v>Night</v>
      </c>
      <c r="H54" s="18" t="b">
        <v>0</v>
      </c>
      <c r="I54" s="18">
        <v>0</v>
      </c>
      <c r="J54" s="18" t="str" cm="1">
        <f t="array" ref="J54">_xlfn.IFS(I54=1,"Monday",I54=2,"Tuesday",I54=3,"Wednesday",I54=4,"Thursday",I54=5,"Friday",I54=6,"Saturday",I54=0,"Sunday")</f>
        <v>Sunday</v>
      </c>
      <c r="K54" s="18">
        <v>2</v>
      </c>
      <c r="L54" s="18">
        <v>0.24</v>
      </c>
      <c r="M54" s="27" t="str" cm="1">
        <f t="array" ref="M54">_xlfn.IFS(L54&lt;0.15,"Cold",L54&lt;0.25,"Mild",L54&lt;=0.32,"Warm",L54&gt;=0.33,"Hot")</f>
        <v>Mild</v>
      </c>
      <c r="N54" s="18">
        <v>0.2273</v>
      </c>
      <c r="O54" s="18">
        <v>0.7</v>
      </c>
      <c r="P54" s="18" t="str" cm="1">
        <f t="array" ref="P54">_xlfn.IFS(O54&gt;0.61, "High Humidity", O54&gt;=0.6, "Humid", O54&gt;0.4, "Less Humidity", TRUE, "Dry")</f>
        <v>High Humidity</v>
      </c>
      <c r="Q54" s="18">
        <v>0.19400000000000001</v>
      </c>
      <c r="R54" s="18" t="str" cm="1">
        <f t="array" ref="R54">_xlfn.IFS(Q54&lt;=0.2,"Low Windspeed",Q54&lt;0.4,"Medium Windspeed",Q54&gt;=0.41,"High Windspeed")</f>
        <v>Low Windspeed</v>
      </c>
      <c r="S54" s="18">
        <v>2</v>
      </c>
      <c r="T54" s="18">
        <v>19</v>
      </c>
      <c r="U54" s="19">
        <v>21</v>
      </c>
      <c r="V54" s="18" t="str" cm="1">
        <f t="array" ref="V54">_xlfn.IFS(U54&lt;=70,"Low",U54&lt;=160,"Medium",U54&gt;=161,"High")</f>
        <v>Low</v>
      </c>
    </row>
    <row r="55" spans="1:22" x14ac:dyDescent="0.25">
      <c r="A55" s="16">
        <v>664</v>
      </c>
      <c r="B55" s="17">
        <v>40573</v>
      </c>
      <c r="C55" s="18">
        <v>1</v>
      </c>
      <c r="D55" s="18">
        <v>0</v>
      </c>
      <c r="E55" s="18">
        <v>1</v>
      </c>
      <c r="F55" s="18">
        <v>23</v>
      </c>
      <c r="G55" s="18" t="str" cm="1">
        <f t="array" ref="G55">_xlfn.IFS(F55&lt;4,"Night",F55&lt;=6,"Early Morning",F55&lt;11,"Morning",F55&lt;12,"Afternoon",F55&lt;=16,"Afternoon",F55&lt;=20,"Evening",F55&gt;=21,"Night")</f>
        <v>Night</v>
      </c>
      <c r="H55" s="18" t="b">
        <v>0</v>
      </c>
      <c r="I55" s="18">
        <v>0</v>
      </c>
      <c r="J55" s="18" t="str" cm="1">
        <f t="array" ref="J55">_xlfn.IFS(I55=1,"Monday",I55=2,"Tuesday",I55=3,"Wednesday",I55=4,"Thursday",I55=5,"Friday",I55=6,"Saturday",I55=0,"Sunday")</f>
        <v>Sunday</v>
      </c>
      <c r="K55" s="18">
        <v>2</v>
      </c>
      <c r="L55" s="18">
        <v>0.24</v>
      </c>
      <c r="M55" s="27" t="str" cm="1">
        <f t="array" ref="M55">_xlfn.IFS(L55&lt;0.15,"Cold",L55&lt;0.25,"Mild",L55&lt;=0.32,"Warm",L55&gt;=0.33,"Hot")</f>
        <v>Mild</v>
      </c>
      <c r="N55" s="18">
        <v>0.21210000000000001</v>
      </c>
      <c r="O55" s="18">
        <v>0.65</v>
      </c>
      <c r="P55" s="18" t="str" cm="1">
        <f t="array" ref="P55">_xlfn.IFS(O55&gt;0.61, "High Humidity", O55&gt;=0.6, "Humid", O55&gt;0.4, "Less Humidity", TRUE, "Dry")</f>
        <v>High Humidity</v>
      </c>
      <c r="Q55" s="18">
        <v>0.28360000000000002</v>
      </c>
      <c r="R55" s="18" t="str" cm="1">
        <f t="array" ref="R55">_xlfn.IFS(Q55&lt;=0.2,"Low Windspeed",Q55&lt;0.4,"Medium Windspeed",Q55&gt;=0.41,"High Windspeed")</f>
        <v>Medium Windspeed</v>
      </c>
      <c r="S55" s="18">
        <v>5</v>
      </c>
      <c r="T55" s="18">
        <v>16</v>
      </c>
      <c r="U55" s="19">
        <v>21</v>
      </c>
      <c r="V55" s="18" t="str" cm="1">
        <f t="array" ref="V55">_xlfn.IFS(U55&lt;=70,"Low",U55&lt;=160,"Medium",U55&gt;=161,"High")</f>
        <v>Low</v>
      </c>
    </row>
    <row r="56" spans="1:22" x14ac:dyDescent="0.25">
      <c r="A56" s="16">
        <v>665</v>
      </c>
      <c r="B56" s="17">
        <v>40574</v>
      </c>
      <c r="C56" s="18">
        <v>1</v>
      </c>
      <c r="D56" s="18">
        <v>0</v>
      </c>
      <c r="E56" s="18">
        <v>1</v>
      </c>
      <c r="F56" s="18">
        <v>0</v>
      </c>
      <c r="G56" s="18" t="str" cm="1">
        <f t="array" ref="G56">_xlfn.IFS(F56&lt;4,"Night",F56&lt;=6,"Early Morning",F56&lt;11,"Morning",F56&lt;12,"Afternoon",F56&lt;=16,"Afternoon",F56&lt;=20,"Evening",F56&gt;=21,"Night")</f>
        <v>Night</v>
      </c>
      <c r="H56" s="18" t="b">
        <v>0</v>
      </c>
      <c r="I56" s="18">
        <v>1</v>
      </c>
      <c r="J56" s="18" t="str" cm="1">
        <f t="array" ref="J56">_xlfn.IFS(I56=1,"Monday",I56=2,"Tuesday",I56=3,"Wednesday",I56=4,"Thursday",I56=5,"Friday",I56=6,"Saturday",I56=0,"Sunday")</f>
        <v>Monday</v>
      </c>
      <c r="K56" s="18">
        <v>2</v>
      </c>
      <c r="L56" s="18">
        <v>0.24</v>
      </c>
      <c r="M56" s="27" t="str" cm="1">
        <f t="array" ref="M56">_xlfn.IFS(L56&lt;0.15,"Cold",L56&lt;0.25,"Mild",L56&lt;=0.32,"Warm",L56&gt;=0.33,"Hot")</f>
        <v>Mild</v>
      </c>
      <c r="N56" s="18">
        <v>0.2273</v>
      </c>
      <c r="O56" s="18">
        <v>0.65</v>
      </c>
      <c r="P56" s="18" t="str" cm="1">
        <f t="array" ref="P56">_xlfn.IFS(O56&gt;0.61, "High Humidity", O56&gt;=0.6, "Humid", O56&gt;0.4, "Less Humidity", TRUE, "Dry")</f>
        <v>High Humidity</v>
      </c>
      <c r="Q56" s="18">
        <v>0.22389999999999999</v>
      </c>
      <c r="R56" s="18" t="str" cm="1">
        <f t="array" ref="R56">_xlfn.IFS(Q56&lt;=0.2,"Low Windspeed",Q56&lt;0.4,"Medium Windspeed",Q56&gt;=0.41,"High Windspeed")</f>
        <v>Medium Windspeed</v>
      </c>
      <c r="S56" s="18">
        <v>1</v>
      </c>
      <c r="T56" s="18">
        <v>6</v>
      </c>
      <c r="U56" s="19">
        <v>7</v>
      </c>
      <c r="V56" s="18" t="str" cm="1">
        <f t="array" ref="V56">_xlfn.IFS(U56&lt;=70,"Low",U56&lt;=160,"Medium",U56&gt;=161,"High")</f>
        <v>Low</v>
      </c>
    </row>
    <row r="57" spans="1:22" x14ac:dyDescent="0.25">
      <c r="A57" s="16">
        <v>666</v>
      </c>
      <c r="B57" s="17">
        <v>40574</v>
      </c>
      <c r="C57" s="18">
        <v>1</v>
      </c>
      <c r="D57" s="18">
        <v>0</v>
      </c>
      <c r="E57" s="18">
        <v>1</v>
      </c>
      <c r="F57" s="18">
        <v>1</v>
      </c>
      <c r="G57" s="18" t="str" cm="1">
        <f t="array" ref="G57">_xlfn.IFS(F57&lt;4,"Night",F57&lt;=6,"Early Morning",F57&lt;11,"Morning",F57&lt;12,"Afternoon",F57&lt;=16,"Afternoon",F57&lt;=20,"Evening",F57&gt;=21,"Night")</f>
        <v>Night</v>
      </c>
      <c r="H57" s="18" t="b">
        <v>0</v>
      </c>
      <c r="I57" s="18">
        <v>1</v>
      </c>
      <c r="J57" s="18" t="str" cm="1">
        <f t="array" ref="J57">_xlfn.IFS(I57=1,"Monday",I57=2,"Tuesday",I57=3,"Wednesday",I57=4,"Thursday",I57=5,"Friday",I57=6,"Saturday",I57=0,"Sunday")</f>
        <v>Monday</v>
      </c>
      <c r="K57" s="18">
        <v>1</v>
      </c>
      <c r="L57" s="18">
        <v>0.22</v>
      </c>
      <c r="M57" s="27" t="str" cm="1">
        <f t="array" ref="M57">_xlfn.IFS(L57&lt;0.15,"Cold",L57&lt;0.25,"Mild",L57&lt;=0.32,"Warm",L57&gt;=0.33,"Hot")</f>
        <v>Mild</v>
      </c>
      <c r="N57" s="18">
        <v>0.21210000000000001</v>
      </c>
      <c r="O57" s="18">
        <v>0.64</v>
      </c>
      <c r="P57" s="18" t="str" cm="1">
        <f t="array" ref="P57">_xlfn.IFS(O57&gt;0.61, "High Humidity", O57&gt;=0.6, "Humid", O57&gt;0.4, "Less Humidity", TRUE, "Dry")</f>
        <v>High Humidity</v>
      </c>
      <c r="Q57" s="18">
        <v>0.25369999999999998</v>
      </c>
      <c r="R57" s="18" t="str" cm="1">
        <f t="array" ref="R57">_xlfn.IFS(Q57&lt;=0.2,"Low Windspeed",Q57&lt;0.4,"Medium Windspeed",Q57&gt;=0.41,"High Windspeed")</f>
        <v>Medium Windspeed</v>
      </c>
      <c r="S57" s="18">
        <v>2</v>
      </c>
      <c r="T57" s="18">
        <v>5</v>
      </c>
      <c r="U57" s="19">
        <v>7</v>
      </c>
      <c r="V57" s="18" t="str" cm="1">
        <f t="array" ref="V57">_xlfn.IFS(U57&lt;=70,"Low",U57&lt;=160,"Medium",U57&gt;=161,"High")</f>
        <v>Low</v>
      </c>
    </row>
    <row r="58" spans="1:22" x14ac:dyDescent="0.25">
      <c r="A58" s="16">
        <v>667</v>
      </c>
      <c r="B58" s="17">
        <v>40574</v>
      </c>
      <c r="C58" s="18">
        <v>1</v>
      </c>
      <c r="D58" s="18">
        <v>0</v>
      </c>
      <c r="E58" s="18">
        <v>1</v>
      </c>
      <c r="F58" s="18">
        <v>2</v>
      </c>
      <c r="G58" s="18" t="str" cm="1">
        <f t="array" ref="G58">_xlfn.IFS(F58&lt;4,"Night",F58&lt;=6,"Early Morning",F58&lt;11,"Morning",F58&lt;12,"Afternoon",F58&lt;=16,"Afternoon",F58&lt;=20,"Evening",F58&gt;=21,"Night")</f>
        <v>Night</v>
      </c>
      <c r="H58" s="18" t="b">
        <v>0</v>
      </c>
      <c r="I58" s="18">
        <v>1</v>
      </c>
      <c r="J58" s="18" t="str" cm="1">
        <f t="array" ref="J58">_xlfn.IFS(I58=1,"Monday",I58=2,"Tuesday",I58=3,"Wednesday",I58=4,"Thursday",I58=5,"Friday",I58=6,"Saturday",I58=0,"Sunday")</f>
        <v>Monday</v>
      </c>
      <c r="K58" s="18">
        <v>1</v>
      </c>
      <c r="L58" s="18">
        <v>0.22</v>
      </c>
      <c r="M58" s="27" t="str" cm="1">
        <f t="array" ref="M58">_xlfn.IFS(L58&lt;0.15,"Cold",L58&lt;0.25,"Mild",L58&lt;=0.32,"Warm",L58&gt;=0.33,"Hot")</f>
        <v>Mild</v>
      </c>
      <c r="N58" s="18">
        <v>0.2273</v>
      </c>
      <c r="O58" s="18">
        <v>0.64</v>
      </c>
      <c r="P58" s="18" t="str" cm="1">
        <f t="array" ref="P58">_xlfn.IFS(O58&gt;0.61, "High Humidity", O58&gt;=0.6, "Humid", O58&gt;0.4, "Less Humidity", TRUE, "Dry")</f>
        <v>High Humidity</v>
      </c>
      <c r="Q58" s="18">
        <v>0.19400000000000001</v>
      </c>
      <c r="R58" s="18" t="str" cm="1">
        <f t="array" ref="R58">_xlfn.IFS(Q58&lt;=0.2,"Low Windspeed",Q58&lt;0.4,"Medium Windspeed",Q58&gt;=0.41,"High Windspeed")</f>
        <v>Low Windspeed</v>
      </c>
      <c r="S58" s="18">
        <v>0</v>
      </c>
      <c r="T58" s="18">
        <v>1</v>
      </c>
      <c r="U58" s="19">
        <v>1</v>
      </c>
      <c r="V58" s="18" t="str" cm="1">
        <f t="array" ref="V58">_xlfn.IFS(U58&lt;=70,"Low",U58&lt;=160,"Medium",U58&gt;=161,"High")</f>
        <v>Low</v>
      </c>
    </row>
    <row r="59" spans="1:22" x14ac:dyDescent="0.25">
      <c r="A59" s="16">
        <v>668</v>
      </c>
      <c r="B59" s="17">
        <v>40574</v>
      </c>
      <c r="C59" s="18">
        <v>1</v>
      </c>
      <c r="D59" s="18">
        <v>0</v>
      </c>
      <c r="E59" s="18">
        <v>1</v>
      </c>
      <c r="F59" s="18">
        <v>3</v>
      </c>
      <c r="G59" s="18" t="str" cm="1">
        <f t="array" ref="G59">_xlfn.IFS(F59&lt;4,"Night",F59&lt;=6,"Early Morning",F59&lt;11,"Morning",F59&lt;12,"Afternoon",F59&lt;=16,"Afternoon",F59&lt;=20,"Evening",F59&gt;=21,"Night")</f>
        <v>Night</v>
      </c>
      <c r="H59" s="18" t="b">
        <v>0</v>
      </c>
      <c r="I59" s="18">
        <v>1</v>
      </c>
      <c r="J59" s="18" t="str" cm="1">
        <f t="array" ref="J59">_xlfn.IFS(I59=1,"Monday",I59=2,"Tuesday",I59=3,"Wednesday",I59=4,"Thursday",I59=5,"Friday",I59=6,"Saturday",I59=0,"Sunday")</f>
        <v>Monday</v>
      </c>
      <c r="K59" s="18">
        <v>1</v>
      </c>
      <c r="L59" s="18">
        <v>0.22</v>
      </c>
      <c r="M59" s="27" t="str" cm="1">
        <f t="array" ref="M59">_xlfn.IFS(L59&lt;0.15,"Cold",L59&lt;0.25,"Mild",L59&lt;=0.32,"Warm",L59&gt;=0.33,"Hot")</f>
        <v>Mild</v>
      </c>
      <c r="N59" s="18">
        <v>0.2273</v>
      </c>
      <c r="O59" s="18">
        <v>0.64</v>
      </c>
      <c r="P59" s="18" t="str" cm="1">
        <f t="array" ref="P59">_xlfn.IFS(O59&gt;0.61, "High Humidity", O59&gt;=0.6, "Humid", O59&gt;0.4, "Less Humidity", TRUE, "Dry")</f>
        <v>High Humidity</v>
      </c>
      <c r="Q59" s="18">
        <v>0.19400000000000001</v>
      </c>
      <c r="R59" s="18" t="str" cm="1">
        <f t="array" ref="R59">_xlfn.IFS(Q59&lt;=0.2,"Low Windspeed",Q59&lt;0.4,"Medium Windspeed",Q59&gt;=0.41,"High Windspeed")</f>
        <v>Low Windspeed</v>
      </c>
      <c r="S59" s="18">
        <v>0</v>
      </c>
      <c r="T59" s="18">
        <v>2</v>
      </c>
      <c r="U59" s="19">
        <v>2</v>
      </c>
      <c r="V59" s="18" t="str" cm="1">
        <f t="array" ref="V59">_xlfn.IFS(U59&lt;=70,"Low",U59&lt;=160,"Medium",U59&gt;=161,"High")</f>
        <v>Low</v>
      </c>
    </row>
    <row r="60" spans="1:22" x14ac:dyDescent="0.25">
      <c r="A60" s="16">
        <v>669</v>
      </c>
      <c r="B60" s="17">
        <v>40574</v>
      </c>
      <c r="C60" s="18">
        <v>1</v>
      </c>
      <c r="D60" s="18">
        <v>0</v>
      </c>
      <c r="E60" s="18">
        <v>1</v>
      </c>
      <c r="F60" s="18">
        <v>4</v>
      </c>
      <c r="G60" s="18" t="str" cm="1">
        <f t="array" ref="G60">_xlfn.IFS(F60&lt;4,"Night",F60&lt;=6,"Early Morning",F60&lt;11,"Morning",F60&lt;12,"Afternoon",F60&lt;=16,"Afternoon",F60&lt;=20,"Evening",F60&gt;=21,"Night")</f>
        <v>Early Morning</v>
      </c>
      <c r="H60" s="18" t="b">
        <v>0</v>
      </c>
      <c r="I60" s="18">
        <v>1</v>
      </c>
      <c r="J60" s="18" t="str" cm="1">
        <f t="array" ref="J60">_xlfn.IFS(I60=1,"Monday",I60=2,"Tuesday",I60=3,"Wednesday",I60=4,"Thursday",I60=5,"Friday",I60=6,"Saturday",I60=0,"Sunday")</f>
        <v>Monday</v>
      </c>
      <c r="K60" s="18">
        <v>1</v>
      </c>
      <c r="L60" s="18">
        <v>0.2</v>
      </c>
      <c r="M60" s="27" t="str" cm="1">
        <f t="array" ref="M60">_xlfn.IFS(L60&lt;0.15,"Cold",L60&lt;0.25,"Mild",L60&lt;=0.32,"Warm",L60&gt;=0.33,"Hot")</f>
        <v>Mild</v>
      </c>
      <c r="N60" s="18">
        <v>0.19700000000000001</v>
      </c>
      <c r="O60" s="18">
        <v>0.59</v>
      </c>
      <c r="P60" s="18" t="str" cm="1">
        <f t="array" ref="P60">_xlfn.IFS(O60&gt;0.61, "High Humidity", O60&gt;=0.6, "Humid", O60&gt;0.4, "Less Humidity", TRUE, "Dry")</f>
        <v>Less Humidity</v>
      </c>
      <c r="Q60" s="18">
        <v>0.22389999999999999</v>
      </c>
      <c r="R60" s="18" t="str" cm="1">
        <f t="array" ref="R60">_xlfn.IFS(Q60&lt;=0.2,"Low Windspeed",Q60&lt;0.4,"Medium Windspeed",Q60&gt;=0.41,"High Windspeed")</f>
        <v>Medium Windspeed</v>
      </c>
      <c r="S60" s="18">
        <v>0</v>
      </c>
      <c r="T60" s="18">
        <v>2</v>
      </c>
      <c r="U60" s="19">
        <v>2</v>
      </c>
      <c r="V60" s="18" t="str" cm="1">
        <f t="array" ref="V60">_xlfn.IFS(U60&lt;=70,"Low",U60&lt;=160,"Medium",U60&gt;=161,"High")</f>
        <v>Low</v>
      </c>
    </row>
    <row r="61" spans="1:22" x14ac:dyDescent="0.25">
      <c r="A61" s="16">
        <v>670</v>
      </c>
      <c r="B61" s="17">
        <v>40574</v>
      </c>
      <c r="C61" s="18">
        <v>1</v>
      </c>
      <c r="D61" s="18">
        <v>0</v>
      </c>
      <c r="E61" s="18">
        <v>1</v>
      </c>
      <c r="F61" s="18">
        <v>5</v>
      </c>
      <c r="G61" s="18" t="str" cm="1">
        <f t="array" ref="G61">_xlfn.IFS(F61&lt;4,"Night",F61&lt;=6,"Early Morning",F61&lt;11,"Morning",F61&lt;12,"Afternoon",F61&lt;=16,"Afternoon",F61&lt;=20,"Evening",F61&gt;=21,"Night")</f>
        <v>Early Morning</v>
      </c>
      <c r="H61" s="18" t="b">
        <v>0</v>
      </c>
      <c r="I61" s="18">
        <v>1</v>
      </c>
      <c r="J61" s="18" t="str" cm="1">
        <f t="array" ref="J61">_xlfn.IFS(I61=1,"Monday",I61=2,"Tuesday",I61=3,"Wednesday",I61=4,"Thursday",I61=5,"Friday",I61=6,"Saturday",I61=0,"Sunday")</f>
        <v>Monday</v>
      </c>
      <c r="K61" s="18">
        <v>1</v>
      </c>
      <c r="L61" s="18">
        <v>0.18</v>
      </c>
      <c r="M61" s="27" t="str" cm="1">
        <f t="array" ref="M61">_xlfn.IFS(L61&lt;0.15,"Cold",L61&lt;0.25,"Mild",L61&lt;=0.32,"Warm",L61&gt;=0.33,"Hot")</f>
        <v>Mild</v>
      </c>
      <c r="N61" s="18">
        <v>0.16669999999999999</v>
      </c>
      <c r="O61" s="18">
        <v>0.64</v>
      </c>
      <c r="P61" s="18" t="str" cm="1">
        <f t="array" ref="P61">_xlfn.IFS(O61&gt;0.61, "High Humidity", O61&gt;=0.6, "Humid", O61&gt;0.4, "Less Humidity", TRUE, "Dry")</f>
        <v>High Humidity</v>
      </c>
      <c r="Q61" s="18">
        <v>0.28360000000000002</v>
      </c>
      <c r="R61" s="18" t="str" cm="1">
        <f t="array" ref="R61">_xlfn.IFS(Q61&lt;=0.2,"Low Windspeed",Q61&lt;0.4,"Medium Windspeed",Q61&gt;=0.41,"High Windspeed")</f>
        <v>Medium Windspeed</v>
      </c>
      <c r="S61" s="18">
        <v>0</v>
      </c>
      <c r="T61" s="18">
        <v>8</v>
      </c>
      <c r="U61" s="19">
        <v>8</v>
      </c>
      <c r="V61" s="18" t="str" cm="1">
        <f t="array" ref="V61">_xlfn.IFS(U61&lt;=70,"Low",U61&lt;=160,"Medium",U61&gt;=161,"High")</f>
        <v>Low</v>
      </c>
    </row>
    <row r="62" spans="1:22" x14ac:dyDescent="0.25">
      <c r="A62" s="16">
        <v>671</v>
      </c>
      <c r="B62" s="17">
        <v>40574</v>
      </c>
      <c r="C62" s="18">
        <v>1</v>
      </c>
      <c r="D62" s="18">
        <v>0</v>
      </c>
      <c r="E62" s="18">
        <v>1</v>
      </c>
      <c r="F62" s="18">
        <v>6</v>
      </c>
      <c r="G62" s="18" t="str" cm="1">
        <f t="array" ref="G62">_xlfn.IFS(F62&lt;4,"Night",F62&lt;=6,"Early Morning",F62&lt;11,"Morning",F62&lt;12,"Afternoon",F62&lt;=16,"Afternoon",F62&lt;=20,"Evening",F62&gt;=21,"Night")</f>
        <v>Early Morning</v>
      </c>
      <c r="H62" s="18" t="b">
        <v>0</v>
      </c>
      <c r="I62" s="18">
        <v>1</v>
      </c>
      <c r="J62" s="18" t="str" cm="1">
        <f t="array" ref="J62">_xlfn.IFS(I62=1,"Monday",I62=2,"Tuesday",I62=3,"Wednesday",I62=4,"Thursday",I62=5,"Friday",I62=6,"Saturday",I62=0,"Sunday")</f>
        <v>Monday</v>
      </c>
      <c r="K62" s="18">
        <v>1</v>
      </c>
      <c r="L62" s="18">
        <v>0.16</v>
      </c>
      <c r="M62" s="27" t="str" cm="1">
        <f t="array" ref="M62">_xlfn.IFS(L62&lt;0.15,"Cold",L62&lt;0.25,"Mild",L62&lt;=0.32,"Warm",L62&gt;=0.33,"Hot")</f>
        <v>Mild</v>
      </c>
      <c r="N62" s="18">
        <v>0.13639999999999999</v>
      </c>
      <c r="O62" s="18">
        <v>0.69</v>
      </c>
      <c r="P62" s="18" t="str" cm="1">
        <f t="array" ref="P62">_xlfn.IFS(O62&gt;0.61, "High Humidity", O62&gt;=0.6, "Humid", O62&gt;0.4, "Less Humidity", TRUE, "Dry")</f>
        <v>High Humidity</v>
      </c>
      <c r="Q62" s="18">
        <v>0.32840000000000003</v>
      </c>
      <c r="R62" s="18" t="str" cm="1">
        <f t="array" ref="R62">_xlfn.IFS(Q62&lt;=0.2,"Low Windspeed",Q62&lt;0.4,"Medium Windspeed",Q62&gt;=0.41,"High Windspeed")</f>
        <v>Medium Windspeed</v>
      </c>
      <c r="S62" s="18">
        <v>0</v>
      </c>
      <c r="T62" s="18">
        <v>37</v>
      </c>
      <c r="U62" s="19">
        <v>37</v>
      </c>
      <c r="V62" s="18" t="str" cm="1">
        <f t="array" ref="V62">_xlfn.IFS(U62&lt;=70,"Low",U62&lt;=160,"Medium",U62&gt;=161,"High")</f>
        <v>Low</v>
      </c>
    </row>
    <row r="63" spans="1:22" x14ac:dyDescent="0.25">
      <c r="A63" s="16">
        <v>672</v>
      </c>
      <c r="B63" s="17">
        <v>40574</v>
      </c>
      <c r="C63" s="18">
        <v>1</v>
      </c>
      <c r="D63" s="18">
        <v>0</v>
      </c>
      <c r="E63" s="18">
        <v>1</v>
      </c>
      <c r="F63" s="18">
        <v>7</v>
      </c>
      <c r="G63" s="18" t="str" cm="1">
        <f t="array" ref="G63">_xlfn.IFS(F63&lt;4,"Night",F63&lt;=6,"Early Morning",F63&lt;11,"Morning",F63&lt;12,"Afternoon",F63&lt;=16,"Afternoon",F63&lt;=20,"Evening",F63&gt;=21,"Night")</f>
        <v>Morning</v>
      </c>
      <c r="H63" s="18" t="b">
        <v>0</v>
      </c>
      <c r="I63" s="18">
        <v>1</v>
      </c>
      <c r="J63" s="18" t="str" cm="1">
        <f t="array" ref="J63">_xlfn.IFS(I63=1,"Monday",I63=2,"Tuesday",I63=3,"Wednesday",I63=4,"Thursday",I63=5,"Friday",I63=6,"Saturday",I63=0,"Sunday")</f>
        <v>Monday</v>
      </c>
      <c r="K63" s="18">
        <v>2</v>
      </c>
      <c r="L63" s="18">
        <v>0.16</v>
      </c>
      <c r="M63" s="27" t="str" cm="1">
        <f t="array" ref="M63">_xlfn.IFS(L63&lt;0.15,"Cold",L63&lt;0.25,"Mild",L63&lt;=0.32,"Warm",L63&gt;=0.33,"Hot")</f>
        <v>Mild</v>
      </c>
      <c r="N63" s="18">
        <v>0.13639999999999999</v>
      </c>
      <c r="O63" s="18">
        <v>0.64</v>
      </c>
      <c r="P63" s="18" t="str" cm="1">
        <f t="array" ref="P63">_xlfn.IFS(O63&gt;0.61, "High Humidity", O63&gt;=0.6, "Humid", O63&gt;0.4, "Less Humidity", TRUE, "Dry")</f>
        <v>High Humidity</v>
      </c>
      <c r="Q63" s="18">
        <v>0.28360000000000002</v>
      </c>
      <c r="R63" s="18" t="str" cm="1">
        <f t="array" ref="R63">_xlfn.IFS(Q63&lt;=0.2,"Low Windspeed",Q63&lt;0.4,"Medium Windspeed",Q63&gt;=0.41,"High Windspeed")</f>
        <v>Medium Windspeed</v>
      </c>
      <c r="S63" s="18">
        <v>1</v>
      </c>
      <c r="T63" s="18">
        <v>71</v>
      </c>
      <c r="U63" s="19">
        <v>72</v>
      </c>
      <c r="V63" s="18" t="str" cm="1">
        <f t="array" ref="V63">_xlfn.IFS(U63&lt;=70,"Low",U63&lt;=160,"Medium",U63&gt;=161,"High")</f>
        <v>Medium</v>
      </c>
    </row>
    <row r="64" spans="1:22" x14ac:dyDescent="0.25">
      <c r="A64" s="16">
        <v>673</v>
      </c>
      <c r="B64" s="17">
        <v>40574</v>
      </c>
      <c r="C64" s="18">
        <v>1</v>
      </c>
      <c r="D64" s="18">
        <v>0</v>
      </c>
      <c r="E64" s="18">
        <v>1</v>
      </c>
      <c r="F64" s="18">
        <v>8</v>
      </c>
      <c r="G64" s="18" t="str" cm="1">
        <f t="array" ref="G64">_xlfn.IFS(F64&lt;4,"Night",F64&lt;=6,"Early Morning",F64&lt;11,"Morning",F64&lt;12,"Afternoon",F64&lt;=16,"Afternoon",F64&lt;=20,"Evening",F64&gt;=21,"Night")</f>
        <v>Morning</v>
      </c>
      <c r="H64" s="18" t="b">
        <v>0</v>
      </c>
      <c r="I64" s="18">
        <v>1</v>
      </c>
      <c r="J64" s="18" t="str" cm="1">
        <f t="array" ref="J64">_xlfn.IFS(I64=1,"Monday",I64=2,"Tuesday",I64=3,"Wednesday",I64=4,"Thursday",I64=5,"Friday",I64=6,"Saturday",I64=0,"Sunday")</f>
        <v>Monday</v>
      </c>
      <c r="K64" s="18">
        <v>2</v>
      </c>
      <c r="L64" s="18">
        <v>0.16</v>
      </c>
      <c r="M64" s="27" t="str" cm="1">
        <f t="array" ref="M64">_xlfn.IFS(L64&lt;0.15,"Cold",L64&lt;0.25,"Mild",L64&lt;=0.32,"Warm",L64&gt;=0.33,"Hot")</f>
        <v>Mild</v>
      </c>
      <c r="N64" s="18">
        <v>0.13639999999999999</v>
      </c>
      <c r="O64" s="18">
        <v>0.59</v>
      </c>
      <c r="P64" s="18" t="str" cm="1">
        <f t="array" ref="P64">_xlfn.IFS(O64&gt;0.61, "High Humidity", O64&gt;=0.6, "Humid", O64&gt;0.4, "Less Humidity", TRUE, "Dry")</f>
        <v>Less Humidity</v>
      </c>
      <c r="Q64" s="18">
        <v>0.28360000000000002</v>
      </c>
      <c r="R64" s="18" t="str" cm="1">
        <f t="array" ref="R64">_xlfn.IFS(Q64&lt;=0.2,"Low Windspeed",Q64&lt;0.4,"Medium Windspeed",Q64&gt;=0.41,"High Windspeed")</f>
        <v>Medium Windspeed</v>
      </c>
      <c r="S64" s="18">
        <v>3</v>
      </c>
      <c r="T64" s="18">
        <v>182</v>
      </c>
      <c r="U64" s="19">
        <v>185</v>
      </c>
      <c r="V64" s="18" t="str" cm="1">
        <f t="array" ref="V64">_xlfn.IFS(U64&lt;=70,"Low",U64&lt;=160,"Medium",U64&gt;=161,"High")</f>
        <v>High</v>
      </c>
    </row>
    <row r="65" spans="1:22" x14ac:dyDescent="0.25">
      <c r="A65" s="16">
        <v>674</v>
      </c>
      <c r="B65" s="17">
        <v>40574</v>
      </c>
      <c r="C65" s="18">
        <v>1</v>
      </c>
      <c r="D65" s="18">
        <v>0</v>
      </c>
      <c r="E65" s="18">
        <v>1</v>
      </c>
      <c r="F65" s="18">
        <v>9</v>
      </c>
      <c r="G65" s="18" t="str" cm="1">
        <f t="array" ref="G65">_xlfn.IFS(F65&lt;4,"Night",F65&lt;=6,"Early Morning",F65&lt;11,"Morning",F65&lt;12,"Afternoon",F65&lt;=16,"Afternoon",F65&lt;=20,"Evening",F65&gt;=21,"Night")</f>
        <v>Morning</v>
      </c>
      <c r="H65" s="18" t="b">
        <v>0</v>
      </c>
      <c r="I65" s="18">
        <v>1</v>
      </c>
      <c r="J65" s="18" t="str" cm="1">
        <f t="array" ref="J65">_xlfn.IFS(I65=1,"Monday",I65=2,"Tuesday",I65=3,"Wednesday",I65=4,"Thursday",I65=5,"Friday",I65=6,"Saturday",I65=0,"Sunday")</f>
        <v>Monday</v>
      </c>
      <c r="K65" s="18">
        <v>2</v>
      </c>
      <c r="L65" s="18">
        <v>0.16</v>
      </c>
      <c r="M65" s="27" t="str" cm="1">
        <f t="array" ref="M65">_xlfn.IFS(L65&lt;0.15,"Cold",L65&lt;0.25,"Mild",L65&lt;=0.32,"Warm",L65&gt;=0.33,"Hot")</f>
        <v>Mild</v>
      </c>
      <c r="N65" s="18">
        <v>0.13639999999999999</v>
      </c>
      <c r="O65" s="18">
        <v>0.59</v>
      </c>
      <c r="P65" s="18" t="str" cm="1">
        <f t="array" ref="P65">_xlfn.IFS(O65&gt;0.61, "High Humidity", O65&gt;=0.6, "Humid", O65&gt;0.4, "Less Humidity", TRUE, "Dry")</f>
        <v>Less Humidity</v>
      </c>
      <c r="Q65" s="18">
        <v>0.29849999999999999</v>
      </c>
      <c r="R65" s="18" t="str" cm="1">
        <f t="array" ref="R65">_xlfn.IFS(Q65&lt;=0.2,"Low Windspeed",Q65&lt;0.4,"Medium Windspeed",Q65&gt;=0.41,"High Windspeed")</f>
        <v>Medium Windspeed</v>
      </c>
      <c r="S65" s="18">
        <v>0</v>
      </c>
      <c r="T65" s="18">
        <v>112</v>
      </c>
      <c r="U65" s="19">
        <v>112</v>
      </c>
      <c r="V65" s="18" t="str" cm="1">
        <f t="array" ref="V65">_xlfn.IFS(U65&lt;=70,"Low",U65&lt;=160,"Medium",U65&gt;=161,"High")</f>
        <v>Medium</v>
      </c>
    </row>
    <row r="66" spans="1:22" x14ac:dyDescent="0.25">
      <c r="A66" s="16">
        <v>675</v>
      </c>
      <c r="B66" s="17">
        <v>40574</v>
      </c>
      <c r="C66" s="18">
        <v>1</v>
      </c>
      <c r="D66" s="18">
        <v>0</v>
      </c>
      <c r="E66" s="18">
        <v>1</v>
      </c>
      <c r="F66" s="18">
        <v>10</v>
      </c>
      <c r="G66" s="18" t="str" cm="1">
        <f t="array" ref="G66">_xlfn.IFS(F66&lt;4,"Night",F66&lt;=6,"Early Morning",F66&lt;11,"Morning",F66&lt;12,"Afternoon",F66&lt;=16,"Afternoon",F66&lt;=20,"Evening",F66&gt;=21,"Night")</f>
        <v>Morning</v>
      </c>
      <c r="H66" s="18" t="b">
        <v>0</v>
      </c>
      <c r="I66" s="18">
        <v>1</v>
      </c>
      <c r="J66" s="18" t="str" cm="1">
        <f t="array" ref="J66">_xlfn.IFS(I66=1,"Monday",I66=2,"Tuesday",I66=3,"Wednesday",I66=4,"Thursday",I66=5,"Friday",I66=6,"Saturday",I66=0,"Sunday")</f>
        <v>Monday</v>
      </c>
      <c r="K66" s="18">
        <v>2</v>
      </c>
      <c r="L66" s="18">
        <v>0.16</v>
      </c>
      <c r="M66" s="27" t="str" cm="1">
        <f t="array" ref="M66">_xlfn.IFS(L66&lt;0.15,"Cold",L66&lt;0.25,"Mild",L66&lt;=0.32,"Warm",L66&gt;=0.33,"Hot")</f>
        <v>Mild</v>
      </c>
      <c r="N66" s="18">
        <v>0.1515</v>
      </c>
      <c r="O66" s="18">
        <v>0.59</v>
      </c>
      <c r="P66" s="18" t="str" cm="1">
        <f t="array" ref="P66">_xlfn.IFS(O66&gt;0.61, "High Humidity", O66&gt;=0.6, "Humid", O66&gt;0.4, "Less Humidity", TRUE, "Dry")</f>
        <v>Less Humidity</v>
      </c>
      <c r="Q66" s="18">
        <v>0.19400000000000001</v>
      </c>
      <c r="R66" s="18" t="str" cm="1">
        <f t="array" ref="R66">_xlfn.IFS(Q66&lt;=0.2,"Low Windspeed",Q66&lt;0.4,"Medium Windspeed",Q66&gt;=0.41,"High Windspeed")</f>
        <v>Low Windspeed</v>
      </c>
      <c r="S66" s="18">
        <v>1</v>
      </c>
      <c r="T66" s="18">
        <v>68</v>
      </c>
      <c r="U66" s="19">
        <v>69</v>
      </c>
      <c r="V66" s="18" t="str" cm="1">
        <f t="array" ref="V66">_xlfn.IFS(U66&lt;=70,"Low",U66&lt;=160,"Medium",U66&gt;=161,"High")</f>
        <v>Low</v>
      </c>
    </row>
    <row r="67" spans="1:22" x14ac:dyDescent="0.25">
      <c r="A67" s="16">
        <v>676</v>
      </c>
      <c r="B67" s="17">
        <v>40574</v>
      </c>
      <c r="C67" s="18">
        <v>1</v>
      </c>
      <c r="D67" s="18">
        <v>0</v>
      </c>
      <c r="E67" s="18">
        <v>1</v>
      </c>
      <c r="F67" s="18">
        <v>11</v>
      </c>
      <c r="G67" s="18" t="str" cm="1">
        <f t="array" ref="G67">_xlfn.IFS(F67&lt;4,"Night",F67&lt;=6,"Early Morning",F67&lt;11,"Morning",F67&lt;12,"Afternoon",F67&lt;=16,"Afternoon",F67&lt;=20,"Evening",F67&gt;=21,"Night")</f>
        <v>Afternoon</v>
      </c>
      <c r="H67" s="18" t="b">
        <v>0</v>
      </c>
      <c r="I67" s="18">
        <v>1</v>
      </c>
      <c r="J67" s="18" t="str" cm="1">
        <f t="array" ref="J67">_xlfn.IFS(I67=1,"Monday",I67=2,"Tuesday",I67=3,"Wednesday",I67=4,"Thursday",I67=5,"Friday",I67=6,"Saturday",I67=0,"Sunday")</f>
        <v>Monday</v>
      </c>
      <c r="K67" s="18">
        <v>2</v>
      </c>
      <c r="L67" s="18">
        <v>0.16</v>
      </c>
      <c r="M67" s="27" t="str" cm="1">
        <f t="array" ref="M67">_xlfn.IFS(L67&lt;0.15,"Cold",L67&lt;0.25,"Mild",L67&lt;=0.32,"Warm",L67&gt;=0.33,"Hot")</f>
        <v>Mild</v>
      </c>
      <c r="N67" s="18">
        <v>0.1515</v>
      </c>
      <c r="O67" s="18">
        <v>0.59</v>
      </c>
      <c r="P67" s="18" t="str" cm="1">
        <f t="array" ref="P67">_xlfn.IFS(O67&gt;0.61, "High Humidity", O67&gt;=0.6, "Humid", O67&gt;0.4, "Less Humidity", TRUE, "Dry")</f>
        <v>Less Humidity</v>
      </c>
      <c r="Q67" s="18">
        <v>0.19400000000000001</v>
      </c>
      <c r="R67" s="18" t="str" cm="1">
        <f t="array" ref="R67">_xlfn.IFS(Q67&lt;=0.2,"Low Windspeed",Q67&lt;0.4,"Medium Windspeed",Q67&gt;=0.41,"High Windspeed")</f>
        <v>Low Windspeed</v>
      </c>
      <c r="S67" s="18">
        <v>2</v>
      </c>
      <c r="T67" s="18">
        <v>46</v>
      </c>
      <c r="U67" s="19">
        <v>48</v>
      </c>
      <c r="V67" s="18" t="str" cm="1">
        <f t="array" ref="V67">_xlfn.IFS(U67&lt;=70,"Low",U67&lt;=160,"Medium",U67&gt;=161,"High")</f>
        <v>Low</v>
      </c>
    </row>
    <row r="68" spans="1:22" x14ac:dyDescent="0.25">
      <c r="A68" s="16">
        <v>677</v>
      </c>
      <c r="B68" s="17">
        <v>40574</v>
      </c>
      <c r="C68" s="18">
        <v>1</v>
      </c>
      <c r="D68" s="18">
        <v>0</v>
      </c>
      <c r="E68" s="18">
        <v>1</v>
      </c>
      <c r="F68" s="18">
        <v>12</v>
      </c>
      <c r="G68" s="18" t="str" cm="1">
        <f t="array" ref="G68">_xlfn.IFS(F68&lt;4,"Night",F68&lt;=6,"Early Morning",F68&lt;11,"Morning",F68&lt;12,"Afternoon",F68&lt;=16,"Afternoon",F68&lt;=20,"Evening",F68&gt;=21,"Night")</f>
        <v>Afternoon</v>
      </c>
      <c r="H68" s="18" t="b">
        <v>0</v>
      </c>
      <c r="I68" s="18">
        <v>1</v>
      </c>
      <c r="J68" s="18" t="str" cm="1">
        <f t="array" ref="J68">_xlfn.IFS(I68=1,"Monday",I68=2,"Tuesday",I68=3,"Wednesday",I68=4,"Thursday",I68=5,"Friday",I68=6,"Saturday",I68=0,"Sunday")</f>
        <v>Monday</v>
      </c>
      <c r="K68" s="18">
        <v>2</v>
      </c>
      <c r="L68" s="18">
        <v>0.18</v>
      </c>
      <c r="M68" s="27" t="str" cm="1">
        <f t="array" ref="M68">_xlfn.IFS(L68&lt;0.15,"Cold",L68&lt;0.25,"Mild",L68&lt;=0.32,"Warm",L68&gt;=0.33,"Hot")</f>
        <v>Mild</v>
      </c>
      <c r="N68" s="18">
        <v>0.21210000000000001</v>
      </c>
      <c r="O68" s="18">
        <v>0.55000000000000004</v>
      </c>
      <c r="P68" s="18" t="str" cm="1">
        <f t="array" ref="P68">_xlfn.IFS(O68&gt;0.61, "High Humidity", O68&gt;=0.6, "Humid", O68&gt;0.4, "Less Humidity", TRUE, "Dry")</f>
        <v>Less Humidity</v>
      </c>
      <c r="Q68" s="18">
        <v>0.1045</v>
      </c>
      <c r="R68" s="18" t="str" cm="1">
        <f t="array" ref="R68">_xlfn.IFS(Q68&lt;=0.2,"Low Windspeed",Q68&lt;0.4,"Medium Windspeed",Q68&gt;=0.41,"High Windspeed")</f>
        <v>Low Windspeed</v>
      </c>
      <c r="S68" s="18">
        <v>6</v>
      </c>
      <c r="T68" s="18">
        <v>62</v>
      </c>
      <c r="U68" s="19">
        <v>68</v>
      </c>
      <c r="V68" s="18" t="str" cm="1">
        <f t="array" ref="V68">_xlfn.IFS(U68&lt;=70,"Low",U68&lt;=160,"Medium",U68&gt;=161,"High")</f>
        <v>Low</v>
      </c>
    </row>
    <row r="69" spans="1:22" x14ac:dyDescent="0.25">
      <c r="A69" s="16">
        <v>678</v>
      </c>
      <c r="B69" s="17">
        <v>40574</v>
      </c>
      <c r="C69" s="18">
        <v>1</v>
      </c>
      <c r="D69" s="18">
        <v>0</v>
      </c>
      <c r="E69" s="18">
        <v>1</v>
      </c>
      <c r="F69" s="18">
        <v>13</v>
      </c>
      <c r="G69" s="18" t="str" cm="1">
        <f t="array" ref="G69">_xlfn.IFS(F69&lt;4,"Night",F69&lt;=6,"Early Morning",F69&lt;11,"Morning",F69&lt;12,"Afternoon",F69&lt;=16,"Afternoon",F69&lt;=20,"Evening",F69&gt;=21,"Night")</f>
        <v>Afternoon</v>
      </c>
      <c r="H69" s="18" t="b">
        <v>0</v>
      </c>
      <c r="I69" s="18">
        <v>1</v>
      </c>
      <c r="J69" s="18" t="str" cm="1">
        <f t="array" ref="J69">_xlfn.IFS(I69=1,"Monday",I69=2,"Tuesday",I69=3,"Wednesday",I69=4,"Thursday",I69=5,"Friday",I69=6,"Saturday",I69=0,"Sunday")</f>
        <v>Monday</v>
      </c>
      <c r="K69" s="18">
        <v>2</v>
      </c>
      <c r="L69" s="18">
        <v>0.16</v>
      </c>
      <c r="M69" s="27" t="str" cm="1">
        <f t="array" ref="M69">_xlfn.IFS(L69&lt;0.15,"Cold",L69&lt;0.25,"Mild",L69&lt;=0.32,"Warm",L69&gt;=0.33,"Hot")</f>
        <v>Mild</v>
      </c>
      <c r="N69" s="18">
        <v>0.2273</v>
      </c>
      <c r="O69" s="18">
        <v>0.59</v>
      </c>
      <c r="P69" s="18" t="str" cm="1">
        <f t="array" ref="P69">_xlfn.IFS(O69&gt;0.61, "High Humidity", O69&gt;=0.6, "Humid", O69&gt;0.4, "Less Humidity", TRUE, "Dry")</f>
        <v>Less Humidity</v>
      </c>
      <c r="Q69" s="18">
        <v>0</v>
      </c>
      <c r="R69" s="18" t="str" cm="1">
        <f t="array" ref="R69">_xlfn.IFS(Q69&lt;=0.2,"Low Windspeed",Q69&lt;0.4,"Medium Windspeed",Q69&gt;=0.41,"High Windspeed")</f>
        <v>Low Windspeed</v>
      </c>
      <c r="S69" s="18">
        <v>2</v>
      </c>
      <c r="T69" s="18">
        <v>52</v>
      </c>
      <c r="U69" s="19">
        <v>54</v>
      </c>
      <c r="V69" s="18" t="str" cm="1">
        <f t="array" ref="V69">_xlfn.IFS(U69&lt;=70,"Low",U69&lt;=160,"Medium",U69&gt;=161,"High")</f>
        <v>Low</v>
      </c>
    </row>
    <row r="70" spans="1:22" x14ac:dyDescent="0.25">
      <c r="A70" s="16">
        <v>679</v>
      </c>
      <c r="B70" s="17">
        <v>40574</v>
      </c>
      <c r="C70" s="18">
        <v>1</v>
      </c>
      <c r="D70" s="18">
        <v>0</v>
      </c>
      <c r="E70" s="18">
        <v>1</v>
      </c>
      <c r="F70" s="18">
        <v>14</v>
      </c>
      <c r="G70" s="18" t="str" cm="1">
        <f t="array" ref="G70">_xlfn.IFS(F70&lt;4,"Night",F70&lt;=6,"Early Morning",F70&lt;11,"Morning",F70&lt;12,"Afternoon",F70&lt;=16,"Afternoon",F70&lt;=20,"Evening",F70&gt;=21,"Night")</f>
        <v>Afternoon</v>
      </c>
      <c r="H70" s="18" t="b">
        <v>0</v>
      </c>
      <c r="I70" s="18">
        <v>1</v>
      </c>
      <c r="J70" s="18" t="str" cm="1">
        <f t="array" ref="J70">_xlfn.IFS(I70=1,"Monday",I70=2,"Tuesday",I70=3,"Wednesday",I70=4,"Thursday",I70=5,"Friday",I70=6,"Saturday",I70=0,"Sunday")</f>
        <v>Monday</v>
      </c>
      <c r="K70" s="18">
        <v>2</v>
      </c>
      <c r="L70" s="18">
        <v>0.18</v>
      </c>
      <c r="M70" s="27" t="str" cm="1">
        <f t="array" ref="M70">_xlfn.IFS(L70&lt;0.15,"Cold",L70&lt;0.25,"Mild",L70&lt;=0.32,"Warm",L70&gt;=0.33,"Hot")</f>
        <v>Mild</v>
      </c>
      <c r="N70" s="18">
        <v>0.19700000000000001</v>
      </c>
      <c r="O70" s="18">
        <v>0.55000000000000004</v>
      </c>
      <c r="P70" s="18" t="str" cm="1">
        <f t="array" ref="P70">_xlfn.IFS(O70&gt;0.61, "High Humidity", O70&gt;=0.6, "Humid", O70&gt;0.4, "Less Humidity", TRUE, "Dry")</f>
        <v>Less Humidity</v>
      </c>
      <c r="Q70" s="18">
        <v>0.1343</v>
      </c>
      <c r="R70" s="18" t="str" cm="1">
        <f t="array" ref="R70">_xlfn.IFS(Q70&lt;=0.2,"Low Windspeed",Q70&lt;0.4,"Medium Windspeed",Q70&gt;=0.41,"High Windspeed")</f>
        <v>Low Windspeed</v>
      </c>
      <c r="S70" s="18">
        <v>1</v>
      </c>
      <c r="T70" s="18">
        <v>85</v>
      </c>
      <c r="U70" s="19">
        <v>86</v>
      </c>
      <c r="V70" s="18" t="str" cm="1">
        <f t="array" ref="V70">_xlfn.IFS(U70&lt;=70,"Low",U70&lt;=160,"Medium",U70&gt;=161,"High")</f>
        <v>Medium</v>
      </c>
    </row>
    <row r="71" spans="1:22" x14ac:dyDescent="0.25">
      <c r="A71" s="16">
        <v>680</v>
      </c>
      <c r="B71" s="17">
        <v>40574</v>
      </c>
      <c r="C71" s="18">
        <v>1</v>
      </c>
      <c r="D71" s="18">
        <v>0</v>
      </c>
      <c r="E71" s="18">
        <v>1</v>
      </c>
      <c r="F71" s="18">
        <v>15</v>
      </c>
      <c r="G71" s="18" t="str" cm="1">
        <f t="array" ref="G71">_xlfn.IFS(F71&lt;4,"Night",F71&lt;=6,"Early Morning",F71&lt;11,"Morning",F71&lt;12,"Afternoon",F71&lt;=16,"Afternoon",F71&lt;=20,"Evening",F71&gt;=21,"Night")</f>
        <v>Afternoon</v>
      </c>
      <c r="H71" s="18" t="b">
        <v>0</v>
      </c>
      <c r="I71" s="18">
        <v>1</v>
      </c>
      <c r="J71" s="18" t="str" cm="1">
        <f t="array" ref="J71">_xlfn.IFS(I71=1,"Monday",I71=2,"Tuesday",I71=3,"Wednesday",I71=4,"Thursday",I71=5,"Friday",I71=6,"Saturday",I71=0,"Sunday")</f>
        <v>Monday</v>
      </c>
      <c r="K71" s="18">
        <v>2</v>
      </c>
      <c r="L71" s="18">
        <v>0.16</v>
      </c>
      <c r="M71" s="27" t="str" cm="1">
        <f t="array" ref="M71">_xlfn.IFS(L71&lt;0.15,"Cold",L71&lt;0.25,"Mild",L71&lt;=0.32,"Warm",L71&gt;=0.33,"Hot")</f>
        <v>Mild</v>
      </c>
      <c r="N71" s="18">
        <v>0.18179999999999999</v>
      </c>
      <c r="O71" s="18">
        <v>0.59</v>
      </c>
      <c r="P71" s="18" t="str" cm="1">
        <f t="array" ref="P71">_xlfn.IFS(O71&gt;0.61, "High Humidity", O71&gt;=0.6, "Humid", O71&gt;0.4, "Less Humidity", TRUE, "Dry")</f>
        <v>Less Humidity</v>
      </c>
      <c r="Q71" s="18">
        <v>0.1343</v>
      </c>
      <c r="R71" s="18" t="str" cm="1">
        <f t="array" ref="R71">_xlfn.IFS(Q71&lt;=0.2,"Low Windspeed",Q71&lt;0.4,"Medium Windspeed",Q71&gt;=0.41,"High Windspeed")</f>
        <v>Low Windspeed</v>
      </c>
      <c r="S71" s="18">
        <v>3</v>
      </c>
      <c r="T71" s="18">
        <v>41</v>
      </c>
      <c r="U71" s="19">
        <v>44</v>
      </c>
      <c r="V71" s="18" t="str" cm="1">
        <f t="array" ref="V71">_xlfn.IFS(U71&lt;=70,"Low",U71&lt;=160,"Medium",U71&gt;=161,"High")</f>
        <v>Low</v>
      </c>
    </row>
    <row r="72" spans="1:22" x14ac:dyDescent="0.25">
      <c r="A72" s="16">
        <v>681</v>
      </c>
      <c r="B72" s="17">
        <v>40574</v>
      </c>
      <c r="C72" s="18">
        <v>1</v>
      </c>
      <c r="D72" s="18">
        <v>0</v>
      </c>
      <c r="E72" s="18">
        <v>1</v>
      </c>
      <c r="F72" s="18">
        <v>16</v>
      </c>
      <c r="G72" s="18" t="str" cm="1">
        <f t="array" ref="G72">_xlfn.IFS(F72&lt;4,"Night",F72&lt;=6,"Early Morning",F72&lt;11,"Morning",F72&lt;12,"Afternoon",F72&lt;=16,"Afternoon",F72&lt;=20,"Evening",F72&gt;=21,"Night")</f>
        <v>Afternoon</v>
      </c>
      <c r="H72" s="18" t="b">
        <v>0</v>
      </c>
      <c r="I72" s="18">
        <v>1</v>
      </c>
      <c r="J72" s="18" t="str" cm="1">
        <f t="array" ref="J72">_xlfn.IFS(I72=1,"Monday",I72=2,"Tuesday",I72=3,"Wednesday",I72=4,"Thursday",I72=5,"Friday",I72=6,"Saturday",I72=0,"Sunday")</f>
        <v>Monday</v>
      </c>
      <c r="K72" s="18">
        <v>2</v>
      </c>
      <c r="L72" s="18">
        <v>0.16</v>
      </c>
      <c r="M72" s="27" t="str" cm="1">
        <f t="array" ref="M72">_xlfn.IFS(L72&lt;0.15,"Cold",L72&lt;0.25,"Mild",L72&lt;=0.32,"Warm",L72&gt;=0.33,"Hot")</f>
        <v>Mild</v>
      </c>
      <c r="N72" s="18">
        <v>0.18179999999999999</v>
      </c>
      <c r="O72" s="18">
        <v>0.56000000000000005</v>
      </c>
      <c r="P72" s="18" t="str" cm="1">
        <f t="array" ref="P72">_xlfn.IFS(O72&gt;0.61, "High Humidity", O72&gt;=0.6, "Humid", O72&gt;0.4, "Less Humidity", TRUE, "Dry")</f>
        <v>Less Humidity</v>
      </c>
      <c r="Q72" s="18">
        <v>0.19400000000000001</v>
      </c>
      <c r="R72" s="18" t="str" cm="1">
        <f t="array" ref="R72">_xlfn.IFS(Q72&lt;=0.2,"Low Windspeed",Q72&lt;0.4,"Medium Windspeed",Q72&gt;=0.41,"High Windspeed")</f>
        <v>Low Windspeed</v>
      </c>
      <c r="S72" s="18">
        <v>3</v>
      </c>
      <c r="T72" s="18">
        <v>83</v>
      </c>
      <c r="U72" s="19">
        <v>86</v>
      </c>
      <c r="V72" s="18" t="str" cm="1">
        <f t="array" ref="V72">_xlfn.IFS(U72&lt;=70,"Low",U72&lt;=160,"Medium",U72&gt;=161,"High")</f>
        <v>Medium</v>
      </c>
    </row>
    <row r="73" spans="1:22" x14ac:dyDescent="0.25">
      <c r="A73" s="16">
        <v>682</v>
      </c>
      <c r="B73" s="17">
        <v>40574</v>
      </c>
      <c r="C73" s="18">
        <v>1</v>
      </c>
      <c r="D73" s="18">
        <v>0</v>
      </c>
      <c r="E73" s="18">
        <v>1</v>
      </c>
      <c r="F73" s="18">
        <v>17</v>
      </c>
      <c r="G73" s="18" t="str" cm="1">
        <f t="array" ref="G73">_xlfn.IFS(F73&lt;4,"Night",F73&lt;=6,"Early Morning",F73&lt;11,"Morning",F73&lt;12,"Afternoon",F73&lt;=16,"Afternoon",F73&lt;=20,"Evening",F73&gt;=21,"Night")</f>
        <v>Evening</v>
      </c>
      <c r="H73" s="18" t="b">
        <v>0</v>
      </c>
      <c r="I73" s="18">
        <v>1</v>
      </c>
      <c r="J73" s="18" t="str" cm="1">
        <f t="array" ref="J73">_xlfn.IFS(I73=1,"Monday",I73=2,"Tuesday",I73=3,"Wednesday",I73=4,"Thursday",I73=5,"Friday",I73=6,"Saturday",I73=0,"Sunday")</f>
        <v>Monday</v>
      </c>
      <c r="K73" s="18">
        <v>2</v>
      </c>
      <c r="L73" s="18">
        <v>0.16</v>
      </c>
      <c r="M73" s="27" t="str" cm="1">
        <f t="array" ref="M73">_xlfn.IFS(L73&lt;0.15,"Cold",L73&lt;0.25,"Mild",L73&lt;=0.32,"Warm",L73&gt;=0.33,"Hot")</f>
        <v>Mild</v>
      </c>
      <c r="N73" s="18">
        <v>0.1515</v>
      </c>
      <c r="O73" s="18">
        <v>0.59</v>
      </c>
      <c r="P73" s="18" t="str" cm="1">
        <f t="array" ref="P73">_xlfn.IFS(O73&gt;0.61, "High Humidity", O73&gt;=0.6, "Humid", O73&gt;0.4, "Less Humidity", TRUE, "Dry")</f>
        <v>Less Humidity</v>
      </c>
      <c r="Q73" s="18">
        <v>0.19400000000000001</v>
      </c>
      <c r="R73" s="18" t="str" cm="1">
        <f t="array" ref="R73">_xlfn.IFS(Q73&lt;=0.2,"Low Windspeed",Q73&lt;0.4,"Medium Windspeed",Q73&gt;=0.41,"High Windspeed")</f>
        <v>Low Windspeed</v>
      </c>
      <c r="S73" s="18">
        <v>6</v>
      </c>
      <c r="T73" s="18">
        <v>155</v>
      </c>
      <c r="U73" s="19">
        <v>161</v>
      </c>
      <c r="V73" s="18" t="str" cm="1">
        <f t="array" ref="V73">_xlfn.IFS(U73&lt;=70,"Low",U73&lt;=160,"Medium",U73&gt;=161,"High")</f>
        <v>High</v>
      </c>
    </row>
    <row r="74" spans="1:22" x14ac:dyDescent="0.25">
      <c r="A74" s="16">
        <v>683</v>
      </c>
      <c r="B74" s="17">
        <v>40574</v>
      </c>
      <c r="C74" s="18">
        <v>1</v>
      </c>
      <c r="D74" s="18">
        <v>0</v>
      </c>
      <c r="E74" s="18">
        <v>1</v>
      </c>
      <c r="F74" s="18">
        <v>18</v>
      </c>
      <c r="G74" s="18" t="str" cm="1">
        <f t="array" ref="G74">_xlfn.IFS(F74&lt;4,"Night",F74&lt;=6,"Early Morning",F74&lt;11,"Morning",F74&lt;12,"Afternoon",F74&lt;=16,"Afternoon",F74&lt;=20,"Evening",F74&gt;=21,"Night")</f>
        <v>Evening</v>
      </c>
      <c r="H74" s="18" t="b">
        <v>0</v>
      </c>
      <c r="I74" s="18">
        <v>1</v>
      </c>
      <c r="J74" s="18" t="str" cm="1">
        <f t="array" ref="J74">_xlfn.IFS(I74=1,"Monday",I74=2,"Tuesday",I74=3,"Wednesday",I74=4,"Thursday",I74=5,"Friday",I74=6,"Saturday",I74=0,"Sunday")</f>
        <v>Monday</v>
      </c>
      <c r="K74" s="18">
        <v>2</v>
      </c>
      <c r="L74" s="18">
        <v>0.16</v>
      </c>
      <c r="M74" s="27" t="str" cm="1">
        <f t="array" ref="M74">_xlfn.IFS(L74&lt;0.15,"Cold",L74&lt;0.25,"Mild",L74&lt;=0.32,"Warm",L74&gt;=0.33,"Hot")</f>
        <v>Mild</v>
      </c>
      <c r="N74" s="18">
        <v>0.1515</v>
      </c>
      <c r="O74" s="18">
        <v>0.55000000000000004</v>
      </c>
      <c r="P74" s="18" t="str" cm="1">
        <f t="array" ref="P74">_xlfn.IFS(O74&gt;0.61, "High Humidity", O74&gt;=0.6, "Humid", O74&gt;0.4, "Less Humidity", TRUE, "Dry")</f>
        <v>Less Humidity</v>
      </c>
      <c r="Q74" s="18">
        <v>0.22389999999999999</v>
      </c>
      <c r="R74" s="18" t="str" cm="1">
        <f t="array" ref="R74">_xlfn.IFS(Q74&lt;=0.2,"Low Windspeed",Q74&lt;0.4,"Medium Windspeed",Q74&gt;=0.41,"High Windspeed")</f>
        <v>Medium Windspeed</v>
      </c>
      <c r="S74" s="18">
        <v>3</v>
      </c>
      <c r="T74" s="18">
        <v>153</v>
      </c>
      <c r="U74" s="19">
        <v>156</v>
      </c>
      <c r="V74" s="18" t="str" cm="1">
        <f t="array" ref="V74">_xlfn.IFS(U74&lt;=70,"Low",U74&lt;=160,"Medium",U74&gt;=161,"High")</f>
        <v>Medium</v>
      </c>
    </row>
    <row r="75" spans="1:22" x14ac:dyDescent="0.25">
      <c r="A75" s="16">
        <v>684</v>
      </c>
      <c r="B75" s="17">
        <v>40574</v>
      </c>
      <c r="C75" s="18">
        <v>1</v>
      </c>
      <c r="D75" s="18">
        <v>0</v>
      </c>
      <c r="E75" s="18">
        <v>1</v>
      </c>
      <c r="F75" s="18">
        <v>19</v>
      </c>
      <c r="G75" s="18" t="str" cm="1">
        <f t="array" ref="G75">_xlfn.IFS(F75&lt;4,"Night",F75&lt;=6,"Early Morning",F75&lt;11,"Morning",F75&lt;12,"Afternoon",F75&lt;=16,"Afternoon",F75&lt;=20,"Evening",F75&gt;=21,"Night")</f>
        <v>Evening</v>
      </c>
      <c r="H75" s="18" t="b">
        <v>0</v>
      </c>
      <c r="I75" s="18">
        <v>1</v>
      </c>
      <c r="J75" s="18" t="str" cm="1">
        <f t="array" ref="J75">_xlfn.IFS(I75=1,"Monday",I75=2,"Tuesday",I75=3,"Wednesday",I75=4,"Thursday",I75=5,"Friday",I75=6,"Saturday",I75=0,"Sunday")</f>
        <v>Monday</v>
      </c>
      <c r="K75" s="18">
        <v>1</v>
      </c>
      <c r="L75" s="18">
        <v>0.3</v>
      </c>
      <c r="M75" s="27" t="str" cm="1">
        <f t="array" ref="M75">_xlfn.IFS(L75&lt;0.15,"Cold",L75&lt;0.25,"Mild",L75&lt;=0.32,"Warm",L75&gt;=0.33,"Hot")</f>
        <v>Warm</v>
      </c>
      <c r="N75" s="18">
        <v>0.31819999999999998</v>
      </c>
      <c r="O75" s="18">
        <v>0.61</v>
      </c>
      <c r="P75" s="18" t="str" cm="1">
        <f t="array" ref="P75">_xlfn.IFS(O75&gt;0.61, "High Humidity", O75&gt;=0.6, "Humid", O75&gt;0.4, "Less Humidity", TRUE, "Dry")</f>
        <v>Humid</v>
      </c>
      <c r="Q75" s="18">
        <v>0.1045</v>
      </c>
      <c r="R75" s="18" t="str" cm="1">
        <f t="array" ref="R75">_xlfn.IFS(Q75&lt;=0.2,"Low Windspeed",Q75&lt;0.4,"Medium Windspeed",Q75&gt;=0.41,"High Windspeed")</f>
        <v>Low Windspeed</v>
      </c>
      <c r="S75" s="18">
        <v>3</v>
      </c>
      <c r="T75" s="18">
        <v>108</v>
      </c>
      <c r="U75" s="19">
        <v>111</v>
      </c>
      <c r="V75" s="18" t="str" cm="1">
        <f t="array" ref="V75">_xlfn.IFS(U75&lt;=70,"Low",U75&lt;=160,"Medium",U75&gt;=161,"High")</f>
        <v>Medium</v>
      </c>
    </row>
    <row r="76" spans="1:22" x14ac:dyDescent="0.25">
      <c r="A76" s="16">
        <v>685</v>
      </c>
      <c r="B76" s="17">
        <v>40574</v>
      </c>
      <c r="C76" s="18">
        <v>1</v>
      </c>
      <c r="D76" s="18">
        <v>0</v>
      </c>
      <c r="E76" s="18">
        <v>1</v>
      </c>
      <c r="F76" s="18">
        <v>20</v>
      </c>
      <c r="G76" s="18" t="str" cm="1">
        <f t="array" ref="G76">_xlfn.IFS(F76&lt;4,"Night",F76&lt;=6,"Early Morning",F76&lt;11,"Morning",F76&lt;12,"Afternoon",F76&lt;=16,"Afternoon",F76&lt;=20,"Evening",F76&gt;=21,"Night")</f>
        <v>Evening</v>
      </c>
      <c r="H76" s="18" t="b">
        <v>0</v>
      </c>
      <c r="I76" s="18">
        <v>1</v>
      </c>
      <c r="J76" s="18" t="str" cm="1">
        <f t="array" ref="J76">_xlfn.IFS(I76=1,"Monday",I76=2,"Tuesday",I76=3,"Wednesday",I76=4,"Thursday",I76=5,"Friday",I76=6,"Saturday",I76=0,"Sunday")</f>
        <v>Monday</v>
      </c>
      <c r="K76" s="18">
        <v>3</v>
      </c>
      <c r="L76" s="18">
        <v>0.16</v>
      </c>
      <c r="M76" s="27" t="str" cm="1">
        <f t="array" ref="M76">_xlfn.IFS(L76&lt;0.15,"Cold",L76&lt;0.25,"Mild",L76&lt;=0.32,"Warm",L76&gt;=0.33,"Hot")</f>
        <v>Mild</v>
      </c>
      <c r="N76" s="18">
        <v>0.16669999999999999</v>
      </c>
      <c r="O76" s="18">
        <v>0.59</v>
      </c>
      <c r="P76" s="18" t="str" cm="1">
        <f t="array" ref="P76">_xlfn.IFS(O76&gt;0.61, "High Humidity", O76&gt;=0.6, "Humid", O76&gt;0.4, "Less Humidity", TRUE, "Dry")</f>
        <v>Less Humidity</v>
      </c>
      <c r="Q76" s="18">
        <v>0.16420000000000001</v>
      </c>
      <c r="R76" s="18" t="str" cm="1">
        <f t="array" ref="R76">_xlfn.IFS(Q76&lt;=0.2,"Low Windspeed",Q76&lt;0.4,"Medium Windspeed",Q76&gt;=0.41,"High Windspeed")</f>
        <v>Low Windspeed</v>
      </c>
      <c r="S76" s="18">
        <v>0</v>
      </c>
      <c r="T76" s="18">
        <v>78</v>
      </c>
      <c r="U76" s="19">
        <v>78</v>
      </c>
      <c r="V76" s="18" t="str" cm="1">
        <f t="array" ref="V76">_xlfn.IFS(U76&lt;=70,"Low",U76&lt;=160,"Medium",U76&gt;=161,"High")</f>
        <v>Medium</v>
      </c>
    </row>
    <row r="77" spans="1:22" x14ac:dyDescent="0.25">
      <c r="A77" s="16">
        <v>686</v>
      </c>
      <c r="B77" s="17">
        <v>40574</v>
      </c>
      <c r="C77" s="18">
        <v>1</v>
      </c>
      <c r="D77" s="18">
        <v>0</v>
      </c>
      <c r="E77" s="18">
        <v>1</v>
      </c>
      <c r="F77" s="18">
        <v>21</v>
      </c>
      <c r="G77" s="18" t="str" cm="1">
        <f t="array" ref="G77">_xlfn.IFS(F77&lt;4,"Night",F77&lt;=6,"Early Morning",F77&lt;11,"Morning",F77&lt;12,"Afternoon",F77&lt;=16,"Afternoon",F77&lt;=20,"Evening",F77&gt;=21,"Night")</f>
        <v>Night</v>
      </c>
      <c r="H77" s="18" t="b">
        <v>0</v>
      </c>
      <c r="I77" s="18">
        <v>1</v>
      </c>
      <c r="J77" s="18" t="str" cm="1">
        <f t="array" ref="J77">_xlfn.IFS(I77=1,"Monday",I77=2,"Tuesday",I77=3,"Wednesday",I77=4,"Thursday",I77=5,"Friday",I77=6,"Saturday",I77=0,"Sunday")</f>
        <v>Monday</v>
      </c>
      <c r="K77" s="18">
        <v>3</v>
      </c>
      <c r="L77" s="18">
        <v>0.16</v>
      </c>
      <c r="M77" s="27" t="str" cm="1">
        <f t="array" ref="M77">_xlfn.IFS(L77&lt;0.15,"Cold",L77&lt;0.25,"Mild",L77&lt;=0.32,"Warm",L77&gt;=0.33,"Hot")</f>
        <v>Mild</v>
      </c>
      <c r="N77" s="18">
        <v>0.19700000000000001</v>
      </c>
      <c r="O77" s="18">
        <v>0.59</v>
      </c>
      <c r="P77" s="18" t="str" cm="1">
        <f t="array" ref="P77">_xlfn.IFS(O77&gt;0.61, "High Humidity", O77&gt;=0.6, "Humid", O77&gt;0.4, "Less Humidity", TRUE, "Dry")</f>
        <v>Less Humidity</v>
      </c>
      <c r="Q77" s="18">
        <v>8.9599999999999999E-2</v>
      </c>
      <c r="R77" s="18" t="str" cm="1">
        <f t="array" ref="R77">_xlfn.IFS(Q77&lt;=0.2,"Low Windspeed",Q77&lt;0.4,"Medium Windspeed",Q77&gt;=0.41,"High Windspeed")</f>
        <v>Low Windspeed</v>
      </c>
      <c r="S77" s="18">
        <v>3</v>
      </c>
      <c r="T77" s="18">
        <v>53</v>
      </c>
      <c r="U77" s="19">
        <v>56</v>
      </c>
      <c r="V77" s="18" t="str" cm="1">
        <f t="array" ref="V77">_xlfn.IFS(U77&lt;=70,"Low",U77&lt;=160,"Medium",U77&gt;=161,"High")</f>
        <v>Low</v>
      </c>
    </row>
    <row r="78" spans="1:22" x14ac:dyDescent="0.25">
      <c r="A78" s="16">
        <v>687</v>
      </c>
      <c r="B78" s="17">
        <v>40574</v>
      </c>
      <c r="C78" s="18">
        <v>1</v>
      </c>
      <c r="D78" s="18">
        <v>0</v>
      </c>
      <c r="E78" s="18">
        <v>1</v>
      </c>
      <c r="F78" s="18">
        <v>22</v>
      </c>
      <c r="G78" s="18" t="str" cm="1">
        <f t="array" ref="G78">_xlfn.IFS(F78&lt;4,"Night",F78&lt;=6,"Early Morning",F78&lt;11,"Morning",F78&lt;12,"Afternoon",F78&lt;=16,"Afternoon",F78&lt;=20,"Evening",F78&gt;=21,"Night")</f>
        <v>Night</v>
      </c>
      <c r="H78" s="18" t="b">
        <v>0</v>
      </c>
      <c r="I78" s="18">
        <v>1</v>
      </c>
      <c r="J78" s="18" t="str" cm="1">
        <f t="array" ref="J78">_xlfn.IFS(I78=1,"Monday",I78=2,"Tuesday",I78=3,"Wednesday",I78=4,"Thursday",I78=5,"Friday",I78=6,"Saturday",I78=0,"Sunday")</f>
        <v>Monday</v>
      </c>
      <c r="K78" s="18">
        <v>2</v>
      </c>
      <c r="L78" s="18">
        <v>0.16</v>
      </c>
      <c r="M78" s="27" t="str" cm="1">
        <f t="array" ref="M78">_xlfn.IFS(L78&lt;0.15,"Cold",L78&lt;0.25,"Mild",L78&lt;=0.32,"Warm",L78&gt;=0.33,"Hot")</f>
        <v>Mild</v>
      </c>
      <c r="N78" s="18">
        <v>0.18179999999999999</v>
      </c>
      <c r="O78" s="18">
        <v>0.59</v>
      </c>
      <c r="P78" s="18" t="str" cm="1">
        <f t="array" ref="P78">_xlfn.IFS(O78&gt;0.61, "High Humidity", O78&gt;=0.6, "Humid", O78&gt;0.4, "Less Humidity", TRUE, "Dry")</f>
        <v>Less Humidity</v>
      </c>
      <c r="Q78" s="18">
        <v>0.1045</v>
      </c>
      <c r="R78" s="18" t="str" cm="1">
        <f t="array" ref="R78">_xlfn.IFS(Q78&lt;=0.2,"Low Windspeed",Q78&lt;0.4,"Medium Windspeed",Q78&gt;=0.41,"High Windspeed")</f>
        <v>Low Windspeed</v>
      </c>
      <c r="S78" s="18">
        <v>0</v>
      </c>
      <c r="T78" s="18">
        <v>34</v>
      </c>
      <c r="U78" s="19">
        <v>34</v>
      </c>
      <c r="V78" s="18" t="str" cm="1">
        <f t="array" ref="V78">_xlfn.IFS(U78&lt;=70,"Low",U78&lt;=160,"Medium",U78&gt;=161,"High")</f>
        <v>Low</v>
      </c>
    </row>
    <row r="79" spans="1:22" x14ac:dyDescent="0.25">
      <c r="A79" s="16">
        <v>688</v>
      </c>
      <c r="B79" s="17">
        <v>40574</v>
      </c>
      <c r="C79" s="18">
        <v>1</v>
      </c>
      <c r="D79" s="18">
        <v>0</v>
      </c>
      <c r="E79" s="18">
        <v>1</v>
      </c>
      <c r="F79" s="18">
        <v>23</v>
      </c>
      <c r="G79" s="18" t="str" cm="1">
        <f t="array" ref="G79">_xlfn.IFS(F79&lt;4,"Night",F79&lt;=6,"Early Morning",F79&lt;11,"Morning",F79&lt;12,"Afternoon",F79&lt;=16,"Afternoon",F79&lt;=20,"Evening",F79&gt;=21,"Night")</f>
        <v>Night</v>
      </c>
      <c r="H79" s="18" t="b">
        <v>0</v>
      </c>
      <c r="I79" s="18">
        <v>1</v>
      </c>
      <c r="J79" s="18" t="str" cm="1">
        <f t="array" ref="J79">_xlfn.IFS(I79=1,"Monday",I79=2,"Tuesday",I79=3,"Wednesday",I79=4,"Thursday",I79=5,"Friday",I79=6,"Saturday",I79=0,"Sunday")</f>
        <v>Monday</v>
      </c>
      <c r="K79" s="18">
        <v>2</v>
      </c>
      <c r="L79" s="18">
        <v>0.16</v>
      </c>
      <c r="M79" s="27" t="str" cm="1">
        <f t="array" ref="M79">_xlfn.IFS(L79&lt;0.15,"Cold",L79&lt;0.25,"Mild",L79&lt;=0.32,"Warm",L79&gt;=0.33,"Hot")</f>
        <v>Mild</v>
      </c>
      <c r="N79" s="18">
        <v>0.19700000000000001</v>
      </c>
      <c r="O79" s="18">
        <v>0.64</v>
      </c>
      <c r="P79" s="18" t="str" cm="1">
        <f t="array" ref="P79">_xlfn.IFS(O79&gt;0.61, "High Humidity", O79&gt;=0.6, "Humid", O79&gt;0.4, "Less Humidity", TRUE, "Dry")</f>
        <v>High Humidity</v>
      </c>
      <c r="Q79" s="18">
        <v>8.9599999999999999E-2</v>
      </c>
      <c r="R79" s="18" t="str" cm="1">
        <f t="array" ref="R79">_xlfn.IFS(Q79&lt;=0.2,"Low Windspeed",Q79&lt;0.4,"Medium Windspeed",Q79&gt;=0.41,"High Windspeed")</f>
        <v>Low Windspeed</v>
      </c>
      <c r="S79" s="18">
        <v>2</v>
      </c>
      <c r="T79" s="18">
        <v>15</v>
      </c>
      <c r="U79" s="19">
        <v>17</v>
      </c>
      <c r="V79" s="18" t="str" cm="1">
        <f t="array" ref="V79">_xlfn.IFS(U79&lt;=70,"Low",U79&lt;=160,"Medium",U79&gt;=161,"High")</f>
        <v>Low</v>
      </c>
    </row>
    <row r="80" spans="1:22" x14ac:dyDescent="0.25">
      <c r="A80" s="16">
        <v>689</v>
      </c>
      <c r="B80" s="17">
        <v>40575</v>
      </c>
      <c r="C80" s="18">
        <v>1</v>
      </c>
      <c r="D80" s="18">
        <v>0</v>
      </c>
      <c r="E80" s="18">
        <v>2</v>
      </c>
      <c r="F80" s="18">
        <v>0</v>
      </c>
      <c r="G80" s="18" t="str" cm="1">
        <f t="array" ref="G80">_xlfn.IFS(F80&lt;4,"Night",F80&lt;=6,"Early Morning",F80&lt;11,"Morning",F80&lt;12,"Afternoon",F80&lt;=16,"Afternoon",F80&lt;=20,"Evening",F80&gt;=21,"Night")</f>
        <v>Night</v>
      </c>
      <c r="H80" s="18" t="b">
        <v>0</v>
      </c>
      <c r="I80" s="18">
        <v>2</v>
      </c>
      <c r="J80" s="18" t="str" cm="1">
        <f t="array" ref="J80">_xlfn.IFS(I80=1,"Monday",I80=2,"Tuesday",I80=3,"Wednesday",I80=4,"Thursday",I80=5,"Friday",I80=6,"Saturday",I80=0,"Sunday")</f>
        <v>Tuesday</v>
      </c>
      <c r="K80" s="18">
        <v>2</v>
      </c>
      <c r="L80" s="18">
        <v>0.16</v>
      </c>
      <c r="M80" s="27" t="str" cm="1">
        <f t="array" ref="M80">_xlfn.IFS(L80&lt;0.15,"Cold",L80&lt;0.25,"Mild",L80&lt;=0.32,"Warm",L80&gt;=0.33,"Hot")</f>
        <v>Mild</v>
      </c>
      <c r="N80" s="18">
        <v>0.18179999999999999</v>
      </c>
      <c r="O80" s="18">
        <v>0.64</v>
      </c>
      <c r="P80" s="18" t="str" cm="1">
        <f t="array" ref="P80">_xlfn.IFS(O80&gt;0.61, "High Humidity", O80&gt;=0.6, "Humid", O80&gt;0.4, "Less Humidity", TRUE, "Dry")</f>
        <v>High Humidity</v>
      </c>
      <c r="Q80" s="18">
        <v>0.1045</v>
      </c>
      <c r="R80" s="18" t="str" cm="1">
        <f t="array" ref="R80">_xlfn.IFS(Q80&lt;=0.2,"Low Windspeed",Q80&lt;0.4,"Medium Windspeed",Q80&gt;=0.41,"High Windspeed")</f>
        <v>Low Windspeed</v>
      </c>
      <c r="S80" s="18">
        <v>2</v>
      </c>
      <c r="T80" s="18">
        <v>6</v>
      </c>
      <c r="U80" s="19">
        <v>8</v>
      </c>
      <c r="V80" s="18" t="str" cm="1">
        <f t="array" ref="V80">_xlfn.IFS(U80&lt;=70,"Low",U80&lt;=160,"Medium",U80&gt;=161,"High")</f>
        <v>Low</v>
      </c>
    </row>
    <row r="81" spans="1:22" x14ac:dyDescent="0.25">
      <c r="A81" s="16">
        <v>690</v>
      </c>
      <c r="B81" s="17">
        <v>40575</v>
      </c>
      <c r="C81" s="18">
        <v>1</v>
      </c>
      <c r="D81" s="18">
        <v>0</v>
      </c>
      <c r="E81" s="18">
        <v>2</v>
      </c>
      <c r="F81" s="18">
        <v>1</v>
      </c>
      <c r="G81" s="18" t="str" cm="1">
        <f t="array" ref="G81">_xlfn.IFS(F81&lt;4,"Night",F81&lt;=6,"Early Morning",F81&lt;11,"Morning",F81&lt;12,"Afternoon",F81&lt;=16,"Afternoon",F81&lt;=20,"Evening",F81&gt;=21,"Night")</f>
        <v>Night</v>
      </c>
      <c r="H81" s="18" t="b">
        <v>0</v>
      </c>
      <c r="I81" s="18">
        <v>2</v>
      </c>
      <c r="J81" s="18" t="str" cm="1">
        <f t="array" ref="J81">_xlfn.IFS(I81=1,"Monday",I81=2,"Tuesday",I81=3,"Wednesday",I81=4,"Thursday",I81=5,"Friday",I81=6,"Saturday",I81=0,"Sunday")</f>
        <v>Tuesday</v>
      </c>
      <c r="K81" s="18">
        <v>2</v>
      </c>
      <c r="L81" s="18">
        <v>0.16</v>
      </c>
      <c r="M81" s="27" t="str" cm="1">
        <f t="array" ref="M81">_xlfn.IFS(L81&lt;0.15,"Cold",L81&lt;0.25,"Mild",L81&lt;=0.32,"Warm",L81&gt;=0.33,"Hot")</f>
        <v>Mild</v>
      </c>
      <c r="N81" s="18">
        <v>0.18179999999999999</v>
      </c>
      <c r="O81" s="18">
        <v>0.69</v>
      </c>
      <c r="P81" s="18" t="str" cm="1">
        <f t="array" ref="P81">_xlfn.IFS(O81&gt;0.61, "High Humidity", O81&gt;=0.6, "Humid", O81&gt;0.4, "Less Humidity", TRUE, "Dry")</f>
        <v>High Humidity</v>
      </c>
      <c r="Q81" s="18">
        <v>0.1045</v>
      </c>
      <c r="R81" s="18" t="str" cm="1">
        <f t="array" ref="R81">_xlfn.IFS(Q81&lt;=0.2,"Low Windspeed",Q81&lt;0.4,"Medium Windspeed",Q81&gt;=0.41,"High Windspeed")</f>
        <v>Low Windspeed</v>
      </c>
      <c r="S81" s="18">
        <v>0</v>
      </c>
      <c r="T81" s="18">
        <v>3</v>
      </c>
      <c r="U81" s="19">
        <v>3</v>
      </c>
      <c r="V81" s="18" t="str" cm="1">
        <f t="array" ref="V81">_xlfn.IFS(U81&lt;=70,"Low",U81&lt;=160,"Medium",U81&gt;=161,"High")</f>
        <v>Low</v>
      </c>
    </row>
    <row r="82" spans="1:22" x14ac:dyDescent="0.25">
      <c r="A82" s="16">
        <v>691</v>
      </c>
      <c r="B82" s="17">
        <v>40575</v>
      </c>
      <c r="C82" s="18">
        <v>1</v>
      </c>
      <c r="D82" s="18">
        <v>0</v>
      </c>
      <c r="E82" s="18">
        <v>2</v>
      </c>
      <c r="F82" s="18">
        <v>2</v>
      </c>
      <c r="G82" s="18" t="str" cm="1">
        <f t="array" ref="G82">_xlfn.IFS(F82&lt;4,"Night",F82&lt;=6,"Early Morning",F82&lt;11,"Morning",F82&lt;12,"Afternoon",F82&lt;=16,"Afternoon",F82&lt;=20,"Evening",F82&gt;=21,"Night")</f>
        <v>Night</v>
      </c>
      <c r="H82" s="18" t="b">
        <v>0</v>
      </c>
      <c r="I82" s="18">
        <v>2</v>
      </c>
      <c r="J82" s="18" t="str" cm="1">
        <f t="array" ref="J82">_xlfn.IFS(I82=1,"Monday",I82=2,"Tuesday",I82=3,"Wednesday",I82=4,"Thursday",I82=5,"Friday",I82=6,"Saturday",I82=0,"Sunday")</f>
        <v>Tuesday</v>
      </c>
      <c r="K82" s="18">
        <v>2</v>
      </c>
      <c r="L82" s="18">
        <v>0.16</v>
      </c>
      <c r="M82" s="27" t="str" cm="1">
        <f t="array" ref="M82">_xlfn.IFS(L82&lt;0.15,"Cold",L82&lt;0.25,"Mild",L82&lt;=0.32,"Warm",L82&gt;=0.33,"Hot")</f>
        <v>Mild</v>
      </c>
      <c r="N82" s="18">
        <v>0.2273</v>
      </c>
      <c r="O82" s="18">
        <v>0.69</v>
      </c>
      <c r="P82" s="18" t="str" cm="1">
        <f t="array" ref="P82">_xlfn.IFS(O82&gt;0.61, "High Humidity", O82&gt;=0.6, "Humid", O82&gt;0.4, "Less Humidity", TRUE, "Dry")</f>
        <v>High Humidity</v>
      </c>
      <c r="Q82" s="18">
        <v>0</v>
      </c>
      <c r="R82" s="18" t="str" cm="1">
        <f t="array" ref="R82">_xlfn.IFS(Q82&lt;=0.2,"Low Windspeed",Q82&lt;0.4,"Medium Windspeed",Q82&gt;=0.41,"High Windspeed")</f>
        <v>Low Windspeed</v>
      </c>
      <c r="S82" s="18">
        <v>0</v>
      </c>
      <c r="T82" s="18">
        <v>2</v>
      </c>
      <c r="U82" s="19">
        <v>2</v>
      </c>
      <c r="V82" s="18" t="str" cm="1">
        <f t="array" ref="V82">_xlfn.IFS(U82&lt;=70,"Low",U82&lt;=160,"Medium",U82&gt;=161,"High")</f>
        <v>Low</v>
      </c>
    </row>
    <row r="83" spans="1:22" x14ac:dyDescent="0.25">
      <c r="A83" s="16">
        <v>692</v>
      </c>
      <c r="B83" s="17">
        <v>40575</v>
      </c>
      <c r="C83" s="18">
        <v>1</v>
      </c>
      <c r="D83" s="18">
        <v>0</v>
      </c>
      <c r="E83" s="18">
        <v>2</v>
      </c>
      <c r="F83" s="18">
        <v>3</v>
      </c>
      <c r="G83" s="18" t="str" cm="1">
        <f t="array" ref="G83">_xlfn.IFS(F83&lt;4,"Night",F83&lt;=6,"Early Morning",F83&lt;11,"Morning",F83&lt;12,"Afternoon",F83&lt;=16,"Afternoon",F83&lt;=20,"Evening",F83&gt;=21,"Night")</f>
        <v>Night</v>
      </c>
      <c r="H83" s="18" t="b">
        <v>0</v>
      </c>
      <c r="I83" s="18">
        <v>2</v>
      </c>
      <c r="J83" s="18" t="str" cm="1">
        <f t="array" ref="J83">_xlfn.IFS(I83=1,"Monday",I83=2,"Tuesday",I83=3,"Wednesday",I83=4,"Thursday",I83=5,"Friday",I83=6,"Saturday",I83=0,"Sunday")</f>
        <v>Tuesday</v>
      </c>
      <c r="K83" s="18">
        <v>2</v>
      </c>
      <c r="L83" s="18">
        <v>0.16</v>
      </c>
      <c r="M83" s="27" t="str" cm="1">
        <f t="array" ref="M83">_xlfn.IFS(L83&lt;0.15,"Cold",L83&lt;0.25,"Mild",L83&lt;=0.32,"Warm",L83&gt;=0.33,"Hot")</f>
        <v>Mild</v>
      </c>
      <c r="N83" s="18">
        <v>0.2273</v>
      </c>
      <c r="O83" s="18">
        <v>0.69</v>
      </c>
      <c r="P83" s="18" t="str" cm="1">
        <f t="array" ref="P83">_xlfn.IFS(O83&gt;0.61, "High Humidity", O83&gt;=0.6, "Humid", O83&gt;0.4, "Less Humidity", TRUE, "Dry")</f>
        <v>High Humidity</v>
      </c>
      <c r="Q83" s="18">
        <v>0</v>
      </c>
      <c r="R83" s="18" t="str" cm="1">
        <f t="array" ref="R83">_xlfn.IFS(Q83&lt;=0.2,"Low Windspeed",Q83&lt;0.4,"Medium Windspeed",Q83&gt;=0.41,"High Windspeed")</f>
        <v>Low Windspeed</v>
      </c>
      <c r="S83" s="18">
        <v>0</v>
      </c>
      <c r="T83" s="18">
        <v>2</v>
      </c>
      <c r="U83" s="19">
        <v>2</v>
      </c>
      <c r="V83" s="18" t="str" cm="1">
        <f t="array" ref="V83">_xlfn.IFS(U83&lt;=70,"Low",U83&lt;=160,"Medium",U83&gt;=161,"High")</f>
        <v>Low</v>
      </c>
    </row>
    <row r="84" spans="1:22" x14ac:dyDescent="0.25">
      <c r="A84" s="16">
        <v>693</v>
      </c>
      <c r="B84" s="17">
        <v>40575</v>
      </c>
      <c r="C84" s="18">
        <v>1</v>
      </c>
      <c r="D84" s="18">
        <v>0</v>
      </c>
      <c r="E84" s="18">
        <v>2</v>
      </c>
      <c r="F84" s="18">
        <v>5</v>
      </c>
      <c r="G84" s="18" t="str" cm="1">
        <f t="array" ref="G84">_xlfn.IFS(F84&lt;4,"Night",F84&lt;=6,"Early Morning",F84&lt;11,"Morning",F84&lt;12,"Afternoon",F84&lt;=16,"Afternoon",F84&lt;=20,"Evening",F84&gt;=21,"Night")</f>
        <v>Early Morning</v>
      </c>
      <c r="H84" s="18" t="b">
        <v>0</v>
      </c>
      <c r="I84" s="18">
        <v>2</v>
      </c>
      <c r="J84" s="18" t="str" cm="1">
        <f t="array" ref="J84">_xlfn.IFS(I84=1,"Monday",I84=2,"Tuesday",I84=3,"Wednesday",I84=4,"Thursday",I84=5,"Friday",I84=6,"Saturday",I84=0,"Sunday")</f>
        <v>Tuesday</v>
      </c>
      <c r="K84" s="18">
        <v>3</v>
      </c>
      <c r="L84" s="18">
        <v>0.14000000000000001</v>
      </c>
      <c r="M84" s="27" t="str" cm="1">
        <f t="array" ref="M84">_xlfn.IFS(L84&lt;0.15,"Cold",L84&lt;0.25,"Mild",L84&lt;=0.32,"Warm",L84&gt;=0.33,"Hot")</f>
        <v>Cold</v>
      </c>
      <c r="N84" s="18">
        <v>0.21210000000000001</v>
      </c>
      <c r="O84" s="18">
        <v>0.93</v>
      </c>
      <c r="P84" s="18" t="str" cm="1">
        <f t="array" ref="P84">_xlfn.IFS(O84&gt;0.61, "High Humidity", O84&gt;=0.6, "Humid", O84&gt;0.4, "Less Humidity", TRUE, "Dry")</f>
        <v>High Humidity</v>
      </c>
      <c r="Q84" s="18">
        <v>0</v>
      </c>
      <c r="R84" s="18" t="str" cm="1">
        <f t="array" ref="R84">_xlfn.IFS(Q84&lt;=0.2,"Low Windspeed",Q84&lt;0.4,"Medium Windspeed",Q84&gt;=0.41,"High Windspeed")</f>
        <v>Low Windspeed</v>
      </c>
      <c r="S84" s="18">
        <v>0</v>
      </c>
      <c r="T84" s="18">
        <v>3</v>
      </c>
      <c r="U84" s="19">
        <v>3</v>
      </c>
      <c r="V84" s="18" t="str" cm="1">
        <f t="array" ref="V84">_xlfn.IFS(U84&lt;=70,"Low",U84&lt;=160,"Medium",U84&gt;=161,"High")</f>
        <v>Low</v>
      </c>
    </row>
    <row r="85" spans="1:22" x14ac:dyDescent="0.25">
      <c r="A85" s="16">
        <v>694</v>
      </c>
      <c r="B85" s="17">
        <v>40575</v>
      </c>
      <c r="C85" s="18">
        <v>1</v>
      </c>
      <c r="D85" s="18">
        <v>0</v>
      </c>
      <c r="E85" s="18">
        <v>2</v>
      </c>
      <c r="F85" s="18">
        <v>6</v>
      </c>
      <c r="G85" s="18" t="str" cm="1">
        <f t="array" ref="G85">_xlfn.IFS(F85&lt;4,"Night",F85&lt;=6,"Early Morning",F85&lt;11,"Morning",F85&lt;12,"Afternoon",F85&lt;=16,"Afternoon",F85&lt;=20,"Evening",F85&gt;=21,"Night")</f>
        <v>Early Morning</v>
      </c>
      <c r="H85" s="18" t="b">
        <v>0</v>
      </c>
      <c r="I85" s="18">
        <v>2</v>
      </c>
      <c r="J85" s="18" t="str" cm="1">
        <f t="array" ref="J85">_xlfn.IFS(I85=1,"Monday",I85=2,"Tuesday",I85=3,"Wednesday",I85=4,"Thursday",I85=5,"Friday",I85=6,"Saturday",I85=0,"Sunday")</f>
        <v>Tuesday</v>
      </c>
      <c r="K85" s="18">
        <v>3</v>
      </c>
      <c r="L85" s="18">
        <v>0.14000000000000001</v>
      </c>
      <c r="M85" s="27" t="str" cm="1">
        <f t="array" ref="M85">_xlfn.IFS(L85&lt;0.15,"Cold",L85&lt;0.25,"Mild",L85&lt;=0.32,"Warm",L85&gt;=0.33,"Hot")</f>
        <v>Cold</v>
      </c>
      <c r="N85" s="18">
        <v>0.21210000000000001</v>
      </c>
      <c r="O85" s="18">
        <v>0.93</v>
      </c>
      <c r="P85" s="18" t="str" cm="1">
        <f t="array" ref="P85">_xlfn.IFS(O85&gt;0.61, "High Humidity", O85&gt;=0.6, "Humid", O85&gt;0.4, "Less Humidity", TRUE, "Dry")</f>
        <v>High Humidity</v>
      </c>
      <c r="Q85" s="18">
        <v>0</v>
      </c>
      <c r="R85" s="18" t="str" cm="1">
        <f t="array" ref="R85">_xlfn.IFS(Q85&lt;=0.2,"Low Windspeed",Q85&lt;0.4,"Medium Windspeed",Q85&gt;=0.41,"High Windspeed")</f>
        <v>Low Windspeed</v>
      </c>
      <c r="S85" s="18">
        <v>0</v>
      </c>
      <c r="T85" s="18">
        <v>22</v>
      </c>
      <c r="U85" s="19">
        <v>22</v>
      </c>
      <c r="V85" s="18" t="str" cm="1">
        <f t="array" ref="V85">_xlfn.IFS(U85&lt;=70,"Low",U85&lt;=160,"Medium",U85&gt;=161,"High")</f>
        <v>Low</v>
      </c>
    </row>
    <row r="86" spans="1:22" x14ac:dyDescent="0.25">
      <c r="A86" s="16">
        <v>695</v>
      </c>
      <c r="B86" s="17">
        <v>40575</v>
      </c>
      <c r="C86" s="18">
        <v>1</v>
      </c>
      <c r="D86" s="18">
        <v>0</v>
      </c>
      <c r="E86" s="18">
        <v>2</v>
      </c>
      <c r="F86" s="18">
        <v>7</v>
      </c>
      <c r="G86" s="18" t="str" cm="1">
        <f t="array" ref="G86">_xlfn.IFS(F86&lt;4,"Night",F86&lt;=6,"Early Morning",F86&lt;11,"Morning",F86&lt;12,"Afternoon",F86&lt;=16,"Afternoon",F86&lt;=20,"Evening",F86&gt;=21,"Night")</f>
        <v>Morning</v>
      </c>
      <c r="H86" s="18" t="b">
        <v>0</v>
      </c>
      <c r="I86" s="18">
        <v>2</v>
      </c>
      <c r="J86" s="18" t="str" cm="1">
        <f t="array" ref="J86">_xlfn.IFS(I86=1,"Monday",I86=2,"Tuesday",I86=3,"Wednesday",I86=4,"Thursday",I86=5,"Friday",I86=6,"Saturday",I86=0,"Sunday")</f>
        <v>Tuesday</v>
      </c>
      <c r="K86" s="18">
        <v>3</v>
      </c>
      <c r="L86" s="18">
        <v>0.16</v>
      </c>
      <c r="M86" s="27" t="str" cm="1">
        <f t="array" ref="M86">_xlfn.IFS(L86&lt;0.15,"Cold",L86&lt;0.25,"Mild",L86&lt;=0.32,"Warm",L86&gt;=0.33,"Hot")</f>
        <v>Mild</v>
      </c>
      <c r="N86" s="18">
        <v>0.2273</v>
      </c>
      <c r="O86" s="18">
        <v>0.93</v>
      </c>
      <c r="P86" s="18" t="str" cm="1">
        <f t="array" ref="P86">_xlfn.IFS(O86&gt;0.61, "High Humidity", O86&gt;=0.6, "Humid", O86&gt;0.4, "Less Humidity", TRUE, "Dry")</f>
        <v>High Humidity</v>
      </c>
      <c r="Q86" s="18">
        <v>0</v>
      </c>
      <c r="R86" s="18" t="str" cm="1">
        <f t="array" ref="R86">_xlfn.IFS(Q86&lt;=0.2,"Low Windspeed",Q86&lt;0.4,"Medium Windspeed",Q86&gt;=0.41,"High Windspeed")</f>
        <v>Low Windspeed</v>
      </c>
      <c r="S86" s="18">
        <v>0</v>
      </c>
      <c r="T86" s="18">
        <v>52</v>
      </c>
      <c r="U86" s="19">
        <v>52</v>
      </c>
      <c r="V86" s="18" t="str" cm="1">
        <f t="array" ref="V86">_xlfn.IFS(U86&lt;=70,"Low",U86&lt;=160,"Medium",U86&gt;=161,"High")</f>
        <v>Low</v>
      </c>
    </row>
    <row r="87" spans="1:22" x14ac:dyDescent="0.25">
      <c r="A87" s="16">
        <v>696</v>
      </c>
      <c r="B87" s="17">
        <v>40575</v>
      </c>
      <c r="C87" s="18">
        <v>1</v>
      </c>
      <c r="D87" s="18">
        <v>0</v>
      </c>
      <c r="E87" s="18">
        <v>2</v>
      </c>
      <c r="F87" s="18">
        <v>8</v>
      </c>
      <c r="G87" s="18" t="str" cm="1">
        <f t="array" ref="G87">_xlfn.IFS(F87&lt;4,"Night",F87&lt;=6,"Early Morning",F87&lt;11,"Morning",F87&lt;12,"Afternoon",F87&lt;=16,"Afternoon",F87&lt;=20,"Evening",F87&gt;=21,"Night")</f>
        <v>Morning</v>
      </c>
      <c r="H87" s="18" t="b">
        <v>0</v>
      </c>
      <c r="I87" s="18">
        <v>2</v>
      </c>
      <c r="J87" s="18" t="str" cm="1">
        <f t="array" ref="J87">_xlfn.IFS(I87=1,"Monday",I87=2,"Tuesday",I87=3,"Wednesday",I87=4,"Thursday",I87=5,"Friday",I87=6,"Saturday",I87=0,"Sunday")</f>
        <v>Tuesday</v>
      </c>
      <c r="K87" s="18">
        <v>3</v>
      </c>
      <c r="L87" s="18">
        <v>0.16</v>
      </c>
      <c r="M87" s="27" t="str" cm="1">
        <f t="array" ref="M87">_xlfn.IFS(L87&lt;0.15,"Cold",L87&lt;0.25,"Mild",L87&lt;=0.32,"Warm",L87&gt;=0.33,"Hot")</f>
        <v>Mild</v>
      </c>
      <c r="N87" s="18">
        <v>0.2273</v>
      </c>
      <c r="O87" s="18">
        <v>0.93</v>
      </c>
      <c r="P87" s="18" t="str" cm="1">
        <f t="array" ref="P87">_xlfn.IFS(O87&gt;0.61, "High Humidity", O87&gt;=0.6, "Humid", O87&gt;0.4, "Less Humidity", TRUE, "Dry")</f>
        <v>High Humidity</v>
      </c>
      <c r="Q87" s="18">
        <v>0</v>
      </c>
      <c r="R87" s="18" t="str" cm="1">
        <f t="array" ref="R87">_xlfn.IFS(Q87&lt;=0.2,"Low Windspeed",Q87&lt;0.4,"Medium Windspeed",Q87&gt;=0.41,"High Windspeed")</f>
        <v>Low Windspeed</v>
      </c>
      <c r="S87" s="18">
        <v>3</v>
      </c>
      <c r="T87" s="18">
        <v>132</v>
      </c>
      <c r="U87" s="19">
        <v>135</v>
      </c>
      <c r="V87" s="18" t="str" cm="1">
        <f t="array" ref="V87">_xlfn.IFS(U87&lt;=70,"Low",U87&lt;=160,"Medium",U87&gt;=161,"High")</f>
        <v>Medium</v>
      </c>
    </row>
    <row r="88" spans="1:22" x14ac:dyDescent="0.25">
      <c r="A88" s="16">
        <v>697</v>
      </c>
      <c r="B88" s="17">
        <v>40575</v>
      </c>
      <c r="C88" s="18">
        <v>1</v>
      </c>
      <c r="D88" s="18">
        <v>0</v>
      </c>
      <c r="E88" s="18">
        <v>2</v>
      </c>
      <c r="F88" s="18">
        <v>9</v>
      </c>
      <c r="G88" s="18" t="str" cm="1">
        <f t="array" ref="G88">_xlfn.IFS(F88&lt;4,"Night",F88&lt;=6,"Early Morning",F88&lt;11,"Morning",F88&lt;12,"Afternoon",F88&lt;=16,"Afternoon",F88&lt;=20,"Evening",F88&gt;=21,"Night")</f>
        <v>Morning</v>
      </c>
      <c r="H88" s="18" t="b">
        <v>0</v>
      </c>
      <c r="I88" s="18">
        <v>2</v>
      </c>
      <c r="J88" s="18" t="str" cm="1">
        <f t="array" ref="J88">_xlfn.IFS(I88=1,"Monday",I88=2,"Tuesday",I88=3,"Wednesday",I88=4,"Thursday",I88=5,"Friday",I88=6,"Saturday",I88=0,"Sunday")</f>
        <v>Tuesday</v>
      </c>
      <c r="K88" s="18">
        <v>2</v>
      </c>
      <c r="L88" s="18">
        <v>0.16</v>
      </c>
      <c r="M88" s="27" t="str" cm="1">
        <f t="array" ref="M88">_xlfn.IFS(L88&lt;0.15,"Cold",L88&lt;0.25,"Mild",L88&lt;=0.32,"Warm",L88&gt;=0.33,"Hot")</f>
        <v>Mild</v>
      </c>
      <c r="N88" s="18">
        <v>0.2273</v>
      </c>
      <c r="O88" s="18">
        <v>0.93</v>
      </c>
      <c r="P88" s="18" t="str" cm="1">
        <f t="array" ref="P88">_xlfn.IFS(O88&gt;0.61, "High Humidity", O88&gt;=0.6, "Humid", O88&gt;0.4, "Less Humidity", TRUE, "Dry")</f>
        <v>High Humidity</v>
      </c>
      <c r="Q88" s="18">
        <v>0</v>
      </c>
      <c r="R88" s="18" t="str" cm="1">
        <f t="array" ref="R88">_xlfn.IFS(Q88&lt;=0.2,"Low Windspeed",Q88&lt;0.4,"Medium Windspeed",Q88&gt;=0.41,"High Windspeed")</f>
        <v>Low Windspeed</v>
      </c>
      <c r="S88" s="18">
        <v>2</v>
      </c>
      <c r="T88" s="18">
        <v>114</v>
      </c>
      <c r="U88" s="19">
        <v>116</v>
      </c>
      <c r="V88" s="18" t="str" cm="1">
        <f t="array" ref="V88">_xlfn.IFS(U88&lt;=70,"Low",U88&lt;=160,"Medium",U88&gt;=161,"High")</f>
        <v>Medium</v>
      </c>
    </row>
    <row r="89" spans="1:22" x14ac:dyDescent="0.25">
      <c r="A89" s="16">
        <v>698</v>
      </c>
      <c r="B89" s="17">
        <v>40575</v>
      </c>
      <c r="C89" s="18">
        <v>1</v>
      </c>
      <c r="D89" s="18">
        <v>0</v>
      </c>
      <c r="E89" s="18">
        <v>2</v>
      </c>
      <c r="F89" s="18">
        <v>10</v>
      </c>
      <c r="G89" s="18" t="str" cm="1">
        <f t="array" ref="G89">_xlfn.IFS(F89&lt;4,"Night",F89&lt;=6,"Early Morning",F89&lt;11,"Morning",F89&lt;12,"Afternoon",F89&lt;=16,"Afternoon",F89&lt;=20,"Evening",F89&gt;=21,"Night")</f>
        <v>Morning</v>
      </c>
      <c r="H89" s="18" t="b">
        <v>0</v>
      </c>
      <c r="I89" s="18">
        <v>2</v>
      </c>
      <c r="J89" s="18" t="str" cm="1">
        <f t="array" ref="J89">_xlfn.IFS(I89=1,"Monday",I89=2,"Tuesday",I89=3,"Wednesday",I89=4,"Thursday",I89=5,"Friday",I89=6,"Saturday",I89=0,"Sunday")</f>
        <v>Tuesday</v>
      </c>
      <c r="K89" s="18">
        <v>2</v>
      </c>
      <c r="L89" s="18">
        <v>0.16</v>
      </c>
      <c r="M89" s="27" t="str" cm="1">
        <f t="array" ref="M89">_xlfn.IFS(L89&lt;0.15,"Cold",L89&lt;0.25,"Mild",L89&lt;=0.32,"Warm",L89&gt;=0.33,"Hot")</f>
        <v>Mild</v>
      </c>
      <c r="N89" s="18">
        <v>0.2273</v>
      </c>
      <c r="O89" s="18">
        <v>0.93</v>
      </c>
      <c r="P89" s="18" t="str" cm="1">
        <f t="array" ref="P89">_xlfn.IFS(O89&gt;0.61, "High Humidity", O89&gt;=0.6, "Humid", O89&gt;0.4, "Less Humidity", TRUE, "Dry")</f>
        <v>High Humidity</v>
      </c>
      <c r="Q89" s="18">
        <v>0</v>
      </c>
      <c r="R89" s="18" t="str" cm="1">
        <f t="array" ref="R89">_xlfn.IFS(Q89&lt;=0.2,"Low Windspeed",Q89&lt;0.4,"Medium Windspeed",Q89&gt;=0.41,"High Windspeed")</f>
        <v>Low Windspeed</v>
      </c>
      <c r="S89" s="18">
        <v>0</v>
      </c>
      <c r="T89" s="18">
        <v>47</v>
      </c>
      <c r="U89" s="19">
        <v>47</v>
      </c>
      <c r="V89" s="18" t="str" cm="1">
        <f t="array" ref="V89">_xlfn.IFS(U89&lt;=70,"Low",U89&lt;=160,"Medium",U89&gt;=161,"High")</f>
        <v>Low</v>
      </c>
    </row>
    <row r="90" spans="1:22" x14ac:dyDescent="0.25">
      <c r="A90" s="16">
        <v>699</v>
      </c>
      <c r="B90" s="17">
        <v>40575</v>
      </c>
      <c r="C90" s="18">
        <v>1</v>
      </c>
      <c r="D90" s="18">
        <v>0</v>
      </c>
      <c r="E90" s="18">
        <v>2</v>
      </c>
      <c r="F90" s="18">
        <v>11</v>
      </c>
      <c r="G90" s="18" t="str" cm="1">
        <f t="array" ref="G90">_xlfn.IFS(F90&lt;4,"Night",F90&lt;=6,"Early Morning",F90&lt;11,"Morning",F90&lt;12,"Afternoon",F90&lt;=16,"Afternoon",F90&lt;=20,"Evening",F90&gt;=21,"Night")</f>
        <v>Afternoon</v>
      </c>
      <c r="H90" s="18" t="b">
        <v>0</v>
      </c>
      <c r="I90" s="18">
        <v>2</v>
      </c>
      <c r="J90" s="18" t="str" cm="1">
        <f t="array" ref="J90">_xlfn.IFS(I90=1,"Monday",I90=2,"Tuesday",I90=3,"Wednesday",I90=4,"Thursday",I90=5,"Friday",I90=6,"Saturday",I90=0,"Sunday")</f>
        <v>Tuesday</v>
      </c>
      <c r="K90" s="18">
        <v>2</v>
      </c>
      <c r="L90" s="18">
        <v>0.18</v>
      </c>
      <c r="M90" s="27" t="str" cm="1">
        <f t="array" ref="M90">_xlfn.IFS(L90&lt;0.15,"Cold",L90&lt;0.25,"Mild",L90&lt;=0.32,"Warm",L90&gt;=0.33,"Hot")</f>
        <v>Mild</v>
      </c>
      <c r="N90" s="18">
        <v>0.2424</v>
      </c>
      <c r="O90" s="18">
        <v>0.86</v>
      </c>
      <c r="P90" s="18" t="str" cm="1">
        <f t="array" ref="P90">_xlfn.IFS(O90&gt;0.61, "High Humidity", O90&gt;=0.6, "Humid", O90&gt;0.4, "Less Humidity", TRUE, "Dry")</f>
        <v>High Humidity</v>
      </c>
      <c r="Q90" s="18">
        <v>0</v>
      </c>
      <c r="R90" s="18" t="str" cm="1">
        <f t="array" ref="R90">_xlfn.IFS(Q90&lt;=0.2,"Low Windspeed",Q90&lt;0.4,"Medium Windspeed",Q90&gt;=0.41,"High Windspeed")</f>
        <v>Low Windspeed</v>
      </c>
      <c r="S90" s="18">
        <v>2</v>
      </c>
      <c r="T90" s="18">
        <v>49</v>
      </c>
      <c r="U90" s="19">
        <v>51</v>
      </c>
      <c r="V90" s="18" t="str" cm="1">
        <f t="array" ref="V90">_xlfn.IFS(U90&lt;=70,"Low",U90&lt;=160,"Medium",U90&gt;=161,"High")</f>
        <v>Low</v>
      </c>
    </row>
    <row r="91" spans="1:22" x14ac:dyDescent="0.25">
      <c r="A91" s="16">
        <v>700</v>
      </c>
      <c r="B91" s="17">
        <v>40575</v>
      </c>
      <c r="C91" s="18">
        <v>1</v>
      </c>
      <c r="D91" s="18">
        <v>0</v>
      </c>
      <c r="E91" s="18">
        <v>2</v>
      </c>
      <c r="F91" s="18">
        <v>12</v>
      </c>
      <c r="G91" s="18" t="str" cm="1">
        <f t="array" ref="G91">_xlfn.IFS(F91&lt;4,"Night",F91&lt;=6,"Early Morning",F91&lt;11,"Morning",F91&lt;12,"Afternoon",F91&lt;=16,"Afternoon",F91&lt;=20,"Evening",F91&gt;=21,"Night")</f>
        <v>Afternoon</v>
      </c>
      <c r="H91" s="18" t="b">
        <v>0</v>
      </c>
      <c r="I91" s="18">
        <v>2</v>
      </c>
      <c r="J91" s="18" t="str" cm="1">
        <f t="array" ref="J91">_xlfn.IFS(I91=1,"Monday",I91=2,"Tuesday",I91=3,"Wednesday",I91=4,"Thursday",I91=5,"Friday",I91=6,"Saturday",I91=0,"Sunday")</f>
        <v>Tuesday</v>
      </c>
      <c r="K91" s="18">
        <v>2</v>
      </c>
      <c r="L91" s="18">
        <v>0.2</v>
      </c>
      <c r="M91" s="27" t="str" cm="1">
        <f t="array" ref="M91">_xlfn.IFS(L91&lt;0.15,"Cold",L91&lt;0.25,"Mild",L91&lt;=0.32,"Warm",L91&gt;=0.33,"Hot")</f>
        <v>Mild</v>
      </c>
      <c r="N91" s="18">
        <v>0.2576</v>
      </c>
      <c r="O91" s="18">
        <v>0.86</v>
      </c>
      <c r="P91" s="18" t="str" cm="1">
        <f t="array" ref="P91">_xlfn.IFS(O91&gt;0.61, "High Humidity", O91&gt;=0.6, "Humid", O91&gt;0.4, "Less Humidity", TRUE, "Dry")</f>
        <v>High Humidity</v>
      </c>
      <c r="Q91" s="18">
        <v>0</v>
      </c>
      <c r="R91" s="18" t="str" cm="1">
        <f t="array" ref="R91">_xlfn.IFS(Q91&lt;=0.2,"Low Windspeed",Q91&lt;0.4,"Medium Windspeed",Q91&gt;=0.41,"High Windspeed")</f>
        <v>Low Windspeed</v>
      </c>
      <c r="S91" s="18">
        <v>2</v>
      </c>
      <c r="T91" s="18">
        <v>53</v>
      </c>
      <c r="U91" s="19">
        <v>55</v>
      </c>
      <c r="V91" s="18" t="str" cm="1">
        <f t="array" ref="V91">_xlfn.IFS(U91&lt;=70,"Low",U91&lt;=160,"Medium",U91&gt;=161,"High")</f>
        <v>Low</v>
      </c>
    </row>
    <row r="92" spans="1:22" x14ac:dyDescent="0.25">
      <c r="A92" s="16">
        <v>701</v>
      </c>
      <c r="B92" s="17">
        <v>40575</v>
      </c>
      <c r="C92" s="18">
        <v>1</v>
      </c>
      <c r="D92" s="18">
        <v>0</v>
      </c>
      <c r="E92" s="18">
        <v>2</v>
      </c>
      <c r="F92" s="18">
        <v>13</v>
      </c>
      <c r="G92" s="18" t="str" cm="1">
        <f t="array" ref="G92">_xlfn.IFS(F92&lt;4,"Night",F92&lt;=6,"Early Morning",F92&lt;11,"Morning",F92&lt;12,"Afternoon",F92&lt;=16,"Afternoon",F92&lt;=20,"Evening",F92&gt;=21,"Night")</f>
        <v>Afternoon</v>
      </c>
      <c r="H92" s="18" t="b">
        <v>0</v>
      </c>
      <c r="I92" s="18">
        <v>2</v>
      </c>
      <c r="J92" s="18" t="str" cm="1">
        <f t="array" ref="J92">_xlfn.IFS(I92=1,"Monday",I92=2,"Tuesday",I92=3,"Wednesday",I92=4,"Thursday",I92=5,"Friday",I92=6,"Saturday",I92=0,"Sunday")</f>
        <v>Tuesday</v>
      </c>
      <c r="K92" s="18">
        <v>2</v>
      </c>
      <c r="L92" s="18">
        <v>0.2</v>
      </c>
      <c r="M92" s="27" t="str" cm="1">
        <f t="array" ref="M92">_xlfn.IFS(L92&lt;0.15,"Cold",L92&lt;0.25,"Mild",L92&lt;=0.32,"Warm",L92&gt;=0.33,"Hot")</f>
        <v>Mild</v>
      </c>
      <c r="N92" s="18">
        <v>0.2576</v>
      </c>
      <c r="O92" s="18">
        <v>0.86</v>
      </c>
      <c r="P92" s="18" t="str" cm="1">
        <f t="array" ref="P92">_xlfn.IFS(O92&gt;0.61, "High Humidity", O92&gt;=0.6, "Humid", O92&gt;0.4, "Less Humidity", TRUE, "Dry")</f>
        <v>High Humidity</v>
      </c>
      <c r="Q92" s="18">
        <v>0</v>
      </c>
      <c r="R92" s="18" t="str" cm="1">
        <f t="array" ref="R92">_xlfn.IFS(Q92&lt;=0.2,"Low Windspeed",Q92&lt;0.4,"Medium Windspeed",Q92&gt;=0.41,"High Windspeed")</f>
        <v>Low Windspeed</v>
      </c>
      <c r="S92" s="18">
        <v>3</v>
      </c>
      <c r="T92" s="18">
        <v>49</v>
      </c>
      <c r="U92" s="19">
        <v>52</v>
      </c>
      <c r="V92" s="18" t="str" cm="1">
        <f t="array" ref="V92">_xlfn.IFS(U92&lt;=70,"Low",U92&lt;=160,"Medium",U92&gt;=161,"High")</f>
        <v>Low</v>
      </c>
    </row>
    <row r="93" spans="1:22" x14ac:dyDescent="0.25">
      <c r="A93" s="16">
        <v>702</v>
      </c>
      <c r="B93" s="17">
        <v>40575</v>
      </c>
      <c r="C93" s="18">
        <v>1</v>
      </c>
      <c r="D93" s="18">
        <v>0</v>
      </c>
      <c r="E93" s="18">
        <v>2</v>
      </c>
      <c r="F93" s="18">
        <v>14</v>
      </c>
      <c r="G93" s="18" t="str" cm="1">
        <f t="array" ref="G93">_xlfn.IFS(F93&lt;4,"Night",F93&lt;=6,"Early Morning",F93&lt;11,"Morning",F93&lt;12,"Afternoon",F93&lt;=16,"Afternoon",F93&lt;=20,"Evening",F93&gt;=21,"Night")</f>
        <v>Afternoon</v>
      </c>
      <c r="H93" s="18" t="b">
        <v>0</v>
      </c>
      <c r="I93" s="18">
        <v>2</v>
      </c>
      <c r="J93" s="18" t="str" cm="1">
        <f t="array" ref="J93">_xlfn.IFS(I93=1,"Monday",I93=2,"Tuesday",I93=3,"Wednesday",I93=4,"Thursday",I93=5,"Friday",I93=6,"Saturday",I93=0,"Sunday")</f>
        <v>Tuesday</v>
      </c>
      <c r="K93" s="18">
        <v>2</v>
      </c>
      <c r="L93" s="18">
        <v>0.22</v>
      </c>
      <c r="M93" s="27" t="str" cm="1">
        <f t="array" ref="M93">_xlfn.IFS(L93&lt;0.15,"Cold",L93&lt;0.25,"Mild",L93&lt;=0.32,"Warm",L93&gt;=0.33,"Hot")</f>
        <v>Mild</v>
      </c>
      <c r="N93" s="18">
        <v>0.2576</v>
      </c>
      <c r="O93" s="18">
        <v>0.8</v>
      </c>
      <c r="P93" s="18" t="str" cm="1">
        <f t="array" ref="P93">_xlfn.IFS(O93&gt;0.61, "High Humidity", O93&gt;=0.6, "Humid", O93&gt;0.4, "Less Humidity", TRUE, "Dry")</f>
        <v>High Humidity</v>
      </c>
      <c r="Q93" s="18">
        <v>8.9599999999999999E-2</v>
      </c>
      <c r="R93" s="18" t="str" cm="1">
        <f t="array" ref="R93">_xlfn.IFS(Q93&lt;=0.2,"Low Windspeed",Q93&lt;0.4,"Medium Windspeed",Q93&gt;=0.41,"High Windspeed")</f>
        <v>Low Windspeed</v>
      </c>
      <c r="S93" s="18">
        <v>5</v>
      </c>
      <c r="T93" s="18">
        <v>49</v>
      </c>
      <c r="U93" s="19">
        <v>54</v>
      </c>
      <c r="V93" s="18" t="str" cm="1">
        <f t="array" ref="V93">_xlfn.IFS(U93&lt;=70,"Low",U93&lt;=160,"Medium",U93&gt;=161,"High")</f>
        <v>Low</v>
      </c>
    </row>
    <row r="94" spans="1:22" x14ac:dyDescent="0.25">
      <c r="A94" s="16">
        <v>703</v>
      </c>
      <c r="B94" s="17">
        <v>40575</v>
      </c>
      <c r="C94" s="18">
        <v>1</v>
      </c>
      <c r="D94" s="18">
        <v>0</v>
      </c>
      <c r="E94" s="18">
        <v>2</v>
      </c>
      <c r="F94" s="18">
        <v>15</v>
      </c>
      <c r="G94" s="18" t="str" cm="1">
        <f t="array" ref="G94">_xlfn.IFS(F94&lt;4,"Night",F94&lt;=6,"Early Morning",F94&lt;11,"Morning",F94&lt;12,"Afternoon",F94&lt;=16,"Afternoon",F94&lt;=20,"Evening",F94&gt;=21,"Night")</f>
        <v>Afternoon</v>
      </c>
      <c r="H94" s="18" t="b">
        <v>0</v>
      </c>
      <c r="I94" s="18">
        <v>2</v>
      </c>
      <c r="J94" s="18" t="str" cm="1">
        <f t="array" ref="J94">_xlfn.IFS(I94=1,"Monday",I94=2,"Tuesday",I94=3,"Wednesday",I94=4,"Thursday",I94=5,"Friday",I94=6,"Saturday",I94=0,"Sunday")</f>
        <v>Tuesday</v>
      </c>
      <c r="K94" s="18">
        <v>2</v>
      </c>
      <c r="L94" s="18">
        <v>0.24</v>
      </c>
      <c r="M94" s="27" t="str" cm="1">
        <f t="array" ref="M94">_xlfn.IFS(L94&lt;0.15,"Cold",L94&lt;0.25,"Mild",L94&lt;=0.32,"Warm",L94&gt;=0.33,"Hot")</f>
        <v>Mild</v>
      </c>
      <c r="N94" s="18">
        <v>0.28789999999999999</v>
      </c>
      <c r="O94" s="18">
        <v>0.75</v>
      </c>
      <c r="P94" s="18" t="str" cm="1">
        <f t="array" ref="P94">_xlfn.IFS(O94&gt;0.61, "High Humidity", O94&gt;=0.6, "Humid", O94&gt;0.4, "Less Humidity", TRUE, "Dry")</f>
        <v>High Humidity</v>
      </c>
      <c r="Q94" s="18">
        <v>0</v>
      </c>
      <c r="R94" s="18" t="str" cm="1">
        <f t="array" ref="R94">_xlfn.IFS(Q94&lt;=0.2,"Low Windspeed",Q94&lt;0.4,"Medium Windspeed",Q94&gt;=0.41,"High Windspeed")</f>
        <v>Low Windspeed</v>
      </c>
      <c r="S94" s="18">
        <v>7</v>
      </c>
      <c r="T94" s="18">
        <v>45</v>
      </c>
      <c r="U94" s="19">
        <v>52</v>
      </c>
      <c r="V94" s="18" t="str" cm="1">
        <f t="array" ref="V94">_xlfn.IFS(U94&lt;=70,"Low",U94&lt;=160,"Medium",U94&gt;=161,"High")</f>
        <v>Low</v>
      </c>
    </row>
    <row r="95" spans="1:22" x14ac:dyDescent="0.25">
      <c r="A95" s="16">
        <v>704</v>
      </c>
      <c r="B95" s="17">
        <v>40575</v>
      </c>
      <c r="C95" s="18">
        <v>1</v>
      </c>
      <c r="D95" s="18">
        <v>0</v>
      </c>
      <c r="E95" s="18">
        <v>2</v>
      </c>
      <c r="F95" s="18">
        <v>16</v>
      </c>
      <c r="G95" s="18" t="str" cm="1">
        <f t="array" ref="G95">_xlfn.IFS(F95&lt;4,"Night",F95&lt;=6,"Early Morning",F95&lt;11,"Morning",F95&lt;12,"Afternoon",F95&lt;=16,"Afternoon",F95&lt;=20,"Evening",F95&gt;=21,"Night")</f>
        <v>Afternoon</v>
      </c>
      <c r="H95" s="18" t="b">
        <v>0</v>
      </c>
      <c r="I95" s="18">
        <v>2</v>
      </c>
      <c r="J95" s="18" t="str" cm="1">
        <f t="array" ref="J95">_xlfn.IFS(I95=1,"Monday",I95=2,"Tuesday",I95=3,"Wednesday",I95=4,"Thursday",I95=5,"Friday",I95=6,"Saturday",I95=0,"Sunday")</f>
        <v>Tuesday</v>
      </c>
      <c r="K95" s="18">
        <v>2</v>
      </c>
      <c r="L95" s="18">
        <v>0.24</v>
      </c>
      <c r="M95" s="27" t="str" cm="1">
        <f t="array" ref="M95">_xlfn.IFS(L95&lt;0.15,"Cold",L95&lt;0.25,"Mild",L95&lt;=0.32,"Warm",L95&gt;=0.33,"Hot")</f>
        <v>Mild</v>
      </c>
      <c r="N95" s="18">
        <v>0.2424</v>
      </c>
      <c r="O95" s="18">
        <v>0.75</v>
      </c>
      <c r="P95" s="18" t="str" cm="1">
        <f t="array" ref="P95">_xlfn.IFS(O95&gt;0.61, "High Humidity", O95&gt;=0.6, "Humid", O95&gt;0.4, "Less Humidity", TRUE, "Dry")</f>
        <v>High Humidity</v>
      </c>
      <c r="Q95" s="18">
        <v>0.1343</v>
      </c>
      <c r="R95" s="18" t="str" cm="1">
        <f t="array" ref="R95">_xlfn.IFS(Q95&lt;=0.2,"Low Windspeed",Q95&lt;0.4,"Medium Windspeed",Q95&gt;=0.41,"High Windspeed")</f>
        <v>Low Windspeed</v>
      </c>
      <c r="S95" s="18">
        <v>3</v>
      </c>
      <c r="T95" s="18">
        <v>61</v>
      </c>
      <c r="U95" s="19">
        <v>64</v>
      </c>
      <c r="V95" s="18" t="str" cm="1">
        <f t="array" ref="V95">_xlfn.IFS(U95&lt;=70,"Low",U95&lt;=160,"Medium",U95&gt;=161,"High")</f>
        <v>Low</v>
      </c>
    </row>
    <row r="96" spans="1:22" x14ac:dyDescent="0.25">
      <c r="A96" s="16">
        <v>705</v>
      </c>
      <c r="B96" s="17">
        <v>40575</v>
      </c>
      <c r="C96" s="18">
        <v>1</v>
      </c>
      <c r="D96" s="18">
        <v>0</v>
      </c>
      <c r="E96" s="18">
        <v>2</v>
      </c>
      <c r="F96" s="18">
        <v>17</v>
      </c>
      <c r="G96" s="18" t="str" cm="1">
        <f t="array" ref="G96">_xlfn.IFS(F96&lt;4,"Night",F96&lt;=6,"Early Morning",F96&lt;11,"Morning",F96&lt;12,"Afternoon",F96&lt;=16,"Afternoon",F96&lt;=20,"Evening",F96&gt;=21,"Night")</f>
        <v>Evening</v>
      </c>
      <c r="H96" s="18" t="b">
        <v>0</v>
      </c>
      <c r="I96" s="18">
        <v>2</v>
      </c>
      <c r="J96" s="18" t="str" cm="1">
        <f t="array" ref="J96">_xlfn.IFS(I96=1,"Monday",I96=2,"Tuesday",I96=3,"Wednesday",I96=4,"Thursday",I96=5,"Friday",I96=6,"Saturday",I96=0,"Sunday")</f>
        <v>Tuesday</v>
      </c>
      <c r="K96" s="18">
        <v>2</v>
      </c>
      <c r="L96" s="18">
        <v>0.24</v>
      </c>
      <c r="M96" s="27" t="str" cm="1">
        <f t="array" ref="M96">_xlfn.IFS(L96&lt;0.15,"Cold",L96&lt;0.25,"Mild",L96&lt;=0.32,"Warm",L96&gt;=0.33,"Hot")</f>
        <v>Mild</v>
      </c>
      <c r="N96" s="18">
        <v>0.28789999999999999</v>
      </c>
      <c r="O96" s="18">
        <v>0.75</v>
      </c>
      <c r="P96" s="18" t="str" cm="1">
        <f t="array" ref="P96">_xlfn.IFS(O96&gt;0.61, "High Humidity", O96&gt;=0.6, "Humid", O96&gt;0.4, "Less Humidity", TRUE, "Dry")</f>
        <v>High Humidity</v>
      </c>
      <c r="Q96" s="18">
        <v>0</v>
      </c>
      <c r="R96" s="18" t="str" cm="1">
        <f t="array" ref="R96">_xlfn.IFS(Q96&lt;=0.2,"Low Windspeed",Q96&lt;0.4,"Medium Windspeed",Q96&gt;=0.41,"High Windspeed")</f>
        <v>Low Windspeed</v>
      </c>
      <c r="S96" s="18">
        <v>4</v>
      </c>
      <c r="T96" s="18">
        <v>172</v>
      </c>
      <c r="U96" s="19">
        <v>176</v>
      </c>
      <c r="V96" s="18" t="str" cm="1">
        <f t="array" ref="V96">_xlfn.IFS(U96&lt;=70,"Low",U96&lt;=160,"Medium",U96&gt;=161,"High")</f>
        <v>High</v>
      </c>
    </row>
    <row r="97" spans="1:22" x14ac:dyDescent="0.25">
      <c r="A97" s="16">
        <v>706</v>
      </c>
      <c r="B97" s="17">
        <v>40575</v>
      </c>
      <c r="C97" s="18">
        <v>1</v>
      </c>
      <c r="D97" s="18">
        <v>0</v>
      </c>
      <c r="E97" s="18">
        <v>2</v>
      </c>
      <c r="F97" s="18">
        <v>18</v>
      </c>
      <c r="G97" s="18" t="str" cm="1">
        <f t="array" ref="G97">_xlfn.IFS(F97&lt;4,"Night",F97&lt;=6,"Early Morning",F97&lt;11,"Morning",F97&lt;12,"Afternoon",F97&lt;=16,"Afternoon",F97&lt;=20,"Evening",F97&gt;=21,"Night")</f>
        <v>Evening</v>
      </c>
      <c r="H97" s="18" t="b">
        <v>0</v>
      </c>
      <c r="I97" s="18">
        <v>2</v>
      </c>
      <c r="J97" s="18" t="str" cm="1">
        <f t="array" ref="J97">_xlfn.IFS(I97=1,"Monday",I97=2,"Tuesday",I97=3,"Wednesday",I97=4,"Thursday",I97=5,"Friday",I97=6,"Saturday",I97=0,"Sunday")</f>
        <v>Tuesday</v>
      </c>
      <c r="K97" s="18">
        <v>2</v>
      </c>
      <c r="L97" s="18">
        <v>0.24</v>
      </c>
      <c r="M97" s="27" t="str" cm="1">
        <f t="array" ref="M97">_xlfn.IFS(L97&lt;0.15,"Cold",L97&lt;0.25,"Mild",L97&lt;=0.32,"Warm",L97&gt;=0.33,"Hot")</f>
        <v>Mild</v>
      </c>
      <c r="N97" s="18">
        <v>0.2576</v>
      </c>
      <c r="O97" s="18">
        <v>0.81</v>
      </c>
      <c r="P97" s="18" t="str" cm="1">
        <f t="array" ref="P97">_xlfn.IFS(O97&gt;0.61, "High Humidity", O97&gt;=0.6, "Humid", O97&gt;0.4, "Less Humidity", TRUE, "Dry")</f>
        <v>High Humidity</v>
      </c>
      <c r="Q97" s="18">
        <v>0.1045</v>
      </c>
      <c r="R97" s="18" t="str" cm="1">
        <f t="array" ref="R97">_xlfn.IFS(Q97&lt;=0.2,"Low Windspeed",Q97&lt;0.4,"Medium Windspeed",Q97&gt;=0.41,"High Windspeed")</f>
        <v>Low Windspeed</v>
      </c>
      <c r="S97" s="18">
        <v>3</v>
      </c>
      <c r="T97" s="18">
        <v>165</v>
      </c>
      <c r="U97" s="19">
        <v>168</v>
      </c>
      <c r="V97" s="18" t="str" cm="1">
        <f t="array" ref="V97">_xlfn.IFS(U97&lt;=70,"Low",U97&lt;=160,"Medium",U97&gt;=161,"High")</f>
        <v>High</v>
      </c>
    </row>
    <row r="98" spans="1:22" x14ac:dyDescent="0.25">
      <c r="A98" s="16">
        <v>707</v>
      </c>
      <c r="B98" s="17">
        <v>40575</v>
      </c>
      <c r="C98" s="18">
        <v>1</v>
      </c>
      <c r="D98" s="18">
        <v>0</v>
      </c>
      <c r="E98" s="18">
        <v>2</v>
      </c>
      <c r="F98" s="18">
        <v>19</v>
      </c>
      <c r="G98" s="18" t="str" cm="1">
        <f t="array" ref="G98">_xlfn.IFS(F98&lt;4,"Night",F98&lt;=6,"Early Morning",F98&lt;11,"Morning",F98&lt;12,"Afternoon",F98&lt;=16,"Afternoon",F98&lt;=20,"Evening",F98&gt;=21,"Night")</f>
        <v>Evening</v>
      </c>
      <c r="H98" s="18" t="b">
        <v>0</v>
      </c>
      <c r="I98" s="18">
        <v>2</v>
      </c>
      <c r="J98" s="18" t="str" cm="1">
        <f t="array" ref="J98">_xlfn.IFS(I98=1,"Monday",I98=2,"Tuesday",I98=3,"Wednesday",I98=4,"Thursday",I98=5,"Friday",I98=6,"Saturday",I98=0,"Sunday")</f>
        <v>Tuesday</v>
      </c>
      <c r="K98" s="18">
        <v>2</v>
      </c>
      <c r="L98" s="18">
        <v>0.24</v>
      </c>
      <c r="M98" s="27" t="str" cm="1">
        <f t="array" ref="M98">_xlfn.IFS(L98&lt;0.15,"Cold",L98&lt;0.25,"Mild",L98&lt;=0.32,"Warm",L98&gt;=0.33,"Hot")</f>
        <v>Mild</v>
      </c>
      <c r="N98" s="18">
        <v>0.2424</v>
      </c>
      <c r="O98" s="18">
        <v>0.81</v>
      </c>
      <c r="P98" s="18" t="str" cm="1">
        <f t="array" ref="P98">_xlfn.IFS(O98&gt;0.61, "High Humidity", O98&gt;=0.6, "Humid", O98&gt;0.4, "Less Humidity", TRUE, "Dry")</f>
        <v>High Humidity</v>
      </c>
      <c r="Q98" s="18">
        <v>0.1343</v>
      </c>
      <c r="R98" s="18" t="str" cm="1">
        <f t="array" ref="R98">_xlfn.IFS(Q98&lt;=0.2,"Low Windspeed",Q98&lt;0.4,"Medium Windspeed",Q98&gt;=0.41,"High Windspeed")</f>
        <v>Low Windspeed</v>
      </c>
      <c r="S98" s="18">
        <v>3</v>
      </c>
      <c r="T98" s="18">
        <v>105</v>
      </c>
      <c r="U98" s="19">
        <v>108</v>
      </c>
      <c r="V98" s="18" t="str" cm="1">
        <f t="array" ref="V98">_xlfn.IFS(U98&lt;=70,"Low",U98&lt;=160,"Medium",U98&gt;=161,"High")</f>
        <v>Medium</v>
      </c>
    </row>
    <row r="99" spans="1:22" x14ac:dyDescent="0.25">
      <c r="A99" s="16">
        <v>708</v>
      </c>
      <c r="B99" s="17">
        <v>40575</v>
      </c>
      <c r="C99" s="18">
        <v>1</v>
      </c>
      <c r="D99" s="18">
        <v>0</v>
      </c>
      <c r="E99" s="18">
        <v>2</v>
      </c>
      <c r="F99" s="18">
        <v>20</v>
      </c>
      <c r="G99" s="18" t="str" cm="1">
        <f t="array" ref="G99">_xlfn.IFS(F99&lt;4,"Night",F99&lt;=6,"Early Morning",F99&lt;11,"Morning",F99&lt;12,"Afternoon",F99&lt;=16,"Afternoon",F99&lt;=20,"Evening",F99&gt;=21,"Night")</f>
        <v>Evening</v>
      </c>
      <c r="H99" s="18" t="b">
        <v>0</v>
      </c>
      <c r="I99" s="18">
        <v>2</v>
      </c>
      <c r="J99" s="18" t="str" cm="1">
        <f t="array" ref="J99">_xlfn.IFS(I99=1,"Monday",I99=2,"Tuesday",I99=3,"Wednesday",I99=4,"Thursday",I99=5,"Friday",I99=6,"Saturday",I99=0,"Sunday")</f>
        <v>Tuesday</v>
      </c>
      <c r="K99" s="18">
        <v>2</v>
      </c>
      <c r="L99" s="18">
        <v>0.22</v>
      </c>
      <c r="M99" s="27" t="str" cm="1">
        <f t="array" ref="M99">_xlfn.IFS(L99&lt;0.15,"Cold",L99&lt;0.25,"Mild",L99&lt;=0.32,"Warm",L99&gt;=0.33,"Hot")</f>
        <v>Mild</v>
      </c>
      <c r="N99" s="18">
        <v>0.2273</v>
      </c>
      <c r="O99" s="18">
        <v>0.87</v>
      </c>
      <c r="P99" s="18" t="str" cm="1">
        <f t="array" ref="P99">_xlfn.IFS(O99&gt;0.61, "High Humidity", O99&gt;=0.6, "Humid", O99&gt;0.4, "Less Humidity", TRUE, "Dry")</f>
        <v>High Humidity</v>
      </c>
      <c r="Q99" s="18">
        <v>0.1343</v>
      </c>
      <c r="R99" s="18" t="str" cm="1">
        <f t="array" ref="R99">_xlfn.IFS(Q99&lt;=0.2,"Low Windspeed",Q99&lt;0.4,"Medium Windspeed",Q99&gt;=0.41,"High Windspeed")</f>
        <v>Low Windspeed</v>
      </c>
      <c r="S99" s="18">
        <v>5</v>
      </c>
      <c r="T99" s="18">
        <v>69</v>
      </c>
      <c r="U99" s="19">
        <v>74</v>
      </c>
      <c r="V99" s="18" t="str" cm="1">
        <f t="array" ref="V99">_xlfn.IFS(U99&lt;=70,"Low",U99&lt;=160,"Medium",U99&gt;=161,"High")</f>
        <v>Medium</v>
      </c>
    </row>
    <row r="100" spans="1:22" x14ac:dyDescent="0.25">
      <c r="A100" s="16">
        <v>709</v>
      </c>
      <c r="B100" s="17">
        <v>40575</v>
      </c>
      <c r="C100" s="18">
        <v>1</v>
      </c>
      <c r="D100" s="18">
        <v>0</v>
      </c>
      <c r="E100" s="18">
        <v>2</v>
      </c>
      <c r="F100" s="18">
        <v>21</v>
      </c>
      <c r="G100" s="18" t="str" cm="1">
        <f t="array" ref="G100">_xlfn.IFS(F100&lt;4,"Night",F100&lt;=6,"Early Morning",F100&lt;11,"Morning",F100&lt;12,"Afternoon",F100&lt;=16,"Afternoon",F100&lt;=20,"Evening",F100&gt;=21,"Night")</f>
        <v>Night</v>
      </c>
      <c r="H100" s="18" t="b">
        <v>0</v>
      </c>
      <c r="I100" s="18">
        <v>2</v>
      </c>
      <c r="J100" s="18" t="str" cm="1">
        <f t="array" ref="J100">_xlfn.IFS(I100=1,"Monday",I100=2,"Tuesday",I100=3,"Wednesday",I100=4,"Thursday",I100=5,"Friday",I100=6,"Saturday",I100=0,"Sunday")</f>
        <v>Tuesday</v>
      </c>
      <c r="K100" s="18">
        <v>2</v>
      </c>
      <c r="L100" s="18">
        <v>0.22</v>
      </c>
      <c r="M100" s="27" t="str" cm="1">
        <f t="array" ref="M100">_xlfn.IFS(L100&lt;0.15,"Cold",L100&lt;0.25,"Mild",L100&lt;=0.32,"Warm",L100&gt;=0.33,"Hot")</f>
        <v>Mild</v>
      </c>
      <c r="N100" s="18">
        <v>0.2273</v>
      </c>
      <c r="O100" s="18">
        <v>0.87</v>
      </c>
      <c r="P100" s="18" t="str" cm="1">
        <f t="array" ref="P100">_xlfn.IFS(O100&gt;0.61, "High Humidity", O100&gt;=0.6, "Humid", O100&gt;0.4, "Less Humidity", TRUE, "Dry")</f>
        <v>High Humidity</v>
      </c>
      <c r="Q100" s="18">
        <v>0.1343</v>
      </c>
      <c r="R100" s="18" t="str" cm="1">
        <f t="array" ref="R100">_xlfn.IFS(Q100&lt;=0.2,"Low Windspeed",Q100&lt;0.4,"Medium Windspeed",Q100&gt;=0.41,"High Windspeed")</f>
        <v>Low Windspeed</v>
      </c>
      <c r="S100" s="18">
        <v>0</v>
      </c>
      <c r="T100" s="18">
        <v>64</v>
      </c>
      <c r="U100" s="19">
        <v>64</v>
      </c>
      <c r="V100" s="18" t="str" cm="1">
        <f t="array" ref="V100">_xlfn.IFS(U100&lt;=70,"Low",U100&lt;=160,"Medium",U100&gt;=161,"High")</f>
        <v>Low</v>
      </c>
    </row>
    <row r="101" spans="1:22" x14ac:dyDescent="0.25">
      <c r="A101" s="16">
        <v>710</v>
      </c>
      <c r="B101" s="17">
        <v>40575</v>
      </c>
      <c r="C101" s="18">
        <v>1</v>
      </c>
      <c r="D101" s="18">
        <v>0</v>
      </c>
      <c r="E101" s="18">
        <v>2</v>
      </c>
      <c r="F101" s="18">
        <v>22</v>
      </c>
      <c r="G101" s="18" t="str" cm="1">
        <f t="array" ref="G101">_xlfn.IFS(F101&lt;4,"Night",F101&lt;=6,"Early Morning",F101&lt;11,"Morning",F101&lt;12,"Afternoon",F101&lt;=16,"Afternoon",F101&lt;=20,"Evening",F101&gt;=21,"Night")</f>
        <v>Night</v>
      </c>
      <c r="H101" s="18" t="b">
        <v>0</v>
      </c>
      <c r="I101" s="18">
        <v>2</v>
      </c>
      <c r="J101" s="18" t="str" cm="1">
        <f t="array" ref="J101">_xlfn.IFS(I101=1,"Monday",I101=2,"Tuesday",I101=3,"Wednesday",I101=4,"Thursday",I101=5,"Friday",I101=6,"Saturday",I101=0,"Sunday")</f>
        <v>Tuesday</v>
      </c>
      <c r="K101" s="18">
        <v>2</v>
      </c>
      <c r="L101" s="18">
        <v>0.22</v>
      </c>
      <c r="M101" s="27" t="str" cm="1">
        <f t="array" ref="M101">_xlfn.IFS(L101&lt;0.15,"Cold",L101&lt;0.25,"Mild",L101&lt;=0.32,"Warm",L101&gt;=0.33,"Hot")</f>
        <v>Mild</v>
      </c>
      <c r="N101" s="18">
        <v>0.2576</v>
      </c>
      <c r="O101" s="18">
        <v>0.87</v>
      </c>
      <c r="P101" s="18" t="str" cm="1">
        <f t="array" ref="P101">_xlfn.IFS(O101&gt;0.61, "High Humidity", O101&gt;=0.6, "Humid", O101&gt;0.4, "Less Humidity", TRUE, "Dry")</f>
        <v>High Humidity</v>
      </c>
      <c r="Q101" s="18">
        <v>8.9599999999999999E-2</v>
      </c>
      <c r="R101" s="18" t="str" cm="1">
        <f t="array" ref="R101">_xlfn.IFS(Q101&lt;=0.2,"Low Windspeed",Q101&lt;0.4,"Medium Windspeed",Q101&gt;=0.41,"High Windspeed")</f>
        <v>Low Windspeed</v>
      </c>
      <c r="S101" s="18">
        <v>2</v>
      </c>
      <c r="T101" s="18">
        <v>34</v>
      </c>
      <c r="U101" s="19">
        <v>36</v>
      </c>
      <c r="V101" s="18" t="str" cm="1">
        <f t="array" ref="V101">_xlfn.IFS(U101&lt;=70,"Low",U101&lt;=160,"Medium",U101&gt;=161,"High")</f>
        <v>Low</v>
      </c>
    </row>
    <row r="102" spans="1:22" x14ac:dyDescent="0.25">
      <c r="A102" s="16">
        <v>711</v>
      </c>
      <c r="B102" s="17">
        <v>40575</v>
      </c>
      <c r="C102" s="18">
        <v>1</v>
      </c>
      <c r="D102" s="18">
        <v>0</v>
      </c>
      <c r="E102" s="18">
        <v>2</v>
      </c>
      <c r="F102" s="18">
        <v>23</v>
      </c>
      <c r="G102" s="18" t="str" cm="1">
        <f t="array" ref="G102">_xlfn.IFS(F102&lt;4,"Night",F102&lt;=6,"Early Morning",F102&lt;11,"Morning",F102&lt;12,"Afternoon",F102&lt;=16,"Afternoon",F102&lt;=20,"Evening",F102&gt;=21,"Night")</f>
        <v>Night</v>
      </c>
      <c r="H102" s="18" t="b">
        <v>0</v>
      </c>
      <c r="I102" s="18">
        <v>2</v>
      </c>
      <c r="J102" s="18" t="str" cm="1">
        <f t="array" ref="J102">_xlfn.IFS(I102=1,"Monday",I102=2,"Tuesday",I102=3,"Wednesday",I102=4,"Thursday",I102=5,"Friday",I102=6,"Saturday",I102=0,"Sunday")</f>
        <v>Tuesday</v>
      </c>
      <c r="K102" s="18">
        <v>3</v>
      </c>
      <c r="L102" s="18">
        <v>0.2</v>
      </c>
      <c r="M102" s="27" t="str" cm="1">
        <f t="array" ref="M102">_xlfn.IFS(L102&lt;0.15,"Cold",L102&lt;0.25,"Mild",L102&lt;=0.32,"Warm",L102&gt;=0.33,"Hot")</f>
        <v>Mild</v>
      </c>
      <c r="N102" s="18">
        <v>0.19700000000000001</v>
      </c>
      <c r="O102" s="18">
        <v>0.93</v>
      </c>
      <c r="P102" s="18" t="str" cm="1">
        <f t="array" ref="P102">_xlfn.IFS(O102&gt;0.61, "High Humidity", O102&gt;=0.6, "Humid", O102&gt;0.4, "Less Humidity", TRUE, "Dry")</f>
        <v>High Humidity</v>
      </c>
      <c r="Q102" s="18">
        <v>0.19400000000000001</v>
      </c>
      <c r="R102" s="18" t="str" cm="1">
        <f t="array" ref="R102">_xlfn.IFS(Q102&lt;=0.2,"Low Windspeed",Q102&lt;0.4,"Medium Windspeed",Q102&gt;=0.41,"High Windspeed")</f>
        <v>Low Windspeed</v>
      </c>
      <c r="S102" s="18">
        <v>1</v>
      </c>
      <c r="T102" s="18">
        <v>15</v>
      </c>
      <c r="U102" s="19">
        <v>16</v>
      </c>
      <c r="V102" s="18" t="str" cm="1">
        <f t="array" ref="V102">_xlfn.IFS(U102&lt;=70,"Low",U102&lt;=160,"Medium",U102&gt;=161,"High")</f>
        <v>Low</v>
      </c>
    </row>
    <row r="103" spans="1:22" x14ac:dyDescent="0.25">
      <c r="A103" s="16">
        <v>712</v>
      </c>
      <c r="B103" s="17">
        <v>40576</v>
      </c>
      <c r="C103" s="18">
        <v>1</v>
      </c>
      <c r="D103" s="18">
        <v>0</v>
      </c>
      <c r="E103" s="18">
        <v>2</v>
      </c>
      <c r="F103" s="18">
        <v>0</v>
      </c>
      <c r="G103" s="18" t="str" cm="1">
        <f t="array" ref="G103">_xlfn.IFS(F103&lt;4,"Night",F103&lt;=6,"Early Morning",F103&lt;11,"Morning",F103&lt;12,"Afternoon",F103&lt;=16,"Afternoon",F103&lt;=20,"Evening",F103&gt;=21,"Night")</f>
        <v>Night</v>
      </c>
      <c r="H103" s="18" t="b">
        <v>0</v>
      </c>
      <c r="I103" s="18">
        <v>3</v>
      </c>
      <c r="J103" s="18" t="str" cm="1">
        <f t="array" ref="J103">_xlfn.IFS(I103=1,"Monday",I103=2,"Tuesday",I103=3,"Wednesday",I103=4,"Thursday",I103=5,"Friday",I103=6,"Saturday",I103=0,"Sunday")</f>
        <v>Wednesday</v>
      </c>
      <c r="K103" s="18">
        <v>3</v>
      </c>
      <c r="L103" s="18">
        <v>0.22</v>
      </c>
      <c r="M103" s="27" t="str" cm="1">
        <f t="array" ref="M103">_xlfn.IFS(L103&lt;0.15,"Cold",L103&lt;0.25,"Mild",L103&lt;=0.32,"Warm",L103&gt;=0.33,"Hot")</f>
        <v>Mild</v>
      </c>
      <c r="N103" s="18">
        <v>0.2424</v>
      </c>
      <c r="O103" s="18">
        <v>0.93</v>
      </c>
      <c r="P103" s="18" t="str" cm="1">
        <f t="array" ref="P103">_xlfn.IFS(O103&gt;0.61, "High Humidity", O103&gt;=0.6, "Humid", O103&gt;0.4, "Less Humidity", TRUE, "Dry")</f>
        <v>High Humidity</v>
      </c>
      <c r="Q103" s="18">
        <v>0.1045</v>
      </c>
      <c r="R103" s="18" t="str" cm="1">
        <f t="array" ref="R103">_xlfn.IFS(Q103&lt;=0.2,"Low Windspeed",Q103&lt;0.4,"Medium Windspeed",Q103&gt;=0.41,"High Windspeed")</f>
        <v>Low Windspeed</v>
      </c>
      <c r="S103" s="18">
        <v>0</v>
      </c>
      <c r="T103" s="18">
        <v>2</v>
      </c>
      <c r="U103" s="19">
        <v>2</v>
      </c>
      <c r="V103" s="18" t="str" cm="1">
        <f t="array" ref="V103">_xlfn.IFS(U103&lt;=70,"Low",U103&lt;=160,"Medium",U103&gt;=161,"High")</f>
        <v>Low</v>
      </c>
    </row>
    <row r="104" spans="1:22" x14ac:dyDescent="0.25">
      <c r="A104" s="16">
        <v>713</v>
      </c>
      <c r="B104" s="17">
        <v>40576</v>
      </c>
      <c r="C104" s="18">
        <v>1</v>
      </c>
      <c r="D104" s="18">
        <v>0</v>
      </c>
      <c r="E104" s="18">
        <v>2</v>
      </c>
      <c r="F104" s="18">
        <v>1</v>
      </c>
      <c r="G104" s="18" t="str" cm="1">
        <f t="array" ref="G104">_xlfn.IFS(F104&lt;4,"Night",F104&lt;=6,"Early Morning",F104&lt;11,"Morning",F104&lt;12,"Afternoon",F104&lt;=16,"Afternoon",F104&lt;=20,"Evening",F104&gt;=21,"Night")</f>
        <v>Night</v>
      </c>
      <c r="H104" s="18" t="b">
        <v>0</v>
      </c>
      <c r="I104" s="18">
        <v>3</v>
      </c>
      <c r="J104" s="18" t="str" cm="1">
        <f t="array" ref="J104">_xlfn.IFS(I104=1,"Monday",I104=2,"Tuesday",I104=3,"Wednesday",I104=4,"Thursday",I104=5,"Friday",I104=6,"Saturday",I104=0,"Sunday")</f>
        <v>Wednesday</v>
      </c>
      <c r="K104" s="18">
        <v>3</v>
      </c>
      <c r="L104" s="18">
        <v>0.22</v>
      </c>
      <c r="M104" s="27" t="str" cm="1">
        <f t="array" ref="M104">_xlfn.IFS(L104&lt;0.15,"Cold",L104&lt;0.25,"Mild",L104&lt;=0.32,"Warm",L104&gt;=0.33,"Hot")</f>
        <v>Mild</v>
      </c>
      <c r="N104" s="18">
        <v>0.2273</v>
      </c>
      <c r="O104" s="18">
        <v>0.93</v>
      </c>
      <c r="P104" s="18" t="str" cm="1">
        <f t="array" ref="P104">_xlfn.IFS(O104&gt;0.61, "High Humidity", O104&gt;=0.6, "Humid", O104&gt;0.4, "Less Humidity", TRUE, "Dry")</f>
        <v>High Humidity</v>
      </c>
      <c r="Q104" s="18">
        <v>0.19400000000000001</v>
      </c>
      <c r="R104" s="18" t="str" cm="1">
        <f t="array" ref="R104">_xlfn.IFS(Q104&lt;=0.2,"Low Windspeed",Q104&lt;0.4,"Medium Windspeed",Q104&gt;=0.41,"High Windspeed")</f>
        <v>Low Windspeed</v>
      </c>
      <c r="S104" s="18">
        <v>0</v>
      </c>
      <c r="T104" s="18">
        <v>3</v>
      </c>
      <c r="U104" s="19">
        <v>3</v>
      </c>
      <c r="V104" s="18" t="str" cm="1">
        <f t="array" ref="V104">_xlfn.IFS(U104&lt;=70,"Low",U104&lt;=160,"Medium",U104&gt;=161,"High")</f>
        <v>Low</v>
      </c>
    </row>
    <row r="105" spans="1:22" x14ac:dyDescent="0.25">
      <c r="A105" s="16">
        <v>714</v>
      </c>
      <c r="B105" s="17">
        <v>40576</v>
      </c>
      <c r="C105" s="18">
        <v>1</v>
      </c>
      <c r="D105" s="18">
        <v>0</v>
      </c>
      <c r="E105" s="18">
        <v>2</v>
      </c>
      <c r="F105" s="18">
        <v>2</v>
      </c>
      <c r="G105" s="18" t="str" cm="1">
        <f t="array" ref="G105">_xlfn.IFS(F105&lt;4,"Night",F105&lt;=6,"Early Morning",F105&lt;11,"Morning",F105&lt;12,"Afternoon",F105&lt;=16,"Afternoon",F105&lt;=20,"Evening",F105&gt;=21,"Night")</f>
        <v>Night</v>
      </c>
      <c r="H105" s="18" t="b">
        <v>0</v>
      </c>
      <c r="I105" s="18">
        <v>3</v>
      </c>
      <c r="J105" s="18" t="str" cm="1">
        <f t="array" ref="J105">_xlfn.IFS(I105=1,"Monday",I105=2,"Tuesday",I105=3,"Wednesday",I105=4,"Thursday",I105=5,"Friday",I105=6,"Saturday",I105=0,"Sunday")</f>
        <v>Wednesday</v>
      </c>
      <c r="K105" s="18">
        <v>3</v>
      </c>
      <c r="L105" s="18">
        <v>0.22</v>
      </c>
      <c r="M105" s="27" t="str" cm="1">
        <f t="array" ref="M105">_xlfn.IFS(L105&lt;0.15,"Cold",L105&lt;0.25,"Mild",L105&lt;=0.32,"Warm",L105&gt;=0.33,"Hot")</f>
        <v>Mild</v>
      </c>
      <c r="N105" s="18">
        <v>0.2273</v>
      </c>
      <c r="O105" s="18">
        <v>0.93</v>
      </c>
      <c r="P105" s="18" t="str" cm="1">
        <f t="array" ref="P105">_xlfn.IFS(O105&gt;0.61, "High Humidity", O105&gt;=0.6, "Humid", O105&gt;0.4, "Less Humidity", TRUE, "Dry")</f>
        <v>High Humidity</v>
      </c>
      <c r="Q105" s="18">
        <v>0.1343</v>
      </c>
      <c r="R105" s="18" t="str" cm="1">
        <f t="array" ref="R105">_xlfn.IFS(Q105&lt;=0.2,"Low Windspeed",Q105&lt;0.4,"Medium Windspeed",Q105&gt;=0.41,"High Windspeed")</f>
        <v>Low Windspeed</v>
      </c>
      <c r="S105" s="18">
        <v>4</v>
      </c>
      <c r="T105" s="18">
        <v>0</v>
      </c>
      <c r="U105" s="19">
        <v>4</v>
      </c>
      <c r="V105" s="18" t="str" cm="1">
        <f t="array" ref="V105">_xlfn.IFS(U105&lt;=70,"Low",U105&lt;=160,"Medium",U105&gt;=161,"High")</f>
        <v>Low</v>
      </c>
    </row>
    <row r="106" spans="1:22" x14ac:dyDescent="0.25">
      <c r="A106" s="16">
        <v>715</v>
      </c>
      <c r="B106" s="17">
        <v>40576</v>
      </c>
      <c r="C106" s="18">
        <v>1</v>
      </c>
      <c r="D106" s="18">
        <v>0</v>
      </c>
      <c r="E106" s="18">
        <v>2</v>
      </c>
      <c r="F106" s="18">
        <v>3</v>
      </c>
      <c r="G106" s="18" t="str" cm="1">
        <f t="array" ref="G106">_xlfn.IFS(F106&lt;4,"Night",F106&lt;=6,"Early Morning",F106&lt;11,"Morning",F106&lt;12,"Afternoon",F106&lt;=16,"Afternoon",F106&lt;=20,"Evening",F106&gt;=21,"Night")</f>
        <v>Night</v>
      </c>
      <c r="H106" s="18" t="b">
        <v>0</v>
      </c>
      <c r="I106" s="18">
        <v>3</v>
      </c>
      <c r="J106" s="18" t="str" cm="1">
        <f t="array" ref="J106">_xlfn.IFS(I106=1,"Monday",I106=2,"Tuesday",I106=3,"Wednesday",I106=4,"Thursday",I106=5,"Friday",I106=6,"Saturday",I106=0,"Sunday")</f>
        <v>Wednesday</v>
      </c>
      <c r="K106" s="18">
        <v>3</v>
      </c>
      <c r="L106" s="18">
        <v>0.22</v>
      </c>
      <c r="M106" s="27" t="str" cm="1">
        <f t="array" ref="M106">_xlfn.IFS(L106&lt;0.15,"Cold",L106&lt;0.25,"Mild",L106&lt;=0.32,"Warm",L106&gt;=0.33,"Hot")</f>
        <v>Mild</v>
      </c>
      <c r="N106" s="18">
        <v>0.2273</v>
      </c>
      <c r="O106" s="18">
        <v>0.93</v>
      </c>
      <c r="P106" s="18" t="str" cm="1">
        <f t="array" ref="P106">_xlfn.IFS(O106&gt;0.61, "High Humidity", O106&gt;=0.6, "Humid", O106&gt;0.4, "Less Humidity", TRUE, "Dry")</f>
        <v>High Humidity</v>
      </c>
      <c r="Q106" s="18">
        <v>0.1343</v>
      </c>
      <c r="R106" s="18" t="str" cm="1">
        <f t="array" ref="R106">_xlfn.IFS(Q106&lt;=0.2,"Low Windspeed",Q106&lt;0.4,"Medium Windspeed",Q106&gt;=0.41,"High Windspeed")</f>
        <v>Low Windspeed</v>
      </c>
      <c r="S106" s="18">
        <v>0</v>
      </c>
      <c r="T106" s="18">
        <v>1</v>
      </c>
      <c r="U106" s="19">
        <v>1</v>
      </c>
      <c r="V106" s="18" t="str" cm="1">
        <f t="array" ref="V106">_xlfn.IFS(U106&lt;=70,"Low",U106&lt;=160,"Medium",U106&gt;=161,"High")</f>
        <v>Low</v>
      </c>
    </row>
    <row r="107" spans="1:22" x14ac:dyDescent="0.25">
      <c r="A107" s="16">
        <v>716</v>
      </c>
      <c r="B107" s="17">
        <v>40576</v>
      </c>
      <c r="C107" s="18">
        <v>1</v>
      </c>
      <c r="D107" s="18">
        <v>0</v>
      </c>
      <c r="E107" s="18">
        <v>2</v>
      </c>
      <c r="F107" s="18">
        <v>4</v>
      </c>
      <c r="G107" s="18" t="str" cm="1">
        <f t="array" ref="G107">_xlfn.IFS(F107&lt;4,"Night",F107&lt;=6,"Early Morning",F107&lt;11,"Morning",F107&lt;12,"Afternoon",F107&lt;=16,"Afternoon",F107&lt;=20,"Evening",F107&gt;=21,"Night")</f>
        <v>Early Morning</v>
      </c>
      <c r="H107" s="18" t="b">
        <v>0</v>
      </c>
      <c r="I107" s="18">
        <v>3</v>
      </c>
      <c r="J107" s="18" t="str" cm="1">
        <f t="array" ref="J107">_xlfn.IFS(I107=1,"Monday",I107=2,"Tuesday",I107=3,"Wednesday",I107=4,"Thursday",I107=5,"Friday",I107=6,"Saturday",I107=0,"Sunday")</f>
        <v>Wednesday</v>
      </c>
      <c r="K107" s="18">
        <v>3</v>
      </c>
      <c r="L107" s="18">
        <v>0.22</v>
      </c>
      <c r="M107" s="27" t="str" cm="1">
        <f t="array" ref="M107">_xlfn.IFS(L107&lt;0.15,"Cold",L107&lt;0.25,"Mild",L107&lt;=0.32,"Warm",L107&gt;=0.33,"Hot")</f>
        <v>Mild</v>
      </c>
      <c r="N107" s="18">
        <v>0.21210000000000001</v>
      </c>
      <c r="O107" s="18">
        <v>0.93</v>
      </c>
      <c r="P107" s="18" t="str" cm="1">
        <f t="array" ref="P107">_xlfn.IFS(O107&gt;0.61, "High Humidity", O107&gt;=0.6, "Humid", O107&gt;0.4, "Less Humidity", TRUE, "Dry")</f>
        <v>High Humidity</v>
      </c>
      <c r="Q107" s="18">
        <v>0.28360000000000002</v>
      </c>
      <c r="R107" s="18" t="str" cm="1">
        <f t="array" ref="R107">_xlfn.IFS(Q107&lt;=0.2,"Low Windspeed",Q107&lt;0.4,"Medium Windspeed",Q107&gt;=0.41,"High Windspeed")</f>
        <v>Medium Windspeed</v>
      </c>
      <c r="S107" s="18">
        <v>0</v>
      </c>
      <c r="T107" s="18">
        <v>1</v>
      </c>
      <c r="U107" s="19">
        <v>1</v>
      </c>
      <c r="V107" s="18" t="str" cm="1">
        <f t="array" ref="V107">_xlfn.IFS(U107&lt;=70,"Low",U107&lt;=160,"Medium",U107&gt;=161,"High")</f>
        <v>Low</v>
      </c>
    </row>
    <row r="108" spans="1:22" x14ac:dyDescent="0.25">
      <c r="A108" s="16">
        <v>717</v>
      </c>
      <c r="B108" s="17">
        <v>40576</v>
      </c>
      <c r="C108" s="18">
        <v>1</v>
      </c>
      <c r="D108" s="18">
        <v>0</v>
      </c>
      <c r="E108" s="18">
        <v>2</v>
      </c>
      <c r="F108" s="18">
        <v>5</v>
      </c>
      <c r="G108" s="18" t="str" cm="1">
        <f t="array" ref="G108">_xlfn.IFS(F108&lt;4,"Night",F108&lt;=6,"Early Morning",F108&lt;11,"Morning",F108&lt;12,"Afternoon",F108&lt;=16,"Afternoon",F108&lt;=20,"Evening",F108&gt;=21,"Night")</f>
        <v>Early Morning</v>
      </c>
      <c r="H108" s="18" t="b">
        <v>0</v>
      </c>
      <c r="I108" s="18">
        <v>3</v>
      </c>
      <c r="J108" s="18" t="str" cm="1">
        <f t="array" ref="J108">_xlfn.IFS(I108=1,"Monday",I108=2,"Tuesday",I108=3,"Wednesday",I108=4,"Thursday",I108=5,"Friday",I108=6,"Saturday",I108=0,"Sunday")</f>
        <v>Wednesday</v>
      </c>
      <c r="K108" s="18">
        <v>3</v>
      </c>
      <c r="L108" s="18">
        <v>0.22</v>
      </c>
      <c r="M108" s="27" t="str" cm="1">
        <f t="array" ref="M108">_xlfn.IFS(L108&lt;0.15,"Cold",L108&lt;0.25,"Mild",L108&lt;=0.32,"Warm",L108&gt;=0.33,"Hot")</f>
        <v>Mild</v>
      </c>
      <c r="N108" s="18">
        <v>0.2424</v>
      </c>
      <c r="O108" s="18">
        <v>0.93</v>
      </c>
      <c r="P108" s="18" t="str" cm="1">
        <f t="array" ref="P108">_xlfn.IFS(O108&gt;0.61, "High Humidity", O108&gt;=0.6, "Humid", O108&gt;0.4, "Less Humidity", TRUE, "Dry")</f>
        <v>High Humidity</v>
      </c>
      <c r="Q108" s="18">
        <v>0.1045</v>
      </c>
      <c r="R108" s="18" t="str" cm="1">
        <f t="array" ref="R108">_xlfn.IFS(Q108&lt;=0.2,"Low Windspeed",Q108&lt;0.4,"Medium Windspeed",Q108&gt;=0.41,"High Windspeed")</f>
        <v>Low Windspeed</v>
      </c>
      <c r="S108" s="18">
        <v>0</v>
      </c>
      <c r="T108" s="18">
        <v>3</v>
      </c>
      <c r="U108" s="19">
        <v>3</v>
      </c>
      <c r="V108" s="18" t="str" cm="1">
        <f t="array" ref="V108">_xlfn.IFS(U108&lt;=70,"Low",U108&lt;=160,"Medium",U108&gt;=161,"High")</f>
        <v>Low</v>
      </c>
    </row>
    <row r="109" spans="1:22" x14ac:dyDescent="0.25">
      <c r="A109" s="16">
        <v>718</v>
      </c>
      <c r="B109" s="17">
        <v>40576</v>
      </c>
      <c r="C109" s="18">
        <v>1</v>
      </c>
      <c r="D109" s="18">
        <v>0</v>
      </c>
      <c r="E109" s="18">
        <v>2</v>
      </c>
      <c r="F109" s="18">
        <v>6</v>
      </c>
      <c r="G109" s="18" t="str" cm="1">
        <f t="array" ref="G109">_xlfn.IFS(F109&lt;4,"Night",F109&lt;=6,"Early Morning",F109&lt;11,"Morning",F109&lt;12,"Afternoon",F109&lt;=16,"Afternoon",F109&lt;=20,"Evening",F109&gt;=21,"Night")</f>
        <v>Early Morning</v>
      </c>
      <c r="H109" s="18" t="b">
        <v>0</v>
      </c>
      <c r="I109" s="18">
        <v>3</v>
      </c>
      <c r="J109" s="18" t="str" cm="1">
        <f t="array" ref="J109">_xlfn.IFS(I109=1,"Monday",I109=2,"Tuesday",I109=3,"Wednesday",I109=4,"Thursday",I109=5,"Friday",I109=6,"Saturday",I109=0,"Sunday")</f>
        <v>Wednesday</v>
      </c>
      <c r="K109" s="18">
        <v>3</v>
      </c>
      <c r="L109" s="18">
        <v>0.22</v>
      </c>
      <c r="M109" s="27" t="str" cm="1">
        <f t="array" ref="M109">_xlfn.IFS(L109&lt;0.15,"Cold",L109&lt;0.25,"Mild",L109&lt;=0.32,"Warm",L109&gt;=0.33,"Hot")</f>
        <v>Mild</v>
      </c>
      <c r="N109" s="18">
        <v>0.2424</v>
      </c>
      <c r="O109" s="18">
        <v>0.93</v>
      </c>
      <c r="P109" s="18" t="str" cm="1">
        <f t="array" ref="P109">_xlfn.IFS(O109&gt;0.61, "High Humidity", O109&gt;=0.6, "Humid", O109&gt;0.4, "Less Humidity", TRUE, "Dry")</f>
        <v>High Humidity</v>
      </c>
      <c r="Q109" s="18">
        <v>0.1045</v>
      </c>
      <c r="R109" s="18" t="str" cm="1">
        <f t="array" ref="R109">_xlfn.IFS(Q109&lt;=0.2,"Low Windspeed",Q109&lt;0.4,"Medium Windspeed",Q109&gt;=0.41,"High Windspeed")</f>
        <v>Low Windspeed</v>
      </c>
      <c r="S109" s="18">
        <v>1</v>
      </c>
      <c r="T109" s="18">
        <v>17</v>
      </c>
      <c r="U109" s="19">
        <v>18</v>
      </c>
      <c r="V109" s="18" t="str" cm="1">
        <f t="array" ref="V109">_xlfn.IFS(U109&lt;=70,"Low",U109&lt;=160,"Medium",U109&gt;=161,"High")</f>
        <v>Low</v>
      </c>
    </row>
    <row r="110" spans="1:22" x14ac:dyDescent="0.25">
      <c r="A110" s="16">
        <v>719</v>
      </c>
      <c r="B110" s="17">
        <v>40576</v>
      </c>
      <c r="C110" s="18">
        <v>1</v>
      </c>
      <c r="D110" s="18">
        <v>0</v>
      </c>
      <c r="E110" s="18">
        <v>2</v>
      </c>
      <c r="F110" s="18">
        <v>7</v>
      </c>
      <c r="G110" s="18" t="str" cm="1">
        <f t="array" ref="G110">_xlfn.IFS(F110&lt;4,"Night",F110&lt;=6,"Early Morning",F110&lt;11,"Morning",F110&lt;12,"Afternoon",F110&lt;=16,"Afternoon",F110&lt;=20,"Evening",F110&gt;=21,"Night")</f>
        <v>Morning</v>
      </c>
      <c r="H110" s="18" t="b">
        <v>0</v>
      </c>
      <c r="I110" s="18">
        <v>3</v>
      </c>
      <c r="J110" s="18" t="str" cm="1">
        <f t="array" ref="J110">_xlfn.IFS(I110=1,"Monday",I110=2,"Tuesday",I110=3,"Wednesday",I110=4,"Thursday",I110=5,"Friday",I110=6,"Saturday",I110=0,"Sunday")</f>
        <v>Wednesday</v>
      </c>
      <c r="K110" s="18">
        <v>3</v>
      </c>
      <c r="L110" s="18">
        <v>0.22</v>
      </c>
      <c r="M110" s="27" t="str" cm="1">
        <f t="array" ref="M110">_xlfn.IFS(L110&lt;0.15,"Cold",L110&lt;0.25,"Mild",L110&lt;=0.32,"Warm",L110&gt;=0.33,"Hot")</f>
        <v>Mild</v>
      </c>
      <c r="N110" s="18">
        <v>0.21210000000000001</v>
      </c>
      <c r="O110" s="18">
        <v>0.93</v>
      </c>
      <c r="P110" s="18" t="str" cm="1">
        <f t="array" ref="P110">_xlfn.IFS(O110&gt;0.61, "High Humidity", O110&gt;=0.6, "Humid", O110&gt;0.4, "Less Humidity", TRUE, "Dry")</f>
        <v>High Humidity</v>
      </c>
      <c r="Q110" s="18">
        <v>0.22389999999999999</v>
      </c>
      <c r="R110" s="18" t="str" cm="1">
        <f t="array" ref="R110">_xlfn.IFS(Q110&lt;=0.2,"Low Windspeed",Q110&lt;0.4,"Medium Windspeed",Q110&gt;=0.41,"High Windspeed")</f>
        <v>Medium Windspeed</v>
      </c>
      <c r="S110" s="18">
        <v>1</v>
      </c>
      <c r="T110" s="18">
        <v>48</v>
      </c>
      <c r="U110" s="19">
        <v>49</v>
      </c>
      <c r="V110" s="18" t="str" cm="1">
        <f t="array" ref="V110">_xlfn.IFS(U110&lt;=70,"Low",U110&lt;=160,"Medium",U110&gt;=161,"High")</f>
        <v>Low</v>
      </c>
    </row>
    <row r="111" spans="1:22" x14ac:dyDescent="0.25">
      <c r="A111" s="16">
        <v>720</v>
      </c>
      <c r="B111" s="17">
        <v>40576</v>
      </c>
      <c r="C111" s="18">
        <v>1</v>
      </c>
      <c r="D111" s="18">
        <v>0</v>
      </c>
      <c r="E111" s="18">
        <v>2</v>
      </c>
      <c r="F111" s="18">
        <v>8</v>
      </c>
      <c r="G111" s="18" t="str" cm="1">
        <f t="array" ref="G111">_xlfn.IFS(F111&lt;4,"Night",F111&lt;=6,"Early Morning",F111&lt;11,"Morning",F111&lt;12,"Afternoon",F111&lt;=16,"Afternoon",F111&lt;=20,"Evening",F111&gt;=21,"Night")</f>
        <v>Morning</v>
      </c>
      <c r="H111" s="18" t="b">
        <v>0</v>
      </c>
      <c r="I111" s="18">
        <v>3</v>
      </c>
      <c r="J111" s="18" t="str" cm="1">
        <f t="array" ref="J111">_xlfn.IFS(I111=1,"Monday",I111=2,"Tuesday",I111=3,"Wednesday",I111=4,"Thursday",I111=5,"Friday",I111=6,"Saturday",I111=0,"Sunday")</f>
        <v>Wednesday</v>
      </c>
      <c r="K111" s="18">
        <v>3</v>
      </c>
      <c r="L111" s="18">
        <v>0.22</v>
      </c>
      <c r="M111" s="27" t="str" cm="1">
        <f t="array" ref="M111">_xlfn.IFS(L111&lt;0.15,"Cold",L111&lt;0.25,"Mild",L111&lt;=0.32,"Warm",L111&gt;=0.33,"Hot")</f>
        <v>Mild</v>
      </c>
      <c r="N111" s="18">
        <v>0.21210000000000001</v>
      </c>
      <c r="O111" s="18">
        <v>0.93</v>
      </c>
      <c r="P111" s="18" t="str" cm="1">
        <f t="array" ref="P111">_xlfn.IFS(O111&gt;0.61, "High Humidity", O111&gt;=0.6, "Humid", O111&gt;0.4, "Less Humidity", TRUE, "Dry")</f>
        <v>High Humidity</v>
      </c>
      <c r="Q111" s="18">
        <v>0.22389999999999999</v>
      </c>
      <c r="R111" s="18" t="str" cm="1">
        <f t="array" ref="R111">_xlfn.IFS(Q111&lt;=0.2,"Low Windspeed",Q111&lt;0.4,"Medium Windspeed",Q111&gt;=0.41,"High Windspeed")</f>
        <v>Medium Windspeed</v>
      </c>
      <c r="S111" s="18">
        <v>1</v>
      </c>
      <c r="T111" s="18">
        <v>154</v>
      </c>
      <c r="U111" s="19">
        <v>155</v>
      </c>
      <c r="V111" s="18" t="str" cm="1">
        <f t="array" ref="V111">_xlfn.IFS(U111&lt;=70,"Low",U111&lt;=160,"Medium",U111&gt;=161,"High")</f>
        <v>Medium</v>
      </c>
    </row>
    <row r="112" spans="1:22" x14ac:dyDescent="0.25">
      <c r="A112" s="16">
        <v>721</v>
      </c>
      <c r="B112" s="17">
        <v>40576</v>
      </c>
      <c r="C112" s="18">
        <v>1</v>
      </c>
      <c r="D112" s="18">
        <v>0</v>
      </c>
      <c r="E112" s="18">
        <v>2</v>
      </c>
      <c r="F112" s="18">
        <v>9</v>
      </c>
      <c r="G112" s="18" t="str" cm="1">
        <f t="array" ref="G112">_xlfn.IFS(F112&lt;4,"Night",F112&lt;=6,"Early Morning",F112&lt;11,"Morning",F112&lt;12,"Afternoon",F112&lt;=16,"Afternoon",F112&lt;=20,"Evening",F112&gt;=21,"Night")</f>
        <v>Morning</v>
      </c>
      <c r="H112" s="18" t="b">
        <v>0</v>
      </c>
      <c r="I112" s="18">
        <v>3</v>
      </c>
      <c r="J112" s="18" t="str" cm="1">
        <f t="array" ref="J112">_xlfn.IFS(I112=1,"Monday",I112=2,"Tuesday",I112=3,"Wednesday",I112=4,"Thursday",I112=5,"Friday",I112=6,"Saturday",I112=0,"Sunday")</f>
        <v>Wednesday</v>
      </c>
      <c r="K112" s="18">
        <v>2</v>
      </c>
      <c r="L112" s="18">
        <v>0.24</v>
      </c>
      <c r="M112" s="27" t="str" cm="1">
        <f t="array" ref="M112">_xlfn.IFS(L112&lt;0.15,"Cold",L112&lt;0.25,"Mild",L112&lt;=0.32,"Warm",L112&gt;=0.33,"Hot")</f>
        <v>Mild</v>
      </c>
      <c r="N112" s="18">
        <v>0.2576</v>
      </c>
      <c r="O112" s="18">
        <v>0.93</v>
      </c>
      <c r="P112" s="18" t="str" cm="1">
        <f t="array" ref="P112">_xlfn.IFS(O112&gt;0.61, "High Humidity", O112&gt;=0.6, "Humid", O112&gt;0.4, "Less Humidity", TRUE, "Dry")</f>
        <v>High Humidity</v>
      </c>
      <c r="Q112" s="18">
        <v>8.9599999999999999E-2</v>
      </c>
      <c r="R112" s="18" t="str" cm="1">
        <f t="array" ref="R112">_xlfn.IFS(Q112&lt;=0.2,"Low Windspeed",Q112&lt;0.4,"Medium Windspeed",Q112&gt;=0.41,"High Windspeed")</f>
        <v>Low Windspeed</v>
      </c>
      <c r="S112" s="18">
        <v>4</v>
      </c>
      <c r="T112" s="18">
        <v>119</v>
      </c>
      <c r="U112" s="19">
        <v>123</v>
      </c>
      <c r="V112" s="18" t="str" cm="1">
        <f t="array" ref="V112">_xlfn.IFS(U112&lt;=70,"Low",U112&lt;=160,"Medium",U112&gt;=161,"High")</f>
        <v>Medium</v>
      </c>
    </row>
    <row r="113" spans="1:22" x14ac:dyDescent="0.25">
      <c r="A113" s="16">
        <v>722</v>
      </c>
      <c r="B113" s="17">
        <v>40576</v>
      </c>
      <c r="C113" s="18">
        <v>1</v>
      </c>
      <c r="D113" s="18">
        <v>0</v>
      </c>
      <c r="E113" s="18">
        <v>2</v>
      </c>
      <c r="F113" s="18">
        <v>10</v>
      </c>
      <c r="G113" s="18" t="str" cm="1">
        <f t="array" ref="G113">_xlfn.IFS(F113&lt;4,"Night",F113&lt;=6,"Early Morning",F113&lt;11,"Morning",F113&lt;12,"Afternoon",F113&lt;=16,"Afternoon",F113&lt;=20,"Evening",F113&gt;=21,"Night")</f>
        <v>Morning</v>
      </c>
      <c r="H113" s="18" t="b">
        <v>0</v>
      </c>
      <c r="I113" s="18">
        <v>3</v>
      </c>
      <c r="J113" s="18" t="str" cm="1">
        <f t="array" ref="J113">_xlfn.IFS(I113=1,"Monday",I113=2,"Tuesday",I113=3,"Wednesday",I113=4,"Thursday",I113=5,"Friday",I113=6,"Saturday",I113=0,"Sunday")</f>
        <v>Wednesday</v>
      </c>
      <c r="K113" s="18">
        <v>2</v>
      </c>
      <c r="L113" s="18">
        <v>0.22</v>
      </c>
      <c r="M113" s="27" t="str" cm="1">
        <f t="array" ref="M113">_xlfn.IFS(L113&lt;0.15,"Cold",L113&lt;0.25,"Mild",L113&lt;=0.32,"Warm",L113&gt;=0.33,"Hot")</f>
        <v>Mild</v>
      </c>
      <c r="N113" s="18">
        <v>0.2727</v>
      </c>
      <c r="O113" s="18">
        <v>1</v>
      </c>
      <c r="P113" s="18" t="str" cm="1">
        <f t="array" ref="P113">_xlfn.IFS(O113&gt;0.61, "High Humidity", O113&gt;=0.6, "Humid", O113&gt;0.4, "Less Humidity", TRUE, "Dry")</f>
        <v>High Humidity</v>
      </c>
      <c r="Q113" s="18">
        <v>0</v>
      </c>
      <c r="R113" s="18" t="str" cm="1">
        <f t="array" ref="R113">_xlfn.IFS(Q113&lt;=0.2,"Low Windspeed",Q113&lt;0.4,"Medium Windspeed",Q113&gt;=0.41,"High Windspeed")</f>
        <v>Low Windspeed</v>
      </c>
      <c r="S113" s="18">
        <v>2</v>
      </c>
      <c r="T113" s="18">
        <v>59</v>
      </c>
      <c r="U113" s="19">
        <v>61</v>
      </c>
      <c r="V113" s="18" t="str" cm="1">
        <f t="array" ref="V113">_xlfn.IFS(U113&lt;=70,"Low",U113&lt;=160,"Medium",U113&gt;=161,"High")</f>
        <v>Low</v>
      </c>
    </row>
    <row r="114" spans="1:22" x14ac:dyDescent="0.25">
      <c r="A114" s="16">
        <v>723</v>
      </c>
      <c r="B114" s="17">
        <v>40576</v>
      </c>
      <c r="C114" s="18">
        <v>1</v>
      </c>
      <c r="D114" s="18">
        <v>0</v>
      </c>
      <c r="E114" s="18">
        <v>2</v>
      </c>
      <c r="F114" s="18">
        <v>11</v>
      </c>
      <c r="G114" s="18" t="str" cm="1">
        <f t="array" ref="G114">_xlfn.IFS(F114&lt;4,"Night",F114&lt;=6,"Early Morning",F114&lt;11,"Morning",F114&lt;12,"Afternoon",F114&lt;=16,"Afternoon",F114&lt;=20,"Evening",F114&gt;=21,"Night")</f>
        <v>Afternoon</v>
      </c>
      <c r="H114" s="18" t="b">
        <v>0</v>
      </c>
      <c r="I114" s="18">
        <v>3</v>
      </c>
      <c r="J114" s="18" t="str" cm="1">
        <f t="array" ref="J114">_xlfn.IFS(I114=1,"Monday",I114=2,"Tuesday",I114=3,"Wednesday",I114=4,"Thursday",I114=5,"Friday",I114=6,"Saturday",I114=0,"Sunday")</f>
        <v>Wednesday</v>
      </c>
      <c r="K114" s="18">
        <v>2</v>
      </c>
      <c r="L114" s="18">
        <v>0.24</v>
      </c>
      <c r="M114" s="27" t="str" cm="1">
        <f t="array" ref="M114">_xlfn.IFS(L114&lt;0.15,"Cold",L114&lt;0.25,"Mild",L114&lt;=0.32,"Warm",L114&gt;=0.33,"Hot")</f>
        <v>Mild</v>
      </c>
      <c r="N114" s="18">
        <v>0.2273</v>
      </c>
      <c r="O114" s="18">
        <v>0.93</v>
      </c>
      <c r="P114" s="18" t="str" cm="1">
        <f t="array" ref="P114">_xlfn.IFS(O114&gt;0.61, "High Humidity", O114&gt;=0.6, "Humid", O114&gt;0.4, "Less Humidity", TRUE, "Dry")</f>
        <v>High Humidity</v>
      </c>
      <c r="Q114" s="18">
        <v>0.19400000000000001</v>
      </c>
      <c r="R114" s="18" t="str" cm="1">
        <f t="array" ref="R114">_xlfn.IFS(Q114&lt;=0.2,"Low Windspeed",Q114&lt;0.4,"Medium Windspeed",Q114&gt;=0.41,"High Windspeed")</f>
        <v>Low Windspeed</v>
      </c>
      <c r="S114" s="18">
        <v>5</v>
      </c>
      <c r="T114" s="18">
        <v>47</v>
      </c>
      <c r="U114" s="19">
        <v>52</v>
      </c>
      <c r="V114" s="18" t="str" cm="1">
        <f t="array" ref="V114">_xlfn.IFS(U114&lt;=70,"Low",U114&lt;=160,"Medium",U114&gt;=161,"High")</f>
        <v>Low</v>
      </c>
    </row>
    <row r="115" spans="1:22" x14ac:dyDescent="0.25">
      <c r="A115" s="16">
        <v>724</v>
      </c>
      <c r="B115" s="17">
        <v>40576</v>
      </c>
      <c r="C115" s="18">
        <v>1</v>
      </c>
      <c r="D115" s="18">
        <v>0</v>
      </c>
      <c r="E115" s="18">
        <v>2</v>
      </c>
      <c r="F115" s="18">
        <v>12</v>
      </c>
      <c r="G115" s="18" t="str" cm="1">
        <f t="array" ref="G115">_xlfn.IFS(F115&lt;4,"Night",F115&lt;=6,"Early Morning",F115&lt;11,"Morning",F115&lt;12,"Afternoon",F115&lt;=16,"Afternoon",F115&lt;=20,"Evening",F115&gt;=21,"Night")</f>
        <v>Afternoon</v>
      </c>
      <c r="H115" s="18" t="b">
        <v>0</v>
      </c>
      <c r="I115" s="18">
        <v>3</v>
      </c>
      <c r="J115" s="18" t="str" cm="1">
        <f t="array" ref="J115">_xlfn.IFS(I115=1,"Monday",I115=2,"Tuesday",I115=3,"Wednesday",I115=4,"Thursday",I115=5,"Friday",I115=6,"Saturday",I115=0,"Sunday")</f>
        <v>Wednesday</v>
      </c>
      <c r="K115" s="18">
        <v>2</v>
      </c>
      <c r="L115" s="18">
        <v>0.24</v>
      </c>
      <c r="M115" s="27" t="str" cm="1">
        <f t="array" ref="M115">_xlfn.IFS(L115&lt;0.15,"Cold",L115&lt;0.25,"Mild",L115&lt;=0.32,"Warm",L115&gt;=0.33,"Hot")</f>
        <v>Mild</v>
      </c>
      <c r="N115" s="18">
        <v>0.2273</v>
      </c>
      <c r="O115" s="18">
        <v>0.93</v>
      </c>
      <c r="P115" s="18" t="str" cm="1">
        <f t="array" ref="P115">_xlfn.IFS(O115&gt;0.61, "High Humidity", O115&gt;=0.6, "Humid", O115&gt;0.4, "Less Humidity", TRUE, "Dry")</f>
        <v>High Humidity</v>
      </c>
      <c r="Q115" s="18">
        <v>0.22389999999999999</v>
      </c>
      <c r="R115" s="18" t="str" cm="1">
        <f t="array" ref="R115">_xlfn.IFS(Q115&lt;=0.2,"Low Windspeed",Q115&lt;0.4,"Medium Windspeed",Q115&gt;=0.41,"High Windspeed")</f>
        <v>Medium Windspeed</v>
      </c>
      <c r="S115" s="18">
        <v>3</v>
      </c>
      <c r="T115" s="18">
        <v>61</v>
      </c>
      <c r="U115" s="19">
        <v>64</v>
      </c>
      <c r="V115" s="18" t="str" cm="1">
        <f t="array" ref="V115">_xlfn.IFS(U115&lt;=70,"Low",U115&lt;=160,"Medium",U115&gt;=161,"High")</f>
        <v>Low</v>
      </c>
    </row>
    <row r="116" spans="1:22" x14ac:dyDescent="0.25">
      <c r="A116" s="16">
        <v>725</v>
      </c>
      <c r="B116" s="17">
        <v>40576</v>
      </c>
      <c r="C116" s="18">
        <v>1</v>
      </c>
      <c r="D116" s="18">
        <v>0</v>
      </c>
      <c r="E116" s="18">
        <v>2</v>
      </c>
      <c r="F116" s="18">
        <v>13</v>
      </c>
      <c r="G116" s="18" t="str" cm="1">
        <f t="array" ref="G116">_xlfn.IFS(F116&lt;4,"Night",F116&lt;=6,"Early Morning",F116&lt;11,"Morning",F116&lt;12,"Afternoon",F116&lt;=16,"Afternoon",F116&lt;=20,"Evening",F116&gt;=21,"Night")</f>
        <v>Afternoon</v>
      </c>
      <c r="H116" s="18" t="b">
        <v>0</v>
      </c>
      <c r="I116" s="18">
        <v>3</v>
      </c>
      <c r="J116" s="18" t="str" cm="1">
        <f t="array" ref="J116">_xlfn.IFS(I116=1,"Monday",I116=2,"Tuesday",I116=3,"Wednesday",I116=4,"Thursday",I116=5,"Friday",I116=6,"Saturday",I116=0,"Sunday")</f>
        <v>Wednesday</v>
      </c>
      <c r="K116" s="18">
        <v>1</v>
      </c>
      <c r="L116" s="18">
        <v>0.34</v>
      </c>
      <c r="M116" s="27" t="str" cm="1">
        <f t="array" ref="M116">_xlfn.IFS(L116&lt;0.15,"Cold",L116&lt;0.25,"Mild",L116&lt;=0.32,"Warm",L116&gt;=0.33,"Hot")</f>
        <v>Hot</v>
      </c>
      <c r="N116" s="18">
        <v>0.33329999999999999</v>
      </c>
      <c r="O116" s="18">
        <v>0.93</v>
      </c>
      <c r="P116" s="18" t="str" cm="1">
        <f t="array" ref="P116">_xlfn.IFS(O116&gt;0.61, "High Humidity", O116&gt;=0.6, "Humid", O116&gt;0.4, "Less Humidity", TRUE, "Dry")</f>
        <v>High Humidity</v>
      </c>
      <c r="Q116" s="18">
        <v>0.16420000000000001</v>
      </c>
      <c r="R116" s="18" t="str" cm="1">
        <f t="array" ref="R116">_xlfn.IFS(Q116&lt;=0.2,"Low Windspeed",Q116&lt;0.4,"Medium Windspeed",Q116&gt;=0.41,"High Windspeed")</f>
        <v>Low Windspeed</v>
      </c>
      <c r="S116" s="18">
        <v>1</v>
      </c>
      <c r="T116" s="18">
        <v>74</v>
      </c>
      <c r="U116" s="19">
        <v>75</v>
      </c>
      <c r="V116" s="18" t="str" cm="1">
        <f t="array" ref="V116">_xlfn.IFS(U116&lt;=70,"Low",U116&lt;=160,"Medium",U116&gt;=161,"High")</f>
        <v>Medium</v>
      </c>
    </row>
    <row r="117" spans="1:22" x14ac:dyDescent="0.25">
      <c r="A117" s="16">
        <v>726</v>
      </c>
      <c r="B117" s="17">
        <v>40576</v>
      </c>
      <c r="C117" s="18">
        <v>1</v>
      </c>
      <c r="D117" s="18">
        <v>0</v>
      </c>
      <c r="E117" s="18">
        <v>2</v>
      </c>
      <c r="F117" s="18">
        <v>14</v>
      </c>
      <c r="G117" s="18" t="str" cm="1">
        <f t="array" ref="G117">_xlfn.IFS(F117&lt;4,"Night",F117&lt;=6,"Early Morning",F117&lt;11,"Morning",F117&lt;12,"Afternoon",F117&lt;=16,"Afternoon",F117&lt;=20,"Evening",F117&gt;=21,"Night")</f>
        <v>Afternoon</v>
      </c>
      <c r="H117" s="18" t="b">
        <v>0</v>
      </c>
      <c r="I117" s="18">
        <v>3</v>
      </c>
      <c r="J117" s="18" t="str" cm="1">
        <f t="array" ref="J117">_xlfn.IFS(I117=1,"Monday",I117=2,"Tuesday",I117=3,"Wednesday",I117=4,"Thursday",I117=5,"Friday",I117=6,"Saturday",I117=0,"Sunday")</f>
        <v>Wednesday</v>
      </c>
      <c r="K117" s="18">
        <v>1</v>
      </c>
      <c r="L117" s="18">
        <v>0.38</v>
      </c>
      <c r="M117" s="27" t="str" cm="1">
        <f t="array" ref="M117">_xlfn.IFS(L117&lt;0.15,"Cold",L117&lt;0.25,"Mild",L117&lt;=0.32,"Warm",L117&gt;=0.33,"Hot")</f>
        <v>Hot</v>
      </c>
      <c r="N117" s="18">
        <v>0.39389999999999997</v>
      </c>
      <c r="O117" s="18">
        <v>0.82</v>
      </c>
      <c r="P117" s="18" t="str" cm="1">
        <f t="array" ref="P117">_xlfn.IFS(O117&gt;0.61, "High Humidity", O117&gt;=0.6, "Humid", O117&gt;0.4, "Less Humidity", TRUE, "Dry")</f>
        <v>High Humidity</v>
      </c>
      <c r="Q117" s="18">
        <v>0.3881</v>
      </c>
      <c r="R117" s="18" t="str" cm="1">
        <f t="array" ref="R117">_xlfn.IFS(Q117&lt;=0.2,"Low Windspeed",Q117&lt;0.4,"Medium Windspeed",Q117&gt;=0.41,"High Windspeed")</f>
        <v>Medium Windspeed</v>
      </c>
      <c r="S117" s="18">
        <v>2</v>
      </c>
      <c r="T117" s="18">
        <v>61</v>
      </c>
      <c r="U117" s="19">
        <v>63</v>
      </c>
      <c r="V117" s="18" t="str" cm="1">
        <f t="array" ref="V117">_xlfn.IFS(U117&lt;=70,"Low",U117&lt;=160,"Medium",U117&gt;=161,"High")</f>
        <v>Low</v>
      </c>
    </row>
    <row r="118" spans="1:22" x14ac:dyDescent="0.25">
      <c r="A118" s="16">
        <v>727</v>
      </c>
      <c r="B118" s="17">
        <v>40576</v>
      </c>
      <c r="C118" s="18">
        <v>1</v>
      </c>
      <c r="D118" s="18">
        <v>0</v>
      </c>
      <c r="E118" s="18">
        <v>2</v>
      </c>
      <c r="F118" s="18">
        <v>15</v>
      </c>
      <c r="G118" s="18" t="str" cm="1">
        <f t="array" ref="G118">_xlfn.IFS(F118&lt;4,"Night",F118&lt;=6,"Early Morning",F118&lt;11,"Morning",F118&lt;12,"Afternoon",F118&lt;=16,"Afternoon",F118&lt;=20,"Evening",F118&gt;=21,"Night")</f>
        <v>Afternoon</v>
      </c>
      <c r="H118" s="18" t="b">
        <v>0</v>
      </c>
      <c r="I118" s="18">
        <v>3</v>
      </c>
      <c r="J118" s="18" t="str" cm="1">
        <f t="array" ref="J118">_xlfn.IFS(I118=1,"Monday",I118=2,"Tuesday",I118=3,"Wednesday",I118=4,"Thursday",I118=5,"Friday",I118=6,"Saturday",I118=0,"Sunday")</f>
        <v>Wednesday</v>
      </c>
      <c r="K118" s="18">
        <v>1</v>
      </c>
      <c r="L118" s="18">
        <v>0.38</v>
      </c>
      <c r="M118" s="27" t="str" cm="1">
        <f t="array" ref="M118">_xlfn.IFS(L118&lt;0.15,"Cold",L118&lt;0.25,"Mild",L118&lt;=0.32,"Warm",L118&gt;=0.33,"Hot")</f>
        <v>Hot</v>
      </c>
      <c r="N118" s="18">
        <v>0.39389999999999997</v>
      </c>
      <c r="O118" s="18">
        <v>0.76</v>
      </c>
      <c r="P118" s="18" t="str" cm="1">
        <f t="array" ref="P118">_xlfn.IFS(O118&gt;0.61, "High Humidity", O118&gt;=0.6, "Humid", O118&gt;0.4, "Less Humidity", TRUE, "Dry")</f>
        <v>High Humidity</v>
      </c>
      <c r="Q118" s="18">
        <v>0.32840000000000003</v>
      </c>
      <c r="R118" s="18" t="str" cm="1">
        <f t="array" ref="R118">_xlfn.IFS(Q118&lt;=0.2,"Low Windspeed",Q118&lt;0.4,"Medium Windspeed",Q118&gt;=0.41,"High Windspeed")</f>
        <v>Medium Windspeed</v>
      </c>
      <c r="S118" s="18">
        <v>10</v>
      </c>
      <c r="T118" s="18">
        <v>66</v>
      </c>
      <c r="U118" s="19">
        <v>76</v>
      </c>
      <c r="V118" s="18" t="str" cm="1">
        <f t="array" ref="V118">_xlfn.IFS(U118&lt;=70,"Low",U118&lt;=160,"Medium",U118&gt;=161,"High")</f>
        <v>Medium</v>
      </c>
    </row>
    <row r="119" spans="1:22" x14ac:dyDescent="0.25">
      <c r="A119" s="16">
        <v>728</v>
      </c>
      <c r="B119" s="17">
        <v>40576</v>
      </c>
      <c r="C119" s="18">
        <v>1</v>
      </c>
      <c r="D119" s="18">
        <v>0</v>
      </c>
      <c r="E119" s="18">
        <v>2</v>
      </c>
      <c r="F119" s="18">
        <v>16</v>
      </c>
      <c r="G119" s="18" t="str" cm="1">
        <f t="array" ref="G119">_xlfn.IFS(F119&lt;4,"Night",F119&lt;=6,"Early Morning",F119&lt;11,"Morning",F119&lt;12,"Afternoon",F119&lt;=16,"Afternoon",F119&lt;=20,"Evening",F119&gt;=21,"Night")</f>
        <v>Afternoon</v>
      </c>
      <c r="H119" s="18" t="b">
        <v>0</v>
      </c>
      <c r="I119" s="18">
        <v>3</v>
      </c>
      <c r="J119" s="18" t="str" cm="1">
        <f t="array" ref="J119">_xlfn.IFS(I119=1,"Monday",I119=2,"Tuesday",I119=3,"Wednesday",I119=4,"Thursday",I119=5,"Friday",I119=6,"Saturday",I119=0,"Sunday")</f>
        <v>Wednesday</v>
      </c>
      <c r="K119" s="18">
        <v>1</v>
      </c>
      <c r="L119" s="18">
        <v>0.36</v>
      </c>
      <c r="M119" s="27" t="str" cm="1">
        <f t="array" ref="M119">_xlfn.IFS(L119&lt;0.15,"Cold",L119&lt;0.25,"Mild",L119&lt;=0.32,"Warm",L119&gt;=0.33,"Hot")</f>
        <v>Hot</v>
      </c>
      <c r="N119" s="18">
        <v>0.33329999999999999</v>
      </c>
      <c r="O119" s="18">
        <v>0.71</v>
      </c>
      <c r="P119" s="18" t="str" cm="1">
        <f t="array" ref="P119">_xlfn.IFS(O119&gt;0.61, "High Humidity", O119&gt;=0.6, "Humid", O119&gt;0.4, "Less Humidity", TRUE, "Dry")</f>
        <v>High Humidity</v>
      </c>
      <c r="Q119" s="18">
        <v>0.29849999999999999</v>
      </c>
      <c r="R119" s="18" t="str" cm="1">
        <f t="array" ref="R119">_xlfn.IFS(Q119&lt;=0.2,"Low Windspeed",Q119&lt;0.4,"Medium Windspeed",Q119&gt;=0.41,"High Windspeed")</f>
        <v>Medium Windspeed</v>
      </c>
      <c r="S119" s="18">
        <v>8</v>
      </c>
      <c r="T119" s="18">
        <v>95</v>
      </c>
      <c r="U119" s="19">
        <v>103</v>
      </c>
      <c r="V119" s="18" t="str" cm="1">
        <f t="array" ref="V119">_xlfn.IFS(U119&lt;=70,"Low",U119&lt;=160,"Medium",U119&gt;=161,"High")</f>
        <v>Medium</v>
      </c>
    </row>
    <row r="120" spans="1:22" x14ac:dyDescent="0.25">
      <c r="A120" s="16">
        <v>729</v>
      </c>
      <c r="B120" s="17">
        <v>40576</v>
      </c>
      <c r="C120" s="18">
        <v>1</v>
      </c>
      <c r="D120" s="18">
        <v>0</v>
      </c>
      <c r="E120" s="18">
        <v>2</v>
      </c>
      <c r="F120" s="18">
        <v>17</v>
      </c>
      <c r="G120" s="18" t="str" cm="1">
        <f t="array" ref="G120">_xlfn.IFS(F120&lt;4,"Night",F120&lt;=6,"Early Morning",F120&lt;11,"Morning",F120&lt;12,"Afternoon",F120&lt;=16,"Afternoon",F120&lt;=20,"Evening",F120&gt;=21,"Night")</f>
        <v>Evening</v>
      </c>
      <c r="H120" s="18" t="b">
        <v>0</v>
      </c>
      <c r="I120" s="18">
        <v>3</v>
      </c>
      <c r="J120" s="18" t="str" cm="1">
        <f t="array" ref="J120">_xlfn.IFS(I120=1,"Monday",I120=2,"Tuesday",I120=3,"Wednesday",I120=4,"Thursday",I120=5,"Friday",I120=6,"Saturday",I120=0,"Sunday")</f>
        <v>Wednesday</v>
      </c>
      <c r="K120" s="18">
        <v>1</v>
      </c>
      <c r="L120" s="18">
        <v>0.36</v>
      </c>
      <c r="M120" s="27" t="str" cm="1">
        <f t="array" ref="M120">_xlfn.IFS(L120&lt;0.15,"Cold",L120&lt;0.25,"Mild",L120&lt;=0.32,"Warm",L120&gt;=0.33,"Hot")</f>
        <v>Hot</v>
      </c>
      <c r="N120" s="18">
        <v>0.31819999999999998</v>
      </c>
      <c r="O120" s="18">
        <v>0.53</v>
      </c>
      <c r="P120" s="18" t="str" cm="1">
        <f t="array" ref="P120">_xlfn.IFS(O120&gt;0.61, "High Humidity", O120&gt;=0.6, "Humid", O120&gt;0.4, "Less Humidity", TRUE, "Dry")</f>
        <v>Less Humidity</v>
      </c>
      <c r="Q120" s="18">
        <v>0.52239999999999998</v>
      </c>
      <c r="R120" s="18" t="str" cm="1">
        <f t="array" ref="R120">_xlfn.IFS(Q120&lt;=0.2,"Low Windspeed",Q120&lt;0.4,"Medium Windspeed",Q120&gt;=0.41,"High Windspeed")</f>
        <v>High Windspeed</v>
      </c>
      <c r="S120" s="18">
        <v>7</v>
      </c>
      <c r="T120" s="18">
        <v>183</v>
      </c>
      <c r="U120" s="19">
        <v>190</v>
      </c>
      <c r="V120" s="18" t="str" cm="1">
        <f t="array" ref="V120">_xlfn.IFS(U120&lt;=70,"Low",U120&lt;=160,"Medium",U120&gt;=161,"High")</f>
        <v>High</v>
      </c>
    </row>
    <row r="121" spans="1:22" x14ac:dyDescent="0.25">
      <c r="A121" s="16">
        <v>730</v>
      </c>
      <c r="B121" s="17">
        <v>40576</v>
      </c>
      <c r="C121" s="18">
        <v>1</v>
      </c>
      <c r="D121" s="18">
        <v>0</v>
      </c>
      <c r="E121" s="18">
        <v>2</v>
      </c>
      <c r="F121" s="18">
        <v>18</v>
      </c>
      <c r="G121" s="18" t="str" cm="1">
        <f t="array" ref="G121">_xlfn.IFS(F121&lt;4,"Night",F121&lt;=6,"Early Morning",F121&lt;11,"Morning",F121&lt;12,"Afternoon",F121&lt;=16,"Afternoon",F121&lt;=20,"Evening",F121&gt;=21,"Night")</f>
        <v>Evening</v>
      </c>
      <c r="H121" s="18" t="b">
        <v>0</v>
      </c>
      <c r="I121" s="18">
        <v>3</v>
      </c>
      <c r="J121" s="18" t="str" cm="1">
        <f t="array" ref="J121">_xlfn.IFS(I121=1,"Monday",I121=2,"Tuesday",I121=3,"Wednesday",I121=4,"Thursday",I121=5,"Friday",I121=6,"Saturday",I121=0,"Sunday")</f>
        <v>Wednesday</v>
      </c>
      <c r="K121" s="18">
        <v>1</v>
      </c>
      <c r="L121" s="18">
        <v>0.34</v>
      </c>
      <c r="M121" s="27" t="str" cm="1">
        <f t="array" ref="M121">_xlfn.IFS(L121&lt;0.15,"Cold",L121&lt;0.25,"Mild",L121&lt;=0.32,"Warm",L121&gt;=0.33,"Hot")</f>
        <v>Hot</v>
      </c>
      <c r="N121" s="18">
        <v>0.28789999999999999</v>
      </c>
      <c r="O121" s="18">
        <v>0.42</v>
      </c>
      <c r="P121" s="18" t="str" cm="1">
        <f t="array" ref="P121">_xlfn.IFS(O121&gt;0.61, "High Humidity", O121&gt;=0.6, "Humid", O121&gt;0.4, "Less Humidity", TRUE, "Dry")</f>
        <v>Less Humidity</v>
      </c>
      <c r="Q121" s="18">
        <v>0.55220000000000002</v>
      </c>
      <c r="R121" s="18" t="str" cm="1">
        <f t="array" ref="R121">_xlfn.IFS(Q121&lt;=0.2,"Low Windspeed",Q121&lt;0.4,"Medium Windspeed",Q121&gt;=0.41,"High Windspeed")</f>
        <v>High Windspeed</v>
      </c>
      <c r="S121" s="18">
        <v>7</v>
      </c>
      <c r="T121" s="18">
        <v>175</v>
      </c>
      <c r="U121" s="19">
        <v>182</v>
      </c>
      <c r="V121" s="18" t="str" cm="1">
        <f t="array" ref="V121">_xlfn.IFS(U121&lt;=70,"Low",U121&lt;=160,"Medium",U121&gt;=161,"High")</f>
        <v>High</v>
      </c>
    </row>
    <row r="122" spans="1:22" x14ac:dyDescent="0.25">
      <c r="A122" s="16">
        <v>731</v>
      </c>
      <c r="B122" s="17">
        <v>40576</v>
      </c>
      <c r="C122" s="18">
        <v>1</v>
      </c>
      <c r="D122" s="18">
        <v>0</v>
      </c>
      <c r="E122" s="18">
        <v>2</v>
      </c>
      <c r="F122" s="18">
        <v>19</v>
      </c>
      <c r="G122" s="18" t="str" cm="1">
        <f t="array" ref="G122">_xlfn.IFS(F122&lt;4,"Night",F122&lt;=6,"Early Morning",F122&lt;11,"Morning",F122&lt;12,"Afternoon",F122&lt;=16,"Afternoon",F122&lt;=20,"Evening",F122&gt;=21,"Night")</f>
        <v>Evening</v>
      </c>
      <c r="H122" s="18" t="b">
        <v>0</v>
      </c>
      <c r="I122" s="18">
        <v>3</v>
      </c>
      <c r="J122" s="18" t="str" cm="1">
        <f t="array" ref="J122">_xlfn.IFS(I122=1,"Monday",I122=2,"Tuesday",I122=3,"Wednesday",I122=4,"Thursday",I122=5,"Friday",I122=6,"Saturday",I122=0,"Sunday")</f>
        <v>Wednesday</v>
      </c>
      <c r="K122" s="18">
        <v>1</v>
      </c>
      <c r="L122" s="18">
        <v>0.28000000000000003</v>
      </c>
      <c r="M122" s="27" t="str" cm="1">
        <f t="array" ref="M122">_xlfn.IFS(L122&lt;0.15,"Cold",L122&lt;0.25,"Mild",L122&lt;=0.32,"Warm",L122&gt;=0.33,"Hot")</f>
        <v>Warm</v>
      </c>
      <c r="N122" s="18">
        <v>0.2424</v>
      </c>
      <c r="O122" s="18">
        <v>0.45</v>
      </c>
      <c r="P122" s="18" t="str" cm="1">
        <f t="array" ref="P122">_xlfn.IFS(O122&gt;0.61, "High Humidity", O122&gt;=0.6, "Humid", O122&gt;0.4, "Less Humidity", TRUE, "Dry")</f>
        <v>Less Humidity</v>
      </c>
      <c r="Q122" s="18">
        <v>0.49249999999999999</v>
      </c>
      <c r="R122" s="18" t="str" cm="1">
        <f t="array" ref="R122">_xlfn.IFS(Q122&lt;=0.2,"Low Windspeed",Q122&lt;0.4,"Medium Windspeed",Q122&gt;=0.41,"High Windspeed")</f>
        <v>High Windspeed</v>
      </c>
      <c r="S122" s="18">
        <v>3</v>
      </c>
      <c r="T122" s="18">
        <v>88</v>
      </c>
      <c r="U122" s="19">
        <v>91</v>
      </c>
      <c r="V122" s="18" t="str" cm="1">
        <f t="array" ref="V122">_xlfn.IFS(U122&lt;=70,"Low",U122&lt;=160,"Medium",U122&gt;=161,"High")</f>
        <v>Medium</v>
      </c>
    </row>
    <row r="123" spans="1:22" x14ac:dyDescent="0.25">
      <c r="A123" s="16">
        <v>732</v>
      </c>
      <c r="B123" s="17">
        <v>40576</v>
      </c>
      <c r="C123" s="18">
        <v>1</v>
      </c>
      <c r="D123" s="18">
        <v>0</v>
      </c>
      <c r="E123" s="18">
        <v>2</v>
      </c>
      <c r="F123" s="18">
        <v>20</v>
      </c>
      <c r="G123" s="18" t="str" cm="1">
        <f t="array" ref="G123">_xlfn.IFS(F123&lt;4,"Night",F123&lt;=6,"Early Morning",F123&lt;11,"Morning",F123&lt;12,"Afternoon",F123&lt;=16,"Afternoon",F123&lt;=20,"Evening",F123&gt;=21,"Night")</f>
        <v>Evening</v>
      </c>
      <c r="H123" s="18" t="b">
        <v>0</v>
      </c>
      <c r="I123" s="18">
        <v>3</v>
      </c>
      <c r="J123" s="18" t="str" cm="1">
        <f t="array" ref="J123">_xlfn.IFS(I123=1,"Monday",I123=2,"Tuesday",I123=3,"Wednesday",I123=4,"Thursday",I123=5,"Friday",I123=6,"Saturday",I123=0,"Sunday")</f>
        <v>Wednesday</v>
      </c>
      <c r="K123" s="18">
        <v>1</v>
      </c>
      <c r="L123" s="18">
        <v>0.24</v>
      </c>
      <c r="M123" s="27" t="str" cm="1">
        <f t="array" ref="M123">_xlfn.IFS(L123&lt;0.15,"Cold",L123&lt;0.25,"Mild",L123&lt;=0.32,"Warm",L123&gt;=0.33,"Hot")</f>
        <v>Mild</v>
      </c>
      <c r="N123" s="18">
        <v>0.19700000000000001</v>
      </c>
      <c r="O123" s="18">
        <v>0.48</v>
      </c>
      <c r="P123" s="18" t="str" cm="1">
        <f t="array" ref="P123">_xlfn.IFS(O123&gt;0.61, "High Humidity", O123&gt;=0.6, "Humid", O123&gt;0.4, "Less Humidity", TRUE, "Dry")</f>
        <v>Less Humidity</v>
      </c>
      <c r="Q123" s="18">
        <v>0.55220000000000002</v>
      </c>
      <c r="R123" s="18" t="str" cm="1">
        <f t="array" ref="R123">_xlfn.IFS(Q123&lt;=0.2,"Low Windspeed",Q123&lt;0.4,"Medium Windspeed",Q123&gt;=0.41,"High Windspeed")</f>
        <v>High Windspeed</v>
      </c>
      <c r="S123" s="18">
        <v>4</v>
      </c>
      <c r="T123" s="18">
        <v>71</v>
      </c>
      <c r="U123" s="19">
        <v>75</v>
      </c>
      <c r="V123" s="18" t="str" cm="1">
        <f t="array" ref="V123">_xlfn.IFS(U123&lt;=70,"Low",U123&lt;=160,"Medium",U123&gt;=161,"High")</f>
        <v>Medium</v>
      </c>
    </row>
    <row r="124" spans="1:22" x14ac:dyDescent="0.25">
      <c r="A124" s="16">
        <v>733</v>
      </c>
      <c r="B124" s="17">
        <v>40576</v>
      </c>
      <c r="C124" s="18">
        <v>1</v>
      </c>
      <c r="D124" s="18">
        <v>0</v>
      </c>
      <c r="E124" s="18">
        <v>2</v>
      </c>
      <c r="F124" s="18">
        <v>21</v>
      </c>
      <c r="G124" s="18" t="str" cm="1">
        <f t="array" ref="G124">_xlfn.IFS(F124&lt;4,"Night",F124&lt;=6,"Early Morning",F124&lt;11,"Morning",F124&lt;12,"Afternoon",F124&lt;=16,"Afternoon",F124&lt;=20,"Evening",F124&gt;=21,"Night")</f>
        <v>Night</v>
      </c>
      <c r="H124" s="18" t="b">
        <v>0</v>
      </c>
      <c r="I124" s="18">
        <v>3</v>
      </c>
      <c r="J124" s="18" t="str" cm="1">
        <f t="array" ref="J124">_xlfn.IFS(I124=1,"Monday",I124=2,"Tuesday",I124=3,"Wednesday",I124=4,"Thursday",I124=5,"Friday",I124=6,"Saturday",I124=0,"Sunday")</f>
        <v>Wednesday</v>
      </c>
      <c r="K124" s="18">
        <v>1</v>
      </c>
      <c r="L124" s="18">
        <v>0.22</v>
      </c>
      <c r="M124" s="27" t="str" cm="1">
        <f t="array" ref="M124">_xlfn.IFS(L124&lt;0.15,"Cold",L124&lt;0.25,"Mild",L124&lt;=0.32,"Warm",L124&gt;=0.33,"Hot")</f>
        <v>Mild</v>
      </c>
      <c r="N124" s="18">
        <v>0.19700000000000001</v>
      </c>
      <c r="O124" s="18">
        <v>0.47</v>
      </c>
      <c r="P124" s="18" t="str" cm="1">
        <f t="array" ref="P124">_xlfn.IFS(O124&gt;0.61, "High Humidity", O124&gt;=0.6, "Humid", O124&gt;0.4, "Less Humidity", TRUE, "Dry")</f>
        <v>Less Humidity</v>
      </c>
      <c r="Q124" s="18">
        <v>0.32840000000000003</v>
      </c>
      <c r="R124" s="18" t="str" cm="1">
        <f t="array" ref="R124">_xlfn.IFS(Q124&lt;=0.2,"Low Windspeed",Q124&lt;0.4,"Medium Windspeed",Q124&gt;=0.41,"High Windspeed")</f>
        <v>Medium Windspeed</v>
      </c>
      <c r="S124" s="18">
        <v>1</v>
      </c>
      <c r="T124" s="18">
        <v>62</v>
      </c>
      <c r="U124" s="19">
        <v>63</v>
      </c>
      <c r="V124" s="18" t="str" cm="1">
        <f t="array" ref="V124">_xlfn.IFS(U124&lt;=70,"Low",U124&lt;=160,"Medium",U124&gt;=161,"High")</f>
        <v>Low</v>
      </c>
    </row>
    <row r="125" spans="1:22" x14ac:dyDescent="0.25">
      <c r="A125" s="16">
        <v>734</v>
      </c>
      <c r="B125" s="17">
        <v>40576</v>
      </c>
      <c r="C125" s="18">
        <v>1</v>
      </c>
      <c r="D125" s="18">
        <v>0</v>
      </c>
      <c r="E125" s="18">
        <v>2</v>
      </c>
      <c r="F125" s="18">
        <v>22</v>
      </c>
      <c r="G125" s="18" t="str" cm="1">
        <f t="array" ref="G125">_xlfn.IFS(F125&lt;4,"Night",F125&lt;=6,"Early Morning",F125&lt;11,"Morning",F125&lt;12,"Afternoon",F125&lt;=16,"Afternoon",F125&lt;=20,"Evening",F125&gt;=21,"Night")</f>
        <v>Night</v>
      </c>
      <c r="H125" s="18" t="b">
        <v>0</v>
      </c>
      <c r="I125" s="18">
        <v>3</v>
      </c>
      <c r="J125" s="18" t="str" cm="1">
        <f t="array" ref="J125">_xlfn.IFS(I125=1,"Monday",I125=2,"Tuesday",I125=3,"Wednesday",I125=4,"Thursday",I125=5,"Friday",I125=6,"Saturday",I125=0,"Sunday")</f>
        <v>Wednesday</v>
      </c>
      <c r="K125" s="18">
        <v>1</v>
      </c>
      <c r="L125" s="18">
        <v>0.22</v>
      </c>
      <c r="M125" s="27" t="str" cm="1">
        <f t="array" ref="M125">_xlfn.IFS(L125&lt;0.15,"Cold",L125&lt;0.25,"Mild",L125&lt;=0.32,"Warm",L125&gt;=0.33,"Hot")</f>
        <v>Mild</v>
      </c>
      <c r="N125" s="18">
        <v>0.21210000000000001</v>
      </c>
      <c r="O125" s="18">
        <v>0.44</v>
      </c>
      <c r="P125" s="18" t="str" cm="1">
        <f t="array" ref="P125">_xlfn.IFS(O125&gt;0.61, "High Humidity", O125&gt;=0.6, "Humid", O125&gt;0.4, "Less Humidity", TRUE, "Dry")</f>
        <v>Less Humidity</v>
      </c>
      <c r="Q125" s="18">
        <v>0.25369999999999998</v>
      </c>
      <c r="R125" s="18" t="str" cm="1">
        <f t="array" ref="R125">_xlfn.IFS(Q125&lt;=0.2,"Low Windspeed",Q125&lt;0.4,"Medium Windspeed",Q125&gt;=0.41,"High Windspeed")</f>
        <v>Medium Windspeed</v>
      </c>
      <c r="S125" s="18">
        <v>5</v>
      </c>
      <c r="T125" s="18">
        <v>35</v>
      </c>
      <c r="U125" s="19">
        <v>40</v>
      </c>
      <c r="V125" s="18" t="str" cm="1">
        <f t="array" ref="V125">_xlfn.IFS(U125&lt;=70,"Low",U125&lt;=160,"Medium",U125&gt;=161,"High")</f>
        <v>Low</v>
      </c>
    </row>
    <row r="126" spans="1:22" x14ac:dyDescent="0.25">
      <c r="A126" s="16">
        <v>735</v>
      </c>
      <c r="B126" s="17">
        <v>40576</v>
      </c>
      <c r="C126" s="18">
        <v>1</v>
      </c>
      <c r="D126" s="18">
        <v>0</v>
      </c>
      <c r="E126" s="18">
        <v>2</v>
      </c>
      <c r="F126" s="18">
        <v>23</v>
      </c>
      <c r="G126" s="18" t="str" cm="1">
        <f t="array" ref="G126">_xlfn.IFS(F126&lt;4,"Night",F126&lt;=6,"Early Morning",F126&lt;11,"Morning",F126&lt;12,"Afternoon",F126&lt;=16,"Afternoon",F126&lt;=20,"Evening",F126&gt;=21,"Night")</f>
        <v>Night</v>
      </c>
      <c r="H126" s="18" t="b">
        <v>0</v>
      </c>
      <c r="I126" s="18">
        <v>3</v>
      </c>
      <c r="J126" s="18" t="str" cm="1">
        <f t="array" ref="J126">_xlfn.IFS(I126=1,"Monday",I126=2,"Tuesday",I126=3,"Wednesday",I126=4,"Thursday",I126=5,"Friday",I126=6,"Saturday",I126=0,"Sunday")</f>
        <v>Wednesday</v>
      </c>
      <c r="K126" s="18">
        <v>1</v>
      </c>
      <c r="L126" s="18">
        <v>0.2</v>
      </c>
      <c r="M126" s="27" t="str" cm="1">
        <f t="array" ref="M126">_xlfn.IFS(L126&lt;0.15,"Cold",L126&lt;0.25,"Mild",L126&lt;=0.32,"Warm",L126&gt;=0.33,"Hot")</f>
        <v>Mild</v>
      </c>
      <c r="N126" s="18">
        <v>0.16669999999999999</v>
      </c>
      <c r="O126" s="18">
        <v>0.44</v>
      </c>
      <c r="P126" s="18" t="str" cm="1">
        <f t="array" ref="P126">_xlfn.IFS(O126&gt;0.61, "High Humidity", O126&gt;=0.6, "Humid", O126&gt;0.4, "Less Humidity", TRUE, "Dry")</f>
        <v>Less Humidity</v>
      </c>
      <c r="Q126" s="18">
        <v>0.44779999999999998</v>
      </c>
      <c r="R126" s="18" t="str" cm="1">
        <f t="array" ref="R126">_xlfn.IFS(Q126&lt;=0.2,"Low Windspeed",Q126&lt;0.4,"Medium Windspeed",Q126&gt;=0.41,"High Windspeed")</f>
        <v>High Windspeed</v>
      </c>
      <c r="S126" s="18">
        <v>3</v>
      </c>
      <c r="T126" s="18">
        <v>29</v>
      </c>
      <c r="U126" s="19">
        <v>32</v>
      </c>
      <c r="V126" s="18" t="str" cm="1">
        <f t="array" ref="V126">_xlfn.IFS(U126&lt;=70,"Low",U126&lt;=160,"Medium",U126&gt;=161,"High")</f>
        <v>Low</v>
      </c>
    </row>
    <row r="127" spans="1:22" x14ac:dyDescent="0.25">
      <c r="A127" s="16">
        <v>736</v>
      </c>
      <c r="B127" s="17">
        <v>40577</v>
      </c>
      <c r="C127" s="18">
        <v>1</v>
      </c>
      <c r="D127" s="18">
        <v>0</v>
      </c>
      <c r="E127" s="18">
        <v>2</v>
      </c>
      <c r="F127" s="18">
        <v>0</v>
      </c>
      <c r="G127" s="18" t="str" cm="1">
        <f t="array" ref="G127">_xlfn.IFS(F127&lt;4,"Night",F127&lt;=6,"Early Morning",F127&lt;11,"Morning",F127&lt;12,"Afternoon",F127&lt;=16,"Afternoon",F127&lt;=20,"Evening",F127&gt;=21,"Night")</f>
        <v>Night</v>
      </c>
      <c r="H127" s="18" t="b">
        <v>0</v>
      </c>
      <c r="I127" s="18">
        <v>4</v>
      </c>
      <c r="J127" s="18" t="str" cm="1">
        <f t="array" ref="J127">_xlfn.IFS(I127=1,"Monday",I127=2,"Tuesday",I127=3,"Wednesday",I127=4,"Thursday",I127=5,"Friday",I127=6,"Saturday",I127=0,"Sunday")</f>
        <v>Thursday</v>
      </c>
      <c r="K127" s="18">
        <v>1</v>
      </c>
      <c r="L127" s="18">
        <v>0.2</v>
      </c>
      <c r="M127" s="27" t="str" cm="1">
        <f t="array" ref="M127">_xlfn.IFS(L127&lt;0.15,"Cold",L127&lt;0.25,"Mild",L127&lt;=0.32,"Warm",L127&gt;=0.33,"Hot")</f>
        <v>Mild</v>
      </c>
      <c r="N127" s="18">
        <v>0.16669999999999999</v>
      </c>
      <c r="O127" s="18">
        <v>0.4</v>
      </c>
      <c r="P127" s="18" t="str" cm="1">
        <f t="array" ref="P127">_xlfn.IFS(O127&gt;0.61, "High Humidity", O127&gt;=0.6, "Humid", O127&gt;0.4, "Less Humidity", TRUE, "Dry")</f>
        <v>Dry</v>
      </c>
      <c r="Q127" s="18">
        <v>0.44779999999999998</v>
      </c>
      <c r="R127" s="18" t="str" cm="1">
        <f t="array" ref="R127">_xlfn.IFS(Q127&lt;=0.2,"Low Windspeed",Q127&lt;0.4,"Medium Windspeed",Q127&gt;=0.41,"High Windspeed")</f>
        <v>High Windspeed</v>
      </c>
      <c r="S127" s="18">
        <v>1</v>
      </c>
      <c r="T127" s="18">
        <v>11</v>
      </c>
      <c r="U127" s="19">
        <v>12</v>
      </c>
      <c r="V127" s="18" t="str" cm="1">
        <f t="array" ref="V127">_xlfn.IFS(U127&lt;=70,"Low",U127&lt;=160,"Medium",U127&gt;=161,"High")</f>
        <v>Low</v>
      </c>
    </row>
    <row r="128" spans="1:22" x14ac:dyDescent="0.25">
      <c r="A128" s="16">
        <v>737</v>
      </c>
      <c r="B128" s="17">
        <v>40577</v>
      </c>
      <c r="C128" s="18">
        <v>1</v>
      </c>
      <c r="D128" s="18">
        <v>0</v>
      </c>
      <c r="E128" s="18">
        <v>2</v>
      </c>
      <c r="F128" s="18">
        <v>1</v>
      </c>
      <c r="G128" s="18" t="str" cm="1">
        <f t="array" ref="G128">_xlfn.IFS(F128&lt;4,"Night",F128&lt;=6,"Early Morning",F128&lt;11,"Morning",F128&lt;12,"Afternoon",F128&lt;=16,"Afternoon",F128&lt;=20,"Evening",F128&gt;=21,"Night")</f>
        <v>Night</v>
      </c>
      <c r="H128" s="18" t="b">
        <v>0</v>
      </c>
      <c r="I128" s="18">
        <v>4</v>
      </c>
      <c r="J128" s="18" t="str" cm="1">
        <f t="array" ref="J128">_xlfn.IFS(I128=1,"Monday",I128=2,"Tuesday",I128=3,"Wednesday",I128=4,"Thursday",I128=5,"Friday",I128=6,"Saturday",I128=0,"Sunday")</f>
        <v>Thursday</v>
      </c>
      <c r="K128" s="18">
        <v>1</v>
      </c>
      <c r="L128" s="18">
        <v>0.2</v>
      </c>
      <c r="M128" s="27" t="str" cm="1">
        <f t="array" ref="M128">_xlfn.IFS(L128&lt;0.15,"Cold",L128&lt;0.25,"Mild",L128&lt;=0.32,"Warm",L128&gt;=0.33,"Hot")</f>
        <v>Mild</v>
      </c>
      <c r="N128" s="18">
        <v>0.1515</v>
      </c>
      <c r="O128" s="18">
        <v>0.44</v>
      </c>
      <c r="P128" s="18" t="str" cm="1">
        <f t="array" ref="P128">_xlfn.IFS(O128&gt;0.61, "High Humidity", O128&gt;=0.6, "Humid", O128&gt;0.4, "Less Humidity", TRUE, "Dry")</f>
        <v>Less Humidity</v>
      </c>
      <c r="Q128" s="18">
        <v>0.52239999999999998</v>
      </c>
      <c r="R128" s="18" t="str" cm="1">
        <f t="array" ref="R128">_xlfn.IFS(Q128&lt;=0.2,"Low Windspeed",Q128&lt;0.4,"Medium Windspeed",Q128&gt;=0.41,"High Windspeed")</f>
        <v>High Windspeed</v>
      </c>
      <c r="S128" s="18">
        <v>0</v>
      </c>
      <c r="T128" s="18">
        <v>5</v>
      </c>
      <c r="U128" s="19">
        <v>5</v>
      </c>
      <c r="V128" s="18" t="str" cm="1">
        <f t="array" ref="V128">_xlfn.IFS(U128&lt;=70,"Low",U128&lt;=160,"Medium",U128&gt;=161,"High")</f>
        <v>Low</v>
      </c>
    </row>
    <row r="129" spans="1:22" x14ac:dyDescent="0.25">
      <c r="A129" s="16">
        <v>738</v>
      </c>
      <c r="B129" s="17">
        <v>40577</v>
      </c>
      <c r="C129" s="18">
        <v>1</v>
      </c>
      <c r="D129" s="18">
        <v>0</v>
      </c>
      <c r="E129" s="18">
        <v>2</v>
      </c>
      <c r="F129" s="18">
        <v>2</v>
      </c>
      <c r="G129" s="18" t="str" cm="1">
        <f t="array" ref="G129">_xlfn.IFS(F129&lt;4,"Night",F129&lt;=6,"Early Morning",F129&lt;11,"Morning",F129&lt;12,"Afternoon",F129&lt;=16,"Afternoon",F129&lt;=20,"Evening",F129&gt;=21,"Night")</f>
        <v>Night</v>
      </c>
      <c r="H129" s="18" t="b">
        <v>0</v>
      </c>
      <c r="I129" s="18">
        <v>4</v>
      </c>
      <c r="J129" s="18" t="str" cm="1">
        <f t="array" ref="J129">_xlfn.IFS(I129=1,"Monday",I129=2,"Tuesday",I129=3,"Wednesday",I129=4,"Thursday",I129=5,"Friday",I129=6,"Saturday",I129=0,"Sunday")</f>
        <v>Thursday</v>
      </c>
      <c r="K129" s="18">
        <v>1</v>
      </c>
      <c r="L129" s="18">
        <v>0.18</v>
      </c>
      <c r="M129" s="27" t="str" cm="1">
        <f t="array" ref="M129">_xlfn.IFS(L129&lt;0.15,"Cold",L129&lt;0.25,"Mild",L129&lt;=0.32,"Warm",L129&gt;=0.33,"Hot")</f>
        <v>Mild</v>
      </c>
      <c r="N129" s="18">
        <v>0.16669999999999999</v>
      </c>
      <c r="O129" s="18">
        <v>0.43</v>
      </c>
      <c r="P129" s="18" t="str" cm="1">
        <f t="array" ref="P129">_xlfn.IFS(O129&gt;0.61, "High Humidity", O129&gt;=0.6, "Humid", O129&gt;0.4, "Less Humidity", TRUE, "Dry")</f>
        <v>Less Humidity</v>
      </c>
      <c r="Q129" s="18">
        <v>0.25369999999999998</v>
      </c>
      <c r="R129" s="18" t="str" cm="1">
        <f t="array" ref="R129">_xlfn.IFS(Q129&lt;=0.2,"Low Windspeed",Q129&lt;0.4,"Medium Windspeed",Q129&gt;=0.41,"High Windspeed")</f>
        <v>Medium Windspeed</v>
      </c>
      <c r="S129" s="18">
        <v>0</v>
      </c>
      <c r="T129" s="18">
        <v>2</v>
      </c>
      <c r="U129" s="19">
        <v>2</v>
      </c>
      <c r="V129" s="18" t="str" cm="1">
        <f t="array" ref="V129">_xlfn.IFS(U129&lt;=70,"Low",U129&lt;=160,"Medium",U129&gt;=161,"High")</f>
        <v>Low</v>
      </c>
    </row>
    <row r="130" spans="1:22" x14ac:dyDescent="0.25">
      <c r="A130" s="16">
        <v>739</v>
      </c>
      <c r="B130" s="17">
        <v>40577</v>
      </c>
      <c r="C130" s="18">
        <v>1</v>
      </c>
      <c r="D130" s="18">
        <v>0</v>
      </c>
      <c r="E130" s="18">
        <v>2</v>
      </c>
      <c r="F130" s="18">
        <v>3</v>
      </c>
      <c r="G130" s="18" t="str" cm="1">
        <f t="array" ref="G130">_xlfn.IFS(F130&lt;4,"Night",F130&lt;=6,"Early Morning",F130&lt;11,"Morning",F130&lt;12,"Afternoon",F130&lt;=16,"Afternoon",F130&lt;=20,"Evening",F130&gt;=21,"Night")</f>
        <v>Night</v>
      </c>
      <c r="H130" s="18" t="b">
        <v>0</v>
      </c>
      <c r="I130" s="18">
        <v>4</v>
      </c>
      <c r="J130" s="18" t="str" cm="1">
        <f t="array" ref="J130">_xlfn.IFS(I130=1,"Monday",I130=2,"Tuesday",I130=3,"Wednesday",I130=4,"Thursday",I130=5,"Friday",I130=6,"Saturday",I130=0,"Sunday")</f>
        <v>Thursday</v>
      </c>
      <c r="K130" s="18">
        <v>1</v>
      </c>
      <c r="L130" s="18">
        <v>0.18</v>
      </c>
      <c r="M130" s="27" t="str" cm="1">
        <f t="array" ref="M130">_xlfn.IFS(L130&lt;0.15,"Cold",L130&lt;0.25,"Mild",L130&lt;=0.32,"Warm",L130&gt;=0.33,"Hot")</f>
        <v>Mild</v>
      </c>
      <c r="N130" s="18">
        <v>0.16669999999999999</v>
      </c>
      <c r="O130" s="18">
        <v>0.43</v>
      </c>
      <c r="P130" s="18" t="str" cm="1">
        <f t="array" ref="P130">_xlfn.IFS(O130&gt;0.61, "High Humidity", O130&gt;=0.6, "Humid", O130&gt;0.4, "Less Humidity", TRUE, "Dry")</f>
        <v>Less Humidity</v>
      </c>
      <c r="Q130" s="18">
        <v>0.25369999999999998</v>
      </c>
      <c r="R130" s="18" t="str" cm="1">
        <f t="array" ref="R130">_xlfn.IFS(Q130&lt;=0.2,"Low Windspeed",Q130&lt;0.4,"Medium Windspeed",Q130&gt;=0.41,"High Windspeed")</f>
        <v>Medium Windspeed</v>
      </c>
      <c r="S130" s="18">
        <v>0</v>
      </c>
      <c r="T130" s="18">
        <v>1</v>
      </c>
      <c r="U130" s="19">
        <v>1</v>
      </c>
      <c r="V130" s="18" t="str" cm="1">
        <f t="array" ref="V130">_xlfn.IFS(U130&lt;=70,"Low",U130&lt;=160,"Medium",U130&gt;=161,"High")</f>
        <v>Low</v>
      </c>
    </row>
    <row r="131" spans="1:22" x14ac:dyDescent="0.25">
      <c r="A131" s="16">
        <v>740</v>
      </c>
      <c r="B131" s="17">
        <v>40577</v>
      </c>
      <c r="C131" s="18">
        <v>1</v>
      </c>
      <c r="D131" s="18">
        <v>0</v>
      </c>
      <c r="E131" s="18">
        <v>2</v>
      </c>
      <c r="F131" s="18">
        <v>5</v>
      </c>
      <c r="G131" s="18" t="str" cm="1">
        <f t="array" ref="G131">_xlfn.IFS(F131&lt;4,"Night",F131&lt;=6,"Early Morning",F131&lt;11,"Morning",F131&lt;12,"Afternoon",F131&lt;=16,"Afternoon",F131&lt;=20,"Evening",F131&gt;=21,"Night")</f>
        <v>Early Morning</v>
      </c>
      <c r="H131" s="18" t="b">
        <v>0</v>
      </c>
      <c r="I131" s="18">
        <v>4</v>
      </c>
      <c r="J131" s="18" t="str" cm="1">
        <f t="array" ref="J131">_xlfn.IFS(I131=1,"Monday",I131=2,"Tuesday",I131=3,"Wednesday",I131=4,"Thursday",I131=5,"Friday",I131=6,"Saturday",I131=0,"Sunday")</f>
        <v>Thursday</v>
      </c>
      <c r="K131" s="18">
        <v>1</v>
      </c>
      <c r="L131" s="18">
        <v>0.16</v>
      </c>
      <c r="M131" s="27" t="str" cm="1">
        <f t="array" ref="M131">_xlfn.IFS(L131&lt;0.15,"Cold",L131&lt;0.25,"Mild",L131&lt;=0.32,"Warm",L131&gt;=0.33,"Hot")</f>
        <v>Mild</v>
      </c>
      <c r="N131" s="18">
        <v>0.13639999999999999</v>
      </c>
      <c r="O131" s="18">
        <v>0.5</v>
      </c>
      <c r="P131" s="18" t="str" cm="1">
        <f t="array" ref="P131">_xlfn.IFS(O131&gt;0.61, "High Humidity", O131&gt;=0.6, "Humid", O131&gt;0.4, "Less Humidity", TRUE, "Dry")</f>
        <v>Less Humidity</v>
      </c>
      <c r="Q131" s="18">
        <v>0.29849999999999999</v>
      </c>
      <c r="R131" s="18" t="str" cm="1">
        <f t="array" ref="R131">_xlfn.IFS(Q131&lt;=0.2,"Low Windspeed",Q131&lt;0.4,"Medium Windspeed",Q131&gt;=0.41,"High Windspeed")</f>
        <v>Medium Windspeed</v>
      </c>
      <c r="S131" s="18">
        <v>0</v>
      </c>
      <c r="T131" s="18">
        <v>2</v>
      </c>
      <c r="U131" s="19">
        <v>2</v>
      </c>
      <c r="V131" s="18" t="str" cm="1">
        <f t="array" ref="V131">_xlfn.IFS(U131&lt;=70,"Low",U131&lt;=160,"Medium",U131&gt;=161,"High")</f>
        <v>Low</v>
      </c>
    </row>
    <row r="132" spans="1:22" x14ac:dyDescent="0.25">
      <c r="A132" s="16">
        <v>741</v>
      </c>
      <c r="B132" s="17">
        <v>40577</v>
      </c>
      <c r="C132" s="18">
        <v>1</v>
      </c>
      <c r="D132" s="18">
        <v>0</v>
      </c>
      <c r="E132" s="18">
        <v>2</v>
      </c>
      <c r="F132" s="18">
        <v>6</v>
      </c>
      <c r="G132" s="18" t="str" cm="1">
        <f t="array" ref="G132">_xlfn.IFS(F132&lt;4,"Night",F132&lt;=6,"Early Morning",F132&lt;11,"Morning",F132&lt;12,"Afternoon",F132&lt;=16,"Afternoon",F132&lt;=20,"Evening",F132&gt;=21,"Night")</f>
        <v>Early Morning</v>
      </c>
      <c r="H132" s="18" t="b">
        <v>0</v>
      </c>
      <c r="I132" s="18">
        <v>4</v>
      </c>
      <c r="J132" s="18" t="str" cm="1">
        <f t="array" ref="J132">_xlfn.IFS(I132=1,"Monday",I132=2,"Tuesday",I132=3,"Wednesday",I132=4,"Thursday",I132=5,"Friday",I132=6,"Saturday",I132=0,"Sunday")</f>
        <v>Thursday</v>
      </c>
      <c r="K132" s="18">
        <v>1</v>
      </c>
      <c r="L132" s="18">
        <v>0.16</v>
      </c>
      <c r="M132" s="27" t="str" cm="1">
        <f t="array" ref="M132">_xlfn.IFS(L132&lt;0.15,"Cold",L132&lt;0.25,"Mild",L132&lt;=0.32,"Warm",L132&gt;=0.33,"Hot")</f>
        <v>Mild</v>
      </c>
      <c r="N132" s="18">
        <v>0.13639999999999999</v>
      </c>
      <c r="O132" s="18">
        <v>0.43</v>
      </c>
      <c r="P132" s="18" t="str" cm="1">
        <f t="array" ref="P132">_xlfn.IFS(O132&gt;0.61, "High Humidity", O132&gt;=0.6, "Humid", O132&gt;0.4, "Less Humidity", TRUE, "Dry")</f>
        <v>Less Humidity</v>
      </c>
      <c r="Q132" s="18">
        <v>0.35820000000000002</v>
      </c>
      <c r="R132" s="18" t="str" cm="1">
        <f t="array" ref="R132">_xlfn.IFS(Q132&lt;=0.2,"Low Windspeed",Q132&lt;0.4,"Medium Windspeed",Q132&gt;=0.41,"High Windspeed")</f>
        <v>Medium Windspeed</v>
      </c>
      <c r="S132" s="18">
        <v>0</v>
      </c>
      <c r="T132" s="18">
        <v>39</v>
      </c>
      <c r="U132" s="19">
        <v>39</v>
      </c>
      <c r="V132" s="18" t="str" cm="1">
        <f t="array" ref="V132">_xlfn.IFS(U132&lt;=70,"Low",U132&lt;=160,"Medium",U132&gt;=161,"High")</f>
        <v>Low</v>
      </c>
    </row>
    <row r="133" spans="1:22" x14ac:dyDescent="0.25">
      <c r="A133" s="16">
        <v>742</v>
      </c>
      <c r="B133" s="17">
        <v>40577</v>
      </c>
      <c r="C133" s="18">
        <v>1</v>
      </c>
      <c r="D133" s="18">
        <v>0</v>
      </c>
      <c r="E133" s="18">
        <v>2</v>
      </c>
      <c r="F133" s="18">
        <v>7</v>
      </c>
      <c r="G133" s="18" t="str" cm="1">
        <f t="array" ref="G133">_xlfn.IFS(F133&lt;4,"Night",F133&lt;=6,"Early Morning",F133&lt;11,"Morning",F133&lt;12,"Afternoon",F133&lt;=16,"Afternoon",F133&lt;=20,"Evening",F133&gt;=21,"Night")</f>
        <v>Morning</v>
      </c>
      <c r="H133" s="18" t="b">
        <v>0</v>
      </c>
      <c r="I133" s="18">
        <v>4</v>
      </c>
      <c r="J133" s="18" t="str" cm="1">
        <f t="array" ref="J133">_xlfn.IFS(I133=1,"Monday",I133=2,"Tuesday",I133=3,"Wednesday",I133=4,"Thursday",I133=5,"Friday",I133=6,"Saturday",I133=0,"Sunday")</f>
        <v>Thursday</v>
      </c>
      <c r="K133" s="18">
        <v>1</v>
      </c>
      <c r="L133" s="18">
        <v>0.14000000000000001</v>
      </c>
      <c r="M133" s="27" t="str" cm="1">
        <f t="array" ref="M133">_xlfn.IFS(L133&lt;0.15,"Cold",L133&lt;0.25,"Mild",L133&lt;=0.32,"Warm",L133&gt;=0.33,"Hot")</f>
        <v>Cold</v>
      </c>
      <c r="N133" s="18">
        <v>0.1212</v>
      </c>
      <c r="O133" s="18">
        <v>0.5</v>
      </c>
      <c r="P133" s="18" t="str" cm="1">
        <f t="array" ref="P133">_xlfn.IFS(O133&gt;0.61, "High Humidity", O133&gt;=0.6, "Humid", O133&gt;0.4, "Less Humidity", TRUE, "Dry")</f>
        <v>Less Humidity</v>
      </c>
      <c r="Q133" s="18">
        <v>0.32840000000000003</v>
      </c>
      <c r="R133" s="18" t="str" cm="1">
        <f t="array" ref="R133">_xlfn.IFS(Q133&lt;=0.2,"Low Windspeed",Q133&lt;0.4,"Medium Windspeed",Q133&gt;=0.41,"High Windspeed")</f>
        <v>Medium Windspeed</v>
      </c>
      <c r="S133" s="18">
        <v>1</v>
      </c>
      <c r="T133" s="18">
        <v>86</v>
      </c>
      <c r="U133" s="19">
        <v>87</v>
      </c>
      <c r="V133" s="18" t="str" cm="1">
        <f t="array" ref="V133">_xlfn.IFS(U133&lt;=70,"Low",U133&lt;=160,"Medium",U133&gt;=161,"High")</f>
        <v>Medium</v>
      </c>
    </row>
    <row r="134" spans="1:22" x14ac:dyDescent="0.25">
      <c r="A134" s="16">
        <v>743</v>
      </c>
      <c r="B134" s="17">
        <v>40577</v>
      </c>
      <c r="C134" s="18">
        <v>1</v>
      </c>
      <c r="D134" s="18">
        <v>0</v>
      </c>
      <c r="E134" s="18">
        <v>2</v>
      </c>
      <c r="F134" s="18">
        <v>8</v>
      </c>
      <c r="G134" s="18" t="str" cm="1">
        <f t="array" ref="G134">_xlfn.IFS(F134&lt;4,"Night",F134&lt;=6,"Early Morning",F134&lt;11,"Morning",F134&lt;12,"Afternoon",F134&lt;=16,"Afternoon",F134&lt;=20,"Evening",F134&gt;=21,"Night")</f>
        <v>Morning</v>
      </c>
      <c r="H134" s="18" t="b">
        <v>0</v>
      </c>
      <c r="I134" s="18">
        <v>4</v>
      </c>
      <c r="J134" s="18" t="str" cm="1">
        <f t="array" ref="J134">_xlfn.IFS(I134=1,"Monday",I134=2,"Tuesday",I134=3,"Wednesday",I134=4,"Thursday",I134=5,"Friday",I134=6,"Saturday",I134=0,"Sunday")</f>
        <v>Thursday</v>
      </c>
      <c r="K134" s="18">
        <v>1</v>
      </c>
      <c r="L134" s="18">
        <v>0.14000000000000001</v>
      </c>
      <c r="M134" s="27" t="str" cm="1">
        <f t="array" ref="M134">_xlfn.IFS(L134&lt;0.15,"Cold",L134&lt;0.25,"Mild",L134&lt;=0.32,"Warm",L134&gt;=0.33,"Hot")</f>
        <v>Cold</v>
      </c>
      <c r="N134" s="18">
        <v>0.1212</v>
      </c>
      <c r="O134" s="18">
        <v>0.5</v>
      </c>
      <c r="P134" s="18" t="str" cm="1">
        <f t="array" ref="P134">_xlfn.IFS(O134&gt;0.61, "High Humidity", O134&gt;=0.6, "Humid", O134&gt;0.4, "Less Humidity", TRUE, "Dry")</f>
        <v>Less Humidity</v>
      </c>
      <c r="Q134" s="18">
        <v>0.35820000000000002</v>
      </c>
      <c r="R134" s="18" t="str" cm="1">
        <f t="array" ref="R134">_xlfn.IFS(Q134&lt;=0.2,"Low Windspeed",Q134&lt;0.4,"Medium Windspeed",Q134&gt;=0.41,"High Windspeed")</f>
        <v>Medium Windspeed</v>
      </c>
      <c r="S134" s="18">
        <v>4</v>
      </c>
      <c r="T134" s="18">
        <v>184</v>
      </c>
      <c r="U134" s="19">
        <v>188</v>
      </c>
      <c r="V134" s="18" t="str" cm="1">
        <f t="array" ref="V134">_xlfn.IFS(U134&lt;=70,"Low",U134&lt;=160,"Medium",U134&gt;=161,"High")</f>
        <v>High</v>
      </c>
    </row>
    <row r="135" spans="1:22" x14ac:dyDescent="0.25">
      <c r="A135" s="16">
        <v>744</v>
      </c>
      <c r="B135" s="17">
        <v>40577</v>
      </c>
      <c r="C135" s="18">
        <v>1</v>
      </c>
      <c r="D135" s="18">
        <v>0</v>
      </c>
      <c r="E135" s="18">
        <v>2</v>
      </c>
      <c r="F135" s="18">
        <v>9</v>
      </c>
      <c r="G135" s="18" t="str" cm="1">
        <f t="array" ref="G135">_xlfn.IFS(F135&lt;4,"Night",F135&lt;=6,"Early Morning",F135&lt;11,"Morning",F135&lt;12,"Afternoon",F135&lt;=16,"Afternoon",F135&lt;=20,"Evening",F135&gt;=21,"Night")</f>
        <v>Morning</v>
      </c>
      <c r="H135" s="18" t="b">
        <v>0</v>
      </c>
      <c r="I135" s="18">
        <v>4</v>
      </c>
      <c r="J135" s="18" t="str" cm="1">
        <f t="array" ref="J135">_xlfn.IFS(I135=1,"Monday",I135=2,"Tuesday",I135=3,"Wednesday",I135=4,"Thursday",I135=5,"Friday",I135=6,"Saturday",I135=0,"Sunday")</f>
        <v>Thursday</v>
      </c>
      <c r="K135" s="18">
        <v>1</v>
      </c>
      <c r="L135" s="18">
        <v>0.16</v>
      </c>
      <c r="M135" s="27" t="str" cm="1">
        <f t="array" ref="M135">_xlfn.IFS(L135&lt;0.15,"Cold",L135&lt;0.25,"Mild",L135&lt;=0.32,"Warm",L135&gt;=0.33,"Hot")</f>
        <v>Mild</v>
      </c>
      <c r="N135" s="18">
        <v>0.13639999999999999</v>
      </c>
      <c r="O135" s="18">
        <v>0.47</v>
      </c>
      <c r="P135" s="18" t="str" cm="1">
        <f t="array" ref="P135">_xlfn.IFS(O135&gt;0.61, "High Humidity", O135&gt;=0.6, "Humid", O135&gt;0.4, "Less Humidity", TRUE, "Dry")</f>
        <v>Less Humidity</v>
      </c>
      <c r="Q135" s="18">
        <v>0.29849999999999999</v>
      </c>
      <c r="R135" s="18" t="str" cm="1">
        <f t="array" ref="R135">_xlfn.IFS(Q135&lt;=0.2,"Low Windspeed",Q135&lt;0.4,"Medium Windspeed",Q135&gt;=0.41,"High Windspeed")</f>
        <v>Medium Windspeed</v>
      </c>
      <c r="S135" s="18">
        <v>6</v>
      </c>
      <c r="T135" s="18">
        <v>127</v>
      </c>
      <c r="U135" s="19">
        <v>133</v>
      </c>
      <c r="V135" s="18" t="str" cm="1">
        <f t="array" ref="V135">_xlfn.IFS(U135&lt;=70,"Low",U135&lt;=160,"Medium",U135&gt;=161,"High")</f>
        <v>Medium</v>
      </c>
    </row>
    <row r="136" spans="1:22" x14ac:dyDescent="0.25">
      <c r="A136" s="16">
        <v>745</v>
      </c>
      <c r="B136" s="17">
        <v>40577</v>
      </c>
      <c r="C136" s="18">
        <v>1</v>
      </c>
      <c r="D136" s="18">
        <v>0</v>
      </c>
      <c r="E136" s="18">
        <v>2</v>
      </c>
      <c r="F136" s="18">
        <v>10</v>
      </c>
      <c r="G136" s="18" t="str" cm="1">
        <f t="array" ref="G136">_xlfn.IFS(F136&lt;4,"Night",F136&lt;=6,"Early Morning",F136&lt;11,"Morning",F136&lt;12,"Afternoon",F136&lt;=16,"Afternoon",F136&lt;=20,"Evening",F136&gt;=21,"Night")</f>
        <v>Morning</v>
      </c>
      <c r="H136" s="18" t="b">
        <v>0</v>
      </c>
      <c r="I136" s="18">
        <v>4</v>
      </c>
      <c r="J136" s="18" t="str" cm="1">
        <f t="array" ref="J136">_xlfn.IFS(I136=1,"Monday",I136=2,"Tuesday",I136=3,"Wednesday",I136=4,"Thursday",I136=5,"Friday",I136=6,"Saturday",I136=0,"Sunday")</f>
        <v>Thursday</v>
      </c>
      <c r="K136" s="18">
        <v>1</v>
      </c>
      <c r="L136" s="18">
        <v>0.18</v>
      </c>
      <c r="M136" s="27" t="str" cm="1">
        <f t="array" ref="M136">_xlfn.IFS(L136&lt;0.15,"Cold",L136&lt;0.25,"Mild",L136&lt;=0.32,"Warm",L136&gt;=0.33,"Hot")</f>
        <v>Mild</v>
      </c>
      <c r="N136" s="18">
        <v>0.1515</v>
      </c>
      <c r="O136" s="18">
        <v>0.43</v>
      </c>
      <c r="P136" s="18" t="str" cm="1">
        <f t="array" ref="P136">_xlfn.IFS(O136&gt;0.61, "High Humidity", O136&gt;=0.6, "Humid", O136&gt;0.4, "Less Humidity", TRUE, "Dry")</f>
        <v>Less Humidity</v>
      </c>
      <c r="Q136" s="18">
        <v>0.32840000000000003</v>
      </c>
      <c r="R136" s="18" t="str" cm="1">
        <f t="array" ref="R136">_xlfn.IFS(Q136&lt;=0.2,"Low Windspeed",Q136&lt;0.4,"Medium Windspeed",Q136&gt;=0.41,"High Windspeed")</f>
        <v>Medium Windspeed</v>
      </c>
      <c r="S136" s="18">
        <v>2</v>
      </c>
      <c r="T136" s="18">
        <v>50</v>
      </c>
      <c r="U136" s="19">
        <v>52</v>
      </c>
      <c r="V136" s="18" t="str" cm="1">
        <f t="array" ref="V136">_xlfn.IFS(U136&lt;=70,"Low",U136&lt;=160,"Medium",U136&gt;=161,"High")</f>
        <v>Low</v>
      </c>
    </row>
    <row r="137" spans="1:22" x14ac:dyDescent="0.25">
      <c r="A137" s="16">
        <v>746</v>
      </c>
      <c r="B137" s="17">
        <v>40577</v>
      </c>
      <c r="C137" s="18">
        <v>1</v>
      </c>
      <c r="D137" s="18">
        <v>0</v>
      </c>
      <c r="E137" s="18">
        <v>2</v>
      </c>
      <c r="F137" s="18">
        <v>11</v>
      </c>
      <c r="G137" s="18" t="str" cm="1">
        <f t="array" ref="G137">_xlfn.IFS(F137&lt;4,"Night",F137&lt;=6,"Early Morning",F137&lt;11,"Morning",F137&lt;12,"Afternoon",F137&lt;=16,"Afternoon",F137&lt;=20,"Evening",F137&gt;=21,"Night")</f>
        <v>Afternoon</v>
      </c>
      <c r="H137" s="18" t="b">
        <v>0</v>
      </c>
      <c r="I137" s="18">
        <v>4</v>
      </c>
      <c r="J137" s="18" t="str" cm="1">
        <f t="array" ref="J137">_xlfn.IFS(I137=1,"Monday",I137=2,"Tuesday",I137=3,"Wednesday",I137=4,"Thursday",I137=5,"Friday",I137=6,"Saturday",I137=0,"Sunday")</f>
        <v>Thursday</v>
      </c>
      <c r="K137" s="18">
        <v>1</v>
      </c>
      <c r="L137" s="18">
        <v>0.18</v>
      </c>
      <c r="M137" s="27" t="str" cm="1">
        <f t="array" ref="M137">_xlfn.IFS(L137&lt;0.15,"Cold",L137&lt;0.25,"Mild",L137&lt;=0.32,"Warm",L137&gt;=0.33,"Hot")</f>
        <v>Mild</v>
      </c>
      <c r="N137" s="18">
        <v>0.13639999999999999</v>
      </c>
      <c r="O137" s="18">
        <v>0.43</v>
      </c>
      <c r="P137" s="18" t="str" cm="1">
        <f t="array" ref="P137">_xlfn.IFS(O137&gt;0.61, "High Humidity", O137&gt;=0.6, "Humid", O137&gt;0.4, "Less Humidity", TRUE, "Dry")</f>
        <v>Less Humidity</v>
      </c>
      <c r="Q137" s="18">
        <v>0.44779999999999998</v>
      </c>
      <c r="R137" s="18" t="str" cm="1">
        <f t="array" ref="R137">_xlfn.IFS(Q137&lt;=0.2,"Low Windspeed",Q137&lt;0.4,"Medium Windspeed",Q137&gt;=0.41,"High Windspeed")</f>
        <v>High Windspeed</v>
      </c>
      <c r="S137" s="18">
        <v>9</v>
      </c>
      <c r="T137" s="18">
        <v>55</v>
      </c>
      <c r="U137" s="19">
        <v>64</v>
      </c>
      <c r="V137" s="18" t="str" cm="1">
        <f t="array" ref="V137">_xlfn.IFS(U137&lt;=70,"Low",U137&lt;=160,"Medium",U137&gt;=161,"High")</f>
        <v>Low</v>
      </c>
    </row>
    <row r="138" spans="1:22" x14ac:dyDescent="0.25">
      <c r="A138" s="16">
        <v>747</v>
      </c>
      <c r="B138" s="17">
        <v>40577</v>
      </c>
      <c r="C138" s="18">
        <v>1</v>
      </c>
      <c r="D138" s="18">
        <v>0</v>
      </c>
      <c r="E138" s="18">
        <v>2</v>
      </c>
      <c r="F138" s="18">
        <v>12</v>
      </c>
      <c r="G138" s="18" t="str" cm="1">
        <f t="array" ref="G138">_xlfn.IFS(F138&lt;4,"Night",F138&lt;=6,"Early Morning",F138&lt;11,"Morning",F138&lt;12,"Afternoon",F138&lt;=16,"Afternoon",F138&lt;=20,"Evening",F138&gt;=21,"Night")</f>
        <v>Afternoon</v>
      </c>
      <c r="H138" s="18" t="b">
        <v>0</v>
      </c>
      <c r="I138" s="18">
        <v>4</v>
      </c>
      <c r="J138" s="18" t="str" cm="1">
        <f t="array" ref="J138">_xlfn.IFS(I138=1,"Monday",I138=2,"Tuesday",I138=3,"Wednesday",I138=4,"Thursday",I138=5,"Friday",I138=6,"Saturday",I138=0,"Sunday")</f>
        <v>Thursday</v>
      </c>
      <c r="K138" s="18">
        <v>1</v>
      </c>
      <c r="L138" s="18">
        <v>0.2</v>
      </c>
      <c r="M138" s="27" t="str" cm="1">
        <f t="array" ref="M138">_xlfn.IFS(L138&lt;0.15,"Cold",L138&lt;0.25,"Mild",L138&lt;=0.32,"Warm",L138&gt;=0.33,"Hot")</f>
        <v>Mild</v>
      </c>
      <c r="N138" s="18">
        <v>0.18179999999999999</v>
      </c>
      <c r="O138" s="18">
        <v>0.4</v>
      </c>
      <c r="P138" s="18" t="str" cm="1">
        <f t="array" ref="P138">_xlfn.IFS(O138&gt;0.61, "High Humidity", O138&gt;=0.6, "Humid", O138&gt;0.4, "Less Humidity", TRUE, "Dry")</f>
        <v>Dry</v>
      </c>
      <c r="Q138" s="18">
        <v>0.35820000000000002</v>
      </c>
      <c r="R138" s="18" t="str" cm="1">
        <f t="array" ref="R138">_xlfn.IFS(Q138&lt;=0.2,"Low Windspeed",Q138&lt;0.4,"Medium Windspeed",Q138&gt;=0.41,"High Windspeed")</f>
        <v>Medium Windspeed</v>
      </c>
      <c r="S138" s="18">
        <v>2</v>
      </c>
      <c r="T138" s="18">
        <v>67</v>
      </c>
      <c r="U138" s="19">
        <v>69</v>
      </c>
      <c r="V138" s="18" t="str" cm="1">
        <f t="array" ref="V138">_xlfn.IFS(U138&lt;=70,"Low",U138&lt;=160,"Medium",U138&gt;=161,"High")</f>
        <v>Low</v>
      </c>
    </row>
    <row r="139" spans="1:22" x14ac:dyDescent="0.25">
      <c r="A139" s="16">
        <v>748</v>
      </c>
      <c r="B139" s="17">
        <v>40577</v>
      </c>
      <c r="C139" s="18">
        <v>1</v>
      </c>
      <c r="D139" s="18">
        <v>0</v>
      </c>
      <c r="E139" s="18">
        <v>2</v>
      </c>
      <c r="F139" s="18">
        <v>13</v>
      </c>
      <c r="G139" s="18" t="str" cm="1">
        <f t="array" ref="G139">_xlfn.IFS(F139&lt;4,"Night",F139&lt;=6,"Early Morning",F139&lt;11,"Morning",F139&lt;12,"Afternoon",F139&lt;=16,"Afternoon",F139&lt;=20,"Evening",F139&gt;=21,"Night")</f>
        <v>Afternoon</v>
      </c>
      <c r="H139" s="18" t="b">
        <v>0</v>
      </c>
      <c r="I139" s="18">
        <v>4</v>
      </c>
      <c r="J139" s="18" t="str" cm="1">
        <f t="array" ref="J139">_xlfn.IFS(I139=1,"Monday",I139=2,"Tuesday",I139=3,"Wednesday",I139=4,"Thursday",I139=5,"Friday",I139=6,"Saturday",I139=0,"Sunday")</f>
        <v>Thursday</v>
      </c>
      <c r="K139" s="18">
        <v>1</v>
      </c>
      <c r="L139" s="18">
        <v>0.2</v>
      </c>
      <c r="M139" s="27" t="str" cm="1">
        <f t="array" ref="M139">_xlfn.IFS(L139&lt;0.15,"Cold",L139&lt;0.25,"Mild",L139&lt;=0.32,"Warm",L139&gt;=0.33,"Hot")</f>
        <v>Mild</v>
      </c>
      <c r="N139" s="18">
        <v>0.16669999999999999</v>
      </c>
      <c r="O139" s="18">
        <v>0.4</v>
      </c>
      <c r="P139" s="18" t="str" cm="1">
        <f t="array" ref="P139">_xlfn.IFS(O139&gt;0.61, "High Humidity", O139&gt;=0.6, "Humid", O139&gt;0.4, "Less Humidity", TRUE, "Dry")</f>
        <v>Dry</v>
      </c>
      <c r="Q139" s="18">
        <v>0.41789999999999999</v>
      </c>
      <c r="R139" s="18" t="str" cm="1">
        <f t="array" ref="R139">_xlfn.IFS(Q139&lt;=0.2,"Low Windspeed",Q139&lt;0.4,"Medium Windspeed",Q139&gt;=0.41,"High Windspeed")</f>
        <v>High Windspeed</v>
      </c>
      <c r="S139" s="18">
        <v>4</v>
      </c>
      <c r="T139" s="18">
        <v>47</v>
      </c>
      <c r="U139" s="19">
        <v>51</v>
      </c>
      <c r="V139" s="18" t="str" cm="1">
        <f t="array" ref="V139">_xlfn.IFS(U139&lt;=70,"Low",U139&lt;=160,"Medium",U139&gt;=161,"High")</f>
        <v>Low</v>
      </c>
    </row>
    <row r="140" spans="1:22" x14ac:dyDescent="0.25">
      <c r="A140" s="16">
        <v>749</v>
      </c>
      <c r="B140" s="17">
        <v>40577</v>
      </c>
      <c r="C140" s="18">
        <v>1</v>
      </c>
      <c r="D140" s="18">
        <v>0</v>
      </c>
      <c r="E140" s="18">
        <v>2</v>
      </c>
      <c r="F140" s="18">
        <v>14</v>
      </c>
      <c r="G140" s="18" t="str" cm="1">
        <f t="array" ref="G140">_xlfn.IFS(F140&lt;4,"Night",F140&lt;=6,"Early Morning",F140&lt;11,"Morning",F140&lt;12,"Afternoon",F140&lt;=16,"Afternoon",F140&lt;=20,"Evening",F140&gt;=21,"Night")</f>
        <v>Afternoon</v>
      </c>
      <c r="H140" s="18" t="b">
        <v>0</v>
      </c>
      <c r="I140" s="18">
        <v>4</v>
      </c>
      <c r="J140" s="18" t="str" cm="1">
        <f t="array" ref="J140">_xlfn.IFS(I140=1,"Monday",I140=2,"Tuesday",I140=3,"Wednesday",I140=4,"Thursday",I140=5,"Friday",I140=6,"Saturday",I140=0,"Sunday")</f>
        <v>Thursday</v>
      </c>
      <c r="K140" s="18">
        <v>1</v>
      </c>
      <c r="L140" s="18">
        <v>0.22</v>
      </c>
      <c r="M140" s="27" t="str" cm="1">
        <f t="array" ref="M140">_xlfn.IFS(L140&lt;0.15,"Cold",L140&lt;0.25,"Mild",L140&lt;=0.32,"Warm",L140&gt;=0.33,"Hot")</f>
        <v>Mild</v>
      </c>
      <c r="N140" s="18">
        <v>0.19700000000000001</v>
      </c>
      <c r="O140" s="18">
        <v>0.37</v>
      </c>
      <c r="P140" s="18" t="str" cm="1">
        <f t="array" ref="P140">_xlfn.IFS(O140&gt;0.61, "High Humidity", O140&gt;=0.6, "Humid", O140&gt;0.4, "Less Humidity", TRUE, "Dry")</f>
        <v>Dry</v>
      </c>
      <c r="Q140" s="18">
        <v>0.3881</v>
      </c>
      <c r="R140" s="18" t="str" cm="1">
        <f t="array" ref="R140">_xlfn.IFS(Q140&lt;=0.2,"Low Windspeed",Q140&lt;0.4,"Medium Windspeed",Q140&gt;=0.41,"High Windspeed")</f>
        <v>Medium Windspeed</v>
      </c>
      <c r="S140" s="18">
        <v>4</v>
      </c>
      <c r="T140" s="18">
        <v>43</v>
      </c>
      <c r="U140" s="19">
        <v>47</v>
      </c>
      <c r="V140" s="18" t="str" cm="1">
        <f t="array" ref="V140">_xlfn.IFS(U140&lt;=70,"Low",U140&lt;=160,"Medium",U140&gt;=161,"High")</f>
        <v>Low</v>
      </c>
    </row>
    <row r="141" spans="1:22" x14ac:dyDescent="0.25">
      <c r="A141" s="16">
        <v>750</v>
      </c>
      <c r="B141" s="17">
        <v>40577</v>
      </c>
      <c r="C141" s="18">
        <v>1</v>
      </c>
      <c r="D141" s="18">
        <v>0</v>
      </c>
      <c r="E141" s="18">
        <v>2</v>
      </c>
      <c r="F141" s="18">
        <v>15</v>
      </c>
      <c r="G141" s="18" t="str" cm="1">
        <f t="array" ref="G141">_xlfn.IFS(F141&lt;4,"Night",F141&lt;=6,"Early Morning",F141&lt;11,"Morning",F141&lt;12,"Afternoon",F141&lt;=16,"Afternoon",F141&lt;=20,"Evening",F141&gt;=21,"Night")</f>
        <v>Afternoon</v>
      </c>
      <c r="H141" s="18" t="b">
        <v>0</v>
      </c>
      <c r="I141" s="18">
        <v>4</v>
      </c>
      <c r="J141" s="18" t="str" cm="1">
        <f t="array" ref="J141">_xlfn.IFS(I141=1,"Monday",I141=2,"Tuesday",I141=3,"Wednesday",I141=4,"Thursday",I141=5,"Friday",I141=6,"Saturday",I141=0,"Sunday")</f>
        <v>Thursday</v>
      </c>
      <c r="K141" s="18">
        <v>1</v>
      </c>
      <c r="L141" s="18">
        <v>0.22</v>
      </c>
      <c r="M141" s="27" t="str" cm="1">
        <f t="array" ref="M141">_xlfn.IFS(L141&lt;0.15,"Cold",L141&lt;0.25,"Mild",L141&lt;=0.32,"Warm",L141&gt;=0.33,"Hot")</f>
        <v>Mild</v>
      </c>
      <c r="N141" s="18">
        <v>0.19700000000000001</v>
      </c>
      <c r="O141" s="18">
        <v>0.37</v>
      </c>
      <c r="P141" s="18" t="str" cm="1">
        <f t="array" ref="P141">_xlfn.IFS(O141&gt;0.61, "High Humidity", O141&gt;=0.6, "Humid", O141&gt;0.4, "Less Humidity", TRUE, "Dry")</f>
        <v>Dry</v>
      </c>
      <c r="Q141" s="18">
        <v>0.32840000000000003</v>
      </c>
      <c r="R141" s="18" t="str" cm="1">
        <f t="array" ref="R141">_xlfn.IFS(Q141&lt;=0.2,"Low Windspeed",Q141&lt;0.4,"Medium Windspeed",Q141&gt;=0.41,"High Windspeed")</f>
        <v>Medium Windspeed</v>
      </c>
      <c r="S141" s="18">
        <v>4</v>
      </c>
      <c r="T141" s="18">
        <v>56</v>
      </c>
      <c r="U141" s="19">
        <v>60</v>
      </c>
      <c r="V141" s="18" t="str" cm="1">
        <f t="array" ref="V141">_xlfn.IFS(U141&lt;=70,"Low",U141&lt;=160,"Medium",U141&gt;=161,"High")</f>
        <v>Low</v>
      </c>
    </row>
    <row r="142" spans="1:22" x14ac:dyDescent="0.25">
      <c r="A142" s="16">
        <v>751</v>
      </c>
      <c r="B142" s="17">
        <v>40577</v>
      </c>
      <c r="C142" s="18">
        <v>1</v>
      </c>
      <c r="D142" s="18">
        <v>0</v>
      </c>
      <c r="E142" s="18">
        <v>2</v>
      </c>
      <c r="F142" s="18">
        <v>16</v>
      </c>
      <c r="G142" s="18" t="str" cm="1">
        <f t="array" ref="G142">_xlfn.IFS(F142&lt;4,"Night",F142&lt;=6,"Early Morning",F142&lt;11,"Morning",F142&lt;12,"Afternoon",F142&lt;=16,"Afternoon",F142&lt;=20,"Evening",F142&gt;=21,"Night")</f>
        <v>Afternoon</v>
      </c>
      <c r="H142" s="18" t="b">
        <v>0</v>
      </c>
      <c r="I142" s="18">
        <v>4</v>
      </c>
      <c r="J142" s="18" t="str" cm="1">
        <f t="array" ref="J142">_xlfn.IFS(I142=1,"Monday",I142=2,"Tuesday",I142=3,"Wednesday",I142=4,"Thursday",I142=5,"Friday",I142=6,"Saturday",I142=0,"Sunday")</f>
        <v>Thursday</v>
      </c>
      <c r="K142" s="18">
        <v>1</v>
      </c>
      <c r="L142" s="18">
        <v>0.22</v>
      </c>
      <c r="M142" s="27" t="str" cm="1">
        <f t="array" ref="M142">_xlfn.IFS(L142&lt;0.15,"Cold",L142&lt;0.25,"Mild",L142&lt;=0.32,"Warm",L142&gt;=0.33,"Hot")</f>
        <v>Mild</v>
      </c>
      <c r="N142" s="18">
        <v>0.21210000000000001</v>
      </c>
      <c r="O142" s="18">
        <v>0.37</v>
      </c>
      <c r="P142" s="18" t="str" cm="1">
        <f t="array" ref="P142">_xlfn.IFS(O142&gt;0.61, "High Humidity", O142&gt;=0.6, "Humid", O142&gt;0.4, "Less Humidity", TRUE, "Dry")</f>
        <v>Dry</v>
      </c>
      <c r="Q142" s="18">
        <v>0.25369999999999998</v>
      </c>
      <c r="R142" s="18" t="str" cm="1">
        <f t="array" ref="R142">_xlfn.IFS(Q142&lt;=0.2,"Low Windspeed",Q142&lt;0.4,"Medium Windspeed",Q142&gt;=0.41,"High Windspeed")</f>
        <v>Medium Windspeed</v>
      </c>
      <c r="S142" s="18">
        <v>5</v>
      </c>
      <c r="T142" s="18">
        <v>73</v>
      </c>
      <c r="U142" s="19">
        <v>78</v>
      </c>
      <c r="V142" s="18" t="str" cm="1">
        <f t="array" ref="V142">_xlfn.IFS(U142&lt;=70,"Low",U142&lt;=160,"Medium",U142&gt;=161,"High")</f>
        <v>Medium</v>
      </c>
    </row>
    <row r="143" spans="1:22" x14ac:dyDescent="0.25">
      <c r="A143" s="16">
        <v>752</v>
      </c>
      <c r="B143" s="17">
        <v>40577</v>
      </c>
      <c r="C143" s="18">
        <v>1</v>
      </c>
      <c r="D143" s="18">
        <v>0</v>
      </c>
      <c r="E143" s="18">
        <v>2</v>
      </c>
      <c r="F143" s="18">
        <v>17</v>
      </c>
      <c r="G143" s="18" t="str" cm="1">
        <f t="array" ref="G143">_xlfn.IFS(F143&lt;4,"Night",F143&lt;=6,"Early Morning",F143&lt;11,"Morning",F143&lt;12,"Afternoon",F143&lt;=16,"Afternoon",F143&lt;=20,"Evening",F143&gt;=21,"Night")</f>
        <v>Evening</v>
      </c>
      <c r="H143" s="18" t="b">
        <v>0</v>
      </c>
      <c r="I143" s="18">
        <v>4</v>
      </c>
      <c r="J143" s="18" t="str" cm="1">
        <f t="array" ref="J143">_xlfn.IFS(I143=1,"Monday",I143=2,"Tuesday",I143=3,"Wednesday",I143=4,"Thursday",I143=5,"Friday",I143=6,"Saturday",I143=0,"Sunday")</f>
        <v>Thursday</v>
      </c>
      <c r="K143" s="18">
        <v>1</v>
      </c>
      <c r="L143" s="18">
        <v>0.2</v>
      </c>
      <c r="M143" s="27" t="str" cm="1">
        <f t="array" ref="M143">_xlfn.IFS(L143&lt;0.15,"Cold",L143&lt;0.25,"Mild",L143&lt;=0.32,"Warm",L143&gt;=0.33,"Hot")</f>
        <v>Mild</v>
      </c>
      <c r="N143" s="18">
        <v>0.19700000000000001</v>
      </c>
      <c r="O143" s="18">
        <v>0.4</v>
      </c>
      <c r="P143" s="18" t="str" cm="1">
        <f t="array" ref="P143">_xlfn.IFS(O143&gt;0.61, "High Humidity", O143&gt;=0.6, "Humid", O143&gt;0.4, "Less Humidity", TRUE, "Dry")</f>
        <v>Dry</v>
      </c>
      <c r="Q143" s="18">
        <v>0.19400000000000001</v>
      </c>
      <c r="R143" s="18" t="str" cm="1">
        <f t="array" ref="R143">_xlfn.IFS(Q143&lt;=0.2,"Low Windspeed",Q143&lt;0.4,"Medium Windspeed",Q143&gt;=0.41,"High Windspeed")</f>
        <v>Low Windspeed</v>
      </c>
      <c r="S143" s="18">
        <v>5</v>
      </c>
      <c r="T143" s="18">
        <v>170</v>
      </c>
      <c r="U143" s="19">
        <v>175</v>
      </c>
      <c r="V143" s="18" t="str" cm="1">
        <f t="array" ref="V143">_xlfn.IFS(U143&lt;=70,"Low",U143&lt;=160,"Medium",U143&gt;=161,"High")</f>
        <v>High</v>
      </c>
    </row>
    <row r="144" spans="1:22" x14ac:dyDescent="0.25">
      <c r="A144" s="16">
        <v>753</v>
      </c>
      <c r="B144" s="17">
        <v>40577</v>
      </c>
      <c r="C144" s="18">
        <v>1</v>
      </c>
      <c r="D144" s="18">
        <v>0</v>
      </c>
      <c r="E144" s="18">
        <v>2</v>
      </c>
      <c r="F144" s="18">
        <v>18</v>
      </c>
      <c r="G144" s="18" t="str" cm="1">
        <f t="array" ref="G144">_xlfn.IFS(F144&lt;4,"Night",F144&lt;=6,"Early Morning",F144&lt;11,"Morning",F144&lt;12,"Afternoon",F144&lt;=16,"Afternoon",F144&lt;=20,"Evening",F144&gt;=21,"Night")</f>
        <v>Evening</v>
      </c>
      <c r="H144" s="18" t="b">
        <v>0</v>
      </c>
      <c r="I144" s="18">
        <v>4</v>
      </c>
      <c r="J144" s="18" t="str" cm="1">
        <f t="array" ref="J144">_xlfn.IFS(I144=1,"Monday",I144=2,"Tuesday",I144=3,"Wednesday",I144=4,"Thursday",I144=5,"Friday",I144=6,"Saturday",I144=0,"Sunday")</f>
        <v>Thursday</v>
      </c>
      <c r="K144" s="18">
        <v>1</v>
      </c>
      <c r="L144" s="18">
        <v>0.2</v>
      </c>
      <c r="M144" s="27" t="str" cm="1">
        <f t="array" ref="M144">_xlfn.IFS(L144&lt;0.15,"Cold",L144&lt;0.25,"Mild",L144&lt;=0.32,"Warm",L144&gt;=0.33,"Hot")</f>
        <v>Mild</v>
      </c>
      <c r="N144" s="18">
        <v>0.21210000000000001</v>
      </c>
      <c r="O144" s="18">
        <v>0.4</v>
      </c>
      <c r="P144" s="18" t="str" cm="1">
        <f t="array" ref="P144">_xlfn.IFS(O144&gt;0.61, "High Humidity", O144&gt;=0.6, "Humid", O144&gt;0.4, "Less Humidity", TRUE, "Dry")</f>
        <v>Dry</v>
      </c>
      <c r="Q144" s="18">
        <v>0.16420000000000001</v>
      </c>
      <c r="R144" s="18" t="str" cm="1">
        <f t="array" ref="R144">_xlfn.IFS(Q144&lt;=0.2,"Low Windspeed",Q144&lt;0.4,"Medium Windspeed",Q144&gt;=0.41,"High Windspeed")</f>
        <v>Low Windspeed</v>
      </c>
      <c r="S144" s="18">
        <v>2</v>
      </c>
      <c r="T144" s="18">
        <v>145</v>
      </c>
      <c r="U144" s="19">
        <v>147</v>
      </c>
      <c r="V144" s="18" t="str" cm="1">
        <f t="array" ref="V144">_xlfn.IFS(U144&lt;=70,"Low",U144&lt;=160,"Medium",U144&gt;=161,"High")</f>
        <v>Medium</v>
      </c>
    </row>
    <row r="145" spans="1:22" x14ac:dyDescent="0.25">
      <c r="A145" s="16">
        <v>754</v>
      </c>
      <c r="B145" s="17">
        <v>40577</v>
      </c>
      <c r="C145" s="18">
        <v>1</v>
      </c>
      <c r="D145" s="18">
        <v>0</v>
      </c>
      <c r="E145" s="18">
        <v>2</v>
      </c>
      <c r="F145" s="18">
        <v>19</v>
      </c>
      <c r="G145" s="18" t="str" cm="1">
        <f t="array" ref="G145">_xlfn.IFS(F145&lt;4,"Night",F145&lt;=6,"Early Morning",F145&lt;11,"Morning",F145&lt;12,"Afternoon",F145&lt;=16,"Afternoon",F145&lt;=20,"Evening",F145&gt;=21,"Night")</f>
        <v>Evening</v>
      </c>
      <c r="H145" s="18" t="b">
        <v>0</v>
      </c>
      <c r="I145" s="18">
        <v>4</v>
      </c>
      <c r="J145" s="18" t="str" cm="1">
        <f t="array" ref="J145">_xlfn.IFS(I145=1,"Monday",I145=2,"Tuesday",I145=3,"Wednesday",I145=4,"Thursday",I145=5,"Friday",I145=6,"Saturday",I145=0,"Sunday")</f>
        <v>Thursday</v>
      </c>
      <c r="K145" s="18">
        <v>1</v>
      </c>
      <c r="L145" s="18">
        <v>0.2</v>
      </c>
      <c r="M145" s="27" t="str" cm="1">
        <f t="array" ref="M145">_xlfn.IFS(L145&lt;0.15,"Cold",L145&lt;0.25,"Mild",L145&lt;=0.32,"Warm",L145&gt;=0.33,"Hot")</f>
        <v>Mild</v>
      </c>
      <c r="N145" s="18">
        <v>0.2576</v>
      </c>
      <c r="O145" s="18">
        <v>0.4</v>
      </c>
      <c r="P145" s="18" t="str" cm="1">
        <f t="array" ref="P145">_xlfn.IFS(O145&gt;0.61, "High Humidity", O145&gt;=0.6, "Humid", O145&gt;0.4, "Less Humidity", TRUE, "Dry")</f>
        <v>Dry</v>
      </c>
      <c r="Q145" s="18">
        <v>0</v>
      </c>
      <c r="R145" s="18" t="str" cm="1">
        <f t="array" ref="R145">_xlfn.IFS(Q145&lt;=0.2,"Low Windspeed",Q145&lt;0.4,"Medium Windspeed",Q145&gt;=0.41,"High Windspeed")</f>
        <v>Low Windspeed</v>
      </c>
      <c r="S145" s="18">
        <v>4</v>
      </c>
      <c r="T145" s="18">
        <v>92</v>
      </c>
      <c r="U145" s="19">
        <v>96</v>
      </c>
      <c r="V145" s="18" t="str" cm="1">
        <f t="array" ref="V145">_xlfn.IFS(U145&lt;=70,"Low",U145&lt;=160,"Medium",U145&gt;=161,"High")</f>
        <v>Medium</v>
      </c>
    </row>
    <row r="146" spans="1:22" x14ac:dyDescent="0.25">
      <c r="A146" s="16">
        <v>755</v>
      </c>
      <c r="B146" s="17">
        <v>40577</v>
      </c>
      <c r="C146" s="18">
        <v>1</v>
      </c>
      <c r="D146" s="18">
        <v>0</v>
      </c>
      <c r="E146" s="18">
        <v>2</v>
      </c>
      <c r="F146" s="18">
        <v>20</v>
      </c>
      <c r="G146" s="18" t="str" cm="1">
        <f t="array" ref="G146">_xlfn.IFS(F146&lt;4,"Night",F146&lt;=6,"Early Morning",F146&lt;11,"Morning",F146&lt;12,"Afternoon",F146&lt;=16,"Afternoon",F146&lt;=20,"Evening",F146&gt;=21,"Night")</f>
        <v>Evening</v>
      </c>
      <c r="H146" s="18" t="b">
        <v>0</v>
      </c>
      <c r="I146" s="18">
        <v>4</v>
      </c>
      <c r="J146" s="18" t="str" cm="1">
        <f t="array" ref="J146">_xlfn.IFS(I146=1,"Monday",I146=2,"Tuesday",I146=3,"Wednesday",I146=4,"Thursday",I146=5,"Friday",I146=6,"Saturday",I146=0,"Sunday")</f>
        <v>Thursday</v>
      </c>
      <c r="K146" s="18">
        <v>1</v>
      </c>
      <c r="L146" s="18">
        <v>0.2</v>
      </c>
      <c r="M146" s="27" t="str" cm="1">
        <f t="array" ref="M146">_xlfn.IFS(L146&lt;0.15,"Cold",L146&lt;0.25,"Mild",L146&lt;=0.32,"Warm",L146&gt;=0.33,"Hot")</f>
        <v>Mild</v>
      </c>
      <c r="N146" s="18">
        <v>0.2273</v>
      </c>
      <c r="O146" s="18">
        <v>0.47</v>
      </c>
      <c r="P146" s="18" t="str" cm="1">
        <f t="array" ref="P146">_xlfn.IFS(O146&gt;0.61, "High Humidity", O146&gt;=0.6, "Humid", O146&gt;0.4, "Less Humidity", TRUE, "Dry")</f>
        <v>Less Humidity</v>
      </c>
      <c r="Q146" s="18">
        <v>8.9599999999999999E-2</v>
      </c>
      <c r="R146" s="18" t="str" cm="1">
        <f t="array" ref="R146">_xlfn.IFS(Q146&lt;=0.2,"Low Windspeed",Q146&lt;0.4,"Medium Windspeed",Q146&gt;=0.41,"High Windspeed")</f>
        <v>Low Windspeed</v>
      </c>
      <c r="S146" s="18">
        <v>1</v>
      </c>
      <c r="T146" s="18">
        <v>108</v>
      </c>
      <c r="U146" s="19">
        <v>109</v>
      </c>
      <c r="V146" s="18" t="str" cm="1">
        <f t="array" ref="V146">_xlfn.IFS(U146&lt;=70,"Low",U146&lt;=160,"Medium",U146&gt;=161,"High")</f>
        <v>Medium</v>
      </c>
    </row>
    <row r="147" spans="1:22" x14ac:dyDescent="0.25">
      <c r="A147" s="16">
        <v>756</v>
      </c>
      <c r="B147" s="17">
        <v>40577</v>
      </c>
      <c r="C147" s="18">
        <v>1</v>
      </c>
      <c r="D147" s="18">
        <v>0</v>
      </c>
      <c r="E147" s="18">
        <v>2</v>
      </c>
      <c r="F147" s="18">
        <v>21</v>
      </c>
      <c r="G147" s="18" t="str" cm="1">
        <f t="array" ref="G147">_xlfn.IFS(F147&lt;4,"Night",F147&lt;=6,"Early Morning",F147&lt;11,"Morning",F147&lt;12,"Afternoon",F147&lt;=16,"Afternoon",F147&lt;=20,"Evening",F147&gt;=21,"Night")</f>
        <v>Night</v>
      </c>
      <c r="H147" s="18" t="b">
        <v>0</v>
      </c>
      <c r="I147" s="18">
        <v>4</v>
      </c>
      <c r="J147" s="18" t="str" cm="1">
        <f t="array" ref="J147">_xlfn.IFS(I147=1,"Monday",I147=2,"Tuesday",I147=3,"Wednesday",I147=4,"Thursday",I147=5,"Friday",I147=6,"Saturday",I147=0,"Sunday")</f>
        <v>Thursday</v>
      </c>
      <c r="K147" s="18">
        <v>1</v>
      </c>
      <c r="L147" s="18">
        <v>0.18</v>
      </c>
      <c r="M147" s="27" t="str" cm="1">
        <f t="array" ref="M147">_xlfn.IFS(L147&lt;0.15,"Cold",L147&lt;0.25,"Mild",L147&lt;=0.32,"Warm",L147&gt;=0.33,"Hot")</f>
        <v>Mild</v>
      </c>
      <c r="N147" s="18">
        <v>0.21210000000000001</v>
      </c>
      <c r="O147" s="18">
        <v>0.55000000000000004</v>
      </c>
      <c r="P147" s="18" t="str" cm="1">
        <f t="array" ref="P147">_xlfn.IFS(O147&gt;0.61, "High Humidity", O147&gt;=0.6, "Humid", O147&gt;0.4, "Less Humidity", TRUE, "Dry")</f>
        <v>Less Humidity</v>
      </c>
      <c r="Q147" s="18">
        <v>0.1045</v>
      </c>
      <c r="R147" s="18" t="str" cm="1">
        <f t="array" ref="R147">_xlfn.IFS(Q147&lt;=0.2,"Low Windspeed",Q147&lt;0.4,"Medium Windspeed",Q147&gt;=0.41,"High Windspeed")</f>
        <v>Low Windspeed</v>
      </c>
      <c r="S147" s="18">
        <v>1</v>
      </c>
      <c r="T147" s="18">
        <v>53</v>
      </c>
      <c r="U147" s="19">
        <v>54</v>
      </c>
      <c r="V147" s="18" t="str" cm="1">
        <f t="array" ref="V147">_xlfn.IFS(U147&lt;=70,"Low",U147&lt;=160,"Medium",U147&gt;=161,"High")</f>
        <v>Low</v>
      </c>
    </row>
    <row r="148" spans="1:22" x14ac:dyDescent="0.25">
      <c r="A148" s="16">
        <v>757</v>
      </c>
      <c r="B148" s="17">
        <v>40577</v>
      </c>
      <c r="C148" s="18">
        <v>1</v>
      </c>
      <c r="D148" s="18">
        <v>0</v>
      </c>
      <c r="E148" s="18">
        <v>2</v>
      </c>
      <c r="F148" s="18">
        <v>22</v>
      </c>
      <c r="G148" s="18" t="str" cm="1">
        <f t="array" ref="G148">_xlfn.IFS(F148&lt;4,"Night",F148&lt;=6,"Early Morning",F148&lt;11,"Morning",F148&lt;12,"Afternoon",F148&lt;=16,"Afternoon",F148&lt;=20,"Evening",F148&gt;=21,"Night")</f>
        <v>Night</v>
      </c>
      <c r="H148" s="18" t="b">
        <v>0</v>
      </c>
      <c r="I148" s="18">
        <v>4</v>
      </c>
      <c r="J148" s="18" t="str" cm="1">
        <f t="array" ref="J148">_xlfn.IFS(I148=1,"Monday",I148=2,"Tuesday",I148=3,"Wednesday",I148=4,"Thursday",I148=5,"Friday",I148=6,"Saturday",I148=0,"Sunday")</f>
        <v>Thursday</v>
      </c>
      <c r="K148" s="18">
        <v>1</v>
      </c>
      <c r="L148" s="18">
        <v>0.18</v>
      </c>
      <c r="M148" s="27" t="str" cm="1">
        <f t="array" ref="M148">_xlfn.IFS(L148&lt;0.15,"Cold",L148&lt;0.25,"Mild",L148&lt;=0.32,"Warm",L148&gt;=0.33,"Hot")</f>
        <v>Mild</v>
      </c>
      <c r="N148" s="18">
        <v>0.21210000000000001</v>
      </c>
      <c r="O148" s="18">
        <v>0.51</v>
      </c>
      <c r="P148" s="18" t="str" cm="1">
        <f t="array" ref="P148">_xlfn.IFS(O148&gt;0.61, "High Humidity", O148&gt;=0.6, "Humid", O148&gt;0.4, "Less Humidity", TRUE, "Dry")</f>
        <v>Less Humidity</v>
      </c>
      <c r="Q148" s="18">
        <v>8.9599999999999999E-2</v>
      </c>
      <c r="R148" s="18" t="str" cm="1">
        <f t="array" ref="R148">_xlfn.IFS(Q148&lt;=0.2,"Low Windspeed",Q148&lt;0.4,"Medium Windspeed",Q148&gt;=0.41,"High Windspeed")</f>
        <v>Low Windspeed</v>
      </c>
      <c r="S148" s="18">
        <v>2</v>
      </c>
      <c r="T148" s="18">
        <v>39</v>
      </c>
      <c r="U148" s="19">
        <v>41</v>
      </c>
      <c r="V148" s="18" t="str" cm="1">
        <f t="array" ref="V148">_xlfn.IFS(U148&lt;=70,"Low",U148&lt;=160,"Medium",U148&gt;=161,"High")</f>
        <v>Low</v>
      </c>
    </row>
    <row r="149" spans="1:22" x14ac:dyDescent="0.25">
      <c r="A149" s="16">
        <v>758</v>
      </c>
      <c r="B149" s="17">
        <v>40577</v>
      </c>
      <c r="C149" s="18">
        <v>1</v>
      </c>
      <c r="D149" s="18">
        <v>0</v>
      </c>
      <c r="E149" s="18">
        <v>2</v>
      </c>
      <c r="F149" s="18">
        <v>23</v>
      </c>
      <c r="G149" s="18" t="str" cm="1">
        <f t="array" ref="G149">_xlfn.IFS(F149&lt;4,"Night",F149&lt;=6,"Early Morning",F149&lt;11,"Morning",F149&lt;12,"Afternoon",F149&lt;=16,"Afternoon",F149&lt;=20,"Evening",F149&gt;=21,"Night")</f>
        <v>Night</v>
      </c>
      <c r="H149" s="18" t="b">
        <v>0</v>
      </c>
      <c r="I149" s="18">
        <v>4</v>
      </c>
      <c r="J149" s="18" t="str" cm="1">
        <f t="array" ref="J149">_xlfn.IFS(I149=1,"Monday",I149=2,"Tuesday",I149=3,"Wednesday",I149=4,"Thursday",I149=5,"Friday",I149=6,"Saturday",I149=0,"Sunday")</f>
        <v>Thursday</v>
      </c>
      <c r="K149" s="18">
        <v>1</v>
      </c>
      <c r="L149" s="18">
        <v>0.2</v>
      </c>
      <c r="M149" s="27" t="str" cm="1">
        <f t="array" ref="M149">_xlfn.IFS(L149&lt;0.15,"Cold",L149&lt;0.25,"Mild",L149&lt;=0.32,"Warm",L149&gt;=0.33,"Hot")</f>
        <v>Mild</v>
      </c>
      <c r="N149" s="18">
        <v>0.2273</v>
      </c>
      <c r="O149" s="18">
        <v>0.47</v>
      </c>
      <c r="P149" s="18" t="str" cm="1">
        <f t="array" ref="P149">_xlfn.IFS(O149&gt;0.61, "High Humidity", O149&gt;=0.6, "Humid", O149&gt;0.4, "Less Humidity", TRUE, "Dry")</f>
        <v>Less Humidity</v>
      </c>
      <c r="Q149" s="18">
        <v>0.1045</v>
      </c>
      <c r="R149" s="18" t="str" cm="1">
        <f t="array" ref="R149">_xlfn.IFS(Q149&lt;=0.2,"Low Windspeed",Q149&lt;0.4,"Medium Windspeed",Q149&gt;=0.41,"High Windspeed")</f>
        <v>Low Windspeed</v>
      </c>
      <c r="S149" s="18">
        <v>4</v>
      </c>
      <c r="T149" s="18">
        <v>34</v>
      </c>
      <c r="U149" s="19">
        <v>38</v>
      </c>
      <c r="V149" s="18" t="str" cm="1">
        <f t="array" ref="V149">_xlfn.IFS(U149&lt;=70,"Low",U149&lt;=160,"Medium",U149&gt;=161,"High")</f>
        <v>Low</v>
      </c>
    </row>
    <row r="150" spans="1:22" x14ac:dyDescent="0.25">
      <c r="A150" s="16">
        <v>759</v>
      </c>
      <c r="B150" s="17">
        <v>40578</v>
      </c>
      <c r="C150" s="18">
        <v>1</v>
      </c>
      <c r="D150" s="18">
        <v>0</v>
      </c>
      <c r="E150" s="18">
        <v>2</v>
      </c>
      <c r="F150" s="18">
        <v>0</v>
      </c>
      <c r="G150" s="18" t="str" cm="1">
        <f t="array" ref="G150">_xlfn.IFS(F150&lt;4,"Night",F150&lt;=6,"Early Morning",F150&lt;11,"Morning",F150&lt;12,"Afternoon",F150&lt;=16,"Afternoon",F150&lt;=20,"Evening",F150&gt;=21,"Night")</f>
        <v>Night</v>
      </c>
      <c r="H150" s="18" t="b">
        <v>0</v>
      </c>
      <c r="I150" s="18">
        <v>5</v>
      </c>
      <c r="J150" s="18" t="str" cm="1">
        <f t="array" ref="J150">_xlfn.IFS(I150=1,"Monday",I150=2,"Tuesday",I150=3,"Wednesday",I150=4,"Thursday",I150=5,"Friday",I150=6,"Saturday",I150=0,"Sunday")</f>
        <v>Friday</v>
      </c>
      <c r="K150" s="18">
        <v>2</v>
      </c>
      <c r="L150" s="18">
        <v>0.2</v>
      </c>
      <c r="M150" s="27" t="str" cm="1">
        <f t="array" ref="M150">_xlfn.IFS(L150&lt;0.15,"Cold",L150&lt;0.25,"Mild",L150&lt;=0.32,"Warm",L150&gt;=0.33,"Hot")</f>
        <v>Mild</v>
      </c>
      <c r="N150" s="18">
        <v>0.2576</v>
      </c>
      <c r="O150" s="18">
        <v>0.44</v>
      </c>
      <c r="P150" s="18" t="str" cm="1">
        <f t="array" ref="P150">_xlfn.IFS(O150&gt;0.61, "High Humidity", O150&gt;=0.6, "Humid", O150&gt;0.4, "Less Humidity", TRUE, "Dry")</f>
        <v>Less Humidity</v>
      </c>
      <c r="Q150" s="18">
        <v>0</v>
      </c>
      <c r="R150" s="18" t="str" cm="1">
        <f t="array" ref="R150">_xlfn.IFS(Q150&lt;=0.2,"Low Windspeed",Q150&lt;0.4,"Medium Windspeed",Q150&gt;=0.41,"High Windspeed")</f>
        <v>Low Windspeed</v>
      </c>
      <c r="S150" s="18">
        <v>3</v>
      </c>
      <c r="T150" s="18">
        <v>10</v>
      </c>
      <c r="U150" s="19">
        <v>13</v>
      </c>
      <c r="V150" s="18" t="str" cm="1">
        <f t="array" ref="V150">_xlfn.IFS(U150&lt;=70,"Low",U150&lt;=160,"Medium",U150&gt;=161,"High")</f>
        <v>Low</v>
      </c>
    </row>
    <row r="151" spans="1:22" x14ac:dyDescent="0.25">
      <c r="A151" s="16">
        <v>760</v>
      </c>
      <c r="B151" s="17">
        <v>40578</v>
      </c>
      <c r="C151" s="18">
        <v>1</v>
      </c>
      <c r="D151" s="18">
        <v>0</v>
      </c>
      <c r="E151" s="18">
        <v>2</v>
      </c>
      <c r="F151" s="18">
        <v>1</v>
      </c>
      <c r="G151" s="18" t="str" cm="1">
        <f t="array" ref="G151">_xlfn.IFS(F151&lt;4,"Night",F151&lt;=6,"Early Morning",F151&lt;11,"Morning",F151&lt;12,"Afternoon",F151&lt;=16,"Afternoon",F151&lt;=20,"Evening",F151&gt;=21,"Night")</f>
        <v>Night</v>
      </c>
      <c r="H151" s="18" t="b">
        <v>0</v>
      </c>
      <c r="I151" s="18">
        <v>5</v>
      </c>
      <c r="J151" s="18" t="str" cm="1">
        <f t="array" ref="J151">_xlfn.IFS(I151=1,"Monday",I151=2,"Tuesday",I151=3,"Wednesday",I151=4,"Thursday",I151=5,"Friday",I151=6,"Saturday",I151=0,"Sunday")</f>
        <v>Friday</v>
      </c>
      <c r="K151" s="18">
        <v>2</v>
      </c>
      <c r="L151" s="18">
        <v>0.16</v>
      </c>
      <c r="M151" s="27" t="str" cm="1">
        <f t="array" ref="M151">_xlfn.IFS(L151&lt;0.15,"Cold",L151&lt;0.25,"Mild",L151&lt;=0.32,"Warm",L151&gt;=0.33,"Hot")</f>
        <v>Mild</v>
      </c>
      <c r="N151" s="18">
        <v>0.2273</v>
      </c>
      <c r="O151" s="18">
        <v>0.59</v>
      </c>
      <c r="P151" s="18" t="str" cm="1">
        <f t="array" ref="P151">_xlfn.IFS(O151&gt;0.61, "High Humidity", O151&gt;=0.6, "Humid", O151&gt;0.4, "Less Humidity", TRUE, "Dry")</f>
        <v>Less Humidity</v>
      </c>
      <c r="Q151" s="18">
        <v>0</v>
      </c>
      <c r="R151" s="18" t="str" cm="1">
        <f t="array" ref="R151">_xlfn.IFS(Q151&lt;=0.2,"Low Windspeed",Q151&lt;0.4,"Medium Windspeed",Q151&gt;=0.41,"High Windspeed")</f>
        <v>Low Windspeed</v>
      </c>
      <c r="S151" s="18">
        <v>0</v>
      </c>
      <c r="T151" s="18">
        <v>7</v>
      </c>
      <c r="U151" s="19">
        <v>7</v>
      </c>
      <c r="V151" s="18" t="str" cm="1">
        <f t="array" ref="V151">_xlfn.IFS(U151&lt;=70,"Low",U151&lt;=160,"Medium",U151&gt;=161,"High")</f>
        <v>Low</v>
      </c>
    </row>
    <row r="152" spans="1:22" x14ac:dyDescent="0.25">
      <c r="A152" s="16">
        <v>761</v>
      </c>
      <c r="B152" s="17">
        <v>40578</v>
      </c>
      <c r="C152" s="18">
        <v>1</v>
      </c>
      <c r="D152" s="18">
        <v>0</v>
      </c>
      <c r="E152" s="18">
        <v>2</v>
      </c>
      <c r="F152" s="18">
        <v>2</v>
      </c>
      <c r="G152" s="18" t="str" cm="1">
        <f t="array" ref="G152">_xlfn.IFS(F152&lt;4,"Night",F152&lt;=6,"Early Morning",F152&lt;11,"Morning",F152&lt;12,"Afternoon",F152&lt;=16,"Afternoon",F152&lt;=20,"Evening",F152&gt;=21,"Night")</f>
        <v>Night</v>
      </c>
      <c r="H152" s="18" t="b">
        <v>0</v>
      </c>
      <c r="I152" s="18">
        <v>5</v>
      </c>
      <c r="J152" s="18" t="str" cm="1">
        <f t="array" ref="J152">_xlfn.IFS(I152=1,"Monday",I152=2,"Tuesday",I152=3,"Wednesday",I152=4,"Thursday",I152=5,"Friday",I152=6,"Saturday",I152=0,"Sunday")</f>
        <v>Friday</v>
      </c>
      <c r="K152" s="18">
        <v>2</v>
      </c>
      <c r="L152" s="18">
        <v>0.14000000000000001</v>
      </c>
      <c r="M152" s="27" t="str" cm="1">
        <f t="array" ref="M152">_xlfn.IFS(L152&lt;0.15,"Cold",L152&lt;0.25,"Mild",L152&lt;=0.32,"Warm",L152&gt;=0.33,"Hot")</f>
        <v>Cold</v>
      </c>
      <c r="N152" s="18">
        <v>0.16669999999999999</v>
      </c>
      <c r="O152" s="18">
        <v>0.63</v>
      </c>
      <c r="P152" s="18" t="str" cm="1">
        <f t="array" ref="P152">_xlfn.IFS(O152&gt;0.61, "High Humidity", O152&gt;=0.6, "Humid", O152&gt;0.4, "Less Humidity", TRUE, "Dry")</f>
        <v>High Humidity</v>
      </c>
      <c r="Q152" s="18">
        <v>0.1045</v>
      </c>
      <c r="R152" s="18" t="str" cm="1">
        <f t="array" ref="R152">_xlfn.IFS(Q152&lt;=0.2,"Low Windspeed",Q152&lt;0.4,"Medium Windspeed",Q152&gt;=0.41,"High Windspeed")</f>
        <v>Low Windspeed</v>
      </c>
      <c r="S152" s="18">
        <v>0</v>
      </c>
      <c r="T152" s="18">
        <v>1</v>
      </c>
      <c r="U152" s="19">
        <v>1</v>
      </c>
      <c r="V152" s="18" t="str" cm="1">
        <f t="array" ref="V152">_xlfn.IFS(U152&lt;=70,"Low",U152&lt;=160,"Medium",U152&gt;=161,"High")</f>
        <v>Low</v>
      </c>
    </row>
    <row r="153" spans="1:22" x14ac:dyDescent="0.25">
      <c r="A153" s="16">
        <v>762</v>
      </c>
      <c r="B153" s="17">
        <v>40578</v>
      </c>
      <c r="C153" s="18">
        <v>1</v>
      </c>
      <c r="D153" s="18">
        <v>0</v>
      </c>
      <c r="E153" s="18">
        <v>2</v>
      </c>
      <c r="F153" s="18">
        <v>3</v>
      </c>
      <c r="G153" s="18" t="str" cm="1">
        <f t="array" ref="G153">_xlfn.IFS(F153&lt;4,"Night",F153&lt;=6,"Early Morning",F153&lt;11,"Morning",F153&lt;12,"Afternoon",F153&lt;=16,"Afternoon",F153&lt;=20,"Evening",F153&gt;=21,"Night")</f>
        <v>Night</v>
      </c>
      <c r="H153" s="18" t="b">
        <v>0</v>
      </c>
      <c r="I153" s="18">
        <v>5</v>
      </c>
      <c r="J153" s="18" t="str" cm="1">
        <f t="array" ref="J153">_xlfn.IFS(I153=1,"Monday",I153=2,"Tuesday",I153=3,"Wednesday",I153=4,"Thursday",I153=5,"Friday",I153=6,"Saturday",I153=0,"Sunday")</f>
        <v>Friday</v>
      </c>
      <c r="K153" s="18">
        <v>2</v>
      </c>
      <c r="L153" s="18">
        <v>0.14000000000000001</v>
      </c>
      <c r="M153" s="27" t="str" cm="1">
        <f t="array" ref="M153">_xlfn.IFS(L153&lt;0.15,"Cold",L153&lt;0.25,"Mild",L153&lt;=0.32,"Warm",L153&gt;=0.33,"Hot")</f>
        <v>Cold</v>
      </c>
      <c r="N153" s="18">
        <v>0.16669999999999999</v>
      </c>
      <c r="O153" s="18">
        <v>0.63</v>
      </c>
      <c r="P153" s="18" t="str" cm="1">
        <f t="array" ref="P153">_xlfn.IFS(O153&gt;0.61, "High Humidity", O153&gt;=0.6, "Humid", O153&gt;0.4, "Less Humidity", TRUE, "Dry")</f>
        <v>High Humidity</v>
      </c>
      <c r="Q153" s="18">
        <v>0.1045</v>
      </c>
      <c r="R153" s="18" t="str" cm="1">
        <f t="array" ref="R153">_xlfn.IFS(Q153&lt;=0.2,"Low Windspeed",Q153&lt;0.4,"Medium Windspeed",Q153&gt;=0.41,"High Windspeed")</f>
        <v>Low Windspeed</v>
      </c>
      <c r="S153" s="18">
        <v>0</v>
      </c>
      <c r="T153" s="18">
        <v>1</v>
      </c>
      <c r="U153" s="19">
        <v>1</v>
      </c>
      <c r="V153" s="18" t="str" cm="1">
        <f t="array" ref="V153">_xlfn.IFS(U153&lt;=70,"Low",U153&lt;=160,"Medium",U153&gt;=161,"High")</f>
        <v>Low</v>
      </c>
    </row>
    <row r="154" spans="1:22" x14ac:dyDescent="0.25">
      <c r="A154" s="16">
        <v>763</v>
      </c>
      <c r="B154" s="17">
        <v>40578</v>
      </c>
      <c r="C154" s="18">
        <v>1</v>
      </c>
      <c r="D154" s="18">
        <v>0</v>
      </c>
      <c r="E154" s="18">
        <v>2</v>
      </c>
      <c r="F154" s="18">
        <v>5</v>
      </c>
      <c r="G154" s="18" t="str" cm="1">
        <f t="array" ref="G154">_xlfn.IFS(F154&lt;4,"Night",F154&lt;=6,"Early Morning",F154&lt;11,"Morning",F154&lt;12,"Afternoon",F154&lt;=16,"Afternoon",F154&lt;=20,"Evening",F154&gt;=21,"Night")</f>
        <v>Early Morning</v>
      </c>
      <c r="H154" s="18" t="b">
        <v>0</v>
      </c>
      <c r="I154" s="18">
        <v>5</v>
      </c>
      <c r="J154" s="18" t="str" cm="1">
        <f t="array" ref="J154">_xlfn.IFS(I154=1,"Monday",I154=2,"Tuesday",I154=3,"Wednesday",I154=4,"Thursday",I154=5,"Friday",I154=6,"Saturday",I154=0,"Sunday")</f>
        <v>Friday</v>
      </c>
      <c r="K154" s="18">
        <v>2</v>
      </c>
      <c r="L154" s="18">
        <v>0.14000000000000001</v>
      </c>
      <c r="M154" s="27" t="str" cm="1">
        <f t="array" ref="M154">_xlfn.IFS(L154&lt;0.15,"Cold",L154&lt;0.25,"Mild",L154&lt;=0.32,"Warm",L154&gt;=0.33,"Hot")</f>
        <v>Cold</v>
      </c>
      <c r="N154" s="18">
        <v>0.1515</v>
      </c>
      <c r="O154" s="18">
        <v>0.63</v>
      </c>
      <c r="P154" s="18" t="str" cm="1">
        <f t="array" ref="P154">_xlfn.IFS(O154&gt;0.61, "High Humidity", O154&gt;=0.6, "Humid", O154&gt;0.4, "Less Humidity", TRUE, "Dry")</f>
        <v>High Humidity</v>
      </c>
      <c r="Q154" s="18">
        <v>0.1343</v>
      </c>
      <c r="R154" s="18" t="str" cm="1">
        <f t="array" ref="R154">_xlfn.IFS(Q154&lt;=0.2,"Low Windspeed",Q154&lt;0.4,"Medium Windspeed",Q154&gt;=0.41,"High Windspeed")</f>
        <v>Low Windspeed</v>
      </c>
      <c r="S154" s="18">
        <v>0</v>
      </c>
      <c r="T154" s="18">
        <v>7</v>
      </c>
      <c r="U154" s="19">
        <v>7</v>
      </c>
      <c r="V154" s="18" t="str" cm="1">
        <f t="array" ref="V154">_xlfn.IFS(U154&lt;=70,"Low",U154&lt;=160,"Medium",U154&gt;=161,"High")</f>
        <v>Low</v>
      </c>
    </row>
    <row r="155" spans="1:22" x14ac:dyDescent="0.25">
      <c r="A155" s="16">
        <v>764</v>
      </c>
      <c r="B155" s="17">
        <v>40578</v>
      </c>
      <c r="C155" s="18">
        <v>1</v>
      </c>
      <c r="D155" s="18">
        <v>0</v>
      </c>
      <c r="E155" s="18">
        <v>2</v>
      </c>
      <c r="F155" s="18">
        <v>6</v>
      </c>
      <c r="G155" s="18" t="str" cm="1">
        <f t="array" ref="G155">_xlfn.IFS(F155&lt;4,"Night",F155&lt;=6,"Early Morning",F155&lt;11,"Morning",F155&lt;12,"Afternoon",F155&lt;=16,"Afternoon",F155&lt;=20,"Evening",F155&gt;=21,"Night")</f>
        <v>Early Morning</v>
      </c>
      <c r="H155" s="18" t="b">
        <v>0</v>
      </c>
      <c r="I155" s="18">
        <v>5</v>
      </c>
      <c r="J155" s="18" t="str" cm="1">
        <f t="array" ref="J155">_xlfn.IFS(I155=1,"Monday",I155=2,"Tuesday",I155=3,"Wednesday",I155=4,"Thursday",I155=5,"Friday",I155=6,"Saturday",I155=0,"Sunday")</f>
        <v>Friday</v>
      </c>
      <c r="K155" s="18">
        <v>2</v>
      </c>
      <c r="L155" s="18">
        <v>0.16</v>
      </c>
      <c r="M155" s="27" t="str" cm="1">
        <f t="array" ref="M155">_xlfn.IFS(L155&lt;0.15,"Cold",L155&lt;0.25,"Mild",L155&lt;=0.32,"Warm",L155&gt;=0.33,"Hot")</f>
        <v>Mild</v>
      </c>
      <c r="N155" s="18">
        <v>0.2273</v>
      </c>
      <c r="O155" s="18">
        <v>0.55000000000000004</v>
      </c>
      <c r="P155" s="18" t="str" cm="1">
        <f t="array" ref="P155">_xlfn.IFS(O155&gt;0.61, "High Humidity", O155&gt;=0.6, "Humid", O155&gt;0.4, "Less Humidity", TRUE, "Dry")</f>
        <v>Less Humidity</v>
      </c>
      <c r="Q155" s="18">
        <v>0</v>
      </c>
      <c r="R155" s="18" t="str" cm="1">
        <f t="array" ref="R155">_xlfn.IFS(Q155&lt;=0.2,"Low Windspeed",Q155&lt;0.4,"Medium Windspeed",Q155&gt;=0.41,"High Windspeed")</f>
        <v>Low Windspeed</v>
      </c>
      <c r="S155" s="18">
        <v>2</v>
      </c>
      <c r="T155" s="18">
        <v>26</v>
      </c>
      <c r="U155" s="19">
        <v>28</v>
      </c>
      <c r="V155" s="18" t="str" cm="1">
        <f t="array" ref="V155">_xlfn.IFS(U155&lt;=70,"Low",U155&lt;=160,"Medium",U155&gt;=161,"High")</f>
        <v>Low</v>
      </c>
    </row>
    <row r="156" spans="1:22" x14ac:dyDescent="0.25">
      <c r="A156" s="16">
        <v>765</v>
      </c>
      <c r="B156" s="17">
        <v>40578</v>
      </c>
      <c r="C156" s="18">
        <v>1</v>
      </c>
      <c r="D156" s="18">
        <v>0</v>
      </c>
      <c r="E156" s="18">
        <v>2</v>
      </c>
      <c r="F156" s="18">
        <v>7</v>
      </c>
      <c r="G156" s="18" t="str" cm="1">
        <f t="array" ref="G156">_xlfn.IFS(F156&lt;4,"Night",F156&lt;=6,"Early Morning",F156&lt;11,"Morning",F156&lt;12,"Afternoon",F156&lt;=16,"Afternoon",F156&lt;=20,"Evening",F156&gt;=21,"Night")</f>
        <v>Morning</v>
      </c>
      <c r="H156" s="18" t="b">
        <v>0</v>
      </c>
      <c r="I156" s="18">
        <v>5</v>
      </c>
      <c r="J156" s="18" t="str" cm="1">
        <f t="array" ref="J156">_xlfn.IFS(I156=1,"Monday",I156=2,"Tuesday",I156=3,"Wednesday",I156=4,"Thursday",I156=5,"Friday",I156=6,"Saturday",I156=0,"Sunday")</f>
        <v>Friday</v>
      </c>
      <c r="K156" s="18">
        <v>1</v>
      </c>
      <c r="L156" s="18">
        <v>0.14000000000000001</v>
      </c>
      <c r="M156" s="27" t="str" cm="1">
        <f t="array" ref="M156">_xlfn.IFS(L156&lt;0.15,"Cold",L156&lt;0.25,"Mild",L156&lt;=0.32,"Warm",L156&gt;=0.33,"Hot")</f>
        <v>Cold</v>
      </c>
      <c r="N156" s="18">
        <v>0.21210000000000001</v>
      </c>
      <c r="O156" s="18">
        <v>0.59</v>
      </c>
      <c r="P156" s="18" t="str" cm="1">
        <f t="array" ref="P156">_xlfn.IFS(O156&gt;0.61, "High Humidity", O156&gt;=0.6, "Humid", O156&gt;0.4, "Less Humidity", TRUE, "Dry")</f>
        <v>Less Humidity</v>
      </c>
      <c r="Q156" s="18">
        <v>0</v>
      </c>
      <c r="R156" s="18" t="str" cm="1">
        <f t="array" ref="R156">_xlfn.IFS(Q156&lt;=0.2,"Low Windspeed",Q156&lt;0.4,"Medium Windspeed",Q156&gt;=0.41,"High Windspeed")</f>
        <v>Low Windspeed</v>
      </c>
      <c r="S156" s="18">
        <v>0</v>
      </c>
      <c r="T156" s="18">
        <v>87</v>
      </c>
      <c r="U156" s="19">
        <v>87</v>
      </c>
      <c r="V156" s="18" t="str" cm="1">
        <f t="array" ref="V156">_xlfn.IFS(U156&lt;=70,"Low",U156&lt;=160,"Medium",U156&gt;=161,"High")</f>
        <v>Medium</v>
      </c>
    </row>
    <row r="157" spans="1:22" x14ac:dyDescent="0.25">
      <c r="A157" s="16">
        <v>766</v>
      </c>
      <c r="B157" s="17">
        <v>40578</v>
      </c>
      <c r="C157" s="18">
        <v>1</v>
      </c>
      <c r="D157" s="18">
        <v>0</v>
      </c>
      <c r="E157" s="18">
        <v>2</v>
      </c>
      <c r="F157" s="18">
        <v>8</v>
      </c>
      <c r="G157" s="18" t="str" cm="1">
        <f t="array" ref="G157">_xlfn.IFS(F157&lt;4,"Night",F157&lt;=6,"Early Morning",F157&lt;11,"Morning",F157&lt;12,"Afternoon",F157&lt;=16,"Afternoon",F157&lt;=20,"Evening",F157&gt;=21,"Night")</f>
        <v>Morning</v>
      </c>
      <c r="H157" s="18" t="b">
        <v>0</v>
      </c>
      <c r="I157" s="18">
        <v>5</v>
      </c>
      <c r="J157" s="18" t="str" cm="1">
        <f t="array" ref="J157">_xlfn.IFS(I157=1,"Monday",I157=2,"Tuesday",I157=3,"Wednesday",I157=4,"Thursday",I157=5,"Friday",I157=6,"Saturday",I157=0,"Sunday")</f>
        <v>Friday</v>
      </c>
      <c r="K157" s="18">
        <v>1</v>
      </c>
      <c r="L157" s="18">
        <v>0.14000000000000001</v>
      </c>
      <c r="M157" s="27" t="str" cm="1">
        <f t="array" ref="M157">_xlfn.IFS(L157&lt;0.15,"Cold",L157&lt;0.25,"Mild",L157&lt;=0.32,"Warm",L157&gt;=0.33,"Hot")</f>
        <v>Cold</v>
      </c>
      <c r="N157" s="18">
        <v>0.1515</v>
      </c>
      <c r="O157" s="18">
        <v>0.74</v>
      </c>
      <c r="P157" s="18" t="str" cm="1">
        <f t="array" ref="P157">_xlfn.IFS(O157&gt;0.61, "High Humidity", O157&gt;=0.6, "Humid", O157&gt;0.4, "Less Humidity", TRUE, "Dry")</f>
        <v>High Humidity</v>
      </c>
      <c r="Q157" s="18">
        <v>0.1343</v>
      </c>
      <c r="R157" s="18" t="str" cm="1">
        <f t="array" ref="R157">_xlfn.IFS(Q157&lt;=0.2,"Low Windspeed",Q157&lt;0.4,"Medium Windspeed",Q157&gt;=0.41,"High Windspeed")</f>
        <v>Low Windspeed</v>
      </c>
      <c r="S157" s="18">
        <v>3</v>
      </c>
      <c r="T157" s="18">
        <v>217</v>
      </c>
      <c r="U157" s="19">
        <v>220</v>
      </c>
      <c r="V157" s="18" t="str" cm="1">
        <f t="array" ref="V157">_xlfn.IFS(U157&lt;=70,"Low",U157&lt;=160,"Medium",U157&gt;=161,"High")</f>
        <v>High</v>
      </c>
    </row>
    <row r="158" spans="1:22" x14ac:dyDescent="0.25">
      <c r="A158" s="16">
        <v>767</v>
      </c>
      <c r="B158" s="17">
        <v>40578</v>
      </c>
      <c r="C158" s="18">
        <v>1</v>
      </c>
      <c r="D158" s="18">
        <v>0</v>
      </c>
      <c r="E158" s="18">
        <v>2</v>
      </c>
      <c r="F158" s="18">
        <v>9</v>
      </c>
      <c r="G158" s="18" t="str" cm="1">
        <f t="array" ref="G158">_xlfn.IFS(F158&lt;4,"Night",F158&lt;=6,"Early Morning",F158&lt;11,"Morning",F158&lt;12,"Afternoon",F158&lt;=16,"Afternoon",F158&lt;=20,"Evening",F158&gt;=21,"Night")</f>
        <v>Morning</v>
      </c>
      <c r="H158" s="18" t="b">
        <v>0</v>
      </c>
      <c r="I158" s="18">
        <v>5</v>
      </c>
      <c r="J158" s="18" t="str" cm="1">
        <f t="array" ref="J158">_xlfn.IFS(I158=1,"Monday",I158=2,"Tuesday",I158=3,"Wednesday",I158=4,"Thursday",I158=5,"Friday",I158=6,"Saturday",I158=0,"Sunday")</f>
        <v>Friday</v>
      </c>
      <c r="K158" s="18">
        <v>2</v>
      </c>
      <c r="L158" s="18">
        <v>0.16</v>
      </c>
      <c r="M158" s="27" t="str" cm="1">
        <f t="array" ref="M158">_xlfn.IFS(L158&lt;0.15,"Cold",L158&lt;0.25,"Mild",L158&lt;=0.32,"Warm",L158&gt;=0.33,"Hot")</f>
        <v>Mild</v>
      </c>
      <c r="N158" s="18">
        <v>0.18179999999999999</v>
      </c>
      <c r="O158" s="18">
        <v>0.8</v>
      </c>
      <c r="P158" s="18" t="str" cm="1">
        <f t="array" ref="P158">_xlfn.IFS(O158&gt;0.61, "High Humidity", O158&gt;=0.6, "Humid", O158&gt;0.4, "Less Humidity", TRUE, "Dry")</f>
        <v>High Humidity</v>
      </c>
      <c r="Q158" s="18">
        <v>0.1343</v>
      </c>
      <c r="R158" s="18" t="str" cm="1">
        <f t="array" ref="R158">_xlfn.IFS(Q158&lt;=0.2,"Low Windspeed",Q158&lt;0.4,"Medium Windspeed",Q158&gt;=0.41,"High Windspeed")</f>
        <v>Low Windspeed</v>
      </c>
      <c r="S158" s="18">
        <v>3</v>
      </c>
      <c r="T158" s="18">
        <v>124</v>
      </c>
      <c r="U158" s="19">
        <v>127</v>
      </c>
      <c r="V158" s="18" t="str" cm="1">
        <f t="array" ref="V158">_xlfn.IFS(U158&lt;=70,"Low",U158&lt;=160,"Medium",U158&gt;=161,"High")</f>
        <v>Medium</v>
      </c>
    </row>
    <row r="159" spans="1:22" x14ac:dyDescent="0.25">
      <c r="A159" s="16">
        <v>768</v>
      </c>
      <c r="B159" s="17">
        <v>40578</v>
      </c>
      <c r="C159" s="18">
        <v>1</v>
      </c>
      <c r="D159" s="18">
        <v>0</v>
      </c>
      <c r="E159" s="18">
        <v>2</v>
      </c>
      <c r="F159" s="18">
        <v>10</v>
      </c>
      <c r="G159" s="18" t="str" cm="1">
        <f t="array" ref="G159">_xlfn.IFS(F159&lt;4,"Night",F159&lt;=6,"Early Morning",F159&lt;11,"Morning",F159&lt;12,"Afternoon",F159&lt;=16,"Afternoon",F159&lt;=20,"Evening",F159&gt;=21,"Night")</f>
        <v>Morning</v>
      </c>
      <c r="H159" s="18" t="b">
        <v>0</v>
      </c>
      <c r="I159" s="18">
        <v>5</v>
      </c>
      <c r="J159" s="18" t="str" cm="1">
        <f t="array" ref="J159">_xlfn.IFS(I159=1,"Monday",I159=2,"Tuesday",I159=3,"Wednesday",I159=4,"Thursday",I159=5,"Friday",I159=6,"Saturday",I159=0,"Sunday")</f>
        <v>Friday</v>
      </c>
      <c r="K159" s="18">
        <v>2</v>
      </c>
      <c r="L159" s="18">
        <v>0.2</v>
      </c>
      <c r="M159" s="27" t="str" cm="1">
        <f t="array" ref="M159">_xlfn.IFS(L159&lt;0.15,"Cold",L159&lt;0.25,"Mild",L159&lt;=0.32,"Warm",L159&gt;=0.33,"Hot")</f>
        <v>Mild</v>
      </c>
      <c r="N159" s="18">
        <v>0.21210000000000001</v>
      </c>
      <c r="O159" s="18">
        <v>0.51</v>
      </c>
      <c r="P159" s="18" t="str" cm="1">
        <f t="array" ref="P159">_xlfn.IFS(O159&gt;0.61, "High Humidity", O159&gt;=0.6, "Humid", O159&gt;0.4, "Less Humidity", TRUE, "Dry")</f>
        <v>Less Humidity</v>
      </c>
      <c r="Q159" s="18">
        <v>0.1343</v>
      </c>
      <c r="R159" s="18" t="str" cm="1">
        <f t="array" ref="R159">_xlfn.IFS(Q159&lt;=0.2,"Low Windspeed",Q159&lt;0.4,"Medium Windspeed",Q159&gt;=0.41,"High Windspeed")</f>
        <v>Low Windspeed</v>
      </c>
      <c r="S159" s="18">
        <v>5</v>
      </c>
      <c r="T159" s="18">
        <v>46</v>
      </c>
      <c r="U159" s="19">
        <v>51</v>
      </c>
      <c r="V159" s="18" t="str" cm="1">
        <f t="array" ref="V159">_xlfn.IFS(U159&lt;=70,"Low",U159&lt;=160,"Medium",U159&gt;=161,"High")</f>
        <v>Low</v>
      </c>
    </row>
    <row r="160" spans="1:22" x14ac:dyDescent="0.25">
      <c r="A160" s="16">
        <v>769</v>
      </c>
      <c r="B160" s="17">
        <v>40578</v>
      </c>
      <c r="C160" s="18">
        <v>1</v>
      </c>
      <c r="D160" s="18">
        <v>0</v>
      </c>
      <c r="E160" s="18">
        <v>2</v>
      </c>
      <c r="F160" s="18">
        <v>11</v>
      </c>
      <c r="G160" s="18" t="str" cm="1">
        <f t="array" ref="G160">_xlfn.IFS(F160&lt;4,"Night",F160&lt;=6,"Early Morning",F160&lt;11,"Morning",F160&lt;12,"Afternoon",F160&lt;=16,"Afternoon",F160&lt;=20,"Evening",F160&gt;=21,"Night")</f>
        <v>Afternoon</v>
      </c>
      <c r="H160" s="18" t="b">
        <v>0</v>
      </c>
      <c r="I160" s="18">
        <v>5</v>
      </c>
      <c r="J160" s="18" t="str" cm="1">
        <f t="array" ref="J160">_xlfn.IFS(I160=1,"Monday",I160=2,"Tuesday",I160=3,"Wednesday",I160=4,"Thursday",I160=5,"Friday",I160=6,"Saturday",I160=0,"Sunday")</f>
        <v>Friday</v>
      </c>
      <c r="K160" s="18">
        <v>1</v>
      </c>
      <c r="L160" s="18">
        <v>0.22</v>
      </c>
      <c r="M160" s="27" t="str" cm="1">
        <f t="array" ref="M160">_xlfn.IFS(L160&lt;0.15,"Cold",L160&lt;0.25,"Mild",L160&lt;=0.32,"Warm",L160&gt;=0.33,"Hot")</f>
        <v>Mild</v>
      </c>
      <c r="N160" s="18">
        <v>0.2273</v>
      </c>
      <c r="O160" s="18">
        <v>0.51</v>
      </c>
      <c r="P160" s="18" t="str" cm="1">
        <f t="array" ref="P160">_xlfn.IFS(O160&gt;0.61, "High Humidity", O160&gt;=0.6, "Humid", O160&gt;0.4, "Less Humidity", TRUE, "Dry")</f>
        <v>Less Humidity</v>
      </c>
      <c r="Q160" s="18">
        <v>0.16420000000000001</v>
      </c>
      <c r="R160" s="18" t="str" cm="1">
        <f t="array" ref="R160">_xlfn.IFS(Q160&lt;=0.2,"Low Windspeed",Q160&lt;0.4,"Medium Windspeed",Q160&gt;=0.41,"High Windspeed")</f>
        <v>Low Windspeed</v>
      </c>
      <c r="S160" s="18">
        <v>3</v>
      </c>
      <c r="T160" s="18">
        <v>61</v>
      </c>
      <c r="U160" s="19">
        <v>64</v>
      </c>
      <c r="V160" s="18" t="str" cm="1">
        <f t="array" ref="V160">_xlfn.IFS(U160&lt;=70,"Low",U160&lt;=160,"Medium",U160&gt;=161,"High")</f>
        <v>Low</v>
      </c>
    </row>
    <row r="161" spans="1:22" x14ac:dyDescent="0.25">
      <c r="A161" s="16">
        <v>770</v>
      </c>
      <c r="B161" s="17">
        <v>40578</v>
      </c>
      <c r="C161" s="18">
        <v>1</v>
      </c>
      <c r="D161" s="18">
        <v>0</v>
      </c>
      <c r="E161" s="18">
        <v>2</v>
      </c>
      <c r="F161" s="18">
        <v>12</v>
      </c>
      <c r="G161" s="18" t="str" cm="1">
        <f t="array" ref="G161">_xlfn.IFS(F161&lt;4,"Night",F161&lt;=6,"Early Morning",F161&lt;11,"Morning",F161&lt;12,"Afternoon",F161&lt;=16,"Afternoon",F161&lt;=20,"Evening",F161&gt;=21,"Night")</f>
        <v>Afternoon</v>
      </c>
      <c r="H161" s="18" t="b">
        <v>0</v>
      </c>
      <c r="I161" s="18">
        <v>5</v>
      </c>
      <c r="J161" s="18" t="str" cm="1">
        <f t="array" ref="J161">_xlfn.IFS(I161=1,"Monday",I161=2,"Tuesday",I161=3,"Wednesday",I161=4,"Thursday",I161=5,"Friday",I161=6,"Saturday",I161=0,"Sunday")</f>
        <v>Friday</v>
      </c>
      <c r="K161" s="18">
        <v>2</v>
      </c>
      <c r="L161" s="18">
        <v>0.24</v>
      </c>
      <c r="M161" s="27" t="str" cm="1">
        <f t="array" ref="M161">_xlfn.IFS(L161&lt;0.15,"Cold",L161&lt;0.25,"Mild",L161&lt;=0.32,"Warm",L161&gt;=0.33,"Hot")</f>
        <v>Mild</v>
      </c>
      <c r="N161" s="18">
        <v>0.2424</v>
      </c>
      <c r="O161" s="18">
        <v>0.48</v>
      </c>
      <c r="P161" s="18" t="str" cm="1">
        <f t="array" ref="P161">_xlfn.IFS(O161&gt;0.61, "High Humidity", O161&gt;=0.6, "Humid", O161&gt;0.4, "Less Humidity", TRUE, "Dry")</f>
        <v>Less Humidity</v>
      </c>
      <c r="Q161" s="18">
        <v>0.16420000000000001</v>
      </c>
      <c r="R161" s="18" t="str" cm="1">
        <f t="array" ref="R161">_xlfn.IFS(Q161&lt;=0.2,"Low Windspeed",Q161&lt;0.4,"Medium Windspeed",Q161&gt;=0.41,"High Windspeed")</f>
        <v>Low Windspeed</v>
      </c>
      <c r="S161" s="18">
        <v>8</v>
      </c>
      <c r="T161" s="18">
        <v>78</v>
      </c>
      <c r="U161" s="19">
        <v>86</v>
      </c>
      <c r="V161" s="18" t="str" cm="1">
        <f t="array" ref="V161">_xlfn.IFS(U161&lt;=70,"Low",U161&lt;=160,"Medium",U161&gt;=161,"High")</f>
        <v>Medium</v>
      </c>
    </row>
    <row r="162" spans="1:22" x14ac:dyDescent="0.25">
      <c r="A162" s="16">
        <v>771</v>
      </c>
      <c r="B162" s="17">
        <v>40578</v>
      </c>
      <c r="C162" s="18">
        <v>1</v>
      </c>
      <c r="D162" s="18">
        <v>0</v>
      </c>
      <c r="E162" s="18">
        <v>2</v>
      </c>
      <c r="F162" s="18">
        <v>13</v>
      </c>
      <c r="G162" s="18" t="str" cm="1">
        <f t="array" ref="G162">_xlfn.IFS(F162&lt;4,"Night",F162&lt;=6,"Early Morning",F162&lt;11,"Morning",F162&lt;12,"Afternoon",F162&lt;=16,"Afternoon",F162&lt;=20,"Evening",F162&gt;=21,"Night")</f>
        <v>Afternoon</v>
      </c>
      <c r="H162" s="18" t="b">
        <v>0</v>
      </c>
      <c r="I162" s="18">
        <v>5</v>
      </c>
      <c r="J162" s="18" t="str" cm="1">
        <f t="array" ref="J162">_xlfn.IFS(I162=1,"Monday",I162=2,"Tuesday",I162=3,"Wednesday",I162=4,"Thursday",I162=5,"Friday",I162=6,"Saturday",I162=0,"Sunday")</f>
        <v>Friday</v>
      </c>
      <c r="K162" s="18">
        <v>2</v>
      </c>
      <c r="L162" s="18">
        <v>0.26</v>
      </c>
      <c r="M162" s="27" t="str" cm="1">
        <f t="array" ref="M162">_xlfn.IFS(L162&lt;0.15,"Cold",L162&lt;0.25,"Mild",L162&lt;=0.32,"Warm",L162&gt;=0.33,"Hot")</f>
        <v>Warm</v>
      </c>
      <c r="N162" s="18">
        <v>0.2576</v>
      </c>
      <c r="O162" s="18">
        <v>0.5</v>
      </c>
      <c r="P162" s="18" t="str" cm="1">
        <f t="array" ref="P162">_xlfn.IFS(O162&gt;0.61, "High Humidity", O162&gt;=0.6, "Humid", O162&gt;0.4, "Less Humidity", TRUE, "Dry")</f>
        <v>Less Humidity</v>
      </c>
      <c r="Q162" s="18">
        <v>0.22389999999999999</v>
      </c>
      <c r="R162" s="18" t="str" cm="1">
        <f t="array" ref="R162">_xlfn.IFS(Q162&lt;=0.2,"Low Windspeed",Q162&lt;0.4,"Medium Windspeed",Q162&gt;=0.41,"High Windspeed")</f>
        <v>Medium Windspeed</v>
      </c>
      <c r="S162" s="18">
        <v>9</v>
      </c>
      <c r="T162" s="18">
        <v>73</v>
      </c>
      <c r="U162" s="19">
        <v>82</v>
      </c>
      <c r="V162" s="18" t="str" cm="1">
        <f t="array" ref="V162">_xlfn.IFS(U162&lt;=70,"Low",U162&lt;=160,"Medium",U162&gt;=161,"High")</f>
        <v>Medium</v>
      </c>
    </row>
    <row r="163" spans="1:22" x14ac:dyDescent="0.25">
      <c r="A163" s="16">
        <v>772</v>
      </c>
      <c r="B163" s="17">
        <v>40578</v>
      </c>
      <c r="C163" s="18">
        <v>1</v>
      </c>
      <c r="D163" s="18">
        <v>0</v>
      </c>
      <c r="E163" s="18">
        <v>2</v>
      </c>
      <c r="F163" s="18">
        <v>14</v>
      </c>
      <c r="G163" s="18" t="str" cm="1">
        <f t="array" ref="G163">_xlfn.IFS(F163&lt;4,"Night",F163&lt;=6,"Early Morning",F163&lt;11,"Morning",F163&lt;12,"Afternoon",F163&lt;=16,"Afternoon",F163&lt;=20,"Evening",F163&gt;=21,"Night")</f>
        <v>Afternoon</v>
      </c>
      <c r="H163" s="18" t="b">
        <v>0</v>
      </c>
      <c r="I163" s="18">
        <v>5</v>
      </c>
      <c r="J163" s="18" t="str" cm="1">
        <f t="array" ref="J163">_xlfn.IFS(I163=1,"Monday",I163=2,"Tuesday",I163=3,"Wednesday",I163=4,"Thursday",I163=5,"Friday",I163=6,"Saturday",I163=0,"Sunday")</f>
        <v>Friday</v>
      </c>
      <c r="K163" s="18">
        <v>2</v>
      </c>
      <c r="L163" s="18">
        <v>0.28000000000000003</v>
      </c>
      <c r="M163" s="27" t="str" cm="1">
        <f t="array" ref="M163">_xlfn.IFS(L163&lt;0.15,"Cold",L163&lt;0.25,"Mild",L163&lt;=0.32,"Warm",L163&gt;=0.33,"Hot")</f>
        <v>Warm</v>
      </c>
      <c r="N163" s="18">
        <v>0.2727</v>
      </c>
      <c r="O163" s="18">
        <v>0.45</v>
      </c>
      <c r="P163" s="18" t="str" cm="1">
        <f t="array" ref="P163">_xlfn.IFS(O163&gt;0.61, "High Humidity", O163&gt;=0.6, "Humid", O163&gt;0.4, "Less Humidity", TRUE, "Dry")</f>
        <v>Less Humidity</v>
      </c>
      <c r="Q163" s="18">
        <v>0.16420000000000001</v>
      </c>
      <c r="R163" s="18" t="str" cm="1">
        <f t="array" ref="R163">_xlfn.IFS(Q163&lt;=0.2,"Low Windspeed",Q163&lt;0.4,"Medium Windspeed",Q163&gt;=0.41,"High Windspeed")</f>
        <v>Low Windspeed</v>
      </c>
      <c r="S163" s="18">
        <v>15</v>
      </c>
      <c r="T163" s="18">
        <v>76</v>
      </c>
      <c r="U163" s="19">
        <v>91</v>
      </c>
      <c r="V163" s="18" t="str" cm="1">
        <f t="array" ref="V163">_xlfn.IFS(U163&lt;=70,"Low",U163&lt;=160,"Medium",U163&gt;=161,"High")</f>
        <v>Medium</v>
      </c>
    </row>
    <row r="164" spans="1:22" x14ac:dyDescent="0.25">
      <c r="A164" s="16">
        <v>773</v>
      </c>
      <c r="B164" s="17">
        <v>40578</v>
      </c>
      <c r="C164" s="18">
        <v>1</v>
      </c>
      <c r="D164" s="18">
        <v>0</v>
      </c>
      <c r="E164" s="18">
        <v>2</v>
      </c>
      <c r="F164" s="18">
        <v>15</v>
      </c>
      <c r="G164" s="18" t="str" cm="1">
        <f t="array" ref="G164">_xlfn.IFS(F164&lt;4,"Night",F164&lt;=6,"Early Morning",F164&lt;11,"Morning",F164&lt;12,"Afternoon",F164&lt;=16,"Afternoon",F164&lt;=20,"Evening",F164&gt;=21,"Night")</f>
        <v>Afternoon</v>
      </c>
      <c r="H164" s="18" t="b">
        <v>0</v>
      </c>
      <c r="I164" s="18">
        <v>5</v>
      </c>
      <c r="J164" s="18" t="str" cm="1">
        <f t="array" ref="J164">_xlfn.IFS(I164=1,"Monday",I164=2,"Tuesday",I164=3,"Wednesday",I164=4,"Thursday",I164=5,"Friday",I164=6,"Saturday",I164=0,"Sunday")</f>
        <v>Friday</v>
      </c>
      <c r="K164" s="18">
        <v>2</v>
      </c>
      <c r="L164" s="18">
        <v>0.28000000000000003</v>
      </c>
      <c r="M164" s="27" t="str" cm="1">
        <f t="array" ref="M164">_xlfn.IFS(L164&lt;0.15,"Cold",L164&lt;0.25,"Mild",L164&lt;=0.32,"Warm",L164&gt;=0.33,"Hot")</f>
        <v>Warm</v>
      </c>
      <c r="N164" s="18">
        <v>0.2727</v>
      </c>
      <c r="O164" s="18">
        <v>0.48</v>
      </c>
      <c r="P164" s="18" t="str" cm="1">
        <f t="array" ref="P164">_xlfn.IFS(O164&gt;0.61, "High Humidity", O164&gt;=0.6, "Humid", O164&gt;0.4, "Less Humidity", TRUE, "Dry")</f>
        <v>Less Humidity</v>
      </c>
      <c r="Q164" s="18">
        <v>0.25369999999999998</v>
      </c>
      <c r="R164" s="18" t="str" cm="1">
        <f t="array" ref="R164">_xlfn.IFS(Q164&lt;=0.2,"Low Windspeed",Q164&lt;0.4,"Medium Windspeed",Q164&gt;=0.41,"High Windspeed")</f>
        <v>Medium Windspeed</v>
      </c>
      <c r="S164" s="18">
        <v>9</v>
      </c>
      <c r="T164" s="18">
        <v>81</v>
      </c>
      <c r="U164" s="19">
        <v>90</v>
      </c>
      <c r="V164" s="18" t="str" cm="1">
        <f t="array" ref="V164">_xlfn.IFS(U164&lt;=70,"Low",U164&lt;=160,"Medium",U164&gt;=161,"High")</f>
        <v>Medium</v>
      </c>
    </row>
    <row r="165" spans="1:22" x14ac:dyDescent="0.25">
      <c r="A165" s="16">
        <v>774</v>
      </c>
      <c r="B165" s="17">
        <v>40578</v>
      </c>
      <c r="C165" s="18">
        <v>1</v>
      </c>
      <c r="D165" s="18">
        <v>0</v>
      </c>
      <c r="E165" s="18">
        <v>2</v>
      </c>
      <c r="F165" s="18">
        <v>16</v>
      </c>
      <c r="G165" s="18" t="str" cm="1">
        <f t="array" ref="G165">_xlfn.IFS(F165&lt;4,"Night",F165&lt;=6,"Early Morning",F165&lt;11,"Morning",F165&lt;12,"Afternoon",F165&lt;=16,"Afternoon",F165&lt;=20,"Evening",F165&gt;=21,"Night")</f>
        <v>Afternoon</v>
      </c>
      <c r="H165" s="18" t="b">
        <v>0</v>
      </c>
      <c r="I165" s="18">
        <v>5</v>
      </c>
      <c r="J165" s="18" t="str" cm="1">
        <f t="array" ref="J165">_xlfn.IFS(I165=1,"Monday",I165=2,"Tuesday",I165=3,"Wednesday",I165=4,"Thursday",I165=5,"Friday",I165=6,"Saturday",I165=0,"Sunday")</f>
        <v>Friday</v>
      </c>
      <c r="K165" s="18">
        <v>2</v>
      </c>
      <c r="L165" s="18">
        <v>0.3</v>
      </c>
      <c r="M165" s="27" t="str" cm="1">
        <f t="array" ref="M165">_xlfn.IFS(L165&lt;0.15,"Cold",L165&lt;0.25,"Mild",L165&lt;=0.32,"Warm",L165&gt;=0.33,"Hot")</f>
        <v>Warm</v>
      </c>
      <c r="N165" s="18">
        <v>0.28789999999999999</v>
      </c>
      <c r="O165" s="18">
        <v>0.42</v>
      </c>
      <c r="P165" s="18" t="str" cm="1">
        <f t="array" ref="P165">_xlfn.IFS(O165&gt;0.61, "High Humidity", O165&gt;=0.6, "Humid", O165&gt;0.4, "Less Humidity", TRUE, "Dry")</f>
        <v>Less Humidity</v>
      </c>
      <c r="Q165" s="18">
        <v>0.22389999999999999</v>
      </c>
      <c r="R165" s="18" t="str" cm="1">
        <f t="array" ref="R165">_xlfn.IFS(Q165&lt;=0.2,"Low Windspeed",Q165&lt;0.4,"Medium Windspeed",Q165&gt;=0.41,"High Windspeed")</f>
        <v>Medium Windspeed</v>
      </c>
      <c r="S165" s="18">
        <v>8</v>
      </c>
      <c r="T165" s="18">
        <v>91</v>
      </c>
      <c r="U165" s="19">
        <v>99</v>
      </c>
      <c r="V165" s="18" t="str" cm="1">
        <f t="array" ref="V165">_xlfn.IFS(U165&lt;=70,"Low",U165&lt;=160,"Medium",U165&gt;=161,"High")</f>
        <v>Medium</v>
      </c>
    </row>
    <row r="166" spans="1:22" x14ac:dyDescent="0.25">
      <c r="A166" s="16">
        <v>775</v>
      </c>
      <c r="B166" s="17">
        <v>40578</v>
      </c>
      <c r="C166" s="18">
        <v>1</v>
      </c>
      <c r="D166" s="18">
        <v>0</v>
      </c>
      <c r="E166" s="18">
        <v>2</v>
      </c>
      <c r="F166" s="18">
        <v>17</v>
      </c>
      <c r="G166" s="18" t="str" cm="1">
        <f t="array" ref="G166">_xlfn.IFS(F166&lt;4,"Night",F166&lt;=6,"Early Morning",F166&lt;11,"Morning",F166&lt;12,"Afternoon",F166&lt;=16,"Afternoon",F166&lt;=20,"Evening",F166&gt;=21,"Night")</f>
        <v>Evening</v>
      </c>
      <c r="H166" s="18" t="b">
        <v>0</v>
      </c>
      <c r="I166" s="18">
        <v>5</v>
      </c>
      <c r="J166" s="18" t="str" cm="1">
        <f t="array" ref="J166">_xlfn.IFS(I166=1,"Monday",I166=2,"Tuesday",I166=3,"Wednesday",I166=4,"Thursday",I166=5,"Friday",I166=6,"Saturday",I166=0,"Sunday")</f>
        <v>Friday</v>
      </c>
      <c r="K166" s="18">
        <v>2</v>
      </c>
      <c r="L166" s="18">
        <v>0.26</v>
      </c>
      <c r="M166" s="27" t="str" cm="1">
        <f t="array" ref="M166">_xlfn.IFS(L166&lt;0.15,"Cold",L166&lt;0.25,"Mild",L166&lt;=0.32,"Warm",L166&gt;=0.33,"Hot")</f>
        <v>Warm</v>
      </c>
      <c r="N166" s="18">
        <v>0.2727</v>
      </c>
      <c r="O166" s="18">
        <v>0.56000000000000005</v>
      </c>
      <c r="P166" s="18" t="str" cm="1">
        <f t="array" ref="P166">_xlfn.IFS(O166&gt;0.61, "High Humidity", O166&gt;=0.6, "Humid", O166&gt;0.4, "Less Humidity", TRUE, "Dry")</f>
        <v>Less Humidity</v>
      </c>
      <c r="Q166" s="18">
        <v>0.1343</v>
      </c>
      <c r="R166" s="18" t="str" cm="1">
        <f t="array" ref="R166">_xlfn.IFS(Q166&lt;=0.2,"Low Windspeed",Q166&lt;0.4,"Medium Windspeed",Q166&gt;=0.41,"High Windspeed")</f>
        <v>Low Windspeed</v>
      </c>
      <c r="S166" s="18">
        <v>10</v>
      </c>
      <c r="T166" s="18">
        <v>195</v>
      </c>
      <c r="U166" s="19">
        <v>205</v>
      </c>
      <c r="V166" s="18" t="str" cm="1">
        <f t="array" ref="V166">_xlfn.IFS(U166&lt;=70,"Low",U166&lt;=160,"Medium",U166&gt;=161,"High")</f>
        <v>High</v>
      </c>
    </row>
    <row r="167" spans="1:22" x14ac:dyDescent="0.25">
      <c r="A167" s="16">
        <v>776</v>
      </c>
      <c r="B167" s="17">
        <v>40578</v>
      </c>
      <c r="C167" s="18">
        <v>1</v>
      </c>
      <c r="D167" s="18">
        <v>0</v>
      </c>
      <c r="E167" s="18">
        <v>2</v>
      </c>
      <c r="F167" s="18">
        <v>18</v>
      </c>
      <c r="G167" s="18" t="str" cm="1">
        <f t="array" ref="G167">_xlfn.IFS(F167&lt;4,"Night",F167&lt;=6,"Early Morning",F167&lt;11,"Morning",F167&lt;12,"Afternoon",F167&lt;=16,"Afternoon",F167&lt;=20,"Evening",F167&gt;=21,"Night")</f>
        <v>Evening</v>
      </c>
      <c r="H167" s="18" t="b">
        <v>0</v>
      </c>
      <c r="I167" s="18">
        <v>5</v>
      </c>
      <c r="J167" s="18" t="str" cm="1">
        <f t="array" ref="J167">_xlfn.IFS(I167=1,"Monday",I167=2,"Tuesday",I167=3,"Wednesday",I167=4,"Thursday",I167=5,"Friday",I167=6,"Saturday",I167=0,"Sunday")</f>
        <v>Friday</v>
      </c>
      <c r="K167" s="18">
        <v>2</v>
      </c>
      <c r="L167" s="18">
        <v>0.24</v>
      </c>
      <c r="M167" s="27" t="str" cm="1">
        <f t="array" ref="M167">_xlfn.IFS(L167&lt;0.15,"Cold",L167&lt;0.25,"Mild",L167&lt;=0.32,"Warm",L167&gt;=0.33,"Hot")</f>
        <v>Mild</v>
      </c>
      <c r="N167" s="18">
        <v>0.2576</v>
      </c>
      <c r="O167" s="18">
        <v>0.6</v>
      </c>
      <c r="P167" s="18" t="str" cm="1">
        <f t="array" ref="P167">_xlfn.IFS(O167&gt;0.61, "High Humidity", O167&gt;=0.6, "Humid", O167&gt;0.4, "Less Humidity", TRUE, "Dry")</f>
        <v>Humid</v>
      </c>
      <c r="Q167" s="18">
        <v>0.1045</v>
      </c>
      <c r="R167" s="18" t="str" cm="1">
        <f t="array" ref="R167">_xlfn.IFS(Q167&lt;=0.2,"Low Windspeed",Q167&lt;0.4,"Medium Windspeed",Q167&gt;=0.41,"High Windspeed")</f>
        <v>Low Windspeed</v>
      </c>
      <c r="S167" s="18">
        <v>3</v>
      </c>
      <c r="T167" s="18">
        <v>152</v>
      </c>
      <c r="U167" s="19">
        <v>155</v>
      </c>
      <c r="V167" s="18" t="str" cm="1">
        <f t="array" ref="V167">_xlfn.IFS(U167&lt;=70,"Low",U167&lt;=160,"Medium",U167&gt;=161,"High")</f>
        <v>Medium</v>
      </c>
    </row>
    <row r="168" spans="1:22" x14ac:dyDescent="0.25">
      <c r="A168" s="16">
        <v>777</v>
      </c>
      <c r="B168" s="17">
        <v>40578</v>
      </c>
      <c r="C168" s="18">
        <v>1</v>
      </c>
      <c r="D168" s="18">
        <v>0</v>
      </c>
      <c r="E168" s="18">
        <v>2</v>
      </c>
      <c r="F168" s="18">
        <v>19</v>
      </c>
      <c r="G168" s="18" t="str" cm="1">
        <f t="array" ref="G168">_xlfn.IFS(F168&lt;4,"Night",F168&lt;=6,"Early Morning",F168&lt;11,"Morning",F168&lt;12,"Afternoon",F168&lt;=16,"Afternoon",F168&lt;=20,"Evening",F168&gt;=21,"Night")</f>
        <v>Evening</v>
      </c>
      <c r="H168" s="18" t="b">
        <v>0</v>
      </c>
      <c r="I168" s="18">
        <v>5</v>
      </c>
      <c r="J168" s="18" t="str" cm="1">
        <f t="array" ref="J168">_xlfn.IFS(I168=1,"Monday",I168=2,"Tuesday",I168=3,"Wednesday",I168=4,"Thursday",I168=5,"Friday",I168=6,"Saturday",I168=0,"Sunday")</f>
        <v>Friday</v>
      </c>
      <c r="K168" s="18">
        <v>2</v>
      </c>
      <c r="L168" s="18">
        <v>0.24</v>
      </c>
      <c r="M168" s="27" t="str" cm="1">
        <f t="array" ref="M168">_xlfn.IFS(L168&lt;0.15,"Cold",L168&lt;0.25,"Mild",L168&lt;=0.32,"Warm",L168&gt;=0.33,"Hot")</f>
        <v>Mild</v>
      </c>
      <c r="N168" s="18">
        <v>0.2424</v>
      </c>
      <c r="O168" s="18">
        <v>0.65</v>
      </c>
      <c r="P168" s="18" t="str" cm="1">
        <f t="array" ref="P168">_xlfn.IFS(O168&gt;0.61, "High Humidity", O168&gt;=0.6, "Humid", O168&gt;0.4, "Less Humidity", TRUE, "Dry")</f>
        <v>High Humidity</v>
      </c>
      <c r="Q168" s="18">
        <v>0.1343</v>
      </c>
      <c r="R168" s="18" t="str" cm="1">
        <f t="array" ref="R168">_xlfn.IFS(Q168&lt;=0.2,"Low Windspeed",Q168&lt;0.4,"Medium Windspeed",Q168&gt;=0.41,"High Windspeed")</f>
        <v>Low Windspeed</v>
      </c>
      <c r="S168" s="18">
        <v>1</v>
      </c>
      <c r="T168" s="18">
        <v>102</v>
      </c>
      <c r="U168" s="19">
        <v>103</v>
      </c>
      <c r="V168" s="18" t="str" cm="1">
        <f t="array" ref="V168">_xlfn.IFS(U168&lt;=70,"Low",U168&lt;=160,"Medium",U168&gt;=161,"High")</f>
        <v>Medium</v>
      </c>
    </row>
    <row r="169" spans="1:22" x14ac:dyDescent="0.25">
      <c r="A169" s="16">
        <v>778</v>
      </c>
      <c r="B169" s="17">
        <v>40578</v>
      </c>
      <c r="C169" s="18">
        <v>1</v>
      </c>
      <c r="D169" s="18">
        <v>0</v>
      </c>
      <c r="E169" s="18">
        <v>2</v>
      </c>
      <c r="F169" s="18">
        <v>20</v>
      </c>
      <c r="G169" s="18" t="str" cm="1">
        <f t="array" ref="G169">_xlfn.IFS(F169&lt;4,"Night",F169&lt;=6,"Early Morning",F169&lt;11,"Morning",F169&lt;12,"Afternoon",F169&lt;=16,"Afternoon",F169&lt;=20,"Evening",F169&gt;=21,"Night")</f>
        <v>Evening</v>
      </c>
      <c r="H169" s="18" t="b">
        <v>0</v>
      </c>
      <c r="I169" s="18">
        <v>5</v>
      </c>
      <c r="J169" s="18" t="str" cm="1">
        <f t="array" ref="J169">_xlfn.IFS(I169=1,"Monday",I169=2,"Tuesday",I169=3,"Wednesday",I169=4,"Thursday",I169=5,"Friday",I169=6,"Saturday",I169=0,"Sunday")</f>
        <v>Friday</v>
      </c>
      <c r="K169" s="18">
        <v>2</v>
      </c>
      <c r="L169" s="18">
        <v>0.24</v>
      </c>
      <c r="M169" s="27" t="str" cm="1">
        <f t="array" ref="M169">_xlfn.IFS(L169&lt;0.15,"Cold",L169&lt;0.25,"Mild",L169&lt;=0.32,"Warm",L169&gt;=0.33,"Hot")</f>
        <v>Mild</v>
      </c>
      <c r="N169" s="18">
        <v>0.2424</v>
      </c>
      <c r="O169" s="18">
        <v>0.65</v>
      </c>
      <c r="P169" s="18" t="str" cm="1">
        <f t="array" ref="P169">_xlfn.IFS(O169&gt;0.61, "High Humidity", O169&gt;=0.6, "Humid", O169&gt;0.4, "Less Humidity", TRUE, "Dry")</f>
        <v>High Humidity</v>
      </c>
      <c r="Q169" s="18">
        <v>0.16420000000000001</v>
      </c>
      <c r="R169" s="18" t="str" cm="1">
        <f t="array" ref="R169">_xlfn.IFS(Q169&lt;=0.2,"Low Windspeed",Q169&lt;0.4,"Medium Windspeed",Q169&gt;=0.41,"High Windspeed")</f>
        <v>Low Windspeed</v>
      </c>
      <c r="S169" s="18">
        <v>2</v>
      </c>
      <c r="T169" s="18">
        <v>69</v>
      </c>
      <c r="U169" s="19">
        <v>71</v>
      </c>
      <c r="V169" s="18" t="str" cm="1">
        <f t="array" ref="V169">_xlfn.IFS(U169&lt;=70,"Low",U169&lt;=160,"Medium",U169&gt;=161,"High")</f>
        <v>Medium</v>
      </c>
    </row>
    <row r="170" spans="1:22" x14ac:dyDescent="0.25">
      <c r="A170" s="16">
        <v>779</v>
      </c>
      <c r="B170" s="17">
        <v>40578</v>
      </c>
      <c r="C170" s="18">
        <v>1</v>
      </c>
      <c r="D170" s="18">
        <v>0</v>
      </c>
      <c r="E170" s="18">
        <v>2</v>
      </c>
      <c r="F170" s="18">
        <v>21</v>
      </c>
      <c r="G170" s="18" t="str" cm="1">
        <f t="array" ref="G170">_xlfn.IFS(F170&lt;4,"Night",F170&lt;=6,"Early Morning",F170&lt;11,"Morning",F170&lt;12,"Afternoon",F170&lt;=16,"Afternoon",F170&lt;=20,"Evening",F170&gt;=21,"Night")</f>
        <v>Night</v>
      </c>
      <c r="H170" s="18" t="b">
        <v>0</v>
      </c>
      <c r="I170" s="18">
        <v>5</v>
      </c>
      <c r="J170" s="18" t="str" cm="1">
        <f t="array" ref="J170">_xlfn.IFS(I170=1,"Monday",I170=2,"Tuesday",I170=3,"Wednesday",I170=4,"Thursday",I170=5,"Friday",I170=6,"Saturday",I170=0,"Sunday")</f>
        <v>Friday</v>
      </c>
      <c r="K170" s="18">
        <v>2</v>
      </c>
      <c r="L170" s="18">
        <v>0.24</v>
      </c>
      <c r="M170" s="27" t="str" cm="1">
        <f t="array" ref="M170">_xlfn.IFS(L170&lt;0.15,"Cold",L170&lt;0.25,"Mild",L170&lt;=0.32,"Warm",L170&gt;=0.33,"Hot")</f>
        <v>Mild</v>
      </c>
      <c r="N170" s="18">
        <v>0.2424</v>
      </c>
      <c r="O170" s="18">
        <v>0.7</v>
      </c>
      <c r="P170" s="18" t="str" cm="1">
        <f t="array" ref="P170">_xlfn.IFS(O170&gt;0.61, "High Humidity", O170&gt;=0.6, "Humid", O170&gt;0.4, "Less Humidity", TRUE, "Dry")</f>
        <v>High Humidity</v>
      </c>
      <c r="Q170" s="18">
        <v>0.16420000000000001</v>
      </c>
      <c r="R170" s="18" t="str" cm="1">
        <f t="array" ref="R170">_xlfn.IFS(Q170&lt;=0.2,"Low Windspeed",Q170&lt;0.4,"Medium Windspeed",Q170&gt;=0.41,"High Windspeed")</f>
        <v>Low Windspeed</v>
      </c>
      <c r="S170" s="18">
        <v>2</v>
      </c>
      <c r="T170" s="18">
        <v>41</v>
      </c>
      <c r="U170" s="19">
        <v>43</v>
      </c>
      <c r="V170" s="18" t="str" cm="1">
        <f t="array" ref="V170">_xlfn.IFS(U170&lt;=70,"Low",U170&lt;=160,"Medium",U170&gt;=161,"High")</f>
        <v>Low</v>
      </c>
    </row>
    <row r="171" spans="1:22" x14ac:dyDescent="0.25">
      <c r="A171" s="16">
        <v>780</v>
      </c>
      <c r="B171" s="17">
        <v>40578</v>
      </c>
      <c r="C171" s="18">
        <v>1</v>
      </c>
      <c r="D171" s="18">
        <v>0</v>
      </c>
      <c r="E171" s="18">
        <v>2</v>
      </c>
      <c r="F171" s="18">
        <v>22</v>
      </c>
      <c r="G171" s="18" t="str" cm="1">
        <f t="array" ref="G171">_xlfn.IFS(F171&lt;4,"Night",F171&lt;=6,"Early Morning",F171&lt;11,"Morning",F171&lt;12,"Afternoon",F171&lt;=16,"Afternoon",F171&lt;=20,"Evening",F171&gt;=21,"Night")</f>
        <v>Night</v>
      </c>
      <c r="H171" s="18" t="b">
        <v>0</v>
      </c>
      <c r="I171" s="18">
        <v>5</v>
      </c>
      <c r="J171" s="18" t="str" cm="1">
        <f t="array" ref="J171">_xlfn.IFS(I171=1,"Monday",I171=2,"Tuesday",I171=3,"Wednesday",I171=4,"Thursday",I171=5,"Friday",I171=6,"Saturday",I171=0,"Sunday")</f>
        <v>Friday</v>
      </c>
      <c r="K171" s="18">
        <v>2</v>
      </c>
      <c r="L171" s="18">
        <v>0.24</v>
      </c>
      <c r="M171" s="27" t="str" cm="1">
        <f t="array" ref="M171">_xlfn.IFS(L171&lt;0.15,"Cold",L171&lt;0.25,"Mild",L171&lt;=0.32,"Warm",L171&gt;=0.33,"Hot")</f>
        <v>Mild</v>
      </c>
      <c r="N171" s="18">
        <v>0.2424</v>
      </c>
      <c r="O171" s="18">
        <v>0.65</v>
      </c>
      <c r="P171" s="18" t="str" cm="1">
        <f t="array" ref="P171">_xlfn.IFS(O171&gt;0.61, "High Humidity", O171&gt;=0.6, "Humid", O171&gt;0.4, "Less Humidity", TRUE, "Dry")</f>
        <v>High Humidity</v>
      </c>
      <c r="Q171" s="18">
        <v>0.16420000000000001</v>
      </c>
      <c r="R171" s="18" t="str" cm="1">
        <f t="array" ref="R171">_xlfn.IFS(Q171&lt;=0.2,"Low Windspeed",Q171&lt;0.4,"Medium Windspeed",Q171&gt;=0.41,"High Windspeed")</f>
        <v>Low Windspeed</v>
      </c>
      <c r="S171" s="18">
        <v>1</v>
      </c>
      <c r="T171" s="18">
        <v>45</v>
      </c>
      <c r="U171" s="19">
        <v>46</v>
      </c>
      <c r="V171" s="18" t="str" cm="1">
        <f t="array" ref="V171">_xlfn.IFS(U171&lt;=70,"Low",U171&lt;=160,"Medium",U171&gt;=161,"High")</f>
        <v>Low</v>
      </c>
    </row>
    <row r="172" spans="1:22" x14ac:dyDescent="0.25">
      <c r="A172" s="16">
        <v>781</v>
      </c>
      <c r="B172" s="17">
        <v>40578</v>
      </c>
      <c r="C172" s="18">
        <v>1</v>
      </c>
      <c r="D172" s="18">
        <v>0</v>
      </c>
      <c r="E172" s="18">
        <v>2</v>
      </c>
      <c r="F172" s="18">
        <v>23</v>
      </c>
      <c r="G172" s="18" t="str" cm="1">
        <f t="array" ref="G172">_xlfn.IFS(F172&lt;4,"Night",F172&lt;=6,"Early Morning",F172&lt;11,"Morning",F172&lt;12,"Afternoon",F172&lt;=16,"Afternoon",F172&lt;=20,"Evening",F172&gt;=21,"Night")</f>
        <v>Night</v>
      </c>
      <c r="H172" s="18" t="b">
        <v>0</v>
      </c>
      <c r="I172" s="18">
        <v>5</v>
      </c>
      <c r="J172" s="18" t="str" cm="1">
        <f t="array" ref="J172">_xlfn.IFS(I172=1,"Monday",I172=2,"Tuesday",I172=3,"Wednesday",I172=4,"Thursday",I172=5,"Friday",I172=6,"Saturday",I172=0,"Sunday")</f>
        <v>Friday</v>
      </c>
      <c r="K172" s="18">
        <v>2</v>
      </c>
      <c r="L172" s="18">
        <v>0.24</v>
      </c>
      <c r="M172" s="27" t="str" cm="1">
        <f t="array" ref="M172">_xlfn.IFS(L172&lt;0.15,"Cold",L172&lt;0.25,"Mild",L172&lt;=0.32,"Warm",L172&gt;=0.33,"Hot")</f>
        <v>Mild</v>
      </c>
      <c r="N172" s="18">
        <v>0.2424</v>
      </c>
      <c r="O172" s="18">
        <v>0.7</v>
      </c>
      <c r="P172" s="18" t="str" cm="1">
        <f t="array" ref="P172">_xlfn.IFS(O172&gt;0.61, "High Humidity", O172&gt;=0.6, "Humid", O172&gt;0.4, "Less Humidity", TRUE, "Dry")</f>
        <v>High Humidity</v>
      </c>
      <c r="Q172" s="18">
        <v>0.1343</v>
      </c>
      <c r="R172" s="18" t="str" cm="1">
        <f t="array" ref="R172">_xlfn.IFS(Q172&lt;=0.2,"Low Windspeed",Q172&lt;0.4,"Medium Windspeed",Q172&gt;=0.41,"High Windspeed")</f>
        <v>Low Windspeed</v>
      </c>
      <c r="S172" s="18">
        <v>1</v>
      </c>
      <c r="T172" s="18">
        <v>30</v>
      </c>
      <c r="U172" s="19">
        <v>31</v>
      </c>
      <c r="V172" s="18" t="str" cm="1">
        <f t="array" ref="V172">_xlfn.IFS(U172&lt;=70,"Low",U172&lt;=160,"Medium",U172&gt;=161,"High")</f>
        <v>Low</v>
      </c>
    </row>
    <row r="173" spans="1:22" x14ac:dyDescent="0.25">
      <c r="A173" s="16">
        <v>782</v>
      </c>
      <c r="B173" s="17">
        <v>40579</v>
      </c>
      <c r="C173" s="18">
        <v>1</v>
      </c>
      <c r="D173" s="18">
        <v>0</v>
      </c>
      <c r="E173" s="18">
        <v>2</v>
      </c>
      <c r="F173" s="18">
        <v>0</v>
      </c>
      <c r="G173" s="18" t="str" cm="1">
        <f t="array" ref="G173">_xlfn.IFS(F173&lt;4,"Night",F173&lt;=6,"Early Morning",F173&lt;11,"Morning",F173&lt;12,"Afternoon",F173&lt;=16,"Afternoon",F173&lt;=20,"Evening",F173&gt;=21,"Night")</f>
        <v>Night</v>
      </c>
      <c r="H173" s="18" t="b">
        <v>0</v>
      </c>
      <c r="I173" s="18">
        <v>6</v>
      </c>
      <c r="J173" s="18" t="str" cm="1">
        <f t="array" ref="J173">_xlfn.IFS(I173=1,"Monday",I173=2,"Tuesday",I173=3,"Wednesday",I173=4,"Thursday",I173=5,"Friday",I173=6,"Saturday",I173=0,"Sunday")</f>
        <v>Saturday</v>
      </c>
      <c r="K173" s="18">
        <v>2</v>
      </c>
      <c r="L173" s="18">
        <v>0.24</v>
      </c>
      <c r="M173" s="27" t="str" cm="1">
        <f t="array" ref="M173">_xlfn.IFS(L173&lt;0.15,"Cold",L173&lt;0.25,"Mild",L173&lt;=0.32,"Warm",L173&gt;=0.33,"Hot")</f>
        <v>Mild</v>
      </c>
      <c r="N173" s="18">
        <v>0.2424</v>
      </c>
      <c r="O173" s="18">
        <v>0.7</v>
      </c>
      <c r="P173" s="18" t="str" cm="1">
        <f t="array" ref="P173">_xlfn.IFS(O173&gt;0.61, "High Humidity", O173&gt;=0.6, "Humid", O173&gt;0.4, "Less Humidity", TRUE, "Dry")</f>
        <v>High Humidity</v>
      </c>
      <c r="Q173" s="18">
        <v>0.16420000000000001</v>
      </c>
      <c r="R173" s="18" t="str" cm="1">
        <f t="array" ref="R173">_xlfn.IFS(Q173&lt;=0.2,"Low Windspeed",Q173&lt;0.4,"Medium Windspeed",Q173&gt;=0.41,"High Windspeed")</f>
        <v>Low Windspeed</v>
      </c>
      <c r="S173" s="18">
        <v>3</v>
      </c>
      <c r="T173" s="18">
        <v>36</v>
      </c>
      <c r="U173" s="19">
        <v>39</v>
      </c>
      <c r="V173" s="18" t="str" cm="1">
        <f t="array" ref="V173">_xlfn.IFS(U173&lt;=70,"Low",U173&lt;=160,"Medium",U173&gt;=161,"High")</f>
        <v>Low</v>
      </c>
    </row>
    <row r="174" spans="1:22" x14ac:dyDescent="0.25">
      <c r="A174" s="16">
        <v>783</v>
      </c>
      <c r="B174" s="17">
        <v>40579</v>
      </c>
      <c r="C174" s="18">
        <v>1</v>
      </c>
      <c r="D174" s="18">
        <v>0</v>
      </c>
      <c r="E174" s="18">
        <v>2</v>
      </c>
      <c r="F174" s="18">
        <v>1</v>
      </c>
      <c r="G174" s="18" t="str" cm="1">
        <f t="array" ref="G174">_xlfn.IFS(F174&lt;4,"Night",F174&lt;=6,"Early Morning",F174&lt;11,"Morning",F174&lt;12,"Afternoon",F174&lt;=16,"Afternoon",F174&lt;=20,"Evening",F174&gt;=21,"Night")</f>
        <v>Night</v>
      </c>
      <c r="H174" s="18" t="b">
        <v>0</v>
      </c>
      <c r="I174" s="18">
        <v>6</v>
      </c>
      <c r="J174" s="18" t="str" cm="1">
        <f t="array" ref="J174">_xlfn.IFS(I174=1,"Monday",I174=2,"Tuesday",I174=3,"Wednesday",I174=4,"Thursday",I174=5,"Friday",I174=6,"Saturday",I174=0,"Sunday")</f>
        <v>Saturday</v>
      </c>
      <c r="K174" s="18">
        <v>2</v>
      </c>
      <c r="L174" s="18">
        <v>0.24</v>
      </c>
      <c r="M174" s="27" t="str" cm="1">
        <f t="array" ref="M174">_xlfn.IFS(L174&lt;0.15,"Cold",L174&lt;0.25,"Mild",L174&lt;=0.32,"Warm",L174&gt;=0.33,"Hot")</f>
        <v>Mild</v>
      </c>
      <c r="N174" s="18">
        <v>0.2424</v>
      </c>
      <c r="O174" s="18">
        <v>0.65</v>
      </c>
      <c r="P174" s="18" t="str" cm="1">
        <f t="array" ref="P174">_xlfn.IFS(O174&gt;0.61, "High Humidity", O174&gt;=0.6, "Humid", O174&gt;0.4, "Less Humidity", TRUE, "Dry")</f>
        <v>High Humidity</v>
      </c>
      <c r="Q174" s="18">
        <v>0.16420000000000001</v>
      </c>
      <c r="R174" s="18" t="str" cm="1">
        <f t="array" ref="R174">_xlfn.IFS(Q174&lt;=0.2,"Low Windspeed",Q174&lt;0.4,"Medium Windspeed",Q174&gt;=0.41,"High Windspeed")</f>
        <v>Low Windspeed</v>
      </c>
      <c r="S174" s="18">
        <v>1</v>
      </c>
      <c r="T174" s="18">
        <v>17</v>
      </c>
      <c r="U174" s="19">
        <v>18</v>
      </c>
      <c r="V174" s="18" t="str" cm="1">
        <f t="array" ref="V174">_xlfn.IFS(U174&lt;=70,"Low",U174&lt;=160,"Medium",U174&gt;=161,"High")</f>
        <v>Low</v>
      </c>
    </row>
    <row r="175" spans="1:22" x14ac:dyDescent="0.25">
      <c r="A175" s="16">
        <v>784</v>
      </c>
      <c r="B175" s="17">
        <v>40579</v>
      </c>
      <c r="C175" s="18">
        <v>1</v>
      </c>
      <c r="D175" s="18">
        <v>0</v>
      </c>
      <c r="E175" s="18">
        <v>2</v>
      </c>
      <c r="F175" s="18">
        <v>2</v>
      </c>
      <c r="G175" s="18" t="str" cm="1">
        <f t="array" ref="G175">_xlfn.IFS(F175&lt;4,"Night",F175&lt;=6,"Early Morning",F175&lt;11,"Morning",F175&lt;12,"Afternoon",F175&lt;=16,"Afternoon",F175&lt;=20,"Evening",F175&gt;=21,"Night")</f>
        <v>Night</v>
      </c>
      <c r="H175" s="18" t="b">
        <v>0</v>
      </c>
      <c r="I175" s="18">
        <v>6</v>
      </c>
      <c r="J175" s="18" t="str" cm="1">
        <f t="array" ref="J175">_xlfn.IFS(I175=1,"Monday",I175=2,"Tuesday",I175=3,"Wednesday",I175=4,"Thursday",I175=5,"Friday",I175=6,"Saturday",I175=0,"Sunday")</f>
        <v>Saturday</v>
      </c>
      <c r="K175" s="18">
        <v>2</v>
      </c>
      <c r="L175" s="18">
        <v>0.24</v>
      </c>
      <c r="M175" s="27" t="str" cm="1">
        <f t="array" ref="M175">_xlfn.IFS(L175&lt;0.15,"Cold",L175&lt;0.25,"Mild",L175&lt;=0.32,"Warm",L175&gt;=0.33,"Hot")</f>
        <v>Mild</v>
      </c>
      <c r="N175" s="18">
        <v>0.2424</v>
      </c>
      <c r="O175" s="18">
        <v>0.75</v>
      </c>
      <c r="P175" s="18" t="str" cm="1">
        <f t="array" ref="P175">_xlfn.IFS(O175&gt;0.61, "High Humidity", O175&gt;=0.6, "Humid", O175&gt;0.4, "Less Humidity", TRUE, "Dry")</f>
        <v>High Humidity</v>
      </c>
      <c r="Q175" s="18">
        <v>0.16420000000000001</v>
      </c>
      <c r="R175" s="18" t="str" cm="1">
        <f t="array" ref="R175">_xlfn.IFS(Q175&lt;=0.2,"Low Windspeed",Q175&lt;0.4,"Medium Windspeed",Q175&gt;=0.41,"High Windspeed")</f>
        <v>Low Windspeed</v>
      </c>
      <c r="S175" s="18">
        <v>5</v>
      </c>
      <c r="T175" s="18">
        <v>12</v>
      </c>
      <c r="U175" s="19">
        <v>17</v>
      </c>
      <c r="V175" s="18" t="str" cm="1">
        <f t="array" ref="V175">_xlfn.IFS(U175&lt;=70,"Low",U175&lt;=160,"Medium",U175&gt;=161,"High")</f>
        <v>Low</v>
      </c>
    </row>
    <row r="176" spans="1:22" x14ac:dyDescent="0.25">
      <c r="A176" s="16">
        <v>785</v>
      </c>
      <c r="B176" s="17">
        <v>40579</v>
      </c>
      <c r="C176" s="18">
        <v>1</v>
      </c>
      <c r="D176" s="18">
        <v>0</v>
      </c>
      <c r="E176" s="18">
        <v>2</v>
      </c>
      <c r="F176" s="18">
        <v>3</v>
      </c>
      <c r="G176" s="18" t="str" cm="1">
        <f t="array" ref="G176">_xlfn.IFS(F176&lt;4,"Night",F176&lt;=6,"Early Morning",F176&lt;11,"Morning",F176&lt;12,"Afternoon",F176&lt;=16,"Afternoon",F176&lt;=20,"Evening",F176&gt;=21,"Night")</f>
        <v>Night</v>
      </c>
      <c r="H176" s="18" t="b">
        <v>0</v>
      </c>
      <c r="I176" s="18">
        <v>6</v>
      </c>
      <c r="J176" s="18" t="str" cm="1">
        <f t="array" ref="J176">_xlfn.IFS(I176=1,"Monday",I176=2,"Tuesday",I176=3,"Wednesday",I176=4,"Thursday",I176=5,"Friday",I176=6,"Saturday",I176=0,"Sunday")</f>
        <v>Saturday</v>
      </c>
      <c r="K176" s="18">
        <v>2</v>
      </c>
      <c r="L176" s="18">
        <v>0.24</v>
      </c>
      <c r="M176" s="27" t="str" cm="1">
        <f t="array" ref="M176">_xlfn.IFS(L176&lt;0.15,"Cold",L176&lt;0.25,"Mild",L176&lt;=0.32,"Warm",L176&gt;=0.33,"Hot")</f>
        <v>Mild</v>
      </c>
      <c r="N176" s="18">
        <v>0.2424</v>
      </c>
      <c r="O176" s="18">
        <v>0.75</v>
      </c>
      <c r="P176" s="18" t="str" cm="1">
        <f t="array" ref="P176">_xlfn.IFS(O176&gt;0.61, "High Humidity", O176&gt;=0.6, "Humid", O176&gt;0.4, "Less Humidity", TRUE, "Dry")</f>
        <v>High Humidity</v>
      </c>
      <c r="Q176" s="18">
        <v>0.16420000000000001</v>
      </c>
      <c r="R176" s="18" t="str" cm="1">
        <f t="array" ref="R176">_xlfn.IFS(Q176&lt;=0.2,"Low Windspeed",Q176&lt;0.4,"Medium Windspeed",Q176&gt;=0.41,"High Windspeed")</f>
        <v>Low Windspeed</v>
      </c>
      <c r="S176" s="18">
        <v>1</v>
      </c>
      <c r="T176" s="18">
        <v>10</v>
      </c>
      <c r="U176" s="19">
        <v>11</v>
      </c>
      <c r="V176" s="18" t="str" cm="1">
        <f t="array" ref="V176">_xlfn.IFS(U176&lt;=70,"Low",U176&lt;=160,"Medium",U176&gt;=161,"High")</f>
        <v>Low</v>
      </c>
    </row>
    <row r="177" spans="1:22" x14ac:dyDescent="0.25">
      <c r="A177" s="16">
        <v>786</v>
      </c>
      <c r="B177" s="17">
        <v>40579</v>
      </c>
      <c r="C177" s="18">
        <v>1</v>
      </c>
      <c r="D177" s="18">
        <v>0</v>
      </c>
      <c r="E177" s="18">
        <v>2</v>
      </c>
      <c r="F177" s="18">
        <v>4</v>
      </c>
      <c r="G177" s="18" t="str" cm="1">
        <f t="array" ref="G177">_xlfn.IFS(F177&lt;4,"Night",F177&lt;=6,"Early Morning",F177&lt;11,"Morning",F177&lt;12,"Afternoon",F177&lt;=16,"Afternoon",F177&lt;=20,"Evening",F177&gt;=21,"Night")</f>
        <v>Early Morning</v>
      </c>
      <c r="H177" s="18" t="b">
        <v>0</v>
      </c>
      <c r="I177" s="18">
        <v>6</v>
      </c>
      <c r="J177" s="18" t="str" cm="1">
        <f t="array" ref="J177">_xlfn.IFS(I177=1,"Monday",I177=2,"Tuesday",I177=3,"Wednesday",I177=4,"Thursday",I177=5,"Friday",I177=6,"Saturday",I177=0,"Sunday")</f>
        <v>Saturday</v>
      </c>
      <c r="K177" s="18">
        <v>3</v>
      </c>
      <c r="L177" s="18">
        <v>0.22</v>
      </c>
      <c r="M177" s="27" t="str" cm="1">
        <f t="array" ref="M177">_xlfn.IFS(L177&lt;0.15,"Cold",L177&lt;0.25,"Mild",L177&lt;=0.32,"Warm",L177&gt;=0.33,"Hot")</f>
        <v>Mild</v>
      </c>
      <c r="N177" s="18">
        <v>0.2273</v>
      </c>
      <c r="O177" s="18">
        <v>0.93</v>
      </c>
      <c r="P177" s="18" t="str" cm="1">
        <f t="array" ref="P177">_xlfn.IFS(O177&gt;0.61, "High Humidity", O177&gt;=0.6, "Humid", O177&gt;0.4, "Less Humidity", TRUE, "Dry")</f>
        <v>High Humidity</v>
      </c>
      <c r="Q177" s="18">
        <v>0.1343</v>
      </c>
      <c r="R177" s="18" t="str" cm="1">
        <f t="array" ref="R177">_xlfn.IFS(Q177&lt;=0.2,"Low Windspeed",Q177&lt;0.4,"Medium Windspeed",Q177&gt;=0.41,"High Windspeed")</f>
        <v>Low Windspeed</v>
      </c>
      <c r="S177" s="18">
        <v>0</v>
      </c>
      <c r="T177" s="18">
        <v>8</v>
      </c>
      <c r="U177" s="19">
        <v>8</v>
      </c>
      <c r="V177" s="18" t="str" cm="1">
        <f t="array" ref="V177">_xlfn.IFS(U177&lt;=70,"Low",U177&lt;=160,"Medium",U177&gt;=161,"High")</f>
        <v>Low</v>
      </c>
    </row>
    <row r="178" spans="1:22" x14ac:dyDescent="0.25">
      <c r="A178" s="16">
        <v>787</v>
      </c>
      <c r="B178" s="17">
        <v>40579</v>
      </c>
      <c r="C178" s="18">
        <v>1</v>
      </c>
      <c r="D178" s="18">
        <v>0</v>
      </c>
      <c r="E178" s="18">
        <v>2</v>
      </c>
      <c r="F178" s="18">
        <v>5</v>
      </c>
      <c r="G178" s="18" t="str" cm="1">
        <f t="array" ref="G178">_xlfn.IFS(F178&lt;4,"Night",F178&lt;=6,"Early Morning",F178&lt;11,"Morning",F178&lt;12,"Afternoon",F178&lt;=16,"Afternoon",F178&lt;=20,"Evening",F178&gt;=21,"Night")</f>
        <v>Early Morning</v>
      </c>
      <c r="H178" s="18" t="b">
        <v>0</v>
      </c>
      <c r="I178" s="18">
        <v>6</v>
      </c>
      <c r="J178" s="18" t="str" cm="1">
        <f t="array" ref="J178">_xlfn.IFS(I178=1,"Monday",I178=2,"Tuesday",I178=3,"Wednesday",I178=4,"Thursday",I178=5,"Friday",I178=6,"Saturday",I178=0,"Sunday")</f>
        <v>Saturday</v>
      </c>
      <c r="K178" s="18">
        <v>3</v>
      </c>
      <c r="L178" s="18">
        <v>0.2</v>
      </c>
      <c r="M178" s="27" t="str" cm="1">
        <f t="array" ref="M178">_xlfn.IFS(L178&lt;0.15,"Cold",L178&lt;0.25,"Mild",L178&lt;=0.32,"Warm",L178&gt;=0.33,"Hot")</f>
        <v>Mild</v>
      </c>
      <c r="N178" s="18">
        <v>0.2273</v>
      </c>
      <c r="O178" s="18">
        <v>1</v>
      </c>
      <c r="P178" s="18" t="str" cm="1">
        <f t="array" ref="P178">_xlfn.IFS(O178&gt;0.61, "High Humidity", O178&gt;=0.6, "Humid", O178&gt;0.4, "Less Humidity", TRUE, "Dry")</f>
        <v>High Humidity</v>
      </c>
      <c r="Q178" s="18">
        <v>8.9599999999999999E-2</v>
      </c>
      <c r="R178" s="18" t="str" cm="1">
        <f t="array" ref="R178">_xlfn.IFS(Q178&lt;=0.2,"Low Windspeed",Q178&lt;0.4,"Medium Windspeed",Q178&gt;=0.41,"High Windspeed")</f>
        <v>Low Windspeed</v>
      </c>
      <c r="S178" s="18">
        <v>0</v>
      </c>
      <c r="T178" s="18">
        <v>9</v>
      </c>
      <c r="U178" s="19">
        <v>9</v>
      </c>
      <c r="V178" s="18" t="str" cm="1">
        <f t="array" ref="V178">_xlfn.IFS(U178&lt;=70,"Low",U178&lt;=160,"Medium",U178&gt;=161,"High")</f>
        <v>Low</v>
      </c>
    </row>
    <row r="179" spans="1:22" x14ac:dyDescent="0.25">
      <c r="A179" s="16">
        <v>788</v>
      </c>
      <c r="B179" s="17">
        <v>40579</v>
      </c>
      <c r="C179" s="18">
        <v>1</v>
      </c>
      <c r="D179" s="18">
        <v>0</v>
      </c>
      <c r="E179" s="18">
        <v>2</v>
      </c>
      <c r="F179" s="18">
        <v>6</v>
      </c>
      <c r="G179" s="18" t="str" cm="1">
        <f t="array" ref="G179">_xlfn.IFS(F179&lt;4,"Night",F179&lt;=6,"Early Morning",F179&lt;11,"Morning",F179&lt;12,"Afternoon",F179&lt;=16,"Afternoon",F179&lt;=20,"Evening",F179&gt;=21,"Night")</f>
        <v>Early Morning</v>
      </c>
      <c r="H179" s="18" t="b">
        <v>0</v>
      </c>
      <c r="I179" s="18">
        <v>6</v>
      </c>
      <c r="J179" s="18" t="str" cm="1">
        <f t="array" ref="J179">_xlfn.IFS(I179=1,"Monday",I179=2,"Tuesday",I179=3,"Wednesday",I179=4,"Thursday",I179=5,"Friday",I179=6,"Saturday",I179=0,"Sunday")</f>
        <v>Saturday</v>
      </c>
      <c r="K179" s="18">
        <v>3</v>
      </c>
      <c r="L179" s="18">
        <v>0.2</v>
      </c>
      <c r="M179" s="27" t="str" cm="1">
        <f t="array" ref="M179">_xlfn.IFS(L179&lt;0.15,"Cold",L179&lt;0.25,"Mild",L179&lt;=0.32,"Warm",L179&gt;=0.33,"Hot")</f>
        <v>Mild</v>
      </c>
      <c r="N179" s="18">
        <v>0.2576</v>
      </c>
      <c r="O179" s="18">
        <v>1</v>
      </c>
      <c r="P179" s="18" t="str" cm="1">
        <f t="array" ref="P179">_xlfn.IFS(O179&gt;0.61, "High Humidity", O179&gt;=0.6, "Humid", O179&gt;0.4, "Less Humidity", TRUE, "Dry")</f>
        <v>High Humidity</v>
      </c>
      <c r="Q179" s="18">
        <v>0</v>
      </c>
      <c r="R179" s="18" t="str" cm="1">
        <f t="array" ref="R179">_xlfn.IFS(Q179&lt;=0.2,"Low Windspeed",Q179&lt;0.4,"Medium Windspeed",Q179&gt;=0.41,"High Windspeed")</f>
        <v>Low Windspeed</v>
      </c>
      <c r="S179" s="18">
        <v>0</v>
      </c>
      <c r="T179" s="18">
        <v>4</v>
      </c>
      <c r="U179" s="19">
        <v>4</v>
      </c>
      <c r="V179" s="18" t="str" cm="1">
        <f t="array" ref="V179">_xlfn.IFS(U179&lt;=70,"Low",U179&lt;=160,"Medium",U179&gt;=161,"High")</f>
        <v>Low</v>
      </c>
    </row>
    <row r="180" spans="1:22" x14ac:dyDescent="0.25">
      <c r="A180" s="16">
        <v>789</v>
      </c>
      <c r="B180" s="17">
        <v>40579</v>
      </c>
      <c r="C180" s="18">
        <v>1</v>
      </c>
      <c r="D180" s="18">
        <v>0</v>
      </c>
      <c r="E180" s="18">
        <v>2</v>
      </c>
      <c r="F180" s="18">
        <v>7</v>
      </c>
      <c r="G180" s="18" t="str" cm="1">
        <f t="array" ref="G180">_xlfn.IFS(F180&lt;4,"Night",F180&lt;=6,"Early Morning",F180&lt;11,"Morning",F180&lt;12,"Afternoon",F180&lt;=16,"Afternoon",F180&lt;=20,"Evening",F180&gt;=21,"Night")</f>
        <v>Morning</v>
      </c>
      <c r="H180" s="18" t="b">
        <v>0</v>
      </c>
      <c r="I180" s="18">
        <v>6</v>
      </c>
      <c r="J180" s="18" t="str" cm="1">
        <f t="array" ref="J180">_xlfn.IFS(I180=1,"Monday",I180=2,"Tuesday",I180=3,"Wednesday",I180=4,"Thursday",I180=5,"Friday",I180=6,"Saturday",I180=0,"Sunday")</f>
        <v>Saturday</v>
      </c>
      <c r="K180" s="18">
        <v>3</v>
      </c>
      <c r="L180" s="18">
        <v>0.22</v>
      </c>
      <c r="M180" s="27" t="str" cm="1">
        <f t="array" ref="M180">_xlfn.IFS(L180&lt;0.15,"Cold",L180&lt;0.25,"Mild",L180&lt;=0.32,"Warm",L180&gt;=0.33,"Hot")</f>
        <v>Mild</v>
      </c>
      <c r="N180" s="18">
        <v>0.2576</v>
      </c>
      <c r="O180" s="18">
        <v>0.93</v>
      </c>
      <c r="P180" s="18" t="str" cm="1">
        <f t="array" ref="P180">_xlfn.IFS(O180&gt;0.61, "High Humidity", O180&gt;=0.6, "Humid", O180&gt;0.4, "Less Humidity", TRUE, "Dry")</f>
        <v>High Humidity</v>
      </c>
      <c r="Q180" s="18">
        <v>8.9599999999999999E-2</v>
      </c>
      <c r="R180" s="18" t="str" cm="1">
        <f t="array" ref="R180">_xlfn.IFS(Q180&lt;=0.2,"Low Windspeed",Q180&lt;0.4,"Medium Windspeed",Q180&gt;=0.41,"High Windspeed")</f>
        <v>Low Windspeed</v>
      </c>
      <c r="S180" s="18">
        <v>0</v>
      </c>
      <c r="T180" s="18">
        <v>4</v>
      </c>
      <c r="U180" s="19">
        <v>4</v>
      </c>
      <c r="V180" s="18" t="str" cm="1">
        <f t="array" ref="V180">_xlfn.IFS(U180&lt;=70,"Low",U180&lt;=160,"Medium",U180&gt;=161,"High")</f>
        <v>Low</v>
      </c>
    </row>
    <row r="181" spans="1:22" x14ac:dyDescent="0.25">
      <c r="A181" s="16">
        <v>790</v>
      </c>
      <c r="B181" s="17">
        <v>40579</v>
      </c>
      <c r="C181" s="18">
        <v>1</v>
      </c>
      <c r="D181" s="18">
        <v>0</v>
      </c>
      <c r="E181" s="18">
        <v>2</v>
      </c>
      <c r="F181" s="18">
        <v>8</v>
      </c>
      <c r="G181" s="18" t="str" cm="1">
        <f t="array" ref="G181">_xlfn.IFS(F181&lt;4,"Night",F181&lt;=6,"Early Morning",F181&lt;11,"Morning",F181&lt;12,"Afternoon",F181&lt;=16,"Afternoon",F181&lt;=20,"Evening",F181&gt;=21,"Night")</f>
        <v>Morning</v>
      </c>
      <c r="H181" s="18" t="b">
        <v>0</v>
      </c>
      <c r="I181" s="18">
        <v>6</v>
      </c>
      <c r="J181" s="18" t="str" cm="1">
        <f t="array" ref="J181">_xlfn.IFS(I181=1,"Monday",I181=2,"Tuesday",I181=3,"Wednesday",I181=4,"Thursday",I181=5,"Friday",I181=6,"Saturday",I181=0,"Sunday")</f>
        <v>Saturday</v>
      </c>
      <c r="K181" s="18">
        <v>3</v>
      </c>
      <c r="L181" s="18">
        <v>0.2</v>
      </c>
      <c r="M181" s="27" t="str" cm="1">
        <f t="array" ref="M181">_xlfn.IFS(L181&lt;0.15,"Cold",L181&lt;0.25,"Mild",L181&lt;=0.32,"Warm",L181&gt;=0.33,"Hot")</f>
        <v>Mild</v>
      </c>
      <c r="N181" s="18">
        <v>0.2273</v>
      </c>
      <c r="O181" s="18">
        <v>1</v>
      </c>
      <c r="P181" s="18" t="str" cm="1">
        <f t="array" ref="P181">_xlfn.IFS(O181&gt;0.61, "High Humidity", O181&gt;=0.6, "Humid", O181&gt;0.4, "Less Humidity", TRUE, "Dry")</f>
        <v>High Humidity</v>
      </c>
      <c r="Q181" s="18">
        <v>8.9599999999999999E-2</v>
      </c>
      <c r="R181" s="18" t="str" cm="1">
        <f t="array" ref="R181">_xlfn.IFS(Q181&lt;=0.2,"Low Windspeed",Q181&lt;0.4,"Medium Windspeed",Q181&gt;=0.41,"High Windspeed")</f>
        <v>Low Windspeed</v>
      </c>
      <c r="S181" s="18">
        <v>0</v>
      </c>
      <c r="T181" s="18">
        <v>10</v>
      </c>
      <c r="U181" s="19">
        <v>10</v>
      </c>
      <c r="V181" s="18" t="str" cm="1">
        <f t="array" ref="V181">_xlfn.IFS(U181&lt;=70,"Low",U181&lt;=160,"Medium",U181&gt;=161,"High")</f>
        <v>Low</v>
      </c>
    </row>
    <row r="182" spans="1:22" x14ac:dyDescent="0.25">
      <c r="A182" s="16">
        <v>791</v>
      </c>
      <c r="B182" s="17">
        <v>40579</v>
      </c>
      <c r="C182" s="18">
        <v>1</v>
      </c>
      <c r="D182" s="18">
        <v>0</v>
      </c>
      <c r="E182" s="18">
        <v>2</v>
      </c>
      <c r="F182" s="18">
        <v>9</v>
      </c>
      <c r="G182" s="18" t="str" cm="1">
        <f t="array" ref="G182">_xlfn.IFS(F182&lt;4,"Night",F182&lt;=6,"Early Morning",F182&lt;11,"Morning",F182&lt;12,"Afternoon",F182&lt;=16,"Afternoon",F182&lt;=20,"Evening",F182&gt;=21,"Night")</f>
        <v>Morning</v>
      </c>
      <c r="H182" s="18" t="b">
        <v>0</v>
      </c>
      <c r="I182" s="18">
        <v>6</v>
      </c>
      <c r="J182" s="18" t="str" cm="1">
        <f t="array" ref="J182">_xlfn.IFS(I182=1,"Monday",I182=2,"Tuesday",I182=3,"Wednesday",I182=4,"Thursday",I182=5,"Friday",I182=6,"Saturday",I182=0,"Sunday")</f>
        <v>Saturday</v>
      </c>
      <c r="K182" s="18">
        <v>3</v>
      </c>
      <c r="L182" s="18">
        <v>0.2</v>
      </c>
      <c r="M182" s="27" t="str" cm="1">
        <f t="array" ref="M182">_xlfn.IFS(L182&lt;0.15,"Cold",L182&lt;0.25,"Mild",L182&lt;=0.32,"Warm",L182&gt;=0.33,"Hot")</f>
        <v>Mild</v>
      </c>
      <c r="N182" s="18">
        <v>0.2273</v>
      </c>
      <c r="O182" s="18">
        <v>1</v>
      </c>
      <c r="P182" s="18" t="str" cm="1">
        <f t="array" ref="P182">_xlfn.IFS(O182&gt;0.61, "High Humidity", O182&gt;=0.6, "Humid", O182&gt;0.4, "Less Humidity", TRUE, "Dry")</f>
        <v>High Humidity</v>
      </c>
      <c r="Q182" s="18">
        <v>8.9599999999999999E-2</v>
      </c>
      <c r="R182" s="18" t="str" cm="1">
        <f t="array" ref="R182">_xlfn.IFS(Q182&lt;=0.2,"Low Windspeed",Q182&lt;0.4,"Medium Windspeed",Q182&gt;=0.41,"High Windspeed")</f>
        <v>Low Windspeed</v>
      </c>
      <c r="S182" s="18">
        <v>3</v>
      </c>
      <c r="T182" s="18">
        <v>17</v>
      </c>
      <c r="U182" s="19">
        <v>20</v>
      </c>
      <c r="V182" s="18" t="str" cm="1">
        <f t="array" ref="V182">_xlfn.IFS(U182&lt;=70,"Low",U182&lt;=160,"Medium",U182&gt;=161,"High")</f>
        <v>Low</v>
      </c>
    </row>
    <row r="183" spans="1:22" x14ac:dyDescent="0.25">
      <c r="A183" s="16">
        <v>792</v>
      </c>
      <c r="B183" s="17">
        <v>40579</v>
      </c>
      <c r="C183" s="18">
        <v>1</v>
      </c>
      <c r="D183" s="18">
        <v>0</v>
      </c>
      <c r="E183" s="18">
        <v>2</v>
      </c>
      <c r="F183" s="18">
        <v>10</v>
      </c>
      <c r="G183" s="18" t="str" cm="1">
        <f t="array" ref="G183">_xlfn.IFS(F183&lt;4,"Night",F183&lt;=6,"Early Morning",F183&lt;11,"Morning",F183&lt;12,"Afternoon",F183&lt;=16,"Afternoon",F183&lt;=20,"Evening",F183&gt;=21,"Night")</f>
        <v>Morning</v>
      </c>
      <c r="H183" s="18" t="b">
        <v>0</v>
      </c>
      <c r="I183" s="18">
        <v>6</v>
      </c>
      <c r="J183" s="18" t="str" cm="1">
        <f t="array" ref="J183">_xlfn.IFS(I183=1,"Monday",I183=2,"Tuesday",I183=3,"Wednesday",I183=4,"Thursday",I183=5,"Friday",I183=6,"Saturday",I183=0,"Sunday")</f>
        <v>Saturday</v>
      </c>
      <c r="K183" s="18">
        <v>3</v>
      </c>
      <c r="L183" s="18">
        <v>0.2</v>
      </c>
      <c r="M183" s="27" t="str" cm="1">
        <f t="array" ref="M183">_xlfn.IFS(L183&lt;0.15,"Cold",L183&lt;0.25,"Mild",L183&lt;=0.32,"Warm",L183&gt;=0.33,"Hot")</f>
        <v>Mild</v>
      </c>
      <c r="N183" s="18">
        <v>0.21210000000000001</v>
      </c>
      <c r="O183" s="18">
        <v>1</v>
      </c>
      <c r="P183" s="18" t="str" cm="1">
        <f t="array" ref="P183">_xlfn.IFS(O183&gt;0.61, "High Humidity", O183&gt;=0.6, "Humid", O183&gt;0.4, "Less Humidity", TRUE, "Dry")</f>
        <v>High Humidity</v>
      </c>
      <c r="Q183" s="18">
        <v>0.1343</v>
      </c>
      <c r="R183" s="18" t="str" cm="1">
        <f t="array" ref="R183">_xlfn.IFS(Q183&lt;=0.2,"Low Windspeed",Q183&lt;0.4,"Medium Windspeed",Q183&gt;=0.41,"High Windspeed")</f>
        <v>Low Windspeed</v>
      </c>
      <c r="S183" s="18">
        <v>3</v>
      </c>
      <c r="T183" s="18">
        <v>31</v>
      </c>
      <c r="U183" s="19">
        <v>34</v>
      </c>
      <c r="V183" s="18" t="str" cm="1">
        <f t="array" ref="V183">_xlfn.IFS(U183&lt;=70,"Low",U183&lt;=160,"Medium",U183&gt;=161,"High")</f>
        <v>Low</v>
      </c>
    </row>
    <row r="184" spans="1:22" x14ac:dyDescent="0.25">
      <c r="A184" s="16">
        <v>793</v>
      </c>
      <c r="B184" s="17">
        <v>40579</v>
      </c>
      <c r="C184" s="18">
        <v>1</v>
      </c>
      <c r="D184" s="18">
        <v>0</v>
      </c>
      <c r="E184" s="18">
        <v>2</v>
      </c>
      <c r="F184" s="18">
        <v>11</v>
      </c>
      <c r="G184" s="18" t="str" cm="1">
        <f t="array" ref="G184">_xlfn.IFS(F184&lt;4,"Night",F184&lt;=6,"Early Morning",F184&lt;11,"Morning",F184&lt;12,"Afternoon",F184&lt;=16,"Afternoon",F184&lt;=20,"Evening",F184&gt;=21,"Night")</f>
        <v>Afternoon</v>
      </c>
      <c r="H184" s="18" t="b">
        <v>0</v>
      </c>
      <c r="I184" s="18">
        <v>6</v>
      </c>
      <c r="J184" s="18" t="str" cm="1">
        <f t="array" ref="J184">_xlfn.IFS(I184=1,"Monday",I184=2,"Tuesday",I184=3,"Wednesday",I184=4,"Thursday",I184=5,"Friday",I184=6,"Saturday",I184=0,"Sunday")</f>
        <v>Saturday</v>
      </c>
      <c r="K184" s="18">
        <v>3</v>
      </c>
      <c r="L184" s="18">
        <v>0.22</v>
      </c>
      <c r="M184" s="27" t="str" cm="1">
        <f t="array" ref="M184">_xlfn.IFS(L184&lt;0.15,"Cold",L184&lt;0.25,"Mild",L184&lt;=0.32,"Warm",L184&gt;=0.33,"Hot")</f>
        <v>Mild</v>
      </c>
      <c r="N184" s="18">
        <v>0.2273</v>
      </c>
      <c r="O184" s="18">
        <v>1</v>
      </c>
      <c r="P184" s="18" t="str" cm="1">
        <f t="array" ref="P184">_xlfn.IFS(O184&gt;0.61, "High Humidity", O184&gt;=0.6, "Humid", O184&gt;0.4, "Less Humidity", TRUE, "Dry")</f>
        <v>High Humidity</v>
      </c>
      <c r="Q184" s="18">
        <v>0.1343</v>
      </c>
      <c r="R184" s="18" t="str" cm="1">
        <f t="array" ref="R184">_xlfn.IFS(Q184&lt;=0.2,"Low Windspeed",Q184&lt;0.4,"Medium Windspeed",Q184&gt;=0.41,"High Windspeed")</f>
        <v>Low Windspeed</v>
      </c>
      <c r="S184" s="18">
        <v>1</v>
      </c>
      <c r="T184" s="18">
        <v>46</v>
      </c>
      <c r="U184" s="19">
        <v>47</v>
      </c>
      <c r="V184" s="18" t="str" cm="1">
        <f t="array" ref="V184">_xlfn.IFS(U184&lt;=70,"Low",U184&lt;=160,"Medium",U184&gt;=161,"High")</f>
        <v>Low</v>
      </c>
    </row>
    <row r="185" spans="1:22" x14ac:dyDescent="0.25">
      <c r="A185" s="16">
        <v>794</v>
      </c>
      <c r="B185" s="17">
        <v>40579</v>
      </c>
      <c r="C185" s="18">
        <v>1</v>
      </c>
      <c r="D185" s="18">
        <v>0</v>
      </c>
      <c r="E185" s="18">
        <v>2</v>
      </c>
      <c r="F185" s="18">
        <v>12</v>
      </c>
      <c r="G185" s="18" t="str" cm="1">
        <f t="array" ref="G185">_xlfn.IFS(F185&lt;4,"Night",F185&lt;=6,"Early Morning",F185&lt;11,"Morning",F185&lt;12,"Afternoon",F185&lt;=16,"Afternoon",F185&lt;=20,"Evening",F185&gt;=21,"Night")</f>
        <v>Afternoon</v>
      </c>
      <c r="H185" s="18" t="b">
        <v>0</v>
      </c>
      <c r="I185" s="18">
        <v>6</v>
      </c>
      <c r="J185" s="18" t="str" cm="1">
        <f t="array" ref="J185">_xlfn.IFS(I185=1,"Monday",I185=2,"Tuesday",I185=3,"Wednesday",I185=4,"Thursday",I185=5,"Friday",I185=6,"Saturday",I185=0,"Sunday")</f>
        <v>Saturday</v>
      </c>
      <c r="K185" s="18">
        <v>3</v>
      </c>
      <c r="L185" s="18">
        <v>0.22</v>
      </c>
      <c r="M185" s="27" t="str" cm="1">
        <f t="array" ref="M185">_xlfn.IFS(L185&lt;0.15,"Cold",L185&lt;0.25,"Mild",L185&lt;=0.32,"Warm",L185&gt;=0.33,"Hot")</f>
        <v>Mild</v>
      </c>
      <c r="N185" s="18">
        <v>0.2273</v>
      </c>
      <c r="O185" s="18">
        <v>1</v>
      </c>
      <c r="P185" s="18" t="str" cm="1">
        <f t="array" ref="P185">_xlfn.IFS(O185&gt;0.61, "High Humidity", O185&gt;=0.6, "Humid", O185&gt;0.4, "Less Humidity", TRUE, "Dry")</f>
        <v>High Humidity</v>
      </c>
      <c r="Q185" s="18">
        <v>0.16420000000000001</v>
      </c>
      <c r="R185" s="18" t="str" cm="1">
        <f t="array" ref="R185">_xlfn.IFS(Q185&lt;=0.2,"Low Windspeed",Q185&lt;0.4,"Medium Windspeed",Q185&gt;=0.41,"High Windspeed")</f>
        <v>Low Windspeed</v>
      </c>
      <c r="S185" s="18">
        <v>10</v>
      </c>
      <c r="T185" s="18">
        <v>42</v>
      </c>
      <c r="U185" s="19">
        <v>52</v>
      </c>
      <c r="V185" s="18" t="str" cm="1">
        <f t="array" ref="V185">_xlfn.IFS(U185&lt;=70,"Low",U185&lt;=160,"Medium",U185&gt;=161,"High")</f>
        <v>Low</v>
      </c>
    </row>
    <row r="186" spans="1:22" x14ac:dyDescent="0.25">
      <c r="A186" s="16">
        <v>795</v>
      </c>
      <c r="B186" s="17">
        <v>40579</v>
      </c>
      <c r="C186" s="18">
        <v>1</v>
      </c>
      <c r="D186" s="18">
        <v>0</v>
      </c>
      <c r="E186" s="18">
        <v>2</v>
      </c>
      <c r="F186" s="18">
        <v>13</v>
      </c>
      <c r="G186" s="18" t="str" cm="1">
        <f t="array" ref="G186">_xlfn.IFS(F186&lt;4,"Night",F186&lt;=6,"Early Morning",F186&lt;11,"Morning",F186&lt;12,"Afternoon",F186&lt;=16,"Afternoon",F186&lt;=20,"Evening",F186&gt;=21,"Night")</f>
        <v>Afternoon</v>
      </c>
      <c r="H186" s="18" t="b">
        <v>0</v>
      </c>
      <c r="I186" s="18">
        <v>6</v>
      </c>
      <c r="J186" s="18" t="str" cm="1">
        <f t="array" ref="J186">_xlfn.IFS(I186=1,"Monday",I186=2,"Tuesday",I186=3,"Wednesday",I186=4,"Thursday",I186=5,"Friday",I186=6,"Saturday",I186=0,"Sunday")</f>
        <v>Saturday</v>
      </c>
      <c r="K186" s="18">
        <v>3</v>
      </c>
      <c r="L186" s="18">
        <v>0.22</v>
      </c>
      <c r="M186" s="27" t="str" cm="1">
        <f t="array" ref="M186">_xlfn.IFS(L186&lt;0.15,"Cold",L186&lt;0.25,"Mild",L186&lt;=0.32,"Warm",L186&gt;=0.33,"Hot")</f>
        <v>Mild</v>
      </c>
      <c r="N186" s="18">
        <v>0.2273</v>
      </c>
      <c r="O186" s="18">
        <v>1</v>
      </c>
      <c r="P186" s="18" t="str" cm="1">
        <f t="array" ref="P186">_xlfn.IFS(O186&gt;0.61, "High Humidity", O186&gt;=0.6, "Humid", O186&gt;0.4, "Less Humidity", TRUE, "Dry")</f>
        <v>High Humidity</v>
      </c>
      <c r="Q186" s="18">
        <v>0.16420000000000001</v>
      </c>
      <c r="R186" s="18" t="str" cm="1">
        <f t="array" ref="R186">_xlfn.IFS(Q186&lt;=0.2,"Low Windspeed",Q186&lt;0.4,"Medium Windspeed",Q186&gt;=0.41,"High Windspeed")</f>
        <v>Low Windspeed</v>
      </c>
      <c r="S186" s="18">
        <v>10</v>
      </c>
      <c r="T186" s="18">
        <v>62</v>
      </c>
      <c r="U186" s="19">
        <v>72</v>
      </c>
      <c r="V186" s="18" t="str" cm="1">
        <f t="array" ref="V186">_xlfn.IFS(U186&lt;=70,"Low",U186&lt;=160,"Medium",U186&gt;=161,"High")</f>
        <v>Medium</v>
      </c>
    </row>
    <row r="187" spans="1:22" x14ac:dyDescent="0.25">
      <c r="A187" s="16">
        <v>796</v>
      </c>
      <c r="B187" s="17">
        <v>40579</v>
      </c>
      <c r="C187" s="18">
        <v>1</v>
      </c>
      <c r="D187" s="18">
        <v>0</v>
      </c>
      <c r="E187" s="18">
        <v>2</v>
      </c>
      <c r="F187" s="18">
        <v>14</v>
      </c>
      <c r="G187" s="18" t="str" cm="1">
        <f t="array" ref="G187">_xlfn.IFS(F187&lt;4,"Night",F187&lt;=6,"Early Morning",F187&lt;11,"Morning",F187&lt;12,"Afternoon",F187&lt;=16,"Afternoon",F187&lt;=20,"Evening",F187&gt;=21,"Night")</f>
        <v>Afternoon</v>
      </c>
      <c r="H187" s="18" t="b">
        <v>0</v>
      </c>
      <c r="I187" s="18">
        <v>6</v>
      </c>
      <c r="J187" s="18" t="str" cm="1">
        <f t="array" ref="J187">_xlfn.IFS(I187=1,"Monday",I187=2,"Tuesday",I187=3,"Wednesday",I187=4,"Thursday",I187=5,"Friday",I187=6,"Saturday",I187=0,"Sunday")</f>
        <v>Saturday</v>
      </c>
      <c r="K187" s="18">
        <v>3</v>
      </c>
      <c r="L187" s="18">
        <v>0.22</v>
      </c>
      <c r="M187" s="27" t="str" cm="1">
        <f t="array" ref="M187">_xlfn.IFS(L187&lt;0.15,"Cold",L187&lt;0.25,"Mild",L187&lt;=0.32,"Warm",L187&gt;=0.33,"Hot")</f>
        <v>Mild</v>
      </c>
      <c r="N187" s="18">
        <v>0.2727</v>
      </c>
      <c r="O187" s="18">
        <v>1</v>
      </c>
      <c r="P187" s="18" t="str" cm="1">
        <f t="array" ref="P187">_xlfn.IFS(O187&gt;0.61, "High Humidity", O187&gt;=0.6, "Humid", O187&gt;0.4, "Less Humidity", TRUE, "Dry")</f>
        <v>High Humidity</v>
      </c>
      <c r="Q187" s="18">
        <v>0</v>
      </c>
      <c r="R187" s="18" t="str" cm="1">
        <f t="array" ref="R187">_xlfn.IFS(Q187&lt;=0.2,"Low Windspeed",Q187&lt;0.4,"Medium Windspeed",Q187&gt;=0.41,"High Windspeed")</f>
        <v>Low Windspeed</v>
      </c>
      <c r="S187" s="18">
        <v>5</v>
      </c>
      <c r="T187" s="18">
        <v>50</v>
      </c>
      <c r="U187" s="19">
        <v>55</v>
      </c>
      <c r="V187" s="18" t="str" cm="1">
        <f t="array" ref="V187">_xlfn.IFS(U187&lt;=70,"Low",U187&lt;=160,"Medium",U187&gt;=161,"High")</f>
        <v>Low</v>
      </c>
    </row>
    <row r="188" spans="1:22" x14ac:dyDescent="0.25">
      <c r="A188" s="16">
        <v>797</v>
      </c>
      <c r="B188" s="17">
        <v>40579</v>
      </c>
      <c r="C188" s="18">
        <v>1</v>
      </c>
      <c r="D188" s="18">
        <v>0</v>
      </c>
      <c r="E188" s="18">
        <v>2</v>
      </c>
      <c r="F188" s="18">
        <v>15</v>
      </c>
      <c r="G188" s="18" t="str" cm="1">
        <f t="array" ref="G188">_xlfn.IFS(F188&lt;4,"Night",F188&lt;=6,"Early Morning",F188&lt;11,"Morning",F188&lt;12,"Afternoon",F188&lt;=16,"Afternoon",F188&lt;=20,"Evening",F188&gt;=21,"Night")</f>
        <v>Afternoon</v>
      </c>
      <c r="H188" s="18" t="b">
        <v>0</v>
      </c>
      <c r="I188" s="18">
        <v>6</v>
      </c>
      <c r="J188" s="18" t="str" cm="1">
        <f t="array" ref="J188">_xlfn.IFS(I188=1,"Monday",I188=2,"Tuesday",I188=3,"Wednesday",I188=4,"Thursday",I188=5,"Friday",I188=6,"Saturday",I188=0,"Sunday")</f>
        <v>Saturday</v>
      </c>
      <c r="K188" s="18">
        <v>3</v>
      </c>
      <c r="L188" s="18">
        <v>0.22</v>
      </c>
      <c r="M188" s="27" t="str" cm="1">
        <f t="array" ref="M188">_xlfn.IFS(L188&lt;0.15,"Cold",L188&lt;0.25,"Mild",L188&lt;=0.32,"Warm",L188&gt;=0.33,"Hot")</f>
        <v>Mild</v>
      </c>
      <c r="N188" s="18">
        <v>0.2727</v>
      </c>
      <c r="O188" s="18">
        <v>1</v>
      </c>
      <c r="P188" s="18" t="str" cm="1">
        <f t="array" ref="P188">_xlfn.IFS(O188&gt;0.61, "High Humidity", O188&gt;=0.6, "Humid", O188&gt;0.4, "Less Humidity", TRUE, "Dry")</f>
        <v>High Humidity</v>
      </c>
      <c r="Q188" s="18">
        <v>0</v>
      </c>
      <c r="R188" s="18" t="str" cm="1">
        <f t="array" ref="R188">_xlfn.IFS(Q188&lt;=0.2,"Low Windspeed",Q188&lt;0.4,"Medium Windspeed",Q188&gt;=0.41,"High Windspeed")</f>
        <v>Low Windspeed</v>
      </c>
      <c r="S188" s="18">
        <v>11</v>
      </c>
      <c r="T188" s="18">
        <v>49</v>
      </c>
      <c r="U188" s="19">
        <v>60</v>
      </c>
      <c r="V188" s="18" t="str" cm="1">
        <f t="array" ref="V188">_xlfn.IFS(U188&lt;=70,"Low",U188&lt;=160,"Medium",U188&gt;=161,"High")</f>
        <v>Low</v>
      </c>
    </row>
    <row r="189" spans="1:22" x14ac:dyDescent="0.25">
      <c r="A189" s="16">
        <v>798</v>
      </c>
      <c r="B189" s="17">
        <v>40579</v>
      </c>
      <c r="C189" s="18">
        <v>1</v>
      </c>
      <c r="D189" s="18">
        <v>0</v>
      </c>
      <c r="E189" s="18">
        <v>2</v>
      </c>
      <c r="F189" s="18">
        <v>16</v>
      </c>
      <c r="G189" s="18" t="str" cm="1">
        <f t="array" ref="G189">_xlfn.IFS(F189&lt;4,"Night",F189&lt;=6,"Early Morning",F189&lt;11,"Morning",F189&lt;12,"Afternoon",F189&lt;=16,"Afternoon",F189&lt;=20,"Evening",F189&gt;=21,"Night")</f>
        <v>Afternoon</v>
      </c>
      <c r="H189" s="18" t="b">
        <v>0</v>
      </c>
      <c r="I189" s="18">
        <v>6</v>
      </c>
      <c r="J189" s="18" t="str" cm="1">
        <f t="array" ref="J189">_xlfn.IFS(I189=1,"Monday",I189=2,"Tuesday",I189=3,"Wednesday",I189=4,"Thursday",I189=5,"Friday",I189=6,"Saturday",I189=0,"Sunday")</f>
        <v>Saturday</v>
      </c>
      <c r="K189" s="18">
        <v>3</v>
      </c>
      <c r="L189" s="18">
        <v>0.22</v>
      </c>
      <c r="M189" s="27" t="str" cm="1">
        <f t="array" ref="M189">_xlfn.IFS(L189&lt;0.15,"Cold",L189&lt;0.25,"Mild",L189&lt;=0.32,"Warm",L189&gt;=0.33,"Hot")</f>
        <v>Mild</v>
      </c>
      <c r="N189" s="18">
        <v>0.2273</v>
      </c>
      <c r="O189" s="18">
        <v>1</v>
      </c>
      <c r="P189" s="18" t="str" cm="1">
        <f t="array" ref="P189">_xlfn.IFS(O189&gt;0.61, "High Humidity", O189&gt;=0.6, "Humid", O189&gt;0.4, "Less Humidity", TRUE, "Dry")</f>
        <v>High Humidity</v>
      </c>
      <c r="Q189" s="18">
        <v>0.1343</v>
      </c>
      <c r="R189" s="18" t="str" cm="1">
        <f t="array" ref="R189">_xlfn.IFS(Q189&lt;=0.2,"Low Windspeed",Q189&lt;0.4,"Medium Windspeed",Q189&gt;=0.41,"High Windspeed")</f>
        <v>Low Windspeed</v>
      </c>
      <c r="S189" s="18">
        <v>8</v>
      </c>
      <c r="T189" s="18">
        <v>63</v>
      </c>
      <c r="U189" s="19">
        <v>71</v>
      </c>
      <c r="V189" s="18" t="str" cm="1">
        <f t="array" ref="V189">_xlfn.IFS(U189&lt;=70,"Low",U189&lt;=160,"Medium",U189&gt;=161,"High")</f>
        <v>Medium</v>
      </c>
    </row>
    <row r="190" spans="1:22" x14ac:dyDescent="0.25">
      <c r="A190" s="16">
        <v>799</v>
      </c>
      <c r="B190" s="17">
        <v>40579</v>
      </c>
      <c r="C190" s="18">
        <v>1</v>
      </c>
      <c r="D190" s="18">
        <v>0</v>
      </c>
      <c r="E190" s="18">
        <v>2</v>
      </c>
      <c r="F190" s="18">
        <v>17</v>
      </c>
      <c r="G190" s="18" t="str" cm="1">
        <f t="array" ref="G190">_xlfn.IFS(F190&lt;4,"Night",F190&lt;=6,"Early Morning",F190&lt;11,"Morning",F190&lt;12,"Afternoon",F190&lt;=16,"Afternoon",F190&lt;=20,"Evening",F190&gt;=21,"Night")</f>
        <v>Evening</v>
      </c>
      <c r="H190" s="18" t="b">
        <v>0</v>
      </c>
      <c r="I190" s="18">
        <v>6</v>
      </c>
      <c r="J190" s="18" t="str" cm="1">
        <f t="array" ref="J190">_xlfn.IFS(I190=1,"Monday",I190=2,"Tuesday",I190=3,"Wednesday",I190=4,"Thursday",I190=5,"Friday",I190=6,"Saturday",I190=0,"Sunday")</f>
        <v>Saturday</v>
      </c>
      <c r="K190" s="18">
        <v>2</v>
      </c>
      <c r="L190" s="18">
        <v>0.24</v>
      </c>
      <c r="M190" s="27" t="str" cm="1">
        <f t="array" ref="M190">_xlfn.IFS(L190&lt;0.15,"Cold",L190&lt;0.25,"Mild",L190&lt;=0.32,"Warm",L190&gt;=0.33,"Hot")</f>
        <v>Mild</v>
      </c>
      <c r="N190" s="18">
        <v>0.21210000000000001</v>
      </c>
      <c r="O190" s="18">
        <v>1</v>
      </c>
      <c r="P190" s="18" t="str" cm="1">
        <f t="array" ref="P190">_xlfn.IFS(O190&gt;0.61, "High Humidity", O190&gt;=0.6, "Humid", O190&gt;0.4, "Less Humidity", TRUE, "Dry")</f>
        <v>High Humidity</v>
      </c>
      <c r="Q190" s="18">
        <v>0.28360000000000002</v>
      </c>
      <c r="R190" s="18" t="str" cm="1">
        <f t="array" ref="R190">_xlfn.IFS(Q190&lt;=0.2,"Low Windspeed",Q190&lt;0.4,"Medium Windspeed",Q190&gt;=0.41,"High Windspeed")</f>
        <v>Medium Windspeed</v>
      </c>
      <c r="S190" s="18">
        <v>14</v>
      </c>
      <c r="T190" s="18">
        <v>64</v>
      </c>
      <c r="U190" s="19">
        <v>78</v>
      </c>
      <c r="V190" s="18" t="str" cm="1">
        <f t="array" ref="V190">_xlfn.IFS(U190&lt;=70,"Low",U190&lt;=160,"Medium",U190&gt;=161,"High")</f>
        <v>Medium</v>
      </c>
    </row>
    <row r="191" spans="1:22" x14ac:dyDescent="0.25">
      <c r="A191" s="16">
        <v>800</v>
      </c>
      <c r="B191" s="17">
        <v>40579</v>
      </c>
      <c r="C191" s="18">
        <v>1</v>
      </c>
      <c r="D191" s="18">
        <v>0</v>
      </c>
      <c r="E191" s="18">
        <v>2</v>
      </c>
      <c r="F191" s="18">
        <v>18</v>
      </c>
      <c r="G191" s="18" t="str" cm="1">
        <f t="array" ref="G191">_xlfn.IFS(F191&lt;4,"Night",F191&lt;=6,"Early Morning",F191&lt;11,"Morning",F191&lt;12,"Afternoon",F191&lt;=16,"Afternoon",F191&lt;=20,"Evening",F191&gt;=21,"Night")</f>
        <v>Evening</v>
      </c>
      <c r="H191" s="18" t="b">
        <v>0</v>
      </c>
      <c r="I191" s="18">
        <v>6</v>
      </c>
      <c r="J191" s="18" t="str" cm="1">
        <f t="array" ref="J191">_xlfn.IFS(I191=1,"Monday",I191=2,"Tuesday",I191=3,"Wednesday",I191=4,"Thursday",I191=5,"Friday",I191=6,"Saturday",I191=0,"Sunday")</f>
        <v>Saturday</v>
      </c>
      <c r="K191" s="18">
        <v>2</v>
      </c>
      <c r="L191" s="18">
        <v>0.28000000000000003</v>
      </c>
      <c r="M191" s="27" t="str" cm="1">
        <f t="array" ref="M191">_xlfn.IFS(L191&lt;0.15,"Cold",L191&lt;0.25,"Mild",L191&lt;=0.32,"Warm",L191&gt;=0.33,"Hot")</f>
        <v>Warm</v>
      </c>
      <c r="N191" s="18">
        <v>0.2424</v>
      </c>
      <c r="O191" s="18">
        <v>0.93</v>
      </c>
      <c r="P191" s="18" t="str" cm="1">
        <f t="array" ref="P191">_xlfn.IFS(O191&gt;0.61, "High Humidity", O191&gt;=0.6, "Humid", O191&gt;0.4, "Less Humidity", TRUE, "Dry")</f>
        <v>High Humidity</v>
      </c>
      <c r="Q191" s="18">
        <v>0.44779999999999998</v>
      </c>
      <c r="R191" s="18" t="str" cm="1">
        <f t="array" ref="R191">_xlfn.IFS(Q191&lt;=0.2,"Low Windspeed",Q191&lt;0.4,"Medium Windspeed",Q191&gt;=0.41,"High Windspeed")</f>
        <v>High Windspeed</v>
      </c>
      <c r="S191" s="18">
        <v>2</v>
      </c>
      <c r="T191" s="18">
        <v>81</v>
      </c>
      <c r="U191" s="19">
        <v>83</v>
      </c>
      <c r="V191" s="18" t="str" cm="1">
        <f t="array" ref="V191">_xlfn.IFS(U191&lt;=70,"Low",U191&lt;=160,"Medium",U191&gt;=161,"High")</f>
        <v>Medium</v>
      </c>
    </row>
    <row r="192" spans="1:22" x14ac:dyDescent="0.25">
      <c r="A192" s="16">
        <v>801</v>
      </c>
      <c r="B192" s="17">
        <v>40579</v>
      </c>
      <c r="C192" s="18">
        <v>1</v>
      </c>
      <c r="D192" s="18">
        <v>0</v>
      </c>
      <c r="E192" s="18">
        <v>2</v>
      </c>
      <c r="F192" s="18">
        <v>19</v>
      </c>
      <c r="G192" s="18" t="str" cm="1">
        <f t="array" ref="G192">_xlfn.IFS(F192&lt;4,"Night",F192&lt;=6,"Early Morning",F192&lt;11,"Morning",F192&lt;12,"Afternoon",F192&lt;=16,"Afternoon",F192&lt;=20,"Evening",F192&gt;=21,"Night")</f>
        <v>Evening</v>
      </c>
      <c r="H192" s="18" t="b">
        <v>0</v>
      </c>
      <c r="I192" s="18">
        <v>6</v>
      </c>
      <c r="J192" s="18" t="str" cm="1">
        <f t="array" ref="J192">_xlfn.IFS(I192=1,"Monday",I192=2,"Tuesday",I192=3,"Wednesday",I192=4,"Thursday",I192=5,"Friday",I192=6,"Saturday",I192=0,"Sunday")</f>
        <v>Saturday</v>
      </c>
      <c r="K192" s="18">
        <v>2</v>
      </c>
      <c r="L192" s="18">
        <v>0.28000000000000003</v>
      </c>
      <c r="M192" s="27" t="str" cm="1">
        <f t="array" ref="M192">_xlfn.IFS(L192&lt;0.15,"Cold",L192&lt;0.25,"Mild",L192&lt;=0.32,"Warm",L192&gt;=0.33,"Hot")</f>
        <v>Warm</v>
      </c>
      <c r="N192" s="18">
        <v>0.2424</v>
      </c>
      <c r="O192" s="18">
        <v>0.93</v>
      </c>
      <c r="P192" s="18" t="str" cm="1">
        <f t="array" ref="P192">_xlfn.IFS(O192&gt;0.61, "High Humidity", O192&gt;=0.6, "Humid", O192&gt;0.4, "Less Humidity", TRUE, "Dry")</f>
        <v>High Humidity</v>
      </c>
      <c r="Q192" s="18">
        <v>0.44779999999999998</v>
      </c>
      <c r="R192" s="18" t="str" cm="1">
        <f t="array" ref="R192">_xlfn.IFS(Q192&lt;=0.2,"Low Windspeed",Q192&lt;0.4,"Medium Windspeed",Q192&gt;=0.41,"High Windspeed")</f>
        <v>High Windspeed</v>
      </c>
      <c r="S192" s="18">
        <v>6</v>
      </c>
      <c r="T192" s="18">
        <v>78</v>
      </c>
      <c r="U192" s="19">
        <v>84</v>
      </c>
      <c r="V192" s="18" t="str" cm="1">
        <f t="array" ref="V192">_xlfn.IFS(U192&lt;=70,"Low",U192&lt;=160,"Medium",U192&gt;=161,"High")</f>
        <v>Medium</v>
      </c>
    </row>
    <row r="193" spans="1:22" x14ac:dyDescent="0.25">
      <c r="A193" s="16">
        <v>802</v>
      </c>
      <c r="B193" s="17">
        <v>40579</v>
      </c>
      <c r="C193" s="18">
        <v>1</v>
      </c>
      <c r="D193" s="18">
        <v>0</v>
      </c>
      <c r="E193" s="18">
        <v>2</v>
      </c>
      <c r="F193" s="18">
        <v>20</v>
      </c>
      <c r="G193" s="18" t="str" cm="1">
        <f t="array" ref="G193">_xlfn.IFS(F193&lt;4,"Night",F193&lt;=6,"Early Morning",F193&lt;11,"Morning",F193&lt;12,"Afternoon",F193&lt;=16,"Afternoon",F193&lt;=20,"Evening",F193&gt;=21,"Night")</f>
        <v>Evening</v>
      </c>
      <c r="H193" s="18" t="b">
        <v>0</v>
      </c>
      <c r="I193" s="18">
        <v>6</v>
      </c>
      <c r="J193" s="18" t="str" cm="1">
        <f t="array" ref="J193">_xlfn.IFS(I193=1,"Monday",I193=2,"Tuesday",I193=3,"Wednesday",I193=4,"Thursday",I193=5,"Friday",I193=6,"Saturday",I193=0,"Sunday")</f>
        <v>Saturday</v>
      </c>
      <c r="K193" s="18">
        <v>1</v>
      </c>
      <c r="L193" s="18">
        <v>0.3</v>
      </c>
      <c r="M193" s="27" t="str" cm="1">
        <f t="array" ref="M193">_xlfn.IFS(L193&lt;0.15,"Cold",L193&lt;0.25,"Mild",L193&lt;=0.32,"Warm",L193&gt;=0.33,"Hot")</f>
        <v>Warm</v>
      </c>
      <c r="N193" s="18">
        <v>0.28789999999999999</v>
      </c>
      <c r="O193" s="18">
        <v>0.87</v>
      </c>
      <c r="P193" s="18" t="str" cm="1">
        <f t="array" ref="P193">_xlfn.IFS(O193&gt;0.61, "High Humidity", O193&gt;=0.6, "Humid", O193&gt;0.4, "Less Humidity", TRUE, "Dry")</f>
        <v>High Humidity</v>
      </c>
      <c r="Q193" s="18">
        <v>0.25369999999999998</v>
      </c>
      <c r="R193" s="18" t="str" cm="1">
        <f t="array" ref="R193">_xlfn.IFS(Q193&lt;=0.2,"Low Windspeed",Q193&lt;0.4,"Medium Windspeed",Q193&gt;=0.41,"High Windspeed")</f>
        <v>Medium Windspeed</v>
      </c>
      <c r="S193" s="18">
        <v>5</v>
      </c>
      <c r="T193" s="18">
        <v>64</v>
      </c>
      <c r="U193" s="19">
        <v>69</v>
      </c>
      <c r="V193" s="18" t="str" cm="1">
        <f t="array" ref="V193">_xlfn.IFS(U193&lt;=70,"Low",U193&lt;=160,"Medium",U193&gt;=161,"High")</f>
        <v>Low</v>
      </c>
    </row>
    <row r="194" spans="1:22" x14ac:dyDescent="0.25">
      <c r="A194" s="16">
        <v>803</v>
      </c>
      <c r="B194" s="17">
        <v>40579</v>
      </c>
      <c r="C194" s="18">
        <v>1</v>
      </c>
      <c r="D194" s="18">
        <v>0</v>
      </c>
      <c r="E194" s="18">
        <v>2</v>
      </c>
      <c r="F194" s="18">
        <v>21</v>
      </c>
      <c r="G194" s="18" t="str" cm="1">
        <f t="array" ref="G194">_xlfn.IFS(F194&lt;4,"Night",F194&lt;=6,"Early Morning",F194&lt;11,"Morning",F194&lt;12,"Afternoon",F194&lt;=16,"Afternoon",F194&lt;=20,"Evening",F194&gt;=21,"Night")</f>
        <v>Night</v>
      </c>
      <c r="H194" s="18" t="b">
        <v>0</v>
      </c>
      <c r="I194" s="18">
        <v>6</v>
      </c>
      <c r="J194" s="18" t="str" cm="1">
        <f t="array" ref="J194">_xlfn.IFS(I194=1,"Monday",I194=2,"Tuesday",I194=3,"Wednesday",I194=4,"Thursday",I194=5,"Friday",I194=6,"Saturday",I194=0,"Sunday")</f>
        <v>Saturday</v>
      </c>
      <c r="K194" s="18">
        <v>1</v>
      </c>
      <c r="L194" s="18">
        <v>0.26</v>
      </c>
      <c r="M194" s="27" t="str" cm="1">
        <f t="array" ref="M194">_xlfn.IFS(L194&lt;0.15,"Cold",L194&lt;0.25,"Mild",L194&lt;=0.32,"Warm",L194&gt;=0.33,"Hot")</f>
        <v>Warm</v>
      </c>
      <c r="N194" s="18">
        <v>0.2576</v>
      </c>
      <c r="O194" s="18">
        <v>1</v>
      </c>
      <c r="P194" s="18" t="str" cm="1">
        <f t="array" ref="P194">_xlfn.IFS(O194&gt;0.61, "High Humidity", O194&gt;=0.6, "Humid", O194&gt;0.4, "Less Humidity", TRUE, "Dry")</f>
        <v>High Humidity</v>
      </c>
      <c r="Q194" s="18">
        <v>0.19400000000000001</v>
      </c>
      <c r="R194" s="18" t="str" cm="1">
        <f t="array" ref="R194">_xlfn.IFS(Q194&lt;=0.2,"Low Windspeed",Q194&lt;0.4,"Medium Windspeed",Q194&gt;=0.41,"High Windspeed")</f>
        <v>Low Windspeed</v>
      </c>
      <c r="S194" s="18">
        <v>3</v>
      </c>
      <c r="T194" s="18">
        <v>53</v>
      </c>
      <c r="U194" s="19">
        <v>56</v>
      </c>
      <c r="V194" s="18" t="str" cm="1">
        <f t="array" ref="V194">_xlfn.IFS(U194&lt;=70,"Low",U194&lt;=160,"Medium",U194&gt;=161,"High")</f>
        <v>Low</v>
      </c>
    </row>
    <row r="195" spans="1:22" x14ac:dyDescent="0.25">
      <c r="A195" s="16">
        <v>804</v>
      </c>
      <c r="B195" s="17">
        <v>40579</v>
      </c>
      <c r="C195" s="18">
        <v>1</v>
      </c>
      <c r="D195" s="18">
        <v>0</v>
      </c>
      <c r="E195" s="18">
        <v>2</v>
      </c>
      <c r="F195" s="18">
        <v>22</v>
      </c>
      <c r="G195" s="18" t="str" cm="1">
        <f t="array" ref="G195">_xlfn.IFS(F195&lt;4,"Night",F195&lt;=6,"Early Morning",F195&lt;11,"Morning",F195&lt;12,"Afternoon",F195&lt;=16,"Afternoon",F195&lt;=20,"Evening",F195&gt;=21,"Night")</f>
        <v>Night</v>
      </c>
      <c r="H195" s="18" t="b">
        <v>0</v>
      </c>
      <c r="I195" s="18">
        <v>6</v>
      </c>
      <c r="J195" s="18" t="str" cm="1">
        <f t="array" ref="J195">_xlfn.IFS(I195=1,"Monday",I195=2,"Tuesday",I195=3,"Wednesday",I195=4,"Thursday",I195=5,"Friday",I195=6,"Saturday",I195=0,"Sunday")</f>
        <v>Saturday</v>
      </c>
      <c r="K195" s="18">
        <v>1</v>
      </c>
      <c r="L195" s="18">
        <v>0.26</v>
      </c>
      <c r="M195" s="27" t="str" cm="1">
        <f t="array" ref="M195">_xlfn.IFS(L195&lt;0.15,"Cold",L195&lt;0.25,"Mild",L195&lt;=0.32,"Warm",L195&gt;=0.33,"Hot")</f>
        <v>Warm</v>
      </c>
      <c r="N195" s="18">
        <v>0.2727</v>
      </c>
      <c r="O195" s="18">
        <v>0.93</v>
      </c>
      <c r="P195" s="18" t="str" cm="1">
        <f t="array" ref="P195">_xlfn.IFS(O195&gt;0.61, "High Humidity", O195&gt;=0.6, "Humid", O195&gt;0.4, "Less Humidity", TRUE, "Dry")</f>
        <v>High Humidity</v>
      </c>
      <c r="Q195" s="18">
        <v>0.1343</v>
      </c>
      <c r="R195" s="18" t="str" cm="1">
        <f t="array" ref="R195">_xlfn.IFS(Q195&lt;=0.2,"Low Windspeed",Q195&lt;0.4,"Medium Windspeed",Q195&gt;=0.41,"High Windspeed")</f>
        <v>Low Windspeed</v>
      </c>
      <c r="S195" s="18">
        <v>2</v>
      </c>
      <c r="T195" s="18">
        <v>43</v>
      </c>
      <c r="U195" s="19">
        <v>45</v>
      </c>
      <c r="V195" s="18" t="str" cm="1">
        <f t="array" ref="V195">_xlfn.IFS(U195&lt;=70,"Low",U195&lt;=160,"Medium",U195&gt;=161,"High")</f>
        <v>Low</v>
      </c>
    </row>
    <row r="196" spans="1:22" x14ac:dyDescent="0.25">
      <c r="A196" s="16">
        <v>805</v>
      </c>
      <c r="B196" s="17">
        <v>40579</v>
      </c>
      <c r="C196" s="18">
        <v>1</v>
      </c>
      <c r="D196" s="18">
        <v>0</v>
      </c>
      <c r="E196" s="18">
        <v>2</v>
      </c>
      <c r="F196" s="18">
        <v>23</v>
      </c>
      <c r="G196" s="18" t="str" cm="1">
        <f t="array" ref="G196">_xlfn.IFS(F196&lt;4,"Night",F196&lt;=6,"Early Morning",F196&lt;11,"Morning",F196&lt;12,"Afternoon",F196&lt;=16,"Afternoon",F196&lt;=20,"Evening",F196&gt;=21,"Night")</f>
        <v>Night</v>
      </c>
      <c r="H196" s="18" t="b">
        <v>0</v>
      </c>
      <c r="I196" s="18">
        <v>6</v>
      </c>
      <c r="J196" s="18" t="str" cm="1">
        <f t="array" ref="J196">_xlfn.IFS(I196=1,"Monday",I196=2,"Tuesday",I196=3,"Wednesday",I196=4,"Thursday",I196=5,"Friday",I196=6,"Saturday",I196=0,"Sunday")</f>
        <v>Saturday</v>
      </c>
      <c r="K196" s="18">
        <v>1</v>
      </c>
      <c r="L196" s="18">
        <v>0.26</v>
      </c>
      <c r="M196" s="27" t="str" cm="1">
        <f t="array" ref="M196">_xlfn.IFS(L196&lt;0.15,"Cold",L196&lt;0.25,"Mild",L196&lt;=0.32,"Warm",L196&gt;=0.33,"Hot")</f>
        <v>Warm</v>
      </c>
      <c r="N196" s="18">
        <v>0.2576</v>
      </c>
      <c r="O196" s="18">
        <v>0.93</v>
      </c>
      <c r="P196" s="18" t="str" cm="1">
        <f t="array" ref="P196">_xlfn.IFS(O196&gt;0.61, "High Humidity", O196&gt;=0.6, "Humid", O196&gt;0.4, "Less Humidity", TRUE, "Dry")</f>
        <v>High Humidity</v>
      </c>
      <c r="Q196" s="18">
        <v>0.22389999999999999</v>
      </c>
      <c r="R196" s="18" t="str" cm="1">
        <f t="array" ref="R196">_xlfn.IFS(Q196&lt;=0.2,"Low Windspeed",Q196&lt;0.4,"Medium Windspeed",Q196&gt;=0.41,"High Windspeed")</f>
        <v>Medium Windspeed</v>
      </c>
      <c r="S196" s="18">
        <v>7</v>
      </c>
      <c r="T196" s="18">
        <v>52</v>
      </c>
      <c r="U196" s="19">
        <v>59</v>
      </c>
      <c r="V196" s="18" t="str" cm="1">
        <f t="array" ref="V196">_xlfn.IFS(U196&lt;=70,"Low",U196&lt;=160,"Medium",U196&gt;=161,"High")</f>
        <v>Low</v>
      </c>
    </row>
    <row r="197" spans="1:22" x14ac:dyDescent="0.25">
      <c r="A197" s="16">
        <v>806</v>
      </c>
      <c r="B197" s="17">
        <v>40580</v>
      </c>
      <c r="C197" s="18">
        <v>1</v>
      </c>
      <c r="D197" s="18">
        <v>0</v>
      </c>
      <c r="E197" s="18">
        <v>2</v>
      </c>
      <c r="F197" s="18">
        <v>0</v>
      </c>
      <c r="G197" s="18" t="str" cm="1">
        <f t="array" ref="G197">_xlfn.IFS(F197&lt;4,"Night",F197&lt;=6,"Early Morning",F197&lt;11,"Morning",F197&lt;12,"Afternoon",F197&lt;=16,"Afternoon",F197&lt;=20,"Evening",F197&gt;=21,"Night")</f>
        <v>Night</v>
      </c>
      <c r="H197" s="18" t="b">
        <v>0</v>
      </c>
      <c r="I197" s="18">
        <v>0</v>
      </c>
      <c r="J197" s="18" t="str" cm="1">
        <f t="array" ref="J197">_xlfn.IFS(I197=1,"Monday",I197=2,"Tuesday",I197=3,"Wednesday",I197=4,"Thursday",I197=5,"Friday",I197=6,"Saturday",I197=0,"Sunday")</f>
        <v>Sunday</v>
      </c>
      <c r="K197" s="18">
        <v>1</v>
      </c>
      <c r="L197" s="18">
        <v>0.26</v>
      </c>
      <c r="M197" s="27" t="str" cm="1">
        <f t="array" ref="M197">_xlfn.IFS(L197&lt;0.15,"Cold",L197&lt;0.25,"Mild",L197&lt;=0.32,"Warm",L197&gt;=0.33,"Hot")</f>
        <v>Warm</v>
      </c>
      <c r="N197" s="18">
        <v>0.2576</v>
      </c>
      <c r="O197" s="18">
        <v>0.7</v>
      </c>
      <c r="P197" s="18" t="str" cm="1">
        <f t="array" ref="P197">_xlfn.IFS(O197&gt;0.61, "High Humidity", O197&gt;=0.6, "Humid", O197&gt;0.4, "Less Humidity", TRUE, "Dry")</f>
        <v>High Humidity</v>
      </c>
      <c r="Q197" s="18">
        <v>0.19400000000000001</v>
      </c>
      <c r="R197" s="18" t="str" cm="1">
        <f t="array" ref="R197">_xlfn.IFS(Q197&lt;=0.2,"Low Windspeed",Q197&lt;0.4,"Medium Windspeed",Q197&gt;=0.41,"High Windspeed")</f>
        <v>Low Windspeed</v>
      </c>
      <c r="S197" s="18">
        <v>2</v>
      </c>
      <c r="T197" s="18">
        <v>37</v>
      </c>
      <c r="U197" s="19">
        <v>39</v>
      </c>
      <c r="V197" s="18" t="str" cm="1">
        <f t="array" ref="V197">_xlfn.IFS(U197&lt;=70,"Low",U197&lt;=160,"Medium",U197&gt;=161,"High")</f>
        <v>Low</v>
      </c>
    </row>
    <row r="198" spans="1:22" x14ac:dyDescent="0.25">
      <c r="A198" s="16">
        <v>807</v>
      </c>
      <c r="B198" s="17">
        <v>40580</v>
      </c>
      <c r="C198" s="18">
        <v>1</v>
      </c>
      <c r="D198" s="18">
        <v>0</v>
      </c>
      <c r="E198" s="18">
        <v>2</v>
      </c>
      <c r="F198" s="18">
        <v>1</v>
      </c>
      <c r="G198" s="18" t="str" cm="1">
        <f t="array" ref="G198">_xlfn.IFS(F198&lt;4,"Night",F198&lt;=6,"Early Morning",F198&lt;11,"Morning",F198&lt;12,"Afternoon",F198&lt;=16,"Afternoon",F198&lt;=20,"Evening",F198&gt;=21,"Night")</f>
        <v>Night</v>
      </c>
      <c r="H198" s="18" t="b">
        <v>0</v>
      </c>
      <c r="I198" s="18">
        <v>0</v>
      </c>
      <c r="J198" s="18" t="str" cm="1">
        <f t="array" ref="J198">_xlfn.IFS(I198=1,"Monday",I198=2,"Tuesday",I198=3,"Wednesday",I198=4,"Thursday",I198=5,"Friday",I198=6,"Saturday",I198=0,"Sunday")</f>
        <v>Sunday</v>
      </c>
      <c r="K198" s="18">
        <v>1</v>
      </c>
      <c r="L198" s="18">
        <v>0.26</v>
      </c>
      <c r="M198" s="27" t="str" cm="1">
        <f t="array" ref="M198">_xlfn.IFS(L198&lt;0.15,"Cold",L198&lt;0.25,"Mild",L198&lt;=0.32,"Warm",L198&gt;=0.33,"Hot")</f>
        <v>Warm</v>
      </c>
      <c r="N198" s="18">
        <v>0.2273</v>
      </c>
      <c r="O198" s="18">
        <v>0.65</v>
      </c>
      <c r="P198" s="18" t="str" cm="1">
        <f t="array" ref="P198">_xlfn.IFS(O198&gt;0.61, "High Humidity", O198&gt;=0.6, "Humid", O198&gt;0.4, "Less Humidity", TRUE, "Dry")</f>
        <v>High Humidity</v>
      </c>
      <c r="Q198" s="18">
        <v>0.41789999999999999</v>
      </c>
      <c r="R198" s="18" t="str" cm="1">
        <f t="array" ref="R198">_xlfn.IFS(Q198&lt;=0.2,"Low Windspeed",Q198&lt;0.4,"Medium Windspeed",Q198&gt;=0.41,"High Windspeed")</f>
        <v>High Windspeed</v>
      </c>
      <c r="S198" s="18">
        <v>4</v>
      </c>
      <c r="T198" s="18">
        <v>40</v>
      </c>
      <c r="U198" s="19">
        <v>44</v>
      </c>
      <c r="V198" s="18" t="str" cm="1">
        <f t="array" ref="V198">_xlfn.IFS(U198&lt;=70,"Low",U198&lt;=160,"Medium",U198&gt;=161,"High")</f>
        <v>Low</v>
      </c>
    </row>
    <row r="199" spans="1:22" x14ac:dyDescent="0.25">
      <c r="A199" s="16">
        <v>808</v>
      </c>
      <c r="B199" s="17">
        <v>40580</v>
      </c>
      <c r="C199" s="18">
        <v>1</v>
      </c>
      <c r="D199" s="18">
        <v>0</v>
      </c>
      <c r="E199" s="18">
        <v>2</v>
      </c>
      <c r="F199" s="18">
        <v>2</v>
      </c>
      <c r="G199" s="18" t="str" cm="1">
        <f t="array" ref="G199">_xlfn.IFS(F199&lt;4,"Night",F199&lt;=6,"Early Morning",F199&lt;11,"Morning",F199&lt;12,"Afternoon",F199&lt;=16,"Afternoon",F199&lt;=20,"Evening",F199&gt;=21,"Night")</f>
        <v>Night</v>
      </c>
      <c r="H199" s="18" t="b">
        <v>0</v>
      </c>
      <c r="I199" s="18">
        <v>0</v>
      </c>
      <c r="J199" s="18" t="str" cm="1">
        <f t="array" ref="J199">_xlfn.IFS(I199=1,"Monday",I199=2,"Tuesday",I199=3,"Wednesday",I199=4,"Thursday",I199=5,"Friday",I199=6,"Saturday",I199=0,"Sunday")</f>
        <v>Sunday</v>
      </c>
      <c r="K199" s="18">
        <v>1</v>
      </c>
      <c r="L199" s="18">
        <v>0.26</v>
      </c>
      <c r="M199" s="27" t="str" cm="1">
        <f t="array" ref="M199">_xlfn.IFS(L199&lt;0.15,"Cold",L199&lt;0.25,"Mild",L199&lt;=0.32,"Warm",L199&gt;=0.33,"Hot")</f>
        <v>Warm</v>
      </c>
      <c r="N199" s="18">
        <v>0.2273</v>
      </c>
      <c r="O199" s="18">
        <v>0.6</v>
      </c>
      <c r="P199" s="18" t="str" cm="1">
        <f t="array" ref="P199">_xlfn.IFS(O199&gt;0.61, "High Humidity", O199&gt;=0.6, "Humid", O199&gt;0.4, "Less Humidity", TRUE, "Dry")</f>
        <v>Humid</v>
      </c>
      <c r="Q199" s="18">
        <v>0.32840000000000003</v>
      </c>
      <c r="R199" s="18" t="str" cm="1">
        <f t="array" ref="R199">_xlfn.IFS(Q199&lt;=0.2,"Low Windspeed",Q199&lt;0.4,"Medium Windspeed",Q199&gt;=0.41,"High Windspeed")</f>
        <v>Medium Windspeed</v>
      </c>
      <c r="S199" s="18">
        <v>0</v>
      </c>
      <c r="T199" s="18">
        <v>20</v>
      </c>
      <c r="U199" s="19">
        <v>20</v>
      </c>
      <c r="V199" s="18" t="str" cm="1">
        <f t="array" ref="V199">_xlfn.IFS(U199&lt;=70,"Low",U199&lt;=160,"Medium",U199&gt;=161,"High")</f>
        <v>Low</v>
      </c>
    </row>
    <row r="200" spans="1:22" x14ac:dyDescent="0.25">
      <c r="A200" s="16">
        <v>809</v>
      </c>
      <c r="B200" s="17">
        <v>40580</v>
      </c>
      <c r="C200" s="18">
        <v>1</v>
      </c>
      <c r="D200" s="18">
        <v>0</v>
      </c>
      <c r="E200" s="18">
        <v>2</v>
      </c>
      <c r="F200" s="18">
        <v>3</v>
      </c>
      <c r="G200" s="18" t="str" cm="1">
        <f t="array" ref="G200">_xlfn.IFS(F200&lt;4,"Night",F200&lt;=6,"Early Morning",F200&lt;11,"Morning",F200&lt;12,"Afternoon",F200&lt;=16,"Afternoon",F200&lt;=20,"Evening",F200&gt;=21,"Night")</f>
        <v>Night</v>
      </c>
      <c r="H200" s="18" t="b">
        <v>0</v>
      </c>
      <c r="I200" s="18">
        <v>0</v>
      </c>
      <c r="J200" s="18" t="str" cm="1">
        <f t="array" ref="J200">_xlfn.IFS(I200=1,"Monday",I200=2,"Tuesday",I200=3,"Wednesday",I200=4,"Thursday",I200=5,"Friday",I200=6,"Saturday",I200=0,"Sunday")</f>
        <v>Sunday</v>
      </c>
      <c r="K200" s="18">
        <v>1</v>
      </c>
      <c r="L200" s="18">
        <v>0.26</v>
      </c>
      <c r="M200" s="27" t="str" cm="1">
        <f t="array" ref="M200">_xlfn.IFS(L200&lt;0.15,"Cold",L200&lt;0.25,"Mild",L200&lt;=0.32,"Warm",L200&gt;=0.33,"Hot")</f>
        <v>Warm</v>
      </c>
      <c r="N200" s="18">
        <v>0.28789999999999999</v>
      </c>
      <c r="O200" s="18">
        <v>0.6</v>
      </c>
      <c r="P200" s="18" t="str" cm="1">
        <f t="array" ref="P200">_xlfn.IFS(O200&gt;0.61, "High Humidity", O200&gt;=0.6, "Humid", O200&gt;0.4, "Less Humidity", TRUE, "Dry")</f>
        <v>Humid</v>
      </c>
      <c r="Q200" s="18">
        <v>8.9599999999999999E-2</v>
      </c>
      <c r="R200" s="18" t="str" cm="1">
        <f t="array" ref="R200">_xlfn.IFS(Q200&lt;=0.2,"Low Windspeed",Q200&lt;0.4,"Medium Windspeed",Q200&gt;=0.41,"High Windspeed")</f>
        <v>Low Windspeed</v>
      </c>
      <c r="S200" s="18">
        <v>3</v>
      </c>
      <c r="T200" s="18">
        <v>10</v>
      </c>
      <c r="U200" s="19">
        <v>13</v>
      </c>
      <c r="V200" s="18" t="str" cm="1">
        <f t="array" ref="V200">_xlfn.IFS(U200&lt;=70,"Low",U200&lt;=160,"Medium",U200&gt;=161,"High")</f>
        <v>Low</v>
      </c>
    </row>
    <row r="201" spans="1:22" x14ac:dyDescent="0.25">
      <c r="A201" s="16">
        <v>810</v>
      </c>
      <c r="B201" s="17">
        <v>40580</v>
      </c>
      <c r="C201" s="18">
        <v>1</v>
      </c>
      <c r="D201" s="18">
        <v>0</v>
      </c>
      <c r="E201" s="18">
        <v>2</v>
      </c>
      <c r="F201" s="18">
        <v>4</v>
      </c>
      <c r="G201" s="18" t="str" cm="1">
        <f t="array" ref="G201">_xlfn.IFS(F201&lt;4,"Night",F201&lt;=6,"Early Morning",F201&lt;11,"Morning",F201&lt;12,"Afternoon",F201&lt;=16,"Afternoon",F201&lt;=20,"Evening",F201&gt;=21,"Night")</f>
        <v>Early Morning</v>
      </c>
      <c r="H201" s="18" t="b">
        <v>0</v>
      </c>
      <c r="I201" s="18">
        <v>0</v>
      </c>
      <c r="J201" s="18" t="str" cm="1">
        <f t="array" ref="J201">_xlfn.IFS(I201=1,"Monday",I201=2,"Tuesday",I201=3,"Wednesday",I201=4,"Thursday",I201=5,"Friday",I201=6,"Saturday",I201=0,"Sunday")</f>
        <v>Sunday</v>
      </c>
      <c r="K201" s="18">
        <v>1</v>
      </c>
      <c r="L201" s="18">
        <v>0.26</v>
      </c>
      <c r="M201" s="27" t="str" cm="1">
        <f t="array" ref="M201">_xlfn.IFS(L201&lt;0.15,"Cold",L201&lt;0.25,"Mild",L201&lt;=0.32,"Warm",L201&gt;=0.33,"Hot")</f>
        <v>Warm</v>
      </c>
      <c r="N201" s="18">
        <v>0.2273</v>
      </c>
      <c r="O201" s="18">
        <v>0.6</v>
      </c>
      <c r="P201" s="18" t="str" cm="1">
        <f t="array" ref="P201">_xlfn.IFS(O201&gt;0.61, "High Humidity", O201&gt;=0.6, "Humid", O201&gt;0.4, "Less Humidity", TRUE, "Dry")</f>
        <v>Humid</v>
      </c>
      <c r="Q201" s="18">
        <v>0.35820000000000002</v>
      </c>
      <c r="R201" s="18" t="str" cm="1">
        <f t="array" ref="R201">_xlfn.IFS(Q201&lt;=0.2,"Low Windspeed",Q201&lt;0.4,"Medium Windspeed",Q201&gt;=0.41,"High Windspeed")</f>
        <v>Medium Windspeed</v>
      </c>
      <c r="S201" s="18">
        <v>0</v>
      </c>
      <c r="T201" s="18">
        <v>2</v>
      </c>
      <c r="U201" s="19">
        <v>2</v>
      </c>
      <c r="V201" s="18" t="str" cm="1">
        <f t="array" ref="V201">_xlfn.IFS(U201&lt;=70,"Low",U201&lt;=160,"Medium",U201&gt;=161,"High")</f>
        <v>Low</v>
      </c>
    </row>
    <row r="202" spans="1:22" x14ac:dyDescent="0.25">
      <c r="A202" s="16">
        <v>811</v>
      </c>
      <c r="B202" s="17">
        <v>40580</v>
      </c>
      <c r="C202" s="18">
        <v>1</v>
      </c>
      <c r="D202" s="18">
        <v>0</v>
      </c>
      <c r="E202" s="18">
        <v>2</v>
      </c>
      <c r="F202" s="18">
        <v>5</v>
      </c>
      <c r="G202" s="18" t="str" cm="1">
        <f t="array" ref="G202">_xlfn.IFS(F202&lt;4,"Night",F202&lt;=6,"Early Morning",F202&lt;11,"Morning",F202&lt;12,"Afternoon",F202&lt;=16,"Afternoon",F202&lt;=20,"Evening",F202&gt;=21,"Night")</f>
        <v>Early Morning</v>
      </c>
      <c r="H202" s="18" t="b">
        <v>0</v>
      </c>
      <c r="I202" s="18">
        <v>0</v>
      </c>
      <c r="J202" s="18" t="str" cm="1">
        <f t="array" ref="J202">_xlfn.IFS(I202=1,"Monday",I202=2,"Tuesday",I202=3,"Wednesday",I202=4,"Thursday",I202=5,"Friday",I202=6,"Saturday",I202=0,"Sunday")</f>
        <v>Sunday</v>
      </c>
      <c r="K202" s="18">
        <v>1</v>
      </c>
      <c r="L202" s="18">
        <v>0.26</v>
      </c>
      <c r="M202" s="27" t="str" cm="1">
        <f t="array" ref="M202">_xlfn.IFS(L202&lt;0.15,"Cold",L202&lt;0.25,"Mild",L202&lt;=0.32,"Warm",L202&gt;=0.33,"Hot")</f>
        <v>Warm</v>
      </c>
      <c r="N202" s="18">
        <v>0.2576</v>
      </c>
      <c r="O202" s="18">
        <v>0.6</v>
      </c>
      <c r="P202" s="18" t="str" cm="1">
        <f t="array" ref="P202">_xlfn.IFS(O202&gt;0.61, "High Humidity", O202&gt;=0.6, "Humid", O202&gt;0.4, "Less Humidity", TRUE, "Dry")</f>
        <v>Humid</v>
      </c>
      <c r="Q202" s="18">
        <v>0.22389999999999999</v>
      </c>
      <c r="R202" s="18" t="str" cm="1">
        <f t="array" ref="R202">_xlfn.IFS(Q202&lt;=0.2,"Low Windspeed",Q202&lt;0.4,"Medium Windspeed",Q202&gt;=0.41,"High Windspeed")</f>
        <v>Medium Windspeed</v>
      </c>
      <c r="S202" s="18">
        <v>0</v>
      </c>
      <c r="T202" s="18">
        <v>1</v>
      </c>
      <c r="U202" s="19">
        <v>1</v>
      </c>
      <c r="V202" s="18" t="str" cm="1">
        <f t="array" ref="V202">_xlfn.IFS(U202&lt;=70,"Low",U202&lt;=160,"Medium",U202&gt;=161,"High")</f>
        <v>Low</v>
      </c>
    </row>
    <row r="203" spans="1:22" x14ac:dyDescent="0.25">
      <c r="A203" s="16">
        <v>812</v>
      </c>
      <c r="B203" s="17">
        <v>40580</v>
      </c>
      <c r="C203" s="18">
        <v>1</v>
      </c>
      <c r="D203" s="18">
        <v>0</v>
      </c>
      <c r="E203" s="18">
        <v>2</v>
      </c>
      <c r="F203" s="18">
        <v>6</v>
      </c>
      <c r="G203" s="18" t="str" cm="1">
        <f t="array" ref="G203">_xlfn.IFS(F203&lt;4,"Night",F203&lt;=6,"Early Morning",F203&lt;11,"Morning",F203&lt;12,"Afternoon",F203&lt;=16,"Afternoon",F203&lt;=20,"Evening",F203&gt;=21,"Night")</f>
        <v>Early Morning</v>
      </c>
      <c r="H203" s="18" t="b">
        <v>0</v>
      </c>
      <c r="I203" s="18">
        <v>0</v>
      </c>
      <c r="J203" s="18" t="str" cm="1">
        <f t="array" ref="J203">_xlfn.IFS(I203=1,"Monday",I203=2,"Tuesday",I203=3,"Wednesday",I203=4,"Thursday",I203=5,"Friday",I203=6,"Saturday",I203=0,"Sunday")</f>
        <v>Sunday</v>
      </c>
      <c r="K203" s="18">
        <v>1</v>
      </c>
      <c r="L203" s="18">
        <v>0.26</v>
      </c>
      <c r="M203" s="27" t="str" cm="1">
        <f t="array" ref="M203">_xlfn.IFS(L203&lt;0.15,"Cold",L203&lt;0.25,"Mild",L203&lt;=0.32,"Warm",L203&gt;=0.33,"Hot")</f>
        <v>Warm</v>
      </c>
      <c r="N203" s="18">
        <v>0.2576</v>
      </c>
      <c r="O203" s="18">
        <v>0.6</v>
      </c>
      <c r="P203" s="18" t="str" cm="1">
        <f t="array" ref="P203">_xlfn.IFS(O203&gt;0.61, "High Humidity", O203&gt;=0.6, "Humid", O203&gt;0.4, "Less Humidity", TRUE, "Dry")</f>
        <v>Humid</v>
      </c>
      <c r="Q203" s="18">
        <v>0.22389999999999999</v>
      </c>
      <c r="R203" s="18" t="str" cm="1">
        <f t="array" ref="R203">_xlfn.IFS(Q203&lt;=0.2,"Low Windspeed",Q203&lt;0.4,"Medium Windspeed",Q203&gt;=0.41,"High Windspeed")</f>
        <v>Medium Windspeed</v>
      </c>
      <c r="S203" s="18">
        <v>0</v>
      </c>
      <c r="T203" s="18">
        <v>1</v>
      </c>
      <c r="U203" s="19">
        <v>1</v>
      </c>
      <c r="V203" s="18" t="str" cm="1">
        <f t="array" ref="V203">_xlfn.IFS(U203&lt;=70,"Low",U203&lt;=160,"Medium",U203&gt;=161,"High")</f>
        <v>Low</v>
      </c>
    </row>
    <row r="204" spans="1:22" x14ac:dyDescent="0.25">
      <c r="A204" s="16">
        <v>813</v>
      </c>
      <c r="B204" s="17">
        <v>40580</v>
      </c>
      <c r="C204" s="18">
        <v>1</v>
      </c>
      <c r="D204" s="18">
        <v>0</v>
      </c>
      <c r="E204" s="18">
        <v>2</v>
      </c>
      <c r="F204" s="18">
        <v>7</v>
      </c>
      <c r="G204" s="18" t="str" cm="1">
        <f t="array" ref="G204">_xlfn.IFS(F204&lt;4,"Night",F204&lt;=6,"Early Morning",F204&lt;11,"Morning",F204&lt;12,"Afternoon",F204&lt;=16,"Afternoon",F204&lt;=20,"Evening",F204&gt;=21,"Night")</f>
        <v>Morning</v>
      </c>
      <c r="H204" s="18" t="b">
        <v>0</v>
      </c>
      <c r="I204" s="18">
        <v>0</v>
      </c>
      <c r="J204" s="18" t="str" cm="1">
        <f t="array" ref="J204">_xlfn.IFS(I204=1,"Monday",I204=2,"Tuesday",I204=3,"Wednesday",I204=4,"Thursday",I204=5,"Friday",I204=6,"Saturday",I204=0,"Sunday")</f>
        <v>Sunday</v>
      </c>
      <c r="K204" s="18">
        <v>1</v>
      </c>
      <c r="L204" s="18">
        <v>0.24</v>
      </c>
      <c r="M204" s="27" t="str" cm="1">
        <f t="array" ref="M204">_xlfn.IFS(L204&lt;0.15,"Cold",L204&lt;0.25,"Mild",L204&lt;=0.32,"Warm",L204&gt;=0.33,"Hot")</f>
        <v>Mild</v>
      </c>
      <c r="N204" s="18">
        <v>0.2424</v>
      </c>
      <c r="O204" s="18">
        <v>0.65</v>
      </c>
      <c r="P204" s="18" t="str" cm="1">
        <f t="array" ref="P204">_xlfn.IFS(O204&gt;0.61, "High Humidity", O204&gt;=0.6, "Humid", O204&gt;0.4, "Less Humidity", TRUE, "Dry")</f>
        <v>High Humidity</v>
      </c>
      <c r="Q204" s="18">
        <v>0.16420000000000001</v>
      </c>
      <c r="R204" s="18" t="str" cm="1">
        <f t="array" ref="R204">_xlfn.IFS(Q204&lt;=0.2,"Low Windspeed",Q204&lt;0.4,"Medium Windspeed",Q204&gt;=0.41,"High Windspeed")</f>
        <v>Low Windspeed</v>
      </c>
      <c r="S204" s="18">
        <v>0</v>
      </c>
      <c r="T204" s="18">
        <v>8</v>
      </c>
      <c r="U204" s="19">
        <v>8</v>
      </c>
      <c r="V204" s="18" t="str" cm="1">
        <f t="array" ref="V204">_xlfn.IFS(U204&lt;=70,"Low",U204&lt;=160,"Medium",U204&gt;=161,"High")</f>
        <v>Low</v>
      </c>
    </row>
    <row r="205" spans="1:22" x14ac:dyDescent="0.25">
      <c r="A205" s="16">
        <v>814</v>
      </c>
      <c r="B205" s="17">
        <v>40580</v>
      </c>
      <c r="C205" s="18">
        <v>1</v>
      </c>
      <c r="D205" s="18">
        <v>0</v>
      </c>
      <c r="E205" s="18">
        <v>2</v>
      </c>
      <c r="F205" s="18">
        <v>8</v>
      </c>
      <c r="G205" s="18" t="str" cm="1">
        <f t="array" ref="G205">_xlfn.IFS(F205&lt;4,"Night",F205&lt;=6,"Early Morning",F205&lt;11,"Morning",F205&lt;12,"Afternoon",F205&lt;=16,"Afternoon",F205&lt;=20,"Evening",F205&gt;=21,"Night")</f>
        <v>Morning</v>
      </c>
      <c r="H205" s="18" t="b">
        <v>0</v>
      </c>
      <c r="I205" s="18">
        <v>0</v>
      </c>
      <c r="J205" s="18" t="str" cm="1">
        <f t="array" ref="J205">_xlfn.IFS(I205=1,"Monday",I205=2,"Tuesday",I205=3,"Wednesday",I205=4,"Thursday",I205=5,"Friday",I205=6,"Saturday",I205=0,"Sunday")</f>
        <v>Sunday</v>
      </c>
      <c r="K205" s="18">
        <v>1</v>
      </c>
      <c r="L205" s="18">
        <v>0.24</v>
      </c>
      <c r="M205" s="27" t="str" cm="1">
        <f t="array" ref="M205">_xlfn.IFS(L205&lt;0.15,"Cold",L205&lt;0.25,"Mild",L205&lt;=0.32,"Warm",L205&gt;=0.33,"Hot")</f>
        <v>Mild</v>
      </c>
      <c r="N205" s="18">
        <v>0.2576</v>
      </c>
      <c r="O205" s="18">
        <v>0.65</v>
      </c>
      <c r="P205" s="18" t="str" cm="1">
        <f t="array" ref="P205">_xlfn.IFS(O205&gt;0.61, "High Humidity", O205&gt;=0.6, "Humid", O205&gt;0.4, "Less Humidity", TRUE, "Dry")</f>
        <v>High Humidity</v>
      </c>
      <c r="Q205" s="18">
        <v>0.1045</v>
      </c>
      <c r="R205" s="18" t="str" cm="1">
        <f t="array" ref="R205">_xlfn.IFS(Q205&lt;=0.2,"Low Windspeed",Q205&lt;0.4,"Medium Windspeed",Q205&gt;=0.41,"High Windspeed")</f>
        <v>Low Windspeed</v>
      </c>
      <c r="S205" s="18">
        <v>2</v>
      </c>
      <c r="T205" s="18">
        <v>21</v>
      </c>
      <c r="U205" s="19">
        <v>23</v>
      </c>
      <c r="V205" s="18" t="str" cm="1">
        <f t="array" ref="V205">_xlfn.IFS(U205&lt;=70,"Low",U205&lt;=160,"Medium",U205&gt;=161,"High")</f>
        <v>Low</v>
      </c>
    </row>
    <row r="206" spans="1:22" x14ac:dyDescent="0.25">
      <c r="A206" s="16">
        <v>815</v>
      </c>
      <c r="B206" s="17">
        <v>40580</v>
      </c>
      <c r="C206" s="18">
        <v>1</v>
      </c>
      <c r="D206" s="18">
        <v>0</v>
      </c>
      <c r="E206" s="18">
        <v>2</v>
      </c>
      <c r="F206" s="18">
        <v>9</v>
      </c>
      <c r="G206" s="18" t="str" cm="1">
        <f t="array" ref="G206">_xlfn.IFS(F206&lt;4,"Night",F206&lt;=6,"Early Morning",F206&lt;11,"Morning",F206&lt;12,"Afternoon",F206&lt;=16,"Afternoon",F206&lt;=20,"Evening",F206&gt;=21,"Night")</f>
        <v>Morning</v>
      </c>
      <c r="H206" s="18" t="b">
        <v>0</v>
      </c>
      <c r="I206" s="18">
        <v>0</v>
      </c>
      <c r="J206" s="18" t="str" cm="1">
        <f t="array" ref="J206">_xlfn.IFS(I206=1,"Monday",I206=2,"Tuesday",I206=3,"Wednesday",I206=4,"Thursday",I206=5,"Friday",I206=6,"Saturday",I206=0,"Sunday")</f>
        <v>Sunday</v>
      </c>
      <c r="K206" s="18">
        <v>1</v>
      </c>
      <c r="L206" s="18">
        <v>0.28000000000000003</v>
      </c>
      <c r="M206" s="27" t="str" cm="1">
        <f t="array" ref="M206">_xlfn.IFS(L206&lt;0.15,"Cold",L206&lt;0.25,"Mild",L206&lt;=0.32,"Warm",L206&gt;=0.33,"Hot")</f>
        <v>Warm</v>
      </c>
      <c r="N206" s="18">
        <v>0.28789999999999999</v>
      </c>
      <c r="O206" s="18">
        <v>0.56000000000000005</v>
      </c>
      <c r="P206" s="18" t="str" cm="1">
        <f t="array" ref="P206">_xlfn.IFS(O206&gt;0.61, "High Humidity", O206&gt;=0.6, "Humid", O206&gt;0.4, "Less Humidity", TRUE, "Dry")</f>
        <v>Less Humidity</v>
      </c>
      <c r="Q206" s="18">
        <v>0.1045</v>
      </c>
      <c r="R206" s="18" t="str" cm="1">
        <f t="array" ref="R206">_xlfn.IFS(Q206&lt;=0.2,"Low Windspeed",Q206&lt;0.4,"Medium Windspeed",Q206&gt;=0.41,"High Windspeed")</f>
        <v>Low Windspeed</v>
      </c>
      <c r="S206" s="18">
        <v>7</v>
      </c>
      <c r="T206" s="18">
        <v>38</v>
      </c>
      <c r="U206" s="19">
        <v>45</v>
      </c>
      <c r="V206" s="18" t="str" cm="1">
        <f t="array" ref="V206">_xlfn.IFS(U206&lt;=70,"Low",U206&lt;=160,"Medium",U206&gt;=161,"High")</f>
        <v>Low</v>
      </c>
    </row>
    <row r="207" spans="1:22" x14ac:dyDescent="0.25">
      <c r="A207" s="16">
        <v>816</v>
      </c>
      <c r="B207" s="17">
        <v>40580</v>
      </c>
      <c r="C207" s="18">
        <v>1</v>
      </c>
      <c r="D207" s="18">
        <v>0</v>
      </c>
      <c r="E207" s="18">
        <v>2</v>
      </c>
      <c r="F207" s="18">
        <v>10</v>
      </c>
      <c r="G207" s="18" t="str" cm="1">
        <f t="array" ref="G207">_xlfn.IFS(F207&lt;4,"Night",F207&lt;=6,"Early Morning",F207&lt;11,"Morning",F207&lt;12,"Afternoon",F207&lt;=16,"Afternoon",F207&lt;=20,"Evening",F207&gt;=21,"Night")</f>
        <v>Morning</v>
      </c>
      <c r="H207" s="18" t="b">
        <v>0</v>
      </c>
      <c r="I207" s="18">
        <v>0</v>
      </c>
      <c r="J207" s="18" t="str" cm="1">
        <f t="array" ref="J207">_xlfn.IFS(I207=1,"Monday",I207=2,"Tuesday",I207=3,"Wednesday",I207=4,"Thursday",I207=5,"Friday",I207=6,"Saturday",I207=0,"Sunday")</f>
        <v>Sunday</v>
      </c>
      <c r="K207" s="18">
        <v>1</v>
      </c>
      <c r="L207" s="18">
        <v>0.3</v>
      </c>
      <c r="M207" s="27" t="str" cm="1">
        <f t="array" ref="M207">_xlfn.IFS(L207&lt;0.15,"Cold",L207&lt;0.25,"Mild",L207&lt;=0.32,"Warm",L207&gt;=0.33,"Hot")</f>
        <v>Warm</v>
      </c>
      <c r="N207" s="18">
        <v>0.28789999999999999</v>
      </c>
      <c r="O207" s="18">
        <v>0.52</v>
      </c>
      <c r="P207" s="18" t="str" cm="1">
        <f t="array" ref="P207">_xlfn.IFS(O207&gt;0.61, "High Humidity", O207&gt;=0.6, "Humid", O207&gt;0.4, "Less Humidity", TRUE, "Dry")</f>
        <v>Less Humidity</v>
      </c>
      <c r="Q207" s="18">
        <v>0.25369999999999998</v>
      </c>
      <c r="R207" s="18" t="str" cm="1">
        <f t="array" ref="R207">_xlfn.IFS(Q207&lt;=0.2,"Low Windspeed",Q207&lt;0.4,"Medium Windspeed",Q207&gt;=0.41,"High Windspeed")</f>
        <v>Medium Windspeed</v>
      </c>
      <c r="S207" s="18">
        <v>15</v>
      </c>
      <c r="T207" s="18">
        <v>74</v>
      </c>
      <c r="U207" s="19">
        <v>89</v>
      </c>
      <c r="V207" s="18" t="str" cm="1">
        <f t="array" ref="V207">_xlfn.IFS(U207&lt;=70,"Low",U207&lt;=160,"Medium",U207&gt;=161,"High")</f>
        <v>Medium</v>
      </c>
    </row>
    <row r="208" spans="1:22" x14ac:dyDescent="0.25">
      <c r="A208" s="16">
        <v>817</v>
      </c>
      <c r="B208" s="17">
        <v>40580</v>
      </c>
      <c r="C208" s="18">
        <v>1</v>
      </c>
      <c r="D208" s="18">
        <v>0</v>
      </c>
      <c r="E208" s="18">
        <v>2</v>
      </c>
      <c r="F208" s="18">
        <v>11</v>
      </c>
      <c r="G208" s="18" t="str" cm="1">
        <f t="array" ref="G208">_xlfn.IFS(F208&lt;4,"Night",F208&lt;=6,"Early Morning",F208&lt;11,"Morning",F208&lt;12,"Afternoon",F208&lt;=16,"Afternoon",F208&lt;=20,"Evening",F208&gt;=21,"Night")</f>
        <v>Afternoon</v>
      </c>
      <c r="H208" s="18" t="b">
        <v>0</v>
      </c>
      <c r="I208" s="18">
        <v>0</v>
      </c>
      <c r="J208" s="18" t="str" cm="1">
        <f t="array" ref="J208">_xlfn.IFS(I208=1,"Monday",I208=2,"Tuesday",I208=3,"Wednesday",I208=4,"Thursday",I208=5,"Friday",I208=6,"Saturday",I208=0,"Sunday")</f>
        <v>Sunday</v>
      </c>
      <c r="K208" s="18">
        <v>1</v>
      </c>
      <c r="L208" s="18">
        <v>0.32</v>
      </c>
      <c r="M208" s="27" t="str" cm="1">
        <f t="array" ref="M208">_xlfn.IFS(L208&lt;0.15,"Cold",L208&lt;0.25,"Mild",L208&lt;=0.32,"Warm",L208&gt;=0.33,"Hot")</f>
        <v>Warm</v>
      </c>
      <c r="N208" s="18">
        <v>0.30299999999999999</v>
      </c>
      <c r="O208" s="18">
        <v>0.49</v>
      </c>
      <c r="P208" s="18" t="str" cm="1">
        <f t="array" ref="P208">_xlfn.IFS(O208&gt;0.61, "High Humidity", O208&gt;=0.6, "Humid", O208&gt;0.4, "Less Humidity", TRUE, "Dry")</f>
        <v>Less Humidity</v>
      </c>
      <c r="Q208" s="18">
        <v>0.25369999999999998</v>
      </c>
      <c r="R208" s="18" t="str" cm="1">
        <f t="array" ref="R208">_xlfn.IFS(Q208&lt;=0.2,"Low Windspeed",Q208&lt;0.4,"Medium Windspeed",Q208&gt;=0.41,"High Windspeed")</f>
        <v>Medium Windspeed</v>
      </c>
      <c r="S208" s="18">
        <v>28</v>
      </c>
      <c r="T208" s="18">
        <v>89</v>
      </c>
      <c r="U208" s="19">
        <v>117</v>
      </c>
      <c r="V208" s="18" t="str" cm="1">
        <f t="array" ref="V208">_xlfn.IFS(U208&lt;=70,"Low",U208&lt;=160,"Medium",U208&gt;=161,"High")</f>
        <v>Medium</v>
      </c>
    </row>
    <row r="209" spans="1:22" x14ac:dyDescent="0.25">
      <c r="A209" s="16">
        <v>818</v>
      </c>
      <c r="B209" s="17">
        <v>40580</v>
      </c>
      <c r="C209" s="18">
        <v>1</v>
      </c>
      <c r="D209" s="18">
        <v>0</v>
      </c>
      <c r="E209" s="18">
        <v>2</v>
      </c>
      <c r="F209" s="18">
        <v>12</v>
      </c>
      <c r="G209" s="18" t="str" cm="1">
        <f t="array" ref="G209">_xlfn.IFS(F209&lt;4,"Night",F209&lt;=6,"Early Morning",F209&lt;11,"Morning",F209&lt;12,"Afternoon",F209&lt;=16,"Afternoon",F209&lt;=20,"Evening",F209&gt;=21,"Night")</f>
        <v>Afternoon</v>
      </c>
      <c r="H209" s="18" t="b">
        <v>0</v>
      </c>
      <c r="I209" s="18">
        <v>0</v>
      </c>
      <c r="J209" s="18" t="str" cm="1">
        <f t="array" ref="J209">_xlfn.IFS(I209=1,"Monday",I209=2,"Tuesday",I209=3,"Wednesday",I209=4,"Thursday",I209=5,"Friday",I209=6,"Saturday",I209=0,"Sunday")</f>
        <v>Sunday</v>
      </c>
      <c r="K209" s="18">
        <v>1</v>
      </c>
      <c r="L209" s="18">
        <v>0.34</v>
      </c>
      <c r="M209" s="27" t="str" cm="1">
        <f t="array" ref="M209">_xlfn.IFS(L209&lt;0.15,"Cold",L209&lt;0.25,"Mild",L209&lt;=0.32,"Warm",L209&gt;=0.33,"Hot")</f>
        <v>Hot</v>
      </c>
      <c r="N209" s="18">
        <v>0.33329999999999999</v>
      </c>
      <c r="O209" s="18">
        <v>0.46</v>
      </c>
      <c r="P209" s="18" t="str" cm="1">
        <f t="array" ref="P209">_xlfn.IFS(O209&gt;0.61, "High Humidity", O209&gt;=0.6, "Humid", O209&gt;0.4, "Less Humidity", TRUE, "Dry")</f>
        <v>Less Humidity</v>
      </c>
      <c r="Q209" s="18">
        <v>0</v>
      </c>
      <c r="R209" s="18" t="str" cm="1">
        <f t="array" ref="R209">_xlfn.IFS(Q209&lt;=0.2,"Low Windspeed",Q209&lt;0.4,"Medium Windspeed",Q209&gt;=0.41,"High Windspeed")</f>
        <v>Low Windspeed</v>
      </c>
      <c r="S209" s="18">
        <v>48</v>
      </c>
      <c r="T209" s="18">
        <v>126</v>
      </c>
      <c r="U209" s="19">
        <v>174</v>
      </c>
      <c r="V209" s="18" t="str" cm="1">
        <f t="array" ref="V209">_xlfn.IFS(U209&lt;=70,"Low",U209&lt;=160,"Medium",U209&gt;=161,"High")</f>
        <v>High</v>
      </c>
    </row>
    <row r="210" spans="1:22" x14ac:dyDescent="0.25">
      <c r="A210" s="16">
        <v>819</v>
      </c>
      <c r="B210" s="17">
        <v>40580</v>
      </c>
      <c r="C210" s="18">
        <v>1</v>
      </c>
      <c r="D210" s="18">
        <v>0</v>
      </c>
      <c r="E210" s="18">
        <v>2</v>
      </c>
      <c r="F210" s="18">
        <v>13</v>
      </c>
      <c r="G210" s="18" t="str" cm="1">
        <f t="array" ref="G210">_xlfn.IFS(F210&lt;4,"Night",F210&lt;=6,"Early Morning",F210&lt;11,"Morning",F210&lt;12,"Afternoon",F210&lt;=16,"Afternoon",F210&lt;=20,"Evening",F210&gt;=21,"Night")</f>
        <v>Afternoon</v>
      </c>
      <c r="H210" s="18" t="b">
        <v>0</v>
      </c>
      <c r="I210" s="18">
        <v>0</v>
      </c>
      <c r="J210" s="18" t="str" cm="1">
        <f t="array" ref="J210">_xlfn.IFS(I210=1,"Monday",I210=2,"Tuesday",I210=3,"Wednesday",I210=4,"Thursday",I210=5,"Friday",I210=6,"Saturday",I210=0,"Sunday")</f>
        <v>Sunday</v>
      </c>
      <c r="K210" s="18">
        <v>1</v>
      </c>
      <c r="L210" s="18">
        <v>0.34</v>
      </c>
      <c r="M210" s="27" t="str" cm="1">
        <f t="array" ref="M210">_xlfn.IFS(L210&lt;0.15,"Cold",L210&lt;0.25,"Mild",L210&lt;=0.32,"Warm",L210&gt;=0.33,"Hot")</f>
        <v>Hot</v>
      </c>
      <c r="N210" s="18">
        <v>0.36359999999999998</v>
      </c>
      <c r="O210" s="18">
        <v>0.46</v>
      </c>
      <c r="P210" s="18" t="str" cm="1">
        <f t="array" ref="P210">_xlfn.IFS(O210&gt;0.61, "High Humidity", O210&gt;=0.6, "Humid", O210&gt;0.4, "Less Humidity", TRUE, "Dry")</f>
        <v>Less Humidity</v>
      </c>
      <c r="Q210" s="18">
        <v>0</v>
      </c>
      <c r="R210" s="18" t="str" cm="1">
        <f t="array" ref="R210">_xlfn.IFS(Q210&lt;=0.2,"Low Windspeed",Q210&lt;0.4,"Medium Windspeed",Q210&gt;=0.41,"High Windspeed")</f>
        <v>Low Windspeed</v>
      </c>
      <c r="S210" s="18">
        <v>47</v>
      </c>
      <c r="T210" s="18">
        <v>135</v>
      </c>
      <c r="U210" s="19">
        <v>182</v>
      </c>
      <c r="V210" s="18" t="str" cm="1">
        <f t="array" ref="V210">_xlfn.IFS(U210&lt;=70,"Low",U210&lt;=160,"Medium",U210&gt;=161,"High")</f>
        <v>High</v>
      </c>
    </row>
    <row r="211" spans="1:22" x14ac:dyDescent="0.25">
      <c r="A211" s="16">
        <v>820</v>
      </c>
      <c r="B211" s="17">
        <v>40580</v>
      </c>
      <c r="C211" s="18">
        <v>1</v>
      </c>
      <c r="D211" s="18">
        <v>0</v>
      </c>
      <c r="E211" s="18">
        <v>2</v>
      </c>
      <c r="F211" s="18">
        <v>14</v>
      </c>
      <c r="G211" s="18" t="str" cm="1">
        <f t="array" ref="G211">_xlfn.IFS(F211&lt;4,"Night",F211&lt;=6,"Early Morning",F211&lt;11,"Morning",F211&lt;12,"Afternoon",F211&lt;=16,"Afternoon",F211&lt;=20,"Evening",F211&gt;=21,"Night")</f>
        <v>Afternoon</v>
      </c>
      <c r="H211" s="18" t="b">
        <v>0</v>
      </c>
      <c r="I211" s="18">
        <v>0</v>
      </c>
      <c r="J211" s="18" t="str" cm="1">
        <f t="array" ref="J211">_xlfn.IFS(I211=1,"Monday",I211=2,"Tuesday",I211=3,"Wednesday",I211=4,"Thursday",I211=5,"Friday",I211=6,"Saturday",I211=0,"Sunday")</f>
        <v>Sunday</v>
      </c>
      <c r="K211" s="18">
        <v>1</v>
      </c>
      <c r="L211" s="18">
        <v>0.34</v>
      </c>
      <c r="M211" s="27" t="str" cm="1">
        <f t="array" ref="M211">_xlfn.IFS(L211&lt;0.15,"Cold",L211&lt;0.25,"Mild",L211&lt;=0.32,"Warm",L211&gt;=0.33,"Hot")</f>
        <v>Hot</v>
      </c>
      <c r="N211" s="18">
        <v>0.34849999999999998</v>
      </c>
      <c r="O211" s="18">
        <v>0.46</v>
      </c>
      <c r="P211" s="18" t="str" cm="1">
        <f t="array" ref="P211">_xlfn.IFS(O211&gt;0.61, "High Humidity", O211&gt;=0.6, "Humid", O211&gt;0.4, "Less Humidity", TRUE, "Dry")</f>
        <v>Less Humidity</v>
      </c>
      <c r="Q211" s="18">
        <v>8.9599999999999999E-2</v>
      </c>
      <c r="R211" s="18" t="str" cm="1">
        <f t="array" ref="R211">_xlfn.IFS(Q211&lt;=0.2,"Low Windspeed",Q211&lt;0.4,"Medium Windspeed",Q211&gt;=0.41,"High Windspeed")</f>
        <v>Low Windspeed</v>
      </c>
      <c r="S211" s="18">
        <v>47</v>
      </c>
      <c r="T211" s="18">
        <v>114</v>
      </c>
      <c r="U211" s="19">
        <v>161</v>
      </c>
      <c r="V211" s="18" t="str" cm="1">
        <f t="array" ref="V211">_xlfn.IFS(U211&lt;=70,"Low",U211&lt;=160,"Medium",U211&gt;=161,"High")</f>
        <v>High</v>
      </c>
    </row>
    <row r="212" spans="1:22" x14ac:dyDescent="0.25">
      <c r="A212" s="16">
        <v>821</v>
      </c>
      <c r="B212" s="17">
        <v>40580</v>
      </c>
      <c r="C212" s="18">
        <v>1</v>
      </c>
      <c r="D212" s="18">
        <v>0</v>
      </c>
      <c r="E212" s="18">
        <v>2</v>
      </c>
      <c r="F212" s="18">
        <v>15</v>
      </c>
      <c r="G212" s="18" t="str" cm="1">
        <f t="array" ref="G212">_xlfn.IFS(F212&lt;4,"Night",F212&lt;=6,"Early Morning",F212&lt;11,"Morning",F212&lt;12,"Afternoon",F212&lt;=16,"Afternoon",F212&lt;=20,"Evening",F212&gt;=21,"Night")</f>
        <v>Afternoon</v>
      </c>
      <c r="H212" s="18" t="b">
        <v>0</v>
      </c>
      <c r="I212" s="18">
        <v>0</v>
      </c>
      <c r="J212" s="18" t="str" cm="1">
        <f t="array" ref="J212">_xlfn.IFS(I212=1,"Monday",I212=2,"Tuesday",I212=3,"Wednesday",I212=4,"Thursday",I212=5,"Friday",I212=6,"Saturday",I212=0,"Sunday")</f>
        <v>Sunday</v>
      </c>
      <c r="K212" s="18">
        <v>1</v>
      </c>
      <c r="L212" s="18">
        <v>0.34</v>
      </c>
      <c r="M212" s="27" t="str" cm="1">
        <f t="array" ref="M212">_xlfn.IFS(L212&lt;0.15,"Cold",L212&lt;0.25,"Mild",L212&lt;=0.32,"Warm",L212&gt;=0.33,"Hot")</f>
        <v>Hot</v>
      </c>
      <c r="N212" s="18">
        <v>0.34849999999999998</v>
      </c>
      <c r="O212" s="18">
        <v>0.46</v>
      </c>
      <c r="P212" s="18" t="str" cm="1">
        <f t="array" ref="P212">_xlfn.IFS(O212&gt;0.61, "High Humidity", O212&gt;=0.6, "Humid", O212&gt;0.4, "Less Humidity", TRUE, "Dry")</f>
        <v>Less Humidity</v>
      </c>
      <c r="Q212" s="18">
        <v>8.9599999999999999E-2</v>
      </c>
      <c r="R212" s="18" t="str" cm="1">
        <f t="array" ref="R212">_xlfn.IFS(Q212&lt;=0.2,"Low Windspeed",Q212&lt;0.4,"Medium Windspeed",Q212&gt;=0.41,"High Windspeed")</f>
        <v>Low Windspeed</v>
      </c>
      <c r="S212" s="18">
        <v>52</v>
      </c>
      <c r="T212" s="18">
        <v>130</v>
      </c>
      <c r="U212" s="19">
        <v>182</v>
      </c>
      <c r="V212" s="18" t="str" cm="1">
        <f t="array" ref="V212">_xlfn.IFS(U212&lt;=70,"Low",U212&lt;=160,"Medium",U212&gt;=161,"High")</f>
        <v>High</v>
      </c>
    </row>
    <row r="213" spans="1:22" x14ac:dyDescent="0.25">
      <c r="A213" s="16">
        <v>822</v>
      </c>
      <c r="B213" s="17">
        <v>40580</v>
      </c>
      <c r="C213" s="18">
        <v>1</v>
      </c>
      <c r="D213" s="18">
        <v>0</v>
      </c>
      <c r="E213" s="18">
        <v>2</v>
      </c>
      <c r="F213" s="18">
        <v>16</v>
      </c>
      <c r="G213" s="18" t="str" cm="1">
        <f t="array" ref="G213">_xlfn.IFS(F213&lt;4,"Night",F213&lt;=6,"Early Morning",F213&lt;11,"Morning",F213&lt;12,"Afternoon",F213&lt;=16,"Afternoon",F213&lt;=20,"Evening",F213&gt;=21,"Night")</f>
        <v>Afternoon</v>
      </c>
      <c r="H213" s="18" t="b">
        <v>0</v>
      </c>
      <c r="I213" s="18">
        <v>0</v>
      </c>
      <c r="J213" s="18" t="str" cm="1">
        <f t="array" ref="J213">_xlfn.IFS(I213=1,"Monday",I213=2,"Tuesday",I213=3,"Wednesday",I213=4,"Thursday",I213=5,"Friday",I213=6,"Saturday",I213=0,"Sunday")</f>
        <v>Sunday</v>
      </c>
      <c r="K213" s="18">
        <v>1</v>
      </c>
      <c r="L213" s="18">
        <v>0.34</v>
      </c>
      <c r="M213" s="27" t="str" cm="1">
        <f t="array" ref="M213">_xlfn.IFS(L213&lt;0.15,"Cold",L213&lt;0.25,"Mild",L213&lt;=0.32,"Warm",L213&gt;=0.33,"Hot")</f>
        <v>Hot</v>
      </c>
      <c r="N213" s="18">
        <v>0.34849999999999998</v>
      </c>
      <c r="O213" s="18">
        <v>0.49</v>
      </c>
      <c r="P213" s="18" t="str" cm="1">
        <f t="array" ref="P213">_xlfn.IFS(O213&gt;0.61, "High Humidity", O213&gt;=0.6, "Humid", O213&gt;0.4, "Less Humidity", TRUE, "Dry")</f>
        <v>Less Humidity</v>
      </c>
      <c r="Q213" s="18">
        <v>0.1045</v>
      </c>
      <c r="R213" s="18" t="str" cm="1">
        <f t="array" ref="R213">_xlfn.IFS(Q213&lt;=0.2,"Low Windspeed",Q213&lt;0.4,"Medium Windspeed",Q213&gt;=0.41,"High Windspeed")</f>
        <v>Low Windspeed</v>
      </c>
      <c r="S213" s="18">
        <v>42</v>
      </c>
      <c r="T213" s="18">
        <v>115</v>
      </c>
      <c r="U213" s="19">
        <v>157</v>
      </c>
      <c r="V213" s="18" t="str" cm="1">
        <f t="array" ref="V213">_xlfn.IFS(U213&lt;=70,"Low",U213&lt;=160,"Medium",U213&gt;=161,"High")</f>
        <v>Medium</v>
      </c>
    </row>
    <row r="214" spans="1:22" x14ac:dyDescent="0.25">
      <c r="A214" s="16">
        <v>823</v>
      </c>
      <c r="B214" s="17">
        <v>40580</v>
      </c>
      <c r="C214" s="18">
        <v>1</v>
      </c>
      <c r="D214" s="18">
        <v>0</v>
      </c>
      <c r="E214" s="18">
        <v>2</v>
      </c>
      <c r="F214" s="18">
        <v>17</v>
      </c>
      <c r="G214" s="18" t="str" cm="1">
        <f t="array" ref="G214">_xlfn.IFS(F214&lt;4,"Night",F214&lt;=6,"Early Morning",F214&lt;11,"Morning",F214&lt;12,"Afternoon",F214&lt;=16,"Afternoon",F214&lt;=20,"Evening",F214&gt;=21,"Night")</f>
        <v>Evening</v>
      </c>
      <c r="H214" s="18" t="b">
        <v>0</v>
      </c>
      <c r="I214" s="18">
        <v>0</v>
      </c>
      <c r="J214" s="18" t="str" cm="1">
        <f t="array" ref="J214">_xlfn.IFS(I214=1,"Monday",I214=2,"Tuesday",I214=3,"Wednesday",I214=4,"Thursday",I214=5,"Friday",I214=6,"Saturday",I214=0,"Sunday")</f>
        <v>Sunday</v>
      </c>
      <c r="K214" s="18">
        <v>1</v>
      </c>
      <c r="L214" s="18">
        <v>0.34</v>
      </c>
      <c r="M214" s="27" t="str" cm="1">
        <f t="array" ref="M214">_xlfn.IFS(L214&lt;0.15,"Cold",L214&lt;0.25,"Mild",L214&lt;=0.32,"Warm",L214&gt;=0.33,"Hot")</f>
        <v>Hot</v>
      </c>
      <c r="N214" s="18">
        <v>0.36359999999999998</v>
      </c>
      <c r="O214" s="18">
        <v>0.46</v>
      </c>
      <c r="P214" s="18" t="str" cm="1">
        <f t="array" ref="P214">_xlfn.IFS(O214&gt;0.61, "High Humidity", O214&gt;=0.6, "Humid", O214&gt;0.4, "Less Humidity", TRUE, "Dry")</f>
        <v>Less Humidity</v>
      </c>
      <c r="Q214" s="18">
        <v>0</v>
      </c>
      <c r="R214" s="18" t="str" cm="1">
        <f t="array" ref="R214">_xlfn.IFS(Q214&lt;=0.2,"Low Windspeed",Q214&lt;0.4,"Medium Windspeed",Q214&gt;=0.41,"High Windspeed")</f>
        <v>Low Windspeed</v>
      </c>
      <c r="S214" s="18">
        <v>24</v>
      </c>
      <c r="T214" s="18">
        <v>97</v>
      </c>
      <c r="U214" s="19">
        <v>121</v>
      </c>
      <c r="V214" s="18" t="str" cm="1">
        <f t="array" ref="V214">_xlfn.IFS(U214&lt;=70,"Low",U214&lt;=160,"Medium",U214&gt;=161,"High")</f>
        <v>Medium</v>
      </c>
    </row>
    <row r="215" spans="1:22" x14ac:dyDescent="0.25">
      <c r="A215" s="16">
        <v>824</v>
      </c>
      <c r="B215" s="17">
        <v>40580</v>
      </c>
      <c r="C215" s="18">
        <v>1</v>
      </c>
      <c r="D215" s="18">
        <v>0</v>
      </c>
      <c r="E215" s="18">
        <v>2</v>
      </c>
      <c r="F215" s="18">
        <v>18</v>
      </c>
      <c r="G215" s="18" t="str" cm="1">
        <f t="array" ref="G215">_xlfn.IFS(F215&lt;4,"Night",F215&lt;=6,"Early Morning",F215&lt;11,"Morning",F215&lt;12,"Afternoon",F215&lt;=16,"Afternoon",F215&lt;=20,"Evening",F215&gt;=21,"Night")</f>
        <v>Evening</v>
      </c>
      <c r="H215" s="18" t="b">
        <v>0</v>
      </c>
      <c r="I215" s="18">
        <v>0</v>
      </c>
      <c r="J215" s="18" t="str" cm="1">
        <f t="array" ref="J215">_xlfn.IFS(I215=1,"Monday",I215=2,"Tuesday",I215=3,"Wednesday",I215=4,"Thursday",I215=5,"Friday",I215=6,"Saturday",I215=0,"Sunday")</f>
        <v>Sunday</v>
      </c>
      <c r="K215" s="18">
        <v>1</v>
      </c>
      <c r="L215" s="18">
        <v>0.3</v>
      </c>
      <c r="M215" s="27" t="str" cm="1">
        <f t="array" ref="M215">_xlfn.IFS(L215&lt;0.15,"Cold",L215&lt;0.25,"Mild",L215&lt;=0.32,"Warm",L215&gt;=0.33,"Hot")</f>
        <v>Warm</v>
      </c>
      <c r="N215" s="18">
        <v>0.30299999999999999</v>
      </c>
      <c r="O215" s="18">
        <v>0.56000000000000005</v>
      </c>
      <c r="P215" s="18" t="str" cm="1">
        <f t="array" ref="P215">_xlfn.IFS(O215&gt;0.61, "High Humidity", O215&gt;=0.6, "Humid", O215&gt;0.4, "Less Humidity", TRUE, "Dry")</f>
        <v>Less Humidity</v>
      </c>
      <c r="Q215" s="18">
        <v>0.16420000000000001</v>
      </c>
      <c r="R215" s="18" t="str" cm="1">
        <f t="array" ref="R215">_xlfn.IFS(Q215&lt;=0.2,"Low Windspeed",Q215&lt;0.4,"Medium Windspeed",Q215&gt;=0.41,"High Windspeed")</f>
        <v>Low Windspeed</v>
      </c>
      <c r="S215" s="18">
        <v>13</v>
      </c>
      <c r="T215" s="18">
        <v>65</v>
      </c>
      <c r="U215" s="19">
        <v>78</v>
      </c>
      <c r="V215" s="18" t="str" cm="1">
        <f t="array" ref="V215">_xlfn.IFS(U215&lt;=70,"Low",U215&lt;=160,"Medium",U215&gt;=161,"High")</f>
        <v>Medium</v>
      </c>
    </row>
    <row r="216" spans="1:22" x14ac:dyDescent="0.25">
      <c r="A216" s="16">
        <v>825</v>
      </c>
      <c r="B216" s="17">
        <v>40580</v>
      </c>
      <c r="C216" s="18">
        <v>1</v>
      </c>
      <c r="D216" s="18">
        <v>0</v>
      </c>
      <c r="E216" s="18">
        <v>2</v>
      </c>
      <c r="F216" s="18">
        <v>19</v>
      </c>
      <c r="G216" s="18" t="str" cm="1">
        <f t="array" ref="G216">_xlfn.IFS(F216&lt;4,"Night",F216&lt;=6,"Early Morning",F216&lt;11,"Morning",F216&lt;12,"Afternoon",F216&lt;=16,"Afternoon",F216&lt;=20,"Evening",F216&gt;=21,"Night")</f>
        <v>Evening</v>
      </c>
      <c r="H216" s="18" t="b">
        <v>0</v>
      </c>
      <c r="I216" s="18">
        <v>0</v>
      </c>
      <c r="J216" s="18" t="str" cm="1">
        <f t="array" ref="J216">_xlfn.IFS(I216=1,"Monday",I216=2,"Tuesday",I216=3,"Wednesday",I216=4,"Thursday",I216=5,"Friday",I216=6,"Saturday",I216=0,"Sunday")</f>
        <v>Sunday</v>
      </c>
      <c r="K216" s="18">
        <v>1</v>
      </c>
      <c r="L216" s="18">
        <v>0.28000000000000003</v>
      </c>
      <c r="M216" s="27" t="str" cm="1">
        <f t="array" ref="M216">_xlfn.IFS(L216&lt;0.15,"Cold",L216&lt;0.25,"Mild",L216&lt;=0.32,"Warm",L216&gt;=0.33,"Hot")</f>
        <v>Warm</v>
      </c>
      <c r="N216" s="18">
        <v>0.28789999999999999</v>
      </c>
      <c r="O216" s="18">
        <v>0.61</v>
      </c>
      <c r="P216" s="18" t="str" cm="1">
        <f t="array" ref="P216">_xlfn.IFS(O216&gt;0.61, "High Humidity", O216&gt;=0.6, "Humid", O216&gt;0.4, "Less Humidity", TRUE, "Dry")</f>
        <v>Humid</v>
      </c>
      <c r="Q216" s="18">
        <v>0.1343</v>
      </c>
      <c r="R216" s="18" t="str" cm="1">
        <f t="array" ref="R216">_xlfn.IFS(Q216&lt;=0.2,"Low Windspeed",Q216&lt;0.4,"Medium Windspeed",Q216&gt;=0.41,"High Windspeed")</f>
        <v>Low Windspeed</v>
      </c>
      <c r="S216" s="18">
        <v>1</v>
      </c>
      <c r="T216" s="18">
        <v>20</v>
      </c>
      <c r="U216" s="19">
        <v>21</v>
      </c>
      <c r="V216" s="18" t="str" cm="1">
        <f t="array" ref="V216">_xlfn.IFS(U216&lt;=70,"Low",U216&lt;=160,"Medium",U216&gt;=161,"High")</f>
        <v>Low</v>
      </c>
    </row>
    <row r="217" spans="1:22" x14ac:dyDescent="0.25">
      <c r="A217" s="16">
        <v>826</v>
      </c>
      <c r="B217" s="17">
        <v>40580</v>
      </c>
      <c r="C217" s="18">
        <v>1</v>
      </c>
      <c r="D217" s="18">
        <v>0</v>
      </c>
      <c r="E217" s="18">
        <v>2</v>
      </c>
      <c r="F217" s="18">
        <v>20</v>
      </c>
      <c r="G217" s="18" t="str" cm="1">
        <f t="array" ref="G217">_xlfn.IFS(F217&lt;4,"Night",F217&lt;=6,"Early Morning",F217&lt;11,"Morning",F217&lt;12,"Afternoon",F217&lt;=16,"Afternoon",F217&lt;=20,"Evening",F217&gt;=21,"Night")</f>
        <v>Evening</v>
      </c>
      <c r="H217" s="18" t="b">
        <v>0</v>
      </c>
      <c r="I217" s="18">
        <v>0</v>
      </c>
      <c r="J217" s="18" t="str" cm="1">
        <f t="array" ref="J217">_xlfn.IFS(I217=1,"Monday",I217=2,"Tuesday",I217=3,"Wednesday",I217=4,"Thursday",I217=5,"Friday",I217=6,"Saturday",I217=0,"Sunday")</f>
        <v>Sunday</v>
      </c>
      <c r="K217" s="18">
        <v>1</v>
      </c>
      <c r="L217" s="18">
        <v>0.28000000000000003</v>
      </c>
      <c r="M217" s="27" t="str" cm="1">
        <f t="array" ref="M217">_xlfn.IFS(L217&lt;0.15,"Cold",L217&lt;0.25,"Mild",L217&lt;=0.32,"Warm",L217&gt;=0.33,"Hot")</f>
        <v>Warm</v>
      </c>
      <c r="N217" s="18">
        <v>0.28789999999999999</v>
      </c>
      <c r="O217" s="18">
        <v>0.61</v>
      </c>
      <c r="P217" s="18" t="str" cm="1">
        <f t="array" ref="P217">_xlfn.IFS(O217&gt;0.61, "High Humidity", O217&gt;=0.6, "Humid", O217&gt;0.4, "Less Humidity", TRUE, "Dry")</f>
        <v>Humid</v>
      </c>
      <c r="Q217" s="18">
        <v>0.1045</v>
      </c>
      <c r="R217" s="18" t="str" cm="1">
        <f t="array" ref="R217">_xlfn.IFS(Q217&lt;=0.2,"Low Windspeed",Q217&lt;0.4,"Medium Windspeed",Q217&gt;=0.41,"High Windspeed")</f>
        <v>Low Windspeed</v>
      </c>
      <c r="S217" s="18">
        <v>5</v>
      </c>
      <c r="T217" s="18">
        <v>21</v>
      </c>
      <c r="U217" s="19">
        <v>26</v>
      </c>
      <c r="V217" s="18" t="str" cm="1">
        <f t="array" ref="V217">_xlfn.IFS(U217&lt;=70,"Low",U217&lt;=160,"Medium",U217&gt;=161,"High")</f>
        <v>Low</v>
      </c>
    </row>
    <row r="218" spans="1:22" x14ac:dyDescent="0.25">
      <c r="A218" s="16">
        <v>827</v>
      </c>
      <c r="B218" s="17">
        <v>40580</v>
      </c>
      <c r="C218" s="18">
        <v>1</v>
      </c>
      <c r="D218" s="18">
        <v>0</v>
      </c>
      <c r="E218" s="18">
        <v>2</v>
      </c>
      <c r="F218" s="18">
        <v>21</v>
      </c>
      <c r="G218" s="18" t="str" cm="1">
        <f t="array" ref="G218">_xlfn.IFS(F218&lt;4,"Night",F218&lt;=6,"Early Morning",F218&lt;11,"Morning",F218&lt;12,"Afternoon",F218&lt;=16,"Afternoon",F218&lt;=20,"Evening",F218&gt;=21,"Night")</f>
        <v>Night</v>
      </c>
      <c r="H218" s="18" t="b">
        <v>0</v>
      </c>
      <c r="I218" s="18">
        <v>0</v>
      </c>
      <c r="J218" s="18" t="str" cm="1">
        <f t="array" ref="J218">_xlfn.IFS(I218=1,"Monday",I218=2,"Tuesday",I218=3,"Wednesday",I218=4,"Thursday",I218=5,"Friday",I218=6,"Saturday",I218=0,"Sunday")</f>
        <v>Sunday</v>
      </c>
      <c r="K218" s="18">
        <v>1</v>
      </c>
      <c r="L218" s="18">
        <v>0.26</v>
      </c>
      <c r="M218" s="27" t="str" cm="1">
        <f t="array" ref="M218">_xlfn.IFS(L218&lt;0.15,"Cold",L218&lt;0.25,"Mild",L218&lt;=0.32,"Warm",L218&gt;=0.33,"Hot")</f>
        <v>Warm</v>
      </c>
      <c r="N218" s="18">
        <v>0.30299999999999999</v>
      </c>
      <c r="O218" s="18">
        <v>0.6</v>
      </c>
      <c r="P218" s="18" t="str" cm="1">
        <f t="array" ref="P218">_xlfn.IFS(O218&gt;0.61, "High Humidity", O218&gt;=0.6, "Humid", O218&gt;0.4, "Less Humidity", TRUE, "Dry")</f>
        <v>Humid</v>
      </c>
      <c r="Q218" s="18">
        <v>0</v>
      </c>
      <c r="R218" s="18" t="str" cm="1">
        <f t="array" ref="R218">_xlfn.IFS(Q218&lt;=0.2,"Low Windspeed",Q218&lt;0.4,"Medium Windspeed",Q218&gt;=0.41,"High Windspeed")</f>
        <v>Low Windspeed</v>
      </c>
      <c r="S218" s="18">
        <v>5</v>
      </c>
      <c r="T218" s="18">
        <v>22</v>
      </c>
      <c r="U218" s="19">
        <v>27</v>
      </c>
      <c r="V218" s="18" t="str" cm="1">
        <f t="array" ref="V218">_xlfn.IFS(U218&lt;=70,"Low",U218&lt;=160,"Medium",U218&gt;=161,"High")</f>
        <v>Low</v>
      </c>
    </row>
    <row r="219" spans="1:22" x14ac:dyDescent="0.25">
      <c r="A219" s="16">
        <v>828</v>
      </c>
      <c r="B219" s="17">
        <v>40580</v>
      </c>
      <c r="C219" s="18">
        <v>1</v>
      </c>
      <c r="D219" s="18">
        <v>0</v>
      </c>
      <c r="E219" s="18">
        <v>2</v>
      </c>
      <c r="F219" s="18">
        <v>22</v>
      </c>
      <c r="G219" s="18" t="str" cm="1">
        <f t="array" ref="G219">_xlfn.IFS(F219&lt;4,"Night",F219&lt;=6,"Early Morning",F219&lt;11,"Morning",F219&lt;12,"Afternoon",F219&lt;=16,"Afternoon",F219&lt;=20,"Evening",F219&gt;=21,"Night")</f>
        <v>Night</v>
      </c>
      <c r="H219" s="18" t="b">
        <v>0</v>
      </c>
      <c r="I219" s="18">
        <v>0</v>
      </c>
      <c r="J219" s="18" t="str" cm="1">
        <f t="array" ref="J219">_xlfn.IFS(I219=1,"Monday",I219=2,"Tuesday",I219=3,"Wednesday",I219=4,"Thursday",I219=5,"Friday",I219=6,"Saturday",I219=0,"Sunday")</f>
        <v>Sunday</v>
      </c>
      <c r="K219" s="18">
        <v>1</v>
      </c>
      <c r="L219" s="18">
        <v>0.26</v>
      </c>
      <c r="M219" s="27" t="str" cm="1">
        <f t="array" ref="M219">_xlfn.IFS(L219&lt;0.15,"Cold",L219&lt;0.25,"Mild",L219&lt;=0.32,"Warm",L219&gt;=0.33,"Hot")</f>
        <v>Warm</v>
      </c>
      <c r="N219" s="18">
        <v>0.30299999999999999</v>
      </c>
      <c r="O219" s="18">
        <v>0.6</v>
      </c>
      <c r="P219" s="18" t="str" cm="1">
        <f t="array" ref="P219">_xlfn.IFS(O219&gt;0.61, "High Humidity", O219&gt;=0.6, "Humid", O219&gt;0.4, "Less Humidity", TRUE, "Dry")</f>
        <v>Humid</v>
      </c>
      <c r="Q219" s="18">
        <v>0</v>
      </c>
      <c r="R219" s="18" t="str" cm="1">
        <f t="array" ref="R219">_xlfn.IFS(Q219&lt;=0.2,"Low Windspeed",Q219&lt;0.4,"Medium Windspeed",Q219&gt;=0.41,"High Windspeed")</f>
        <v>Low Windspeed</v>
      </c>
      <c r="S219" s="18">
        <v>5</v>
      </c>
      <c r="T219" s="18">
        <v>57</v>
      </c>
      <c r="U219" s="19">
        <v>62</v>
      </c>
      <c r="V219" s="18" t="str" cm="1">
        <f t="array" ref="V219">_xlfn.IFS(U219&lt;=70,"Low",U219&lt;=160,"Medium",U219&gt;=161,"High")</f>
        <v>Low</v>
      </c>
    </row>
    <row r="220" spans="1:22" x14ac:dyDescent="0.25">
      <c r="A220" s="16">
        <v>829</v>
      </c>
      <c r="B220" s="17">
        <v>40580</v>
      </c>
      <c r="C220" s="18">
        <v>1</v>
      </c>
      <c r="D220" s="18">
        <v>0</v>
      </c>
      <c r="E220" s="18">
        <v>2</v>
      </c>
      <c r="F220" s="18">
        <v>23</v>
      </c>
      <c r="G220" s="18" t="str" cm="1">
        <f t="array" ref="G220">_xlfn.IFS(F220&lt;4,"Night",F220&lt;=6,"Early Morning",F220&lt;11,"Morning",F220&lt;12,"Afternoon",F220&lt;=16,"Afternoon",F220&lt;=20,"Evening",F220&gt;=21,"Night")</f>
        <v>Night</v>
      </c>
      <c r="H220" s="18" t="b">
        <v>0</v>
      </c>
      <c r="I220" s="18">
        <v>0</v>
      </c>
      <c r="J220" s="18" t="str" cm="1">
        <f t="array" ref="J220">_xlfn.IFS(I220=1,"Monday",I220=2,"Tuesday",I220=3,"Wednesday",I220=4,"Thursday",I220=5,"Friday",I220=6,"Saturday",I220=0,"Sunday")</f>
        <v>Sunday</v>
      </c>
      <c r="K220" s="18">
        <v>1</v>
      </c>
      <c r="L220" s="18">
        <v>0.24</v>
      </c>
      <c r="M220" s="27" t="str" cm="1">
        <f t="array" ref="M220">_xlfn.IFS(L220&lt;0.15,"Cold",L220&lt;0.25,"Mild",L220&lt;=0.32,"Warm",L220&gt;=0.33,"Hot")</f>
        <v>Mild</v>
      </c>
      <c r="N220" s="18">
        <v>0.28789999999999999</v>
      </c>
      <c r="O220" s="18">
        <v>0.65</v>
      </c>
      <c r="P220" s="18" t="str" cm="1">
        <f t="array" ref="P220">_xlfn.IFS(O220&gt;0.61, "High Humidity", O220&gt;=0.6, "Humid", O220&gt;0.4, "Less Humidity", TRUE, "Dry")</f>
        <v>High Humidity</v>
      </c>
      <c r="Q220" s="18">
        <v>0</v>
      </c>
      <c r="R220" s="18" t="str" cm="1">
        <f t="array" ref="R220">_xlfn.IFS(Q220&lt;=0.2,"Low Windspeed",Q220&lt;0.4,"Medium Windspeed",Q220&gt;=0.41,"High Windspeed")</f>
        <v>Low Windspeed</v>
      </c>
      <c r="S220" s="18">
        <v>4</v>
      </c>
      <c r="T220" s="18">
        <v>26</v>
      </c>
      <c r="U220" s="19">
        <v>30</v>
      </c>
      <c r="V220" s="18" t="str" cm="1">
        <f t="array" ref="V220">_xlfn.IFS(U220&lt;=70,"Low",U220&lt;=160,"Medium",U220&gt;=161,"High")</f>
        <v>Low</v>
      </c>
    </row>
    <row r="221" spans="1:22" x14ac:dyDescent="0.25">
      <c r="A221" s="16">
        <v>830</v>
      </c>
      <c r="B221" s="17">
        <v>40581</v>
      </c>
      <c r="C221" s="18">
        <v>1</v>
      </c>
      <c r="D221" s="18">
        <v>0</v>
      </c>
      <c r="E221" s="18">
        <v>2</v>
      </c>
      <c r="F221" s="18">
        <v>0</v>
      </c>
      <c r="G221" s="18" t="str" cm="1">
        <f t="array" ref="G221">_xlfn.IFS(F221&lt;4,"Night",F221&lt;=6,"Early Morning",F221&lt;11,"Morning",F221&lt;12,"Afternoon",F221&lt;=16,"Afternoon",F221&lt;=20,"Evening",F221&gt;=21,"Night")</f>
        <v>Night</v>
      </c>
      <c r="H221" s="18" t="b">
        <v>0</v>
      </c>
      <c r="I221" s="18">
        <v>1</v>
      </c>
      <c r="J221" s="18" t="str" cm="1">
        <f t="array" ref="J221">_xlfn.IFS(I221=1,"Monday",I221=2,"Tuesday",I221=3,"Wednesday",I221=4,"Thursday",I221=5,"Friday",I221=6,"Saturday",I221=0,"Sunday")</f>
        <v>Monday</v>
      </c>
      <c r="K221" s="18">
        <v>1</v>
      </c>
      <c r="L221" s="18">
        <v>0.24</v>
      </c>
      <c r="M221" s="27" t="str" cm="1">
        <f t="array" ref="M221">_xlfn.IFS(L221&lt;0.15,"Cold",L221&lt;0.25,"Mild",L221&lt;=0.32,"Warm",L221&gt;=0.33,"Hot")</f>
        <v>Mild</v>
      </c>
      <c r="N221" s="18">
        <v>0.28789999999999999</v>
      </c>
      <c r="O221" s="18">
        <v>0.65</v>
      </c>
      <c r="P221" s="18" t="str" cm="1">
        <f t="array" ref="P221">_xlfn.IFS(O221&gt;0.61, "High Humidity", O221&gt;=0.6, "Humid", O221&gt;0.4, "Less Humidity", TRUE, "Dry")</f>
        <v>High Humidity</v>
      </c>
      <c r="Q221" s="18">
        <v>0</v>
      </c>
      <c r="R221" s="18" t="str" cm="1">
        <f t="array" ref="R221">_xlfn.IFS(Q221&lt;=0.2,"Low Windspeed",Q221&lt;0.4,"Medium Windspeed",Q221&gt;=0.41,"High Windspeed")</f>
        <v>Low Windspeed</v>
      </c>
      <c r="S221" s="18">
        <v>1</v>
      </c>
      <c r="T221" s="18">
        <v>14</v>
      </c>
      <c r="U221" s="19">
        <v>15</v>
      </c>
      <c r="V221" s="18" t="str" cm="1">
        <f t="array" ref="V221">_xlfn.IFS(U221&lt;=70,"Low",U221&lt;=160,"Medium",U221&gt;=161,"High")</f>
        <v>Low</v>
      </c>
    </row>
    <row r="222" spans="1:22" x14ac:dyDescent="0.25">
      <c r="A222" s="16">
        <v>831</v>
      </c>
      <c r="B222" s="17">
        <v>40581</v>
      </c>
      <c r="C222" s="18">
        <v>1</v>
      </c>
      <c r="D222" s="18">
        <v>0</v>
      </c>
      <c r="E222" s="18">
        <v>2</v>
      </c>
      <c r="F222" s="18">
        <v>1</v>
      </c>
      <c r="G222" s="18" t="str" cm="1">
        <f t="array" ref="G222">_xlfn.IFS(F222&lt;4,"Night",F222&lt;=6,"Early Morning",F222&lt;11,"Morning",F222&lt;12,"Afternoon",F222&lt;=16,"Afternoon",F222&lt;=20,"Evening",F222&gt;=21,"Night")</f>
        <v>Night</v>
      </c>
      <c r="H222" s="18" t="b">
        <v>0</v>
      </c>
      <c r="I222" s="18">
        <v>1</v>
      </c>
      <c r="J222" s="18" t="str" cm="1">
        <f t="array" ref="J222">_xlfn.IFS(I222=1,"Monday",I222=2,"Tuesday",I222=3,"Wednesday",I222=4,"Thursday",I222=5,"Friday",I222=6,"Saturday",I222=0,"Sunday")</f>
        <v>Monday</v>
      </c>
      <c r="K222" s="18">
        <v>1</v>
      </c>
      <c r="L222" s="18">
        <v>0.22</v>
      </c>
      <c r="M222" s="27" t="str" cm="1">
        <f t="array" ref="M222">_xlfn.IFS(L222&lt;0.15,"Cold",L222&lt;0.25,"Mild",L222&lt;=0.32,"Warm",L222&gt;=0.33,"Hot")</f>
        <v>Mild</v>
      </c>
      <c r="N222" s="18">
        <v>0.2727</v>
      </c>
      <c r="O222" s="18">
        <v>0.75</v>
      </c>
      <c r="P222" s="18" t="str" cm="1">
        <f t="array" ref="P222">_xlfn.IFS(O222&gt;0.61, "High Humidity", O222&gt;=0.6, "Humid", O222&gt;0.4, "Less Humidity", TRUE, "Dry")</f>
        <v>High Humidity</v>
      </c>
      <c r="Q222" s="18">
        <v>0</v>
      </c>
      <c r="R222" s="18" t="str" cm="1">
        <f t="array" ref="R222">_xlfn.IFS(Q222&lt;=0.2,"Low Windspeed",Q222&lt;0.4,"Medium Windspeed",Q222&gt;=0.41,"High Windspeed")</f>
        <v>Low Windspeed</v>
      </c>
      <c r="S222" s="18">
        <v>1</v>
      </c>
      <c r="T222" s="18">
        <v>4</v>
      </c>
      <c r="U222" s="19">
        <v>5</v>
      </c>
      <c r="V222" s="18" t="str" cm="1">
        <f t="array" ref="V222">_xlfn.IFS(U222&lt;=70,"Low",U222&lt;=160,"Medium",U222&gt;=161,"High")</f>
        <v>Low</v>
      </c>
    </row>
    <row r="223" spans="1:22" x14ac:dyDescent="0.25">
      <c r="A223" s="16">
        <v>832</v>
      </c>
      <c r="B223" s="17">
        <v>40581</v>
      </c>
      <c r="C223" s="18">
        <v>1</v>
      </c>
      <c r="D223" s="18">
        <v>0</v>
      </c>
      <c r="E223" s="18">
        <v>2</v>
      </c>
      <c r="F223" s="18">
        <v>2</v>
      </c>
      <c r="G223" s="18" t="str" cm="1">
        <f t="array" ref="G223">_xlfn.IFS(F223&lt;4,"Night",F223&lt;=6,"Early Morning",F223&lt;11,"Morning",F223&lt;12,"Afternoon",F223&lt;=16,"Afternoon",F223&lt;=20,"Evening",F223&gt;=21,"Night")</f>
        <v>Night</v>
      </c>
      <c r="H223" s="18" t="b">
        <v>0</v>
      </c>
      <c r="I223" s="18">
        <v>1</v>
      </c>
      <c r="J223" s="18" t="str" cm="1">
        <f t="array" ref="J223">_xlfn.IFS(I223=1,"Monday",I223=2,"Tuesday",I223=3,"Wednesday",I223=4,"Thursday",I223=5,"Friday",I223=6,"Saturday",I223=0,"Sunday")</f>
        <v>Monday</v>
      </c>
      <c r="K223" s="18">
        <v>1</v>
      </c>
      <c r="L223" s="18">
        <v>0.2</v>
      </c>
      <c r="M223" s="27" t="str" cm="1">
        <f t="array" ref="M223">_xlfn.IFS(L223&lt;0.15,"Cold",L223&lt;0.25,"Mild",L223&lt;=0.32,"Warm",L223&gt;=0.33,"Hot")</f>
        <v>Mild</v>
      </c>
      <c r="N223" s="18">
        <v>0.2576</v>
      </c>
      <c r="O223" s="18">
        <v>0.8</v>
      </c>
      <c r="P223" s="18" t="str" cm="1">
        <f t="array" ref="P223">_xlfn.IFS(O223&gt;0.61, "High Humidity", O223&gt;=0.6, "Humid", O223&gt;0.4, "Less Humidity", TRUE, "Dry")</f>
        <v>High Humidity</v>
      </c>
      <c r="Q223" s="18">
        <v>0</v>
      </c>
      <c r="R223" s="18" t="str" cm="1">
        <f t="array" ref="R223">_xlfn.IFS(Q223&lt;=0.2,"Low Windspeed",Q223&lt;0.4,"Medium Windspeed",Q223&gt;=0.41,"High Windspeed")</f>
        <v>Low Windspeed</v>
      </c>
      <c r="S223" s="18">
        <v>0</v>
      </c>
      <c r="T223" s="18">
        <v>3</v>
      </c>
      <c r="U223" s="19">
        <v>3</v>
      </c>
      <c r="V223" s="18" t="str" cm="1">
        <f t="array" ref="V223">_xlfn.IFS(U223&lt;=70,"Low",U223&lt;=160,"Medium",U223&gt;=161,"High")</f>
        <v>Low</v>
      </c>
    </row>
    <row r="224" spans="1:22" x14ac:dyDescent="0.25">
      <c r="A224" s="16">
        <v>833</v>
      </c>
      <c r="B224" s="17">
        <v>40581</v>
      </c>
      <c r="C224" s="18">
        <v>1</v>
      </c>
      <c r="D224" s="18">
        <v>0</v>
      </c>
      <c r="E224" s="18">
        <v>2</v>
      </c>
      <c r="F224" s="18">
        <v>3</v>
      </c>
      <c r="G224" s="18" t="str" cm="1">
        <f t="array" ref="G224">_xlfn.IFS(F224&lt;4,"Night",F224&lt;=6,"Early Morning",F224&lt;11,"Morning",F224&lt;12,"Afternoon",F224&lt;=16,"Afternoon",F224&lt;=20,"Evening",F224&gt;=21,"Night")</f>
        <v>Night</v>
      </c>
      <c r="H224" s="18" t="b">
        <v>0</v>
      </c>
      <c r="I224" s="18">
        <v>1</v>
      </c>
      <c r="J224" s="18" t="str" cm="1">
        <f t="array" ref="J224">_xlfn.IFS(I224=1,"Monday",I224=2,"Tuesday",I224=3,"Wednesday",I224=4,"Thursday",I224=5,"Friday",I224=6,"Saturday",I224=0,"Sunday")</f>
        <v>Monday</v>
      </c>
      <c r="K224" s="18">
        <v>1</v>
      </c>
      <c r="L224" s="18">
        <v>0.2</v>
      </c>
      <c r="M224" s="27" t="str" cm="1">
        <f t="array" ref="M224">_xlfn.IFS(L224&lt;0.15,"Cold",L224&lt;0.25,"Mild",L224&lt;=0.32,"Warm",L224&gt;=0.33,"Hot")</f>
        <v>Mild</v>
      </c>
      <c r="N224" s="18">
        <v>0.2576</v>
      </c>
      <c r="O224" s="18">
        <v>0.86</v>
      </c>
      <c r="P224" s="18" t="str" cm="1">
        <f t="array" ref="P224">_xlfn.IFS(O224&gt;0.61, "High Humidity", O224&gt;=0.6, "Humid", O224&gt;0.4, "Less Humidity", TRUE, "Dry")</f>
        <v>High Humidity</v>
      </c>
      <c r="Q224" s="18">
        <v>0</v>
      </c>
      <c r="R224" s="18" t="str" cm="1">
        <f t="array" ref="R224">_xlfn.IFS(Q224&lt;=0.2,"Low Windspeed",Q224&lt;0.4,"Medium Windspeed",Q224&gt;=0.41,"High Windspeed")</f>
        <v>Low Windspeed</v>
      </c>
      <c r="S224" s="18">
        <v>0</v>
      </c>
      <c r="T224" s="18">
        <v>1</v>
      </c>
      <c r="U224" s="19">
        <v>1</v>
      </c>
      <c r="V224" s="18" t="str" cm="1">
        <f t="array" ref="V224">_xlfn.IFS(U224&lt;=70,"Low",U224&lt;=160,"Medium",U224&gt;=161,"High")</f>
        <v>Low</v>
      </c>
    </row>
    <row r="225" spans="1:22" x14ac:dyDescent="0.25">
      <c r="A225" s="16">
        <v>834</v>
      </c>
      <c r="B225" s="17">
        <v>40581</v>
      </c>
      <c r="C225" s="18">
        <v>1</v>
      </c>
      <c r="D225" s="18">
        <v>0</v>
      </c>
      <c r="E225" s="18">
        <v>2</v>
      </c>
      <c r="F225" s="18">
        <v>4</v>
      </c>
      <c r="G225" s="18" t="str" cm="1">
        <f t="array" ref="G225">_xlfn.IFS(F225&lt;4,"Night",F225&lt;=6,"Early Morning",F225&lt;11,"Morning",F225&lt;12,"Afternoon",F225&lt;=16,"Afternoon",F225&lt;=20,"Evening",F225&gt;=21,"Night")</f>
        <v>Early Morning</v>
      </c>
      <c r="H225" s="18" t="b">
        <v>0</v>
      </c>
      <c r="I225" s="18">
        <v>1</v>
      </c>
      <c r="J225" s="18" t="str" cm="1">
        <f t="array" ref="J225">_xlfn.IFS(I225=1,"Monday",I225=2,"Tuesday",I225=3,"Wednesday",I225=4,"Thursday",I225=5,"Friday",I225=6,"Saturday",I225=0,"Sunday")</f>
        <v>Monday</v>
      </c>
      <c r="K225" s="18">
        <v>1</v>
      </c>
      <c r="L225" s="18">
        <v>0.2</v>
      </c>
      <c r="M225" s="27" t="str" cm="1">
        <f t="array" ref="M225">_xlfn.IFS(L225&lt;0.15,"Cold",L225&lt;0.25,"Mild",L225&lt;=0.32,"Warm",L225&gt;=0.33,"Hot")</f>
        <v>Mild</v>
      </c>
      <c r="N225" s="18">
        <v>0.2576</v>
      </c>
      <c r="O225" s="18">
        <v>0.86</v>
      </c>
      <c r="P225" s="18" t="str" cm="1">
        <f t="array" ref="P225">_xlfn.IFS(O225&gt;0.61, "High Humidity", O225&gt;=0.6, "Humid", O225&gt;0.4, "Less Humidity", TRUE, "Dry")</f>
        <v>High Humidity</v>
      </c>
      <c r="Q225" s="18">
        <v>0</v>
      </c>
      <c r="R225" s="18" t="str" cm="1">
        <f t="array" ref="R225">_xlfn.IFS(Q225&lt;=0.2,"Low Windspeed",Q225&lt;0.4,"Medium Windspeed",Q225&gt;=0.41,"High Windspeed")</f>
        <v>Low Windspeed</v>
      </c>
      <c r="S225" s="18">
        <v>1</v>
      </c>
      <c r="T225" s="18">
        <v>1</v>
      </c>
      <c r="U225" s="19">
        <v>2</v>
      </c>
      <c r="V225" s="18" t="str" cm="1">
        <f t="array" ref="V225">_xlfn.IFS(U225&lt;=70,"Low",U225&lt;=160,"Medium",U225&gt;=161,"High")</f>
        <v>Low</v>
      </c>
    </row>
    <row r="226" spans="1:22" x14ac:dyDescent="0.25">
      <c r="A226" s="16">
        <v>835</v>
      </c>
      <c r="B226" s="17">
        <v>40581</v>
      </c>
      <c r="C226" s="18">
        <v>1</v>
      </c>
      <c r="D226" s="18">
        <v>0</v>
      </c>
      <c r="E226" s="18">
        <v>2</v>
      </c>
      <c r="F226" s="18">
        <v>5</v>
      </c>
      <c r="G226" s="18" t="str" cm="1">
        <f t="array" ref="G226">_xlfn.IFS(F226&lt;4,"Night",F226&lt;=6,"Early Morning",F226&lt;11,"Morning",F226&lt;12,"Afternoon",F226&lt;=16,"Afternoon",F226&lt;=20,"Evening",F226&gt;=21,"Night")</f>
        <v>Early Morning</v>
      </c>
      <c r="H226" s="18" t="b">
        <v>0</v>
      </c>
      <c r="I226" s="18">
        <v>1</v>
      </c>
      <c r="J226" s="18" t="str" cm="1">
        <f t="array" ref="J226">_xlfn.IFS(I226=1,"Monday",I226=2,"Tuesday",I226=3,"Wednesday",I226=4,"Thursday",I226=5,"Friday",I226=6,"Saturday",I226=0,"Sunday")</f>
        <v>Monday</v>
      </c>
      <c r="K226" s="18">
        <v>1</v>
      </c>
      <c r="L226" s="18">
        <v>0.2</v>
      </c>
      <c r="M226" s="27" t="str" cm="1">
        <f t="array" ref="M226">_xlfn.IFS(L226&lt;0.15,"Cold",L226&lt;0.25,"Mild",L226&lt;=0.32,"Warm",L226&gt;=0.33,"Hot")</f>
        <v>Mild</v>
      </c>
      <c r="N226" s="18">
        <v>0.2576</v>
      </c>
      <c r="O226" s="18">
        <v>0.86</v>
      </c>
      <c r="P226" s="18" t="str" cm="1">
        <f t="array" ref="P226">_xlfn.IFS(O226&gt;0.61, "High Humidity", O226&gt;=0.6, "Humid", O226&gt;0.4, "Less Humidity", TRUE, "Dry")</f>
        <v>High Humidity</v>
      </c>
      <c r="Q226" s="18">
        <v>0</v>
      </c>
      <c r="R226" s="18" t="str" cm="1">
        <f t="array" ref="R226">_xlfn.IFS(Q226&lt;=0.2,"Low Windspeed",Q226&lt;0.4,"Medium Windspeed",Q226&gt;=0.41,"High Windspeed")</f>
        <v>Low Windspeed</v>
      </c>
      <c r="S226" s="18">
        <v>1</v>
      </c>
      <c r="T226" s="18">
        <v>9</v>
      </c>
      <c r="U226" s="19">
        <v>10</v>
      </c>
      <c r="V226" s="18" t="str" cm="1">
        <f t="array" ref="V226">_xlfn.IFS(U226&lt;=70,"Low",U226&lt;=160,"Medium",U226&gt;=161,"High")</f>
        <v>Low</v>
      </c>
    </row>
    <row r="227" spans="1:22" x14ac:dyDescent="0.25">
      <c r="A227" s="16">
        <v>836</v>
      </c>
      <c r="B227" s="17">
        <v>40581</v>
      </c>
      <c r="C227" s="18">
        <v>1</v>
      </c>
      <c r="D227" s="18">
        <v>0</v>
      </c>
      <c r="E227" s="18">
        <v>2</v>
      </c>
      <c r="F227" s="18">
        <v>6</v>
      </c>
      <c r="G227" s="18" t="str" cm="1">
        <f t="array" ref="G227">_xlfn.IFS(F227&lt;4,"Night",F227&lt;=6,"Early Morning",F227&lt;11,"Morning",F227&lt;12,"Afternoon",F227&lt;=16,"Afternoon",F227&lt;=20,"Evening",F227&gt;=21,"Night")</f>
        <v>Early Morning</v>
      </c>
      <c r="H227" s="18" t="b">
        <v>0</v>
      </c>
      <c r="I227" s="18">
        <v>1</v>
      </c>
      <c r="J227" s="18" t="str" cm="1">
        <f t="array" ref="J227">_xlfn.IFS(I227=1,"Monday",I227=2,"Tuesday",I227=3,"Wednesday",I227=4,"Thursday",I227=5,"Friday",I227=6,"Saturday",I227=0,"Sunday")</f>
        <v>Monday</v>
      </c>
      <c r="K227" s="18">
        <v>1</v>
      </c>
      <c r="L227" s="18">
        <v>0.18</v>
      </c>
      <c r="M227" s="27" t="str" cm="1">
        <f t="array" ref="M227">_xlfn.IFS(L227&lt;0.15,"Cold",L227&lt;0.25,"Mild",L227&lt;=0.32,"Warm",L227&gt;=0.33,"Hot")</f>
        <v>Mild</v>
      </c>
      <c r="N227" s="18">
        <v>0.2424</v>
      </c>
      <c r="O227" s="18">
        <v>0.93</v>
      </c>
      <c r="P227" s="18" t="str" cm="1">
        <f t="array" ref="P227">_xlfn.IFS(O227&gt;0.61, "High Humidity", O227&gt;=0.6, "Humid", O227&gt;0.4, "Less Humidity", TRUE, "Dry")</f>
        <v>High Humidity</v>
      </c>
      <c r="Q227" s="18">
        <v>0</v>
      </c>
      <c r="R227" s="18" t="str" cm="1">
        <f t="array" ref="R227">_xlfn.IFS(Q227&lt;=0.2,"Low Windspeed",Q227&lt;0.4,"Medium Windspeed",Q227&gt;=0.41,"High Windspeed")</f>
        <v>Low Windspeed</v>
      </c>
      <c r="S227" s="18">
        <v>1</v>
      </c>
      <c r="T227" s="18">
        <v>29</v>
      </c>
      <c r="U227" s="19">
        <v>30</v>
      </c>
      <c r="V227" s="18" t="str" cm="1">
        <f t="array" ref="V227">_xlfn.IFS(U227&lt;=70,"Low",U227&lt;=160,"Medium",U227&gt;=161,"High")</f>
        <v>Low</v>
      </c>
    </row>
    <row r="228" spans="1:22" x14ac:dyDescent="0.25">
      <c r="A228" s="16">
        <v>837</v>
      </c>
      <c r="B228" s="17">
        <v>40581</v>
      </c>
      <c r="C228" s="18">
        <v>1</v>
      </c>
      <c r="D228" s="18">
        <v>0</v>
      </c>
      <c r="E228" s="18">
        <v>2</v>
      </c>
      <c r="F228" s="18">
        <v>7</v>
      </c>
      <c r="G228" s="18" t="str" cm="1">
        <f t="array" ref="G228">_xlfn.IFS(F228&lt;4,"Night",F228&lt;=6,"Early Morning",F228&lt;11,"Morning",F228&lt;12,"Afternoon",F228&lt;=16,"Afternoon",F228&lt;=20,"Evening",F228&gt;=21,"Night")</f>
        <v>Morning</v>
      </c>
      <c r="H228" s="18" t="b">
        <v>0</v>
      </c>
      <c r="I228" s="18">
        <v>1</v>
      </c>
      <c r="J228" s="18" t="str" cm="1">
        <f t="array" ref="J228">_xlfn.IFS(I228=1,"Monday",I228=2,"Tuesday",I228=3,"Wednesday",I228=4,"Thursday",I228=5,"Friday",I228=6,"Saturday",I228=0,"Sunday")</f>
        <v>Monday</v>
      </c>
      <c r="K228" s="18">
        <v>1</v>
      </c>
      <c r="L228" s="18">
        <v>0.18</v>
      </c>
      <c r="M228" s="27" t="str" cm="1">
        <f t="array" ref="M228">_xlfn.IFS(L228&lt;0.15,"Cold",L228&lt;0.25,"Mild",L228&lt;=0.32,"Warm",L228&gt;=0.33,"Hot")</f>
        <v>Mild</v>
      </c>
      <c r="N228" s="18">
        <v>0.2424</v>
      </c>
      <c r="O228" s="18">
        <v>0.86</v>
      </c>
      <c r="P228" s="18" t="str" cm="1">
        <f t="array" ref="P228">_xlfn.IFS(O228&gt;0.61, "High Humidity", O228&gt;=0.6, "Humid", O228&gt;0.4, "Less Humidity", TRUE, "Dry")</f>
        <v>High Humidity</v>
      </c>
      <c r="Q228" s="18">
        <v>0</v>
      </c>
      <c r="R228" s="18" t="str" cm="1">
        <f t="array" ref="R228">_xlfn.IFS(Q228&lt;=0.2,"Low Windspeed",Q228&lt;0.4,"Medium Windspeed",Q228&gt;=0.41,"High Windspeed")</f>
        <v>Low Windspeed</v>
      </c>
      <c r="S228" s="18">
        <v>6</v>
      </c>
      <c r="T228" s="18">
        <v>89</v>
      </c>
      <c r="U228" s="19">
        <v>95</v>
      </c>
      <c r="V228" s="18" t="str" cm="1">
        <f t="array" ref="V228">_xlfn.IFS(U228&lt;=70,"Low",U228&lt;=160,"Medium",U228&gt;=161,"High")</f>
        <v>Medium</v>
      </c>
    </row>
    <row r="229" spans="1:22" x14ac:dyDescent="0.25">
      <c r="A229" s="16">
        <v>838</v>
      </c>
      <c r="B229" s="17">
        <v>40581</v>
      </c>
      <c r="C229" s="18">
        <v>1</v>
      </c>
      <c r="D229" s="18">
        <v>0</v>
      </c>
      <c r="E229" s="18">
        <v>2</v>
      </c>
      <c r="F229" s="18">
        <v>8</v>
      </c>
      <c r="G229" s="18" t="str" cm="1">
        <f t="array" ref="G229">_xlfn.IFS(F229&lt;4,"Night",F229&lt;=6,"Early Morning",F229&lt;11,"Morning",F229&lt;12,"Afternoon",F229&lt;=16,"Afternoon",F229&lt;=20,"Evening",F229&gt;=21,"Night")</f>
        <v>Morning</v>
      </c>
      <c r="H229" s="18" t="b">
        <v>0</v>
      </c>
      <c r="I229" s="18">
        <v>1</v>
      </c>
      <c r="J229" s="18" t="str" cm="1">
        <f t="array" ref="J229">_xlfn.IFS(I229=1,"Monday",I229=2,"Tuesday",I229=3,"Wednesday",I229=4,"Thursday",I229=5,"Friday",I229=6,"Saturday",I229=0,"Sunday")</f>
        <v>Monday</v>
      </c>
      <c r="K229" s="18">
        <v>2</v>
      </c>
      <c r="L229" s="18">
        <v>0.16</v>
      </c>
      <c r="M229" s="27" t="str" cm="1">
        <f t="array" ref="M229">_xlfn.IFS(L229&lt;0.15,"Cold",L229&lt;0.25,"Mild",L229&lt;=0.32,"Warm",L229&gt;=0.33,"Hot")</f>
        <v>Mild</v>
      </c>
      <c r="N229" s="18">
        <v>0.2273</v>
      </c>
      <c r="O229" s="18">
        <v>1</v>
      </c>
      <c r="P229" s="18" t="str" cm="1">
        <f t="array" ref="P229">_xlfn.IFS(O229&gt;0.61, "High Humidity", O229&gt;=0.6, "Humid", O229&gt;0.4, "Less Humidity", TRUE, "Dry")</f>
        <v>High Humidity</v>
      </c>
      <c r="Q229" s="18">
        <v>0</v>
      </c>
      <c r="R229" s="18" t="str" cm="1">
        <f t="array" ref="R229">_xlfn.IFS(Q229&lt;=0.2,"Low Windspeed",Q229&lt;0.4,"Medium Windspeed",Q229&gt;=0.41,"High Windspeed")</f>
        <v>Low Windspeed</v>
      </c>
      <c r="S229" s="18">
        <v>7</v>
      </c>
      <c r="T229" s="18">
        <v>223</v>
      </c>
      <c r="U229" s="19">
        <v>230</v>
      </c>
      <c r="V229" s="18" t="str" cm="1">
        <f t="array" ref="V229">_xlfn.IFS(U229&lt;=70,"Low",U229&lt;=160,"Medium",U229&gt;=161,"High")</f>
        <v>High</v>
      </c>
    </row>
    <row r="230" spans="1:22" x14ac:dyDescent="0.25">
      <c r="A230" s="16">
        <v>839</v>
      </c>
      <c r="B230" s="17">
        <v>40581</v>
      </c>
      <c r="C230" s="18">
        <v>1</v>
      </c>
      <c r="D230" s="18">
        <v>0</v>
      </c>
      <c r="E230" s="18">
        <v>2</v>
      </c>
      <c r="F230" s="18">
        <v>9</v>
      </c>
      <c r="G230" s="18" t="str" cm="1">
        <f t="array" ref="G230">_xlfn.IFS(F230&lt;4,"Night",F230&lt;=6,"Early Morning",F230&lt;11,"Morning",F230&lt;12,"Afternoon",F230&lt;=16,"Afternoon",F230&lt;=20,"Evening",F230&gt;=21,"Night")</f>
        <v>Morning</v>
      </c>
      <c r="H230" s="18" t="b">
        <v>0</v>
      </c>
      <c r="I230" s="18">
        <v>1</v>
      </c>
      <c r="J230" s="18" t="str" cm="1">
        <f t="array" ref="J230">_xlfn.IFS(I230=1,"Monday",I230=2,"Tuesday",I230=3,"Wednesday",I230=4,"Thursday",I230=5,"Friday",I230=6,"Saturday",I230=0,"Sunday")</f>
        <v>Monday</v>
      </c>
      <c r="K230" s="18">
        <v>1</v>
      </c>
      <c r="L230" s="18">
        <v>0.22</v>
      </c>
      <c r="M230" s="27" t="str" cm="1">
        <f t="array" ref="M230">_xlfn.IFS(L230&lt;0.15,"Cold",L230&lt;0.25,"Mild",L230&lt;=0.32,"Warm",L230&gt;=0.33,"Hot")</f>
        <v>Mild</v>
      </c>
      <c r="N230" s="18">
        <v>0.2727</v>
      </c>
      <c r="O230" s="18">
        <v>0.8</v>
      </c>
      <c r="P230" s="18" t="str" cm="1">
        <f t="array" ref="P230">_xlfn.IFS(O230&gt;0.61, "High Humidity", O230&gt;=0.6, "Humid", O230&gt;0.4, "Less Humidity", TRUE, "Dry")</f>
        <v>High Humidity</v>
      </c>
      <c r="Q230" s="18">
        <v>0</v>
      </c>
      <c r="R230" s="18" t="str" cm="1">
        <f t="array" ref="R230">_xlfn.IFS(Q230&lt;=0.2,"Low Windspeed",Q230&lt;0.4,"Medium Windspeed",Q230&gt;=0.41,"High Windspeed")</f>
        <v>Low Windspeed</v>
      </c>
      <c r="S230" s="18">
        <v>3</v>
      </c>
      <c r="T230" s="18">
        <v>115</v>
      </c>
      <c r="U230" s="19">
        <v>118</v>
      </c>
      <c r="V230" s="18" t="str" cm="1">
        <f t="array" ref="V230">_xlfn.IFS(U230&lt;=70,"Low",U230&lt;=160,"Medium",U230&gt;=161,"High")</f>
        <v>Medium</v>
      </c>
    </row>
    <row r="231" spans="1:22" x14ac:dyDescent="0.25">
      <c r="A231" s="16">
        <v>840</v>
      </c>
      <c r="B231" s="17">
        <v>40581</v>
      </c>
      <c r="C231" s="18">
        <v>1</v>
      </c>
      <c r="D231" s="18">
        <v>0</v>
      </c>
      <c r="E231" s="18">
        <v>2</v>
      </c>
      <c r="F231" s="18">
        <v>10</v>
      </c>
      <c r="G231" s="18" t="str" cm="1">
        <f t="array" ref="G231">_xlfn.IFS(F231&lt;4,"Night",F231&lt;=6,"Early Morning",F231&lt;11,"Morning",F231&lt;12,"Afternoon",F231&lt;=16,"Afternoon",F231&lt;=20,"Evening",F231&gt;=21,"Night")</f>
        <v>Morning</v>
      </c>
      <c r="H231" s="18" t="b">
        <v>0</v>
      </c>
      <c r="I231" s="18">
        <v>1</v>
      </c>
      <c r="J231" s="18" t="str" cm="1">
        <f t="array" ref="J231">_xlfn.IFS(I231=1,"Monday",I231=2,"Tuesday",I231=3,"Wednesday",I231=4,"Thursday",I231=5,"Friday",I231=6,"Saturday",I231=0,"Sunday")</f>
        <v>Monday</v>
      </c>
      <c r="K231" s="18">
        <v>1</v>
      </c>
      <c r="L231" s="18">
        <v>0.24</v>
      </c>
      <c r="M231" s="27" t="str" cm="1">
        <f t="array" ref="M231">_xlfn.IFS(L231&lt;0.15,"Cold",L231&lt;0.25,"Mild",L231&lt;=0.32,"Warm",L231&gt;=0.33,"Hot")</f>
        <v>Mild</v>
      </c>
      <c r="N231" s="18">
        <v>0.2576</v>
      </c>
      <c r="O231" s="18">
        <v>0.75</v>
      </c>
      <c r="P231" s="18" t="str" cm="1">
        <f t="array" ref="P231">_xlfn.IFS(O231&gt;0.61, "High Humidity", O231&gt;=0.6, "Humid", O231&gt;0.4, "Less Humidity", TRUE, "Dry")</f>
        <v>High Humidity</v>
      </c>
      <c r="Q231" s="18">
        <v>0.1045</v>
      </c>
      <c r="R231" s="18" t="str" cm="1">
        <f t="array" ref="R231">_xlfn.IFS(Q231&lt;=0.2,"Low Windspeed",Q231&lt;0.4,"Medium Windspeed",Q231&gt;=0.41,"High Windspeed")</f>
        <v>Low Windspeed</v>
      </c>
      <c r="S231" s="18">
        <v>6</v>
      </c>
      <c r="T231" s="18">
        <v>49</v>
      </c>
      <c r="U231" s="19">
        <v>55</v>
      </c>
      <c r="V231" s="18" t="str" cm="1">
        <f t="array" ref="V231">_xlfn.IFS(U231&lt;=70,"Low",U231&lt;=160,"Medium",U231&gt;=161,"High")</f>
        <v>Low</v>
      </c>
    </row>
    <row r="232" spans="1:22" x14ac:dyDescent="0.25">
      <c r="A232" s="16">
        <v>841</v>
      </c>
      <c r="B232" s="17">
        <v>40581</v>
      </c>
      <c r="C232" s="18">
        <v>1</v>
      </c>
      <c r="D232" s="18">
        <v>0</v>
      </c>
      <c r="E232" s="18">
        <v>2</v>
      </c>
      <c r="F232" s="18">
        <v>11</v>
      </c>
      <c r="G232" s="18" t="str" cm="1">
        <f t="array" ref="G232">_xlfn.IFS(F232&lt;4,"Night",F232&lt;=6,"Early Morning",F232&lt;11,"Morning",F232&lt;12,"Afternoon",F232&lt;=16,"Afternoon",F232&lt;=20,"Evening",F232&gt;=21,"Night")</f>
        <v>Afternoon</v>
      </c>
      <c r="H232" s="18" t="b">
        <v>0</v>
      </c>
      <c r="I232" s="18">
        <v>1</v>
      </c>
      <c r="J232" s="18" t="str" cm="1">
        <f t="array" ref="J232">_xlfn.IFS(I232=1,"Monday",I232=2,"Tuesday",I232=3,"Wednesday",I232=4,"Thursday",I232=5,"Friday",I232=6,"Saturday",I232=0,"Sunday")</f>
        <v>Monday</v>
      </c>
      <c r="K232" s="18">
        <v>1</v>
      </c>
      <c r="L232" s="18">
        <v>0.3</v>
      </c>
      <c r="M232" s="27" t="str" cm="1">
        <f t="array" ref="M232">_xlfn.IFS(L232&lt;0.15,"Cold",L232&lt;0.25,"Mild",L232&lt;=0.32,"Warm",L232&gt;=0.33,"Hot")</f>
        <v>Warm</v>
      </c>
      <c r="N232" s="18">
        <v>0.31819999999999998</v>
      </c>
      <c r="O232" s="18">
        <v>0.65</v>
      </c>
      <c r="P232" s="18" t="str" cm="1">
        <f t="array" ref="P232">_xlfn.IFS(O232&gt;0.61, "High Humidity", O232&gt;=0.6, "Humid", O232&gt;0.4, "Less Humidity", TRUE, "Dry")</f>
        <v>High Humidity</v>
      </c>
      <c r="Q232" s="18">
        <v>8.9599999999999999E-2</v>
      </c>
      <c r="R232" s="18" t="str" cm="1">
        <f t="array" ref="R232">_xlfn.IFS(Q232&lt;=0.2,"Low Windspeed",Q232&lt;0.4,"Medium Windspeed",Q232&gt;=0.41,"High Windspeed")</f>
        <v>Low Windspeed</v>
      </c>
      <c r="S232" s="18">
        <v>11</v>
      </c>
      <c r="T232" s="18">
        <v>36</v>
      </c>
      <c r="U232" s="19">
        <v>47</v>
      </c>
      <c r="V232" s="18" t="str" cm="1">
        <f t="array" ref="V232">_xlfn.IFS(U232&lt;=70,"Low",U232&lt;=160,"Medium",U232&gt;=161,"High")</f>
        <v>Low</v>
      </c>
    </row>
    <row r="233" spans="1:22" x14ac:dyDescent="0.25">
      <c r="A233" s="16">
        <v>842</v>
      </c>
      <c r="B233" s="17">
        <v>40581</v>
      </c>
      <c r="C233" s="18">
        <v>1</v>
      </c>
      <c r="D233" s="18">
        <v>0</v>
      </c>
      <c r="E233" s="18">
        <v>2</v>
      </c>
      <c r="F233" s="18">
        <v>12</v>
      </c>
      <c r="G233" s="18" t="str" cm="1">
        <f t="array" ref="G233">_xlfn.IFS(F233&lt;4,"Night",F233&lt;=6,"Early Morning",F233&lt;11,"Morning",F233&lt;12,"Afternoon",F233&lt;=16,"Afternoon",F233&lt;=20,"Evening",F233&gt;=21,"Night")</f>
        <v>Afternoon</v>
      </c>
      <c r="H233" s="18" t="b">
        <v>0</v>
      </c>
      <c r="I233" s="18">
        <v>1</v>
      </c>
      <c r="J233" s="18" t="str" cm="1">
        <f t="array" ref="J233">_xlfn.IFS(I233=1,"Monday",I233=2,"Tuesday",I233=3,"Wednesday",I233=4,"Thursday",I233=5,"Friday",I233=6,"Saturday",I233=0,"Sunday")</f>
        <v>Monday</v>
      </c>
      <c r="K233" s="18">
        <v>2</v>
      </c>
      <c r="L233" s="18">
        <v>0.32</v>
      </c>
      <c r="M233" s="27" t="str" cm="1">
        <f t="array" ref="M233">_xlfn.IFS(L233&lt;0.15,"Cold",L233&lt;0.25,"Mild",L233&lt;=0.32,"Warm",L233&gt;=0.33,"Hot")</f>
        <v>Warm</v>
      </c>
      <c r="N233" s="18">
        <v>0.34849999999999998</v>
      </c>
      <c r="O233" s="18">
        <v>0.62</v>
      </c>
      <c r="P233" s="18" t="str" cm="1">
        <f t="array" ref="P233">_xlfn.IFS(O233&gt;0.61, "High Humidity", O233&gt;=0.6, "Humid", O233&gt;0.4, "Less Humidity", TRUE, "Dry")</f>
        <v>High Humidity</v>
      </c>
      <c r="Q233" s="18">
        <v>0</v>
      </c>
      <c r="R233" s="18" t="str" cm="1">
        <f t="array" ref="R233">_xlfn.IFS(Q233&lt;=0.2,"Low Windspeed",Q233&lt;0.4,"Medium Windspeed",Q233&gt;=0.41,"High Windspeed")</f>
        <v>Low Windspeed</v>
      </c>
      <c r="S233" s="18">
        <v>7</v>
      </c>
      <c r="T233" s="18">
        <v>59</v>
      </c>
      <c r="U233" s="19">
        <v>66</v>
      </c>
      <c r="V233" s="18" t="str" cm="1">
        <f t="array" ref="V233">_xlfn.IFS(U233&lt;=70,"Low",U233&lt;=160,"Medium",U233&gt;=161,"High")</f>
        <v>Low</v>
      </c>
    </row>
    <row r="234" spans="1:22" x14ac:dyDescent="0.25">
      <c r="A234" s="16">
        <v>843</v>
      </c>
      <c r="B234" s="17">
        <v>40581</v>
      </c>
      <c r="C234" s="18">
        <v>1</v>
      </c>
      <c r="D234" s="18">
        <v>0</v>
      </c>
      <c r="E234" s="18">
        <v>2</v>
      </c>
      <c r="F234" s="18">
        <v>13</v>
      </c>
      <c r="G234" s="18" t="str" cm="1">
        <f t="array" ref="G234">_xlfn.IFS(F234&lt;4,"Night",F234&lt;=6,"Early Morning",F234&lt;11,"Morning",F234&lt;12,"Afternoon",F234&lt;=16,"Afternoon",F234&lt;=20,"Evening",F234&gt;=21,"Night")</f>
        <v>Afternoon</v>
      </c>
      <c r="H234" s="18" t="b">
        <v>0</v>
      </c>
      <c r="I234" s="18">
        <v>1</v>
      </c>
      <c r="J234" s="18" t="str" cm="1">
        <f t="array" ref="J234">_xlfn.IFS(I234=1,"Monday",I234=2,"Tuesday",I234=3,"Wednesday",I234=4,"Thursday",I234=5,"Friday",I234=6,"Saturday",I234=0,"Sunday")</f>
        <v>Monday</v>
      </c>
      <c r="K234" s="18">
        <v>2</v>
      </c>
      <c r="L234" s="18">
        <v>0.36</v>
      </c>
      <c r="M234" s="27" t="str" cm="1">
        <f t="array" ref="M234">_xlfn.IFS(L234&lt;0.15,"Cold",L234&lt;0.25,"Mild",L234&lt;=0.32,"Warm",L234&gt;=0.33,"Hot")</f>
        <v>Hot</v>
      </c>
      <c r="N234" s="18">
        <v>0.36359999999999998</v>
      </c>
      <c r="O234" s="18">
        <v>0.56999999999999995</v>
      </c>
      <c r="P234" s="18" t="str" cm="1">
        <f t="array" ref="P234">_xlfn.IFS(O234&gt;0.61, "High Humidity", O234&gt;=0.6, "Humid", O234&gt;0.4, "Less Humidity", TRUE, "Dry")</f>
        <v>Less Humidity</v>
      </c>
      <c r="Q234" s="18">
        <v>8.9599999999999999E-2</v>
      </c>
      <c r="R234" s="18" t="str" cm="1">
        <f t="array" ref="R234">_xlfn.IFS(Q234&lt;=0.2,"Low Windspeed",Q234&lt;0.4,"Medium Windspeed",Q234&gt;=0.41,"High Windspeed")</f>
        <v>Low Windspeed</v>
      </c>
      <c r="S234" s="18">
        <v>10</v>
      </c>
      <c r="T234" s="18">
        <v>54</v>
      </c>
      <c r="U234" s="19">
        <v>64</v>
      </c>
      <c r="V234" s="18" t="str" cm="1">
        <f t="array" ref="V234">_xlfn.IFS(U234&lt;=70,"Low",U234&lt;=160,"Medium",U234&gt;=161,"High")</f>
        <v>Low</v>
      </c>
    </row>
    <row r="235" spans="1:22" x14ac:dyDescent="0.25">
      <c r="A235" s="16">
        <v>844</v>
      </c>
      <c r="B235" s="17">
        <v>40581</v>
      </c>
      <c r="C235" s="18">
        <v>1</v>
      </c>
      <c r="D235" s="18">
        <v>0</v>
      </c>
      <c r="E235" s="18">
        <v>2</v>
      </c>
      <c r="F235" s="18">
        <v>14</v>
      </c>
      <c r="G235" s="18" t="str" cm="1">
        <f t="array" ref="G235">_xlfn.IFS(F235&lt;4,"Night",F235&lt;=6,"Early Morning",F235&lt;11,"Morning",F235&lt;12,"Afternoon",F235&lt;=16,"Afternoon",F235&lt;=20,"Evening",F235&gt;=21,"Night")</f>
        <v>Afternoon</v>
      </c>
      <c r="H235" s="18" t="b">
        <v>0</v>
      </c>
      <c r="I235" s="18">
        <v>1</v>
      </c>
      <c r="J235" s="18" t="str" cm="1">
        <f t="array" ref="J235">_xlfn.IFS(I235=1,"Monday",I235=2,"Tuesday",I235=3,"Wednesday",I235=4,"Thursday",I235=5,"Friday",I235=6,"Saturday",I235=0,"Sunday")</f>
        <v>Monday</v>
      </c>
      <c r="K235" s="18">
        <v>2</v>
      </c>
      <c r="L235" s="18">
        <v>0.36</v>
      </c>
      <c r="M235" s="27" t="str" cm="1">
        <f t="array" ref="M235">_xlfn.IFS(L235&lt;0.15,"Cold",L235&lt;0.25,"Mild",L235&lt;=0.32,"Warm",L235&gt;=0.33,"Hot")</f>
        <v>Hot</v>
      </c>
      <c r="N235" s="18">
        <v>0.36359999999999998</v>
      </c>
      <c r="O235" s="18">
        <v>0.56999999999999995</v>
      </c>
      <c r="P235" s="18" t="str" cm="1">
        <f t="array" ref="P235">_xlfn.IFS(O235&gt;0.61, "High Humidity", O235&gt;=0.6, "Humid", O235&gt;0.4, "Less Humidity", TRUE, "Dry")</f>
        <v>Less Humidity</v>
      </c>
      <c r="Q235" s="18">
        <v>8.9599999999999999E-2</v>
      </c>
      <c r="R235" s="18" t="str" cm="1">
        <f t="array" ref="R235">_xlfn.IFS(Q235&lt;=0.2,"Low Windspeed",Q235&lt;0.4,"Medium Windspeed",Q235&gt;=0.41,"High Windspeed")</f>
        <v>Low Windspeed</v>
      </c>
      <c r="S235" s="18">
        <v>8</v>
      </c>
      <c r="T235" s="18">
        <v>52</v>
      </c>
      <c r="U235" s="19">
        <v>60</v>
      </c>
      <c r="V235" s="18" t="str" cm="1">
        <f t="array" ref="V235">_xlfn.IFS(U235&lt;=70,"Low",U235&lt;=160,"Medium",U235&gt;=161,"High")</f>
        <v>Low</v>
      </c>
    </row>
    <row r="236" spans="1:22" x14ac:dyDescent="0.25">
      <c r="A236" s="16">
        <v>845</v>
      </c>
      <c r="B236" s="17">
        <v>40581</v>
      </c>
      <c r="C236" s="18">
        <v>1</v>
      </c>
      <c r="D236" s="18">
        <v>0</v>
      </c>
      <c r="E236" s="18">
        <v>2</v>
      </c>
      <c r="F236" s="18">
        <v>15</v>
      </c>
      <c r="G236" s="18" t="str" cm="1">
        <f t="array" ref="G236">_xlfn.IFS(F236&lt;4,"Night",F236&lt;=6,"Early Morning",F236&lt;11,"Morning",F236&lt;12,"Afternoon",F236&lt;=16,"Afternoon",F236&lt;=20,"Evening",F236&gt;=21,"Night")</f>
        <v>Afternoon</v>
      </c>
      <c r="H236" s="18" t="b">
        <v>0</v>
      </c>
      <c r="I236" s="18">
        <v>1</v>
      </c>
      <c r="J236" s="18" t="str" cm="1">
        <f t="array" ref="J236">_xlfn.IFS(I236=1,"Monday",I236=2,"Tuesday",I236=3,"Wednesday",I236=4,"Thursday",I236=5,"Friday",I236=6,"Saturday",I236=0,"Sunday")</f>
        <v>Monday</v>
      </c>
      <c r="K236" s="18">
        <v>2</v>
      </c>
      <c r="L236" s="18">
        <v>0.38</v>
      </c>
      <c r="M236" s="27" t="str" cm="1">
        <f t="array" ref="M236">_xlfn.IFS(L236&lt;0.15,"Cold",L236&lt;0.25,"Mild",L236&lt;=0.32,"Warm",L236&gt;=0.33,"Hot")</f>
        <v>Hot</v>
      </c>
      <c r="N236" s="18">
        <v>0.39389999999999997</v>
      </c>
      <c r="O236" s="18">
        <v>0.54</v>
      </c>
      <c r="P236" s="18" t="str" cm="1">
        <f t="array" ref="P236">_xlfn.IFS(O236&gt;0.61, "High Humidity", O236&gt;=0.6, "Humid", O236&gt;0.4, "Less Humidity", TRUE, "Dry")</f>
        <v>Less Humidity</v>
      </c>
      <c r="Q236" s="18">
        <v>8.9599999999999999E-2</v>
      </c>
      <c r="R236" s="18" t="str" cm="1">
        <f t="array" ref="R236">_xlfn.IFS(Q236&lt;=0.2,"Low Windspeed",Q236&lt;0.4,"Medium Windspeed",Q236&gt;=0.41,"High Windspeed")</f>
        <v>Low Windspeed</v>
      </c>
      <c r="S236" s="18">
        <v>4</v>
      </c>
      <c r="T236" s="18">
        <v>46</v>
      </c>
      <c r="U236" s="19">
        <v>50</v>
      </c>
      <c r="V236" s="18" t="str" cm="1">
        <f t="array" ref="V236">_xlfn.IFS(U236&lt;=70,"Low",U236&lt;=160,"Medium",U236&gt;=161,"High")</f>
        <v>Low</v>
      </c>
    </row>
    <row r="237" spans="1:22" x14ac:dyDescent="0.25">
      <c r="A237" s="16">
        <v>846</v>
      </c>
      <c r="B237" s="17">
        <v>40581</v>
      </c>
      <c r="C237" s="18">
        <v>1</v>
      </c>
      <c r="D237" s="18">
        <v>0</v>
      </c>
      <c r="E237" s="18">
        <v>2</v>
      </c>
      <c r="F237" s="18">
        <v>16</v>
      </c>
      <c r="G237" s="18" t="str" cm="1">
        <f t="array" ref="G237">_xlfn.IFS(F237&lt;4,"Night",F237&lt;=6,"Early Morning",F237&lt;11,"Morning",F237&lt;12,"Afternoon",F237&lt;=16,"Afternoon",F237&lt;=20,"Evening",F237&gt;=21,"Night")</f>
        <v>Afternoon</v>
      </c>
      <c r="H237" s="18" t="b">
        <v>0</v>
      </c>
      <c r="I237" s="18">
        <v>1</v>
      </c>
      <c r="J237" s="18" t="str" cm="1">
        <f t="array" ref="J237">_xlfn.IFS(I237=1,"Monday",I237=2,"Tuesday",I237=3,"Wednesday",I237=4,"Thursday",I237=5,"Friday",I237=6,"Saturday",I237=0,"Sunday")</f>
        <v>Monday</v>
      </c>
      <c r="K237" s="18">
        <v>2</v>
      </c>
      <c r="L237" s="18">
        <v>0.36</v>
      </c>
      <c r="M237" s="27" t="str" cm="1">
        <f t="array" ref="M237">_xlfn.IFS(L237&lt;0.15,"Cold",L237&lt;0.25,"Mild",L237&lt;=0.32,"Warm",L237&gt;=0.33,"Hot")</f>
        <v>Hot</v>
      </c>
      <c r="N237" s="18">
        <v>0.34849999999999998</v>
      </c>
      <c r="O237" s="18">
        <v>0.56999999999999995</v>
      </c>
      <c r="P237" s="18" t="str" cm="1">
        <f t="array" ref="P237">_xlfn.IFS(O237&gt;0.61, "High Humidity", O237&gt;=0.6, "Humid", O237&gt;0.4, "Less Humidity", TRUE, "Dry")</f>
        <v>Less Humidity</v>
      </c>
      <c r="Q237" s="18">
        <v>0.1343</v>
      </c>
      <c r="R237" s="18" t="str" cm="1">
        <f t="array" ref="R237">_xlfn.IFS(Q237&lt;=0.2,"Low Windspeed",Q237&lt;0.4,"Medium Windspeed",Q237&gt;=0.41,"High Windspeed")</f>
        <v>Low Windspeed</v>
      </c>
      <c r="S237" s="18">
        <v>16</v>
      </c>
      <c r="T237" s="18">
        <v>98</v>
      </c>
      <c r="U237" s="19">
        <v>114</v>
      </c>
      <c r="V237" s="18" t="str" cm="1">
        <f t="array" ref="V237">_xlfn.IFS(U237&lt;=70,"Low",U237&lt;=160,"Medium",U237&gt;=161,"High")</f>
        <v>Medium</v>
      </c>
    </row>
    <row r="238" spans="1:22" x14ac:dyDescent="0.25">
      <c r="A238" s="16">
        <v>847</v>
      </c>
      <c r="B238" s="17">
        <v>40581</v>
      </c>
      <c r="C238" s="18">
        <v>1</v>
      </c>
      <c r="D238" s="18">
        <v>0</v>
      </c>
      <c r="E238" s="18">
        <v>2</v>
      </c>
      <c r="F238" s="18">
        <v>17</v>
      </c>
      <c r="G238" s="18" t="str" cm="1">
        <f t="array" ref="G238">_xlfn.IFS(F238&lt;4,"Night",F238&lt;=6,"Early Morning",F238&lt;11,"Morning",F238&lt;12,"Afternoon",F238&lt;=16,"Afternoon",F238&lt;=20,"Evening",F238&gt;=21,"Night")</f>
        <v>Evening</v>
      </c>
      <c r="H238" s="18" t="b">
        <v>0</v>
      </c>
      <c r="I238" s="18">
        <v>1</v>
      </c>
      <c r="J238" s="18" t="str" cm="1">
        <f t="array" ref="J238">_xlfn.IFS(I238=1,"Monday",I238=2,"Tuesday",I238=3,"Wednesday",I238=4,"Thursday",I238=5,"Friday",I238=6,"Saturday",I238=0,"Sunday")</f>
        <v>Monday</v>
      </c>
      <c r="K238" s="18">
        <v>2</v>
      </c>
      <c r="L238" s="18">
        <v>0.32</v>
      </c>
      <c r="M238" s="27" t="str" cm="1">
        <f t="array" ref="M238">_xlfn.IFS(L238&lt;0.15,"Cold",L238&lt;0.25,"Mild",L238&lt;=0.32,"Warm",L238&gt;=0.33,"Hot")</f>
        <v>Warm</v>
      </c>
      <c r="N238" s="18">
        <v>0.31819999999999998</v>
      </c>
      <c r="O238" s="18">
        <v>0.7</v>
      </c>
      <c r="P238" s="18" t="str" cm="1">
        <f t="array" ref="P238">_xlfn.IFS(O238&gt;0.61, "High Humidity", O238&gt;=0.6, "Humid", O238&gt;0.4, "Less Humidity", TRUE, "Dry")</f>
        <v>High Humidity</v>
      </c>
      <c r="Q238" s="18">
        <v>0.16420000000000001</v>
      </c>
      <c r="R238" s="18" t="str" cm="1">
        <f t="array" ref="R238">_xlfn.IFS(Q238&lt;=0.2,"Low Windspeed",Q238&lt;0.4,"Medium Windspeed",Q238&gt;=0.41,"High Windspeed")</f>
        <v>Low Windspeed</v>
      </c>
      <c r="S238" s="18">
        <v>9</v>
      </c>
      <c r="T238" s="18">
        <v>207</v>
      </c>
      <c r="U238" s="19">
        <v>216</v>
      </c>
      <c r="V238" s="18" t="str" cm="1">
        <f t="array" ref="V238">_xlfn.IFS(U238&lt;=70,"Low",U238&lt;=160,"Medium",U238&gt;=161,"High")</f>
        <v>High</v>
      </c>
    </row>
    <row r="239" spans="1:22" x14ac:dyDescent="0.25">
      <c r="A239" s="16">
        <v>848</v>
      </c>
      <c r="B239" s="17">
        <v>40581</v>
      </c>
      <c r="C239" s="18">
        <v>1</v>
      </c>
      <c r="D239" s="18">
        <v>0</v>
      </c>
      <c r="E239" s="18">
        <v>2</v>
      </c>
      <c r="F239" s="18">
        <v>18</v>
      </c>
      <c r="G239" s="18" t="str" cm="1">
        <f t="array" ref="G239">_xlfn.IFS(F239&lt;4,"Night",F239&lt;=6,"Early Morning",F239&lt;11,"Morning",F239&lt;12,"Afternoon",F239&lt;=16,"Afternoon",F239&lt;=20,"Evening",F239&gt;=21,"Night")</f>
        <v>Evening</v>
      </c>
      <c r="H239" s="18" t="b">
        <v>0</v>
      </c>
      <c r="I239" s="18">
        <v>1</v>
      </c>
      <c r="J239" s="18" t="str" cm="1">
        <f t="array" ref="J239">_xlfn.IFS(I239=1,"Monday",I239=2,"Tuesday",I239=3,"Wednesday",I239=4,"Thursday",I239=5,"Friday",I239=6,"Saturday",I239=0,"Sunday")</f>
        <v>Monday</v>
      </c>
      <c r="K239" s="18">
        <v>2</v>
      </c>
      <c r="L239" s="18">
        <v>0.34</v>
      </c>
      <c r="M239" s="27" t="str" cm="1">
        <f t="array" ref="M239">_xlfn.IFS(L239&lt;0.15,"Cold",L239&lt;0.25,"Mild",L239&lt;=0.32,"Warm",L239&gt;=0.33,"Hot")</f>
        <v>Hot</v>
      </c>
      <c r="N239" s="18">
        <v>0.33329999999999999</v>
      </c>
      <c r="O239" s="18">
        <v>0.66</v>
      </c>
      <c r="P239" s="18" t="str" cm="1">
        <f t="array" ref="P239">_xlfn.IFS(O239&gt;0.61, "High Humidity", O239&gt;=0.6, "Humid", O239&gt;0.4, "Less Humidity", TRUE, "Dry")</f>
        <v>High Humidity</v>
      </c>
      <c r="Q239" s="18">
        <v>0.1343</v>
      </c>
      <c r="R239" s="18" t="str" cm="1">
        <f t="array" ref="R239">_xlfn.IFS(Q239&lt;=0.2,"Low Windspeed",Q239&lt;0.4,"Medium Windspeed",Q239&gt;=0.41,"High Windspeed")</f>
        <v>Low Windspeed</v>
      </c>
      <c r="S239" s="18">
        <v>5</v>
      </c>
      <c r="T239" s="18">
        <v>170</v>
      </c>
      <c r="U239" s="19">
        <v>175</v>
      </c>
      <c r="V239" s="18" t="str" cm="1">
        <f t="array" ref="V239">_xlfn.IFS(U239&lt;=70,"Low",U239&lt;=160,"Medium",U239&gt;=161,"High")</f>
        <v>High</v>
      </c>
    </row>
    <row r="240" spans="1:22" x14ac:dyDescent="0.25">
      <c r="A240" s="16">
        <v>849</v>
      </c>
      <c r="B240" s="17">
        <v>40581</v>
      </c>
      <c r="C240" s="18">
        <v>1</v>
      </c>
      <c r="D240" s="18">
        <v>0</v>
      </c>
      <c r="E240" s="18">
        <v>2</v>
      </c>
      <c r="F240" s="18">
        <v>19</v>
      </c>
      <c r="G240" s="18" t="str" cm="1">
        <f t="array" ref="G240">_xlfn.IFS(F240&lt;4,"Night",F240&lt;=6,"Early Morning",F240&lt;11,"Morning",F240&lt;12,"Afternoon",F240&lt;=16,"Afternoon",F240&lt;=20,"Evening",F240&gt;=21,"Night")</f>
        <v>Evening</v>
      </c>
      <c r="H240" s="18" t="b">
        <v>0</v>
      </c>
      <c r="I240" s="18">
        <v>1</v>
      </c>
      <c r="J240" s="18" t="str" cm="1">
        <f t="array" ref="J240">_xlfn.IFS(I240=1,"Monday",I240=2,"Tuesday",I240=3,"Wednesday",I240=4,"Thursday",I240=5,"Friday",I240=6,"Saturday",I240=0,"Sunday")</f>
        <v>Monday</v>
      </c>
      <c r="K240" s="18">
        <v>2</v>
      </c>
      <c r="L240" s="18">
        <v>0.32</v>
      </c>
      <c r="M240" s="27" t="str" cm="1">
        <f t="array" ref="M240">_xlfn.IFS(L240&lt;0.15,"Cold",L240&lt;0.25,"Mild",L240&lt;=0.32,"Warm",L240&gt;=0.33,"Hot")</f>
        <v>Warm</v>
      </c>
      <c r="N240" s="18">
        <v>0.34849999999999998</v>
      </c>
      <c r="O240" s="18">
        <v>0.7</v>
      </c>
      <c r="P240" s="18" t="str" cm="1">
        <f t="array" ref="P240">_xlfn.IFS(O240&gt;0.61, "High Humidity", O240&gt;=0.6, "Humid", O240&gt;0.4, "Less Humidity", TRUE, "Dry")</f>
        <v>High Humidity</v>
      </c>
      <c r="Q240" s="18">
        <v>0</v>
      </c>
      <c r="R240" s="18" t="str" cm="1">
        <f t="array" ref="R240">_xlfn.IFS(Q240&lt;=0.2,"Low Windspeed",Q240&lt;0.4,"Medium Windspeed",Q240&gt;=0.41,"High Windspeed")</f>
        <v>Low Windspeed</v>
      </c>
      <c r="S240" s="18">
        <v>5</v>
      </c>
      <c r="T240" s="18">
        <v>123</v>
      </c>
      <c r="U240" s="19">
        <v>128</v>
      </c>
      <c r="V240" s="18" t="str" cm="1">
        <f t="array" ref="V240">_xlfn.IFS(U240&lt;=70,"Low",U240&lt;=160,"Medium",U240&gt;=161,"High")</f>
        <v>Medium</v>
      </c>
    </row>
    <row r="241" spans="1:22" x14ac:dyDescent="0.25">
      <c r="A241" s="16">
        <v>850</v>
      </c>
      <c r="B241" s="17">
        <v>40581</v>
      </c>
      <c r="C241" s="18">
        <v>1</v>
      </c>
      <c r="D241" s="18">
        <v>0</v>
      </c>
      <c r="E241" s="18">
        <v>2</v>
      </c>
      <c r="F241" s="18">
        <v>20</v>
      </c>
      <c r="G241" s="18" t="str" cm="1">
        <f t="array" ref="G241">_xlfn.IFS(F241&lt;4,"Night",F241&lt;=6,"Early Morning",F241&lt;11,"Morning",F241&lt;12,"Afternoon",F241&lt;=16,"Afternoon",F241&lt;=20,"Evening",F241&gt;=21,"Night")</f>
        <v>Evening</v>
      </c>
      <c r="H241" s="18" t="b">
        <v>0</v>
      </c>
      <c r="I241" s="18">
        <v>1</v>
      </c>
      <c r="J241" s="18" t="str" cm="1">
        <f t="array" ref="J241">_xlfn.IFS(I241=1,"Monday",I241=2,"Tuesday",I241=3,"Wednesday",I241=4,"Thursday",I241=5,"Friday",I241=6,"Saturday",I241=0,"Sunday")</f>
        <v>Monday</v>
      </c>
      <c r="K241" s="18">
        <v>2</v>
      </c>
      <c r="L241" s="18">
        <v>0.32</v>
      </c>
      <c r="M241" s="27" t="str" cm="1">
        <f t="array" ref="M241">_xlfn.IFS(L241&lt;0.15,"Cold",L241&lt;0.25,"Mild",L241&lt;=0.32,"Warm",L241&gt;=0.33,"Hot")</f>
        <v>Warm</v>
      </c>
      <c r="N241" s="18">
        <v>0.33329999999999999</v>
      </c>
      <c r="O241" s="18">
        <v>0.7</v>
      </c>
      <c r="P241" s="18" t="str" cm="1">
        <f t="array" ref="P241">_xlfn.IFS(O241&gt;0.61, "High Humidity", O241&gt;=0.6, "Humid", O241&gt;0.4, "Less Humidity", TRUE, "Dry")</f>
        <v>High Humidity</v>
      </c>
      <c r="Q241" s="18">
        <v>0.1045</v>
      </c>
      <c r="R241" s="18" t="str" cm="1">
        <f t="array" ref="R241">_xlfn.IFS(Q241&lt;=0.2,"Low Windspeed",Q241&lt;0.4,"Medium Windspeed",Q241&gt;=0.41,"High Windspeed")</f>
        <v>Low Windspeed</v>
      </c>
      <c r="S241" s="18">
        <v>6</v>
      </c>
      <c r="T241" s="18">
        <v>82</v>
      </c>
      <c r="U241" s="19">
        <v>88</v>
      </c>
      <c r="V241" s="18" t="str" cm="1">
        <f t="array" ref="V241">_xlfn.IFS(U241&lt;=70,"Low",U241&lt;=160,"Medium",U241&gt;=161,"High")</f>
        <v>Medium</v>
      </c>
    </row>
    <row r="242" spans="1:22" x14ac:dyDescent="0.25">
      <c r="A242" s="16">
        <v>851</v>
      </c>
      <c r="B242" s="17">
        <v>40581</v>
      </c>
      <c r="C242" s="18">
        <v>1</v>
      </c>
      <c r="D242" s="18">
        <v>0</v>
      </c>
      <c r="E242" s="18">
        <v>2</v>
      </c>
      <c r="F242" s="18">
        <v>21</v>
      </c>
      <c r="G242" s="18" t="str" cm="1">
        <f t="array" ref="G242">_xlfn.IFS(F242&lt;4,"Night",F242&lt;=6,"Early Morning",F242&lt;11,"Morning",F242&lt;12,"Afternoon",F242&lt;=16,"Afternoon",F242&lt;=20,"Evening",F242&gt;=21,"Night")</f>
        <v>Night</v>
      </c>
      <c r="H242" s="18" t="b">
        <v>0</v>
      </c>
      <c r="I242" s="18">
        <v>1</v>
      </c>
      <c r="J242" s="18" t="str" cm="1">
        <f t="array" ref="J242">_xlfn.IFS(I242=1,"Monday",I242=2,"Tuesday",I242=3,"Wednesday",I242=4,"Thursday",I242=5,"Friday",I242=6,"Saturday",I242=0,"Sunday")</f>
        <v>Monday</v>
      </c>
      <c r="K242" s="18">
        <v>1</v>
      </c>
      <c r="L242" s="18">
        <v>0.32</v>
      </c>
      <c r="M242" s="27" t="str" cm="1">
        <f t="array" ref="M242">_xlfn.IFS(L242&lt;0.15,"Cold",L242&lt;0.25,"Mild",L242&lt;=0.32,"Warm",L242&gt;=0.33,"Hot")</f>
        <v>Warm</v>
      </c>
      <c r="N242" s="18">
        <v>0.34849999999999998</v>
      </c>
      <c r="O242" s="18">
        <v>0.7</v>
      </c>
      <c r="P242" s="18" t="str" cm="1">
        <f t="array" ref="P242">_xlfn.IFS(O242&gt;0.61, "High Humidity", O242&gt;=0.6, "Humid", O242&gt;0.4, "Less Humidity", TRUE, "Dry")</f>
        <v>High Humidity</v>
      </c>
      <c r="Q242" s="18">
        <v>0</v>
      </c>
      <c r="R242" s="18" t="str" cm="1">
        <f t="array" ref="R242">_xlfn.IFS(Q242&lt;=0.2,"Low Windspeed",Q242&lt;0.4,"Medium Windspeed",Q242&gt;=0.41,"High Windspeed")</f>
        <v>Low Windspeed</v>
      </c>
      <c r="S242" s="18">
        <v>3</v>
      </c>
      <c r="T242" s="18">
        <v>75</v>
      </c>
      <c r="U242" s="19">
        <v>78</v>
      </c>
      <c r="V242" s="18" t="str" cm="1">
        <f t="array" ref="V242">_xlfn.IFS(U242&lt;=70,"Low",U242&lt;=160,"Medium",U242&gt;=161,"High")</f>
        <v>Medium</v>
      </c>
    </row>
    <row r="243" spans="1:22" x14ac:dyDescent="0.25">
      <c r="A243" s="16">
        <v>852</v>
      </c>
      <c r="B243" s="17">
        <v>40581</v>
      </c>
      <c r="C243" s="18">
        <v>1</v>
      </c>
      <c r="D243" s="18">
        <v>0</v>
      </c>
      <c r="E243" s="18">
        <v>2</v>
      </c>
      <c r="F243" s="18">
        <v>22</v>
      </c>
      <c r="G243" s="18" t="str" cm="1">
        <f t="array" ref="G243">_xlfn.IFS(F243&lt;4,"Night",F243&lt;=6,"Early Morning",F243&lt;11,"Morning",F243&lt;12,"Afternoon",F243&lt;=16,"Afternoon",F243&lt;=20,"Evening",F243&gt;=21,"Night")</f>
        <v>Night</v>
      </c>
      <c r="H243" s="18" t="b">
        <v>0</v>
      </c>
      <c r="I243" s="18">
        <v>1</v>
      </c>
      <c r="J243" s="18" t="str" cm="1">
        <f t="array" ref="J243">_xlfn.IFS(I243=1,"Monday",I243=2,"Tuesday",I243=3,"Wednesday",I243=4,"Thursday",I243=5,"Friday",I243=6,"Saturday",I243=0,"Sunday")</f>
        <v>Monday</v>
      </c>
      <c r="K243" s="18">
        <v>1</v>
      </c>
      <c r="L243" s="18">
        <v>0.28000000000000003</v>
      </c>
      <c r="M243" s="27" t="str" cm="1">
        <f t="array" ref="M243">_xlfn.IFS(L243&lt;0.15,"Cold",L243&lt;0.25,"Mild",L243&lt;=0.32,"Warm",L243&gt;=0.33,"Hot")</f>
        <v>Warm</v>
      </c>
      <c r="N243" s="18">
        <v>0.30299999999999999</v>
      </c>
      <c r="O243" s="18">
        <v>0.81</v>
      </c>
      <c r="P243" s="18" t="str" cm="1">
        <f t="array" ref="P243">_xlfn.IFS(O243&gt;0.61, "High Humidity", O243&gt;=0.6, "Humid", O243&gt;0.4, "Less Humidity", TRUE, "Dry")</f>
        <v>High Humidity</v>
      </c>
      <c r="Q243" s="18">
        <v>8.9599999999999999E-2</v>
      </c>
      <c r="R243" s="18" t="str" cm="1">
        <f t="array" ref="R243">_xlfn.IFS(Q243&lt;=0.2,"Low Windspeed",Q243&lt;0.4,"Medium Windspeed",Q243&gt;=0.41,"High Windspeed")</f>
        <v>Low Windspeed</v>
      </c>
      <c r="S243" s="18">
        <v>3</v>
      </c>
      <c r="T243" s="18">
        <v>34</v>
      </c>
      <c r="U243" s="19">
        <v>37</v>
      </c>
      <c r="V243" s="18" t="str" cm="1">
        <f t="array" ref="V243">_xlfn.IFS(U243&lt;=70,"Low",U243&lt;=160,"Medium",U243&gt;=161,"High")</f>
        <v>Low</v>
      </c>
    </row>
    <row r="244" spans="1:22" x14ac:dyDescent="0.25">
      <c r="A244" s="16">
        <v>853</v>
      </c>
      <c r="B244" s="17">
        <v>40581</v>
      </c>
      <c r="C244" s="18">
        <v>1</v>
      </c>
      <c r="D244" s="18">
        <v>0</v>
      </c>
      <c r="E244" s="18">
        <v>2</v>
      </c>
      <c r="F244" s="18">
        <v>23</v>
      </c>
      <c r="G244" s="18" t="str" cm="1">
        <f t="array" ref="G244">_xlfn.IFS(F244&lt;4,"Night",F244&lt;=6,"Early Morning",F244&lt;11,"Morning",F244&lt;12,"Afternoon",F244&lt;=16,"Afternoon",F244&lt;=20,"Evening",F244&gt;=21,"Night")</f>
        <v>Night</v>
      </c>
      <c r="H244" s="18" t="b">
        <v>0</v>
      </c>
      <c r="I244" s="18">
        <v>1</v>
      </c>
      <c r="J244" s="18" t="str" cm="1">
        <f t="array" ref="J244">_xlfn.IFS(I244=1,"Monday",I244=2,"Tuesday",I244=3,"Wednesday",I244=4,"Thursday",I244=5,"Friday",I244=6,"Saturday",I244=0,"Sunday")</f>
        <v>Monday</v>
      </c>
      <c r="K244" s="18">
        <v>2</v>
      </c>
      <c r="L244" s="18">
        <v>0.3</v>
      </c>
      <c r="M244" s="27" t="str" cm="1">
        <f t="array" ref="M244">_xlfn.IFS(L244&lt;0.15,"Cold",L244&lt;0.25,"Mild",L244&lt;=0.32,"Warm",L244&gt;=0.33,"Hot")</f>
        <v>Warm</v>
      </c>
      <c r="N244" s="18">
        <v>0.33329999999999999</v>
      </c>
      <c r="O244" s="18">
        <v>0.81</v>
      </c>
      <c r="P244" s="18" t="str" cm="1">
        <f t="array" ref="P244">_xlfn.IFS(O244&gt;0.61, "High Humidity", O244&gt;=0.6, "Humid", O244&gt;0.4, "Less Humidity", TRUE, "Dry")</f>
        <v>High Humidity</v>
      </c>
      <c r="Q244" s="18">
        <v>0</v>
      </c>
      <c r="R244" s="18" t="str" cm="1">
        <f t="array" ref="R244">_xlfn.IFS(Q244&lt;=0.2,"Low Windspeed",Q244&lt;0.4,"Medium Windspeed",Q244&gt;=0.41,"High Windspeed")</f>
        <v>Low Windspeed</v>
      </c>
      <c r="S244" s="18">
        <v>6</v>
      </c>
      <c r="T244" s="18">
        <v>19</v>
      </c>
      <c r="U244" s="19">
        <v>25</v>
      </c>
      <c r="V244" s="18" t="str" cm="1">
        <f t="array" ref="V244">_xlfn.IFS(U244&lt;=70,"Low",U244&lt;=160,"Medium",U244&gt;=161,"High")</f>
        <v>Low</v>
      </c>
    </row>
    <row r="245" spans="1:22" x14ac:dyDescent="0.25">
      <c r="A245" s="16">
        <v>854</v>
      </c>
      <c r="B245" s="17">
        <v>40582</v>
      </c>
      <c r="C245" s="18">
        <v>1</v>
      </c>
      <c r="D245" s="18">
        <v>0</v>
      </c>
      <c r="E245" s="18">
        <v>2</v>
      </c>
      <c r="F245" s="18">
        <v>0</v>
      </c>
      <c r="G245" s="18" t="str" cm="1">
        <f t="array" ref="G245">_xlfn.IFS(F245&lt;4,"Night",F245&lt;=6,"Early Morning",F245&lt;11,"Morning",F245&lt;12,"Afternoon",F245&lt;=16,"Afternoon",F245&lt;=20,"Evening",F245&gt;=21,"Night")</f>
        <v>Night</v>
      </c>
      <c r="H245" s="18" t="b">
        <v>0</v>
      </c>
      <c r="I245" s="18">
        <v>2</v>
      </c>
      <c r="J245" s="18" t="str" cm="1">
        <f t="array" ref="J245">_xlfn.IFS(I245=1,"Monday",I245=2,"Tuesday",I245=3,"Wednesday",I245=4,"Thursday",I245=5,"Friday",I245=6,"Saturday",I245=0,"Sunday")</f>
        <v>Tuesday</v>
      </c>
      <c r="K245" s="18">
        <v>2</v>
      </c>
      <c r="L245" s="18">
        <v>0.28000000000000003</v>
      </c>
      <c r="M245" s="27" t="str" cm="1">
        <f t="array" ref="M245">_xlfn.IFS(L245&lt;0.15,"Cold",L245&lt;0.25,"Mild",L245&lt;=0.32,"Warm",L245&gt;=0.33,"Hot")</f>
        <v>Warm</v>
      </c>
      <c r="N245" s="18">
        <v>0.31819999999999998</v>
      </c>
      <c r="O245" s="18">
        <v>0.87</v>
      </c>
      <c r="P245" s="18" t="str" cm="1">
        <f t="array" ref="P245">_xlfn.IFS(O245&gt;0.61, "High Humidity", O245&gt;=0.6, "Humid", O245&gt;0.4, "Less Humidity", TRUE, "Dry")</f>
        <v>High Humidity</v>
      </c>
      <c r="Q245" s="18">
        <v>0</v>
      </c>
      <c r="R245" s="18" t="str" cm="1">
        <f t="array" ref="R245">_xlfn.IFS(Q245&lt;=0.2,"Low Windspeed",Q245&lt;0.4,"Medium Windspeed",Q245&gt;=0.41,"High Windspeed")</f>
        <v>Low Windspeed</v>
      </c>
      <c r="S245" s="18">
        <v>4</v>
      </c>
      <c r="T245" s="18">
        <v>6</v>
      </c>
      <c r="U245" s="19">
        <v>10</v>
      </c>
      <c r="V245" s="18" t="str" cm="1">
        <f t="array" ref="V245">_xlfn.IFS(U245&lt;=70,"Low",U245&lt;=160,"Medium",U245&gt;=161,"High")</f>
        <v>Low</v>
      </c>
    </row>
    <row r="246" spans="1:22" x14ac:dyDescent="0.25">
      <c r="A246" s="16">
        <v>855</v>
      </c>
      <c r="B246" s="17">
        <v>40582</v>
      </c>
      <c r="C246" s="18">
        <v>1</v>
      </c>
      <c r="D246" s="18">
        <v>0</v>
      </c>
      <c r="E246" s="18">
        <v>2</v>
      </c>
      <c r="F246" s="18">
        <v>1</v>
      </c>
      <c r="G246" s="18" t="str" cm="1">
        <f t="array" ref="G246">_xlfn.IFS(F246&lt;4,"Night",F246&lt;=6,"Early Morning",F246&lt;11,"Morning",F246&lt;12,"Afternoon",F246&lt;=16,"Afternoon",F246&lt;=20,"Evening",F246&gt;=21,"Night")</f>
        <v>Night</v>
      </c>
      <c r="H246" s="18" t="b">
        <v>0</v>
      </c>
      <c r="I246" s="18">
        <v>2</v>
      </c>
      <c r="J246" s="18" t="str" cm="1">
        <f t="array" ref="J246">_xlfn.IFS(I246=1,"Monday",I246=2,"Tuesday",I246=3,"Wednesday",I246=4,"Thursday",I246=5,"Friday",I246=6,"Saturday",I246=0,"Sunday")</f>
        <v>Tuesday</v>
      </c>
      <c r="K246" s="18">
        <v>2</v>
      </c>
      <c r="L246" s="18">
        <v>0.28000000000000003</v>
      </c>
      <c r="M246" s="27" t="str" cm="1">
        <f t="array" ref="M246">_xlfn.IFS(L246&lt;0.15,"Cold",L246&lt;0.25,"Mild",L246&lt;=0.32,"Warm",L246&gt;=0.33,"Hot")</f>
        <v>Warm</v>
      </c>
      <c r="N246" s="18">
        <v>0.31819999999999998</v>
      </c>
      <c r="O246" s="18">
        <v>0.87</v>
      </c>
      <c r="P246" s="18" t="str" cm="1">
        <f t="array" ref="P246">_xlfn.IFS(O246&gt;0.61, "High Humidity", O246&gt;=0.6, "Humid", O246&gt;0.4, "Less Humidity", TRUE, "Dry")</f>
        <v>High Humidity</v>
      </c>
      <c r="Q246" s="18">
        <v>0</v>
      </c>
      <c r="R246" s="18" t="str" cm="1">
        <f t="array" ref="R246">_xlfn.IFS(Q246&lt;=0.2,"Low Windspeed",Q246&lt;0.4,"Medium Windspeed",Q246&gt;=0.41,"High Windspeed")</f>
        <v>Low Windspeed</v>
      </c>
      <c r="S246" s="18">
        <v>0</v>
      </c>
      <c r="T246" s="18">
        <v>4</v>
      </c>
      <c r="U246" s="19">
        <v>4</v>
      </c>
      <c r="V246" s="18" t="str" cm="1">
        <f t="array" ref="V246">_xlfn.IFS(U246&lt;=70,"Low",U246&lt;=160,"Medium",U246&gt;=161,"High")</f>
        <v>Low</v>
      </c>
    </row>
    <row r="247" spans="1:22" x14ac:dyDescent="0.25">
      <c r="A247" s="16">
        <v>856</v>
      </c>
      <c r="B247" s="17">
        <v>40582</v>
      </c>
      <c r="C247" s="18">
        <v>1</v>
      </c>
      <c r="D247" s="18">
        <v>0</v>
      </c>
      <c r="E247" s="18">
        <v>2</v>
      </c>
      <c r="F247" s="18">
        <v>2</v>
      </c>
      <c r="G247" s="18" t="str" cm="1">
        <f t="array" ref="G247">_xlfn.IFS(F247&lt;4,"Night",F247&lt;=6,"Early Morning",F247&lt;11,"Morning",F247&lt;12,"Afternoon",F247&lt;=16,"Afternoon",F247&lt;=20,"Evening",F247&gt;=21,"Night")</f>
        <v>Night</v>
      </c>
      <c r="H247" s="18" t="b">
        <v>0</v>
      </c>
      <c r="I247" s="18">
        <v>2</v>
      </c>
      <c r="J247" s="18" t="str" cm="1">
        <f t="array" ref="J247">_xlfn.IFS(I247=1,"Monday",I247=2,"Tuesday",I247=3,"Wednesday",I247=4,"Thursday",I247=5,"Friday",I247=6,"Saturday",I247=0,"Sunday")</f>
        <v>Tuesday</v>
      </c>
      <c r="K247" s="18">
        <v>2</v>
      </c>
      <c r="L247" s="18">
        <v>0.26</v>
      </c>
      <c r="M247" s="27" t="str" cm="1">
        <f t="array" ref="M247">_xlfn.IFS(L247&lt;0.15,"Cold",L247&lt;0.25,"Mild",L247&lt;=0.32,"Warm",L247&gt;=0.33,"Hot")</f>
        <v>Warm</v>
      </c>
      <c r="N247" s="18">
        <v>0.2727</v>
      </c>
      <c r="O247" s="18">
        <v>0.93</v>
      </c>
      <c r="P247" s="18" t="str" cm="1">
        <f t="array" ref="P247">_xlfn.IFS(O247&gt;0.61, "High Humidity", O247&gt;=0.6, "Humid", O247&gt;0.4, "Less Humidity", TRUE, "Dry")</f>
        <v>High Humidity</v>
      </c>
      <c r="Q247" s="18">
        <v>0.1045</v>
      </c>
      <c r="R247" s="18" t="str" cm="1">
        <f t="array" ref="R247">_xlfn.IFS(Q247&lt;=0.2,"Low Windspeed",Q247&lt;0.4,"Medium Windspeed",Q247&gt;=0.41,"High Windspeed")</f>
        <v>Low Windspeed</v>
      </c>
      <c r="S247" s="18">
        <v>1</v>
      </c>
      <c r="T247" s="18">
        <v>1</v>
      </c>
      <c r="U247" s="19">
        <v>2</v>
      </c>
      <c r="V247" s="18" t="str" cm="1">
        <f t="array" ref="V247">_xlfn.IFS(U247&lt;=70,"Low",U247&lt;=160,"Medium",U247&gt;=161,"High")</f>
        <v>Low</v>
      </c>
    </row>
    <row r="248" spans="1:22" x14ac:dyDescent="0.25">
      <c r="A248" s="16">
        <v>857</v>
      </c>
      <c r="B248" s="17">
        <v>40582</v>
      </c>
      <c r="C248" s="18">
        <v>1</v>
      </c>
      <c r="D248" s="18">
        <v>0</v>
      </c>
      <c r="E248" s="18">
        <v>2</v>
      </c>
      <c r="F248" s="18">
        <v>3</v>
      </c>
      <c r="G248" s="18" t="str" cm="1">
        <f t="array" ref="G248">_xlfn.IFS(F248&lt;4,"Night",F248&lt;=6,"Early Morning",F248&lt;11,"Morning",F248&lt;12,"Afternoon",F248&lt;=16,"Afternoon",F248&lt;=20,"Evening",F248&gt;=21,"Night")</f>
        <v>Night</v>
      </c>
      <c r="H248" s="18" t="b">
        <v>0</v>
      </c>
      <c r="I248" s="18">
        <v>2</v>
      </c>
      <c r="J248" s="18" t="str" cm="1">
        <f t="array" ref="J248">_xlfn.IFS(I248=1,"Monday",I248=2,"Tuesday",I248=3,"Wednesday",I248=4,"Thursday",I248=5,"Friday",I248=6,"Saturday",I248=0,"Sunday")</f>
        <v>Tuesday</v>
      </c>
      <c r="K248" s="18">
        <v>3</v>
      </c>
      <c r="L248" s="18">
        <v>0.28000000000000003</v>
      </c>
      <c r="M248" s="27" t="str" cm="1">
        <f t="array" ref="M248">_xlfn.IFS(L248&lt;0.15,"Cold",L248&lt;0.25,"Mild",L248&lt;=0.32,"Warm",L248&gt;=0.33,"Hot")</f>
        <v>Warm</v>
      </c>
      <c r="N248" s="18">
        <v>0.2727</v>
      </c>
      <c r="O248" s="18">
        <v>0.93</v>
      </c>
      <c r="P248" s="18" t="str" cm="1">
        <f t="array" ref="P248">_xlfn.IFS(O248&gt;0.61, "High Humidity", O248&gt;=0.6, "Humid", O248&gt;0.4, "Less Humidity", TRUE, "Dry")</f>
        <v>High Humidity</v>
      </c>
      <c r="Q248" s="18">
        <v>0.16420000000000001</v>
      </c>
      <c r="R248" s="18" t="str" cm="1">
        <f t="array" ref="R248">_xlfn.IFS(Q248&lt;=0.2,"Low Windspeed",Q248&lt;0.4,"Medium Windspeed",Q248&gt;=0.41,"High Windspeed")</f>
        <v>Low Windspeed</v>
      </c>
      <c r="S248" s="18">
        <v>0</v>
      </c>
      <c r="T248" s="18">
        <v>1</v>
      </c>
      <c r="U248" s="19">
        <v>1</v>
      </c>
      <c r="V248" s="18" t="str" cm="1">
        <f t="array" ref="V248">_xlfn.IFS(U248&lt;=70,"Low",U248&lt;=160,"Medium",U248&gt;=161,"High")</f>
        <v>Low</v>
      </c>
    </row>
    <row r="249" spans="1:22" x14ac:dyDescent="0.25">
      <c r="A249" s="16">
        <v>858</v>
      </c>
      <c r="B249" s="17">
        <v>40582</v>
      </c>
      <c r="C249" s="18">
        <v>1</v>
      </c>
      <c r="D249" s="18">
        <v>0</v>
      </c>
      <c r="E249" s="18">
        <v>2</v>
      </c>
      <c r="F249" s="18">
        <v>4</v>
      </c>
      <c r="G249" s="18" t="str" cm="1">
        <f t="array" ref="G249">_xlfn.IFS(F249&lt;4,"Night",F249&lt;=6,"Early Morning",F249&lt;11,"Morning",F249&lt;12,"Afternoon",F249&lt;=16,"Afternoon",F249&lt;=20,"Evening",F249&gt;=21,"Night")</f>
        <v>Early Morning</v>
      </c>
      <c r="H249" s="18" t="b">
        <v>0</v>
      </c>
      <c r="I249" s="18">
        <v>2</v>
      </c>
      <c r="J249" s="18" t="str" cm="1">
        <f t="array" ref="J249">_xlfn.IFS(I249=1,"Monday",I249=2,"Tuesday",I249=3,"Wednesday",I249=4,"Thursday",I249=5,"Friday",I249=6,"Saturday",I249=0,"Sunday")</f>
        <v>Tuesday</v>
      </c>
      <c r="K249" s="18">
        <v>1</v>
      </c>
      <c r="L249" s="18">
        <v>0.26</v>
      </c>
      <c r="M249" s="27" t="str" cm="1">
        <f t="array" ref="M249">_xlfn.IFS(L249&lt;0.15,"Cold",L249&lt;0.25,"Mild",L249&lt;=0.32,"Warm",L249&gt;=0.33,"Hot")</f>
        <v>Warm</v>
      </c>
      <c r="N249" s="18">
        <v>0.2576</v>
      </c>
      <c r="O249" s="18">
        <v>0.93</v>
      </c>
      <c r="P249" s="18" t="str" cm="1">
        <f t="array" ref="P249">_xlfn.IFS(O249&gt;0.61, "High Humidity", O249&gt;=0.6, "Humid", O249&gt;0.4, "Less Humidity", TRUE, "Dry")</f>
        <v>High Humidity</v>
      </c>
      <c r="Q249" s="18">
        <v>0.16420000000000001</v>
      </c>
      <c r="R249" s="18" t="str" cm="1">
        <f t="array" ref="R249">_xlfn.IFS(Q249&lt;=0.2,"Low Windspeed",Q249&lt;0.4,"Medium Windspeed",Q249&gt;=0.41,"High Windspeed")</f>
        <v>Low Windspeed</v>
      </c>
      <c r="S249" s="18">
        <v>0</v>
      </c>
      <c r="T249" s="18">
        <v>3</v>
      </c>
      <c r="U249" s="19">
        <v>3</v>
      </c>
      <c r="V249" s="18" t="str" cm="1">
        <f t="array" ref="V249">_xlfn.IFS(U249&lt;=70,"Low",U249&lt;=160,"Medium",U249&gt;=161,"High")</f>
        <v>Low</v>
      </c>
    </row>
    <row r="250" spans="1:22" x14ac:dyDescent="0.25">
      <c r="A250" s="16">
        <v>859</v>
      </c>
      <c r="B250" s="17">
        <v>40582</v>
      </c>
      <c r="C250" s="18">
        <v>1</v>
      </c>
      <c r="D250" s="18">
        <v>0</v>
      </c>
      <c r="E250" s="18">
        <v>2</v>
      </c>
      <c r="F250" s="18">
        <v>5</v>
      </c>
      <c r="G250" s="18" t="str" cm="1">
        <f t="array" ref="G250">_xlfn.IFS(F250&lt;4,"Night",F250&lt;=6,"Early Morning",F250&lt;11,"Morning",F250&lt;12,"Afternoon",F250&lt;=16,"Afternoon",F250&lt;=20,"Evening",F250&gt;=21,"Night")</f>
        <v>Early Morning</v>
      </c>
      <c r="H250" s="18" t="b">
        <v>0</v>
      </c>
      <c r="I250" s="18">
        <v>2</v>
      </c>
      <c r="J250" s="18" t="str" cm="1">
        <f t="array" ref="J250">_xlfn.IFS(I250=1,"Monday",I250=2,"Tuesday",I250=3,"Wednesday",I250=4,"Thursday",I250=5,"Friday",I250=6,"Saturday",I250=0,"Sunday")</f>
        <v>Tuesday</v>
      </c>
      <c r="K250" s="18">
        <v>1</v>
      </c>
      <c r="L250" s="18">
        <v>0.26</v>
      </c>
      <c r="M250" s="27" t="str" cm="1">
        <f t="array" ref="M250">_xlfn.IFS(L250&lt;0.15,"Cold",L250&lt;0.25,"Mild",L250&lt;=0.32,"Warm",L250&gt;=0.33,"Hot")</f>
        <v>Warm</v>
      </c>
      <c r="N250" s="18">
        <v>0.2273</v>
      </c>
      <c r="O250" s="18">
        <v>0.81</v>
      </c>
      <c r="P250" s="18" t="str" cm="1">
        <f t="array" ref="P250">_xlfn.IFS(O250&gt;0.61, "High Humidity", O250&gt;=0.6, "Humid", O250&gt;0.4, "Less Humidity", TRUE, "Dry")</f>
        <v>High Humidity</v>
      </c>
      <c r="Q250" s="18">
        <v>0.32840000000000003</v>
      </c>
      <c r="R250" s="18" t="str" cm="1">
        <f t="array" ref="R250">_xlfn.IFS(Q250&lt;=0.2,"Low Windspeed",Q250&lt;0.4,"Medium Windspeed",Q250&gt;=0.41,"High Windspeed")</f>
        <v>Medium Windspeed</v>
      </c>
      <c r="S250" s="18">
        <v>0</v>
      </c>
      <c r="T250" s="18">
        <v>2</v>
      </c>
      <c r="U250" s="19">
        <v>2</v>
      </c>
      <c r="V250" s="18" t="str" cm="1">
        <f t="array" ref="V250">_xlfn.IFS(U250&lt;=70,"Low",U250&lt;=160,"Medium",U250&gt;=161,"High")</f>
        <v>Low</v>
      </c>
    </row>
    <row r="251" spans="1:22" x14ac:dyDescent="0.25">
      <c r="A251" s="16">
        <v>860</v>
      </c>
      <c r="B251" s="17">
        <v>40582</v>
      </c>
      <c r="C251" s="18">
        <v>1</v>
      </c>
      <c r="D251" s="18">
        <v>0</v>
      </c>
      <c r="E251" s="18">
        <v>2</v>
      </c>
      <c r="F251" s="18">
        <v>6</v>
      </c>
      <c r="G251" s="18" t="str" cm="1">
        <f t="array" ref="G251">_xlfn.IFS(F251&lt;4,"Night",F251&lt;=6,"Early Morning",F251&lt;11,"Morning",F251&lt;12,"Afternoon",F251&lt;=16,"Afternoon",F251&lt;=20,"Evening",F251&gt;=21,"Night")</f>
        <v>Early Morning</v>
      </c>
      <c r="H251" s="18" t="b">
        <v>0</v>
      </c>
      <c r="I251" s="18">
        <v>2</v>
      </c>
      <c r="J251" s="18" t="str" cm="1">
        <f t="array" ref="J251">_xlfn.IFS(I251=1,"Monday",I251=2,"Tuesday",I251=3,"Wednesday",I251=4,"Thursday",I251=5,"Friday",I251=6,"Saturday",I251=0,"Sunday")</f>
        <v>Tuesday</v>
      </c>
      <c r="K251" s="18">
        <v>1</v>
      </c>
      <c r="L251" s="18">
        <v>0.26</v>
      </c>
      <c r="M251" s="27" t="str" cm="1">
        <f t="array" ref="M251">_xlfn.IFS(L251&lt;0.15,"Cold",L251&lt;0.25,"Mild",L251&lt;=0.32,"Warm",L251&gt;=0.33,"Hot")</f>
        <v>Warm</v>
      </c>
      <c r="N251" s="18">
        <v>0.2273</v>
      </c>
      <c r="O251" s="18">
        <v>0.7</v>
      </c>
      <c r="P251" s="18" t="str" cm="1">
        <f t="array" ref="P251">_xlfn.IFS(O251&gt;0.61, "High Humidity", O251&gt;=0.6, "Humid", O251&gt;0.4, "Less Humidity", TRUE, "Dry")</f>
        <v>High Humidity</v>
      </c>
      <c r="Q251" s="18">
        <v>0.32840000000000003</v>
      </c>
      <c r="R251" s="18" t="str" cm="1">
        <f t="array" ref="R251">_xlfn.IFS(Q251&lt;=0.2,"Low Windspeed",Q251&lt;0.4,"Medium Windspeed",Q251&gt;=0.41,"High Windspeed")</f>
        <v>Medium Windspeed</v>
      </c>
      <c r="S251" s="18">
        <v>0</v>
      </c>
      <c r="T251" s="18">
        <v>39</v>
      </c>
      <c r="U251" s="19">
        <v>39</v>
      </c>
      <c r="V251" s="18" t="str" cm="1">
        <f t="array" ref="V251">_xlfn.IFS(U251&lt;=70,"Low",U251&lt;=160,"Medium",U251&gt;=161,"High")</f>
        <v>Low</v>
      </c>
    </row>
    <row r="252" spans="1:22" x14ac:dyDescent="0.25">
      <c r="A252" s="16">
        <v>861</v>
      </c>
      <c r="B252" s="17">
        <v>40582</v>
      </c>
      <c r="C252" s="18">
        <v>1</v>
      </c>
      <c r="D252" s="18">
        <v>0</v>
      </c>
      <c r="E252" s="18">
        <v>2</v>
      </c>
      <c r="F252" s="18">
        <v>7</v>
      </c>
      <c r="G252" s="18" t="str" cm="1">
        <f t="array" ref="G252">_xlfn.IFS(F252&lt;4,"Night",F252&lt;=6,"Early Morning",F252&lt;11,"Morning",F252&lt;12,"Afternoon",F252&lt;=16,"Afternoon",F252&lt;=20,"Evening",F252&gt;=21,"Night")</f>
        <v>Morning</v>
      </c>
      <c r="H252" s="18" t="b">
        <v>0</v>
      </c>
      <c r="I252" s="18">
        <v>2</v>
      </c>
      <c r="J252" s="18" t="str" cm="1">
        <f t="array" ref="J252">_xlfn.IFS(I252=1,"Monday",I252=2,"Tuesday",I252=3,"Wednesday",I252=4,"Thursday",I252=5,"Friday",I252=6,"Saturday",I252=0,"Sunday")</f>
        <v>Tuesday</v>
      </c>
      <c r="K252" s="18">
        <v>1</v>
      </c>
      <c r="L252" s="18">
        <v>0.24</v>
      </c>
      <c r="M252" s="27" t="str" cm="1">
        <f t="array" ref="M252">_xlfn.IFS(L252&lt;0.15,"Cold",L252&lt;0.25,"Mild",L252&lt;=0.32,"Warm",L252&gt;=0.33,"Hot")</f>
        <v>Mild</v>
      </c>
      <c r="N252" s="18">
        <v>0.19700000000000001</v>
      </c>
      <c r="O252" s="18">
        <v>0.65</v>
      </c>
      <c r="P252" s="18" t="str" cm="1">
        <f t="array" ref="P252">_xlfn.IFS(O252&gt;0.61, "High Humidity", O252&gt;=0.6, "Humid", O252&gt;0.4, "Less Humidity", TRUE, "Dry")</f>
        <v>High Humidity</v>
      </c>
      <c r="Q252" s="18">
        <v>0.41789999999999999</v>
      </c>
      <c r="R252" s="18" t="str" cm="1">
        <f t="array" ref="R252">_xlfn.IFS(Q252&lt;=0.2,"Low Windspeed",Q252&lt;0.4,"Medium Windspeed",Q252&gt;=0.41,"High Windspeed")</f>
        <v>High Windspeed</v>
      </c>
      <c r="S252" s="18">
        <v>3</v>
      </c>
      <c r="T252" s="18">
        <v>97</v>
      </c>
      <c r="U252" s="19">
        <v>100</v>
      </c>
      <c r="V252" s="18" t="str" cm="1">
        <f t="array" ref="V252">_xlfn.IFS(U252&lt;=70,"Low",U252&lt;=160,"Medium",U252&gt;=161,"High")</f>
        <v>Medium</v>
      </c>
    </row>
    <row r="253" spans="1:22" x14ac:dyDescent="0.25">
      <c r="A253" s="16">
        <v>862</v>
      </c>
      <c r="B253" s="17">
        <v>40582</v>
      </c>
      <c r="C253" s="18">
        <v>1</v>
      </c>
      <c r="D253" s="18">
        <v>0</v>
      </c>
      <c r="E253" s="18">
        <v>2</v>
      </c>
      <c r="F253" s="18">
        <v>8</v>
      </c>
      <c r="G253" s="18" t="str" cm="1">
        <f t="array" ref="G253">_xlfn.IFS(F253&lt;4,"Night",F253&lt;=6,"Early Morning",F253&lt;11,"Morning",F253&lt;12,"Afternoon",F253&lt;=16,"Afternoon",F253&lt;=20,"Evening",F253&gt;=21,"Night")</f>
        <v>Morning</v>
      </c>
      <c r="H253" s="18" t="b">
        <v>0</v>
      </c>
      <c r="I253" s="18">
        <v>2</v>
      </c>
      <c r="J253" s="18" t="str" cm="1">
        <f t="array" ref="J253">_xlfn.IFS(I253=1,"Monday",I253=2,"Tuesday",I253=3,"Wednesday",I253=4,"Thursday",I253=5,"Friday",I253=6,"Saturday",I253=0,"Sunday")</f>
        <v>Tuesday</v>
      </c>
      <c r="K253" s="18">
        <v>1</v>
      </c>
      <c r="L253" s="18">
        <v>0.24</v>
      </c>
      <c r="M253" s="27" t="str" cm="1">
        <f t="array" ref="M253">_xlfn.IFS(L253&lt;0.15,"Cold",L253&lt;0.25,"Mild",L253&lt;=0.32,"Warm",L253&gt;=0.33,"Hot")</f>
        <v>Mild</v>
      </c>
      <c r="N253" s="18">
        <v>0.19700000000000001</v>
      </c>
      <c r="O253" s="18">
        <v>0.56000000000000005</v>
      </c>
      <c r="P253" s="18" t="str" cm="1">
        <f t="array" ref="P253">_xlfn.IFS(O253&gt;0.61, "High Humidity", O253&gt;=0.6, "Humid", O253&gt;0.4, "Less Humidity", TRUE, "Dry")</f>
        <v>Less Humidity</v>
      </c>
      <c r="Q253" s="18">
        <v>0.49249999999999999</v>
      </c>
      <c r="R253" s="18" t="str" cm="1">
        <f t="array" ref="R253">_xlfn.IFS(Q253&lt;=0.2,"Low Windspeed",Q253&lt;0.4,"Medium Windspeed",Q253&gt;=0.41,"High Windspeed")</f>
        <v>High Windspeed</v>
      </c>
      <c r="S253" s="18">
        <v>7</v>
      </c>
      <c r="T253" s="18">
        <v>236</v>
      </c>
      <c r="U253" s="19">
        <v>243</v>
      </c>
      <c r="V253" s="18" t="str" cm="1">
        <f t="array" ref="V253">_xlfn.IFS(U253&lt;=70,"Low",U253&lt;=160,"Medium",U253&gt;=161,"High")</f>
        <v>High</v>
      </c>
    </row>
    <row r="254" spans="1:22" x14ac:dyDescent="0.25">
      <c r="A254" s="16">
        <v>863</v>
      </c>
      <c r="B254" s="17">
        <v>40582</v>
      </c>
      <c r="C254" s="18">
        <v>1</v>
      </c>
      <c r="D254" s="18">
        <v>0</v>
      </c>
      <c r="E254" s="18">
        <v>2</v>
      </c>
      <c r="F254" s="18">
        <v>9</v>
      </c>
      <c r="G254" s="18" t="str" cm="1">
        <f t="array" ref="G254">_xlfn.IFS(F254&lt;4,"Night",F254&lt;=6,"Early Morning",F254&lt;11,"Morning",F254&lt;12,"Afternoon",F254&lt;=16,"Afternoon",F254&lt;=20,"Evening",F254&gt;=21,"Night")</f>
        <v>Morning</v>
      </c>
      <c r="H254" s="18" t="b">
        <v>0</v>
      </c>
      <c r="I254" s="18">
        <v>2</v>
      </c>
      <c r="J254" s="18" t="str" cm="1">
        <f t="array" ref="J254">_xlfn.IFS(I254=1,"Monday",I254=2,"Tuesday",I254=3,"Wednesday",I254=4,"Thursday",I254=5,"Friday",I254=6,"Saturday",I254=0,"Sunday")</f>
        <v>Tuesday</v>
      </c>
      <c r="K254" s="18">
        <v>1</v>
      </c>
      <c r="L254" s="18">
        <v>0.24</v>
      </c>
      <c r="M254" s="27" t="str" cm="1">
        <f t="array" ref="M254">_xlfn.IFS(L254&lt;0.15,"Cold",L254&lt;0.25,"Mild",L254&lt;=0.32,"Warm",L254&gt;=0.33,"Hot")</f>
        <v>Mild</v>
      </c>
      <c r="N254" s="18">
        <v>0.19700000000000001</v>
      </c>
      <c r="O254" s="18">
        <v>0.52</v>
      </c>
      <c r="P254" s="18" t="str" cm="1">
        <f t="array" ref="P254">_xlfn.IFS(O254&gt;0.61, "High Humidity", O254&gt;=0.6, "Humid", O254&gt;0.4, "Less Humidity", TRUE, "Dry")</f>
        <v>Less Humidity</v>
      </c>
      <c r="Q254" s="18">
        <v>0.49249999999999999</v>
      </c>
      <c r="R254" s="18" t="str" cm="1">
        <f t="array" ref="R254">_xlfn.IFS(Q254&lt;=0.2,"Low Windspeed",Q254&lt;0.4,"Medium Windspeed",Q254&gt;=0.41,"High Windspeed")</f>
        <v>High Windspeed</v>
      </c>
      <c r="S254" s="18">
        <v>7</v>
      </c>
      <c r="T254" s="18">
        <v>128</v>
      </c>
      <c r="U254" s="19">
        <v>135</v>
      </c>
      <c r="V254" s="18" t="str" cm="1">
        <f t="array" ref="V254">_xlfn.IFS(U254&lt;=70,"Low",U254&lt;=160,"Medium",U254&gt;=161,"High")</f>
        <v>Medium</v>
      </c>
    </row>
    <row r="255" spans="1:22" x14ac:dyDescent="0.25">
      <c r="A255" s="16">
        <v>864</v>
      </c>
      <c r="B255" s="17">
        <v>40582</v>
      </c>
      <c r="C255" s="18">
        <v>1</v>
      </c>
      <c r="D255" s="18">
        <v>0</v>
      </c>
      <c r="E255" s="18">
        <v>2</v>
      </c>
      <c r="F255" s="18">
        <v>10</v>
      </c>
      <c r="G255" s="18" t="str" cm="1">
        <f t="array" ref="G255">_xlfn.IFS(F255&lt;4,"Night",F255&lt;=6,"Early Morning",F255&lt;11,"Morning",F255&lt;12,"Afternoon",F255&lt;=16,"Afternoon",F255&lt;=20,"Evening",F255&gt;=21,"Night")</f>
        <v>Morning</v>
      </c>
      <c r="H255" s="18" t="b">
        <v>0</v>
      </c>
      <c r="I255" s="18">
        <v>2</v>
      </c>
      <c r="J255" s="18" t="str" cm="1">
        <f t="array" ref="J255">_xlfn.IFS(I255=1,"Monday",I255=2,"Tuesday",I255=3,"Wednesday",I255=4,"Thursday",I255=5,"Friday",I255=6,"Saturday",I255=0,"Sunday")</f>
        <v>Tuesday</v>
      </c>
      <c r="K255" s="18">
        <v>1</v>
      </c>
      <c r="L255" s="18">
        <v>0.22</v>
      </c>
      <c r="M255" s="27" t="str" cm="1">
        <f t="array" ref="M255">_xlfn.IFS(L255&lt;0.15,"Cold",L255&lt;0.25,"Mild",L255&lt;=0.32,"Warm",L255&gt;=0.33,"Hot")</f>
        <v>Mild</v>
      </c>
      <c r="N255" s="18">
        <v>0.18179999999999999</v>
      </c>
      <c r="O255" s="18">
        <v>0.47</v>
      </c>
      <c r="P255" s="18" t="str" cm="1">
        <f t="array" ref="P255">_xlfn.IFS(O255&gt;0.61, "High Humidity", O255&gt;=0.6, "Humid", O255&gt;0.4, "Less Humidity", TRUE, "Dry")</f>
        <v>Less Humidity</v>
      </c>
      <c r="Q255" s="18">
        <v>0.55220000000000002</v>
      </c>
      <c r="R255" s="18" t="str" cm="1">
        <f t="array" ref="R255">_xlfn.IFS(Q255&lt;=0.2,"Low Windspeed",Q255&lt;0.4,"Medium Windspeed",Q255&gt;=0.41,"High Windspeed")</f>
        <v>High Windspeed</v>
      </c>
      <c r="S255" s="18">
        <v>4</v>
      </c>
      <c r="T255" s="18">
        <v>44</v>
      </c>
      <c r="U255" s="19">
        <v>48</v>
      </c>
      <c r="V255" s="18" t="str" cm="1">
        <f t="array" ref="V255">_xlfn.IFS(U255&lt;=70,"Low",U255&lt;=160,"Medium",U255&gt;=161,"High")</f>
        <v>Low</v>
      </c>
    </row>
    <row r="256" spans="1:22" x14ac:dyDescent="0.25">
      <c r="A256" s="16">
        <v>865</v>
      </c>
      <c r="B256" s="17">
        <v>40582</v>
      </c>
      <c r="C256" s="18">
        <v>1</v>
      </c>
      <c r="D256" s="18">
        <v>0</v>
      </c>
      <c r="E256" s="18">
        <v>2</v>
      </c>
      <c r="F256" s="18">
        <v>11</v>
      </c>
      <c r="G256" s="18" t="str" cm="1">
        <f t="array" ref="G256">_xlfn.IFS(F256&lt;4,"Night",F256&lt;=6,"Early Morning",F256&lt;11,"Morning",F256&lt;12,"Afternoon",F256&lt;=16,"Afternoon",F256&lt;=20,"Evening",F256&gt;=21,"Night")</f>
        <v>Afternoon</v>
      </c>
      <c r="H256" s="18" t="b">
        <v>0</v>
      </c>
      <c r="I256" s="18">
        <v>2</v>
      </c>
      <c r="J256" s="18" t="str" cm="1">
        <f t="array" ref="J256">_xlfn.IFS(I256=1,"Monday",I256=2,"Tuesday",I256=3,"Wednesday",I256=4,"Thursday",I256=5,"Friday",I256=6,"Saturday",I256=0,"Sunday")</f>
        <v>Tuesday</v>
      </c>
      <c r="K256" s="18">
        <v>1</v>
      </c>
      <c r="L256" s="18">
        <v>0.22</v>
      </c>
      <c r="M256" s="27" t="str" cm="1">
        <f t="array" ref="M256">_xlfn.IFS(L256&lt;0.15,"Cold",L256&lt;0.25,"Mild",L256&lt;=0.32,"Warm",L256&gt;=0.33,"Hot")</f>
        <v>Mild</v>
      </c>
      <c r="N256" s="18">
        <v>0.18179999999999999</v>
      </c>
      <c r="O256" s="18">
        <v>0.47</v>
      </c>
      <c r="P256" s="18" t="str" cm="1">
        <f t="array" ref="P256">_xlfn.IFS(O256&gt;0.61, "High Humidity", O256&gt;=0.6, "Humid", O256&gt;0.4, "Less Humidity", TRUE, "Dry")</f>
        <v>Less Humidity</v>
      </c>
      <c r="Q256" s="18">
        <v>0.4627</v>
      </c>
      <c r="R256" s="18" t="str" cm="1">
        <f t="array" ref="R256">_xlfn.IFS(Q256&lt;=0.2,"Low Windspeed",Q256&lt;0.4,"Medium Windspeed",Q256&gt;=0.41,"High Windspeed")</f>
        <v>High Windspeed</v>
      </c>
      <c r="S256" s="18">
        <v>1</v>
      </c>
      <c r="T256" s="18">
        <v>49</v>
      </c>
      <c r="U256" s="19">
        <v>50</v>
      </c>
      <c r="V256" s="18" t="str" cm="1">
        <f t="array" ref="V256">_xlfn.IFS(U256&lt;=70,"Low",U256&lt;=160,"Medium",U256&gt;=161,"High")</f>
        <v>Low</v>
      </c>
    </row>
    <row r="257" spans="1:22" x14ac:dyDescent="0.25">
      <c r="A257" s="16">
        <v>866</v>
      </c>
      <c r="B257" s="17">
        <v>40582</v>
      </c>
      <c r="C257" s="18">
        <v>1</v>
      </c>
      <c r="D257" s="18">
        <v>0</v>
      </c>
      <c r="E257" s="18">
        <v>2</v>
      </c>
      <c r="F257" s="18">
        <v>12</v>
      </c>
      <c r="G257" s="18" t="str" cm="1">
        <f t="array" ref="G257">_xlfn.IFS(F257&lt;4,"Night",F257&lt;=6,"Early Morning",F257&lt;11,"Morning",F257&lt;12,"Afternoon",F257&lt;=16,"Afternoon",F257&lt;=20,"Evening",F257&gt;=21,"Night")</f>
        <v>Afternoon</v>
      </c>
      <c r="H257" s="18" t="b">
        <v>0</v>
      </c>
      <c r="I257" s="18">
        <v>2</v>
      </c>
      <c r="J257" s="18" t="str" cm="1">
        <f t="array" ref="J257">_xlfn.IFS(I257=1,"Monday",I257=2,"Tuesday",I257=3,"Wednesday",I257=4,"Thursday",I257=5,"Friday",I257=6,"Saturday",I257=0,"Sunday")</f>
        <v>Tuesday</v>
      </c>
      <c r="K257" s="18">
        <v>1</v>
      </c>
      <c r="L257" s="18">
        <v>0.24</v>
      </c>
      <c r="M257" s="27" t="str" cm="1">
        <f t="array" ref="M257">_xlfn.IFS(L257&lt;0.15,"Cold",L257&lt;0.25,"Mild",L257&lt;=0.32,"Warm",L257&gt;=0.33,"Hot")</f>
        <v>Mild</v>
      </c>
      <c r="N257" s="18">
        <v>0.19700000000000001</v>
      </c>
      <c r="O257" s="18">
        <v>0.38</v>
      </c>
      <c r="P257" s="18" t="str" cm="1">
        <f t="array" ref="P257">_xlfn.IFS(O257&gt;0.61, "High Humidity", O257&gt;=0.6, "Humid", O257&gt;0.4, "Less Humidity", TRUE, "Dry")</f>
        <v>Dry</v>
      </c>
      <c r="Q257" s="18">
        <v>0.49249999999999999</v>
      </c>
      <c r="R257" s="18" t="str" cm="1">
        <f t="array" ref="R257">_xlfn.IFS(Q257&lt;=0.2,"Low Windspeed",Q257&lt;0.4,"Medium Windspeed",Q257&gt;=0.41,"High Windspeed")</f>
        <v>High Windspeed</v>
      </c>
      <c r="S257" s="18">
        <v>2</v>
      </c>
      <c r="T257" s="18">
        <v>63</v>
      </c>
      <c r="U257" s="19">
        <v>65</v>
      </c>
      <c r="V257" s="18" t="str" cm="1">
        <f t="array" ref="V257">_xlfn.IFS(U257&lt;=70,"Low",U257&lt;=160,"Medium",U257&gt;=161,"High")</f>
        <v>Low</v>
      </c>
    </row>
    <row r="258" spans="1:22" x14ac:dyDescent="0.25">
      <c r="A258" s="16">
        <v>867</v>
      </c>
      <c r="B258" s="17">
        <v>40582</v>
      </c>
      <c r="C258" s="18">
        <v>1</v>
      </c>
      <c r="D258" s="18">
        <v>0</v>
      </c>
      <c r="E258" s="18">
        <v>2</v>
      </c>
      <c r="F258" s="18">
        <v>13</v>
      </c>
      <c r="G258" s="18" t="str" cm="1">
        <f t="array" ref="G258">_xlfn.IFS(F258&lt;4,"Night",F258&lt;=6,"Early Morning",F258&lt;11,"Morning",F258&lt;12,"Afternoon",F258&lt;=16,"Afternoon",F258&lt;=20,"Evening",F258&gt;=21,"Night")</f>
        <v>Afternoon</v>
      </c>
      <c r="H258" s="18" t="b">
        <v>0</v>
      </c>
      <c r="I258" s="18">
        <v>2</v>
      </c>
      <c r="J258" s="18" t="str" cm="1">
        <f t="array" ref="J258">_xlfn.IFS(I258=1,"Monday",I258=2,"Tuesday",I258=3,"Wednesday",I258=4,"Thursday",I258=5,"Friday",I258=6,"Saturday",I258=0,"Sunday")</f>
        <v>Tuesday</v>
      </c>
      <c r="K258" s="18">
        <v>2</v>
      </c>
      <c r="L258" s="18">
        <v>0.24</v>
      </c>
      <c r="M258" s="27" t="str" cm="1">
        <f t="array" ref="M258">_xlfn.IFS(L258&lt;0.15,"Cold",L258&lt;0.25,"Mild",L258&lt;=0.32,"Warm",L258&gt;=0.33,"Hot")</f>
        <v>Mild</v>
      </c>
      <c r="N258" s="18">
        <v>0.19700000000000001</v>
      </c>
      <c r="O258" s="18">
        <v>0.32</v>
      </c>
      <c r="P258" s="18" t="str" cm="1">
        <f t="array" ref="P258">_xlfn.IFS(O258&gt;0.61, "High Humidity", O258&gt;=0.6, "Humid", O258&gt;0.4, "Less Humidity", TRUE, "Dry")</f>
        <v>Dry</v>
      </c>
      <c r="Q258" s="18">
        <v>0.44779999999999998</v>
      </c>
      <c r="R258" s="18" t="str" cm="1">
        <f t="array" ref="R258">_xlfn.IFS(Q258&lt;=0.2,"Low Windspeed",Q258&lt;0.4,"Medium Windspeed",Q258&gt;=0.41,"High Windspeed")</f>
        <v>High Windspeed</v>
      </c>
      <c r="S258" s="18">
        <v>2</v>
      </c>
      <c r="T258" s="18">
        <v>48</v>
      </c>
      <c r="U258" s="19">
        <v>50</v>
      </c>
      <c r="V258" s="18" t="str" cm="1">
        <f t="array" ref="V258">_xlfn.IFS(U258&lt;=70,"Low",U258&lt;=160,"Medium",U258&gt;=161,"High")</f>
        <v>Low</v>
      </c>
    </row>
    <row r="259" spans="1:22" x14ac:dyDescent="0.25">
      <c r="A259" s="16">
        <v>868</v>
      </c>
      <c r="B259" s="17">
        <v>40582</v>
      </c>
      <c r="C259" s="18">
        <v>1</v>
      </c>
      <c r="D259" s="18">
        <v>0</v>
      </c>
      <c r="E259" s="18">
        <v>2</v>
      </c>
      <c r="F259" s="18">
        <v>14</v>
      </c>
      <c r="G259" s="18" t="str" cm="1">
        <f t="array" ref="G259">_xlfn.IFS(F259&lt;4,"Night",F259&lt;=6,"Early Morning",F259&lt;11,"Morning",F259&lt;12,"Afternoon",F259&lt;=16,"Afternoon",F259&lt;=20,"Evening",F259&gt;=21,"Night")</f>
        <v>Afternoon</v>
      </c>
      <c r="H259" s="18" t="b">
        <v>0</v>
      </c>
      <c r="I259" s="18">
        <v>2</v>
      </c>
      <c r="J259" s="18" t="str" cm="1">
        <f t="array" ref="J259">_xlfn.IFS(I259=1,"Monday",I259=2,"Tuesday",I259=3,"Wednesday",I259=4,"Thursday",I259=5,"Friday",I259=6,"Saturday",I259=0,"Sunday")</f>
        <v>Tuesday</v>
      </c>
      <c r="K259" s="18">
        <v>1</v>
      </c>
      <c r="L259" s="18">
        <v>0.22</v>
      </c>
      <c r="M259" s="27" t="str" cm="1">
        <f t="array" ref="M259">_xlfn.IFS(L259&lt;0.15,"Cold",L259&lt;0.25,"Mild",L259&lt;=0.32,"Warm",L259&gt;=0.33,"Hot")</f>
        <v>Mild</v>
      </c>
      <c r="N259" s="18">
        <v>0.19700000000000001</v>
      </c>
      <c r="O259" s="18">
        <v>0.37</v>
      </c>
      <c r="P259" s="18" t="str" cm="1">
        <f t="array" ref="P259">_xlfn.IFS(O259&gt;0.61, "High Humidity", O259&gt;=0.6, "Humid", O259&gt;0.4, "Less Humidity", TRUE, "Dry")</f>
        <v>Dry</v>
      </c>
      <c r="Q259" s="18">
        <v>0.41789999999999999</v>
      </c>
      <c r="R259" s="18" t="str" cm="1">
        <f t="array" ref="R259">_xlfn.IFS(Q259&lt;=0.2,"Low Windspeed",Q259&lt;0.4,"Medium Windspeed",Q259&gt;=0.41,"High Windspeed")</f>
        <v>High Windspeed</v>
      </c>
      <c r="S259" s="18">
        <v>3</v>
      </c>
      <c r="T259" s="18">
        <v>61</v>
      </c>
      <c r="U259" s="19">
        <v>64</v>
      </c>
      <c r="V259" s="18" t="str" cm="1">
        <f t="array" ref="V259">_xlfn.IFS(U259&lt;=70,"Low",U259&lt;=160,"Medium",U259&gt;=161,"High")</f>
        <v>Low</v>
      </c>
    </row>
    <row r="260" spans="1:22" x14ac:dyDescent="0.25">
      <c r="A260" s="16">
        <v>869</v>
      </c>
      <c r="B260" s="17">
        <v>40582</v>
      </c>
      <c r="C260" s="18">
        <v>1</v>
      </c>
      <c r="D260" s="18">
        <v>0</v>
      </c>
      <c r="E260" s="18">
        <v>2</v>
      </c>
      <c r="F260" s="18">
        <v>15</v>
      </c>
      <c r="G260" s="18" t="str" cm="1">
        <f t="array" ref="G260">_xlfn.IFS(F260&lt;4,"Night",F260&lt;=6,"Early Morning",F260&lt;11,"Morning",F260&lt;12,"Afternoon",F260&lt;=16,"Afternoon",F260&lt;=20,"Evening",F260&gt;=21,"Night")</f>
        <v>Afternoon</v>
      </c>
      <c r="H260" s="18" t="b">
        <v>0</v>
      </c>
      <c r="I260" s="18">
        <v>2</v>
      </c>
      <c r="J260" s="18" t="str" cm="1">
        <f t="array" ref="J260">_xlfn.IFS(I260=1,"Monday",I260=2,"Tuesday",I260=3,"Wednesday",I260=4,"Thursday",I260=5,"Friday",I260=6,"Saturday",I260=0,"Sunday")</f>
        <v>Tuesday</v>
      </c>
      <c r="K260" s="18">
        <v>1</v>
      </c>
      <c r="L260" s="18">
        <v>0.22</v>
      </c>
      <c r="M260" s="27" t="str" cm="1">
        <f t="array" ref="M260">_xlfn.IFS(L260&lt;0.15,"Cold",L260&lt;0.25,"Mild",L260&lt;=0.32,"Warm",L260&gt;=0.33,"Hot")</f>
        <v>Mild</v>
      </c>
      <c r="N260" s="18">
        <v>0.19700000000000001</v>
      </c>
      <c r="O260" s="18">
        <v>0.35</v>
      </c>
      <c r="P260" s="18" t="str" cm="1">
        <f t="array" ref="P260">_xlfn.IFS(O260&gt;0.61, "High Humidity", O260&gt;=0.6, "Humid", O260&gt;0.4, "Less Humidity", TRUE, "Dry")</f>
        <v>Dry</v>
      </c>
      <c r="Q260" s="18">
        <v>0.3881</v>
      </c>
      <c r="R260" s="18" t="str" cm="1">
        <f t="array" ref="R260">_xlfn.IFS(Q260&lt;=0.2,"Low Windspeed",Q260&lt;0.4,"Medium Windspeed",Q260&gt;=0.41,"High Windspeed")</f>
        <v>Medium Windspeed</v>
      </c>
      <c r="S260" s="18">
        <v>6</v>
      </c>
      <c r="T260" s="18">
        <v>45</v>
      </c>
      <c r="U260" s="19">
        <v>51</v>
      </c>
      <c r="V260" s="18" t="str" cm="1">
        <f t="array" ref="V260">_xlfn.IFS(U260&lt;=70,"Low",U260&lt;=160,"Medium",U260&gt;=161,"High")</f>
        <v>Low</v>
      </c>
    </row>
    <row r="261" spans="1:22" x14ac:dyDescent="0.25">
      <c r="A261" s="16">
        <v>870</v>
      </c>
      <c r="B261" s="17">
        <v>40582</v>
      </c>
      <c r="C261" s="18">
        <v>1</v>
      </c>
      <c r="D261" s="18">
        <v>0</v>
      </c>
      <c r="E261" s="18">
        <v>2</v>
      </c>
      <c r="F261" s="18">
        <v>16</v>
      </c>
      <c r="G261" s="18" t="str" cm="1">
        <f t="array" ref="G261">_xlfn.IFS(F261&lt;4,"Night",F261&lt;=6,"Early Morning",F261&lt;11,"Morning",F261&lt;12,"Afternoon",F261&lt;=16,"Afternoon",F261&lt;=20,"Evening",F261&gt;=21,"Night")</f>
        <v>Afternoon</v>
      </c>
      <c r="H261" s="18" t="b">
        <v>0</v>
      </c>
      <c r="I261" s="18">
        <v>2</v>
      </c>
      <c r="J261" s="18" t="str" cm="1">
        <f t="array" ref="J261">_xlfn.IFS(I261=1,"Monday",I261=2,"Tuesday",I261=3,"Wednesday",I261=4,"Thursday",I261=5,"Friday",I261=6,"Saturday",I261=0,"Sunday")</f>
        <v>Tuesday</v>
      </c>
      <c r="K261" s="18">
        <v>1</v>
      </c>
      <c r="L261" s="18">
        <v>0.22</v>
      </c>
      <c r="M261" s="27" t="str" cm="1">
        <f t="array" ref="M261">_xlfn.IFS(L261&lt;0.15,"Cold",L261&lt;0.25,"Mild",L261&lt;=0.32,"Warm",L261&gt;=0.33,"Hot")</f>
        <v>Mild</v>
      </c>
      <c r="N261" s="18">
        <v>0.18179999999999999</v>
      </c>
      <c r="O261" s="18">
        <v>0.35</v>
      </c>
      <c r="P261" s="18" t="str" cm="1">
        <f t="array" ref="P261">_xlfn.IFS(O261&gt;0.61, "High Humidity", O261&gt;=0.6, "Humid", O261&gt;0.4, "Less Humidity", TRUE, "Dry")</f>
        <v>Dry</v>
      </c>
      <c r="Q261" s="18">
        <v>0.52239999999999998</v>
      </c>
      <c r="R261" s="18" t="str" cm="1">
        <f t="array" ref="R261">_xlfn.IFS(Q261&lt;=0.2,"Low Windspeed",Q261&lt;0.4,"Medium Windspeed",Q261&gt;=0.41,"High Windspeed")</f>
        <v>High Windspeed</v>
      </c>
      <c r="S261" s="18">
        <v>4</v>
      </c>
      <c r="T261" s="18">
        <v>79</v>
      </c>
      <c r="U261" s="19">
        <v>83</v>
      </c>
      <c r="V261" s="18" t="str" cm="1">
        <f t="array" ref="V261">_xlfn.IFS(U261&lt;=70,"Low",U261&lt;=160,"Medium",U261&gt;=161,"High")</f>
        <v>Medium</v>
      </c>
    </row>
    <row r="262" spans="1:22" x14ac:dyDescent="0.25">
      <c r="A262" s="16">
        <v>871</v>
      </c>
      <c r="B262" s="17">
        <v>40582</v>
      </c>
      <c r="C262" s="18">
        <v>1</v>
      </c>
      <c r="D262" s="18">
        <v>0</v>
      </c>
      <c r="E262" s="18">
        <v>2</v>
      </c>
      <c r="F262" s="18">
        <v>17</v>
      </c>
      <c r="G262" s="18" t="str" cm="1">
        <f t="array" ref="G262">_xlfn.IFS(F262&lt;4,"Night",F262&lt;=6,"Early Morning",F262&lt;11,"Morning",F262&lt;12,"Afternoon",F262&lt;=16,"Afternoon",F262&lt;=20,"Evening",F262&gt;=21,"Night")</f>
        <v>Evening</v>
      </c>
      <c r="H262" s="18" t="b">
        <v>0</v>
      </c>
      <c r="I262" s="18">
        <v>2</v>
      </c>
      <c r="J262" s="18" t="str" cm="1">
        <f t="array" ref="J262">_xlfn.IFS(I262=1,"Monday",I262=2,"Tuesday",I262=3,"Wednesday",I262=4,"Thursday",I262=5,"Friday",I262=6,"Saturday",I262=0,"Sunday")</f>
        <v>Tuesday</v>
      </c>
      <c r="K262" s="18">
        <v>1</v>
      </c>
      <c r="L262" s="18">
        <v>0.22</v>
      </c>
      <c r="M262" s="27" t="str" cm="1">
        <f t="array" ref="M262">_xlfn.IFS(L262&lt;0.15,"Cold",L262&lt;0.25,"Mild",L262&lt;=0.32,"Warm",L262&gt;=0.33,"Hot")</f>
        <v>Mild</v>
      </c>
      <c r="N262" s="18">
        <v>0.18179999999999999</v>
      </c>
      <c r="O262" s="18">
        <v>0.32</v>
      </c>
      <c r="P262" s="18" t="str" cm="1">
        <f t="array" ref="P262">_xlfn.IFS(O262&gt;0.61, "High Humidity", O262&gt;=0.6, "Humid", O262&gt;0.4, "Less Humidity", TRUE, "Dry")</f>
        <v>Dry</v>
      </c>
      <c r="Q262" s="18">
        <v>0.58209999999999995</v>
      </c>
      <c r="R262" s="18" t="str" cm="1">
        <f t="array" ref="R262">_xlfn.IFS(Q262&lt;=0.2,"Low Windspeed",Q262&lt;0.4,"Medium Windspeed",Q262&gt;=0.41,"High Windspeed")</f>
        <v>High Windspeed</v>
      </c>
      <c r="S262" s="18">
        <v>4</v>
      </c>
      <c r="T262" s="18">
        <v>172</v>
      </c>
      <c r="U262" s="19">
        <v>176</v>
      </c>
      <c r="V262" s="18" t="str" cm="1">
        <f t="array" ref="V262">_xlfn.IFS(U262&lt;=70,"Low",U262&lt;=160,"Medium",U262&gt;=161,"High")</f>
        <v>High</v>
      </c>
    </row>
    <row r="263" spans="1:22" x14ac:dyDescent="0.25">
      <c r="A263" s="16">
        <v>872</v>
      </c>
      <c r="B263" s="17">
        <v>40582</v>
      </c>
      <c r="C263" s="18">
        <v>1</v>
      </c>
      <c r="D263" s="18">
        <v>0</v>
      </c>
      <c r="E263" s="18">
        <v>2</v>
      </c>
      <c r="F263" s="18">
        <v>18</v>
      </c>
      <c r="G263" s="18" t="str" cm="1">
        <f t="array" ref="G263">_xlfn.IFS(F263&lt;4,"Night",F263&lt;=6,"Early Morning",F263&lt;11,"Morning",F263&lt;12,"Afternoon",F263&lt;=16,"Afternoon",F263&lt;=20,"Evening",F263&gt;=21,"Night")</f>
        <v>Evening</v>
      </c>
      <c r="H263" s="18" t="b">
        <v>0</v>
      </c>
      <c r="I263" s="18">
        <v>2</v>
      </c>
      <c r="J263" s="18" t="str" cm="1">
        <f t="array" ref="J263">_xlfn.IFS(I263=1,"Monday",I263=2,"Tuesday",I263=3,"Wednesday",I263=4,"Thursday",I263=5,"Friday",I263=6,"Saturday",I263=0,"Sunday")</f>
        <v>Tuesday</v>
      </c>
      <c r="K263" s="18">
        <v>1</v>
      </c>
      <c r="L263" s="18">
        <v>0.2</v>
      </c>
      <c r="M263" s="27" t="str" cm="1">
        <f t="array" ref="M263">_xlfn.IFS(L263&lt;0.15,"Cold",L263&lt;0.25,"Mild",L263&lt;=0.32,"Warm",L263&gt;=0.33,"Hot")</f>
        <v>Mild</v>
      </c>
      <c r="N263" s="18">
        <v>0.18179999999999999</v>
      </c>
      <c r="O263" s="18">
        <v>0.32</v>
      </c>
      <c r="P263" s="18" t="str" cm="1">
        <f t="array" ref="P263">_xlfn.IFS(O263&gt;0.61, "High Humidity", O263&gt;=0.6, "Humid", O263&gt;0.4, "Less Humidity", TRUE, "Dry")</f>
        <v>Dry</v>
      </c>
      <c r="Q263" s="18">
        <v>0.3881</v>
      </c>
      <c r="R263" s="18" t="str" cm="1">
        <f t="array" ref="R263">_xlfn.IFS(Q263&lt;=0.2,"Low Windspeed",Q263&lt;0.4,"Medium Windspeed",Q263&gt;=0.41,"High Windspeed")</f>
        <v>Medium Windspeed</v>
      </c>
      <c r="S263" s="18">
        <v>1</v>
      </c>
      <c r="T263" s="18">
        <v>151</v>
      </c>
      <c r="U263" s="19">
        <v>152</v>
      </c>
      <c r="V263" s="18" t="str" cm="1">
        <f t="array" ref="V263">_xlfn.IFS(U263&lt;=70,"Low",U263&lt;=160,"Medium",U263&gt;=161,"High")</f>
        <v>Medium</v>
      </c>
    </row>
    <row r="264" spans="1:22" x14ac:dyDescent="0.25">
      <c r="A264" s="16">
        <v>873</v>
      </c>
      <c r="B264" s="17">
        <v>40582</v>
      </c>
      <c r="C264" s="18">
        <v>1</v>
      </c>
      <c r="D264" s="18">
        <v>0</v>
      </c>
      <c r="E264" s="18">
        <v>2</v>
      </c>
      <c r="F264" s="18">
        <v>19</v>
      </c>
      <c r="G264" s="18" t="str" cm="1">
        <f t="array" ref="G264">_xlfn.IFS(F264&lt;4,"Night",F264&lt;=6,"Early Morning",F264&lt;11,"Morning",F264&lt;12,"Afternoon",F264&lt;=16,"Afternoon",F264&lt;=20,"Evening",F264&gt;=21,"Night")</f>
        <v>Evening</v>
      </c>
      <c r="H264" s="18" t="b">
        <v>0</v>
      </c>
      <c r="I264" s="18">
        <v>2</v>
      </c>
      <c r="J264" s="18" t="str" cm="1">
        <f t="array" ref="J264">_xlfn.IFS(I264=1,"Monday",I264=2,"Tuesday",I264=3,"Wednesday",I264=4,"Thursday",I264=5,"Friday",I264=6,"Saturday",I264=0,"Sunday")</f>
        <v>Tuesday</v>
      </c>
      <c r="K264" s="18">
        <v>1</v>
      </c>
      <c r="L264" s="18">
        <v>0.16</v>
      </c>
      <c r="M264" s="27" t="str" cm="1">
        <f t="array" ref="M264">_xlfn.IFS(L264&lt;0.15,"Cold",L264&lt;0.25,"Mild",L264&lt;=0.32,"Warm",L264&gt;=0.33,"Hot")</f>
        <v>Mild</v>
      </c>
      <c r="N264" s="18">
        <v>0.1212</v>
      </c>
      <c r="O264" s="18">
        <v>0.4</v>
      </c>
      <c r="P264" s="18" t="str" cm="1">
        <f t="array" ref="P264">_xlfn.IFS(O264&gt;0.61, "High Humidity", O264&gt;=0.6, "Humid", O264&gt;0.4, "Less Humidity", TRUE, "Dry")</f>
        <v>Dry</v>
      </c>
      <c r="Q264" s="18">
        <v>0.4627</v>
      </c>
      <c r="R264" s="18" t="str" cm="1">
        <f t="array" ref="R264">_xlfn.IFS(Q264&lt;=0.2,"Low Windspeed",Q264&lt;0.4,"Medium Windspeed",Q264&gt;=0.41,"High Windspeed")</f>
        <v>High Windspeed</v>
      </c>
      <c r="S264" s="18">
        <v>1</v>
      </c>
      <c r="T264" s="18">
        <v>100</v>
      </c>
      <c r="U264" s="19">
        <v>101</v>
      </c>
      <c r="V264" s="18" t="str" cm="1">
        <f t="array" ref="V264">_xlfn.IFS(U264&lt;=70,"Low",U264&lt;=160,"Medium",U264&gt;=161,"High")</f>
        <v>Medium</v>
      </c>
    </row>
    <row r="265" spans="1:22" x14ac:dyDescent="0.25">
      <c r="A265" s="16">
        <v>874</v>
      </c>
      <c r="B265" s="17">
        <v>40582</v>
      </c>
      <c r="C265" s="18">
        <v>1</v>
      </c>
      <c r="D265" s="18">
        <v>0</v>
      </c>
      <c r="E265" s="18">
        <v>2</v>
      </c>
      <c r="F265" s="18">
        <v>20</v>
      </c>
      <c r="G265" s="18" t="str" cm="1">
        <f t="array" ref="G265">_xlfn.IFS(F265&lt;4,"Night",F265&lt;=6,"Early Morning",F265&lt;11,"Morning",F265&lt;12,"Afternoon",F265&lt;=16,"Afternoon",F265&lt;=20,"Evening",F265&gt;=21,"Night")</f>
        <v>Evening</v>
      </c>
      <c r="H265" s="18" t="b">
        <v>0</v>
      </c>
      <c r="I265" s="18">
        <v>2</v>
      </c>
      <c r="J265" s="18" t="str" cm="1">
        <f t="array" ref="J265">_xlfn.IFS(I265=1,"Monday",I265=2,"Tuesday",I265=3,"Wednesday",I265=4,"Thursday",I265=5,"Friday",I265=6,"Saturday",I265=0,"Sunday")</f>
        <v>Tuesday</v>
      </c>
      <c r="K265" s="18">
        <v>1</v>
      </c>
      <c r="L265" s="18">
        <v>0.16</v>
      </c>
      <c r="M265" s="27" t="str" cm="1">
        <f t="array" ref="M265">_xlfn.IFS(L265&lt;0.15,"Cold",L265&lt;0.25,"Mild",L265&lt;=0.32,"Warm",L265&gt;=0.33,"Hot")</f>
        <v>Mild</v>
      </c>
      <c r="N265" s="18">
        <v>0.13639999999999999</v>
      </c>
      <c r="O265" s="18">
        <v>0.4</v>
      </c>
      <c r="P265" s="18" t="str" cm="1">
        <f t="array" ref="P265">_xlfn.IFS(O265&gt;0.61, "High Humidity", O265&gt;=0.6, "Humid", O265&gt;0.4, "Less Humidity", TRUE, "Dry")</f>
        <v>Dry</v>
      </c>
      <c r="Q265" s="18">
        <v>0.32840000000000003</v>
      </c>
      <c r="R265" s="18" t="str" cm="1">
        <f t="array" ref="R265">_xlfn.IFS(Q265&lt;=0.2,"Low Windspeed",Q265&lt;0.4,"Medium Windspeed",Q265&gt;=0.41,"High Windspeed")</f>
        <v>Medium Windspeed</v>
      </c>
      <c r="S265" s="18">
        <v>3</v>
      </c>
      <c r="T265" s="18">
        <v>53</v>
      </c>
      <c r="U265" s="19">
        <v>56</v>
      </c>
      <c r="V265" s="18" t="str" cm="1">
        <f t="array" ref="V265">_xlfn.IFS(U265&lt;=70,"Low",U265&lt;=160,"Medium",U265&gt;=161,"High")</f>
        <v>Low</v>
      </c>
    </row>
    <row r="266" spans="1:22" x14ac:dyDescent="0.25">
      <c r="A266" s="16">
        <v>875</v>
      </c>
      <c r="B266" s="17">
        <v>40582</v>
      </c>
      <c r="C266" s="18">
        <v>1</v>
      </c>
      <c r="D266" s="18">
        <v>0</v>
      </c>
      <c r="E266" s="18">
        <v>2</v>
      </c>
      <c r="F266" s="18">
        <v>21</v>
      </c>
      <c r="G266" s="18" t="str" cm="1">
        <f t="array" ref="G266">_xlfn.IFS(F266&lt;4,"Night",F266&lt;=6,"Early Morning",F266&lt;11,"Morning",F266&lt;12,"Afternoon",F266&lt;=16,"Afternoon",F266&lt;=20,"Evening",F266&gt;=21,"Night")</f>
        <v>Night</v>
      </c>
      <c r="H266" s="18" t="b">
        <v>0</v>
      </c>
      <c r="I266" s="18">
        <v>2</v>
      </c>
      <c r="J266" s="18" t="str" cm="1">
        <f t="array" ref="J266">_xlfn.IFS(I266=1,"Monday",I266=2,"Tuesday",I266=3,"Wednesday",I266=4,"Thursday",I266=5,"Friday",I266=6,"Saturday",I266=0,"Sunday")</f>
        <v>Tuesday</v>
      </c>
      <c r="K266" s="18">
        <v>1</v>
      </c>
      <c r="L266" s="18">
        <v>0.14000000000000001</v>
      </c>
      <c r="M266" s="27" t="str" cm="1">
        <f t="array" ref="M266">_xlfn.IFS(L266&lt;0.15,"Cold",L266&lt;0.25,"Mild",L266&lt;=0.32,"Warm",L266&gt;=0.33,"Hot")</f>
        <v>Cold</v>
      </c>
      <c r="N266" s="18">
        <v>0.1061</v>
      </c>
      <c r="O266" s="18">
        <v>0.33</v>
      </c>
      <c r="P266" s="18" t="str" cm="1">
        <f t="array" ref="P266">_xlfn.IFS(O266&gt;0.61, "High Humidity", O266&gt;=0.6, "Humid", O266&gt;0.4, "Less Humidity", TRUE, "Dry")</f>
        <v>Dry</v>
      </c>
      <c r="Q266" s="18">
        <v>0.4627</v>
      </c>
      <c r="R266" s="18" t="str" cm="1">
        <f t="array" ref="R266">_xlfn.IFS(Q266&lt;=0.2,"Low Windspeed",Q266&lt;0.4,"Medium Windspeed",Q266&gt;=0.41,"High Windspeed")</f>
        <v>High Windspeed</v>
      </c>
      <c r="S266" s="18">
        <v>8</v>
      </c>
      <c r="T266" s="18">
        <v>46</v>
      </c>
      <c r="U266" s="19">
        <v>54</v>
      </c>
      <c r="V266" s="18" t="str" cm="1">
        <f t="array" ref="V266">_xlfn.IFS(U266&lt;=70,"Low",U266&lt;=160,"Medium",U266&gt;=161,"High")</f>
        <v>Low</v>
      </c>
    </row>
    <row r="267" spans="1:22" x14ac:dyDescent="0.25">
      <c r="A267" s="16">
        <v>876</v>
      </c>
      <c r="B267" s="17">
        <v>40582</v>
      </c>
      <c r="C267" s="18">
        <v>1</v>
      </c>
      <c r="D267" s="18">
        <v>0</v>
      </c>
      <c r="E267" s="18">
        <v>2</v>
      </c>
      <c r="F267" s="18">
        <v>22</v>
      </c>
      <c r="G267" s="18" t="str" cm="1">
        <f t="array" ref="G267">_xlfn.IFS(F267&lt;4,"Night",F267&lt;=6,"Early Morning",F267&lt;11,"Morning",F267&lt;12,"Afternoon",F267&lt;=16,"Afternoon",F267&lt;=20,"Evening",F267&gt;=21,"Night")</f>
        <v>Night</v>
      </c>
      <c r="H267" s="18" t="b">
        <v>0</v>
      </c>
      <c r="I267" s="18">
        <v>2</v>
      </c>
      <c r="J267" s="18" t="str" cm="1">
        <f t="array" ref="J267">_xlfn.IFS(I267=1,"Monday",I267=2,"Tuesday",I267=3,"Wednesday",I267=4,"Thursday",I267=5,"Friday",I267=6,"Saturday",I267=0,"Sunday")</f>
        <v>Tuesday</v>
      </c>
      <c r="K267" s="18">
        <v>1</v>
      </c>
      <c r="L267" s="18">
        <v>0.12</v>
      </c>
      <c r="M267" s="27" t="str" cm="1">
        <f t="array" ref="M267">_xlfn.IFS(L267&lt;0.15,"Cold",L267&lt;0.25,"Mild",L267&lt;=0.32,"Warm",L267&gt;=0.33,"Hot")</f>
        <v>Cold</v>
      </c>
      <c r="N267" s="18">
        <v>0.1061</v>
      </c>
      <c r="O267" s="18">
        <v>0.33</v>
      </c>
      <c r="P267" s="18" t="str" cm="1">
        <f t="array" ref="P267">_xlfn.IFS(O267&gt;0.61, "High Humidity", O267&gt;=0.6, "Humid", O267&gt;0.4, "Less Humidity", TRUE, "Dry")</f>
        <v>Dry</v>
      </c>
      <c r="Q267" s="18">
        <v>0.35820000000000002</v>
      </c>
      <c r="R267" s="18" t="str" cm="1">
        <f t="array" ref="R267">_xlfn.IFS(Q267&lt;=0.2,"Low Windspeed",Q267&lt;0.4,"Medium Windspeed",Q267&gt;=0.41,"High Windspeed")</f>
        <v>Medium Windspeed</v>
      </c>
      <c r="S267" s="18">
        <v>0</v>
      </c>
      <c r="T267" s="18">
        <v>29</v>
      </c>
      <c r="U267" s="19">
        <v>29</v>
      </c>
      <c r="V267" s="18" t="str" cm="1">
        <f t="array" ref="V267">_xlfn.IFS(U267&lt;=70,"Low",U267&lt;=160,"Medium",U267&gt;=161,"High")</f>
        <v>Low</v>
      </c>
    </row>
    <row r="268" spans="1:22" x14ac:dyDescent="0.25">
      <c r="A268" s="16">
        <v>877</v>
      </c>
      <c r="B268" s="17">
        <v>40582</v>
      </c>
      <c r="C268" s="18">
        <v>1</v>
      </c>
      <c r="D268" s="18">
        <v>0</v>
      </c>
      <c r="E268" s="18">
        <v>2</v>
      </c>
      <c r="F268" s="18">
        <v>23</v>
      </c>
      <c r="G268" s="18" t="str" cm="1">
        <f t="array" ref="G268">_xlfn.IFS(F268&lt;4,"Night",F268&lt;=6,"Early Morning",F268&lt;11,"Morning",F268&lt;12,"Afternoon",F268&lt;=16,"Afternoon",F268&lt;=20,"Evening",F268&gt;=21,"Night")</f>
        <v>Night</v>
      </c>
      <c r="H268" s="18" t="b">
        <v>0</v>
      </c>
      <c r="I268" s="18">
        <v>2</v>
      </c>
      <c r="J268" s="18" t="str" cm="1">
        <f t="array" ref="J268">_xlfn.IFS(I268=1,"Monday",I268=2,"Tuesday",I268=3,"Wednesday",I268=4,"Thursday",I268=5,"Friday",I268=6,"Saturday",I268=0,"Sunday")</f>
        <v>Tuesday</v>
      </c>
      <c r="K268" s="18">
        <v>1</v>
      </c>
      <c r="L268" s="18">
        <v>0.12</v>
      </c>
      <c r="M268" s="27" t="str" cm="1">
        <f t="array" ref="M268">_xlfn.IFS(L268&lt;0.15,"Cold",L268&lt;0.25,"Mild",L268&lt;=0.32,"Warm",L268&gt;=0.33,"Hot")</f>
        <v>Cold</v>
      </c>
      <c r="N268" s="18">
        <v>0.1061</v>
      </c>
      <c r="O268" s="18">
        <v>0.33</v>
      </c>
      <c r="P268" s="18" t="str" cm="1">
        <f t="array" ref="P268">_xlfn.IFS(O268&gt;0.61, "High Humidity", O268&gt;=0.6, "Humid", O268&gt;0.4, "Less Humidity", TRUE, "Dry")</f>
        <v>Dry</v>
      </c>
      <c r="Q268" s="18">
        <v>0.32840000000000003</v>
      </c>
      <c r="R268" s="18" t="str" cm="1">
        <f t="array" ref="R268">_xlfn.IFS(Q268&lt;=0.2,"Low Windspeed",Q268&lt;0.4,"Medium Windspeed",Q268&gt;=0.41,"High Windspeed")</f>
        <v>Medium Windspeed</v>
      </c>
      <c r="S268" s="18">
        <v>3</v>
      </c>
      <c r="T268" s="18">
        <v>9</v>
      </c>
      <c r="U268" s="19">
        <v>12</v>
      </c>
      <c r="V268" s="18" t="str" cm="1">
        <f t="array" ref="V268">_xlfn.IFS(U268&lt;=70,"Low",U268&lt;=160,"Medium",U268&gt;=161,"High")</f>
        <v>Low</v>
      </c>
    </row>
    <row r="269" spans="1:22" x14ac:dyDescent="0.25">
      <c r="A269" s="16">
        <v>878</v>
      </c>
      <c r="B269" s="17">
        <v>40583</v>
      </c>
      <c r="C269" s="18">
        <v>1</v>
      </c>
      <c r="D269" s="18">
        <v>0</v>
      </c>
      <c r="E269" s="18">
        <v>2</v>
      </c>
      <c r="F269" s="18">
        <v>0</v>
      </c>
      <c r="G269" s="18" t="str" cm="1">
        <f t="array" ref="G269">_xlfn.IFS(F269&lt;4,"Night",F269&lt;=6,"Early Morning",F269&lt;11,"Morning",F269&lt;12,"Afternoon",F269&lt;=16,"Afternoon",F269&lt;=20,"Evening",F269&gt;=21,"Night")</f>
        <v>Night</v>
      </c>
      <c r="H269" s="18" t="b">
        <v>0</v>
      </c>
      <c r="I269" s="18">
        <v>3</v>
      </c>
      <c r="J269" s="18" t="str" cm="1">
        <f t="array" ref="J269">_xlfn.IFS(I269=1,"Monday",I269=2,"Tuesday",I269=3,"Wednesday",I269=4,"Thursday",I269=5,"Friday",I269=6,"Saturday",I269=0,"Sunday")</f>
        <v>Wednesday</v>
      </c>
      <c r="K269" s="18">
        <v>1</v>
      </c>
      <c r="L269" s="18">
        <v>0.1</v>
      </c>
      <c r="M269" s="27" t="str" cm="1">
        <f t="array" ref="M269">_xlfn.IFS(L269&lt;0.15,"Cold",L269&lt;0.25,"Mild",L269&lt;=0.32,"Warm",L269&gt;=0.33,"Hot")</f>
        <v>Cold</v>
      </c>
      <c r="N269" s="18">
        <v>7.5800000000000006E-2</v>
      </c>
      <c r="O269" s="18">
        <v>0.36</v>
      </c>
      <c r="P269" s="18" t="str" cm="1">
        <f t="array" ref="P269">_xlfn.IFS(O269&gt;0.61, "High Humidity", O269&gt;=0.6, "Humid", O269&gt;0.4, "Less Humidity", TRUE, "Dry")</f>
        <v>Dry</v>
      </c>
      <c r="Q269" s="18">
        <v>0.35820000000000002</v>
      </c>
      <c r="R269" s="18" t="str" cm="1">
        <f t="array" ref="R269">_xlfn.IFS(Q269&lt;=0.2,"Low Windspeed",Q269&lt;0.4,"Medium Windspeed",Q269&gt;=0.41,"High Windspeed")</f>
        <v>Medium Windspeed</v>
      </c>
      <c r="S269" s="18">
        <v>0</v>
      </c>
      <c r="T269" s="18">
        <v>17</v>
      </c>
      <c r="U269" s="19">
        <v>17</v>
      </c>
      <c r="V269" s="18" t="str" cm="1">
        <f t="array" ref="V269">_xlfn.IFS(U269&lt;=70,"Low",U269&lt;=160,"Medium",U269&gt;=161,"High")</f>
        <v>Low</v>
      </c>
    </row>
    <row r="270" spans="1:22" x14ac:dyDescent="0.25">
      <c r="A270" s="16">
        <v>879</v>
      </c>
      <c r="B270" s="17">
        <v>40583</v>
      </c>
      <c r="C270" s="18">
        <v>1</v>
      </c>
      <c r="D270" s="18">
        <v>0</v>
      </c>
      <c r="E270" s="18">
        <v>2</v>
      </c>
      <c r="F270" s="18">
        <v>1</v>
      </c>
      <c r="G270" s="18" t="str" cm="1">
        <f t="array" ref="G270">_xlfn.IFS(F270&lt;4,"Night",F270&lt;=6,"Early Morning",F270&lt;11,"Morning",F270&lt;12,"Afternoon",F270&lt;=16,"Afternoon",F270&lt;=20,"Evening",F270&gt;=21,"Night")</f>
        <v>Night</v>
      </c>
      <c r="H270" s="18" t="b">
        <v>0</v>
      </c>
      <c r="I270" s="18">
        <v>3</v>
      </c>
      <c r="J270" s="18" t="str" cm="1">
        <f t="array" ref="J270">_xlfn.IFS(I270=1,"Monday",I270=2,"Tuesday",I270=3,"Wednesday",I270=4,"Thursday",I270=5,"Friday",I270=6,"Saturday",I270=0,"Sunday")</f>
        <v>Wednesday</v>
      </c>
      <c r="K270" s="18">
        <v>1</v>
      </c>
      <c r="L270" s="18">
        <v>0.1</v>
      </c>
      <c r="M270" s="27" t="str" cm="1">
        <f t="array" ref="M270">_xlfn.IFS(L270&lt;0.15,"Cold",L270&lt;0.25,"Mild",L270&lt;=0.32,"Warm",L270&gt;=0.33,"Hot")</f>
        <v>Cold</v>
      </c>
      <c r="N270" s="18">
        <v>0.1061</v>
      </c>
      <c r="O270" s="18">
        <v>0.36</v>
      </c>
      <c r="P270" s="18" t="str" cm="1">
        <f t="array" ref="P270">_xlfn.IFS(O270&gt;0.61, "High Humidity", O270&gt;=0.6, "Humid", O270&gt;0.4, "Less Humidity", TRUE, "Dry")</f>
        <v>Dry</v>
      </c>
      <c r="Q270" s="18">
        <v>0.22389999999999999</v>
      </c>
      <c r="R270" s="18" t="str" cm="1">
        <f t="array" ref="R270">_xlfn.IFS(Q270&lt;=0.2,"Low Windspeed",Q270&lt;0.4,"Medium Windspeed",Q270&gt;=0.41,"High Windspeed")</f>
        <v>Medium Windspeed</v>
      </c>
      <c r="S270" s="18">
        <v>0</v>
      </c>
      <c r="T270" s="18">
        <v>7</v>
      </c>
      <c r="U270" s="19">
        <v>7</v>
      </c>
      <c r="V270" s="18" t="str" cm="1">
        <f t="array" ref="V270">_xlfn.IFS(U270&lt;=70,"Low",U270&lt;=160,"Medium",U270&gt;=161,"High")</f>
        <v>Low</v>
      </c>
    </row>
    <row r="271" spans="1:22" x14ac:dyDescent="0.25">
      <c r="A271" s="16">
        <v>880</v>
      </c>
      <c r="B271" s="17">
        <v>40583</v>
      </c>
      <c r="C271" s="18">
        <v>1</v>
      </c>
      <c r="D271" s="18">
        <v>0</v>
      </c>
      <c r="E271" s="18">
        <v>2</v>
      </c>
      <c r="F271" s="18">
        <v>2</v>
      </c>
      <c r="G271" s="18" t="str" cm="1">
        <f t="array" ref="G271">_xlfn.IFS(F271&lt;4,"Night",F271&lt;=6,"Early Morning",F271&lt;11,"Morning",F271&lt;12,"Afternoon",F271&lt;=16,"Afternoon",F271&lt;=20,"Evening",F271&gt;=21,"Night")</f>
        <v>Night</v>
      </c>
      <c r="H271" s="18" t="b">
        <v>0</v>
      </c>
      <c r="I271" s="18">
        <v>3</v>
      </c>
      <c r="J271" s="18" t="str" cm="1">
        <f t="array" ref="J271">_xlfn.IFS(I271=1,"Monday",I271=2,"Tuesday",I271=3,"Wednesday",I271=4,"Thursday",I271=5,"Friday",I271=6,"Saturday",I271=0,"Sunday")</f>
        <v>Wednesday</v>
      </c>
      <c r="K271" s="18">
        <v>1</v>
      </c>
      <c r="L271" s="18">
        <v>0.08</v>
      </c>
      <c r="M271" s="27" t="str" cm="1">
        <f t="array" ref="M271">_xlfn.IFS(L271&lt;0.15,"Cold",L271&lt;0.25,"Mild",L271&lt;=0.32,"Warm",L271&gt;=0.33,"Hot")</f>
        <v>Cold</v>
      </c>
      <c r="N271" s="18">
        <v>7.5800000000000006E-2</v>
      </c>
      <c r="O271" s="18">
        <v>0.38</v>
      </c>
      <c r="P271" s="18" t="str" cm="1">
        <f t="array" ref="P271">_xlfn.IFS(O271&gt;0.61, "High Humidity", O271&gt;=0.6, "Humid", O271&gt;0.4, "Less Humidity", TRUE, "Dry")</f>
        <v>Dry</v>
      </c>
      <c r="Q271" s="18">
        <v>0.28360000000000002</v>
      </c>
      <c r="R271" s="18" t="str" cm="1">
        <f t="array" ref="R271">_xlfn.IFS(Q271&lt;=0.2,"Low Windspeed",Q271&lt;0.4,"Medium Windspeed",Q271&gt;=0.41,"High Windspeed")</f>
        <v>Medium Windspeed</v>
      </c>
      <c r="S271" s="18">
        <v>1</v>
      </c>
      <c r="T271" s="18">
        <v>2</v>
      </c>
      <c r="U271" s="19">
        <v>3</v>
      </c>
      <c r="V271" s="18" t="str" cm="1">
        <f t="array" ref="V271">_xlfn.IFS(U271&lt;=70,"Low",U271&lt;=160,"Medium",U271&gt;=161,"High")</f>
        <v>Low</v>
      </c>
    </row>
    <row r="272" spans="1:22" x14ac:dyDescent="0.25">
      <c r="A272" s="16">
        <v>881</v>
      </c>
      <c r="B272" s="17">
        <v>40583</v>
      </c>
      <c r="C272" s="18">
        <v>1</v>
      </c>
      <c r="D272" s="18">
        <v>0</v>
      </c>
      <c r="E272" s="18">
        <v>2</v>
      </c>
      <c r="F272" s="18">
        <v>3</v>
      </c>
      <c r="G272" s="18" t="str" cm="1">
        <f t="array" ref="G272">_xlfn.IFS(F272&lt;4,"Night",F272&lt;=6,"Early Morning",F272&lt;11,"Morning",F272&lt;12,"Afternoon",F272&lt;=16,"Afternoon",F272&lt;=20,"Evening",F272&gt;=21,"Night")</f>
        <v>Night</v>
      </c>
      <c r="H272" s="18" t="b">
        <v>0</v>
      </c>
      <c r="I272" s="18">
        <v>3</v>
      </c>
      <c r="J272" s="18" t="str" cm="1">
        <f t="array" ref="J272">_xlfn.IFS(I272=1,"Monday",I272=2,"Tuesday",I272=3,"Wednesday",I272=4,"Thursday",I272=5,"Friday",I272=6,"Saturday",I272=0,"Sunday")</f>
        <v>Wednesday</v>
      </c>
      <c r="K272" s="18">
        <v>1</v>
      </c>
      <c r="L272" s="18">
        <v>0.06</v>
      </c>
      <c r="M272" s="27" t="str" cm="1">
        <f t="array" ref="M272">_xlfn.IFS(L272&lt;0.15,"Cold",L272&lt;0.25,"Mild",L272&lt;=0.32,"Warm",L272&gt;=0.33,"Hot")</f>
        <v>Cold</v>
      </c>
      <c r="N272" s="18">
        <v>7.5800000000000006E-2</v>
      </c>
      <c r="O272" s="18">
        <v>0.45</v>
      </c>
      <c r="P272" s="18" t="str" cm="1">
        <f t="array" ref="P272">_xlfn.IFS(O272&gt;0.61, "High Humidity", O272&gt;=0.6, "Humid", O272&gt;0.4, "Less Humidity", TRUE, "Dry")</f>
        <v>Less Humidity</v>
      </c>
      <c r="Q272" s="18">
        <v>0.1343</v>
      </c>
      <c r="R272" s="18" t="str" cm="1">
        <f t="array" ref="R272">_xlfn.IFS(Q272&lt;=0.2,"Low Windspeed",Q272&lt;0.4,"Medium Windspeed",Q272&gt;=0.41,"High Windspeed")</f>
        <v>Low Windspeed</v>
      </c>
      <c r="S272" s="18">
        <v>0</v>
      </c>
      <c r="T272" s="18">
        <v>2</v>
      </c>
      <c r="U272" s="19">
        <v>2</v>
      </c>
      <c r="V272" s="18" t="str" cm="1">
        <f t="array" ref="V272">_xlfn.IFS(U272&lt;=70,"Low",U272&lt;=160,"Medium",U272&gt;=161,"High")</f>
        <v>Low</v>
      </c>
    </row>
    <row r="273" spans="1:22" x14ac:dyDescent="0.25">
      <c r="A273" s="16">
        <v>882</v>
      </c>
      <c r="B273" s="17">
        <v>40583</v>
      </c>
      <c r="C273" s="18">
        <v>1</v>
      </c>
      <c r="D273" s="18">
        <v>0</v>
      </c>
      <c r="E273" s="18">
        <v>2</v>
      </c>
      <c r="F273" s="18">
        <v>5</v>
      </c>
      <c r="G273" s="18" t="str" cm="1">
        <f t="array" ref="G273">_xlfn.IFS(F273&lt;4,"Night",F273&lt;=6,"Early Morning",F273&lt;11,"Morning",F273&lt;12,"Afternoon",F273&lt;=16,"Afternoon",F273&lt;=20,"Evening",F273&gt;=21,"Night")</f>
        <v>Early Morning</v>
      </c>
      <c r="H273" s="18" t="b">
        <v>0</v>
      </c>
      <c r="I273" s="18">
        <v>3</v>
      </c>
      <c r="J273" s="18" t="str" cm="1">
        <f t="array" ref="J273">_xlfn.IFS(I273=1,"Monday",I273=2,"Tuesday",I273=3,"Wednesday",I273=4,"Thursday",I273=5,"Friday",I273=6,"Saturday",I273=0,"Sunday")</f>
        <v>Wednesday</v>
      </c>
      <c r="K273" s="18">
        <v>1</v>
      </c>
      <c r="L273" s="18">
        <v>0.06</v>
      </c>
      <c r="M273" s="27" t="str" cm="1">
        <f t="array" ref="M273">_xlfn.IFS(L273&lt;0.15,"Cold",L273&lt;0.25,"Mild",L273&lt;=0.32,"Warm",L273&gt;=0.33,"Hot")</f>
        <v>Cold</v>
      </c>
      <c r="N273" s="18">
        <v>0.1061</v>
      </c>
      <c r="O273" s="18">
        <v>0.45</v>
      </c>
      <c r="P273" s="18" t="str" cm="1">
        <f t="array" ref="P273">_xlfn.IFS(O273&gt;0.61, "High Humidity", O273&gt;=0.6, "Humid", O273&gt;0.4, "Less Humidity", TRUE, "Dry")</f>
        <v>Less Humidity</v>
      </c>
      <c r="Q273" s="18">
        <v>0.1045</v>
      </c>
      <c r="R273" s="18" t="str" cm="1">
        <f t="array" ref="R273">_xlfn.IFS(Q273&lt;=0.2,"Low Windspeed",Q273&lt;0.4,"Medium Windspeed",Q273&gt;=0.41,"High Windspeed")</f>
        <v>Low Windspeed</v>
      </c>
      <c r="S273" s="18">
        <v>0</v>
      </c>
      <c r="T273" s="18">
        <v>7</v>
      </c>
      <c r="U273" s="19">
        <v>7</v>
      </c>
      <c r="V273" s="18" t="str" cm="1">
        <f t="array" ref="V273">_xlfn.IFS(U273&lt;=70,"Low",U273&lt;=160,"Medium",U273&gt;=161,"High")</f>
        <v>Low</v>
      </c>
    </row>
    <row r="274" spans="1:22" x14ac:dyDescent="0.25">
      <c r="A274" s="16">
        <v>883</v>
      </c>
      <c r="B274" s="17">
        <v>40583</v>
      </c>
      <c r="C274" s="18">
        <v>1</v>
      </c>
      <c r="D274" s="18">
        <v>0</v>
      </c>
      <c r="E274" s="18">
        <v>2</v>
      </c>
      <c r="F274" s="18">
        <v>6</v>
      </c>
      <c r="G274" s="18" t="str" cm="1">
        <f t="array" ref="G274">_xlfn.IFS(F274&lt;4,"Night",F274&lt;=6,"Early Morning",F274&lt;11,"Morning",F274&lt;12,"Afternoon",F274&lt;=16,"Afternoon",F274&lt;=20,"Evening",F274&gt;=21,"Night")</f>
        <v>Early Morning</v>
      </c>
      <c r="H274" s="18" t="b">
        <v>0</v>
      </c>
      <c r="I274" s="18">
        <v>3</v>
      </c>
      <c r="J274" s="18" t="str" cm="1">
        <f t="array" ref="J274">_xlfn.IFS(I274=1,"Monday",I274=2,"Tuesday",I274=3,"Wednesday",I274=4,"Thursday",I274=5,"Friday",I274=6,"Saturday",I274=0,"Sunday")</f>
        <v>Wednesday</v>
      </c>
      <c r="K274" s="18">
        <v>1</v>
      </c>
      <c r="L274" s="18">
        <v>0.06</v>
      </c>
      <c r="M274" s="27" t="str" cm="1">
        <f t="array" ref="M274">_xlfn.IFS(L274&lt;0.15,"Cold",L274&lt;0.25,"Mild",L274&lt;=0.32,"Warm",L274&gt;=0.33,"Hot")</f>
        <v>Cold</v>
      </c>
      <c r="N274" s="18">
        <v>0.1515</v>
      </c>
      <c r="O274" s="18">
        <v>0.45</v>
      </c>
      <c r="P274" s="18" t="str" cm="1">
        <f t="array" ref="P274">_xlfn.IFS(O274&gt;0.61, "High Humidity", O274&gt;=0.6, "Humid", O274&gt;0.4, "Less Humidity", TRUE, "Dry")</f>
        <v>Less Humidity</v>
      </c>
      <c r="Q274" s="18">
        <v>0</v>
      </c>
      <c r="R274" s="18" t="str" cm="1">
        <f t="array" ref="R274">_xlfn.IFS(Q274&lt;=0.2,"Low Windspeed",Q274&lt;0.4,"Medium Windspeed",Q274&gt;=0.41,"High Windspeed")</f>
        <v>Low Windspeed</v>
      </c>
      <c r="S274" s="18">
        <v>0</v>
      </c>
      <c r="T274" s="18">
        <v>43</v>
      </c>
      <c r="U274" s="19">
        <v>43</v>
      </c>
      <c r="V274" s="18" t="str" cm="1">
        <f t="array" ref="V274">_xlfn.IFS(U274&lt;=70,"Low",U274&lt;=160,"Medium",U274&gt;=161,"High")</f>
        <v>Low</v>
      </c>
    </row>
    <row r="275" spans="1:22" x14ac:dyDescent="0.25">
      <c r="A275" s="16">
        <v>884</v>
      </c>
      <c r="B275" s="17">
        <v>40583</v>
      </c>
      <c r="C275" s="18">
        <v>1</v>
      </c>
      <c r="D275" s="18">
        <v>0</v>
      </c>
      <c r="E275" s="18">
        <v>2</v>
      </c>
      <c r="F275" s="18">
        <v>7</v>
      </c>
      <c r="G275" s="18" t="str" cm="1">
        <f t="array" ref="G275">_xlfn.IFS(F275&lt;4,"Night",F275&lt;=6,"Early Morning",F275&lt;11,"Morning",F275&lt;12,"Afternoon",F275&lt;=16,"Afternoon",F275&lt;=20,"Evening",F275&gt;=21,"Night")</f>
        <v>Morning</v>
      </c>
      <c r="H275" s="18" t="b">
        <v>0</v>
      </c>
      <c r="I275" s="18">
        <v>3</v>
      </c>
      <c r="J275" s="18" t="str" cm="1">
        <f t="array" ref="J275">_xlfn.IFS(I275=1,"Monday",I275=2,"Tuesday",I275=3,"Wednesday",I275=4,"Thursday",I275=5,"Friday",I275=6,"Saturday",I275=0,"Sunday")</f>
        <v>Wednesday</v>
      </c>
      <c r="K275" s="18">
        <v>1</v>
      </c>
      <c r="L275" s="18">
        <v>0.06</v>
      </c>
      <c r="M275" s="27" t="str" cm="1">
        <f t="array" ref="M275">_xlfn.IFS(L275&lt;0.15,"Cold",L275&lt;0.25,"Mild",L275&lt;=0.32,"Warm",L275&gt;=0.33,"Hot")</f>
        <v>Cold</v>
      </c>
      <c r="N275" s="18">
        <v>0.1061</v>
      </c>
      <c r="O275" s="18">
        <v>0.49</v>
      </c>
      <c r="P275" s="18" t="str" cm="1">
        <f t="array" ref="P275">_xlfn.IFS(O275&gt;0.61, "High Humidity", O275&gt;=0.6, "Humid", O275&gt;0.4, "Less Humidity", TRUE, "Dry")</f>
        <v>Less Humidity</v>
      </c>
      <c r="Q275" s="18">
        <v>0.1045</v>
      </c>
      <c r="R275" s="18" t="str" cm="1">
        <f t="array" ref="R275">_xlfn.IFS(Q275&lt;=0.2,"Low Windspeed",Q275&lt;0.4,"Medium Windspeed",Q275&gt;=0.41,"High Windspeed")</f>
        <v>Low Windspeed</v>
      </c>
      <c r="S275" s="18">
        <v>4</v>
      </c>
      <c r="T275" s="18">
        <v>95</v>
      </c>
      <c r="U275" s="19">
        <v>99</v>
      </c>
      <c r="V275" s="18" t="str" cm="1">
        <f t="array" ref="V275">_xlfn.IFS(U275&lt;=70,"Low",U275&lt;=160,"Medium",U275&gt;=161,"High")</f>
        <v>Medium</v>
      </c>
    </row>
    <row r="276" spans="1:22" x14ac:dyDescent="0.25">
      <c r="A276" s="16">
        <v>885</v>
      </c>
      <c r="B276" s="17">
        <v>40583</v>
      </c>
      <c r="C276" s="18">
        <v>1</v>
      </c>
      <c r="D276" s="18">
        <v>0</v>
      </c>
      <c r="E276" s="18">
        <v>2</v>
      </c>
      <c r="F276" s="18">
        <v>8</v>
      </c>
      <c r="G276" s="18" t="str" cm="1">
        <f t="array" ref="G276">_xlfn.IFS(F276&lt;4,"Night",F276&lt;=6,"Early Morning",F276&lt;11,"Morning",F276&lt;12,"Afternoon",F276&lt;=16,"Afternoon",F276&lt;=20,"Evening",F276&gt;=21,"Night")</f>
        <v>Morning</v>
      </c>
      <c r="H276" s="18" t="b">
        <v>0</v>
      </c>
      <c r="I276" s="18">
        <v>3</v>
      </c>
      <c r="J276" s="18" t="str" cm="1">
        <f t="array" ref="J276">_xlfn.IFS(I276=1,"Monday",I276=2,"Tuesday",I276=3,"Wednesday",I276=4,"Thursday",I276=5,"Friday",I276=6,"Saturday",I276=0,"Sunday")</f>
        <v>Wednesday</v>
      </c>
      <c r="K276" s="18">
        <v>1</v>
      </c>
      <c r="L276" s="18">
        <v>0.1</v>
      </c>
      <c r="M276" s="27" t="str" cm="1">
        <f t="array" ref="M276">_xlfn.IFS(L276&lt;0.15,"Cold",L276&lt;0.25,"Mild",L276&lt;=0.32,"Warm",L276&gt;=0.33,"Hot")</f>
        <v>Cold</v>
      </c>
      <c r="N276" s="18">
        <v>0.13639999999999999</v>
      </c>
      <c r="O276" s="18">
        <v>0.42</v>
      </c>
      <c r="P276" s="18" t="str" cm="1">
        <f t="array" ref="P276">_xlfn.IFS(O276&gt;0.61, "High Humidity", O276&gt;=0.6, "Humid", O276&gt;0.4, "Less Humidity", TRUE, "Dry")</f>
        <v>Less Humidity</v>
      </c>
      <c r="Q276" s="18">
        <v>0</v>
      </c>
      <c r="R276" s="18" t="str" cm="1">
        <f t="array" ref="R276">_xlfn.IFS(Q276&lt;=0.2,"Low Windspeed",Q276&lt;0.4,"Medium Windspeed",Q276&gt;=0.41,"High Windspeed")</f>
        <v>Low Windspeed</v>
      </c>
      <c r="S276" s="18">
        <v>1</v>
      </c>
      <c r="T276" s="18">
        <v>198</v>
      </c>
      <c r="U276" s="19">
        <v>199</v>
      </c>
      <c r="V276" s="18" t="str" cm="1">
        <f t="array" ref="V276">_xlfn.IFS(U276&lt;=70,"Low",U276&lt;=160,"Medium",U276&gt;=161,"High")</f>
        <v>High</v>
      </c>
    </row>
    <row r="277" spans="1:22" x14ac:dyDescent="0.25">
      <c r="A277" s="16">
        <v>886</v>
      </c>
      <c r="B277" s="17">
        <v>40583</v>
      </c>
      <c r="C277" s="18">
        <v>1</v>
      </c>
      <c r="D277" s="18">
        <v>0</v>
      </c>
      <c r="E277" s="18">
        <v>2</v>
      </c>
      <c r="F277" s="18">
        <v>9</v>
      </c>
      <c r="G277" s="18" t="str" cm="1">
        <f t="array" ref="G277">_xlfn.IFS(F277&lt;4,"Night",F277&lt;=6,"Early Morning",F277&lt;11,"Morning",F277&lt;12,"Afternoon",F277&lt;=16,"Afternoon",F277&lt;=20,"Evening",F277&gt;=21,"Night")</f>
        <v>Morning</v>
      </c>
      <c r="H277" s="18" t="b">
        <v>0</v>
      </c>
      <c r="I277" s="18">
        <v>3</v>
      </c>
      <c r="J277" s="18" t="str" cm="1">
        <f t="array" ref="J277">_xlfn.IFS(I277=1,"Monday",I277=2,"Tuesday",I277=3,"Wednesday",I277=4,"Thursday",I277=5,"Friday",I277=6,"Saturday",I277=0,"Sunday")</f>
        <v>Wednesday</v>
      </c>
      <c r="K277" s="18">
        <v>1</v>
      </c>
      <c r="L277" s="18">
        <v>0.12</v>
      </c>
      <c r="M277" s="27" t="str" cm="1">
        <f t="array" ref="M277">_xlfn.IFS(L277&lt;0.15,"Cold",L277&lt;0.25,"Mild",L277&lt;=0.32,"Warm",L277&gt;=0.33,"Hot")</f>
        <v>Cold</v>
      </c>
      <c r="N277" s="18">
        <v>0.13639999999999999</v>
      </c>
      <c r="O277" s="18">
        <v>0.39</v>
      </c>
      <c r="P277" s="18" t="str" cm="1">
        <f t="array" ref="P277">_xlfn.IFS(O277&gt;0.61, "High Humidity", O277&gt;=0.6, "Humid", O277&gt;0.4, "Less Humidity", TRUE, "Dry")</f>
        <v>Dry</v>
      </c>
      <c r="Q277" s="18">
        <v>0.16420000000000001</v>
      </c>
      <c r="R277" s="18" t="str" cm="1">
        <f t="array" ref="R277">_xlfn.IFS(Q277&lt;=0.2,"Low Windspeed",Q277&lt;0.4,"Medium Windspeed",Q277&gt;=0.41,"High Windspeed")</f>
        <v>Low Windspeed</v>
      </c>
      <c r="S277" s="18">
        <v>4</v>
      </c>
      <c r="T277" s="18">
        <v>119</v>
      </c>
      <c r="U277" s="19">
        <v>123</v>
      </c>
      <c r="V277" s="18" t="str" cm="1">
        <f t="array" ref="V277">_xlfn.IFS(U277&lt;=70,"Low",U277&lt;=160,"Medium",U277&gt;=161,"High")</f>
        <v>Medium</v>
      </c>
    </row>
    <row r="278" spans="1:22" x14ac:dyDescent="0.25">
      <c r="A278" s="16">
        <v>887</v>
      </c>
      <c r="B278" s="17">
        <v>40583</v>
      </c>
      <c r="C278" s="18">
        <v>1</v>
      </c>
      <c r="D278" s="18">
        <v>0</v>
      </c>
      <c r="E278" s="18">
        <v>2</v>
      </c>
      <c r="F278" s="18">
        <v>10</v>
      </c>
      <c r="G278" s="18" t="str" cm="1">
        <f t="array" ref="G278">_xlfn.IFS(F278&lt;4,"Night",F278&lt;=6,"Early Morning",F278&lt;11,"Morning",F278&lt;12,"Afternoon",F278&lt;=16,"Afternoon",F278&lt;=20,"Evening",F278&gt;=21,"Night")</f>
        <v>Morning</v>
      </c>
      <c r="H278" s="18" t="b">
        <v>0</v>
      </c>
      <c r="I278" s="18">
        <v>3</v>
      </c>
      <c r="J278" s="18" t="str" cm="1">
        <f t="array" ref="J278">_xlfn.IFS(I278=1,"Monday",I278=2,"Tuesday",I278=3,"Wednesday",I278=4,"Thursday",I278=5,"Friday",I278=6,"Saturday",I278=0,"Sunday")</f>
        <v>Wednesday</v>
      </c>
      <c r="K278" s="18">
        <v>1</v>
      </c>
      <c r="L278" s="18">
        <v>0.14000000000000001</v>
      </c>
      <c r="M278" s="27" t="str" cm="1">
        <f t="array" ref="M278">_xlfn.IFS(L278&lt;0.15,"Cold",L278&lt;0.25,"Mild",L278&lt;=0.32,"Warm",L278&gt;=0.33,"Hot")</f>
        <v>Cold</v>
      </c>
      <c r="N278" s="18">
        <v>0.18179999999999999</v>
      </c>
      <c r="O278" s="18">
        <v>0.36</v>
      </c>
      <c r="P278" s="18" t="str" cm="1">
        <f t="array" ref="P278">_xlfn.IFS(O278&gt;0.61, "High Humidity", O278&gt;=0.6, "Humid", O278&gt;0.4, "Less Humidity", TRUE, "Dry")</f>
        <v>Dry</v>
      </c>
      <c r="Q278" s="18">
        <v>0</v>
      </c>
      <c r="R278" s="18" t="str" cm="1">
        <f t="array" ref="R278">_xlfn.IFS(Q278&lt;=0.2,"Low Windspeed",Q278&lt;0.4,"Medium Windspeed",Q278&gt;=0.41,"High Windspeed")</f>
        <v>Low Windspeed</v>
      </c>
      <c r="S278" s="18">
        <v>8</v>
      </c>
      <c r="T278" s="18">
        <v>51</v>
      </c>
      <c r="U278" s="19">
        <v>59</v>
      </c>
      <c r="V278" s="18" t="str" cm="1">
        <f t="array" ref="V278">_xlfn.IFS(U278&lt;=70,"Low",U278&lt;=160,"Medium",U278&gt;=161,"High")</f>
        <v>Low</v>
      </c>
    </row>
    <row r="279" spans="1:22" x14ac:dyDescent="0.25">
      <c r="A279" s="16">
        <v>888</v>
      </c>
      <c r="B279" s="17">
        <v>40583</v>
      </c>
      <c r="C279" s="18">
        <v>1</v>
      </c>
      <c r="D279" s="18">
        <v>0</v>
      </c>
      <c r="E279" s="18">
        <v>2</v>
      </c>
      <c r="F279" s="18">
        <v>11</v>
      </c>
      <c r="G279" s="18" t="str" cm="1">
        <f t="array" ref="G279">_xlfn.IFS(F279&lt;4,"Night",F279&lt;=6,"Early Morning",F279&lt;11,"Morning",F279&lt;12,"Afternoon",F279&lt;=16,"Afternoon",F279&lt;=20,"Evening",F279&gt;=21,"Night")</f>
        <v>Afternoon</v>
      </c>
      <c r="H279" s="18" t="b">
        <v>0</v>
      </c>
      <c r="I279" s="18">
        <v>3</v>
      </c>
      <c r="J279" s="18" t="str" cm="1">
        <f t="array" ref="J279">_xlfn.IFS(I279=1,"Monday",I279=2,"Tuesday",I279=3,"Wednesday",I279=4,"Thursday",I279=5,"Friday",I279=6,"Saturday",I279=0,"Sunday")</f>
        <v>Wednesday</v>
      </c>
      <c r="K279" s="18">
        <v>2</v>
      </c>
      <c r="L279" s="18">
        <v>0.14000000000000001</v>
      </c>
      <c r="M279" s="27" t="str" cm="1">
        <f t="array" ref="M279">_xlfn.IFS(L279&lt;0.15,"Cold",L279&lt;0.25,"Mild",L279&lt;=0.32,"Warm",L279&gt;=0.33,"Hot")</f>
        <v>Cold</v>
      </c>
      <c r="N279" s="18">
        <v>0.1515</v>
      </c>
      <c r="O279" s="18">
        <v>0.43</v>
      </c>
      <c r="P279" s="18" t="str" cm="1">
        <f t="array" ref="P279">_xlfn.IFS(O279&gt;0.61, "High Humidity", O279&gt;=0.6, "Humid", O279&gt;0.4, "Less Humidity", TRUE, "Dry")</f>
        <v>Less Humidity</v>
      </c>
      <c r="Q279" s="18">
        <v>0.16420000000000001</v>
      </c>
      <c r="R279" s="18" t="str" cm="1">
        <f t="array" ref="R279">_xlfn.IFS(Q279&lt;=0.2,"Low Windspeed",Q279&lt;0.4,"Medium Windspeed",Q279&gt;=0.41,"High Windspeed")</f>
        <v>Low Windspeed</v>
      </c>
      <c r="S279" s="18">
        <v>1</v>
      </c>
      <c r="T279" s="18">
        <v>40</v>
      </c>
      <c r="U279" s="19">
        <v>41</v>
      </c>
      <c r="V279" s="18" t="str" cm="1">
        <f t="array" ref="V279">_xlfn.IFS(U279&lt;=70,"Low",U279&lt;=160,"Medium",U279&gt;=161,"High")</f>
        <v>Low</v>
      </c>
    </row>
    <row r="280" spans="1:22" x14ac:dyDescent="0.25">
      <c r="A280" s="16">
        <v>889</v>
      </c>
      <c r="B280" s="17">
        <v>40583</v>
      </c>
      <c r="C280" s="18">
        <v>1</v>
      </c>
      <c r="D280" s="18">
        <v>0</v>
      </c>
      <c r="E280" s="18">
        <v>2</v>
      </c>
      <c r="F280" s="18">
        <v>12</v>
      </c>
      <c r="G280" s="18" t="str" cm="1">
        <f t="array" ref="G280">_xlfn.IFS(F280&lt;4,"Night",F280&lt;=6,"Early Morning",F280&lt;11,"Morning",F280&lt;12,"Afternoon",F280&lt;=16,"Afternoon",F280&lt;=20,"Evening",F280&gt;=21,"Night")</f>
        <v>Afternoon</v>
      </c>
      <c r="H280" s="18" t="b">
        <v>0</v>
      </c>
      <c r="I280" s="18">
        <v>3</v>
      </c>
      <c r="J280" s="18" t="str" cm="1">
        <f t="array" ref="J280">_xlfn.IFS(I280=1,"Monday",I280=2,"Tuesday",I280=3,"Wednesday",I280=4,"Thursday",I280=5,"Friday",I280=6,"Saturday",I280=0,"Sunday")</f>
        <v>Wednesday</v>
      </c>
      <c r="K280" s="18">
        <v>2</v>
      </c>
      <c r="L280" s="18">
        <v>0.18</v>
      </c>
      <c r="M280" s="27" t="str" cm="1">
        <f t="array" ref="M280">_xlfn.IFS(L280&lt;0.15,"Cold",L280&lt;0.25,"Mild",L280&lt;=0.32,"Warm",L280&gt;=0.33,"Hot")</f>
        <v>Mild</v>
      </c>
      <c r="N280" s="18">
        <v>0.18179999999999999</v>
      </c>
      <c r="O280" s="18">
        <v>0.4</v>
      </c>
      <c r="P280" s="18" t="str" cm="1">
        <f t="array" ref="P280">_xlfn.IFS(O280&gt;0.61, "High Humidity", O280&gt;=0.6, "Humid", O280&gt;0.4, "Less Humidity", TRUE, "Dry")</f>
        <v>Dry</v>
      </c>
      <c r="Q280" s="18">
        <v>0.22389999999999999</v>
      </c>
      <c r="R280" s="18" t="str" cm="1">
        <f t="array" ref="R280">_xlfn.IFS(Q280&lt;=0.2,"Low Windspeed",Q280&lt;0.4,"Medium Windspeed",Q280&gt;=0.41,"High Windspeed")</f>
        <v>Medium Windspeed</v>
      </c>
      <c r="S280" s="18">
        <v>4</v>
      </c>
      <c r="T280" s="18">
        <v>57</v>
      </c>
      <c r="U280" s="19">
        <v>61</v>
      </c>
      <c r="V280" s="18" t="str" cm="1">
        <f t="array" ref="V280">_xlfn.IFS(U280&lt;=70,"Low",U280&lt;=160,"Medium",U280&gt;=161,"High")</f>
        <v>Low</v>
      </c>
    </row>
    <row r="281" spans="1:22" x14ac:dyDescent="0.25">
      <c r="A281" s="16">
        <v>890</v>
      </c>
      <c r="B281" s="17">
        <v>40583</v>
      </c>
      <c r="C281" s="18">
        <v>1</v>
      </c>
      <c r="D281" s="18">
        <v>0</v>
      </c>
      <c r="E281" s="18">
        <v>2</v>
      </c>
      <c r="F281" s="18">
        <v>13</v>
      </c>
      <c r="G281" s="18" t="str" cm="1">
        <f t="array" ref="G281">_xlfn.IFS(F281&lt;4,"Night",F281&lt;=6,"Early Morning",F281&lt;11,"Morning",F281&lt;12,"Afternoon",F281&lt;=16,"Afternoon",F281&lt;=20,"Evening",F281&gt;=21,"Night")</f>
        <v>Afternoon</v>
      </c>
      <c r="H281" s="18" t="b">
        <v>0</v>
      </c>
      <c r="I281" s="18">
        <v>3</v>
      </c>
      <c r="J281" s="18" t="str" cm="1">
        <f t="array" ref="J281">_xlfn.IFS(I281=1,"Monday",I281=2,"Tuesday",I281=3,"Wednesday",I281=4,"Thursday",I281=5,"Friday",I281=6,"Saturday",I281=0,"Sunday")</f>
        <v>Wednesday</v>
      </c>
      <c r="K281" s="18">
        <v>1</v>
      </c>
      <c r="L281" s="18">
        <v>0.18</v>
      </c>
      <c r="M281" s="27" t="str" cm="1">
        <f t="array" ref="M281">_xlfn.IFS(L281&lt;0.15,"Cold",L281&lt;0.25,"Mild",L281&lt;=0.32,"Warm",L281&gt;=0.33,"Hot")</f>
        <v>Mild</v>
      </c>
      <c r="N281" s="18">
        <v>0.16669999999999999</v>
      </c>
      <c r="O281" s="18">
        <v>0.4</v>
      </c>
      <c r="P281" s="18" t="str" cm="1">
        <f t="array" ref="P281">_xlfn.IFS(O281&gt;0.61, "High Humidity", O281&gt;=0.6, "Humid", O281&gt;0.4, "Less Humidity", TRUE, "Dry")</f>
        <v>Dry</v>
      </c>
      <c r="Q281" s="18">
        <v>0.25369999999999998</v>
      </c>
      <c r="R281" s="18" t="str" cm="1">
        <f t="array" ref="R281">_xlfn.IFS(Q281&lt;=0.2,"Low Windspeed",Q281&lt;0.4,"Medium Windspeed",Q281&gt;=0.41,"High Windspeed")</f>
        <v>Medium Windspeed</v>
      </c>
      <c r="S281" s="18">
        <v>2</v>
      </c>
      <c r="T281" s="18">
        <v>67</v>
      </c>
      <c r="U281" s="19">
        <v>69</v>
      </c>
      <c r="V281" s="18" t="str" cm="1">
        <f t="array" ref="V281">_xlfn.IFS(U281&lt;=70,"Low",U281&lt;=160,"Medium",U281&gt;=161,"High")</f>
        <v>Low</v>
      </c>
    </row>
    <row r="282" spans="1:22" x14ac:dyDescent="0.25">
      <c r="A282" s="16">
        <v>891</v>
      </c>
      <c r="B282" s="17">
        <v>40583</v>
      </c>
      <c r="C282" s="18">
        <v>1</v>
      </c>
      <c r="D282" s="18">
        <v>0</v>
      </c>
      <c r="E282" s="18">
        <v>2</v>
      </c>
      <c r="F282" s="18">
        <v>14</v>
      </c>
      <c r="G282" s="18" t="str" cm="1">
        <f t="array" ref="G282">_xlfn.IFS(F282&lt;4,"Night",F282&lt;=6,"Early Morning",F282&lt;11,"Morning",F282&lt;12,"Afternoon",F282&lt;=16,"Afternoon",F282&lt;=20,"Evening",F282&gt;=21,"Night")</f>
        <v>Afternoon</v>
      </c>
      <c r="H282" s="18" t="b">
        <v>0</v>
      </c>
      <c r="I282" s="18">
        <v>3</v>
      </c>
      <c r="J282" s="18" t="str" cm="1">
        <f t="array" ref="J282">_xlfn.IFS(I282=1,"Monday",I282=2,"Tuesday",I282=3,"Wednesday",I282=4,"Thursday",I282=5,"Friday",I282=6,"Saturday",I282=0,"Sunday")</f>
        <v>Wednesday</v>
      </c>
      <c r="K282" s="18">
        <v>1</v>
      </c>
      <c r="L282" s="18">
        <v>0.2</v>
      </c>
      <c r="M282" s="27" t="str" cm="1">
        <f t="array" ref="M282">_xlfn.IFS(L282&lt;0.15,"Cold",L282&lt;0.25,"Mild",L282&lt;=0.32,"Warm",L282&gt;=0.33,"Hot")</f>
        <v>Mild</v>
      </c>
      <c r="N282" s="18">
        <v>0.18179999999999999</v>
      </c>
      <c r="O282" s="18">
        <v>0.34</v>
      </c>
      <c r="P282" s="18" t="str" cm="1">
        <f t="array" ref="P282">_xlfn.IFS(O282&gt;0.61, "High Humidity", O282&gt;=0.6, "Humid", O282&gt;0.4, "Less Humidity", TRUE, "Dry")</f>
        <v>Dry</v>
      </c>
      <c r="Q282" s="18">
        <v>0.29849999999999999</v>
      </c>
      <c r="R282" s="18" t="str" cm="1">
        <f t="array" ref="R282">_xlfn.IFS(Q282&lt;=0.2,"Low Windspeed",Q282&lt;0.4,"Medium Windspeed",Q282&gt;=0.41,"High Windspeed")</f>
        <v>Medium Windspeed</v>
      </c>
      <c r="S282" s="18">
        <v>2</v>
      </c>
      <c r="T282" s="18">
        <v>56</v>
      </c>
      <c r="U282" s="19">
        <v>58</v>
      </c>
      <c r="V282" s="18" t="str" cm="1">
        <f t="array" ref="V282">_xlfn.IFS(U282&lt;=70,"Low",U282&lt;=160,"Medium",U282&gt;=161,"High")</f>
        <v>Low</v>
      </c>
    </row>
    <row r="283" spans="1:22" x14ac:dyDescent="0.25">
      <c r="A283" s="16">
        <v>892</v>
      </c>
      <c r="B283" s="17">
        <v>40583</v>
      </c>
      <c r="C283" s="18">
        <v>1</v>
      </c>
      <c r="D283" s="18">
        <v>0</v>
      </c>
      <c r="E283" s="18">
        <v>2</v>
      </c>
      <c r="F283" s="18">
        <v>15</v>
      </c>
      <c r="G283" s="18" t="str" cm="1">
        <f t="array" ref="G283">_xlfn.IFS(F283&lt;4,"Night",F283&lt;=6,"Early Morning",F283&lt;11,"Morning",F283&lt;12,"Afternoon",F283&lt;=16,"Afternoon",F283&lt;=20,"Evening",F283&gt;=21,"Night")</f>
        <v>Afternoon</v>
      </c>
      <c r="H283" s="18" t="b">
        <v>0</v>
      </c>
      <c r="I283" s="18">
        <v>3</v>
      </c>
      <c r="J283" s="18" t="str" cm="1">
        <f t="array" ref="J283">_xlfn.IFS(I283=1,"Monday",I283=2,"Tuesday",I283=3,"Wednesday",I283=4,"Thursday",I283=5,"Friday",I283=6,"Saturday",I283=0,"Sunday")</f>
        <v>Wednesday</v>
      </c>
      <c r="K283" s="18">
        <v>2</v>
      </c>
      <c r="L283" s="18">
        <v>0.2</v>
      </c>
      <c r="M283" s="27" t="str" cm="1">
        <f t="array" ref="M283">_xlfn.IFS(L283&lt;0.15,"Cold",L283&lt;0.25,"Mild",L283&lt;=0.32,"Warm",L283&gt;=0.33,"Hot")</f>
        <v>Mild</v>
      </c>
      <c r="N283" s="18">
        <v>0.18179999999999999</v>
      </c>
      <c r="O283" s="18">
        <v>0.34</v>
      </c>
      <c r="P283" s="18" t="str" cm="1">
        <f t="array" ref="P283">_xlfn.IFS(O283&gt;0.61, "High Humidity", O283&gt;=0.6, "Humid", O283&gt;0.4, "Less Humidity", TRUE, "Dry")</f>
        <v>Dry</v>
      </c>
      <c r="Q283" s="18">
        <v>0.28360000000000002</v>
      </c>
      <c r="R283" s="18" t="str" cm="1">
        <f t="array" ref="R283">_xlfn.IFS(Q283&lt;=0.2,"Low Windspeed",Q283&lt;0.4,"Medium Windspeed",Q283&gt;=0.41,"High Windspeed")</f>
        <v>Medium Windspeed</v>
      </c>
      <c r="S283" s="18">
        <v>3</v>
      </c>
      <c r="T283" s="18">
        <v>61</v>
      </c>
      <c r="U283" s="19">
        <v>64</v>
      </c>
      <c r="V283" s="18" t="str" cm="1">
        <f t="array" ref="V283">_xlfn.IFS(U283&lt;=70,"Low",U283&lt;=160,"Medium",U283&gt;=161,"High")</f>
        <v>Low</v>
      </c>
    </row>
    <row r="284" spans="1:22" x14ac:dyDescent="0.25">
      <c r="A284" s="16">
        <v>893</v>
      </c>
      <c r="B284" s="17">
        <v>40583</v>
      </c>
      <c r="C284" s="18">
        <v>1</v>
      </c>
      <c r="D284" s="18">
        <v>0</v>
      </c>
      <c r="E284" s="18">
        <v>2</v>
      </c>
      <c r="F284" s="18">
        <v>16</v>
      </c>
      <c r="G284" s="18" t="str" cm="1">
        <f t="array" ref="G284">_xlfn.IFS(F284&lt;4,"Night",F284&lt;=6,"Early Morning",F284&lt;11,"Morning",F284&lt;12,"Afternoon",F284&lt;=16,"Afternoon",F284&lt;=20,"Evening",F284&gt;=21,"Night")</f>
        <v>Afternoon</v>
      </c>
      <c r="H284" s="18" t="b">
        <v>0</v>
      </c>
      <c r="I284" s="18">
        <v>3</v>
      </c>
      <c r="J284" s="18" t="str" cm="1">
        <f t="array" ref="J284">_xlfn.IFS(I284=1,"Monday",I284=2,"Tuesday",I284=3,"Wednesday",I284=4,"Thursday",I284=5,"Friday",I284=6,"Saturday",I284=0,"Sunday")</f>
        <v>Wednesday</v>
      </c>
      <c r="K284" s="18">
        <v>2</v>
      </c>
      <c r="L284" s="18">
        <v>0.2</v>
      </c>
      <c r="M284" s="27" t="str" cm="1">
        <f t="array" ref="M284">_xlfn.IFS(L284&lt;0.15,"Cold",L284&lt;0.25,"Mild",L284&lt;=0.32,"Warm",L284&gt;=0.33,"Hot")</f>
        <v>Mild</v>
      </c>
      <c r="N284" s="18">
        <v>0.19700000000000001</v>
      </c>
      <c r="O284" s="18">
        <v>0.37</v>
      </c>
      <c r="P284" s="18" t="str" cm="1">
        <f t="array" ref="P284">_xlfn.IFS(O284&gt;0.61, "High Humidity", O284&gt;=0.6, "Humid", O284&gt;0.4, "Less Humidity", TRUE, "Dry")</f>
        <v>Dry</v>
      </c>
      <c r="Q284" s="18">
        <v>0.25369999999999998</v>
      </c>
      <c r="R284" s="18" t="str" cm="1">
        <f t="array" ref="R284">_xlfn.IFS(Q284&lt;=0.2,"Low Windspeed",Q284&lt;0.4,"Medium Windspeed",Q284&gt;=0.41,"High Windspeed")</f>
        <v>Medium Windspeed</v>
      </c>
      <c r="S284" s="18">
        <v>7</v>
      </c>
      <c r="T284" s="18">
        <v>72</v>
      </c>
      <c r="U284" s="19">
        <v>79</v>
      </c>
      <c r="V284" s="18" t="str" cm="1">
        <f t="array" ref="V284">_xlfn.IFS(U284&lt;=70,"Low",U284&lt;=160,"Medium",U284&gt;=161,"High")</f>
        <v>Medium</v>
      </c>
    </row>
    <row r="285" spans="1:22" x14ac:dyDescent="0.25">
      <c r="A285" s="16">
        <v>894</v>
      </c>
      <c r="B285" s="17">
        <v>40583</v>
      </c>
      <c r="C285" s="18">
        <v>1</v>
      </c>
      <c r="D285" s="18">
        <v>0</v>
      </c>
      <c r="E285" s="18">
        <v>2</v>
      </c>
      <c r="F285" s="18">
        <v>17</v>
      </c>
      <c r="G285" s="18" t="str" cm="1">
        <f t="array" ref="G285">_xlfn.IFS(F285&lt;4,"Night",F285&lt;=6,"Early Morning",F285&lt;11,"Morning",F285&lt;12,"Afternoon",F285&lt;=16,"Afternoon",F285&lt;=20,"Evening",F285&gt;=21,"Night")</f>
        <v>Evening</v>
      </c>
      <c r="H285" s="18" t="b">
        <v>0</v>
      </c>
      <c r="I285" s="18">
        <v>3</v>
      </c>
      <c r="J285" s="18" t="str" cm="1">
        <f t="array" ref="J285">_xlfn.IFS(I285=1,"Monday",I285=2,"Tuesday",I285=3,"Wednesday",I285=4,"Thursday",I285=5,"Friday",I285=6,"Saturday",I285=0,"Sunday")</f>
        <v>Wednesday</v>
      </c>
      <c r="K285" s="18">
        <v>2</v>
      </c>
      <c r="L285" s="18">
        <v>0.2</v>
      </c>
      <c r="M285" s="27" t="str" cm="1">
        <f t="array" ref="M285">_xlfn.IFS(L285&lt;0.15,"Cold",L285&lt;0.25,"Mild",L285&lt;=0.32,"Warm",L285&gt;=0.33,"Hot")</f>
        <v>Mild</v>
      </c>
      <c r="N285" s="18">
        <v>0.19700000000000001</v>
      </c>
      <c r="O285" s="18">
        <v>0.34</v>
      </c>
      <c r="P285" s="18" t="str" cm="1">
        <f t="array" ref="P285">_xlfn.IFS(O285&gt;0.61, "High Humidity", O285&gt;=0.6, "Humid", O285&gt;0.4, "Less Humidity", TRUE, "Dry")</f>
        <v>Dry</v>
      </c>
      <c r="Q285" s="18">
        <v>0.25369999999999998</v>
      </c>
      <c r="R285" s="18" t="str" cm="1">
        <f t="array" ref="R285">_xlfn.IFS(Q285&lt;=0.2,"Low Windspeed",Q285&lt;0.4,"Medium Windspeed",Q285&gt;=0.41,"High Windspeed")</f>
        <v>Medium Windspeed</v>
      </c>
      <c r="S285" s="18">
        <v>9</v>
      </c>
      <c r="T285" s="18">
        <v>157</v>
      </c>
      <c r="U285" s="19">
        <v>166</v>
      </c>
      <c r="V285" s="18" t="str" cm="1">
        <f t="array" ref="V285">_xlfn.IFS(U285&lt;=70,"Low",U285&lt;=160,"Medium",U285&gt;=161,"High")</f>
        <v>High</v>
      </c>
    </row>
    <row r="286" spans="1:22" x14ac:dyDescent="0.25">
      <c r="A286" s="16">
        <v>895</v>
      </c>
      <c r="B286" s="17">
        <v>40583</v>
      </c>
      <c r="C286" s="18">
        <v>1</v>
      </c>
      <c r="D286" s="18">
        <v>0</v>
      </c>
      <c r="E286" s="18">
        <v>2</v>
      </c>
      <c r="F286" s="18">
        <v>18</v>
      </c>
      <c r="G286" s="18" t="str" cm="1">
        <f t="array" ref="G286">_xlfn.IFS(F286&lt;4,"Night",F286&lt;=6,"Early Morning",F286&lt;11,"Morning",F286&lt;12,"Afternoon",F286&lt;=16,"Afternoon",F286&lt;=20,"Evening",F286&gt;=21,"Night")</f>
        <v>Evening</v>
      </c>
      <c r="H286" s="18" t="b">
        <v>0</v>
      </c>
      <c r="I286" s="18">
        <v>3</v>
      </c>
      <c r="J286" s="18" t="str" cm="1">
        <f t="array" ref="J286">_xlfn.IFS(I286=1,"Monday",I286=2,"Tuesday",I286=3,"Wednesday",I286=4,"Thursday",I286=5,"Friday",I286=6,"Saturday",I286=0,"Sunday")</f>
        <v>Wednesday</v>
      </c>
      <c r="K286" s="18">
        <v>2</v>
      </c>
      <c r="L286" s="18">
        <v>0.18</v>
      </c>
      <c r="M286" s="27" t="str" cm="1">
        <f t="array" ref="M286">_xlfn.IFS(L286&lt;0.15,"Cold",L286&lt;0.25,"Mild",L286&lt;=0.32,"Warm",L286&gt;=0.33,"Hot")</f>
        <v>Mild</v>
      </c>
      <c r="N286" s="18">
        <v>0.16669999999999999</v>
      </c>
      <c r="O286" s="18">
        <v>0.47</v>
      </c>
      <c r="P286" s="18" t="str" cm="1">
        <f t="array" ref="P286">_xlfn.IFS(O286&gt;0.61, "High Humidity", O286&gt;=0.6, "Humid", O286&gt;0.4, "Less Humidity", TRUE, "Dry")</f>
        <v>Less Humidity</v>
      </c>
      <c r="Q286" s="18">
        <v>0.29849999999999999</v>
      </c>
      <c r="R286" s="18" t="str" cm="1">
        <f t="array" ref="R286">_xlfn.IFS(Q286&lt;=0.2,"Low Windspeed",Q286&lt;0.4,"Medium Windspeed",Q286&gt;=0.41,"High Windspeed")</f>
        <v>Medium Windspeed</v>
      </c>
      <c r="S286" s="18">
        <v>2</v>
      </c>
      <c r="T286" s="18">
        <v>168</v>
      </c>
      <c r="U286" s="19">
        <v>170</v>
      </c>
      <c r="V286" s="18" t="str" cm="1">
        <f t="array" ref="V286">_xlfn.IFS(U286&lt;=70,"Low",U286&lt;=160,"Medium",U286&gt;=161,"High")</f>
        <v>High</v>
      </c>
    </row>
    <row r="287" spans="1:22" x14ac:dyDescent="0.25">
      <c r="A287" s="16">
        <v>896</v>
      </c>
      <c r="B287" s="17">
        <v>40583</v>
      </c>
      <c r="C287" s="18">
        <v>1</v>
      </c>
      <c r="D287" s="18">
        <v>0</v>
      </c>
      <c r="E287" s="18">
        <v>2</v>
      </c>
      <c r="F287" s="18">
        <v>19</v>
      </c>
      <c r="G287" s="18" t="str" cm="1">
        <f t="array" ref="G287">_xlfn.IFS(F287&lt;4,"Night",F287&lt;=6,"Early Morning",F287&lt;11,"Morning",F287&lt;12,"Afternoon",F287&lt;=16,"Afternoon",F287&lt;=20,"Evening",F287&gt;=21,"Night")</f>
        <v>Evening</v>
      </c>
      <c r="H287" s="18" t="b">
        <v>0</v>
      </c>
      <c r="I287" s="18">
        <v>3</v>
      </c>
      <c r="J287" s="18" t="str" cm="1">
        <f t="array" ref="J287">_xlfn.IFS(I287=1,"Monday",I287=2,"Tuesday",I287=3,"Wednesday",I287=4,"Thursday",I287=5,"Friday",I287=6,"Saturday",I287=0,"Sunday")</f>
        <v>Wednesday</v>
      </c>
      <c r="K287" s="18">
        <v>3</v>
      </c>
      <c r="L287" s="18">
        <v>0.14000000000000001</v>
      </c>
      <c r="M287" s="27" t="str" cm="1">
        <f t="array" ref="M287">_xlfn.IFS(L287&lt;0.15,"Cold",L287&lt;0.25,"Mild",L287&lt;=0.32,"Warm",L287&gt;=0.33,"Hot")</f>
        <v>Cold</v>
      </c>
      <c r="N287" s="18">
        <v>0.1212</v>
      </c>
      <c r="O287" s="18">
        <v>0.86</v>
      </c>
      <c r="P287" s="18" t="str" cm="1">
        <f t="array" ref="P287">_xlfn.IFS(O287&gt;0.61, "High Humidity", O287&gt;=0.6, "Humid", O287&gt;0.4, "Less Humidity", TRUE, "Dry")</f>
        <v>High Humidity</v>
      </c>
      <c r="Q287" s="18">
        <v>0.25369999999999998</v>
      </c>
      <c r="R287" s="18" t="str" cm="1">
        <f t="array" ref="R287">_xlfn.IFS(Q287&lt;=0.2,"Low Windspeed",Q287&lt;0.4,"Medium Windspeed",Q287&gt;=0.41,"High Windspeed")</f>
        <v>Medium Windspeed</v>
      </c>
      <c r="S287" s="18">
        <v>1</v>
      </c>
      <c r="T287" s="18">
        <v>87</v>
      </c>
      <c r="U287" s="19">
        <v>88</v>
      </c>
      <c r="V287" s="18" t="str" cm="1">
        <f t="array" ref="V287">_xlfn.IFS(U287&lt;=70,"Low",U287&lt;=160,"Medium",U287&gt;=161,"High")</f>
        <v>Medium</v>
      </c>
    </row>
    <row r="288" spans="1:22" x14ac:dyDescent="0.25">
      <c r="A288" s="16">
        <v>897</v>
      </c>
      <c r="B288" s="17">
        <v>40583</v>
      </c>
      <c r="C288" s="18">
        <v>1</v>
      </c>
      <c r="D288" s="18">
        <v>0</v>
      </c>
      <c r="E288" s="18">
        <v>2</v>
      </c>
      <c r="F288" s="18">
        <v>20</v>
      </c>
      <c r="G288" s="18" t="str" cm="1">
        <f t="array" ref="G288">_xlfn.IFS(F288&lt;4,"Night",F288&lt;=6,"Early Morning",F288&lt;11,"Morning",F288&lt;12,"Afternoon",F288&lt;=16,"Afternoon",F288&lt;=20,"Evening",F288&gt;=21,"Night")</f>
        <v>Evening</v>
      </c>
      <c r="H288" s="18" t="b">
        <v>0</v>
      </c>
      <c r="I288" s="18">
        <v>3</v>
      </c>
      <c r="J288" s="18" t="str" cm="1">
        <f t="array" ref="J288">_xlfn.IFS(I288=1,"Monday",I288=2,"Tuesday",I288=3,"Wednesday",I288=4,"Thursday",I288=5,"Friday",I288=6,"Saturday",I288=0,"Sunday")</f>
        <v>Wednesday</v>
      </c>
      <c r="K288" s="18">
        <v>3</v>
      </c>
      <c r="L288" s="18">
        <v>0.14000000000000001</v>
      </c>
      <c r="M288" s="27" t="str" cm="1">
        <f t="array" ref="M288">_xlfn.IFS(L288&lt;0.15,"Cold",L288&lt;0.25,"Mild",L288&lt;=0.32,"Warm",L288&gt;=0.33,"Hot")</f>
        <v>Cold</v>
      </c>
      <c r="N288" s="18">
        <v>0.1515</v>
      </c>
      <c r="O288" s="18">
        <v>0.86</v>
      </c>
      <c r="P288" s="18" t="str" cm="1">
        <f t="array" ref="P288">_xlfn.IFS(O288&gt;0.61, "High Humidity", O288&gt;=0.6, "Humid", O288&gt;0.4, "Less Humidity", TRUE, "Dry")</f>
        <v>High Humidity</v>
      </c>
      <c r="Q288" s="18">
        <v>0.16420000000000001</v>
      </c>
      <c r="R288" s="18" t="str" cm="1">
        <f t="array" ref="R288">_xlfn.IFS(Q288&lt;=0.2,"Low Windspeed",Q288&lt;0.4,"Medium Windspeed",Q288&gt;=0.41,"High Windspeed")</f>
        <v>Low Windspeed</v>
      </c>
      <c r="S288" s="18">
        <v>0</v>
      </c>
      <c r="T288" s="18">
        <v>84</v>
      </c>
      <c r="U288" s="19">
        <v>84</v>
      </c>
      <c r="V288" s="18" t="str" cm="1">
        <f t="array" ref="V288">_xlfn.IFS(U288&lt;=70,"Low",U288&lt;=160,"Medium",U288&gt;=161,"High")</f>
        <v>Medium</v>
      </c>
    </row>
    <row r="289" spans="1:22" x14ac:dyDescent="0.25">
      <c r="A289" s="16">
        <v>898</v>
      </c>
      <c r="B289" s="17">
        <v>40583</v>
      </c>
      <c r="C289" s="18">
        <v>1</v>
      </c>
      <c r="D289" s="18">
        <v>0</v>
      </c>
      <c r="E289" s="18">
        <v>2</v>
      </c>
      <c r="F289" s="18">
        <v>21</v>
      </c>
      <c r="G289" s="18" t="str" cm="1">
        <f t="array" ref="G289">_xlfn.IFS(F289&lt;4,"Night",F289&lt;=6,"Early Morning",F289&lt;11,"Morning",F289&lt;12,"Afternoon",F289&lt;=16,"Afternoon",F289&lt;=20,"Evening",F289&gt;=21,"Night")</f>
        <v>Night</v>
      </c>
      <c r="H289" s="18" t="b">
        <v>0</v>
      </c>
      <c r="I289" s="18">
        <v>3</v>
      </c>
      <c r="J289" s="18" t="str" cm="1">
        <f t="array" ref="J289">_xlfn.IFS(I289=1,"Monday",I289=2,"Tuesday",I289=3,"Wednesday",I289=4,"Thursday",I289=5,"Friday",I289=6,"Saturday",I289=0,"Sunday")</f>
        <v>Wednesday</v>
      </c>
      <c r="K289" s="18">
        <v>2</v>
      </c>
      <c r="L289" s="18">
        <v>0.14000000000000001</v>
      </c>
      <c r="M289" s="27" t="str" cm="1">
        <f t="array" ref="M289">_xlfn.IFS(L289&lt;0.15,"Cold",L289&lt;0.25,"Mild",L289&lt;=0.32,"Warm",L289&gt;=0.33,"Hot")</f>
        <v>Cold</v>
      </c>
      <c r="N289" s="18">
        <v>0.1515</v>
      </c>
      <c r="O289" s="18">
        <v>0.86</v>
      </c>
      <c r="P289" s="18" t="str" cm="1">
        <f t="array" ref="P289">_xlfn.IFS(O289&gt;0.61, "High Humidity", O289&gt;=0.6, "Humid", O289&gt;0.4, "Less Humidity", TRUE, "Dry")</f>
        <v>High Humidity</v>
      </c>
      <c r="Q289" s="18">
        <v>0.16420000000000001</v>
      </c>
      <c r="R289" s="18" t="str" cm="1">
        <f t="array" ref="R289">_xlfn.IFS(Q289&lt;=0.2,"Low Windspeed",Q289&lt;0.4,"Medium Windspeed",Q289&gt;=0.41,"High Windspeed")</f>
        <v>Low Windspeed</v>
      </c>
      <c r="S289" s="18">
        <v>0</v>
      </c>
      <c r="T289" s="18">
        <v>83</v>
      </c>
      <c r="U289" s="19">
        <v>83</v>
      </c>
      <c r="V289" s="18" t="str" cm="1">
        <f t="array" ref="V289">_xlfn.IFS(U289&lt;=70,"Low",U289&lt;=160,"Medium",U289&gt;=161,"High")</f>
        <v>Medium</v>
      </c>
    </row>
    <row r="290" spans="1:22" x14ac:dyDescent="0.25">
      <c r="A290" s="16">
        <v>899</v>
      </c>
      <c r="B290" s="17">
        <v>40583</v>
      </c>
      <c r="C290" s="18">
        <v>1</v>
      </c>
      <c r="D290" s="18">
        <v>0</v>
      </c>
      <c r="E290" s="18">
        <v>2</v>
      </c>
      <c r="F290" s="18">
        <v>22</v>
      </c>
      <c r="G290" s="18" t="str" cm="1">
        <f t="array" ref="G290">_xlfn.IFS(F290&lt;4,"Night",F290&lt;=6,"Early Morning",F290&lt;11,"Morning",F290&lt;12,"Afternoon",F290&lt;=16,"Afternoon",F290&lt;=20,"Evening",F290&gt;=21,"Night")</f>
        <v>Night</v>
      </c>
      <c r="H290" s="18" t="b">
        <v>0</v>
      </c>
      <c r="I290" s="18">
        <v>3</v>
      </c>
      <c r="J290" s="18" t="str" cm="1">
        <f t="array" ref="J290">_xlfn.IFS(I290=1,"Monday",I290=2,"Tuesday",I290=3,"Wednesday",I290=4,"Thursday",I290=5,"Friday",I290=6,"Saturday",I290=0,"Sunday")</f>
        <v>Wednesday</v>
      </c>
      <c r="K290" s="18">
        <v>3</v>
      </c>
      <c r="L290" s="18">
        <v>0.16</v>
      </c>
      <c r="M290" s="27" t="str" cm="1">
        <f t="array" ref="M290">_xlfn.IFS(L290&lt;0.15,"Cold",L290&lt;0.25,"Mild",L290&lt;=0.32,"Warm",L290&gt;=0.33,"Hot")</f>
        <v>Mild</v>
      </c>
      <c r="N290" s="18">
        <v>0.16669999999999999</v>
      </c>
      <c r="O290" s="18">
        <v>0.8</v>
      </c>
      <c r="P290" s="18" t="str" cm="1">
        <f t="array" ref="P290">_xlfn.IFS(O290&gt;0.61, "High Humidity", O290&gt;=0.6, "Humid", O290&gt;0.4, "Less Humidity", TRUE, "Dry")</f>
        <v>High Humidity</v>
      </c>
      <c r="Q290" s="18">
        <v>0.16420000000000001</v>
      </c>
      <c r="R290" s="18" t="str" cm="1">
        <f t="array" ref="R290">_xlfn.IFS(Q290&lt;=0.2,"Low Windspeed",Q290&lt;0.4,"Medium Windspeed",Q290&gt;=0.41,"High Windspeed")</f>
        <v>Low Windspeed</v>
      </c>
      <c r="S290" s="18">
        <v>4</v>
      </c>
      <c r="T290" s="18">
        <v>42</v>
      </c>
      <c r="U290" s="19">
        <v>46</v>
      </c>
      <c r="V290" s="18" t="str" cm="1">
        <f t="array" ref="V290">_xlfn.IFS(U290&lt;=70,"Low",U290&lt;=160,"Medium",U290&gt;=161,"High")</f>
        <v>Low</v>
      </c>
    </row>
    <row r="291" spans="1:22" x14ac:dyDescent="0.25">
      <c r="A291" s="16">
        <v>900</v>
      </c>
      <c r="B291" s="17">
        <v>40583</v>
      </c>
      <c r="C291" s="18">
        <v>1</v>
      </c>
      <c r="D291" s="18">
        <v>0</v>
      </c>
      <c r="E291" s="18">
        <v>2</v>
      </c>
      <c r="F291" s="18">
        <v>23</v>
      </c>
      <c r="G291" s="18" t="str" cm="1">
        <f t="array" ref="G291">_xlfn.IFS(F291&lt;4,"Night",F291&lt;=6,"Early Morning",F291&lt;11,"Morning",F291&lt;12,"Afternoon",F291&lt;=16,"Afternoon",F291&lt;=20,"Evening",F291&gt;=21,"Night")</f>
        <v>Night</v>
      </c>
      <c r="H291" s="18" t="b">
        <v>0</v>
      </c>
      <c r="I291" s="18">
        <v>3</v>
      </c>
      <c r="J291" s="18" t="str" cm="1">
        <f t="array" ref="J291">_xlfn.IFS(I291=1,"Monday",I291=2,"Tuesday",I291=3,"Wednesday",I291=4,"Thursday",I291=5,"Friday",I291=6,"Saturday",I291=0,"Sunday")</f>
        <v>Wednesday</v>
      </c>
      <c r="K291" s="18">
        <v>3</v>
      </c>
      <c r="L291" s="18">
        <v>0.16</v>
      </c>
      <c r="M291" s="27" t="str" cm="1">
        <f t="array" ref="M291">_xlfn.IFS(L291&lt;0.15,"Cold",L291&lt;0.25,"Mild",L291&lt;=0.32,"Warm",L291&gt;=0.33,"Hot")</f>
        <v>Mild</v>
      </c>
      <c r="N291" s="18">
        <v>0.1515</v>
      </c>
      <c r="O291" s="18">
        <v>0.8</v>
      </c>
      <c r="P291" s="18" t="str" cm="1">
        <f t="array" ref="P291">_xlfn.IFS(O291&gt;0.61, "High Humidity", O291&gt;=0.6, "Humid", O291&gt;0.4, "Less Humidity", TRUE, "Dry")</f>
        <v>High Humidity</v>
      </c>
      <c r="Q291" s="18">
        <v>0.19400000000000001</v>
      </c>
      <c r="R291" s="18" t="str" cm="1">
        <f t="array" ref="R291">_xlfn.IFS(Q291&lt;=0.2,"Low Windspeed",Q291&lt;0.4,"Medium Windspeed",Q291&gt;=0.41,"High Windspeed")</f>
        <v>Low Windspeed</v>
      </c>
      <c r="S291" s="18">
        <v>0</v>
      </c>
      <c r="T291" s="18">
        <v>37</v>
      </c>
      <c r="U291" s="19">
        <v>37</v>
      </c>
      <c r="V291" s="18" t="str" cm="1">
        <f t="array" ref="V291">_xlfn.IFS(U291&lt;=70,"Low",U291&lt;=160,"Medium",U291&gt;=161,"High")</f>
        <v>Low</v>
      </c>
    </row>
    <row r="292" spans="1:22" x14ac:dyDescent="0.25">
      <c r="A292" s="16">
        <v>901</v>
      </c>
      <c r="B292" s="17">
        <v>40584</v>
      </c>
      <c r="C292" s="18">
        <v>1</v>
      </c>
      <c r="D292" s="18">
        <v>0</v>
      </c>
      <c r="E292" s="18">
        <v>2</v>
      </c>
      <c r="F292" s="18">
        <v>0</v>
      </c>
      <c r="G292" s="18" t="str" cm="1">
        <f t="array" ref="G292">_xlfn.IFS(F292&lt;4,"Night",F292&lt;=6,"Early Morning",F292&lt;11,"Morning",F292&lt;12,"Afternoon",F292&lt;=16,"Afternoon",F292&lt;=20,"Evening",F292&gt;=21,"Night")</f>
        <v>Night</v>
      </c>
      <c r="H292" s="18" t="b">
        <v>0</v>
      </c>
      <c r="I292" s="18">
        <v>4</v>
      </c>
      <c r="J292" s="18" t="str" cm="1">
        <f t="array" ref="J292">_xlfn.IFS(I292=1,"Monday",I292=2,"Tuesday",I292=3,"Wednesday",I292=4,"Thursday",I292=5,"Friday",I292=6,"Saturday",I292=0,"Sunday")</f>
        <v>Thursday</v>
      </c>
      <c r="K292" s="18">
        <v>3</v>
      </c>
      <c r="L292" s="18">
        <v>0.14000000000000001</v>
      </c>
      <c r="M292" s="27" t="str" cm="1">
        <f t="array" ref="M292">_xlfn.IFS(L292&lt;0.15,"Cold",L292&lt;0.25,"Mild",L292&lt;=0.32,"Warm",L292&gt;=0.33,"Hot")</f>
        <v>Cold</v>
      </c>
      <c r="N292" s="18">
        <v>0.13639999999999999</v>
      </c>
      <c r="O292" s="18">
        <v>0.86</v>
      </c>
      <c r="P292" s="18" t="str" cm="1">
        <f t="array" ref="P292">_xlfn.IFS(O292&gt;0.61, "High Humidity", O292&gt;=0.6, "Humid", O292&gt;0.4, "Less Humidity", TRUE, "Dry")</f>
        <v>High Humidity</v>
      </c>
      <c r="Q292" s="18">
        <v>0.19400000000000001</v>
      </c>
      <c r="R292" s="18" t="str" cm="1">
        <f t="array" ref="R292">_xlfn.IFS(Q292&lt;=0.2,"Low Windspeed",Q292&lt;0.4,"Medium Windspeed",Q292&gt;=0.41,"High Windspeed")</f>
        <v>Low Windspeed</v>
      </c>
      <c r="S292" s="18">
        <v>0</v>
      </c>
      <c r="T292" s="18">
        <v>16</v>
      </c>
      <c r="U292" s="19">
        <v>16</v>
      </c>
      <c r="V292" s="18" t="str" cm="1">
        <f t="array" ref="V292">_xlfn.IFS(U292&lt;=70,"Low",U292&lt;=160,"Medium",U292&gt;=161,"High")</f>
        <v>Low</v>
      </c>
    </row>
    <row r="293" spans="1:22" x14ac:dyDescent="0.25">
      <c r="A293" s="16">
        <v>902</v>
      </c>
      <c r="B293" s="17">
        <v>40584</v>
      </c>
      <c r="C293" s="18">
        <v>1</v>
      </c>
      <c r="D293" s="18">
        <v>0</v>
      </c>
      <c r="E293" s="18">
        <v>2</v>
      </c>
      <c r="F293" s="18">
        <v>1</v>
      </c>
      <c r="G293" s="18" t="str" cm="1">
        <f t="array" ref="G293">_xlfn.IFS(F293&lt;4,"Night",F293&lt;=6,"Early Morning",F293&lt;11,"Morning",F293&lt;12,"Afternoon",F293&lt;=16,"Afternoon",F293&lt;=20,"Evening",F293&gt;=21,"Night")</f>
        <v>Night</v>
      </c>
      <c r="H293" s="18" t="b">
        <v>0</v>
      </c>
      <c r="I293" s="18">
        <v>4</v>
      </c>
      <c r="J293" s="18" t="str" cm="1">
        <f t="array" ref="J293">_xlfn.IFS(I293=1,"Monday",I293=2,"Tuesday",I293=3,"Wednesday",I293=4,"Thursday",I293=5,"Friday",I293=6,"Saturday",I293=0,"Sunday")</f>
        <v>Thursday</v>
      </c>
      <c r="K293" s="18">
        <v>3</v>
      </c>
      <c r="L293" s="18">
        <v>0.14000000000000001</v>
      </c>
      <c r="M293" s="27" t="str" cm="1">
        <f t="array" ref="M293">_xlfn.IFS(L293&lt;0.15,"Cold",L293&lt;0.25,"Mild",L293&lt;=0.32,"Warm",L293&gt;=0.33,"Hot")</f>
        <v>Cold</v>
      </c>
      <c r="N293" s="18">
        <v>0.1515</v>
      </c>
      <c r="O293" s="18">
        <v>0.8</v>
      </c>
      <c r="P293" s="18" t="str" cm="1">
        <f t="array" ref="P293">_xlfn.IFS(O293&gt;0.61, "High Humidity", O293&gt;=0.6, "Humid", O293&gt;0.4, "Less Humidity", TRUE, "Dry")</f>
        <v>High Humidity</v>
      </c>
      <c r="Q293" s="18">
        <v>0.1343</v>
      </c>
      <c r="R293" s="18" t="str" cm="1">
        <f t="array" ref="R293">_xlfn.IFS(Q293&lt;=0.2,"Low Windspeed",Q293&lt;0.4,"Medium Windspeed",Q293&gt;=0.41,"High Windspeed")</f>
        <v>Low Windspeed</v>
      </c>
      <c r="S293" s="18">
        <v>0</v>
      </c>
      <c r="T293" s="18">
        <v>7</v>
      </c>
      <c r="U293" s="19">
        <v>7</v>
      </c>
      <c r="V293" s="18" t="str" cm="1">
        <f t="array" ref="V293">_xlfn.IFS(U293&lt;=70,"Low",U293&lt;=160,"Medium",U293&gt;=161,"High")</f>
        <v>Low</v>
      </c>
    </row>
    <row r="294" spans="1:22" x14ac:dyDescent="0.25">
      <c r="A294" s="16">
        <v>903</v>
      </c>
      <c r="B294" s="17">
        <v>40584</v>
      </c>
      <c r="C294" s="18">
        <v>1</v>
      </c>
      <c r="D294" s="18">
        <v>0</v>
      </c>
      <c r="E294" s="18">
        <v>2</v>
      </c>
      <c r="F294" s="18">
        <v>2</v>
      </c>
      <c r="G294" s="18" t="str" cm="1">
        <f t="array" ref="G294">_xlfn.IFS(F294&lt;4,"Night",F294&lt;=6,"Early Morning",F294&lt;11,"Morning",F294&lt;12,"Afternoon",F294&lt;=16,"Afternoon",F294&lt;=20,"Evening",F294&gt;=21,"Night")</f>
        <v>Night</v>
      </c>
      <c r="H294" s="18" t="b">
        <v>0</v>
      </c>
      <c r="I294" s="18">
        <v>4</v>
      </c>
      <c r="J294" s="18" t="str" cm="1">
        <f t="array" ref="J294">_xlfn.IFS(I294=1,"Monday",I294=2,"Tuesday",I294=3,"Wednesday",I294=4,"Thursday",I294=5,"Friday",I294=6,"Saturday",I294=0,"Sunday")</f>
        <v>Thursday</v>
      </c>
      <c r="K294" s="18">
        <v>3</v>
      </c>
      <c r="L294" s="18">
        <v>0.14000000000000001</v>
      </c>
      <c r="M294" s="27" t="str" cm="1">
        <f t="array" ref="M294">_xlfn.IFS(L294&lt;0.15,"Cold",L294&lt;0.25,"Mild",L294&lt;=0.32,"Warm",L294&gt;=0.33,"Hot")</f>
        <v>Cold</v>
      </c>
      <c r="N294" s="18">
        <v>0.1515</v>
      </c>
      <c r="O294" s="18">
        <v>0.8</v>
      </c>
      <c r="P294" s="18" t="str" cm="1">
        <f t="array" ref="P294">_xlfn.IFS(O294&gt;0.61, "High Humidity", O294&gt;=0.6, "Humid", O294&gt;0.4, "Less Humidity", TRUE, "Dry")</f>
        <v>High Humidity</v>
      </c>
      <c r="Q294" s="18">
        <v>0.1343</v>
      </c>
      <c r="R294" s="18" t="str" cm="1">
        <f t="array" ref="R294">_xlfn.IFS(Q294&lt;=0.2,"Low Windspeed",Q294&lt;0.4,"Medium Windspeed",Q294&gt;=0.41,"High Windspeed")</f>
        <v>Low Windspeed</v>
      </c>
      <c r="S294" s="18">
        <v>0</v>
      </c>
      <c r="T294" s="18">
        <v>3</v>
      </c>
      <c r="U294" s="19">
        <v>3</v>
      </c>
      <c r="V294" s="18" t="str" cm="1">
        <f t="array" ref="V294">_xlfn.IFS(U294&lt;=70,"Low",U294&lt;=160,"Medium",U294&gt;=161,"High")</f>
        <v>Low</v>
      </c>
    </row>
    <row r="295" spans="1:22" x14ac:dyDescent="0.25">
      <c r="A295" s="16">
        <v>904</v>
      </c>
      <c r="B295" s="17">
        <v>40584</v>
      </c>
      <c r="C295" s="18">
        <v>1</v>
      </c>
      <c r="D295" s="18">
        <v>0</v>
      </c>
      <c r="E295" s="18">
        <v>2</v>
      </c>
      <c r="F295" s="18">
        <v>4</v>
      </c>
      <c r="G295" s="18" t="str" cm="1">
        <f t="array" ref="G295">_xlfn.IFS(F295&lt;4,"Night",F295&lt;=6,"Early Morning",F295&lt;11,"Morning",F295&lt;12,"Afternoon",F295&lt;=16,"Afternoon",F295&lt;=20,"Evening",F295&gt;=21,"Night")</f>
        <v>Early Morning</v>
      </c>
      <c r="H295" s="18" t="b">
        <v>0</v>
      </c>
      <c r="I295" s="18">
        <v>4</v>
      </c>
      <c r="J295" s="18" t="str" cm="1">
        <f t="array" ref="J295">_xlfn.IFS(I295=1,"Monday",I295=2,"Tuesday",I295=3,"Wednesday",I295=4,"Thursday",I295=5,"Friday",I295=6,"Saturday",I295=0,"Sunday")</f>
        <v>Thursday</v>
      </c>
      <c r="K295" s="18">
        <v>2</v>
      </c>
      <c r="L295" s="18">
        <v>0.14000000000000001</v>
      </c>
      <c r="M295" s="27" t="str" cm="1">
        <f t="array" ref="M295">_xlfn.IFS(L295&lt;0.15,"Cold",L295&lt;0.25,"Mild",L295&lt;=0.32,"Warm",L295&gt;=0.33,"Hot")</f>
        <v>Cold</v>
      </c>
      <c r="N295" s="18">
        <v>0.13639999999999999</v>
      </c>
      <c r="O295" s="18">
        <v>0.59</v>
      </c>
      <c r="P295" s="18" t="str" cm="1">
        <f t="array" ref="P295">_xlfn.IFS(O295&gt;0.61, "High Humidity", O295&gt;=0.6, "Humid", O295&gt;0.4, "Less Humidity", TRUE, "Dry")</f>
        <v>Less Humidity</v>
      </c>
      <c r="Q295" s="18">
        <v>0.22389999999999999</v>
      </c>
      <c r="R295" s="18" t="str" cm="1">
        <f t="array" ref="R295">_xlfn.IFS(Q295&lt;=0.2,"Low Windspeed",Q295&lt;0.4,"Medium Windspeed",Q295&gt;=0.41,"High Windspeed")</f>
        <v>Medium Windspeed</v>
      </c>
      <c r="S295" s="18">
        <v>0</v>
      </c>
      <c r="T295" s="18">
        <v>1</v>
      </c>
      <c r="U295" s="19">
        <v>1</v>
      </c>
      <c r="V295" s="18" t="str" cm="1">
        <f t="array" ref="V295">_xlfn.IFS(U295&lt;=70,"Low",U295&lt;=160,"Medium",U295&gt;=161,"High")</f>
        <v>Low</v>
      </c>
    </row>
    <row r="296" spans="1:22" x14ac:dyDescent="0.25">
      <c r="A296" s="16">
        <v>905</v>
      </c>
      <c r="B296" s="17">
        <v>40584</v>
      </c>
      <c r="C296" s="18">
        <v>1</v>
      </c>
      <c r="D296" s="18">
        <v>0</v>
      </c>
      <c r="E296" s="18">
        <v>2</v>
      </c>
      <c r="F296" s="18">
        <v>5</v>
      </c>
      <c r="G296" s="18" t="str" cm="1">
        <f t="array" ref="G296">_xlfn.IFS(F296&lt;4,"Night",F296&lt;=6,"Early Morning",F296&lt;11,"Morning",F296&lt;12,"Afternoon",F296&lt;=16,"Afternoon",F296&lt;=20,"Evening",F296&gt;=21,"Night")</f>
        <v>Early Morning</v>
      </c>
      <c r="H296" s="18" t="b">
        <v>0</v>
      </c>
      <c r="I296" s="18">
        <v>4</v>
      </c>
      <c r="J296" s="18" t="str" cm="1">
        <f t="array" ref="J296">_xlfn.IFS(I296=1,"Monday",I296=2,"Tuesday",I296=3,"Wednesday",I296=4,"Thursday",I296=5,"Friday",I296=6,"Saturday",I296=0,"Sunday")</f>
        <v>Thursday</v>
      </c>
      <c r="K296" s="18">
        <v>2</v>
      </c>
      <c r="L296" s="18">
        <v>0.12</v>
      </c>
      <c r="M296" s="27" t="str" cm="1">
        <f t="array" ref="M296">_xlfn.IFS(L296&lt;0.15,"Cold",L296&lt;0.25,"Mild",L296&lt;=0.32,"Warm",L296&gt;=0.33,"Hot")</f>
        <v>Cold</v>
      </c>
      <c r="N296" s="18">
        <v>0.1212</v>
      </c>
      <c r="O296" s="18">
        <v>0.5</v>
      </c>
      <c r="P296" s="18" t="str" cm="1">
        <f t="array" ref="P296">_xlfn.IFS(O296&gt;0.61, "High Humidity", O296&gt;=0.6, "Humid", O296&gt;0.4, "Less Humidity", TRUE, "Dry")</f>
        <v>Less Humidity</v>
      </c>
      <c r="Q296" s="18">
        <v>0.22389999999999999</v>
      </c>
      <c r="R296" s="18" t="str" cm="1">
        <f t="array" ref="R296">_xlfn.IFS(Q296&lt;=0.2,"Low Windspeed",Q296&lt;0.4,"Medium Windspeed",Q296&gt;=0.41,"High Windspeed")</f>
        <v>Medium Windspeed</v>
      </c>
      <c r="S296" s="18">
        <v>0</v>
      </c>
      <c r="T296" s="18">
        <v>6</v>
      </c>
      <c r="U296" s="19">
        <v>6</v>
      </c>
      <c r="V296" s="18" t="str" cm="1">
        <f t="array" ref="V296">_xlfn.IFS(U296&lt;=70,"Low",U296&lt;=160,"Medium",U296&gt;=161,"High")</f>
        <v>Low</v>
      </c>
    </row>
    <row r="297" spans="1:22" x14ac:dyDescent="0.25">
      <c r="A297" s="16">
        <v>906</v>
      </c>
      <c r="B297" s="17">
        <v>40584</v>
      </c>
      <c r="C297" s="18">
        <v>1</v>
      </c>
      <c r="D297" s="18">
        <v>0</v>
      </c>
      <c r="E297" s="18">
        <v>2</v>
      </c>
      <c r="F297" s="18">
        <v>6</v>
      </c>
      <c r="G297" s="18" t="str" cm="1">
        <f t="array" ref="G297">_xlfn.IFS(F297&lt;4,"Night",F297&lt;=6,"Early Morning",F297&lt;11,"Morning",F297&lt;12,"Afternoon",F297&lt;=16,"Afternoon",F297&lt;=20,"Evening",F297&gt;=21,"Night")</f>
        <v>Early Morning</v>
      </c>
      <c r="H297" s="18" t="b">
        <v>0</v>
      </c>
      <c r="I297" s="18">
        <v>4</v>
      </c>
      <c r="J297" s="18" t="str" cm="1">
        <f t="array" ref="J297">_xlfn.IFS(I297=1,"Monday",I297=2,"Tuesday",I297=3,"Wednesday",I297=4,"Thursday",I297=5,"Friday",I297=6,"Saturday",I297=0,"Sunday")</f>
        <v>Thursday</v>
      </c>
      <c r="K297" s="18">
        <v>2</v>
      </c>
      <c r="L297" s="18">
        <v>0.12</v>
      </c>
      <c r="M297" s="27" t="str" cm="1">
        <f t="array" ref="M297">_xlfn.IFS(L297&lt;0.15,"Cold",L297&lt;0.25,"Mild",L297&lt;=0.32,"Warm",L297&gt;=0.33,"Hot")</f>
        <v>Cold</v>
      </c>
      <c r="N297" s="18">
        <v>0.1212</v>
      </c>
      <c r="O297" s="18">
        <v>0.54</v>
      </c>
      <c r="P297" s="18" t="str" cm="1">
        <f t="array" ref="P297">_xlfn.IFS(O297&gt;0.61, "High Humidity", O297&gt;=0.6, "Humid", O297&gt;0.4, "Less Humidity", TRUE, "Dry")</f>
        <v>Less Humidity</v>
      </c>
      <c r="Q297" s="18">
        <v>0.28360000000000002</v>
      </c>
      <c r="R297" s="18" t="str" cm="1">
        <f t="array" ref="R297">_xlfn.IFS(Q297&lt;=0.2,"Low Windspeed",Q297&lt;0.4,"Medium Windspeed",Q297&gt;=0.41,"High Windspeed")</f>
        <v>Medium Windspeed</v>
      </c>
      <c r="S297" s="18">
        <v>0</v>
      </c>
      <c r="T297" s="18">
        <v>26</v>
      </c>
      <c r="U297" s="19">
        <v>26</v>
      </c>
      <c r="V297" s="18" t="str" cm="1">
        <f t="array" ref="V297">_xlfn.IFS(U297&lt;=70,"Low",U297&lt;=160,"Medium",U297&gt;=161,"High")</f>
        <v>Low</v>
      </c>
    </row>
    <row r="298" spans="1:22" x14ac:dyDescent="0.25">
      <c r="A298" s="16">
        <v>907</v>
      </c>
      <c r="B298" s="17">
        <v>40584</v>
      </c>
      <c r="C298" s="18">
        <v>1</v>
      </c>
      <c r="D298" s="18">
        <v>0</v>
      </c>
      <c r="E298" s="18">
        <v>2</v>
      </c>
      <c r="F298" s="18">
        <v>7</v>
      </c>
      <c r="G298" s="18" t="str" cm="1">
        <f t="array" ref="G298">_xlfn.IFS(F298&lt;4,"Night",F298&lt;=6,"Early Morning",F298&lt;11,"Morning",F298&lt;12,"Afternoon",F298&lt;=16,"Afternoon",F298&lt;=20,"Evening",F298&gt;=21,"Night")</f>
        <v>Morning</v>
      </c>
      <c r="H298" s="18" t="b">
        <v>0</v>
      </c>
      <c r="I298" s="18">
        <v>4</v>
      </c>
      <c r="J298" s="18" t="str" cm="1">
        <f t="array" ref="J298">_xlfn.IFS(I298=1,"Monday",I298=2,"Tuesday",I298=3,"Wednesday",I298=4,"Thursday",I298=5,"Friday",I298=6,"Saturday",I298=0,"Sunday")</f>
        <v>Thursday</v>
      </c>
      <c r="K298" s="18">
        <v>1</v>
      </c>
      <c r="L298" s="18">
        <v>0.1</v>
      </c>
      <c r="M298" s="27" t="str" cm="1">
        <f t="array" ref="M298">_xlfn.IFS(L298&lt;0.15,"Cold",L298&lt;0.25,"Mild",L298&lt;=0.32,"Warm",L298&gt;=0.33,"Hot")</f>
        <v>Cold</v>
      </c>
      <c r="N298" s="18">
        <v>7.5800000000000006E-2</v>
      </c>
      <c r="O298" s="18">
        <v>0.5</v>
      </c>
      <c r="P298" s="18" t="str" cm="1">
        <f t="array" ref="P298">_xlfn.IFS(O298&gt;0.61, "High Humidity", O298&gt;=0.6, "Humid", O298&gt;0.4, "Less Humidity", TRUE, "Dry")</f>
        <v>Less Humidity</v>
      </c>
      <c r="Q298" s="18">
        <v>0.41789999999999999</v>
      </c>
      <c r="R298" s="18" t="str" cm="1">
        <f t="array" ref="R298">_xlfn.IFS(Q298&lt;=0.2,"Low Windspeed",Q298&lt;0.4,"Medium Windspeed",Q298&gt;=0.41,"High Windspeed")</f>
        <v>High Windspeed</v>
      </c>
      <c r="S298" s="18">
        <v>0</v>
      </c>
      <c r="T298" s="18">
        <v>99</v>
      </c>
      <c r="U298" s="19">
        <v>99</v>
      </c>
      <c r="V298" s="18" t="str" cm="1">
        <f t="array" ref="V298">_xlfn.IFS(U298&lt;=70,"Low",U298&lt;=160,"Medium",U298&gt;=161,"High")</f>
        <v>Medium</v>
      </c>
    </row>
    <row r="299" spans="1:22" x14ac:dyDescent="0.25">
      <c r="A299" s="16">
        <v>908</v>
      </c>
      <c r="B299" s="17">
        <v>40584</v>
      </c>
      <c r="C299" s="18">
        <v>1</v>
      </c>
      <c r="D299" s="18">
        <v>0</v>
      </c>
      <c r="E299" s="18">
        <v>2</v>
      </c>
      <c r="F299" s="18">
        <v>8</v>
      </c>
      <c r="G299" s="18" t="str" cm="1">
        <f t="array" ref="G299">_xlfn.IFS(F299&lt;4,"Night",F299&lt;=6,"Early Morning",F299&lt;11,"Morning",F299&lt;12,"Afternoon",F299&lt;=16,"Afternoon",F299&lt;=20,"Evening",F299&gt;=21,"Night")</f>
        <v>Morning</v>
      </c>
      <c r="H299" s="18" t="b">
        <v>0</v>
      </c>
      <c r="I299" s="18">
        <v>4</v>
      </c>
      <c r="J299" s="18" t="str" cm="1">
        <f t="array" ref="J299">_xlfn.IFS(I299=1,"Monday",I299=2,"Tuesday",I299=3,"Wednesday",I299=4,"Thursday",I299=5,"Friday",I299=6,"Saturday",I299=0,"Sunday")</f>
        <v>Thursday</v>
      </c>
      <c r="K299" s="18">
        <v>1</v>
      </c>
      <c r="L299" s="18">
        <v>0.1</v>
      </c>
      <c r="M299" s="27" t="str" cm="1">
        <f t="array" ref="M299">_xlfn.IFS(L299&lt;0.15,"Cold",L299&lt;0.25,"Mild",L299&lt;=0.32,"Warm",L299&gt;=0.33,"Hot")</f>
        <v>Cold</v>
      </c>
      <c r="N299" s="18">
        <v>7.5800000000000006E-2</v>
      </c>
      <c r="O299" s="18">
        <v>0.49</v>
      </c>
      <c r="P299" s="18" t="str" cm="1">
        <f t="array" ref="P299">_xlfn.IFS(O299&gt;0.61, "High Humidity", O299&gt;=0.6, "Humid", O299&gt;0.4, "Less Humidity", TRUE, "Dry")</f>
        <v>Less Humidity</v>
      </c>
      <c r="Q299" s="18">
        <v>0.32840000000000003</v>
      </c>
      <c r="R299" s="18" t="str" cm="1">
        <f t="array" ref="R299">_xlfn.IFS(Q299&lt;=0.2,"Low Windspeed",Q299&lt;0.4,"Medium Windspeed",Q299&gt;=0.41,"High Windspeed")</f>
        <v>Medium Windspeed</v>
      </c>
      <c r="S299" s="18">
        <v>5</v>
      </c>
      <c r="T299" s="18">
        <v>173</v>
      </c>
      <c r="U299" s="19">
        <v>178</v>
      </c>
      <c r="V299" s="18" t="str" cm="1">
        <f t="array" ref="V299">_xlfn.IFS(U299&lt;=70,"Low",U299&lt;=160,"Medium",U299&gt;=161,"High")</f>
        <v>High</v>
      </c>
    </row>
    <row r="300" spans="1:22" x14ac:dyDescent="0.25">
      <c r="A300" s="16">
        <v>909</v>
      </c>
      <c r="B300" s="17">
        <v>40584</v>
      </c>
      <c r="C300" s="18">
        <v>1</v>
      </c>
      <c r="D300" s="18">
        <v>0</v>
      </c>
      <c r="E300" s="18">
        <v>2</v>
      </c>
      <c r="F300" s="18">
        <v>9</v>
      </c>
      <c r="G300" s="18" t="str" cm="1">
        <f t="array" ref="G300">_xlfn.IFS(F300&lt;4,"Night",F300&lt;=6,"Early Morning",F300&lt;11,"Morning",F300&lt;12,"Afternoon",F300&lt;=16,"Afternoon",F300&lt;=20,"Evening",F300&gt;=21,"Night")</f>
        <v>Morning</v>
      </c>
      <c r="H300" s="18" t="b">
        <v>0</v>
      </c>
      <c r="I300" s="18">
        <v>4</v>
      </c>
      <c r="J300" s="18" t="str" cm="1">
        <f t="array" ref="J300">_xlfn.IFS(I300=1,"Monday",I300=2,"Tuesday",I300=3,"Wednesday",I300=4,"Thursday",I300=5,"Friday",I300=6,"Saturday",I300=0,"Sunday")</f>
        <v>Thursday</v>
      </c>
      <c r="K300" s="18">
        <v>1</v>
      </c>
      <c r="L300" s="18">
        <v>0.12</v>
      </c>
      <c r="M300" s="27" t="str" cm="1">
        <f t="array" ref="M300">_xlfn.IFS(L300&lt;0.15,"Cold",L300&lt;0.25,"Mild",L300&lt;=0.32,"Warm",L300&gt;=0.33,"Hot")</f>
        <v>Cold</v>
      </c>
      <c r="N300" s="18">
        <v>0.1061</v>
      </c>
      <c r="O300" s="18">
        <v>0.42</v>
      </c>
      <c r="P300" s="18" t="str" cm="1">
        <f t="array" ref="P300">_xlfn.IFS(O300&gt;0.61, "High Humidity", O300&gt;=0.6, "Humid", O300&gt;0.4, "Less Humidity", TRUE, "Dry")</f>
        <v>Less Humidity</v>
      </c>
      <c r="Q300" s="18">
        <v>0.35820000000000002</v>
      </c>
      <c r="R300" s="18" t="str" cm="1">
        <f t="array" ref="R300">_xlfn.IFS(Q300&lt;=0.2,"Low Windspeed",Q300&lt;0.4,"Medium Windspeed",Q300&gt;=0.41,"High Windspeed")</f>
        <v>Medium Windspeed</v>
      </c>
      <c r="S300" s="18">
        <v>1</v>
      </c>
      <c r="T300" s="18">
        <v>121</v>
      </c>
      <c r="U300" s="19">
        <v>122</v>
      </c>
      <c r="V300" s="18" t="str" cm="1">
        <f t="array" ref="V300">_xlfn.IFS(U300&lt;=70,"Low",U300&lt;=160,"Medium",U300&gt;=161,"High")</f>
        <v>Medium</v>
      </c>
    </row>
    <row r="301" spans="1:22" x14ac:dyDescent="0.25">
      <c r="A301" s="16">
        <v>910</v>
      </c>
      <c r="B301" s="17">
        <v>40584</v>
      </c>
      <c r="C301" s="18">
        <v>1</v>
      </c>
      <c r="D301" s="18">
        <v>0</v>
      </c>
      <c r="E301" s="18">
        <v>2</v>
      </c>
      <c r="F301" s="18">
        <v>10</v>
      </c>
      <c r="G301" s="18" t="str" cm="1">
        <f t="array" ref="G301">_xlfn.IFS(F301&lt;4,"Night",F301&lt;=6,"Early Morning",F301&lt;11,"Morning",F301&lt;12,"Afternoon",F301&lt;=16,"Afternoon",F301&lt;=20,"Evening",F301&gt;=21,"Night")</f>
        <v>Morning</v>
      </c>
      <c r="H301" s="18" t="b">
        <v>0</v>
      </c>
      <c r="I301" s="18">
        <v>4</v>
      </c>
      <c r="J301" s="18" t="str" cm="1">
        <f t="array" ref="J301">_xlfn.IFS(I301=1,"Monday",I301=2,"Tuesday",I301=3,"Wednesday",I301=4,"Thursday",I301=5,"Friday",I301=6,"Saturday",I301=0,"Sunday")</f>
        <v>Thursday</v>
      </c>
      <c r="K301" s="18">
        <v>1</v>
      </c>
      <c r="L301" s="18">
        <v>0.12</v>
      </c>
      <c r="M301" s="27" t="str" cm="1">
        <f t="array" ref="M301">_xlfn.IFS(L301&lt;0.15,"Cold",L301&lt;0.25,"Mild",L301&lt;=0.32,"Warm",L301&gt;=0.33,"Hot")</f>
        <v>Cold</v>
      </c>
      <c r="N301" s="18">
        <v>0.1061</v>
      </c>
      <c r="O301" s="18">
        <v>0.42</v>
      </c>
      <c r="P301" s="18" t="str" cm="1">
        <f t="array" ref="P301">_xlfn.IFS(O301&gt;0.61, "High Humidity", O301&gt;=0.6, "Humid", O301&gt;0.4, "Less Humidity", TRUE, "Dry")</f>
        <v>Less Humidity</v>
      </c>
      <c r="Q301" s="18">
        <v>0.29849999999999999</v>
      </c>
      <c r="R301" s="18" t="str" cm="1">
        <f t="array" ref="R301">_xlfn.IFS(Q301&lt;=0.2,"Low Windspeed",Q301&lt;0.4,"Medium Windspeed",Q301&gt;=0.41,"High Windspeed")</f>
        <v>Medium Windspeed</v>
      </c>
      <c r="S301" s="18">
        <v>1</v>
      </c>
      <c r="T301" s="18">
        <v>34</v>
      </c>
      <c r="U301" s="19">
        <v>35</v>
      </c>
      <c r="V301" s="18" t="str" cm="1">
        <f t="array" ref="V301">_xlfn.IFS(U301&lt;=70,"Low",U301&lt;=160,"Medium",U301&gt;=161,"High")</f>
        <v>Low</v>
      </c>
    </row>
    <row r="302" spans="1:22" x14ac:dyDescent="0.25">
      <c r="A302" s="16">
        <v>911</v>
      </c>
      <c r="B302" s="17">
        <v>40584</v>
      </c>
      <c r="C302" s="18">
        <v>1</v>
      </c>
      <c r="D302" s="18">
        <v>0</v>
      </c>
      <c r="E302" s="18">
        <v>2</v>
      </c>
      <c r="F302" s="18">
        <v>11</v>
      </c>
      <c r="G302" s="18" t="str" cm="1">
        <f t="array" ref="G302">_xlfn.IFS(F302&lt;4,"Night",F302&lt;=6,"Early Morning",F302&lt;11,"Morning",F302&lt;12,"Afternoon",F302&lt;=16,"Afternoon",F302&lt;=20,"Evening",F302&gt;=21,"Night")</f>
        <v>Afternoon</v>
      </c>
      <c r="H302" s="18" t="b">
        <v>0</v>
      </c>
      <c r="I302" s="18">
        <v>4</v>
      </c>
      <c r="J302" s="18" t="str" cm="1">
        <f t="array" ref="J302">_xlfn.IFS(I302=1,"Monday",I302=2,"Tuesday",I302=3,"Wednesday",I302=4,"Thursday",I302=5,"Friday",I302=6,"Saturday",I302=0,"Sunday")</f>
        <v>Thursday</v>
      </c>
      <c r="K302" s="18">
        <v>1</v>
      </c>
      <c r="L302" s="18">
        <v>0.14000000000000001</v>
      </c>
      <c r="M302" s="27" t="str" cm="1">
        <f t="array" ref="M302">_xlfn.IFS(L302&lt;0.15,"Cold",L302&lt;0.25,"Mild",L302&lt;=0.32,"Warm",L302&gt;=0.33,"Hot")</f>
        <v>Cold</v>
      </c>
      <c r="N302" s="18">
        <v>0.1212</v>
      </c>
      <c r="O302" s="18">
        <v>0.39</v>
      </c>
      <c r="P302" s="18" t="str" cm="1">
        <f t="array" ref="P302">_xlfn.IFS(O302&gt;0.61, "High Humidity", O302&gt;=0.6, "Humid", O302&gt;0.4, "Less Humidity", TRUE, "Dry")</f>
        <v>Dry</v>
      </c>
      <c r="Q302" s="18">
        <v>0.35820000000000002</v>
      </c>
      <c r="R302" s="18" t="str" cm="1">
        <f t="array" ref="R302">_xlfn.IFS(Q302&lt;=0.2,"Low Windspeed",Q302&lt;0.4,"Medium Windspeed",Q302&gt;=0.41,"High Windspeed")</f>
        <v>Medium Windspeed</v>
      </c>
      <c r="S302" s="18">
        <v>1</v>
      </c>
      <c r="T302" s="18">
        <v>44</v>
      </c>
      <c r="U302" s="19">
        <v>45</v>
      </c>
      <c r="V302" s="18" t="str" cm="1">
        <f t="array" ref="V302">_xlfn.IFS(U302&lt;=70,"Low",U302&lt;=160,"Medium",U302&gt;=161,"High")</f>
        <v>Low</v>
      </c>
    </row>
    <row r="303" spans="1:22" x14ac:dyDescent="0.25">
      <c r="A303" s="16">
        <v>912</v>
      </c>
      <c r="B303" s="17">
        <v>40584</v>
      </c>
      <c r="C303" s="18">
        <v>1</v>
      </c>
      <c r="D303" s="18">
        <v>0</v>
      </c>
      <c r="E303" s="18">
        <v>2</v>
      </c>
      <c r="F303" s="18">
        <v>12</v>
      </c>
      <c r="G303" s="18" t="str" cm="1">
        <f t="array" ref="G303">_xlfn.IFS(F303&lt;4,"Night",F303&lt;=6,"Early Morning",F303&lt;11,"Morning",F303&lt;12,"Afternoon",F303&lt;=16,"Afternoon",F303&lt;=20,"Evening",F303&gt;=21,"Night")</f>
        <v>Afternoon</v>
      </c>
      <c r="H303" s="18" t="b">
        <v>0</v>
      </c>
      <c r="I303" s="18">
        <v>4</v>
      </c>
      <c r="J303" s="18" t="str" cm="1">
        <f t="array" ref="J303">_xlfn.IFS(I303=1,"Monday",I303=2,"Tuesday",I303=3,"Wednesday",I303=4,"Thursday",I303=5,"Friday",I303=6,"Saturday",I303=0,"Sunday")</f>
        <v>Thursday</v>
      </c>
      <c r="K303" s="18">
        <v>1</v>
      </c>
      <c r="L303" s="18">
        <v>0.16</v>
      </c>
      <c r="M303" s="27" t="str" cm="1">
        <f t="array" ref="M303">_xlfn.IFS(L303&lt;0.15,"Cold",L303&lt;0.25,"Mild",L303&lt;=0.32,"Warm",L303&gt;=0.33,"Hot")</f>
        <v>Mild</v>
      </c>
      <c r="N303" s="18">
        <v>0.13639999999999999</v>
      </c>
      <c r="O303" s="18">
        <v>0.34</v>
      </c>
      <c r="P303" s="18" t="str" cm="1">
        <f t="array" ref="P303">_xlfn.IFS(O303&gt;0.61, "High Humidity", O303&gt;=0.6, "Humid", O303&gt;0.4, "Less Humidity", TRUE, "Dry")</f>
        <v>Dry</v>
      </c>
      <c r="Q303" s="18">
        <v>0.3881</v>
      </c>
      <c r="R303" s="18" t="str" cm="1">
        <f t="array" ref="R303">_xlfn.IFS(Q303&lt;=0.2,"Low Windspeed",Q303&lt;0.4,"Medium Windspeed",Q303&gt;=0.41,"High Windspeed")</f>
        <v>Medium Windspeed</v>
      </c>
      <c r="S303" s="18">
        <v>4</v>
      </c>
      <c r="T303" s="18">
        <v>65</v>
      </c>
      <c r="U303" s="19">
        <v>69</v>
      </c>
      <c r="V303" s="18" t="str" cm="1">
        <f t="array" ref="V303">_xlfn.IFS(U303&lt;=70,"Low",U303&lt;=160,"Medium",U303&gt;=161,"High")</f>
        <v>Low</v>
      </c>
    </row>
    <row r="304" spans="1:22" x14ac:dyDescent="0.25">
      <c r="A304" s="16">
        <v>913</v>
      </c>
      <c r="B304" s="17">
        <v>40584</v>
      </c>
      <c r="C304" s="18">
        <v>1</v>
      </c>
      <c r="D304" s="18">
        <v>0</v>
      </c>
      <c r="E304" s="18">
        <v>2</v>
      </c>
      <c r="F304" s="18">
        <v>13</v>
      </c>
      <c r="G304" s="18" t="str" cm="1">
        <f t="array" ref="G304">_xlfn.IFS(F304&lt;4,"Night",F304&lt;=6,"Early Morning",F304&lt;11,"Morning",F304&lt;12,"Afternoon",F304&lt;=16,"Afternoon",F304&lt;=20,"Evening",F304&gt;=21,"Night")</f>
        <v>Afternoon</v>
      </c>
      <c r="H304" s="18" t="b">
        <v>0</v>
      </c>
      <c r="I304" s="18">
        <v>4</v>
      </c>
      <c r="J304" s="18" t="str" cm="1">
        <f t="array" ref="J304">_xlfn.IFS(I304=1,"Monday",I304=2,"Tuesday",I304=3,"Wednesday",I304=4,"Thursday",I304=5,"Friday",I304=6,"Saturday",I304=0,"Sunday")</f>
        <v>Thursday</v>
      </c>
      <c r="K304" s="18">
        <v>1</v>
      </c>
      <c r="L304" s="18">
        <v>0.18</v>
      </c>
      <c r="M304" s="27" t="str" cm="1">
        <f t="array" ref="M304">_xlfn.IFS(L304&lt;0.15,"Cold",L304&lt;0.25,"Mild",L304&lt;=0.32,"Warm",L304&gt;=0.33,"Hot")</f>
        <v>Mild</v>
      </c>
      <c r="N304" s="18">
        <v>0.16669999999999999</v>
      </c>
      <c r="O304" s="18">
        <v>0.28999999999999998</v>
      </c>
      <c r="P304" s="18" t="str" cm="1">
        <f t="array" ref="P304">_xlfn.IFS(O304&gt;0.61, "High Humidity", O304&gt;=0.6, "Humid", O304&gt;0.4, "Less Humidity", TRUE, "Dry")</f>
        <v>Dry</v>
      </c>
      <c r="Q304" s="18">
        <v>0.29849999999999999</v>
      </c>
      <c r="R304" s="18" t="str" cm="1">
        <f t="array" ref="R304">_xlfn.IFS(Q304&lt;=0.2,"Low Windspeed",Q304&lt;0.4,"Medium Windspeed",Q304&gt;=0.41,"High Windspeed")</f>
        <v>Medium Windspeed</v>
      </c>
      <c r="S304" s="18">
        <v>3</v>
      </c>
      <c r="T304" s="18">
        <v>59</v>
      </c>
      <c r="U304" s="19">
        <v>62</v>
      </c>
      <c r="V304" s="18" t="str" cm="1">
        <f t="array" ref="V304">_xlfn.IFS(U304&lt;=70,"Low",U304&lt;=160,"Medium",U304&gt;=161,"High")</f>
        <v>Low</v>
      </c>
    </row>
    <row r="305" spans="1:22" x14ac:dyDescent="0.25">
      <c r="A305" s="16">
        <v>914</v>
      </c>
      <c r="B305" s="17">
        <v>40584</v>
      </c>
      <c r="C305" s="18">
        <v>1</v>
      </c>
      <c r="D305" s="18">
        <v>0</v>
      </c>
      <c r="E305" s="18">
        <v>2</v>
      </c>
      <c r="F305" s="18">
        <v>14</v>
      </c>
      <c r="G305" s="18" t="str" cm="1">
        <f t="array" ref="G305">_xlfn.IFS(F305&lt;4,"Night",F305&lt;=6,"Early Morning",F305&lt;11,"Morning",F305&lt;12,"Afternoon",F305&lt;=16,"Afternoon",F305&lt;=20,"Evening",F305&gt;=21,"Night")</f>
        <v>Afternoon</v>
      </c>
      <c r="H305" s="18" t="b">
        <v>0</v>
      </c>
      <c r="I305" s="18">
        <v>4</v>
      </c>
      <c r="J305" s="18" t="str" cm="1">
        <f t="array" ref="J305">_xlfn.IFS(I305=1,"Monday",I305=2,"Tuesday",I305=3,"Wednesday",I305=4,"Thursday",I305=5,"Friday",I305=6,"Saturday",I305=0,"Sunday")</f>
        <v>Thursday</v>
      </c>
      <c r="K305" s="18">
        <v>1</v>
      </c>
      <c r="L305" s="18">
        <v>0.2</v>
      </c>
      <c r="M305" s="27" t="str" cm="1">
        <f t="array" ref="M305">_xlfn.IFS(L305&lt;0.15,"Cold",L305&lt;0.25,"Mild",L305&lt;=0.32,"Warm",L305&gt;=0.33,"Hot")</f>
        <v>Mild</v>
      </c>
      <c r="N305" s="18">
        <v>0.18179999999999999</v>
      </c>
      <c r="O305" s="18">
        <v>0.27</v>
      </c>
      <c r="P305" s="18" t="str" cm="1">
        <f t="array" ref="P305">_xlfn.IFS(O305&gt;0.61, "High Humidity", O305&gt;=0.6, "Humid", O305&gt;0.4, "Less Humidity", TRUE, "Dry")</f>
        <v>Dry</v>
      </c>
      <c r="Q305" s="18">
        <v>0.28360000000000002</v>
      </c>
      <c r="R305" s="18" t="str" cm="1">
        <f t="array" ref="R305">_xlfn.IFS(Q305&lt;=0.2,"Low Windspeed",Q305&lt;0.4,"Medium Windspeed",Q305&gt;=0.41,"High Windspeed")</f>
        <v>Medium Windspeed</v>
      </c>
      <c r="S305" s="18">
        <v>6</v>
      </c>
      <c r="T305" s="18">
        <v>42</v>
      </c>
      <c r="U305" s="19">
        <v>48</v>
      </c>
      <c r="V305" s="18" t="str" cm="1">
        <f t="array" ref="V305">_xlfn.IFS(U305&lt;=70,"Low",U305&lt;=160,"Medium",U305&gt;=161,"High")</f>
        <v>Low</v>
      </c>
    </row>
    <row r="306" spans="1:22" x14ac:dyDescent="0.25">
      <c r="A306" s="16">
        <v>915</v>
      </c>
      <c r="B306" s="17">
        <v>40584</v>
      </c>
      <c r="C306" s="18">
        <v>1</v>
      </c>
      <c r="D306" s="18">
        <v>0</v>
      </c>
      <c r="E306" s="18">
        <v>2</v>
      </c>
      <c r="F306" s="18">
        <v>15</v>
      </c>
      <c r="G306" s="18" t="str" cm="1">
        <f t="array" ref="G306">_xlfn.IFS(F306&lt;4,"Night",F306&lt;=6,"Early Morning",F306&lt;11,"Morning",F306&lt;12,"Afternoon",F306&lt;=16,"Afternoon",F306&lt;=20,"Evening",F306&gt;=21,"Night")</f>
        <v>Afternoon</v>
      </c>
      <c r="H306" s="18" t="b">
        <v>0</v>
      </c>
      <c r="I306" s="18">
        <v>4</v>
      </c>
      <c r="J306" s="18" t="str" cm="1">
        <f t="array" ref="J306">_xlfn.IFS(I306=1,"Monday",I306=2,"Tuesday",I306=3,"Wednesday",I306=4,"Thursday",I306=5,"Friday",I306=6,"Saturday",I306=0,"Sunday")</f>
        <v>Thursday</v>
      </c>
      <c r="K306" s="18">
        <v>1</v>
      </c>
      <c r="L306" s="18">
        <v>0.2</v>
      </c>
      <c r="M306" s="27" t="str" cm="1">
        <f t="array" ref="M306">_xlfn.IFS(L306&lt;0.15,"Cold",L306&lt;0.25,"Mild",L306&lt;=0.32,"Warm",L306&gt;=0.33,"Hot")</f>
        <v>Mild</v>
      </c>
      <c r="N306" s="18">
        <v>0.19700000000000001</v>
      </c>
      <c r="O306" s="18">
        <v>0.25</v>
      </c>
      <c r="P306" s="18" t="str" cm="1">
        <f t="array" ref="P306">_xlfn.IFS(O306&gt;0.61, "High Humidity", O306&gt;=0.6, "Humid", O306&gt;0.4, "Less Humidity", TRUE, "Dry")</f>
        <v>Dry</v>
      </c>
      <c r="Q306" s="18">
        <v>0.25369999999999998</v>
      </c>
      <c r="R306" s="18" t="str" cm="1">
        <f t="array" ref="R306">_xlfn.IFS(Q306&lt;=0.2,"Low Windspeed",Q306&lt;0.4,"Medium Windspeed",Q306&gt;=0.41,"High Windspeed")</f>
        <v>Medium Windspeed</v>
      </c>
      <c r="S306" s="18">
        <v>0</v>
      </c>
      <c r="T306" s="18">
        <v>50</v>
      </c>
      <c r="U306" s="19">
        <v>50</v>
      </c>
      <c r="V306" s="18" t="str" cm="1">
        <f t="array" ref="V306">_xlfn.IFS(U306&lt;=70,"Low",U306&lt;=160,"Medium",U306&gt;=161,"High")</f>
        <v>Low</v>
      </c>
    </row>
    <row r="307" spans="1:22" x14ac:dyDescent="0.25">
      <c r="A307" s="16">
        <v>916</v>
      </c>
      <c r="B307" s="17">
        <v>40584</v>
      </c>
      <c r="C307" s="18">
        <v>1</v>
      </c>
      <c r="D307" s="18">
        <v>0</v>
      </c>
      <c r="E307" s="18">
        <v>2</v>
      </c>
      <c r="F307" s="18">
        <v>16</v>
      </c>
      <c r="G307" s="18" t="str" cm="1">
        <f t="array" ref="G307">_xlfn.IFS(F307&lt;4,"Night",F307&lt;=6,"Early Morning",F307&lt;11,"Morning",F307&lt;12,"Afternoon",F307&lt;=16,"Afternoon",F307&lt;=20,"Evening",F307&gt;=21,"Night")</f>
        <v>Afternoon</v>
      </c>
      <c r="H307" s="18" t="b">
        <v>0</v>
      </c>
      <c r="I307" s="18">
        <v>4</v>
      </c>
      <c r="J307" s="18" t="str" cm="1">
        <f t="array" ref="J307">_xlfn.IFS(I307=1,"Monday",I307=2,"Tuesday",I307=3,"Wednesday",I307=4,"Thursday",I307=5,"Friday",I307=6,"Saturday",I307=0,"Sunday")</f>
        <v>Thursday</v>
      </c>
      <c r="K307" s="18">
        <v>1</v>
      </c>
      <c r="L307" s="18">
        <v>0.2</v>
      </c>
      <c r="M307" s="27" t="str" cm="1">
        <f t="array" ref="M307">_xlfn.IFS(L307&lt;0.15,"Cold",L307&lt;0.25,"Mild",L307&lt;=0.32,"Warm",L307&gt;=0.33,"Hot")</f>
        <v>Mild</v>
      </c>
      <c r="N307" s="18">
        <v>0.18179999999999999</v>
      </c>
      <c r="O307" s="18">
        <v>0.27</v>
      </c>
      <c r="P307" s="18" t="str" cm="1">
        <f t="array" ref="P307">_xlfn.IFS(O307&gt;0.61, "High Humidity", O307&gt;=0.6, "Humid", O307&gt;0.4, "Less Humidity", TRUE, "Dry")</f>
        <v>Dry</v>
      </c>
      <c r="Q307" s="18">
        <v>0.29849999999999999</v>
      </c>
      <c r="R307" s="18" t="str" cm="1">
        <f t="array" ref="R307">_xlfn.IFS(Q307&lt;=0.2,"Low Windspeed",Q307&lt;0.4,"Medium Windspeed",Q307&gt;=0.41,"High Windspeed")</f>
        <v>Medium Windspeed</v>
      </c>
      <c r="S307" s="18">
        <v>4</v>
      </c>
      <c r="T307" s="18">
        <v>76</v>
      </c>
      <c r="U307" s="19">
        <v>80</v>
      </c>
      <c r="V307" s="18" t="str" cm="1">
        <f t="array" ref="V307">_xlfn.IFS(U307&lt;=70,"Low",U307&lt;=160,"Medium",U307&gt;=161,"High")</f>
        <v>Medium</v>
      </c>
    </row>
    <row r="308" spans="1:22" x14ac:dyDescent="0.25">
      <c r="A308" s="16">
        <v>917</v>
      </c>
      <c r="B308" s="17">
        <v>40584</v>
      </c>
      <c r="C308" s="18">
        <v>1</v>
      </c>
      <c r="D308" s="18">
        <v>0</v>
      </c>
      <c r="E308" s="18">
        <v>2</v>
      </c>
      <c r="F308" s="18">
        <v>17</v>
      </c>
      <c r="G308" s="18" t="str" cm="1">
        <f t="array" ref="G308">_xlfn.IFS(F308&lt;4,"Night",F308&lt;=6,"Early Morning",F308&lt;11,"Morning",F308&lt;12,"Afternoon",F308&lt;=16,"Afternoon",F308&lt;=20,"Evening",F308&gt;=21,"Night")</f>
        <v>Evening</v>
      </c>
      <c r="H308" s="18" t="b">
        <v>0</v>
      </c>
      <c r="I308" s="18">
        <v>4</v>
      </c>
      <c r="J308" s="18" t="str" cm="1">
        <f t="array" ref="J308">_xlfn.IFS(I308=1,"Monday",I308=2,"Tuesday",I308=3,"Wednesday",I308=4,"Thursday",I308=5,"Friday",I308=6,"Saturday",I308=0,"Sunday")</f>
        <v>Thursday</v>
      </c>
      <c r="K308" s="18">
        <v>1</v>
      </c>
      <c r="L308" s="18">
        <v>0.18</v>
      </c>
      <c r="M308" s="27" t="str" cm="1">
        <f t="array" ref="M308">_xlfn.IFS(L308&lt;0.15,"Cold",L308&lt;0.25,"Mild",L308&lt;=0.32,"Warm",L308&gt;=0.33,"Hot")</f>
        <v>Mild</v>
      </c>
      <c r="N308" s="18">
        <v>0.18179999999999999</v>
      </c>
      <c r="O308" s="18">
        <v>0.26</v>
      </c>
      <c r="P308" s="18" t="str" cm="1">
        <f t="array" ref="P308">_xlfn.IFS(O308&gt;0.61, "High Humidity", O308&gt;=0.6, "Humid", O308&gt;0.4, "Less Humidity", TRUE, "Dry")</f>
        <v>Dry</v>
      </c>
      <c r="Q308" s="18">
        <v>0.19400000000000001</v>
      </c>
      <c r="R308" s="18" t="str" cm="1">
        <f t="array" ref="R308">_xlfn.IFS(Q308&lt;=0.2,"Low Windspeed",Q308&lt;0.4,"Medium Windspeed",Q308&gt;=0.41,"High Windspeed")</f>
        <v>Low Windspeed</v>
      </c>
      <c r="S308" s="18">
        <v>6</v>
      </c>
      <c r="T308" s="18">
        <v>159</v>
      </c>
      <c r="U308" s="19">
        <v>165</v>
      </c>
      <c r="V308" s="18" t="str" cm="1">
        <f t="array" ref="V308">_xlfn.IFS(U308&lt;=70,"Low",U308&lt;=160,"Medium",U308&gt;=161,"High")</f>
        <v>High</v>
      </c>
    </row>
    <row r="309" spans="1:22" x14ac:dyDescent="0.25">
      <c r="A309" s="16">
        <v>918</v>
      </c>
      <c r="B309" s="17">
        <v>40584</v>
      </c>
      <c r="C309" s="18">
        <v>1</v>
      </c>
      <c r="D309" s="18">
        <v>0</v>
      </c>
      <c r="E309" s="18">
        <v>2</v>
      </c>
      <c r="F309" s="18">
        <v>18</v>
      </c>
      <c r="G309" s="18" t="str" cm="1">
        <f t="array" ref="G309">_xlfn.IFS(F309&lt;4,"Night",F309&lt;=6,"Early Morning",F309&lt;11,"Morning",F309&lt;12,"Afternoon",F309&lt;=16,"Afternoon",F309&lt;=20,"Evening",F309&gt;=21,"Night")</f>
        <v>Evening</v>
      </c>
      <c r="H309" s="18" t="b">
        <v>0</v>
      </c>
      <c r="I309" s="18">
        <v>4</v>
      </c>
      <c r="J309" s="18" t="str" cm="1">
        <f t="array" ref="J309">_xlfn.IFS(I309=1,"Monday",I309=2,"Tuesday",I309=3,"Wednesday",I309=4,"Thursday",I309=5,"Friday",I309=6,"Saturday",I309=0,"Sunday")</f>
        <v>Thursday</v>
      </c>
      <c r="K309" s="18">
        <v>1</v>
      </c>
      <c r="L309" s="18">
        <v>0.16</v>
      </c>
      <c r="M309" s="27" t="str" cm="1">
        <f t="array" ref="M309">_xlfn.IFS(L309&lt;0.15,"Cold",L309&lt;0.25,"Mild",L309&lt;=0.32,"Warm",L309&gt;=0.33,"Hot")</f>
        <v>Mild</v>
      </c>
      <c r="N309" s="18">
        <v>0.18179999999999999</v>
      </c>
      <c r="O309" s="18">
        <v>0.28000000000000003</v>
      </c>
      <c r="P309" s="18" t="str" cm="1">
        <f t="array" ref="P309">_xlfn.IFS(O309&gt;0.61, "High Humidity", O309&gt;=0.6, "Humid", O309&gt;0.4, "Less Humidity", TRUE, "Dry")</f>
        <v>Dry</v>
      </c>
      <c r="Q309" s="18">
        <v>0.1343</v>
      </c>
      <c r="R309" s="18" t="str" cm="1">
        <f t="array" ref="R309">_xlfn.IFS(Q309&lt;=0.2,"Low Windspeed",Q309&lt;0.4,"Medium Windspeed",Q309&gt;=0.41,"High Windspeed")</f>
        <v>Low Windspeed</v>
      </c>
      <c r="S309" s="18">
        <v>3</v>
      </c>
      <c r="T309" s="18">
        <v>157</v>
      </c>
      <c r="U309" s="19">
        <v>160</v>
      </c>
      <c r="V309" s="18" t="str" cm="1">
        <f t="array" ref="V309">_xlfn.IFS(U309&lt;=70,"Low",U309&lt;=160,"Medium",U309&gt;=161,"High")</f>
        <v>Medium</v>
      </c>
    </row>
    <row r="310" spans="1:22" x14ac:dyDescent="0.25">
      <c r="A310" s="16">
        <v>919</v>
      </c>
      <c r="B310" s="17">
        <v>40584</v>
      </c>
      <c r="C310" s="18">
        <v>1</v>
      </c>
      <c r="D310" s="18">
        <v>0</v>
      </c>
      <c r="E310" s="18">
        <v>2</v>
      </c>
      <c r="F310" s="18">
        <v>19</v>
      </c>
      <c r="G310" s="18" t="str" cm="1">
        <f t="array" ref="G310">_xlfn.IFS(F310&lt;4,"Night",F310&lt;=6,"Early Morning",F310&lt;11,"Morning",F310&lt;12,"Afternoon",F310&lt;=16,"Afternoon",F310&lt;=20,"Evening",F310&gt;=21,"Night")</f>
        <v>Evening</v>
      </c>
      <c r="H310" s="18" t="b">
        <v>0</v>
      </c>
      <c r="I310" s="18">
        <v>4</v>
      </c>
      <c r="J310" s="18" t="str" cm="1">
        <f t="array" ref="J310">_xlfn.IFS(I310=1,"Monday",I310=2,"Tuesday",I310=3,"Wednesday",I310=4,"Thursday",I310=5,"Friday",I310=6,"Saturday",I310=0,"Sunday")</f>
        <v>Thursday</v>
      </c>
      <c r="K310" s="18">
        <v>1</v>
      </c>
      <c r="L310" s="18">
        <v>0.14000000000000001</v>
      </c>
      <c r="M310" s="27" t="str" cm="1">
        <f t="array" ref="M310">_xlfn.IFS(L310&lt;0.15,"Cold",L310&lt;0.25,"Mild",L310&lt;=0.32,"Warm",L310&gt;=0.33,"Hot")</f>
        <v>Cold</v>
      </c>
      <c r="N310" s="18">
        <v>0.16669999999999999</v>
      </c>
      <c r="O310" s="18">
        <v>0.28000000000000003</v>
      </c>
      <c r="P310" s="18" t="str" cm="1">
        <f t="array" ref="P310">_xlfn.IFS(O310&gt;0.61, "High Humidity", O310&gt;=0.6, "Humid", O310&gt;0.4, "Less Humidity", TRUE, "Dry")</f>
        <v>Dry</v>
      </c>
      <c r="Q310" s="18">
        <v>0.1045</v>
      </c>
      <c r="R310" s="18" t="str" cm="1">
        <f t="array" ref="R310">_xlfn.IFS(Q310&lt;=0.2,"Low Windspeed",Q310&lt;0.4,"Medium Windspeed",Q310&gt;=0.41,"High Windspeed")</f>
        <v>Low Windspeed</v>
      </c>
      <c r="S310" s="18">
        <v>2</v>
      </c>
      <c r="T310" s="18">
        <v>110</v>
      </c>
      <c r="U310" s="19">
        <v>112</v>
      </c>
      <c r="V310" s="18" t="str" cm="1">
        <f t="array" ref="V310">_xlfn.IFS(U310&lt;=70,"Low",U310&lt;=160,"Medium",U310&gt;=161,"High")</f>
        <v>Medium</v>
      </c>
    </row>
    <row r="311" spans="1:22" x14ac:dyDescent="0.25">
      <c r="A311" s="16">
        <v>920</v>
      </c>
      <c r="B311" s="17">
        <v>40584</v>
      </c>
      <c r="C311" s="18">
        <v>1</v>
      </c>
      <c r="D311" s="18">
        <v>0</v>
      </c>
      <c r="E311" s="18">
        <v>2</v>
      </c>
      <c r="F311" s="18">
        <v>20</v>
      </c>
      <c r="G311" s="18" t="str" cm="1">
        <f t="array" ref="G311">_xlfn.IFS(F311&lt;4,"Night",F311&lt;=6,"Early Morning",F311&lt;11,"Morning",F311&lt;12,"Afternoon",F311&lt;=16,"Afternoon",F311&lt;=20,"Evening",F311&gt;=21,"Night")</f>
        <v>Evening</v>
      </c>
      <c r="H311" s="18" t="b">
        <v>0</v>
      </c>
      <c r="I311" s="18">
        <v>4</v>
      </c>
      <c r="J311" s="18" t="str" cm="1">
        <f t="array" ref="J311">_xlfn.IFS(I311=1,"Monday",I311=2,"Tuesday",I311=3,"Wednesday",I311=4,"Thursday",I311=5,"Friday",I311=6,"Saturday",I311=0,"Sunday")</f>
        <v>Thursday</v>
      </c>
      <c r="K311" s="18">
        <v>1</v>
      </c>
      <c r="L311" s="18">
        <v>0.14000000000000001</v>
      </c>
      <c r="M311" s="27" t="str" cm="1">
        <f t="array" ref="M311">_xlfn.IFS(L311&lt;0.15,"Cold",L311&lt;0.25,"Mild",L311&lt;=0.32,"Warm",L311&gt;=0.33,"Hot")</f>
        <v>Cold</v>
      </c>
      <c r="N311" s="18">
        <v>0.18179999999999999</v>
      </c>
      <c r="O311" s="18">
        <v>0.31</v>
      </c>
      <c r="P311" s="18" t="str" cm="1">
        <f t="array" ref="P311">_xlfn.IFS(O311&gt;0.61, "High Humidity", O311&gt;=0.6, "Humid", O311&gt;0.4, "Less Humidity", TRUE, "Dry")</f>
        <v>Dry</v>
      </c>
      <c r="Q311" s="18">
        <v>8.9599999999999999E-2</v>
      </c>
      <c r="R311" s="18" t="str" cm="1">
        <f t="array" ref="R311">_xlfn.IFS(Q311&lt;=0.2,"Low Windspeed",Q311&lt;0.4,"Medium Windspeed",Q311&gt;=0.41,"High Windspeed")</f>
        <v>Low Windspeed</v>
      </c>
      <c r="S311" s="18">
        <v>4</v>
      </c>
      <c r="T311" s="18">
        <v>93</v>
      </c>
      <c r="U311" s="19">
        <v>97</v>
      </c>
      <c r="V311" s="18" t="str" cm="1">
        <f t="array" ref="V311">_xlfn.IFS(U311&lt;=70,"Low",U311&lt;=160,"Medium",U311&gt;=161,"High")</f>
        <v>Medium</v>
      </c>
    </row>
    <row r="312" spans="1:22" x14ac:dyDescent="0.25">
      <c r="A312" s="16">
        <v>921</v>
      </c>
      <c r="B312" s="17">
        <v>40584</v>
      </c>
      <c r="C312" s="18">
        <v>1</v>
      </c>
      <c r="D312" s="18">
        <v>0</v>
      </c>
      <c r="E312" s="18">
        <v>2</v>
      </c>
      <c r="F312" s="18">
        <v>21</v>
      </c>
      <c r="G312" s="18" t="str" cm="1">
        <f t="array" ref="G312">_xlfn.IFS(F312&lt;4,"Night",F312&lt;=6,"Early Morning",F312&lt;11,"Morning",F312&lt;12,"Afternoon",F312&lt;=16,"Afternoon",F312&lt;=20,"Evening",F312&gt;=21,"Night")</f>
        <v>Night</v>
      </c>
      <c r="H312" s="18" t="b">
        <v>0</v>
      </c>
      <c r="I312" s="18">
        <v>4</v>
      </c>
      <c r="J312" s="18" t="str" cm="1">
        <f t="array" ref="J312">_xlfn.IFS(I312=1,"Monday",I312=2,"Tuesday",I312=3,"Wednesday",I312=4,"Thursday",I312=5,"Friday",I312=6,"Saturday",I312=0,"Sunday")</f>
        <v>Thursday</v>
      </c>
      <c r="K312" s="18">
        <v>1</v>
      </c>
      <c r="L312" s="18">
        <v>0.14000000000000001</v>
      </c>
      <c r="M312" s="27" t="str" cm="1">
        <f t="array" ref="M312">_xlfn.IFS(L312&lt;0.15,"Cold",L312&lt;0.25,"Mild",L312&lt;=0.32,"Warm",L312&gt;=0.33,"Hot")</f>
        <v>Cold</v>
      </c>
      <c r="N312" s="18">
        <v>0.21210000000000001</v>
      </c>
      <c r="O312" s="18">
        <v>0.39</v>
      </c>
      <c r="P312" s="18" t="str" cm="1">
        <f t="array" ref="P312">_xlfn.IFS(O312&gt;0.61, "High Humidity", O312&gt;=0.6, "Humid", O312&gt;0.4, "Less Humidity", TRUE, "Dry")</f>
        <v>Dry</v>
      </c>
      <c r="Q312" s="18">
        <v>0</v>
      </c>
      <c r="R312" s="18" t="str" cm="1">
        <f t="array" ref="R312">_xlfn.IFS(Q312&lt;=0.2,"Low Windspeed",Q312&lt;0.4,"Medium Windspeed",Q312&gt;=0.41,"High Windspeed")</f>
        <v>Low Windspeed</v>
      </c>
      <c r="S312" s="18">
        <v>2</v>
      </c>
      <c r="T312" s="18">
        <v>70</v>
      </c>
      <c r="U312" s="19">
        <v>72</v>
      </c>
      <c r="V312" s="18" t="str" cm="1">
        <f t="array" ref="V312">_xlfn.IFS(U312&lt;=70,"Low",U312&lt;=160,"Medium",U312&gt;=161,"High")</f>
        <v>Medium</v>
      </c>
    </row>
    <row r="313" spans="1:22" x14ac:dyDescent="0.25">
      <c r="A313" s="16">
        <v>922</v>
      </c>
      <c r="B313" s="17">
        <v>40584</v>
      </c>
      <c r="C313" s="18">
        <v>1</v>
      </c>
      <c r="D313" s="18">
        <v>0</v>
      </c>
      <c r="E313" s="18">
        <v>2</v>
      </c>
      <c r="F313" s="18">
        <v>22</v>
      </c>
      <c r="G313" s="18" t="str" cm="1">
        <f t="array" ref="G313">_xlfn.IFS(F313&lt;4,"Night",F313&lt;=6,"Early Morning",F313&lt;11,"Morning",F313&lt;12,"Afternoon",F313&lt;=16,"Afternoon",F313&lt;=20,"Evening",F313&gt;=21,"Night")</f>
        <v>Night</v>
      </c>
      <c r="H313" s="18" t="b">
        <v>0</v>
      </c>
      <c r="I313" s="18">
        <v>4</v>
      </c>
      <c r="J313" s="18" t="str" cm="1">
        <f t="array" ref="J313">_xlfn.IFS(I313=1,"Monday",I313=2,"Tuesday",I313=3,"Wednesday",I313=4,"Thursday",I313=5,"Friday",I313=6,"Saturday",I313=0,"Sunday")</f>
        <v>Thursday</v>
      </c>
      <c r="K313" s="18">
        <v>1</v>
      </c>
      <c r="L313" s="18">
        <v>0.12</v>
      </c>
      <c r="M313" s="27" t="str" cm="1">
        <f t="array" ref="M313">_xlfn.IFS(L313&lt;0.15,"Cold",L313&lt;0.25,"Mild",L313&lt;=0.32,"Warm",L313&gt;=0.33,"Hot")</f>
        <v>Cold</v>
      </c>
      <c r="N313" s="18">
        <v>0.19700000000000001</v>
      </c>
      <c r="O313" s="18">
        <v>0.39</v>
      </c>
      <c r="P313" s="18" t="str" cm="1">
        <f t="array" ref="P313">_xlfn.IFS(O313&gt;0.61, "High Humidity", O313&gt;=0.6, "Humid", O313&gt;0.4, "Less Humidity", TRUE, "Dry")</f>
        <v>Dry</v>
      </c>
      <c r="Q313" s="18">
        <v>0</v>
      </c>
      <c r="R313" s="18" t="str" cm="1">
        <f t="array" ref="R313">_xlfn.IFS(Q313&lt;=0.2,"Low Windspeed",Q313&lt;0.4,"Medium Windspeed",Q313&gt;=0.41,"High Windspeed")</f>
        <v>Low Windspeed</v>
      </c>
      <c r="S313" s="18">
        <v>4</v>
      </c>
      <c r="T313" s="18">
        <v>47</v>
      </c>
      <c r="U313" s="19">
        <v>51</v>
      </c>
      <c r="V313" s="18" t="str" cm="1">
        <f t="array" ref="V313">_xlfn.IFS(U313&lt;=70,"Low",U313&lt;=160,"Medium",U313&gt;=161,"High")</f>
        <v>Low</v>
      </c>
    </row>
    <row r="314" spans="1:22" x14ac:dyDescent="0.25">
      <c r="A314" s="16">
        <v>923</v>
      </c>
      <c r="B314" s="17">
        <v>40584</v>
      </c>
      <c r="C314" s="18">
        <v>1</v>
      </c>
      <c r="D314" s="18">
        <v>0</v>
      </c>
      <c r="E314" s="18">
        <v>2</v>
      </c>
      <c r="F314" s="18">
        <v>23</v>
      </c>
      <c r="G314" s="18" t="str" cm="1">
        <f t="array" ref="G314">_xlfn.IFS(F314&lt;4,"Night",F314&lt;=6,"Early Morning",F314&lt;11,"Morning",F314&lt;12,"Afternoon",F314&lt;=16,"Afternoon",F314&lt;=20,"Evening",F314&gt;=21,"Night")</f>
        <v>Night</v>
      </c>
      <c r="H314" s="18" t="b">
        <v>0</v>
      </c>
      <c r="I314" s="18">
        <v>4</v>
      </c>
      <c r="J314" s="18" t="str" cm="1">
        <f t="array" ref="J314">_xlfn.IFS(I314=1,"Monday",I314=2,"Tuesday",I314=3,"Wednesday",I314=4,"Thursday",I314=5,"Friday",I314=6,"Saturday",I314=0,"Sunday")</f>
        <v>Thursday</v>
      </c>
      <c r="K314" s="18">
        <v>1</v>
      </c>
      <c r="L314" s="18">
        <v>0.12</v>
      </c>
      <c r="M314" s="27" t="str" cm="1">
        <f t="array" ref="M314">_xlfn.IFS(L314&lt;0.15,"Cold",L314&lt;0.25,"Mild",L314&lt;=0.32,"Warm",L314&gt;=0.33,"Hot")</f>
        <v>Cold</v>
      </c>
      <c r="N314" s="18">
        <v>0.1515</v>
      </c>
      <c r="O314" s="18">
        <v>0.42</v>
      </c>
      <c r="P314" s="18" t="str" cm="1">
        <f t="array" ref="P314">_xlfn.IFS(O314&gt;0.61, "High Humidity", O314&gt;=0.6, "Humid", O314&gt;0.4, "Less Humidity", TRUE, "Dry")</f>
        <v>Less Humidity</v>
      </c>
      <c r="Q314" s="18">
        <v>0.1045</v>
      </c>
      <c r="R314" s="18" t="str" cm="1">
        <f t="array" ref="R314">_xlfn.IFS(Q314&lt;=0.2,"Low Windspeed",Q314&lt;0.4,"Medium Windspeed",Q314&gt;=0.41,"High Windspeed")</f>
        <v>Low Windspeed</v>
      </c>
      <c r="S314" s="18">
        <v>1</v>
      </c>
      <c r="T314" s="18">
        <v>33</v>
      </c>
      <c r="U314" s="19">
        <v>34</v>
      </c>
      <c r="V314" s="18" t="str" cm="1">
        <f t="array" ref="V314">_xlfn.IFS(U314&lt;=70,"Low",U314&lt;=160,"Medium",U314&gt;=161,"High")</f>
        <v>Low</v>
      </c>
    </row>
    <row r="315" spans="1:22" x14ac:dyDescent="0.25">
      <c r="A315" s="16">
        <v>924</v>
      </c>
      <c r="B315" s="17">
        <v>40585</v>
      </c>
      <c r="C315" s="18">
        <v>1</v>
      </c>
      <c r="D315" s="18">
        <v>0</v>
      </c>
      <c r="E315" s="18">
        <v>2</v>
      </c>
      <c r="F315" s="18">
        <v>0</v>
      </c>
      <c r="G315" s="18" t="str" cm="1">
        <f t="array" ref="G315">_xlfn.IFS(F315&lt;4,"Night",F315&lt;=6,"Early Morning",F315&lt;11,"Morning",F315&lt;12,"Afternoon",F315&lt;=16,"Afternoon",F315&lt;=20,"Evening",F315&gt;=21,"Night")</f>
        <v>Night</v>
      </c>
      <c r="H315" s="18" t="b">
        <v>0</v>
      </c>
      <c r="I315" s="18">
        <v>5</v>
      </c>
      <c r="J315" s="18" t="str" cm="1">
        <f t="array" ref="J315">_xlfn.IFS(I315=1,"Monday",I315=2,"Tuesday",I315=3,"Wednesday",I315=4,"Thursday",I315=5,"Friday",I315=6,"Saturday",I315=0,"Sunday")</f>
        <v>Friday</v>
      </c>
      <c r="K315" s="18">
        <v>1</v>
      </c>
      <c r="L315" s="18">
        <v>0.1</v>
      </c>
      <c r="M315" s="27" t="str" cm="1">
        <f t="array" ref="M315">_xlfn.IFS(L315&lt;0.15,"Cold",L315&lt;0.25,"Mild",L315&lt;=0.32,"Warm",L315&gt;=0.33,"Hot")</f>
        <v>Cold</v>
      </c>
      <c r="N315" s="18">
        <v>0.13639999999999999</v>
      </c>
      <c r="O315" s="18">
        <v>0.49</v>
      </c>
      <c r="P315" s="18" t="str" cm="1">
        <f t="array" ref="P315">_xlfn.IFS(O315&gt;0.61, "High Humidity", O315&gt;=0.6, "Humid", O315&gt;0.4, "Less Humidity", TRUE, "Dry")</f>
        <v>Less Humidity</v>
      </c>
      <c r="Q315" s="18">
        <v>0.1045</v>
      </c>
      <c r="R315" s="18" t="str" cm="1">
        <f t="array" ref="R315">_xlfn.IFS(Q315&lt;=0.2,"Low Windspeed",Q315&lt;0.4,"Medium Windspeed",Q315&gt;=0.41,"High Windspeed")</f>
        <v>Low Windspeed</v>
      </c>
      <c r="S315" s="18">
        <v>2</v>
      </c>
      <c r="T315" s="18">
        <v>12</v>
      </c>
      <c r="U315" s="19">
        <v>14</v>
      </c>
      <c r="V315" s="18" t="str" cm="1">
        <f t="array" ref="V315">_xlfn.IFS(U315&lt;=70,"Low",U315&lt;=160,"Medium",U315&gt;=161,"High")</f>
        <v>Low</v>
      </c>
    </row>
    <row r="316" spans="1:22" x14ac:dyDescent="0.25">
      <c r="A316" s="16">
        <v>925</v>
      </c>
      <c r="B316" s="17">
        <v>40585</v>
      </c>
      <c r="C316" s="18">
        <v>1</v>
      </c>
      <c r="D316" s="18">
        <v>0</v>
      </c>
      <c r="E316" s="18">
        <v>2</v>
      </c>
      <c r="F316" s="18">
        <v>1</v>
      </c>
      <c r="G316" s="18" t="str" cm="1">
        <f t="array" ref="G316">_xlfn.IFS(F316&lt;4,"Night",F316&lt;=6,"Early Morning",F316&lt;11,"Morning",F316&lt;12,"Afternoon",F316&lt;=16,"Afternoon",F316&lt;=20,"Evening",F316&gt;=21,"Night")</f>
        <v>Night</v>
      </c>
      <c r="H316" s="18" t="b">
        <v>0</v>
      </c>
      <c r="I316" s="18">
        <v>5</v>
      </c>
      <c r="J316" s="18" t="str" cm="1">
        <f t="array" ref="J316">_xlfn.IFS(I316=1,"Monday",I316=2,"Tuesday",I316=3,"Wednesday",I316=4,"Thursday",I316=5,"Friday",I316=6,"Saturday",I316=0,"Sunday")</f>
        <v>Friday</v>
      </c>
      <c r="K316" s="18">
        <v>1</v>
      </c>
      <c r="L316" s="18">
        <v>0.1</v>
      </c>
      <c r="M316" s="27" t="str" cm="1">
        <f t="array" ref="M316">_xlfn.IFS(L316&lt;0.15,"Cold",L316&lt;0.25,"Mild",L316&lt;=0.32,"Warm",L316&gt;=0.33,"Hot")</f>
        <v>Cold</v>
      </c>
      <c r="N316" s="18">
        <v>0.13639999999999999</v>
      </c>
      <c r="O316" s="18">
        <v>0.54</v>
      </c>
      <c r="P316" s="18" t="str" cm="1">
        <f t="array" ref="P316">_xlfn.IFS(O316&gt;0.61, "High Humidity", O316&gt;=0.6, "Humid", O316&gt;0.4, "Less Humidity", TRUE, "Dry")</f>
        <v>Less Humidity</v>
      </c>
      <c r="Q316" s="18">
        <v>8.9599999999999999E-2</v>
      </c>
      <c r="R316" s="18" t="str" cm="1">
        <f t="array" ref="R316">_xlfn.IFS(Q316&lt;=0.2,"Low Windspeed",Q316&lt;0.4,"Medium Windspeed",Q316&gt;=0.41,"High Windspeed")</f>
        <v>Low Windspeed</v>
      </c>
      <c r="S316" s="18">
        <v>1</v>
      </c>
      <c r="T316" s="18">
        <v>6</v>
      </c>
      <c r="U316" s="19">
        <v>7</v>
      </c>
      <c r="V316" s="18" t="str" cm="1">
        <f t="array" ref="V316">_xlfn.IFS(U316&lt;=70,"Low",U316&lt;=160,"Medium",U316&gt;=161,"High")</f>
        <v>Low</v>
      </c>
    </row>
    <row r="317" spans="1:22" x14ac:dyDescent="0.25">
      <c r="A317" s="16">
        <v>926</v>
      </c>
      <c r="B317" s="17">
        <v>40585</v>
      </c>
      <c r="C317" s="18">
        <v>1</v>
      </c>
      <c r="D317" s="18">
        <v>0</v>
      </c>
      <c r="E317" s="18">
        <v>2</v>
      </c>
      <c r="F317" s="18">
        <v>2</v>
      </c>
      <c r="G317" s="18" t="str" cm="1">
        <f t="array" ref="G317">_xlfn.IFS(F317&lt;4,"Night",F317&lt;=6,"Early Morning",F317&lt;11,"Morning",F317&lt;12,"Afternoon",F317&lt;=16,"Afternoon",F317&lt;=20,"Evening",F317&gt;=21,"Night")</f>
        <v>Night</v>
      </c>
      <c r="H317" s="18" t="b">
        <v>0</v>
      </c>
      <c r="I317" s="18">
        <v>5</v>
      </c>
      <c r="J317" s="18" t="str" cm="1">
        <f t="array" ref="J317">_xlfn.IFS(I317=1,"Monday",I317=2,"Tuesday",I317=3,"Wednesday",I317=4,"Thursday",I317=5,"Friday",I317=6,"Saturday",I317=0,"Sunday")</f>
        <v>Friday</v>
      </c>
      <c r="K317" s="18">
        <v>1</v>
      </c>
      <c r="L317" s="18">
        <v>0.1</v>
      </c>
      <c r="M317" s="27" t="str" cm="1">
        <f t="array" ref="M317">_xlfn.IFS(L317&lt;0.15,"Cold",L317&lt;0.25,"Mild",L317&lt;=0.32,"Warm",L317&gt;=0.33,"Hot")</f>
        <v>Cold</v>
      </c>
      <c r="N317" s="18">
        <v>0.13639999999999999</v>
      </c>
      <c r="O317" s="18">
        <v>0.54</v>
      </c>
      <c r="P317" s="18" t="str" cm="1">
        <f t="array" ref="P317">_xlfn.IFS(O317&gt;0.61, "High Humidity", O317&gt;=0.6, "Humid", O317&gt;0.4, "Less Humidity", TRUE, "Dry")</f>
        <v>Less Humidity</v>
      </c>
      <c r="Q317" s="18">
        <v>8.9599999999999999E-2</v>
      </c>
      <c r="R317" s="18" t="str" cm="1">
        <f t="array" ref="R317">_xlfn.IFS(Q317&lt;=0.2,"Low Windspeed",Q317&lt;0.4,"Medium Windspeed",Q317&gt;=0.41,"High Windspeed")</f>
        <v>Low Windspeed</v>
      </c>
      <c r="S317" s="18">
        <v>0</v>
      </c>
      <c r="T317" s="18">
        <v>3</v>
      </c>
      <c r="U317" s="19">
        <v>3</v>
      </c>
      <c r="V317" s="18" t="str" cm="1">
        <f t="array" ref="V317">_xlfn.IFS(U317&lt;=70,"Low",U317&lt;=160,"Medium",U317&gt;=161,"High")</f>
        <v>Low</v>
      </c>
    </row>
    <row r="318" spans="1:22" x14ac:dyDescent="0.25">
      <c r="A318" s="16">
        <v>927</v>
      </c>
      <c r="B318" s="17">
        <v>40585</v>
      </c>
      <c r="C318" s="18">
        <v>1</v>
      </c>
      <c r="D318" s="18">
        <v>0</v>
      </c>
      <c r="E318" s="18">
        <v>2</v>
      </c>
      <c r="F318" s="18">
        <v>5</v>
      </c>
      <c r="G318" s="18" t="str" cm="1">
        <f t="array" ref="G318">_xlfn.IFS(F318&lt;4,"Night",F318&lt;=6,"Early Morning",F318&lt;11,"Morning",F318&lt;12,"Afternoon",F318&lt;=16,"Afternoon",F318&lt;=20,"Evening",F318&gt;=21,"Night")</f>
        <v>Early Morning</v>
      </c>
      <c r="H318" s="18" t="b">
        <v>0</v>
      </c>
      <c r="I318" s="18">
        <v>5</v>
      </c>
      <c r="J318" s="18" t="str" cm="1">
        <f t="array" ref="J318">_xlfn.IFS(I318=1,"Monday",I318=2,"Tuesday",I318=3,"Wednesday",I318=4,"Thursday",I318=5,"Friday",I318=6,"Saturday",I318=0,"Sunday")</f>
        <v>Friday</v>
      </c>
      <c r="K318" s="18">
        <v>1</v>
      </c>
      <c r="L318" s="18">
        <v>0.08</v>
      </c>
      <c r="M318" s="27" t="str" cm="1">
        <f t="array" ref="M318">_xlfn.IFS(L318&lt;0.15,"Cold",L318&lt;0.25,"Mild",L318&lt;=0.32,"Warm",L318&gt;=0.33,"Hot")</f>
        <v>Cold</v>
      </c>
      <c r="N318" s="18">
        <v>0.1212</v>
      </c>
      <c r="O318" s="18">
        <v>0.63</v>
      </c>
      <c r="P318" s="18" t="str" cm="1">
        <f t="array" ref="P318">_xlfn.IFS(O318&gt;0.61, "High Humidity", O318&gt;=0.6, "Humid", O318&gt;0.4, "Less Humidity", TRUE, "Dry")</f>
        <v>High Humidity</v>
      </c>
      <c r="Q318" s="18">
        <v>8.9599999999999999E-2</v>
      </c>
      <c r="R318" s="18" t="str" cm="1">
        <f t="array" ref="R318">_xlfn.IFS(Q318&lt;=0.2,"Low Windspeed",Q318&lt;0.4,"Medium Windspeed",Q318&gt;=0.41,"High Windspeed")</f>
        <v>Low Windspeed</v>
      </c>
      <c r="S318" s="18">
        <v>0</v>
      </c>
      <c r="T318" s="18">
        <v>4</v>
      </c>
      <c r="U318" s="19">
        <v>4</v>
      </c>
      <c r="V318" s="18" t="str" cm="1">
        <f t="array" ref="V318">_xlfn.IFS(U318&lt;=70,"Low",U318&lt;=160,"Medium",U318&gt;=161,"High")</f>
        <v>Low</v>
      </c>
    </row>
    <row r="319" spans="1:22" x14ac:dyDescent="0.25">
      <c r="A319" s="16">
        <v>928</v>
      </c>
      <c r="B319" s="17">
        <v>40585</v>
      </c>
      <c r="C319" s="18">
        <v>1</v>
      </c>
      <c r="D319" s="18">
        <v>0</v>
      </c>
      <c r="E319" s="18">
        <v>2</v>
      </c>
      <c r="F319" s="18">
        <v>6</v>
      </c>
      <c r="G319" s="18" t="str" cm="1">
        <f t="array" ref="G319">_xlfn.IFS(F319&lt;4,"Night",F319&lt;=6,"Early Morning",F319&lt;11,"Morning",F319&lt;12,"Afternoon",F319&lt;=16,"Afternoon",F319&lt;=20,"Evening",F319&gt;=21,"Night")</f>
        <v>Early Morning</v>
      </c>
      <c r="H319" s="18" t="b">
        <v>0</v>
      </c>
      <c r="I319" s="18">
        <v>5</v>
      </c>
      <c r="J319" s="18" t="str" cm="1">
        <f t="array" ref="J319">_xlfn.IFS(I319=1,"Monday",I319=2,"Tuesday",I319=3,"Wednesday",I319=4,"Thursday",I319=5,"Friday",I319=6,"Saturday",I319=0,"Sunday")</f>
        <v>Friday</v>
      </c>
      <c r="K319" s="18">
        <v>1</v>
      </c>
      <c r="L319" s="18">
        <v>0.1</v>
      </c>
      <c r="M319" s="27" t="str" cm="1">
        <f t="array" ref="M319">_xlfn.IFS(L319&lt;0.15,"Cold",L319&lt;0.25,"Mild",L319&lt;=0.32,"Warm",L319&gt;=0.33,"Hot")</f>
        <v>Cold</v>
      </c>
      <c r="N319" s="18">
        <v>0.18179999999999999</v>
      </c>
      <c r="O319" s="18">
        <v>0.68</v>
      </c>
      <c r="P319" s="18" t="str" cm="1">
        <f t="array" ref="P319">_xlfn.IFS(O319&gt;0.61, "High Humidity", O319&gt;=0.6, "Humid", O319&gt;0.4, "Less Humidity", TRUE, "Dry")</f>
        <v>High Humidity</v>
      </c>
      <c r="Q319" s="18">
        <v>0</v>
      </c>
      <c r="R319" s="18" t="str" cm="1">
        <f t="array" ref="R319">_xlfn.IFS(Q319&lt;=0.2,"Low Windspeed",Q319&lt;0.4,"Medium Windspeed",Q319&gt;=0.41,"High Windspeed")</f>
        <v>Low Windspeed</v>
      </c>
      <c r="S319" s="18">
        <v>1</v>
      </c>
      <c r="T319" s="18">
        <v>23</v>
      </c>
      <c r="U319" s="19">
        <v>24</v>
      </c>
      <c r="V319" s="18" t="str" cm="1">
        <f t="array" ref="V319">_xlfn.IFS(U319&lt;=70,"Low",U319&lt;=160,"Medium",U319&gt;=161,"High")</f>
        <v>Low</v>
      </c>
    </row>
    <row r="320" spans="1:22" x14ac:dyDescent="0.25">
      <c r="A320" s="16">
        <v>929</v>
      </c>
      <c r="B320" s="17">
        <v>40585</v>
      </c>
      <c r="C320" s="18">
        <v>1</v>
      </c>
      <c r="D320" s="18">
        <v>0</v>
      </c>
      <c r="E320" s="18">
        <v>2</v>
      </c>
      <c r="F320" s="18">
        <v>7</v>
      </c>
      <c r="G320" s="18" t="str" cm="1">
        <f t="array" ref="G320">_xlfn.IFS(F320&lt;4,"Night",F320&lt;=6,"Early Morning",F320&lt;11,"Morning",F320&lt;12,"Afternoon",F320&lt;=16,"Afternoon",F320&lt;=20,"Evening",F320&gt;=21,"Night")</f>
        <v>Morning</v>
      </c>
      <c r="H320" s="18" t="b">
        <v>0</v>
      </c>
      <c r="I320" s="18">
        <v>5</v>
      </c>
      <c r="J320" s="18" t="str" cm="1">
        <f t="array" ref="J320">_xlfn.IFS(I320=1,"Monday",I320=2,"Tuesday",I320=3,"Wednesday",I320=4,"Thursday",I320=5,"Friday",I320=6,"Saturday",I320=0,"Sunday")</f>
        <v>Friday</v>
      </c>
      <c r="K320" s="18">
        <v>1</v>
      </c>
      <c r="L320" s="18">
        <v>0.08</v>
      </c>
      <c r="M320" s="27" t="str" cm="1">
        <f t="array" ref="M320">_xlfn.IFS(L320&lt;0.15,"Cold",L320&lt;0.25,"Mild",L320&lt;=0.32,"Warm",L320&gt;=0.33,"Hot")</f>
        <v>Cold</v>
      </c>
      <c r="N320" s="18">
        <v>0.16669999999999999</v>
      </c>
      <c r="O320" s="18">
        <v>0.73</v>
      </c>
      <c r="P320" s="18" t="str" cm="1">
        <f t="array" ref="P320">_xlfn.IFS(O320&gt;0.61, "High Humidity", O320&gt;=0.6, "Humid", O320&gt;0.4, "Less Humidity", TRUE, "Dry")</f>
        <v>High Humidity</v>
      </c>
      <c r="Q320" s="18">
        <v>0</v>
      </c>
      <c r="R320" s="18" t="str" cm="1">
        <f t="array" ref="R320">_xlfn.IFS(Q320&lt;=0.2,"Low Windspeed",Q320&lt;0.4,"Medium Windspeed",Q320&gt;=0.41,"High Windspeed")</f>
        <v>Low Windspeed</v>
      </c>
      <c r="S320" s="18">
        <v>1</v>
      </c>
      <c r="T320" s="18">
        <v>73</v>
      </c>
      <c r="U320" s="19">
        <v>74</v>
      </c>
      <c r="V320" s="18" t="str" cm="1">
        <f t="array" ref="V320">_xlfn.IFS(U320&lt;=70,"Low",U320&lt;=160,"Medium",U320&gt;=161,"High")</f>
        <v>Medium</v>
      </c>
    </row>
    <row r="321" spans="1:22" x14ac:dyDescent="0.25">
      <c r="A321" s="16">
        <v>930</v>
      </c>
      <c r="B321" s="17">
        <v>40585</v>
      </c>
      <c r="C321" s="18">
        <v>1</v>
      </c>
      <c r="D321" s="18">
        <v>0</v>
      </c>
      <c r="E321" s="18">
        <v>2</v>
      </c>
      <c r="F321" s="18">
        <v>8</v>
      </c>
      <c r="G321" s="18" t="str" cm="1">
        <f t="array" ref="G321">_xlfn.IFS(F321&lt;4,"Night",F321&lt;=6,"Early Morning",F321&lt;11,"Morning",F321&lt;12,"Afternoon",F321&lt;=16,"Afternoon",F321&lt;=20,"Evening",F321&gt;=21,"Night")</f>
        <v>Morning</v>
      </c>
      <c r="H321" s="18" t="b">
        <v>0</v>
      </c>
      <c r="I321" s="18">
        <v>5</v>
      </c>
      <c r="J321" s="18" t="str" cm="1">
        <f t="array" ref="J321">_xlfn.IFS(I321=1,"Monday",I321=2,"Tuesday",I321=3,"Wednesday",I321=4,"Thursday",I321=5,"Friday",I321=6,"Saturday",I321=0,"Sunday")</f>
        <v>Friday</v>
      </c>
      <c r="K321" s="18">
        <v>1</v>
      </c>
      <c r="L321" s="18">
        <v>0.1</v>
      </c>
      <c r="M321" s="27" t="str" cm="1">
        <f t="array" ref="M321">_xlfn.IFS(L321&lt;0.15,"Cold",L321&lt;0.25,"Mild",L321&lt;=0.32,"Warm",L321&gt;=0.33,"Hot")</f>
        <v>Cold</v>
      </c>
      <c r="N321" s="18">
        <v>0.1212</v>
      </c>
      <c r="O321" s="18">
        <v>0.74</v>
      </c>
      <c r="P321" s="18" t="str" cm="1">
        <f t="array" ref="P321">_xlfn.IFS(O321&gt;0.61, "High Humidity", O321&gt;=0.6, "Humid", O321&gt;0.4, "Less Humidity", TRUE, "Dry")</f>
        <v>High Humidity</v>
      </c>
      <c r="Q321" s="18">
        <v>0.16420000000000001</v>
      </c>
      <c r="R321" s="18" t="str" cm="1">
        <f t="array" ref="R321">_xlfn.IFS(Q321&lt;=0.2,"Low Windspeed",Q321&lt;0.4,"Medium Windspeed",Q321&gt;=0.41,"High Windspeed")</f>
        <v>Low Windspeed</v>
      </c>
      <c r="S321" s="18">
        <v>4</v>
      </c>
      <c r="T321" s="18">
        <v>212</v>
      </c>
      <c r="U321" s="19">
        <v>216</v>
      </c>
      <c r="V321" s="18" t="str" cm="1">
        <f t="array" ref="V321">_xlfn.IFS(U321&lt;=70,"Low",U321&lt;=160,"Medium",U321&gt;=161,"High")</f>
        <v>High</v>
      </c>
    </row>
    <row r="322" spans="1:22" x14ac:dyDescent="0.25">
      <c r="A322" s="16">
        <v>931</v>
      </c>
      <c r="B322" s="17">
        <v>40585</v>
      </c>
      <c r="C322" s="18">
        <v>1</v>
      </c>
      <c r="D322" s="18">
        <v>0</v>
      </c>
      <c r="E322" s="18">
        <v>2</v>
      </c>
      <c r="F322" s="18">
        <v>9</v>
      </c>
      <c r="G322" s="18" t="str" cm="1">
        <f t="array" ref="G322">_xlfn.IFS(F322&lt;4,"Night",F322&lt;=6,"Early Morning",F322&lt;11,"Morning",F322&lt;12,"Afternoon",F322&lt;=16,"Afternoon",F322&lt;=20,"Evening",F322&gt;=21,"Night")</f>
        <v>Morning</v>
      </c>
      <c r="H322" s="18" t="b">
        <v>0</v>
      </c>
      <c r="I322" s="18">
        <v>5</v>
      </c>
      <c r="J322" s="18" t="str" cm="1">
        <f t="array" ref="J322">_xlfn.IFS(I322=1,"Monday",I322=2,"Tuesday",I322=3,"Wednesday",I322=4,"Thursday",I322=5,"Friday",I322=6,"Saturday",I322=0,"Sunday")</f>
        <v>Friday</v>
      </c>
      <c r="K322" s="18">
        <v>1</v>
      </c>
      <c r="L322" s="18">
        <v>0.12</v>
      </c>
      <c r="M322" s="27" t="str" cm="1">
        <f t="array" ref="M322">_xlfn.IFS(L322&lt;0.15,"Cold",L322&lt;0.25,"Mild",L322&lt;=0.32,"Warm",L322&gt;=0.33,"Hot")</f>
        <v>Cold</v>
      </c>
      <c r="N322" s="18">
        <v>0.1212</v>
      </c>
      <c r="O322" s="18">
        <v>0.74</v>
      </c>
      <c r="P322" s="18" t="str" cm="1">
        <f t="array" ref="P322">_xlfn.IFS(O322&gt;0.61, "High Humidity", O322&gt;=0.6, "Humid", O322&gt;0.4, "Less Humidity", TRUE, "Dry")</f>
        <v>High Humidity</v>
      </c>
      <c r="Q322" s="18">
        <v>0.22389999999999999</v>
      </c>
      <c r="R322" s="18" t="str" cm="1">
        <f t="array" ref="R322">_xlfn.IFS(Q322&lt;=0.2,"Low Windspeed",Q322&lt;0.4,"Medium Windspeed",Q322&gt;=0.41,"High Windspeed")</f>
        <v>Medium Windspeed</v>
      </c>
      <c r="S322" s="18">
        <v>8</v>
      </c>
      <c r="T322" s="18">
        <v>132</v>
      </c>
      <c r="U322" s="19">
        <v>140</v>
      </c>
      <c r="V322" s="18" t="str" cm="1">
        <f t="array" ref="V322">_xlfn.IFS(U322&lt;=70,"Low",U322&lt;=160,"Medium",U322&gt;=161,"High")</f>
        <v>Medium</v>
      </c>
    </row>
    <row r="323" spans="1:22" x14ac:dyDescent="0.25">
      <c r="A323" s="16">
        <v>932</v>
      </c>
      <c r="B323" s="17">
        <v>40585</v>
      </c>
      <c r="C323" s="18">
        <v>1</v>
      </c>
      <c r="D323" s="18">
        <v>0</v>
      </c>
      <c r="E323" s="18">
        <v>2</v>
      </c>
      <c r="F323" s="18">
        <v>10</v>
      </c>
      <c r="G323" s="18" t="str" cm="1">
        <f t="array" ref="G323">_xlfn.IFS(F323&lt;4,"Night",F323&lt;=6,"Early Morning",F323&lt;11,"Morning",F323&lt;12,"Afternoon",F323&lt;=16,"Afternoon",F323&lt;=20,"Evening",F323&gt;=21,"Night")</f>
        <v>Morning</v>
      </c>
      <c r="H323" s="18" t="b">
        <v>0</v>
      </c>
      <c r="I323" s="18">
        <v>5</v>
      </c>
      <c r="J323" s="18" t="str" cm="1">
        <f t="array" ref="J323">_xlfn.IFS(I323=1,"Monday",I323=2,"Tuesday",I323=3,"Wednesday",I323=4,"Thursday",I323=5,"Friday",I323=6,"Saturday",I323=0,"Sunday")</f>
        <v>Friday</v>
      </c>
      <c r="K323" s="18">
        <v>1</v>
      </c>
      <c r="L323" s="18">
        <v>0.14000000000000001</v>
      </c>
      <c r="M323" s="27" t="str" cm="1">
        <f t="array" ref="M323">_xlfn.IFS(L323&lt;0.15,"Cold",L323&lt;0.25,"Mild",L323&lt;=0.32,"Warm",L323&gt;=0.33,"Hot")</f>
        <v>Cold</v>
      </c>
      <c r="N323" s="18">
        <v>0.13639999999999999</v>
      </c>
      <c r="O323" s="18">
        <v>0.69</v>
      </c>
      <c r="P323" s="18" t="str" cm="1">
        <f t="array" ref="P323">_xlfn.IFS(O323&gt;0.61, "High Humidity", O323&gt;=0.6, "Humid", O323&gt;0.4, "Less Humidity", TRUE, "Dry")</f>
        <v>High Humidity</v>
      </c>
      <c r="Q323" s="18">
        <v>0.19400000000000001</v>
      </c>
      <c r="R323" s="18" t="str" cm="1">
        <f t="array" ref="R323">_xlfn.IFS(Q323&lt;=0.2,"Low Windspeed",Q323&lt;0.4,"Medium Windspeed",Q323&gt;=0.41,"High Windspeed")</f>
        <v>Low Windspeed</v>
      </c>
      <c r="S323" s="18">
        <v>5</v>
      </c>
      <c r="T323" s="18">
        <v>39</v>
      </c>
      <c r="U323" s="19">
        <v>44</v>
      </c>
      <c r="V323" s="18" t="str" cm="1">
        <f t="array" ref="V323">_xlfn.IFS(U323&lt;=70,"Low",U323&lt;=160,"Medium",U323&gt;=161,"High")</f>
        <v>Low</v>
      </c>
    </row>
    <row r="324" spans="1:22" x14ac:dyDescent="0.25">
      <c r="A324" s="16">
        <v>933</v>
      </c>
      <c r="B324" s="17">
        <v>40585</v>
      </c>
      <c r="C324" s="18">
        <v>1</v>
      </c>
      <c r="D324" s="18">
        <v>0</v>
      </c>
      <c r="E324" s="18">
        <v>2</v>
      </c>
      <c r="F324" s="18">
        <v>11</v>
      </c>
      <c r="G324" s="18" t="str" cm="1">
        <f t="array" ref="G324">_xlfn.IFS(F324&lt;4,"Night",F324&lt;=6,"Early Morning",F324&lt;11,"Morning",F324&lt;12,"Afternoon",F324&lt;=16,"Afternoon",F324&lt;=20,"Evening",F324&gt;=21,"Night")</f>
        <v>Afternoon</v>
      </c>
      <c r="H324" s="18" t="b">
        <v>0</v>
      </c>
      <c r="I324" s="18">
        <v>5</v>
      </c>
      <c r="J324" s="18" t="str" cm="1">
        <f t="array" ref="J324">_xlfn.IFS(I324=1,"Monday",I324=2,"Tuesday",I324=3,"Wednesday",I324=4,"Thursday",I324=5,"Friday",I324=6,"Saturday",I324=0,"Sunday")</f>
        <v>Friday</v>
      </c>
      <c r="K324" s="18">
        <v>1</v>
      </c>
      <c r="L324" s="18">
        <v>0.22</v>
      </c>
      <c r="M324" s="27" t="str" cm="1">
        <f t="array" ref="M324">_xlfn.IFS(L324&lt;0.15,"Cold",L324&lt;0.25,"Mild",L324&lt;=0.32,"Warm",L324&gt;=0.33,"Hot")</f>
        <v>Mild</v>
      </c>
      <c r="N324" s="18">
        <v>0.2273</v>
      </c>
      <c r="O324" s="18">
        <v>0.47</v>
      </c>
      <c r="P324" s="18" t="str" cm="1">
        <f t="array" ref="P324">_xlfn.IFS(O324&gt;0.61, "High Humidity", O324&gt;=0.6, "Humid", O324&gt;0.4, "Less Humidity", TRUE, "Dry")</f>
        <v>Less Humidity</v>
      </c>
      <c r="Q324" s="18">
        <v>0.1343</v>
      </c>
      <c r="R324" s="18" t="str" cm="1">
        <f t="array" ref="R324">_xlfn.IFS(Q324&lt;=0.2,"Low Windspeed",Q324&lt;0.4,"Medium Windspeed",Q324&gt;=0.41,"High Windspeed")</f>
        <v>Low Windspeed</v>
      </c>
      <c r="S324" s="18">
        <v>12</v>
      </c>
      <c r="T324" s="18">
        <v>52</v>
      </c>
      <c r="U324" s="19">
        <v>64</v>
      </c>
      <c r="V324" s="18" t="str" cm="1">
        <f t="array" ref="V324">_xlfn.IFS(U324&lt;=70,"Low",U324&lt;=160,"Medium",U324&gt;=161,"High")</f>
        <v>Low</v>
      </c>
    </row>
    <row r="325" spans="1:22" x14ac:dyDescent="0.25">
      <c r="A325" s="16">
        <v>934</v>
      </c>
      <c r="B325" s="17">
        <v>40585</v>
      </c>
      <c r="C325" s="18">
        <v>1</v>
      </c>
      <c r="D325" s="18">
        <v>0</v>
      </c>
      <c r="E325" s="18">
        <v>2</v>
      </c>
      <c r="F325" s="18">
        <v>12</v>
      </c>
      <c r="G325" s="18" t="str" cm="1">
        <f t="array" ref="G325">_xlfn.IFS(F325&lt;4,"Night",F325&lt;=6,"Early Morning",F325&lt;11,"Morning",F325&lt;12,"Afternoon",F325&lt;=16,"Afternoon",F325&lt;=20,"Evening",F325&gt;=21,"Night")</f>
        <v>Afternoon</v>
      </c>
      <c r="H325" s="18" t="b">
        <v>0</v>
      </c>
      <c r="I325" s="18">
        <v>5</v>
      </c>
      <c r="J325" s="18" t="str" cm="1">
        <f t="array" ref="J325">_xlfn.IFS(I325=1,"Monday",I325=2,"Tuesday",I325=3,"Wednesday",I325=4,"Thursday",I325=5,"Friday",I325=6,"Saturday",I325=0,"Sunday")</f>
        <v>Friday</v>
      </c>
      <c r="K325" s="18">
        <v>1</v>
      </c>
      <c r="L325" s="18">
        <v>0.22</v>
      </c>
      <c r="M325" s="27" t="str" cm="1">
        <f t="array" ref="M325">_xlfn.IFS(L325&lt;0.15,"Cold",L325&lt;0.25,"Mild",L325&lt;=0.32,"Warm",L325&gt;=0.33,"Hot")</f>
        <v>Mild</v>
      </c>
      <c r="N325" s="18">
        <v>0.2273</v>
      </c>
      <c r="O325" s="18">
        <v>0.47</v>
      </c>
      <c r="P325" s="18" t="str" cm="1">
        <f t="array" ref="P325">_xlfn.IFS(O325&gt;0.61, "High Humidity", O325&gt;=0.6, "Humid", O325&gt;0.4, "Less Humidity", TRUE, "Dry")</f>
        <v>Less Humidity</v>
      </c>
      <c r="Q325" s="18">
        <v>0.1343</v>
      </c>
      <c r="R325" s="18" t="str" cm="1">
        <f t="array" ref="R325">_xlfn.IFS(Q325&lt;=0.2,"Low Windspeed",Q325&lt;0.4,"Medium Windspeed",Q325&gt;=0.41,"High Windspeed")</f>
        <v>Low Windspeed</v>
      </c>
      <c r="S325" s="18">
        <v>7</v>
      </c>
      <c r="T325" s="18">
        <v>64</v>
      </c>
      <c r="U325" s="19">
        <v>71</v>
      </c>
      <c r="V325" s="18" t="str" cm="1">
        <f t="array" ref="V325">_xlfn.IFS(U325&lt;=70,"Low",U325&lt;=160,"Medium",U325&gt;=161,"High")</f>
        <v>Medium</v>
      </c>
    </row>
    <row r="326" spans="1:22" x14ac:dyDescent="0.25">
      <c r="A326" s="16">
        <v>935</v>
      </c>
      <c r="B326" s="17">
        <v>40585</v>
      </c>
      <c r="C326" s="18">
        <v>1</v>
      </c>
      <c r="D326" s="18">
        <v>0</v>
      </c>
      <c r="E326" s="18">
        <v>2</v>
      </c>
      <c r="F326" s="18">
        <v>13</v>
      </c>
      <c r="G326" s="18" t="str" cm="1">
        <f t="array" ref="G326">_xlfn.IFS(F326&lt;4,"Night",F326&lt;=6,"Early Morning",F326&lt;11,"Morning",F326&lt;12,"Afternoon",F326&lt;=16,"Afternoon",F326&lt;=20,"Evening",F326&gt;=21,"Night")</f>
        <v>Afternoon</v>
      </c>
      <c r="H326" s="18" t="b">
        <v>0</v>
      </c>
      <c r="I326" s="18">
        <v>5</v>
      </c>
      <c r="J326" s="18" t="str" cm="1">
        <f t="array" ref="J326">_xlfn.IFS(I326=1,"Monday",I326=2,"Tuesday",I326=3,"Wednesday",I326=4,"Thursday",I326=5,"Friday",I326=6,"Saturday",I326=0,"Sunday")</f>
        <v>Friday</v>
      </c>
      <c r="K326" s="18">
        <v>1</v>
      </c>
      <c r="L326" s="18">
        <v>0.24</v>
      </c>
      <c r="M326" s="27" t="str" cm="1">
        <f t="array" ref="M326">_xlfn.IFS(L326&lt;0.15,"Cold",L326&lt;0.25,"Mild",L326&lt;=0.32,"Warm",L326&gt;=0.33,"Hot")</f>
        <v>Mild</v>
      </c>
      <c r="N326" s="18">
        <v>0.2273</v>
      </c>
      <c r="O326" s="18">
        <v>0.35</v>
      </c>
      <c r="P326" s="18" t="str" cm="1">
        <f t="array" ref="P326">_xlfn.IFS(O326&gt;0.61, "High Humidity", O326&gt;=0.6, "Humid", O326&gt;0.4, "Less Humidity", TRUE, "Dry")</f>
        <v>Dry</v>
      </c>
      <c r="Q326" s="18">
        <v>0.19400000000000001</v>
      </c>
      <c r="R326" s="18" t="str" cm="1">
        <f t="array" ref="R326">_xlfn.IFS(Q326&lt;=0.2,"Low Windspeed",Q326&lt;0.4,"Medium Windspeed",Q326&gt;=0.41,"High Windspeed")</f>
        <v>Low Windspeed</v>
      </c>
      <c r="S326" s="18">
        <v>21</v>
      </c>
      <c r="T326" s="18">
        <v>89</v>
      </c>
      <c r="U326" s="19">
        <v>110</v>
      </c>
      <c r="V326" s="18" t="str" cm="1">
        <f t="array" ref="V326">_xlfn.IFS(U326&lt;=70,"Low",U326&lt;=160,"Medium",U326&gt;=161,"High")</f>
        <v>Medium</v>
      </c>
    </row>
    <row r="327" spans="1:22" x14ac:dyDescent="0.25">
      <c r="A327" s="16">
        <v>936</v>
      </c>
      <c r="B327" s="17">
        <v>40585</v>
      </c>
      <c r="C327" s="18">
        <v>1</v>
      </c>
      <c r="D327" s="18">
        <v>0</v>
      </c>
      <c r="E327" s="18">
        <v>2</v>
      </c>
      <c r="F327" s="18">
        <v>14</v>
      </c>
      <c r="G327" s="18" t="str" cm="1">
        <f t="array" ref="G327">_xlfn.IFS(F327&lt;4,"Night",F327&lt;=6,"Early Morning",F327&lt;11,"Morning",F327&lt;12,"Afternoon",F327&lt;=16,"Afternoon",F327&lt;=20,"Evening",F327&gt;=21,"Night")</f>
        <v>Afternoon</v>
      </c>
      <c r="H327" s="18" t="b">
        <v>0</v>
      </c>
      <c r="I327" s="18">
        <v>5</v>
      </c>
      <c r="J327" s="18" t="str" cm="1">
        <f t="array" ref="J327">_xlfn.IFS(I327=1,"Monday",I327=2,"Tuesday",I327=3,"Wednesday",I327=4,"Thursday",I327=5,"Friday",I327=6,"Saturday",I327=0,"Sunday")</f>
        <v>Friday</v>
      </c>
      <c r="K327" s="18">
        <v>1</v>
      </c>
      <c r="L327" s="18">
        <v>0.3</v>
      </c>
      <c r="M327" s="27" t="str" cm="1">
        <f t="array" ref="M327">_xlfn.IFS(L327&lt;0.15,"Cold",L327&lt;0.25,"Mild",L327&lt;=0.32,"Warm",L327&gt;=0.33,"Hot")</f>
        <v>Warm</v>
      </c>
      <c r="N327" s="18">
        <v>0.28789999999999999</v>
      </c>
      <c r="O327" s="18">
        <v>0.26</v>
      </c>
      <c r="P327" s="18" t="str" cm="1">
        <f t="array" ref="P327">_xlfn.IFS(O327&gt;0.61, "High Humidity", O327&gt;=0.6, "Humid", O327&gt;0.4, "Less Humidity", TRUE, "Dry")</f>
        <v>Dry</v>
      </c>
      <c r="Q327" s="18">
        <v>0.25369999999999998</v>
      </c>
      <c r="R327" s="18" t="str" cm="1">
        <f t="array" ref="R327">_xlfn.IFS(Q327&lt;=0.2,"Low Windspeed",Q327&lt;0.4,"Medium Windspeed",Q327&gt;=0.41,"High Windspeed")</f>
        <v>Medium Windspeed</v>
      </c>
      <c r="S327" s="18">
        <v>17</v>
      </c>
      <c r="T327" s="18">
        <v>67</v>
      </c>
      <c r="U327" s="19">
        <v>84</v>
      </c>
      <c r="V327" s="18" t="str" cm="1">
        <f t="array" ref="V327">_xlfn.IFS(U327&lt;=70,"Low",U327&lt;=160,"Medium",U327&gt;=161,"High")</f>
        <v>Medium</v>
      </c>
    </row>
    <row r="328" spans="1:22" x14ac:dyDescent="0.25">
      <c r="A328" s="16">
        <v>937</v>
      </c>
      <c r="B328" s="17">
        <v>40585</v>
      </c>
      <c r="C328" s="18">
        <v>1</v>
      </c>
      <c r="D328" s="18">
        <v>0</v>
      </c>
      <c r="E328" s="18">
        <v>2</v>
      </c>
      <c r="F328" s="18">
        <v>15</v>
      </c>
      <c r="G328" s="18" t="str" cm="1">
        <f t="array" ref="G328">_xlfn.IFS(F328&lt;4,"Night",F328&lt;=6,"Early Morning",F328&lt;11,"Morning",F328&lt;12,"Afternoon",F328&lt;=16,"Afternoon",F328&lt;=20,"Evening",F328&gt;=21,"Night")</f>
        <v>Afternoon</v>
      </c>
      <c r="H328" s="18" t="b">
        <v>0</v>
      </c>
      <c r="I328" s="18">
        <v>5</v>
      </c>
      <c r="J328" s="18" t="str" cm="1">
        <f t="array" ref="J328">_xlfn.IFS(I328=1,"Monday",I328=2,"Tuesday",I328=3,"Wednesday",I328=4,"Thursday",I328=5,"Friday",I328=6,"Saturday",I328=0,"Sunday")</f>
        <v>Friday</v>
      </c>
      <c r="K328" s="18">
        <v>1</v>
      </c>
      <c r="L328" s="18">
        <v>0.32</v>
      </c>
      <c r="M328" s="27" t="str" cm="1">
        <f t="array" ref="M328">_xlfn.IFS(L328&lt;0.15,"Cold",L328&lt;0.25,"Mild",L328&lt;=0.32,"Warm",L328&gt;=0.33,"Hot")</f>
        <v>Warm</v>
      </c>
      <c r="N328" s="18">
        <v>0.31819999999999998</v>
      </c>
      <c r="O328" s="18">
        <v>0.21</v>
      </c>
      <c r="P328" s="18" t="str" cm="1">
        <f t="array" ref="P328">_xlfn.IFS(O328&gt;0.61, "High Humidity", O328&gt;=0.6, "Humid", O328&gt;0.4, "Less Humidity", TRUE, "Dry")</f>
        <v>Dry</v>
      </c>
      <c r="Q328" s="18">
        <v>0.16420000000000001</v>
      </c>
      <c r="R328" s="18" t="str" cm="1">
        <f t="array" ref="R328">_xlfn.IFS(Q328&lt;=0.2,"Low Windspeed",Q328&lt;0.4,"Medium Windspeed",Q328&gt;=0.41,"High Windspeed")</f>
        <v>Low Windspeed</v>
      </c>
      <c r="S328" s="18">
        <v>12</v>
      </c>
      <c r="T328" s="18">
        <v>62</v>
      </c>
      <c r="U328" s="19">
        <v>74</v>
      </c>
      <c r="V328" s="18" t="str" cm="1">
        <f t="array" ref="V328">_xlfn.IFS(U328&lt;=70,"Low",U328&lt;=160,"Medium",U328&gt;=161,"High")</f>
        <v>Medium</v>
      </c>
    </row>
    <row r="329" spans="1:22" x14ac:dyDescent="0.25">
      <c r="A329" s="16">
        <v>938</v>
      </c>
      <c r="B329" s="17">
        <v>40585</v>
      </c>
      <c r="C329" s="18">
        <v>1</v>
      </c>
      <c r="D329" s="18">
        <v>0</v>
      </c>
      <c r="E329" s="18">
        <v>2</v>
      </c>
      <c r="F329" s="18">
        <v>16</v>
      </c>
      <c r="G329" s="18" t="str" cm="1">
        <f t="array" ref="G329">_xlfn.IFS(F329&lt;4,"Night",F329&lt;=6,"Early Morning",F329&lt;11,"Morning",F329&lt;12,"Afternoon",F329&lt;=16,"Afternoon",F329&lt;=20,"Evening",F329&gt;=21,"Night")</f>
        <v>Afternoon</v>
      </c>
      <c r="H329" s="18" t="b">
        <v>0</v>
      </c>
      <c r="I329" s="18">
        <v>5</v>
      </c>
      <c r="J329" s="18" t="str" cm="1">
        <f t="array" ref="J329">_xlfn.IFS(I329=1,"Monday",I329=2,"Tuesday",I329=3,"Wednesday",I329=4,"Thursday",I329=5,"Friday",I329=6,"Saturday",I329=0,"Sunday")</f>
        <v>Friday</v>
      </c>
      <c r="K329" s="18">
        <v>1</v>
      </c>
      <c r="L329" s="18">
        <v>0.3</v>
      </c>
      <c r="M329" s="27" t="str" cm="1">
        <f t="array" ref="M329">_xlfn.IFS(L329&lt;0.15,"Cold",L329&lt;0.25,"Mild",L329&lt;=0.32,"Warm",L329&gt;=0.33,"Hot")</f>
        <v>Warm</v>
      </c>
      <c r="N329" s="18">
        <v>0.28789999999999999</v>
      </c>
      <c r="O329" s="18">
        <v>0.28000000000000003</v>
      </c>
      <c r="P329" s="18" t="str" cm="1">
        <f t="array" ref="P329">_xlfn.IFS(O329&gt;0.61, "High Humidity", O329&gt;=0.6, "Humid", O329&gt;0.4, "Less Humidity", TRUE, "Dry")</f>
        <v>Dry</v>
      </c>
      <c r="Q329" s="18">
        <v>0.19400000000000001</v>
      </c>
      <c r="R329" s="18" t="str" cm="1">
        <f t="array" ref="R329">_xlfn.IFS(Q329&lt;=0.2,"Low Windspeed",Q329&lt;0.4,"Medium Windspeed",Q329&gt;=0.41,"High Windspeed")</f>
        <v>Low Windspeed</v>
      </c>
      <c r="S329" s="18">
        <v>14</v>
      </c>
      <c r="T329" s="18">
        <v>111</v>
      </c>
      <c r="U329" s="19">
        <v>125</v>
      </c>
      <c r="V329" s="18" t="str" cm="1">
        <f t="array" ref="V329">_xlfn.IFS(U329&lt;=70,"Low",U329&lt;=160,"Medium",U329&gt;=161,"High")</f>
        <v>Medium</v>
      </c>
    </row>
    <row r="330" spans="1:22" x14ac:dyDescent="0.25">
      <c r="A330" s="16">
        <v>939</v>
      </c>
      <c r="B330" s="17">
        <v>40585</v>
      </c>
      <c r="C330" s="18">
        <v>1</v>
      </c>
      <c r="D330" s="18">
        <v>0</v>
      </c>
      <c r="E330" s="18">
        <v>2</v>
      </c>
      <c r="F330" s="18">
        <v>17</v>
      </c>
      <c r="G330" s="18" t="str" cm="1">
        <f t="array" ref="G330">_xlfn.IFS(F330&lt;4,"Night",F330&lt;=6,"Early Morning",F330&lt;11,"Morning",F330&lt;12,"Afternoon",F330&lt;=16,"Afternoon",F330&lt;=20,"Evening",F330&gt;=21,"Night")</f>
        <v>Evening</v>
      </c>
      <c r="H330" s="18" t="b">
        <v>0</v>
      </c>
      <c r="I330" s="18">
        <v>5</v>
      </c>
      <c r="J330" s="18" t="str" cm="1">
        <f t="array" ref="J330">_xlfn.IFS(I330=1,"Monday",I330=2,"Tuesday",I330=3,"Wednesday",I330=4,"Thursday",I330=5,"Friday",I330=6,"Saturday",I330=0,"Sunday")</f>
        <v>Friday</v>
      </c>
      <c r="K330" s="18">
        <v>1</v>
      </c>
      <c r="L330" s="18">
        <v>0.3</v>
      </c>
      <c r="M330" s="27" t="str" cm="1">
        <f t="array" ref="M330">_xlfn.IFS(L330&lt;0.15,"Cold",L330&lt;0.25,"Mild",L330&lt;=0.32,"Warm",L330&gt;=0.33,"Hot")</f>
        <v>Warm</v>
      </c>
      <c r="N330" s="18">
        <v>0.33329999999999999</v>
      </c>
      <c r="O330" s="18">
        <v>0.24</v>
      </c>
      <c r="P330" s="18" t="str" cm="1">
        <f t="array" ref="P330">_xlfn.IFS(O330&gt;0.61, "High Humidity", O330&gt;=0.6, "Humid", O330&gt;0.4, "Less Humidity", TRUE, "Dry")</f>
        <v>Dry</v>
      </c>
      <c r="Q330" s="18">
        <v>0</v>
      </c>
      <c r="R330" s="18" t="str" cm="1">
        <f t="array" ref="R330">_xlfn.IFS(Q330&lt;=0.2,"Low Windspeed",Q330&lt;0.4,"Medium Windspeed",Q330&gt;=0.41,"High Windspeed")</f>
        <v>Low Windspeed</v>
      </c>
      <c r="S330" s="18">
        <v>18</v>
      </c>
      <c r="T330" s="18">
        <v>193</v>
      </c>
      <c r="U330" s="19">
        <v>211</v>
      </c>
      <c r="V330" s="18" t="str" cm="1">
        <f t="array" ref="V330">_xlfn.IFS(U330&lt;=70,"Low",U330&lt;=160,"Medium",U330&gt;=161,"High")</f>
        <v>High</v>
      </c>
    </row>
    <row r="331" spans="1:22" x14ac:dyDescent="0.25">
      <c r="A331" s="16">
        <v>940</v>
      </c>
      <c r="B331" s="17">
        <v>40585</v>
      </c>
      <c r="C331" s="18">
        <v>1</v>
      </c>
      <c r="D331" s="18">
        <v>0</v>
      </c>
      <c r="E331" s="18">
        <v>2</v>
      </c>
      <c r="F331" s="18">
        <v>18</v>
      </c>
      <c r="G331" s="18" t="str" cm="1">
        <f t="array" ref="G331">_xlfn.IFS(F331&lt;4,"Night",F331&lt;=6,"Early Morning",F331&lt;11,"Morning",F331&lt;12,"Afternoon",F331&lt;=16,"Afternoon",F331&lt;=20,"Evening",F331&gt;=21,"Night")</f>
        <v>Evening</v>
      </c>
      <c r="H331" s="18" t="b">
        <v>0</v>
      </c>
      <c r="I331" s="18">
        <v>5</v>
      </c>
      <c r="J331" s="18" t="str" cm="1">
        <f t="array" ref="J331">_xlfn.IFS(I331=1,"Monday",I331=2,"Tuesday",I331=3,"Wednesday",I331=4,"Thursday",I331=5,"Friday",I331=6,"Saturday",I331=0,"Sunday")</f>
        <v>Friday</v>
      </c>
      <c r="K331" s="18">
        <v>1</v>
      </c>
      <c r="L331" s="18">
        <v>0.28000000000000003</v>
      </c>
      <c r="M331" s="27" t="str" cm="1">
        <f t="array" ref="M331">_xlfn.IFS(L331&lt;0.15,"Cold",L331&lt;0.25,"Mild",L331&lt;=0.32,"Warm",L331&gt;=0.33,"Hot")</f>
        <v>Warm</v>
      </c>
      <c r="N331" s="18">
        <v>0.31819999999999998</v>
      </c>
      <c r="O331" s="18">
        <v>0.28000000000000003</v>
      </c>
      <c r="P331" s="18" t="str" cm="1">
        <f t="array" ref="P331">_xlfn.IFS(O331&gt;0.61, "High Humidity", O331&gt;=0.6, "Humid", O331&gt;0.4, "Less Humidity", TRUE, "Dry")</f>
        <v>Dry</v>
      </c>
      <c r="Q331" s="18">
        <v>0</v>
      </c>
      <c r="R331" s="18" t="str" cm="1">
        <f t="array" ref="R331">_xlfn.IFS(Q331&lt;=0.2,"Low Windspeed",Q331&lt;0.4,"Medium Windspeed",Q331&gt;=0.41,"High Windspeed")</f>
        <v>Low Windspeed</v>
      </c>
      <c r="S331" s="18">
        <v>9</v>
      </c>
      <c r="T331" s="18">
        <v>165</v>
      </c>
      <c r="U331" s="19">
        <v>174</v>
      </c>
      <c r="V331" s="18" t="str" cm="1">
        <f t="array" ref="V331">_xlfn.IFS(U331&lt;=70,"Low",U331&lt;=160,"Medium",U331&gt;=161,"High")</f>
        <v>High</v>
      </c>
    </row>
    <row r="332" spans="1:22" x14ac:dyDescent="0.25">
      <c r="A332" s="16">
        <v>941</v>
      </c>
      <c r="B332" s="17">
        <v>40585</v>
      </c>
      <c r="C332" s="18">
        <v>1</v>
      </c>
      <c r="D332" s="18">
        <v>0</v>
      </c>
      <c r="E332" s="18">
        <v>2</v>
      </c>
      <c r="F332" s="18">
        <v>19</v>
      </c>
      <c r="G332" s="18" t="str" cm="1">
        <f t="array" ref="G332">_xlfn.IFS(F332&lt;4,"Night",F332&lt;=6,"Early Morning",F332&lt;11,"Morning",F332&lt;12,"Afternoon",F332&lt;=16,"Afternoon",F332&lt;=20,"Evening",F332&gt;=21,"Night")</f>
        <v>Evening</v>
      </c>
      <c r="H332" s="18" t="b">
        <v>0</v>
      </c>
      <c r="I332" s="18">
        <v>5</v>
      </c>
      <c r="J332" s="18" t="str" cm="1">
        <f t="array" ref="J332">_xlfn.IFS(I332=1,"Monday",I332=2,"Tuesday",I332=3,"Wednesday",I332=4,"Thursday",I332=5,"Friday",I332=6,"Saturday",I332=0,"Sunday")</f>
        <v>Friday</v>
      </c>
      <c r="K332" s="18">
        <v>1</v>
      </c>
      <c r="L332" s="18">
        <v>0.26</v>
      </c>
      <c r="M332" s="27" t="str" cm="1">
        <f t="array" ref="M332">_xlfn.IFS(L332&lt;0.15,"Cold",L332&lt;0.25,"Mild",L332&lt;=0.32,"Warm",L332&gt;=0.33,"Hot")</f>
        <v>Warm</v>
      </c>
      <c r="N332" s="18">
        <v>0.30299999999999999</v>
      </c>
      <c r="O332" s="18">
        <v>0.33</v>
      </c>
      <c r="P332" s="18" t="str" cm="1">
        <f t="array" ref="P332">_xlfn.IFS(O332&gt;0.61, "High Humidity", O332&gt;=0.6, "Humid", O332&gt;0.4, "Less Humidity", TRUE, "Dry")</f>
        <v>Dry</v>
      </c>
      <c r="Q332" s="18">
        <v>0</v>
      </c>
      <c r="R332" s="18" t="str" cm="1">
        <f t="array" ref="R332">_xlfn.IFS(Q332&lt;=0.2,"Low Windspeed",Q332&lt;0.4,"Medium Windspeed",Q332&gt;=0.41,"High Windspeed")</f>
        <v>Low Windspeed</v>
      </c>
      <c r="S332" s="18">
        <v>7</v>
      </c>
      <c r="T332" s="18">
        <v>94</v>
      </c>
      <c r="U332" s="19">
        <v>101</v>
      </c>
      <c r="V332" s="18" t="str" cm="1">
        <f t="array" ref="V332">_xlfn.IFS(U332&lt;=70,"Low",U332&lt;=160,"Medium",U332&gt;=161,"High")</f>
        <v>Medium</v>
      </c>
    </row>
    <row r="333" spans="1:22" x14ac:dyDescent="0.25">
      <c r="A333" s="16">
        <v>942</v>
      </c>
      <c r="B333" s="17">
        <v>40585</v>
      </c>
      <c r="C333" s="18">
        <v>1</v>
      </c>
      <c r="D333" s="18">
        <v>0</v>
      </c>
      <c r="E333" s="18">
        <v>2</v>
      </c>
      <c r="F333" s="18">
        <v>20</v>
      </c>
      <c r="G333" s="18" t="str" cm="1">
        <f t="array" ref="G333">_xlfn.IFS(F333&lt;4,"Night",F333&lt;=6,"Early Morning",F333&lt;11,"Morning",F333&lt;12,"Afternoon",F333&lt;=16,"Afternoon",F333&lt;=20,"Evening",F333&gt;=21,"Night")</f>
        <v>Evening</v>
      </c>
      <c r="H333" s="18" t="b">
        <v>0</v>
      </c>
      <c r="I333" s="18">
        <v>5</v>
      </c>
      <c r="J333" s="18" t="str" cm="1">
        <f t="array" ref="J333">_xlfn.IFS(I333=1,"Monday",I333=2,"Tuesday",I333=3,"Wednesday",I333=4,"Thursday",I333=5,"Friday",I333=6,"Saturday",I333=0,"Sunday")</f>
        <v>Friday</v>
      </c>
      <c r="K333" s="18">
        <v>1</v>
      </c>
      <c r="L333" s="18">
        <v>0.22</v>
      </c>
      <c r="M333" s="27" t="str" cm="1">
        <f t="array" ref="M333">_xlfn.IFS(L333&lt;0.15,"Cold",L333&lt;0.25,"Mild",L333&lt;=0.32,"Warm",L333&gt;=0.33,"Hot")</f>
        <v>Mild</v>
      </c>
      <c r="N333" s="18">
        <v>0.2273</v>
      </c>
      <c r="O333" s="18">
        <v>0.55000000000000004</v>
      </c>
      <c r="P333" s="18" t="str" cm="1">
        <f t="array" ref="P333">_xlfn.IFS(O333&gt;0.61, "High Humidity", O333&gt;=0.6, "Humid", O333&gt;0.4, "Less Humidity", TRUE, "Dry")</f>
        <v>Less Humidity</v>
      </c>
      <c r="Q333" s="18">
        <v>0.1343</v>
      </c>
      <c r="R333" s="18" t="str" cm="1">
        <f t="array" ref="R333">_xlfn.IFS(Q333&lt;=0.2,"Low Windspeed",Q333&lt;0.4,"Medium Windspeed",Q333&gt;=0.41,"High Windspeed")</f>
        <v>Low Windspeed</v>
      </c>
      <c r="S333" s="18">
        <v>2</v>
      </c>
      <c r="T333" s="18">
        <v>61</v>
      </c>
      <c r="U333" s="19">
        <v>63</v>
      </c>
      <c r="V333" s="18" t="str" cm="1">
        <f t="array" ref="V333">_xlfn.IFS(U333&lt;=70,"Low",U333&lt;=160,"Medium",U333&gt;=161,"High")</f>
        <v>Low</v>
      </c>
    </row>
    <row r="334" spans="1:22" x14ac:dyDescent="0.25">
      <c r="A334" s="16">
        <v>943</v>
      </c>
      <c r="B334" s="17">
        <v>40585</v>
      </c>
      <c r="C334" s="18">
        <v>1</v>
      </c>
      <c r="D334" s="18">
        <v>0</v>
      </c>
      <c r="E334" s="18">
        <v>2</v>
      </c>
      <c r="F334" s="18">
        <v>21</v>
      </c>
      <c r="G334" s="18" t="str" cm="1">
        <f t="array" ref="G334">_xlfn.IFS(F334&lt;4,"Night",F334&lt;=6,"Early Morning",F334&lt;11,"Morning",F334&lt;12,"Afternoon",F334&lt;=16,"Afternoon",F334&lt;=20,"Evening",F334&gt;=21,"Night")</f>
        <v>Night</v>
      </c>
      <c r="H334" s="18" t="b">
        <v>0</v>
      </c>
      <c r="I334" s="18">
        <v>5</v>
      </c>
      <c r="J334" s="18" t="str" cm="1">
        <f t="array" ref="J334">_xlfn.IFS(I334=1,"Monday",I334=2,"Tuesday",I334=3,"Wednesday",I334=4,"Thursday",I334=5,"Friday",I334=6,"Saturday",I334=0,"Sunday")</f>
        <v>Friday</v>
      </c>
      <c r="K334" s="18">
        <v>1</v>
      </c>
      <c r="L334" s="18">
        <v>0.2</v>
      </c>
      <c r="M334" s="27" t="str" cm="1">
        <f t="array" ref="M334">_xlfn.IFS(L334&lt;0.15,"Cold",L334&lt;0.25,"Mild",L334&lt;=0.32,"Warm",L334&gt;=0.33,"Hot")</f>
        <v>Mild</v>
      </c>
      <c r="N334" s="18">
        <v>0.21210000000000001</v>
      </c>
      <c r="O334" s="18">
        <v>0.59</v>
      </c>
      <c r="P334" s="18" t="str" cm="1">
        <f t="array" ref="P334">_xlfn.IFS(O334&gt;0.61, "High Humidity", O334&gt;=0.6, "Humid", O334&gt;0.4, "Less Humidity", TRUE, "Dry")</f>
        <v>Less Humidity</v>
      </c>
      <c r="Q334" s="18">
        <v>0.1343</v>
      </c>
      <c r="R334" s="18" t="str" cm="1">
        <f t="array" ref="R334">_xlfn.IFS(Q334&lt;=0.2,"Low Windspeed",Q334&lt;0.4,"Medium Windspeed",Q334&gt;=0.41,"High Windspeed")</f>
        <v>Low Windspeed</v>
      </c>
      <c r="S334" s="18">
        <v>1</v>
      </c>
      <c r="T334" s="18">
        <v>46</v>
      </c>
      <c r="U334" s="19">
        <v>47</v>
      </c>
      <c r="V334" s="18" t="str" cm="1">
        <f t="array" ref="V334">_xlfn.IFS(U334&lt;=70,"Low",U334&lt;=160,"Medium",U334&gt;=161,"High")</f>
        <v>Low</v>
      </c>
    </row>
    <row r="335" spans="1:22" x14ac:dyDescent="0.25">
      <c r="A335" s="16">
        <v>944</v>
      </c>
      <c r="B335" s="17">
        <v>40585</v>
      </c>
      <c r="C335" s="18">
        <v>1</v>
      </c>
      <c r="D335" s="18">
        <v>0</v>
      </c>
      <c r="E335" s="18">
        <v>2</v>
      </c>
      <c r="F335" s="18">
        <v>22</v>
      </c>
      <c r="G335" s="18" t="str" cm="1">
        <f t="array" ref="G335">_xlfn.IFS(F335&lt;4,"Night",F335&lt;=6,"Early Morning",F335&lt;11,"Morning",F335&lt;12,"Afternoon",F335&lt;=16,"Afternoon",F335&lt;=20,"Evening",F335&gt;=21,"Night")</f>
        <v>Night</v>
      </c>
      <c r="H335" s="18" t="b">
        <v>0</v>
      </c>
      <c r="I335" s="18">
        <v>5</v>
      </c>
      <c r="J335" s="18" t="str" cm="1">
        <f t="array" ref="J335">_xlfn.IFS(I335=1,"Monday",I335=2,"Tuesday",I335=3,"Wednesday",I335=4,"Thursday",I335=5,"Friday",I335=6,"Saturday",I335=0,"Sunday")</f>
        <v>Friday</v>
      </c>
      <c r="K335" s="18">
        <v>1</v>
      </c>
      <c r="L335" s="18">
        <v>0.2</v>
      </c>
      <c r="M335" s="27" t="str" cm="1">
        <f t="array" ref="M335">_xlfn.IFS(L335&lt;0.15,"Cold",L335&lt;0.25,"Mild",L335&lt;=0.32,"Warm",L335&gt;=0.33,"Hot")</f>
        <v>Mild</v>
      </c>
      <c r="N335" s="18">
        <v>0.2273</v>
      </c>
      <c r="O335" s="18">
        <v>0.64</v>
      </c>
      <c r="P335" s="18" t="str" cm="1">
        <f t="array" ref="P335">_xlfn.IFS(O335&gt;0.61, "High Humidity", O335&gt;=0.6, "Humid", O335&gt;0.4, "Less Humidity", TRUE, "Dry")</f>
        <v>High Humidity</v>
      </c>
      <c r="Q335" s="18">
        <v>8.9599999999999999E-2</v>
      </c>
      <c r="R335" s="18" t="str" cm="1">
        <f t="array" ref="R335">_xlfn.IFS(Q335&lt;=0.2,"Low Windspeed",Q335&lt;0.4,"Medium Windspeed",Q335&gt;=0.41,"High Windspeed")</f>
        <v>Low Windspeed</v>
      </c>
      <c r="S335" s="18">
        <v>2</v>
      </c>
      <c r="T335" s="18">
        <v>41</v>
      </c>
      <c r="U335" s="19">
        <v>43</v>
      </c>
      <c r="V335" s="18" t="str" cm="1">
        <f t="array" ref="V335">_xlfn.IFS(U335&lt;=70,"Low",U335&lt;=160,"Medium",U335&gt;=161,"High")</f>
        <v>Low</v>
      </c>
    </row>
    <row r="336" spans="1:22" x14ac:dyDescent="0.25">
      <c r="A336" s="16">
        <v>945</v>
      </c>
      <c r="B336" s="17">
        <v>40585</v>
      </c>
      <c r="C336" s="18">
        <v>1</v>
      </c>
      <c r="D336" s="18">
        <v>0</v>
      </c>
      <c r="E336" s="18">
        <v>2</v>
      </c>
      <c r="F336" s="18">
        <v>23</v>
      </c>
      <c r="G336" s="18" t="str" cm="1">
        <f t="array" ref="G336">_xlfn.IFS(F336&lt;4,"Night",F336&lt;=6,"Early Morning",F336&lt;11,"Morning",F336&lt;12,"Afternoon",F336&lt;=16,"Afternoon",F336&lt;=20,"Evening",F336&gt;=21,"Night")</f>
        <v>Night</v>
      </c>
      <c r="H336" s="18" t="b">
        <v>0</v>
      </c>
      <c r="I336" s="18">
        <v>5</v>
      </c>
      <c r="J336" s="18" t="str" cm="1">
        <f t="array" ref="J336">_xlfn.IFS(I336=1,"Monday",I336=2,"Tuesday",I336=3,"Wednesday",I336=4,"Thursday",I336=5,"Friday",I336=6,"Saturday",I336=0,"Sunday")</f>
        <v>Friday</v>
      </c>
      <c r="K336" s="18">
        <v>1</v>
      </c>
      <c r="L336" s="18">
        <v>0.18</v>
      </c>
      <c r="M336" s="27" t="str" cm="1">
        <f t="array" ref="M336">_xlfn.IFS(L336&lt;0.15,"Cold",L336&lt;0.25,"Mild",L336&lt;=0.32,"Warm",L336&gt;=0.33,"Hot")</f>
        <v>Mild</v>
      </c>
      <c r="N336" s="18">
        <v>0.2424</v>
      </c>
      <c r="O336" s="18">
        <v>0.69</v>
      </c>
      <c r="P336" s="18" t="str" cm="1">
        <f t="array" ref="P336">_xlfn.IFS(O336&gt;0.61, "High Humidity", O336&gt;=0.6, "Humid", O336&gt;0.4, "Less Humidity", TRUE, "Dry")</f>
        <v>High Humidity</v>
      </c>
      <c r="Q336" s="18">
        <v>0</v>
      </c>
      <c r="R336" s="18" t="str" cm="1">
        <f t="array" ref="R336">_xlfn.IFS(Q336&lt;=0.2,"Low Windspeed",Q336&lt;0.4,"Medium Windspeed",Q336&gt;=0.41,"High Windspeed")</f>
        <v>Low Windspeed</v>
      </c>
      <c r="S336" s="18">
        <v>5</v>
      </c>
      <c r="T336" s="18">
        <v>48</v>
      </c>
      <c r="U336" s="19">
        <v>53</v>
      </c>
      <c r="V336" s="18" t="str" cm="1">
        <f t="array" ref="V336">_xlfn.IFS(U336&lt;=70,"Low",U336&lt;=160,"Medium",U336&gt;=161,"High")</f>
        <v>Low</v>
      </c>
    </row>
    <row r="337" spans="1:22" x14ac:dyDescent="0.25">
      <c r="A337" s="16">
        <v>946</v>
      </c>
      <c r="B337" s="17">
        <v>40586</v>
      </c>
      <c r="C337" s="18">
        <v>1</v>
      </c>
      <c r="D337" s="18">
        <v>0</v>
      </c>
      <c r="E337" s="18">
        <v>2</v>
      </c>
      <c r="F337" s="18">
        <v>0</v>
      </c>
      <c r="G337" s="18" t="str" cm="1">
        <f t="array" ref="G337">_xlfn.IFS(F337&lt;4,"Night",F337&lt;=6,"Early Morning",F337&lt;11,"Morning",F337&lt;12,"Afternoon",F337&lt;=16,"Afternoon",F337&lt;=20,"Evening",F337&gt;=21,"Night")</f>
        <v>Night</v>
      </c>
      <c r="H337" s="18" t="b">
        <v>0</v>
      </c>
      <c r="I337" s="18">
        <v>6</v>
      </c>
      <c r="J337" s="18" t="str" cm="1">
        <f t="array" ref="J337">_xlfn.IFS(I337=1,"Monday",I337=2,"Tuesday",I337=3,"Wednesday",I337=4,"Thursday",I337=5,"Friday",I337=6,"Saturday",I337=0,"Sunday")</f>
        <v>Saturday</v>
      </c>
      <c r="K337" s="18">
        <v>1</v>
      </c>
      <c r="L337" s="18">
        <v>0.16</v>
      </c>
      <c r="M337" s="27" t="str" cm="1">
        <f t="array" ref="M337">_xlfn.IFS(L337&lt;0.15,"Cold",L337&lt;0.25,"Mild",L337&lt;=0.32,"Warm",L337&gt;=0.33,"Hot")</f>
        <v>Mild</v>
      </c>
      <c r="N337" s="18">
        <v>0.19700000000000001</v>
      </c>
      <c r="O337" s="18">
        <v>0.69</v>
      </c>
      <c r="P337" s="18" t="str" cm="1">
        <f t="array" ref="P337">_xlfn.IFS(O337&gt;0.61, "High Humidity", O337&gt;=0.6, "Humid", O337&gt;0.4, "Less Humidity", TRUE, "Dry")</f>
        <v>High Humidity</v>
      </c>
      <c r="Q337" s="18">
        <v>8.9599999999999999E-2</v>
      </c>
      <c r="R337" s="18" t="str" cm="1">
        <f t="array" ref="R337">_xlfn.IFS(Q337&lt;=0.2,"Low Windspeed",Q337&lt;0.4,"Medium Windspeed",Q337&gt;=0.41,"High Windspeed")</f>
        <v>Low Windspeed</v>
      </c>
      <c r="S337" s="18">
        <v>3</v>
      </c>
      <c r="T337" s="18">
        <v>27</v>
      </c>
      <c r="U337" s="19">
        <v>30</v>
      </c>
      <c r="V337" s="18" t="str" cm="1">
        <f t="array" ref="V337">_xlfn.IFS(U337&lt;=70,"Low",U337&lt;=160,"Medium",U337&gt;=161,"High")</f>
        <v>Low</v>
      </c>
    </row>
    <row r="338" spans="1:22" x14ac:dyDescent="0.25">
      <c r="A338" s="16">
        <v>947</v>
      </c>
      <c r="B338" s="17">
        <v>40586</v>
      </c>
      <c r="C338" s="18">
        <v>1</v>
      </c>
      <c r="D338" s="18">
        <v>0</v>
      </c>
      <c r="E338" s="18">
        <v>2</v>
      </c>
      <c r="F338" s="18">
        <v>1</v>
      </c>
      <c r="G338" s="18" t="str" cm="1">
        <f t="array" ref="G338">_xlfn.IFS(F338&lt;4,"Night",F338&lt;=6,"Early Morning",F338&lt;11,"Morning",F338&lt;12,"Afternoon",F338&lt;=16,"Afternoon",F338&lt;=20,"Evening",F338&gt;=21,"Night")</f>
        <v>Night</v>
      </c>
      <c r="H338" s="18" t="b">
        <v>0</v>
      </c>
      <c r="I338" s="18">
        <v>6</v>
      </c>
      <c r="J338" s="18" t="str" cm="1">
        <f t="array" ref="J338">_xlfn.IFS(I338=1,"Monday",I338=2,"Tuesday",I338=3,"Wednesday",I338=4,"Thursday",I338=5,"Friday",I338=6,"Saturday",I338=0,"Sunday")</f>
        <v>Saturday</v>
      </c>
      <c r="K338" s="18">
        <v>1</v>
      </c>
      <c r="L338" s="18">
        <v>0.14000000000000001</v>
      </c>
      <c r="M338" s="27" t="str" cm="1">
        <f t="array" ref="M338">_xlfn.IFS(L338&lt;0.15,"Cold",L338&lt;0.25,"Mild",L338&lt;=0.32,"Warm",L338&gt;=0.33,"Hot")</f>
        <v>Cold</v>
      </c>
      <c r="N338" s="18">
        <v>0.21210000000000001</v>
      </c>
      <c r="O338" s="18">
        <v>0.86</v>
      </c>
      <c r="P338" s="18" t="str" cm="1">
        <f t="array" ref="P338">_xlfn.IFS(O338&gt;0.61, "High Humidity", O338&gt;=0.6, "Humid", O338&gt;0.4, "Less Humidity", TRUE, "Dry")</f>
        <v>High Humidity</v>
      </c>
      <c r="Q338" s="18">
        <v>0</v>
      </c>
      <c r="R338" s="18" t="str" cm="1">
        <f t="array" ref="R338">_xlfn.IFS(Q338&lt;=0.2,"Low Windspeed",Q338&lt;0.4,"Medium Windspeed",Q338&gt;=0.41,"High Windspeed")</f>
        <v>Low Windspeed</v>
      </c>
      <c r="S338" s="18">
        <v>2</v>
      </c>
      <c r="T338" s="18">
        <v>22</v>
      </c>
      <c r="U338" s="19">
        <v>24</v>
      </c>
      <c r="V338" s="18" t="str" cm="1">
        <f t="array" ref="V338">_xlfn.IFS(U338&lt;=70,"Low",U338&lt;=160,"Medium",U338&gt;=161,"High")</f>
        <v>Low</v>
      </c>
    </row>
    <row r="339" spans="1:22" x14ac:dyDescent="0.25">
      <c r="A339" s="16">
        <v>948</v>
      </c>
      <c r="B339" s="17">
        <v>40586</v>
      </c>
      <c r="C339" s="18">
        <v>1</v>
      </c>
      <c r="D339" s="18">
        <v>0</v>
      </c>
      <c r="E339" s="18">
        <v>2</v>
      </c>
      <c r="F339" s="18">
        <v>2</v>
      </c>
      <c r="G339" s="18" t="str" cm="1">
        <f t="array" ref="G339">_xlfn.IFS(F339&lt;4,"Night",F339&lt;=6,"Early Morning",F339&lt;11,"Morning",F339&lt;12,"Afternoon",F339&lt;=16,"Afternoon",F339&lt;=20,"Evening",F339&gt;=21,"Night")</f>
        <v>Night</v>
      </c>
      <c r="H339" s="18" t="b">
        <v>0</v>
      </c>
      <c r="I339" s="18">
        <v>6</v>
      </c>
      <c r="J339" s="18" t="str" cm="1">
        <f t="array" ref="J339">_xlfn.IFS(I339=1,"Monday",I339=2,"Tuesday",I339=3,"Wednesday",I339=4,"Thursday",I339=5,"Friday",I339=6,"Saturday",I339=0,"Sunday")</f>
        <v>Saturday</v>
      </c>
      <c r="K339" s="18">
        <v>1</v>
      </c>
      <c r="L339" s="18">
        <v>0.14000000000000001</v>
      </c>
      <c r="M339" s="27" t="str" cm="1">
        <f t="array" ref="M339">_xlfn.IFS(L339&lt;0.15,"Cold",L339&lt;0.25,"Mild",L339&lt;=0.32,"Warm",L339&gt;=0.33,"Hot")</f>
        <v>Cold</v>
      </c>
      <c r="N339" s="18">
        <v>0.21210000000000001</v>
      </c>
      <c r="O339" s="18">
        <v>0.8</v>
      </c>
      <c r="P339" s="18" t="str" cm="1">
        <f t="array" ref="P339">_xlfn.IFS(O339&gt;0.61, "High Humidity", O339&gt;=0.6, "Humid", O339&gt;0.4, "Less Humidity", TRUE, "Dry")</f>
        <v>High Humidity</v>
      </c>
      <c r="Q339" s="18">
        <v>0</v>
      </c>
      <c r="R339" s="18" t="str" cm="1">
        <f t="array" ref="R339">_xlfn.IFS(Q339&lt;=0.2,"Low Windspeed",Q339&lt;0.4,"Medium Windspeed",Q339&gt;=0.41,"High Windspeed")</f>
        <v>Low Windspeed</v>
      </c>
      <c r="S339" s="18">
        <v>2</v>
      </c>
      <c r="T339" s="18">
        <v>13</v>
      </c>
      <c r="U339" s="19">
        <v>15</v>
      </c>
      <c r="V339" s="18" t="str" cm="1">
        <f t="array" ref="V339">_xlfn.IFS(U339&lt;=70,"Low",U339&lt;=160,"Medium",U339&gt;=161,"High")</f>
        <v>Low</v>
      </c>
    </row>
    <row r="340" spans="1:22" x14ac:dyDescent="0.25">
      <c r="A340" s="16">
        <v>949</v>
      </c>
      <c r="B340" s="17">
        <v>40586</v>
      </c>
      <c r="C340" s="18">
        <v>1</v>
      </c>
      <c r="D340" s="18">
        <v>0</v>
      </c>
      <c r="E340" s="18">
        <v>2</v>
      </c>
      <c r="F340" s="18">
        <v>3</v>
      </c>
      <c r="G340" s="18" t="str" cm="1">
        <f t="array" ref="G340">_xlfn.IFS(F340&lt;4,"Night",F340&lt;=6,"Early Morning",F340&lt;11,"Morning",F340&lt;12,"Afternoon",F340&lt;=16,"Afternoon",F340&lt;=20,"Evening",F340&gt;=21,"Night")</f>
        <v>Night</v>
      </c>
      <c r="H340" s="18" t="b">
        <v>0</v>
      </c>
      <c r="I340" s="18">
        <v>6</v>
      </c>
      <c r="J340" s="18" t="str" cm="1">
        <f t="array" ref="J340">_xlfn.IFS(I340=1,"Monday",I340=2,"Tuesday",I340=3,"Wednesday",I340=4,"Thursday",I340=5,"Friday",I340=6,"Saturday",I340=0,"Sunday")</f>
        <v>Saturday</v>
      </c>
      <c r="K340" s="18">
        <v>1</v>
      </c>
      <c r="L340" s="18">
        <v>0.12</v>
      </c>
      <c r="M340" s="27" t="str" cm="1">
        <f t="array" ref="M340">_xlfn.IFS(L340&lt;0.15,"Cold",L340&lt;0.25,"Mild",L340&lt;=0.32,"Warm",L340&gt;=0.33,"Hot")</f>
        <v>Cold</v>
      </c>
      <c r="N340" s="18">
        <v>0.19700000000000001</v>
      </c>
      <c r="O340" s="18">
        <v>0.8</v>
      </c>
      <c r="P340" s="18" t="str" cm="1">
        <f t="array" ref="P340">_xlfn.IFS(O340&gt;0.61, "High Humidity", O340&gt;=0.6, "Humid", O340&gt;0.4, "Less Humidity", TRUE, "Dry")</f>
        <v>High Humidity</v>
      </c>
      <c r="Q340" s="18">
        <v>0</v>
      </c>
      <c r="R340" s="18" t="str" cm="1">
        <f t="array" ref="R340">_xlfn.IFS(Q340&lt;=0.2,"Low Windspeed",Q340&lt;0.4,"Medium Windspeed",Q340&gt;=0.41,"High Windspeed")</f>
        <v>Low Windspeed</v>
      </c>
      <c r="S340" s="18">
        <v>3</v>
      </c>
      <c r="T340" s="18">
        <v>7</v>
      </c>
      <c r="U340" s="19">
        <v>10</v>
      </c>
      <c r="V340" s="18" t="str" cm="1">
        <f t="array" ref="V340">_xlfn.IFS(U340&lt;=70,"Low",U340&lt;=160,"Medium",U340&gt;=161,"High")</f>
        <v>Low</v>
      </c>
    </row>
    <row r="341" spans="1:22" x14ac:dyDescent="0.25">
      <c r="A341" s="16">
        <v>950</v>
      </c>
      <c r="B341" s="17">
        <v>40586</v>
      </c>
      <c r="C341" s="18">
        <v>1</v>
      </c>
      <c r="D341" s="18">
        <v>0</v>
      </c>
      <c r="E341" s="18">
        <v>2</v>
      </c>
      <c r="F341" s="18">
        <v>4</v>
      </c>
      <c r="G341" s="18" t="str" cm="1">
        <f t="array" ref="G341">_xlfn.IFS(F341&lt;4,"Night",F341&lt;=6,"Early Morning",F341&lt;11,"Morning",F341&lt;12,"Afternoon",F341&lt;=16,"Afternoon",F341&lt;=20,"Evening",F341&gt;=21,"Night")</f>
        <v>Early Morning</v>
      </c>
      <c r="H341" s="18" t="b">
        <v>0</v>
      </c>
      <c r="I341" s="18">
        <v>6</v>
      </c>
      <c r="J341" s="18" t="str" cm="1">
        <f t="array" ref="J341">_xlfn.IFS(I341=1,"Monday",I341=2,"Tuesday",I341=3,"Wednesday",I341=4,"Thursday",I341=5,"Friday",I341=6,"Saturday",I341=0,"Sunday")</f>
        <v>Saturday</v>
      </c>
      <c r="K341" s="18">
        <v>1</v>
      </c>
      <c r="L341" s="18">
        <v>0.12</v>
      </c>
      <c r="M341" s="27" t="str" cm="1">
        <f t="array" ref="M341">_xlfn.IFS(L341&lt;0.15,"Cold",L341&lt;0.25,"Mild",L341&lt;=0.32,"Warm",L341&gt;=0.33,"Hot")</f>
        <v>Cold</v>
      </c>
      <c r="N341" s="18">
        <v>0.16669999999999999</v>
      </c>
      <c r="O341" s="18">
        <v>0.74</v>
      </c>
      <c r="P341" s="18" t="str" cm="1">
        <f t="array" ref="P341">_xlfn.IFS(O341&gt;0.61, "High Humidity", O341&gt;=0.6, "Humid", O341&gt;0.4, "Less Humidity", TRUE, "Dry")</f>
        <v>High Humidity</v>
      </c>
      <c r="Q341" s="18">
        <v>8.9599999999999999E-2</v>
      </c>
      <c r="R341" s="18" t="str" cm="1">
        <f t="array" ref="R341">_xlfn.IFS(Q341&lt;=0.2,"Low Windspeed",Q341&lt;0.4,"Medium Windspeed",Q341&gt;=0.41,"High Windspeed")</f>
        <v>Low Windspeed</v>
      </c>
      <c r="S341" s="18">
        <v>0</v>
      </c>
      <c r="T341" s="18">
        <v>4</v>
      </c>
      <c r="U341" s="19">
        <v>4</v>
      </c>
      <c r="V341" s="18" t="str" cm="1">
        <f t="array" ref="V341">_xlfn.IFS(U341&lt;=70,"Low",U341&lt;=160,"Medium",U341&gt;=161,"High")</f>
        <v>Low</v>
      </c>
    </row>
    <row r="342" spans="1:22" x14ac:dyDescent="0.25">
      <c r="A342" s="16">
        <v>951</v>
      </c>
      <c r="B342" s="17">
        <v>40586</v>
      </c>
      <c r="C342" s="18">
        <v>1</v>
      </c>
      <c r="D342" s="18">
        <v>0</v>
      </c>
      <c r="E342" s="18">
        <v>2</v>
      </c>
      <c r="F342" s="18">
        <v>5</v>
      </c>
      <c r="G342" s="18" t="str" cm="1">
        <f t="array" ref="G342">_xlfn.IFS(F342&lt;4,"Night",F342&lt;=6,"Early Morning",F342&lt;11,"Morning",F342&lt;12,"Afternoon",F342&lt;=16,"Afternoon",F342&lt;=20,"Evening",F342&gt;=21,"Night")</f>
        <v>Early Morning</v>
      </c>
      <c r="H342" s="18" t="b">
        <v>0</v>
      </c>
      <c r="I342" s="18">
        <v>6</v>
      </c>
      <c r="J342" s="18" t="str" cm="1">
        <f t="array" ref="J342">_xlfn.IFS(I342=1,"Monday",I342=2,"Tuesday",I342=3,"Wednesday",I342=4,"Thursday",I342=5,"Friday",I342=6,"Saturday",I342=0,"Sunday")</f>
        <v>Saturday</v>
      </c>
      <c r="K342" s="18">
        <v>1</v>
      </c>
      <c r="L342" s="18">
        <v>0.12</v>
      </c>
      <c r="M342" s="27" t="str" cm="1">
        <f t="array" ref="M342">_xlfn.IFS(L342&lt;0.15,"Cold",L342&lt;0.25,"Mild",L342&lt;=0.32,"Warm",L342&gt;=0.33,"Hot")</f>
        <v>Cold</v>
      </c>
      <c r="N342" s="18">
        <v>0.16669999999999999</v>
      </c>
      <c r="O342" s="18">
        <v>0.74</v>
      </c>
      <c r="P342" s="18" t="str" cm="1">
        <f t="array" ref="P342">_xlfn.IFS(O342&gt;0.61, "High Humidity", O342&gt;=0.6, "Humid", O342&gt;0.4, "Less Humidity", TRUE, "Dry")</f>
        <v>High Humidity</v>
      </c>
      <c r="Q342" s="18">
        <v>8.9599999999999999E-2</v>
      </c>
      <c r="R342" s="18" t="str" cm="1">
        <f t="array" ref="R342">_xlfn.IFS(Q342&lt;=0.2,"Low Windspeed",Q342&lt;0.4,"Medium Windspeed",Q342&gt;=0.41,"High Windspeed")</f>
        <v>Low Windspeed</v>
      </c>
      <c r="S342" s="18">
        <v>0</v>
      </c>
      <c r="T342" s="18">
        <v>1</v>
      </c>
      <c r="U342" s="19">
        <v>1</v>
      </c>
      <c r="V342" s="18" t="str" cm="1">
        <f t="array" ref="V342">_xlfn.IFS(U342&lt;=70,"Low",U342&lt;=160,"Medium",U342&gt;=161,"High")</f>
        <v>Low</v>
      </c>
    </row>
    <row r="343" spans="1:22" x14ac:dyDescent="0.25">
      <c r="A343" s="16">
        <v>952</v>
      </c>
      <c r="B343" s="17">
        <v>40586</v>
      </c>
      <c r="C343" s="18">
        <v>1</v>
      </c>
      <c r="D343" s="18">
        <v>0</v>
      </c>
      <c r="E343" s="18">
        <v>2</v>
      </c>
      <c r="F343" s="18">
        <v>6</v>
      </c>
      <c r="G343" s="18" t="str" cm="1">
        <f t="array" ref="G343">_xlfn.IFS(F343&lt;4,"Night",F343&lt;=6,"Early Morning",F343&lt;11,"Morning",F343&lt;12,"Afternoon",F343&lt;=16,"Afternoon",F343&lt;=20,"Evening",F343&gt;=21,"Night")</f>
        <v>Early Morning</v>
      </c>
      <c r="H343" s="18" t="b">
        <v>0</v>
      </c>
      <c r="I343" s="18">
        <v>6</v>
      </c>
      <c r="J343" s="18" t="str" cm="1">
        <f t="array" ref="J343">_xlfn.IFS(I343=1,"Monday",I343=2,"Tuesday",I343=3,"Wednesday",I343=4,"Thursday",I343=5,"Friday",I343=6,"Saturday",I343=0,"Sunday")</f>
        <v>Saturday</v>
      </c>
      <c r="K343" s="18">
        <v>1</v>
      </c>
      <c r="L343" s="18">
        <v>0.12</v>
      </c>
      <c r="M343" s="27" t="str" cm="1">
        <f t="array" ref="M343">_xlfn.IFS(L343&lt;0.15,"Cold",L343&lt;0.25,"Mild",L343&lt;=0.32,"Warm",L343&gt;=0.33,"Hot")</f>
        <v>Cold</v>
      </c>
      <c r="N343" s="18">
        <v>0.13639999999999999</v>
      </c>
      <c r="O343" s="18">
        <v>0.93</v>
      </c>
      <c r="P343" s="18" t="str" cm="1">
        <f t="array" ref="P343">_xlfn.IFS(O343&gt;0.61, "High Humidity", O343&gt;=0.6, "Humid", O343&gt;0.4, "Less Humidity", TRUE, "Dry")</f>
        <v>High Humidity</v>
      </c>
      <c r="Q343" s="18">
        <v>0.19400000000000001</v>
      </c>
      <c r="R343" s="18" t="str" cm="1">
        <f t="array" ref="R343">_xlfn.IFS(Q343&lt;=0.2,"Low Windspeed",Q343&lt;0.4,"Medium Windspeed",Q343&gt;=0.41,"High Windspeed")</f>
        <v>Low Windspeed</v>
      </c>
      <c r="S343" s="18">
        <v>1</v>
      </c>
      <c r="T343" s="18">
        <v>1</v>
      </c>
      <c r="U343" s="19">
        <v>2</v>
      </c>
      <c r="V343" s="18" t="str" cm="1">
        <f t="array" ref="V343">_xlfn.IFS(U343&lt;=70,"Low",U343&lt;=160,"Medium",U343&gt;=161,"High")</f>
        <v>Low</v>
      </c>
    </row>
    <row r="344" spans="1:22" x14ac:dyDescent="0.25">
      <c r="A344" s="16">
        <v>953</v>
      </c>
      <c r="B344" s="17">
        <v>40586</v>
      </c>
      <c r="C344" s="18">
        <v>1</v>
      </c>
      <c r="D344" s="18">
        <v>0</v>
      </c>
      <c r="E344" s="18">
        <v>2</v>
      </c>
      <c r="F344" s="18">
        <v>7</v>
      </c>
      <c r="G344" s="18" t="str" cm="1">
        <f t="array" ref="G344">_xlfn.IFS(F344&lt;4,"Night",F344&lt;=6,"Early Morning",F344&lt;11,"Morning",F344&lt;12,"Afternoon",F344&lt;=16,"Afternoon",F344&lt;=20,"Evening",F344&gt;=21,"Night")</f>
        <v>Morning</v>
      </c>
      <c r="H344" s="18" t="b">
        <v>0</v>
      </c>
      <c r="I344" s="18">
        <v>6</v>
      </c>
      <c r="J344" s="18" t="str" cm="1">
        <f t="array" ref="J344">_xlfn.IFS(I344=1,"Monday",I344=2,"Tuesday",I344=3,"Wednesday",I344=4,"Thursday",I344=5,"Friday",I344=6,"Saturday",I344=0,"Sunday")</f>
        <v>Saturday</v>
      </c>
      <c r="K344" s="18">
        <v>1</v>
      </c>
      <c r="L344" s="18">
        <v>0.12</v>
      </c>
      <c r="M344" s="27" t="str" cm="1">
        <f t="array" ref="M344">_xlfn.IFS(L344&lt;0.15,"Cold",L344&lt;0.25,"Mild",L344&lt;=0.32,"Warm",L344&gt;=0.33,"Hot")</f>
        <v>Cold</v>
      </c>
      <c r="N344" s="18">
        <v>0.1515</v>
      </c>
      <c r="O344" s="18">
        <v>0.8</v>
      </c>
      <c r="P344" s="18" t="str" cm="1">
        <f t="array" ref="P344">_xlfn.IFS(O344&gt;0.61, "High Humidity", O344&gt;=0.6, "Humid", O344&gt;0.4, "Less Humidity", TRUE, "Dry")</f>
        <v>High Humidity</v>
      </c>
      <c r="Q344" s="18">
        <v>0.1045</v>
      </c>
      <c r="R344" s="18" t="str" cm="1">
        <f t="array" ref="R344">_xlfn.IFS(Q344&lt;=0.2,"Low Windspeed",Q344&lt;0.4,"Medium Windspeed",Q344&gt;=0.41,"High Windspeed")</f>
        <v>Low Windspeed</v>
      </c>
      <c r="S344" s="18">
        <v>2</v>
      </c>
      <c r="T344" s="18">
        <v>9</v>
      </c>
      <c r="U344" s="19">
        <v>11</v>
      </c>
      <c r="V344" s="18" t="str" cm="1">
        <f t="array" ref="V344">_xlfn.IFS(U344&lt;=70,"Low",U344&lt;=160,"Medium",U344&gt;=161,"High")</f>
        <v>Low</v>
      </c>
    </row>
    <row r="345" spans="1:22" x14ac:dyDescent="0.25">
      <c r="A345" s="16">
        <v>954</v>
      </c>
      <c r="B345" s="17">
        <v>40586</v>
      </c>
      <c r="C345" s="18">
        <v>1</v>
      </c>
      <c r="D345" s="18">
        <v>0</v>
      </c>
      <c r="E345" s="18">
        <v>2</v>
      </c>
      <c r="F345" s="18">
        <v>8</v>
      </c>
      <c r="G345" s="18" t="str" cm="1">
        <f t="array" ref="G345">_xlfn.IFS(F345&lt;4,"Night",F345&lt;=6,"Early Morning",F345&lt;11,"Morning",F345&lt;12,"Afternoon",F345&lt;=16,"Afternoon",F345&lt;=20,"Evening",F345&gt;=21,"Night")</f>
        <v>Morning</v>
      </c>
      <c r="H345" s="18" t="b">
        <v>0</v>
      </c>
      <c r="I345" s="18">
        <v>6</v>
      </c>
      <c r="J345" s="18" t="str" cm="1">
        <f t="array" ref="J345">_xlfn.IFS(I345=1,"Monday",I345=2,"Tuesday",I345=3,"Wednesday",I345=4,"Thursday",I345=5,"Friday",I345=6,"Saturday",I345=0,"Sunday")</f>
        <v>Saturday</v>
      </c>
      <c r="K345" s="18">
        <v>1</v>
      </c>
      <c r="L345" s="18">
        <v>0.14000000000000001</v>
      </c>
      <c r="M345" s="27" t="str" cm="1">
        <f t="array" ref="M345">_xlfn.IFS(L345&lt;0.15,"Cold",L345&lt;0.25,"Mild",L345&lt;=0.32,"Warm",L345&gt;=0.33,"Hot")</f>
        <v>Cold</v>
      </c>
      <c r="N345" s="18">
        <v>0.1515</v>
      </c>
      <c r="O345" s="18">
        <v>0.86</v>
      </c>
      <c r="P345" s="18" t="str" cm="1">
        <f t="array" ref="P345">_xlfn.IFS(O345&gt;0.61, "High Humidity", O345&gt;=0.6, "Humid", O345&gt;0.4, "Less Humidity", TRUE, "Dry")</f>
        <v>High Humidity</v>
      </c>
      <c r="Q345" s="18">
        <v>0.1343</v>
      </c>
      <c r="R345" s="18" t="str" cm="1">
        <f t="array" ref="R345">_xlfn.IFS(Q345&lt;=0.2,"Low Windspeed",Q345&lt;0.4,"Medium Windspeed",Q345&gt;=0.41,"High Windspeed")</f>
        <v>Low Windspeed</v>
      </c>
      <c r="S345" s="18">
        <v>2</v>
      </c>
      <c r="T345" s="18">
        <v>28</v>
      </c>
      <c r="U345" s="19">
        <v>30</v>
      </c>
      <c r="V345" s="18" t="str" cm="1">
        <f t="array" ref="V345">_xlfn.IFS(U345&lt;=70,"Low",U345&lt;=160,"Medium",U345&gt;=161,"High")</f>
        <v>Low</v>
      </c>
    </row>
    <row r="346" spans="1:22" x14ac:dyDescent="0.25">
      <c r="A346" s="16">
        <v>955</v>
      </c>
      <c r="B346" s="17">
        <v>40586</v>
      </c>
      <c r="C346" s="18">
        <v>1</v>
      </c>
      <c r="D346" s="18">
        <v>0</v>
      </c>
      <c r="E346" s="18">
        <v>2</v>
      </c>
      <c r="F346" s="18">
        <v>9</v>
      </c>
      <c r="G346" s="18" t="str" cm="1">
        <f t="array" ref="G346">_xlfn.IFS(F346&lt;4,"Night",F346&lt;=6,"Early Morning",F346&lt;11,"Morning",F346&lt;12,"Afternoon",F346&lt;=16,"Afternoon",F346&lt;=20,"Evening",F346&gt;=21,"Night")</f>
        <v>Morning</v>
      </c>
      <c r="H346" s="18" t="b">
        <v>0</v>
      </c>
      <c r="I346" s="18">
        <v>6</v>
      </c>
      <c r="J346" s="18" t="str" cm="1">
        <f t="array" ref="J346">_xlfn.IFS(I346=1,"Monday",I346=2,"Tuesday",I346=3,"Wednesday",I346=4,"Thursday",I346=5,"Friday",I346=6,"Saturday",I346=0,"Sunday")</f>
        <v>Saturday</v>
      </c>
      <c r="K346" s="18">
        <v>1</v>
      </c>
      <c r="L346" s="18">
        <v>0.16</v>
      </c>
      <c r="M346" s="27" t="str" cm="1">
        <f t="array" ref="M346">_xlfn.IFS(L346&lt;0.15,"Cold",L346&lt;0.25,"Mild",L346&lt;=0.32,"Warm",L346&gt;=0.33,"Hot")</f>
        <v>Mild</v>
      </c>
      <c r="N346" s="18">
        <v>0.18179999999999999</v>
      </c>
      <c r="O346" s="18">
        <v>0.64</v>
      </c>
      <c r="P346" s="18" t="str" cm="1">
        <f t="array" ref="P346">_xlfn.IFS(O346&gt;0.61, "High Humidity", O346&gt;=0.6, "Humid", O346&gt;0.4, "Less Humidity", TRUE, "Dry")</f>
        <v>High Humidity</v>
      </c>
      <c r="Q346" s="18">
        <v>0.1343</v>
      </c>
      <c r="R346" s="18" t="str" cm="1">
        <f t="array" ref="R346">_xlfn.IFS(Q346&lt;=0.2,"Low Windspeed",Q346&lt;0.4,"Medium Windspeed",Q346&gt;=0.41,"High Windspeed")</f>
        <v>Low Windspeed</v>
      </c>
      <c r="S346" s="18">
        <v>5</v>
      </c>
      <c r="T346" s="18">
        <v>38</v>
      </c>
      <c r="U346" s="19">
        <v>43</v>
      </c>
      <c r="V346" s="18" t="str" cm="1">
        <f t="array" ref="V346">_xlfn.IFS(U346&lt;=70,"Low",U346&lt;=160,"Medium",U346&gt;=161,"High")</f>
        <v>Low</v>
      </c>
    </row>
    <row r="347" spans="1:22" x14ac:dyDescent="0.25">
      <c r="A347" s="16">
        <v>956</v>
      </c>
      <c r="B347" s="17">
        <v>40586</v>
      </c>
      <c r="C347" s="18">
        <v>1</v>
      </c>
      <c r="D347" s="18">
        <v>0</v>
      </c>
      <c r="E347" s="18">
        <v>2</v>
      </c>
      <c r="F347" s="18">
        <v>10</v>
      </c>
      <c r="G347" s="18" t="str" cm="1">
        <f t="array" ref="G347">_xlfn.IFS(F347&lt;4,"Night",F347&lt;=6,"Early Morning",F347&lt;11,"Morning",F347&lt;12,"Afternoon",F347&lt;=16,"Afternoon",F347&lt;=20,"Evening",F347&gt;=21,"Night")</f>
        <v>Morning</v>
      </c>
      <c r="H347" s="18" t="b">
        <v>0</v>
      </c>
      <c r="I347" s="18">
        <v>6</v>
      </c>
      <c r="J347" s="18" t="str" cm="1">
        <f t="array" ref="J347">_xlfn.IFS(I347=1,"Monday",I347=2,"Tuesday",I347=3,"Wednesday",I347=4,"Thursday",I347=5,"Friday",I347=6,"Saturday",I347=0,"Sunday")</f>
        <v>Saturday</v>
      </c>
      <c r="K347" s="18">
        <v>1</v>
      </c>
      <c r="L347" s="18">
        <v>0.22</v>
      </c>
      <c r="M347" s="27" t="str" cm="1">
        <f t="array" ref="M347">_xlfn.IFS(L347&lt;0.15,"Cold",L347&lt;0.25,"Mild",L347&lt;=0.32,"Warm",L347&gt;=0.33,"Hot")</f>
        <v>Mild</v>
      </c>
      <c r="N347" s="18">
        <v>0.21210000000000001</v>
      </c>
      <c r="O347" s="18">
        <v>0.41</v>
      </c>
      <c r="P347" s="18" t="str" cm="1">
        <f t="array" ref="P347">_xlfn.IFS(O347&gt;0.61, "High Humidity", O347&gt;=0.6, "Humid", O347&gt;0.4, "Less Humidity", TRUE, "Dry")</f>
        <v>Less Humidity</v>
      </c>
      <c r="Q347" s="18">
        <v>0.25369999999999998</v>
      </c>
      <c r="R347" s="18" t="str" cm="1">
        <f t="array" ref="R347">_xlfn.IFS(Q347&lt;=0.2,"Low Windspeed",Q347&lt;0.4,"Medium Windspeed",Q347&gt;=0.41,"High Windspeed")</f>
        <v>Medium Windspeed</v>
      </c>
      <c r="S347" s="18">
        <v>13</v>
      </c>
      <c r="T347" s="18">
        <v>71</v>
      </c>
      <c r="U347" s="19">
        <v>84</v>
      </c>
      <c r="V347" s="18" t="str" cm="1">
        <f t="array" ref="V347">_xlfn.IFS(U347&lt;=70,"Low",U347&lt;=160,"Medium",U347&gt;=161,"High")</f>
        <v>Medium</v>
      </c>
    </row>
    <row r="348" spans="1:22" x14ac:dyDescent="0.25">
      <c r="A348" s="16">
        <v>957</v>
      </c>
      <c r="B348" s="17">
        <v>40586</v>
      </c>
      <c r="C348" s="18">
        <v>1</v>
      </c>
      <c r="D348" s="18">
        <v>0</v>
      </c>
      <c r="E348" s="18">
        <v>2</v>
      </c>
      <c r="F348" s="18">
        <v>11</v>
      </c>
      <c r="G348" s="18" t="str" cm="1">
        <f t="array" ref="G348">_xlfn.IFS(F348&lt;4,"Night",F348&lt;=6,"Early Morning",F348&lt;11,"Morning",F348&lt;12,"Afternoon",F348&lt;=16,"Afternoon",F348&lt;=20,"Evening",F348&gt;=21,"Night")</f>
        <v>Afternoon</v>
      </c>
      <c r="H348" s="18" t="b">
        <v>0</v>
      </c>
      <c r="I348" s="18">
        <v>6</v>
      </c>
      <c r="J348" s="18" t="str" cm="1">
        <f t="array" ref="J348">_xlfn.IFS(I348=1,"Monday",I348=2,"Tuesday",I348=3,"Wednesday",I348=4,"Thursday",I348=5,"Friday",I348=6,"Saturday",I348=0,"Sunday")</f>
        <v>Saturday</v>
      </c>
      <c r="K348" s="18">
        <v>1</v>
      </c>
      <c r="L348" s="18">
        <v>0.3</v>
      </c>
      <c r="M348" s="27" t="str" cm="1">
        <f t="array" ref="M348">_xlfn.IFS(L348&lt;0.15,"Cold",L348&lt;0.25,"Mild",L348&lt;=0.32,"Warm",L348&gt;=0.33,"Hot")</f>
        <v>Warm</v>
      </c>
      <c r="N348" s="18">
        <v>0.2727</v>
      </c>
      <c r="O348" s="18">
        <v>0.28000000000000003</v>
      </c>
      <c r="P348" s="18" t="str" cm="1">
        <f t="array" ref="P348">_xlfn.IFS(O348&gt;0.61, "High Humidity", O348&gt;=0.6, "Humid", O348&gt;0.4, "Less Humidity", TRUE, "Dry")</f>
        <v>Dry</v>
      </c>
      <c r="Q348" s="18">
        <v>0.32840000000000003</v>
      </c>
      <c r="R348" s="18" t="str" cm="1">
        <f t="array" ref="R348">_xlfn.IFS(Q348&lt;=0.2,"Low Windspeed",Q348&lt;0.4,"Medium Windspeed",Q348&gt;=0.41,"High Windspeed")</f>
        <v>Medium Windspeed</v>
      </c>
      <c r="S348" s="18">
        <v>30</v>
      </c>
      <c r="T348" s="18">
        <v>84</v>
      </c>
      <c r="U348" s="19">
        <v>114</v>
      </c>
      <c r="V348" s="18" t="str" cm="1">
        <f t="array" ref="V348">_xlfn.IFS(U348&lt;=70,"Low",U348&lt;=160,"Medium",U348&gt;=161,"High")</f>
        <v>Medium</v>
      </c>
    </row>
    <row r="349" spans="1:22" x14ac:dyDescent="0.25">
      <c r="A349" s="16">
        <v>958</v>
      </c>
      <c r="B349" s="17">
        <v>40586</v>
      </c>
      <c r="C349" s="18">
        <v>1</v>
      </c>
      <c r="D349" s="18">
        <v>0</v>
      </c>
      <c r="E349" s="18">
        <v>2</v>
      </c>
      <c r="F349" s="18">
        <v>12</v>
      </c>
      <c r="G349" s="18" t="str" cm="1">
        <f t="array" ref="G349">_xlfn.IFS(F349&lt;4,"Night",F349&lt;=6,"Early Morning",F349&lt;11,"Morning",F349&lt;12,"Afternoon",F349&lt;=16,"Afternoon",F349&lt;=20,"Evening",F349&gt;=21,"Night")</f>
        <v>Afternoon</v>
      </c>
      <c r="H349" s="18" t="b">
        <v>0</v>
      </c>
      <c r="I349" s="18">
        <v>6</v>
      </c>
      <c r="J349" s="18" t="str" cm="1">
        <f t="array" ref="J349">_xlfn.IFS(I349=1,"Monday",I349=2,"Tuesday",I349=3,"Wednesday",I349=4,"Thursday",I349=5,"Friday",I349=6,"Saturday",I349=0,"Sunday")</f>
        <v>Saturday</v>
      </c>
      <c r="K349" s="18">
        <v>1</v>
      </c>
      <c r="L349" s="18">
        <v>0.3</v>
      </c>
      <c r="M349" s="27" t="str" cm="1">
        <f t="array" ref="M349">_xlfn.IFS(L349&lt;0.15,"Cold",L349&lt;0.25,"Mild",L349&lt;=0.32,"Warm",L349&gt;=0.33,"Hot")</f>
        <v>Warm</v>
      </c>
      <c r="N349" s="18">
        <v>0.2727</v>
      </c>
      <c r="O349" s="18">
        <v>0.39</v>
      </c>
      <c r="P349" s="18" t="str" cm="1">
        <f t="array" ref="P349">_xlfn.IFS(O349&gt;0.61, "High Humidity", O349&gt;=0.6, "Humid", O349&gt;0.4, "Less Humidity", TRUE, "Dry")</f>
        <v>Dry</v>
      </c>
      <c r="Q349" s="18">
        <v>0.4627</v>
      </c>
      <c r="R349" s="18" t="str" cm="1">
        <f t="array" ref="R349">_xlfn.IFS(Q349&lt;=0.2,"Low Windspeed",Q349&lt;0.4,"Medium Windspeed",Q349&gt;=0.41,"High Windspeed")</f>
        <v>High Windspeed</v>
      </c>
      <c r="S349" s="18">
        <v>27</v>
      </c>
      <c r="T349" s="18">
        <v>93</v>
      </c>
      <c r="U349" s="19">
        <v>120</v>
      </c>
      <c r="V349" s="18" t="str" cm="1">
        <f t="array" ref="V349">_xlfn.IFS(U349&lt;=70,"Low",U349&lt;=160,"Medium",U349&gt;=161,"High")</f>
        <v>Medium</v>
      </c>
    </row>
    <row r="350" spans="1:22" x14ac:dyDescent="0.25">
      <c r="A350" s="16">
        <v>959</v>
      </c>
      <c r="B350" s="17">
        <v>40586</v>
      </c>
      <c r="C350" s="18">
        <v>1</v>
      </c>
      <c r="D350" s="18">
        <v>0</v>
      </c>
      <c r="E350" s="18">
        <v>2</v>
      </c>
      <c r="F350" s="18">
        <v>13</v>
      </c>
      <c r="G350" s="18" t="str" cm="1">
        <f t="array" ref="G350">_xlfn.IFS(F350&lt;4,"Night",F350&lt;=6,"Early Morning",F350&lt;11,"Morning",F350&lt;12,"Afternoon",F350&lt;=16,"Afternoon",F350&lt;=20,"Evening",F350&gt;=21,"Night")</f>
        <v>Afternoon</v>
      </c>
      <c r="H350" s="18" t="b">
        <v>0</v>
      </c>
      <c r="I350" s="18">
        <v>6</v>
      </c>
      <c r="J350" s="18" t="str" cm="1">
        <f t="array" ref="J350">_xlfn.IFS(I350=1,"Monday",I350=2,"Tuesday",I350=3,"Wednesday",I350=4,"Thursday",I350=5,"Friday",I350=6,"Saturday",I350=0,"Sunday")</f>
        <v>Saturday</v>
      </c>
      <c r="K350" s="18">
        <v>1</v>
      </c>
      <c r="L350" s="18">
        <v>0.3</v>
      </c>
      <c r="M350" s="27" t="str" cm="1">
        <f t="array" ref="M350">_xlfn.IFS(L350&lt;0.15,"Cold",L350&lt;0.25,"Mild",L350&lt;=0.32,"Warm",L350&gt;=0.33,"Hot")</f>
        <v>Warm</v>
      </c>
      <c r="N350" s="18">
        <v>0.2727</v>
      </c>
      <c r="O350" s="18">
        <v>0.39</v>
      </c>
      <c r="P350" s="18" t="str" cm="1">
        <f t="array" ref="P350">_xlfn.IFS(O350&gt;0.61, "High Humidity", O350&gt;=0.6, "Humid", O350&gt;0.4, "Less Humidity", TRUE, "Dry")</f>
        <v>Dry</v>
      </c>
      <c r="Q350" s="18">
        <v>0.41789999999999999</v>
      </c>
      <c r="R350" s="18" t="str" cm="1">
        <f t="array" ref="R350">_xlfn.IFS(Q350&lt;=0.2,"Low Windspeed",Q350&lt;0.4,"Medium Windspeed",Q350&gt;=0.41,"High Windspeed")</f>
        <v>High Windspeed</v>
      </c>
      <c r="S350" s="18">
        <v>32</v>
      </c>
      <c r="T350" s="18">
        <v>103</v>
      </c>
      <c r="U350" s="19">
        <v>135</v>
      </c>
      <c r="V350" s="18" t="str" cm="1">
        <f t="array" ref="V350">_xlfn.IFS(U350&lt;=70,"Low",U350&lt;=160,"Medium",U350&gt;=161,"High")</f>
        <v>Medium</v>
      </c>
    </row>
    <row r="351" spans="1:22" x14ac:dyDescent="0.25">
      <c r="A351" s="16">
        <v>960</v>
      </c>
      <c r="B351" s="17">
        <v>40586</v>
      </c>
      <c r="C351" s="18">
        <v>1</v>
      </c>
      <c r="D351" s="18">
        <v>0</v>
      </c>
      <c r="E351" s="18">
        <v>2</v>
      </c>
      <c r="F351" s="18">
        <v>14</v>
      </c>
      <c r="G351" s="18" t="str" cm="1">
        <f t="array" ref="G351">_xlfn.IFS(F351&lt;4,"Night",F351&lt;=6,"Early Morning",F351&lt;11,"Morning",F351&lt;12,"Afternoon",F351&lt;=16,"Afternoon",F351&lt;=20,"Evening",F351&gt;=21,"Night")</f>
        <v>Afternoon</v>
      </c>
      <c r="H351" s="18" t="b">
        <v>0</v>
      </c>
      <c r="I351" s="18">
        <v>6</v>
      </c>
      <c r="J351" s="18" t="str" cm="1">
        <f t="array" ref="J351">_xlfn.IFS(I351=1,"Monday",I351=2,"Tuesday",I351=3,"Wednesday",I351=4,"Thursday",I351=5,"Friday",I351=6,"Saturday",I351=0,"Sunday")</f>
        <v>Saturday</v>
      </c>
      <c r="K351" s="18">
        <v>1</v>
      </c>
      <c r="L351" s="18">
        <v>0.34</v>
      </c>
      <c r="M351" s="27" t="str" cm="1">
        <f t="array" ref="M351">_xlfn.IFS(L351&lt;0.15,"Cold",L351&lt;0.25,"Mild",L351&lt;=0.32,"Warm",L351&gt;=0.33,"Hot")</f>
        <v>Hot</v>
      </c>
      <c r="N351" s="18">
        <v>0.31819999999999998</v>
      </c>
      <c r="O351" s="18">
        <v>0.31</v>
      </c>
      <c r="P351" s="18" t="str" cm="1">
        <f t="array" ref="P351">_xlfn.IFS(O351&gt;0.61, "High Humidity", O351&gt;=0.6, "Humid", O351&gt;0.4, "Less Humidity", TRUE, "Dry")</f>
        <v>Dry</v>
      </c>
      <c r="Q351" s="18">
        <v>0.28360000000000002</v>
      </c>
      <c r="R351" s="18" t="str" cm="1">
        <f t="array" ref="R351">_xlfn.IFS(Q351&lt;=0.2,"Low Windspeed",Q351&lt;0.4,"Medium Windspeed",Q351&gt;=0.41,"High Windspeed")</f>
        <v>Medium Windspeed</v>
      </c>
      <c r="S351" s="18">
        <v>30</v>
      </c>
      <c r="T351" s="18">
        <v>90</v>
      </c>
      <c r="U351" s="19">
        <v>120</v>
      </c>
      <c r="V351" s="18" t="str" cm="1">
        <f t="array" ref="V351">_xlfn.IFS(U351&lt;=70,"Low",U351&lt;=160,"Medium",U351&gt;=161,"High")</f>
        <v>Medium</v>
      </c>
    </row>
    <row r="352" spans="1:22" x14ac:dyDescent="0.25">
      <c r="A352" s="16">
        <v>961</v>
      </c>
      <c r="B352" s="17">
        <v>40586</v>
      </c>
      <c r="C352" s="18">
        <v>1</v>
      </c>
      <c r="D352" s="18">
        <v>0</v>
      </c>
      <c r="E352" s="18">
        <v>2</v>
      </c>
      <c r="F352" s="18">
        <v>15</v>
      </c>
      <c r="G352" s="18" t="str" cm="1">
        <f t="array" ref="G352">_xlfn.IFS(F352&lt;4,"Night",F352&lt;=6,"Early Morning",F352&lt;11,"Morning",F352&lt;12,"Afternoon",F352&lt;=16,"Afternoon",F352&lt;=20,"Evening",F352&gt;=21,"Night")</f>
        <v>Afternoon</v>
      </c>
      <c r="H352" s="18" t="b">
        <v>0</v>
      </c>
      <c r="I352" s="18">
        <v>6</v>
      </c>
      <c r="J352" s="18" t="str" cm="1">
        <f t="array" ref="J352">_xlfn.IFS(I352=1,"Monday",I352=2,"Tuesday",I352=3,"Wednesday",I352=4,"Thursday",I352=5,"Friday",I352=6,"Saturday",I352=0,"Sunday")</f>
        <v>Saturday</v>
      </c>
      <c r="K352" s="18">
        <v>1</v>
      </c>
      <c r="L352" s="18">
        <v>0.34</v>
      </c>
      <c r="M352" s="27" t="str" cm="1">
        <f t="array" ref="M352">_xlfn.IFS(L352&lt;0.15,"Cold",L352&lt;0.25,"Mild",L352&lt;=0.32,"Warm",L352&gt;=0.33,"Hot")</f>
        <v>Hot</v>
      </c>
      <c r="N352" s="18">
        <v>0.30299999999999999</v>
      </c>
      <c r="O352" s="18">
        <v>0.28999999999999998</v>
      </c>
      <c r="P352" s="18" t="str" cm="1">
        <f t="array" ref="P352">_xlfn.IFS(O352&gt;0.61, "High Humidity", O352&gt;=0.6, "Humid", O352&gt;0.4, "Less Humidity", TRUE, "Dry")</f>
        <v>Dry</v>
      </c>
      <c r="Q352" s="18">
        <v>0.41789999999999999</v>
      </c>
      <c r="R352" s="18" t="str" cm="1">
        <f t="array" ref="R352">_xlfn.IFS(Q352&lt;=0.2,"Low Windspeed",Q352&lt;0.4,"Medium Windspeed",Q352&gt;=0.41,"High Windspeed")</f>
        <v>High Windspeed</v>
      </c>
      <c r="S352" s="18">
        <v>47</v>
      </c>
      <c r="T352" s="18">
        <v>127</v>
      </c>
      <c r="U352" s="19">
        <v>174</v>
      </c>
      <c r="V352" s="18" t="str" cm="1">
        <f t="array" ref="V352">_xlfn.IFS(U352&lt;=70,"Low",U352&lt;=160,"Medium",U352&gt;=161,"High")</f>
        <v>High</v>
      </c>
    </row>
    <row r="353" spans="1:22" x14ac:dyDescent="0.25">
      <c r="A353" s="16">
        <v>962</v>
      </c>
      <c r="B353" s="17">
        <v>40586</v>
      </c>
      <c r="C353" s="18">
        <v>1</v>
      </c>
      <c r="D353" s="18">
        <v>0</v>
      </c>
      <c r="E353" s="18">
        <v>2</v>
      </c>
      <c r="F353" s="18">
        <v>16</v>
      </c>
      <c r="G353" s="18" t="str" cm="1">
        <f t="array" ref="G353">_xlfn.IFS(F353&lt;4,"Night",F353&lt;=6,"Early Morning",F353&lt;11,"Morning",F353&lt;12,"Afternoon",F353&lt;=16,"Afternoon",F353&lt;=20,"Evening",F353&gt;=21,"Night")</f>
        <v>Afternoon</v>
      </c>
      <c r="H353" s="18" t="b">
        <v>0</v>
      </c>
      <c r="I353" s="18">
        <v>6</v>
      </c>
      <c r="J353" s="18" t="str" cm="1">
        <f t="array" ref="J353">_xlfn.IFS(I353=1,"Monday",I353=2,"Tuesday",I353=3,"Wednesday",I353=4,"Thursday",I353=5,"Friday",I353=6,"Saturday",I353=0,"Sunday")</f>
        <v>Saturday</v>
      </c>
      <c r="K353" s="18">
        <v>1</v>
      </c>
      <c r="L353" s="18">
        <v>0.34</v>
      </c>
      <c r="M353" s="27" t="str" cm="1">
        <f t="array" ref="M353">_xlfn.IFS(L353&lt;0.15,"Cold",L353&lt;0.25,"Mild",L353&lt;=0.32,"Warm",L353&gt;=0.33,"Hot")</f>
        <v>Hot</v>
      </c>
      <c r="N353" s="18">
        <v>0.30299999999999999</v>
      </c>
      <c r="O353" s="18">
        <v>0.28999999999999998</v>
      </c>
      <c r="P353" s="18" t="str" cm="1">
        <f t="array" ref="P353">_xlfn.IFS(O353&gt;0.61, "High Humidity", O353&gt;=0.6, "Humid", O353&gt;0.4, "Less Humidity", TRUE, "Dry")</f>
        <v>Dry</v>
      </c>
      <c r="Q353" s="18">
        <v>0.41789999999999999</v>
      </c>
      <c r="R353" s="18" t="str" cm="1">
        <f t="array" ref="R353">_xlfn.IFS(Q353&lt;=0.2,"Low Windspeed",Q353&lt;0.4,"Medium Windspeed",Q353&gt;=0.41,"High Windspeed")</f>
        <v>High Windspeed</v>
      </c>
      <c r="S353" s="18">
        <v>42</v>
      </c>
      <c r="T353" s="18">
        <v>103</v>
      </c>
      <c r="U353" s="19">
        <v>145</v>
      </c>
      <c r="V353" s="18" t="str" cm="1">
        <f t="array" ref="V353">_xlfn.IFS(U353&lt;=70,"Low",U353&lt;=160,"Medium",U353&gt;=161,"High")</f>
        <v>Medium</v>
      </c>
    </row>
    <row r="354" spans="1:22" x14ac:dyDescent="0.25">
      <c r="A354" s="16">
        <v>963</v>
      </c>
      <c r="B354" s="17">
        <v>40586</v>
      </c>
      <c r="C354" s="18">
        <v>1</v>
      </c>
      <c r="D354" s="18">
        <v>0</v>
      </c>
      <c r="E354" s="18">
        <v>2</v>
      </c>
      <c r="F354" s="18">
        <v>17</v>
      </c>
      <c r="G354" s="18" t="str" cm="1">
        <f t="array" ref="G354">_xlfn.IFS(F354&lt;4,"Night",F354&lt;=6,"Early Morning",F354&lt;11,"Morning",F354&lt;12,"Afternoon",F354&lt;=16,"Afternoon",F354&lt;=20,"Evening",F354&gt;=21,"Night")</f>
        <v>Evening</v>
      </c>
      <c r="H354" s="18" t="b">
        <v>0</v>
      </c>
      <c r="I354" s="18">
        <v>6</v>
      </c>
      <c r="J354" s="18" t="str" cm="1">
        <f t="array" ref="J354">_xlfn.IFS(I354=1,"Monday",I354=2,"Tuesday",I354=3,"Wednesday",I354=4,"Thursday",I354=5,"Friday",I354=6,"Saturday",I354=0,"Sunday")</f>
        <v>Saturday</v>
      </c>
      <c r="K354" s="18">
        <v>1</v>
      </c>
      <c r="L354" s="18">
        <v>0.32</v>
      </c>
      <c r="M354" s="27" t="str" cm="1">
        <f t="array" ref="M354">_xlfn.IFS(L354&lt;0.15,"Cold",L354&lt;0.25,"Mild",L354&lt;=0.32,"Warm",L354&gt;=0.33,"Hot")</f>
        <v>Warm</v>
      </c>
      <c r="N354" s="18">
        <v>0.28789999999999999</v>
      </c>
      <c r="O354" s="18">
        <v>0.31</v>
      </c>
      <c r="P354" s="18" t="str" cm="1">
        <f t="array" ref="P354">_xlfn.IFS(O354&gt;0.61, "High Humidity", O354&gt;=0.6, "Humid", O354&gt;0.4, "Less Humidity", TRUE, "Dry")</f>
        <v>Dry</v>
      </c>
      <c r="Q354" s="18">
        <v>0.52239999999999998</v>
      </c>
      <c r="R354" s="18" t="str" cm="1">
        <f t="array" ref="R354">_xlfn.IFS(Q354&lt;=0.2,"Low Windspeed",Q354&lt;0.4,"Medium Windspeed",Q354&gt;=0.41,"High Windspeed")</f>
        <v>High Windspeed</v>
      </c>
      <c r="S354" s="18">
        <v>24</v>
      </c>
      <c r="T354" s="18">
        <v>113</v>
      </c>
      <c r="U354" s="19">
        <v>137</v>
      </c>
      <c r="V354" s="18" t="str" cm="1">
        <f t="array" ref="V354">_xlfn.IFS(U354&lt;=70,"Low",U354&lt;=160,"Medium",U354&gt;=161,"High")</f>
        <v>Medium</v>
      </c>
    </row>
    <row r="355" spans="1:22" x14ac:dyDescent="0.25">
      <c r="A355" s="16">
        <v>964</v>
      </c>
      <c r="B355" s="17">
        <v>40586</v>
      </c>
      <c r="C355" s="18">
        <v>1</v>
      </c>
      <c r="D355" s="18">
        <v>0</v>
      </c>
      <c r="E355" s="18">
        <v>2</v>
      </c>
      <c r="F355" s="18">
        <v>18</v>
      </c>
      <c r="G355" s="18" t="str" cm="1">
        <f t="array" ref="G355">_xlfn.IFS(F355&lt;4,"Night",F355&lt;=6,"Early Morning",F355&lt;11,"Morning",F355&lt;12,"Afternoon",F355&lt;=16,"Afternoon",F355&lt;=20,"Evening",F355&gt;=21,"Night")</f>
        <v>Evening</v>
      </c>
      <c r="H355" s="18" t="b">
        <v>0</v>
      </c>
      <c r="I355" s="18">
        <v>6</v>
      </c>
      <c r="J355" s="18" t="str" cm="1">
        <f t="array" ref="J355">_xlfn.IFS(I355=1,"Monday",I355=2,"Tuesday",I355=3,"Wednesday",I355=4,"Thursday",I355=5,"Friday",I355=6,"Saturday",I355=0,"Sunday")</f>
        <v>Saturday</v>
      </c>
      <c r="K355" s="18">
        <v>1</v>
      </c>
      <c r="L355" s="18">
        <v>0.28000000000000003</v>
      </c>
      <c r="M355" s="27" t="str" cm="1">
        <f t="array" ref="M355">_xlfn.IFS(L355&lt;0.15,"Cold",L355&lt;0.25,"Mild",L355&lt;=0.32,"Warm",L355&gt;=0.33,"Hot")</f>
        <v>Warm</v>
      </c>
      <c r="N355" s="18">
        <v>0.2576</v>
      </c>
      <c r="O355" s="18">
        <v>0.38</v>
      </c>
      <c r="P355" s="18" t="str" cm="1">
        <f t="array" ref="P355">_xlfn.IFS(O355&gt;0.61, "High Humidity", O355&gt;=0.6, "Humid", O355&gt;0.4, "Less Humidity", TRUE, "Dry")</f>
        <v>Dry</v>
      </c>
      <c r="Q355" s="18">
        <v>0.32840000000000003</v>
      </c>
      <c r="R355" s="18" t="str" cm="1">
        <f t="array" ref="R355">_xlfn.IFS(Q355&lt;=0.2,"Low Windspeed",Q355&lt;0.4,"Medium Windspeed",Q355&gt;=0.41,"High Windspeed")</f>
        <v>Medium Windspeed</v>
      </c>
      <c r="S355" s="18">
        <v>4</v>
      </c>
      <c r="T355" s="18">
        <v>60</v>
      </c>
      <c r="U355" s="19">
        <v>64</v>
      </c>
      <c r="V355" s="18" t="str" cm="1">
        <f t="array" ref="V355">_xlfn.IFS(U355&lt;=70,"Low",U355&lt;=160,"Medium",U355&gt;=161,"High")</f>
        <v>Low</v>
      </c>
    </row>
    <row r="356" spans="1:22" x14ac:dyDescent="0.25">
      <c r="A356" s="16">
        <v>965</v>
      </c>
      <c r="B356" s="17">
        <v>40586</v>
      </c>
      <c r="C356" s="18">
        <v>1</v>
      </c>
      <c r="D356" s="18">
        <v>0</v>
      </c>
      <c r="E356" s="18">
        <v>2</v>
      </c>
      <c r="F356" s="18">
        <v>19</v>
      </c>
      <c r="G356" s="18" t="str" cm="1">
        <f t="array" ref="G356">_xlfn.IFS(F356&lt;4,"Night",F356&lt;=6,"Early Morning",F356&lt;11,"Morning",F356&lt;12,"Afternoon",F356&lt;=16,"Afternoon",F356&lt;=20,"Evening",F356&gt;=21,"Night")</f>
        <v>Evening</v>
      </c>
      <c r="H356" s="18" t="b">
        <v>0</v>
      </c>
      <c r="I356" s="18">
        <v>6</v>
      </c>
      <c r="J356" s="18" t="str" cm="1">
        <f t="array" ref="J356">_xlfn.IFS(I356=1,"Monday",I356=2,"Tuesday",I356=3,"Wednesday",I356=4,"Thursday",I356=5,"Friday",I356=6,"Saturday",I356=0,"Sunday")</f>
        <v>Saturday</v>
      </c>
      <c r="K356" s="18">
        <v>1</v>
      </c>
      <c r="L356" s="18">
        <v>0.28000000000000003</v>
      </c>
      <c r="M356" s="27" t="str" cm="1">
        <f t="array" ref="M356">_xlfn.IFS(L356&lt;0.15,"Cold",L356&lt;0.25,"Mild",L356&lt;=0.32,"Warm",L356&gt;=0.33,"Hot")</f>
        <v>Warm</v>
      </c>
      <c r="N356" s="18">
        <v>0.2727</v>
      </c>
      <c r="O356" s="18">
        <v>0.38</v>
      </c>
      <c r="P356" s="18" t="str" cm="1">
        <f t="array" ref="P356">_xlfn.IFS(O356&gt;0.61, "High Humidity", O356&gt;=0.6, "Humid", O356&gt;0.4, "Less Humidity", TRUE, "Dry")</f>
        <v>Dry</v>
      </c>
      <c r="Q356" s="18">
        <v>0.16420000000000001</v>
      </c>
      <c r="R356" s="18" t="str" cm="1">
        <f t="array" ref="R356">_xlfn.IFS(Q356&lt;=0.2,"Low Windspeed",Q356&lt;0.4,"Medium Windspeed",Q356&gt;=0.41,"High Windspeed")</f>
        <v>Low Windspeed</v>
      </c>
      <c r="S356" s="18">
        <v>2</v>
      </c>
      <c r="T356" s="18">
        <v>39</v>
      </c>
      <c r="U356" s="19">
        <v>41</v>
      </c>
      <c r="V356" s="18" t="str" cm="1">
        <f t="array" ref="V356">_xlfn.IFS(U356&lt;=70,"Low",U356&lt;=160,"Medium",U356&gt;=161,"High")</f>
        <v>Low</v>
      </c>
    </row>
    <row r="357" spans="1:22" x14ac:dyDescent="0.25">
      <c r="A357" s="16">
        <v>966</v>
      </c>
      <c r="B357" s="17">
        <v>40586</v>
      </c>
      <c r="C357" s="18">
        <v>1</v>
      </c>
      <c r="D357" s="18">
        <v>0</v>
      </c>
      <c r="E357" s="18">
        <v>2</v>
      </c>
      <c r="F357" s="18">
        <v>20</v>
      </c>
      <c r="G357" s="18" t="str" cm="1">
        <f t="array" ref="G357">_xlfn.IFS(F357&lt;4,"Night",F357&lt;=6,"Early Morning",F357&lt;11,"Morning",F357&lt;12,"Afternoon",F357&lt;=16,"Afternoon",F357&lt;=20,"Evening",F357&gt;=21,"Night")</f>
        <v>Evening</v>
      </c>
      <c r="H357" s="18" t="b">
        <v>0</v>
      </c>
      <c r="I357" s="18">
        <v>6</v>
      </c>
      <c r="J357" s="18" t="str" cm="1">
        <f t="array" ref="J357">_xlfn.IFS(I357=1,"Monday",I357=2,"Tuesday",I357=3,"Wednesday",I357=4,"Thursday",I357=5,"Friday",I357=6,"Saturday",I357=0,"Sunday")</f>
        <v>Saturday</v>
      </c>
      <c r="K357" s="18">
        <v>1</v>
      </c>
      <c r="L357" s="18">
        <v>0.26</v>
      </c>
      <c r="M357" s="27" t="str" cm="1">
        <f t="array" ref="M357">_xlfn.IFS(L357&lt;0.15,"Cold",L357&lt;0.25,"Mild",L357&lt;=0.32,"Warm",L357&gt;=0.33,"Hot")</f>
        <v>Warm</v>
      </c>
      <c r="N357" s="18">
        <v>0.2576</v>
      </c>
      <c r="O357" s="18">
        <v>0.41</v>
      </c>
      <c r="P357" s="18" t="str" cm="1">
        <f t="array" ref="P357">_xlfn.IFS(O357&gt;0.61, "High Humidity", O357&gt;=0.6, "Humid", O357&gt;0.4, "Less Humidity", TRUE, "Dry")</f>
        <v>Less Humidity</v>
      </c>
      <c r="Q357" s="18">
        <v>0.22389999999999999</v>
      </c>
      <c r="R357" s="18" t="str" cm="1">
        <f t="array" ref="R357">_xlfn.IFS(Q357&lt;=0.2,"Low Windspeed",Q357&lt;0.4,"Medium Windspeed",Q357&gt;=0.41,"High Windspeed")</f>
        <v>Medium Windspeed</v>
      </c>
      <c r="S357" s="18">
        <v>1</v>
      </c>
      <c r="T357" s="18">
        <v>39</v>
      </c>
      <c r="U357" s="19">
        <v>40</v>
      </c>
      <c r="V357" s="18" t="str" cm="1">
        <f t="array" ref="V357">_xlfn.IFS(U357&lt;=70,"Low",U357&lt;=160,"Medium",U357&gt;=161,"High")</f>
        <v>Low</v>
      </c>
    </row>
    <row r="358" spans="1:22" x14ac:dyDescent="0.25">
      <c r="A358" s="16">
        <v>967</v>
      </c>
      <c r="B358" s="17">
        <v>40586</v>
      </c>
      <c r="C358" s="18">
        <v>1</v>
      </c>
      <c r="D358" s="18">
        <v>0</v>
      </c>
      <c r="E358" s="18">
        <v>2</v>
      </c>
      <c r="F358" s="18">
        <v>21</v>
      </c>
      <c r="G358" s="18" t="str" cm="1">
        <f t="array" ref="G358">_xlfn.IFS(F358&lt;4,"Night",F358&lt;=6,"Early Morning",F358&lt;11,"Morning",F358&lt;12,"Afternoon",F358&lt;=16,"Afternoon",F358&lt;=20,"Evening",F358&gt;=21,"Night")</f>
        <v>Night</v>
      </c>
      <c r="H358" s="18" t="b">
        <v>0</v>
      </c>
      <c r="I358" s="18">
        <v>6</v>
      </c>
      <c r="J358" s="18" t="str" cm="1">
        <f t="array" ref="J358">_xlfn.IFS(I358=1,"Monday",I358=2,"Tuesday",I358=3,"Wednesday",I358=4,"Thursday",I358=5,"Friday",I358=6,"Saturday",I358=0,"Sunday")</f>
        <v>Saturday</v>
      </c>
      <c r="K358" s="18">
        <v>1</v>
      </c>
      <c r="L358" s="18">
        <v>0.26</v>
      </c>
      <c r="M358" s="27" t="str" cm="1">
        <f t="array" ref="M358">_xlfn.IFS(L358&lt;0.15,"Cold",L358&lt;0.25,"Mild",L358&lt;=0.32,"Warm",L358&gt;=0.33,"Hot")</f>
        <v>Warm</v>
      </c>
      <c r="N358" s="18">
        <v>0.30299999999999999</v>
      </c>
      <c r="O358" s="18">
        <v>0.41</v>
      </c>
      <c r="P358" s="18" t="str" cm="1">
        <f t="array" ref="P358">_xlfn.IFS(O358&gt;0.61, "High Humidity", O358&gt;=0.6, "Humid", O358&gt;0.4, "Less Humidity", TRUE, "Dry")</f>
        <v>Less Humidity</v>
      </c>
      <c r="Q358" s="18">
        <v>0</v>
      </c>
      <c r="R358" s="18" t="str" cm="1">
        <f t="array" ref="R358">_xlfn.IFS(Q358&lt;=0.2,"Low Windspeed",Q358&lt;0.4,"Medium Windspeed",Q358&gt;=0.41,"High Windspeed")</f>
        <v>Low Windspeed</v>
      </c>
      <c r="S358" s="18">
        <v>9</v>
      </c>
      <c r="T358" s="18">
        <v>42</v>
      </c>
      <c r="U358" s="19">
        <v>51</v>
      </c>
      <c r="V358" s="18" t="str" cm="1">
        <f t="array" ref="V358">_xlfn.IFS(U358&lt;=70,"Low",U358&lt;=160,"Medium",U358&gt;=161,"High")</f>
        <v>Low</v>
      </c>
    </row>
    <row r="359" spans="1:22" x14ac:dyDescent="0.25">
      <c r="A359" s="16">
        <v>968</v>
      </c>
      <c r="B359" s="17">
        <v>40586</v>
      </c>
      <c r="C359" s="18">
        <v>1</v>
      </c>
      <c r="D359" s="18">
        <v>0</v>
      </c>
      <c r="E359" s="18">
        <v>2</v>
      </c>
      <c r="F359" s="18">
        <v>22</v>
      </c>
      <c r="G359" s="18" t="str" cm="1">
        <f t="array" ref="G359">_xlfn.IFS(F359&lt;4,"Night",F359&lt;=6,"Early Morning",F359&lt;11,"Morning",F359&lt;12,"Afternoon",F359&lt;=16,"Afternoon",F359&lt;=20,"Evening",F359&gt;=21,"Night")</f>
        <v>Night</v>
      </c>
      <c r="H359" s="18" t="b">
        <v>0</v>
      </c>
      <c r="I359" s="18">
        <v>6</v>
      </c>
      <c r="J359" s="18" t="str" cm="1">
        <f t="array" ref="J359">_xlfn.IFS(I359=1,"Monday",I359=2,"Tuesday",I359=3,"Wednesday",I359=4,"Thursday",I359=5,"Friday",I359=6,"Saturday",I359=0,"Sunday")</f>
        <v>Saturday</v>
      </c>
      <c r="K359" s="18">
        <v>1</v>
      </c>
      <c r="L359" s="18">
        <v>0.24</v>
      </c>
      <c r="M359" s="27" t="str" cm="1">
        <f t="array" ref="M359">_xlfn.IFS(L359&lt;0.15,"Cold",L359&lt;0.25,"Mild",L359&lt;=0.32,"Warm",L359&gt;=0.33,"Hot")</f>
        <v>Mild</v>
      </c>
      <c r="N359" s="18">
        <v>0.2576</v>
      </c>
      <c r="O359" s="18">
        <v>0.44</v>
      </c>
      <c r="P359" s="18" t="str" cm="1">
        <f t="array" ref="P359">_xlfn.IFS(O359&gt;0.61, "High Humidity", O359&gt;=0.6, "Humid", O359&gt;0.4, "Less Humidity", TRUE, "Dry")</f>
        <v>Less Humidity</v>
      </c>
      <c r="Q359" s="18">
        <v>8.9599999999999999E-2</v>
      </c>
      <c r="R359" s="18" t="str" cm="1">
        <f t="array" ref="R359">_xlfn.IFS(Q359&lt;=0.2,"Low Windspeed",Q359&lt;0.4,"Medium Windspeed",Q359&gt;=0.41,"High Windspeed")</f>
        <v>Low Windspeed</v>
      </c>
      <c r="S359" s="18">
        <v>6</v>
      </c>
      <c r="T359" s="18">
        <v>39</v>
      </c>
      <c r="U359" s="19">
        <v>45</v>
      </c>
      <c r="V359" s="18" t="str" cm="1">
        <f t="array" ref="V359">_xlfn.IFS(U359&lt;=70,"Low",U359&lt;=160,"Medium",U359&gt;=161,"High")</f>
        <v>Low</v>
      </c>
    </row>
    <row r="360" spans="1:22" x14ac:dyDescent="0.25">
      <c r="A360" s="16">
        <v>969</v>
      </c>
      <c r="B360" s="17">
        <v>40586</v>
      </c>
      <c r="C360" s="18">
        <v>1</v>
      </c>
      <c r="D360" s="18">
        <v>0</v>
      </c>
      <c r="E360" s="18">
        <v>2</v>
      </c>
      <c r="F360" s="18">
        <v>23</v>
      </c>
      <c r="G360" s="18" t="str" cm="1">
        <f t="array" ref="G360">_xlfn.IFS(F360&lt;4,"Night",F360&lt;=6,"Early Morning",F360&lt;11,"Morning",F360&lt;12,"Afternoon",F360&lt;=16,"Afternoon",F360&lt;=20,"Evening",F360&gt;=21,"Night")</f>
        <v>Night</v>
      </c>
      <c r="H360" s="18" t="b">
        <v>0</v>
      </c>
      <c r="I360" s="18">
        <v>6</v>
      </c>
      <c r="J360" s="18" t="str" cm="1">
        <f t="array" ref="J360">_xlfn.IFS(I360=1,"Monday",I360=2,"Tuesday",I360=3,"Wednesday",I360=4,"Thursday",I360=5,"Friday",I360=6,"Saturday",I360=0,"Sunday")</f>
        <v>Saturday</v>
      </c>
      <c r="K360" s="18">
        <v>1</v>
      </c>
      <c r="L360" s="18">
        <v>0.22</v>
      </c>
      <c r="M360" s="27" t="str" cm="1">
        <f t="array" ref="M360">_xlfn.IFS(L360&lt;0.15,"Cold",L360&lt;0.25,"Mild",L360&lt;=0.32,"Warm",L360&gt;=0.33,"Hot")</f>
        <v>Mild</v>
      </c>
      <c r="N360" s="18">
        <v>0.2273</v>
      </c>
      <c r="O360" s="18">
        <v>0.51</v>
      </c>
      <c r="P360" s="18" t="str" cm="1">
        <f t="array" ref="P360">_xlfn.IFS(O360&gt;0.61, "High Humidity", O360&gt;=0.6, "Humid", O360&gt;0.4, "Less Humidity", TRUE, "Dry")</f>
        <v>Less Humidity</v>
      </c>
      <c r="Q360" s="18">
        <v>0.1343</v>
      </c>
      <c r="R360" s="18" t="str" cm="1">
        <f t="array" ref="R360">_xlfn.IFS(Q360&lt;=0.2,"Low Windspeed",Q360&lt;0.4,"Medium Windspeed",Q360&gt;=0.41,"High Windspeed")</f>
        <v>Low Windspeed</v>
      </c>
      <c r="S360" s="18">
        <v>1</v>
      </c>
      <c r="T360" s="18">
        <v>31</v>
      </c>
      <c r="U360" s="19">
        <v>32</v>
      </c>
      <c r="V360" s="18" t="str" cm="1">
        <f t="array" ref="V360">_xlfn.IFS(U360&lt;=70,"Low",U360&lt;=160,"Medium",U360&gt;=161,"High")</f>
        <v>Low</v>
      </c>
    </row>
    <row r="361" spans="1:22" x14ac:dyDescent="0.25">
      <c r="A361" s="16">
        <v>970</v>
      </c>
      <c r="B361" s="17">
        <v>40587</v>
      </c>
      <c r="C361" s="18">
        <v>1</v>
      </c>
      <c r="D361" s="18">
        <v>0</v>
      </c>
      <c r="E361" s="18">
        <v>2</v>
      </c>
      <c r="F361" s="18">
        <v>0</v>
      </c>
      <c r="G361" s="18" t="str" cm="1">
        <f t="array" ref="G361">_xlfn.IFS(F361&lt;4,"Night",F361&lt;=6,"Early Morning",F361&lt;11,"Morning",F361&lt;12,"Afternoon",F361&lt;=16,"Afternoon",F361&lt;=20,"Evening",F361&gt;=21,"Night")</f>
        <v>Night</v>
      </c>
      <c r="H361" s="18" t="b">
        <v>0</v>
      </c>
      <c r="I361" s="18">
        <v>0</v>
      </c>
      <c r="J361" s="18" t="str" cm="1">
        <f t="array" ref="J361">_xlfn.IFS(I361=1,"Monday",I361=2,"Tuesday",I361=3,"Wednesday",I361=4,"Thursday",I361=5,"Friday",I361=6,"Saturday",I361=0,"Sunday")</f>
        <v>Sunday</v>
      </c>
      <c r="K361" s="18">
        <v>1</v>
      </c>
      <c r="L361" s="18">
        <v>0.2</v>
      </c>
      <c r="M361" s="27" t="str" cm="1">
        <f t="array" ref="M361">_xlfn.IFS(L361&lt;0.15,"Cold",L361&lt;0.25,"Mild",L361&lt;=0.32,"Warm",L361&gt;=0.33,"Hot")</f>
        <v>Mild</v>
      </c>
      <c r="N361" s="18">
        <v>0.2273</v>
      </c>
      <c r="O361" s="18">
        <v>0.64</v>
      </c>
      <c r="P361" s="18" t="str" cm="1">
        <f t="array" ref="P361">_xlfn.IFS(O361&gt;0.61, "High Humidity", O361&gt;=0.6, "Humid", O361&gt;0.4, "Less Humidity", TRUE, "Dry")</f>
        <v>High Humidity</v>
      </c>
      <c r="Q361" s="18">
        <v>0.1045</v>
      </c>
      <c r="R361" s="18" t="str" cm="1">
        <f t="array" ref="R361">_xlfn.IFS(Q361&lt;=0.2,"Low Windspeed",Q361&lt;0.4,"Medium Windspeed",Q361&gt;=0.41,"High Windspeed")</f>
        <v>Low Windspeed</v>
      </c>
      <c r="S361" s="18">
        <v>5</v>
      </c>
      <c r="T361" s="18">
        <v>34</v>
      </c>
      <c r="U361" s="19">
        <v>39</v>
      </c>
      <c r="V361" s="18" t="str" cm="1">
        <f t="array" ref="V361">_xlfn.IFS(U361&lt;=70,"Low",U361&lt;=160,"Medium",U361&gt;=161,"High")</f>
        <v>Low</v>
      </c>
    </row>
    <row r="362" spans="1:22" x14ac:dyDescent="0.25">
      <c r="A362" s="16">
        <v>971</v>
      </c>
      <c r="B362" s="17">
        <v>40587</v>
      </c>
      <c r="C362" s="18">
        <v>1</v>
      </c>
      <c r="D362" s="18">
        <v>0</v>
      </c>
      <c r="E362" s="18">
        <v>2</v>
      </c>
      <c r="F362" s="18">
        <v>1</v>
      </c>
      <c r="G362" s="18" t="str" cm="1">
        <f t="array" ref="G362">_xlfn.IFS(F362&lt;4,"Night",F362&lt;=6,"Early Morning",F362&lt;11,"Morning",F362&lt;12,"Afternoon",F362&lt;=16,"Afternoon",F362&lt;=20,"Evening",F362&gt;=21,"Night")</f>
        <v>Night</v>
      </c>
      <c r="H362" s="18" t="b">
        <v>0</v>
      </c>
      <c r="I362" s="18">
        <v>0</v>
      </c>
      <c r="J362" s="18" t="str" cm="1">
        <f t="array" ref="J362">_xlfn.IFS(I362=1,"Monday",I362=2,"Tuesday",I362=3,"Wednesday",I362=4,"Thursday",I362=5,"Friday",I362=6,"Saturday",I362=0,"Sunday")</f>
        <v>Sunday</v>
      </c>
      <c r="K362" s="18">
        <v>1</v>
      </c>
      <c r="L362" s="18">
        <v>0.2</v>
      </c>
      <c r="M362" s="27" t="str" cm="1">
        <f t="array" ref="M362">_xlfn.IFS(L362&lt;0.15,"Cold",L362&lt;0.25,"Mild",L362&lt;=0.32,"Warm",L362&gt;=0.33,"Hot")</f>
        <v>Mild</v>
      </c>
      <c r="N362" s="18">
        <v>0.2273</v>
      </c>
      <c r="O362" s="18">
        <v>0.59</v>
      </c>
      <c r="P362" s="18" t="str" cm="1">
        <f t="array" ref="P362">_xlfn.IFS(O362&gt;0.61, "High Humidity", O362&gt;=0.6, "Humid", O362&gt;0.4, "Less Humidity", TRUE, "Dry")</f>
        <v>Less Humidity</v>
      </c>
      <c r="Q362" s="18">
        <v>8.9599999999999999E-2</v>
      </c>
      <c r="R362" s="18" t="str" cm="1">
        <f t="array" ref="R362">_xlfn.IFS(Q362&lt;=0.2,"Low Windspeed",Q362&lt;0.4,"Medium Windspeed",Q362&gt;=0.41,"High Windspeed")</f>
        <v>Low Windspeed</v>
      </c>
      <c r="S362" s="18">
        <v>1</v>
      </c>
      <c r="T362" s="18">
        <v>23</v>
      </c>
      <c r="U362" s="19">
        <v>24</v>
      </c>
      <c r="V362" s="18" t="str" cm="1">
        <f t="array" ref="V362">_xlfn.IFS(U362&lt;=70,"Low",U362&lt;=160,"Medium",U362&gt;=161,"High")</f>
        <v>Low</v>
      </c>
    </row>
    <row r="363" spans="1:22" x14ac:dyDescent="0.25">
      <c r="A363" s="16">
        <v>972</v>
      </c>
      <c r="B363" s="17">
        <v>40587</v>
      </c>
      <c r="C363" s="18">
        <v>1</v>
      </c>
      <c r="D363" s="18">
        <v>0</v>
      </c>
      <c r="E363" s="18">
        <v>2</v>
      </c>
      <c r="F363" s="18">
        <v>2</v>
      </c>
      <c r="G363" s="18" t="str" cm="1">
        <f t="array" ref="G363">_xlfn.IFS(F363&lt;4,"Night",F363&lt;=6,"Early Morning",F363&lt;11,"Morning",F363&lt;12,"Afternoon",F363&lt;=16,"Afternoon",F363&lt;=20,"Evening",F363&gt;=21,"Night")</f>
        <v>Night</v>
      </c>
      <c r="H363" s="18" t="b">
        <v>0</v>
      </c>
      <c r="I363" s="18">
        <v>0</v>
      </c>
      <c r="J363" s="18" t="str" cm="1">
        <f t="array" ref="J363">_xlfn.IFS(I363=1,"Monday",I363=2,"Tuesday",I363=3,"Wednesday",I363=4,"Thursday",I363=5,"Friday",I363=6,"Saturday",I363=0,"Sunday")</f>
        <v>Sunday</v>
      </c>
      <c r="K363" s="18">
        <v>2</v>
      </c>
      <c r="L363" s="18">
        <v>0.2</v>
      </c>
      <c r="M363" s="27" t="str" cm="1">
        <f t="array" ref="M363">_xlfn.IFS(L363&lt;0.15,"Cold",L363&lt;0.25,"Mild",L363&lt;=0.32,"Warm",L363&gt;=0.33,"Hot")</f>
        <v>Mild</v>
      </c>
      <c r="N363" s="18">
        <v>0.2273</v>
      </c>
      <c r="O363" s="18">
        <v>0.75</v>
      </c>
      <c r="P363" s="18" t="str" cm="1">
        <f t="array" ref="P363">_xlfn.IFS(O363&gt;0.61, "High Humidity", O363&gt;=0.6, "Humid", O363&gt;0.4, "Less Humidity", TRUE, "Dry")</f>
        <v>High Humidity</v>
      </c>
      <c r="Q363" s="18">
        <v>8.9599999999999999E-2</v>
      </c>
      <c r="R363" s="18" t="str" cm="1">
        <f t="array" ref="R363">_xlfn.IFS(Q363&lt;=0.2,"Low Windspeed",Q363&lt;0.4,"Medium Windspeed",Q363&gt;=0.41,"High Windspeed")</f>
        <v>Low Windspeed</v>
      </c>
      <c r="S363" s="18">
        <v>1</v>
      </c>
      <c r="T363" s="18">
        <v>19</v>
      </c>
      <c r="U363" s="19">
        <v>20</v>
      </c>
      <c r="V363" s="18" t="str" cm="1">
        <f t="array" ref="V363">_xlfn.IFS(U363&lt;=70,"Low",U363&lt;=160,"Medium",U363&gt;=161,"High")</f>
        <v>Low</v>
      </c>
    </row>
    <row r="364" spans="1:22" x14ac:dyDescent="0.25">
      <c r="A364" s="16">
        <v>973</v>
      </c>
      <c r="B364" s="17">
        <v>40587</v>
      </c>
      <c r="C364" s="18">
        <v>1</v>
      </c>
      <c r="D364" s="18">
        <v>0</v>
      </c>
      <c r="E364" s="18">
        <v>2</v>
      </c>
      <c r="F364" s="18">
        <v>3</v>
      </c>
      <c r="G364" s="18" t="str" cm="1">
        <f t="array" ref="G364">_xlfn.IFS(F364&lt;4,"Night",F364&lt;=6,"Early Morning",F364&lt;11,"Morning",F364&lt;12,"Afternoon",F364&lt;=16,"Afternoon",F364&lt;=20,"Evening",F364&gt;=21,"Night")</f>
        <v>Night</v>
      </c>
      <c r="H364" s="18" t="b">
        <v>0</v>
      </c>
      <c r="I364" s="18">
        <v>0</v>
      </c>
      <c r="J364" s="18" t="str" cm="1">
        <f t="array" ref="J364">_xlfn.IFS(I364=1,"Monday",I364=2,"Tuesday",I364=3,"Wednesday",I364=4,"Thursday",I364=5,"Friday",I364=6,"Saturday",I364=0,"Sunday")</f>
        <v>Sunday</v>
      </c>
      <c r="K364" s="18">
        <v>2</v>
      </c>
      <c r="L364" s="18">
        <v>0.2</v>
      </c>
      <c r="M364" s="27" t="str" cm="1">
        <f t="array" ref="M364">_xlfn.IFS(L364&lt;0.15,"Cold",L364&lt;0.25,"Mild",L364&lt;=0.32,"Warm",L364&gt;=0.33,"Hot")</f>
        <v>Mild</v>
      </c>
      <c r="N364" s="18">
        <v>0.2273</v>
      </c>
      <c r="O364" s="18">
        <v>0.69</v>
      </c>
      <c r="P364" s="18" t="str" cm="1">
        <f t="array" ref="P364">_xlfn.IFS(O364&gt;0.61, "High Humidity", O364&gt;=0.6, "Humid", O364&gt;0.4, "Less Humidity", TRUE, "Dry")</f>
        <v>High Humidity</v>
      </c>
      <c r="Q364" s="18">
        <v>0.1045</v>
      </c>
      <c r="R364" s="18" t="str" cm="1">
        <f t="array" ref="R364">_xlfn.IFS(Q364&lt;=0.2,"Low Windspeed",Q364&lt;0.4,"Medium Windspeed",Q364&gt;=0.41,"High Windspeed")</f>
        <v>Low Windspeed</v>
      </c>
      <c r="S364" s="18">
        <v>4</v>
      </c>
      <c r="T364" s="18">
        <v>8</v>
      </c>
      <c r="U364" s="19">
        <v>12</v>
      </c>
      <c r="V364" s="18" t="str" cm="1">
        <f t="array" ref="V364">_xlfn.IFS(U364&lt;=70,"Low",U364&lt;=160,"Medium",U364&gt;=161,"High")</f>
        <v>Low</v>
      </c>
    </row>
    <row r="365" spans="1:22" x14ac:dyDescent="0.25">
      <c r="A365" s="16">
        <v>974</v>
      </c>
      <c r="B365" s="17">
        <v>40587</v>
      </c>
      <c r="C365" s="18">
        <v>1</v>
      </c>
      <c r="D365" s="18">
        <v>0</v>
      </c>
      <c r="E365" s="18">
        <v>2</v>
      </c>
      <c r="F365" s="18">
        <v>4</v>
      </c>
      <c r="G365" s="18" t="str" cm="1">
        <f t="array" ref="G365">_xlfn.IFS(F365&lt;4,"Night",F365&lt;=6,"Early Morning",F365&lt;11,"Morning",F365&lt;12,"Afternoon",F365&lt;=16,"Afternoon",F365&lt;=20,"Evening",F365&gt;=21,"Night")</f>
        <v>Early Morning</v>
      </c>
      <c r="H365" s="18" t="b">
        <v>0</v>
      </c>
      <c r="I365" s="18">
        <v>0</v>
      </c>
      <c r="J365" s="18" t="str" cm="1">
        <f t="array" ref="J365">_xlfn.IFS(I365=1,"Monday",I365=2,"Tuesday",I365=3,"Wednesday",I365=4,"Thursday",I365=5,"Friday",I365=6,"Saturday",I365=0,"Sunday")</f>
        <v>Sunday</v>
      </c>
      <c r="K365" s="18">
        <v>2</v>
      </c>
      <c r="L365" s="18">
        <v>0.2</v>
      </c>
      <c r="M365" s="27" t="str" cm="1">
        <f t="array" ref="M365">_xlfn.IFS(L365&lt;0.15,"Cold",L365&lt;0.25,"Mild",L365&lt;=0.32,"Warm",L365&gt;=0.33,"Hot")</f>
        <v>Mild</v>
      </c>
      <c r="N365" s="18">
        <v>0.21210000000000001</v>
      </c>
      <c r="O365" s="18">
        <v>0.69</v>
      </c>
      <c r="P365" s="18" t="str" cm="1">
        <f t="array" ref="P365">_xlfn.IFS(O365&gt;0.61, "High Humidity", O365&gt;=0.6, "Humid", O365&gt;0.4, "Less Humidity", TRUE, "Dry")</f>
        <v>High Humidity</v>
      </c>
      <c r="Q365" s="18">
        <v>0.16420000000000001</v>
      </c>
      <c r="R365" s="18" t="str" cm="1">
        <f t="array" ref="R365">_xlfn.IFS(Q365&lt;=0.2,"Low Windspeed",Q365&lt;0.4,"Medium Windspeed",Q365&gt;=0.41,"High Windspeed")</f>
        <v>Low Windspeed</v>
      </c>
      <c r="S365" s="18">
        <v>0</v>
      </c>
      <c r="T365" s="18">
        <v>2</v>
      </c>
      <c r="U365" s="19">
        <v>2</v>
      </c>
      <c r="V365" s="18" t="str" cm="1">
        <f t="array" ref="V365">_xlfn.IFS(U365&lt;=70,"Low",U365&lt;=160,"Medium",U365&gt;=161,"High")</f>
        <v>Low</v>
      </c>
    </row>
    <row r="366" spans="1:22" x14ac:dyDescent="0.25">
      <c r="A366" s="16">
        <v>975</v>
      </c>
      <c r="B366" s="17">
        <v>40587</v>
      </c>
      <c r="C366" s="18">
        <v>1</v>
      </c>
      <c r="D366" s="18">
        <v>0</v>
      </c>
      <c r="E366" s="18">
        <v>2</v>
      </c>
      <c r="F366" s="18">
        <v>6</v>
      </c>
      <c r="G366" s="18" t="str" cm="1">
        <f t="array" ref="G366">_xlfn.IFS(F366&lt;4,"Night",F366&lt;=6,"Early Morning",F366&lt;11,"Morning",F366&lt;12,"Afternoon",F366&lt;=16,"Afternoon",F366&lt;=20,"Evening",F366&gt;=21,"Night")</f>
        <v>Early Morning</v>
      </c>
      <c r="H366" s="18" t="b">
        <v>0</v>
      </c>
      <c r="I366" s="18">
        <v>0</v>
      </c>
      <c r="J366" s="18" t="str" cm="1">
        <f t="array" ref="J366">_xlfn.IFS(I366=1,"Monday",I366=2,"Tuesday",I366=3,"Wednesday",I366=4,"Thursday",I366=5,"Friday",I366=6,"Saturday",I366=0,"Sunday")</f>
        <v>Sunday</v>
      </c>
      <c r="K366" s="18">
        <v>2</v>
      </c>
      <c r="L366" s="18">
        <v>0.2</v>
      </c>
      <c r="M366" s="27" t="str" cm="1">
        <f t="array" ref="M366">_xlfn.IFS(L366&lt;0.15,"Cold",L366&lt;0.25,"Mild",L366&lt;=0.32,"Warm",L366&gt;=0.33,"Hot")</f>
        <v>Mild</v>
      </c>
      <c r="N366" s="18">
        <v>0.21210000000000001</v>
      </c>
      <c r="O366" s="18">
        <v>0.69</v>
      </c>
      <c r="P366" s="18" t="str" cm="1">
        <f t="array" ref="P366">_xlfn.IFS(O366&gt;0.61, "High Humidity", O366&gt;=0.6, "Humid", O366&gt;0.4, "Less Humidity", TRUE, "Dry")</f>
        <v>High Humidity</v>
      </c>
      <c r="Q366" s="18">
        <v>0.1343</v>
      </c>
      <c r="R366" s="18" t="str" cm="1">
        <f t="array" ref="R366">_xlfn.IFS(Q366&lt;=0.2,"Low Windspeed",Q366&lt;0.4,"Medium Windspeed",Q366&gt;=0.41,"High Windspeed")</f>
        <v>Low Windspeed</v>
      </c>
      <c r="S366" s="18">
        <v>2</v>
      </c>
      <c r="T366" s="18">
        <v>3</v>
      </c>
      <c r="U366" s="19">
        <v>5</v>
      </c>
      <c r="V366" s="18" t="str" cm="1">
        <f t="array" ref="V366">_xlfn.IFS(U366&lt;=70,"Low",U366&lt;=160,"Medium",U366&gt;=161,"High")</f>
        <v>Low</v>
      </c>
    </row>
    <row r="367" spans="1:22" x14ac:dyDescent="0.25">
      <c r="A367" s="16">
        <v>976</v>
      </c>
      <c r="B367" s="17">
        <v>40587</v>
      </c>
      <c r="C367" s="18">
        <v>1</v>
      </c>
      <c r="D367" s="18">
        <v>0</v>
      </c>
      <c r="E367" s="18">
        <v>2</v>
      </c>
      <c r="F367" s="18">
        <v>7</v>
      </c>
      <c r="G367" s="18" t="str" cm="1">
        <f t="array" ref="G367">_xlfn.IFS(F367&lt;4,"Night",F367&lt;=6,"Early Morning",F367&lt;11,"Morning",F367&lt;12,"Afternoon",F367&lt;=16,"Afternoon",F367&lt;=20,"Evening",F367&gt;=21,"Night")</f>
        <v>Morning</v>
      </c>
      <c r="H367" s="18" t="b">
        <v>0</v>
      </c>
      <c r="I367" s="18">
        <v>0</v>
      </c>
      <c r="J367" s="18" t="str" cm="1">
        <f t="array" ref="J367">_xlfn.IFS(I367=1,"Monday",I367=2,"Tuesday",I367=3,"Wednesday",I367=4,"Thursday",I367=5,"Friday",I367=6,"Saturday",I367=0,"Sunday")</f>
        <v>Sunday</v>
      </c>
      <c r="K367" s="18">
        <v>2</v>
      </c>
      <c r="L367" s="18">
        <v>0.22</v>
      </c>
      <c r="M367" s="27" t="str" cm="1">
        <f t="array" ref="M367">_xlfn.IFS(L367&lt;0.15,"Cold",L367&lt;0.25,"Mild",L367&lt;=0.32,"Warm",L367&gt;=0.33,"Hot")</f>
        <v>Mild</v>
      </c>
      <c r="N367" s="18">
        <v>0.2727</v>
      </c>
      <c r="O367" s="18">
        <v>0.55000000000000004</v>
      </c>
      <c r="P367" s="18" t="str" cm="1">
        <f t="array" ref="P367">_xlfn.IFS(O367&gt;0.61, "High Humidity", O367&gt;=0.6, "Humid", O367&gt;0.4, "Less Humidity", TRUE, "Dry")</f>
        <v>Less Humidity</v>
      </c>
      <c r="Q367" s="18">
        <v>0</v>
      </c>
      <c r="R367" s="18" t="str" cm="1">
        <f t="array" ref="R367">_xlfn.IFS(Q367&lt;=0.2,"Low Windspeed",Q367&lt;0.4,"Medium Windspeed",Q367&gt;=0.41,"High Windspeed")</f>
        <v>Low Windspeed</v>
      </c>
      <c r="S367" s="18">
        <v>0</v>
      </c>
      <c r="T367" s="18">
        <v>3</v>
      </c>
      <c r="U367" s="19">
        <v>3</v>
      </c>
      <c r="V367" s="18" t="str" cm="1">
        <f t="array" ref="V367">_xlfn.IFS(U367&lt;=70,"Low",U367&lt;=160,"Medium",U367&gt;=161,"High")</f>
        <v>Low</v>
      </c>
    </row>
    <row r="368" spans="1:22" x14ac:dyDescent="0.25">
      <c r="A368" s="16">
        <v>977</v>
      </c>
      <c r="B368" s="17">
        <v>40587</v>
      </c>
      <c r="C368" s="18">
        <v>1</v>
      </c>
      <c r="D368" s="18">
        <v>0</v>
      </c>
      <c r="E368" s="18">
        <v>2</v>
      </c>
      <c r="F368" s="18">
        <v>8</v>
      </c>
      <c r="G368" s="18" t="str" cm="1">
        <f t="array" ref="G368">_xlfn.IFS(F368&lt;4,"Night",F368&lt;=6,"Early Morning",F368&lt;11,"Morning",F368&lt;12,"Afternoon",F368&lt;=16,"Afternoon",F368&lt;=20,"Evening",F368&gt;=21,"Night")</f>
        <v>Morning</v>
      </c>
      <c r="H368" s="18" t="b">
        <v>0</v>
      </c>
      <c r="I368" s="18">
        <v>0</v>
      </c>
      <c r="J368" s="18" t="str" cm="1">
        <f t="array" ref="J368">_xlfn.IFS(I368=1,"Monday",I368=2,"Tuesday",I368=3,"Wednesday",I368=4,"Thursday",I368=5,"Friday",I368=6,"Saturday",I368=0,"Sunday")</f>
        <v>Sunday</v>
      </c>
      <c r="K368" s="18">
        <v>2</v>
      </c>
      <c r="L368" s="18">
        <v>0.22</v>
      </c>
      <c r="M368" s="27" t="str" cm="1">
        <f t="array" ref="M368">_xlfn.IFS(L368&lt;0.15,"Cold",L368&lt;0.25,"Mild",L368&lt;=0.32,"Warm",L368&gt;=0.33,"Hot")</f>
        <v>Mild</v>
      </c>
      <c r="N368" s="18">
        <v>0.2273</v>
      </c>
      <c r="O368" s="18">
        <v>0.64</v>
      </c>
      <c r="P368" s="18" t="str" cm="1">
        <f t="array" ref="P368">_xlfn.IFS(O368&gt;0.61, "High Humidity", O368&gt;=0.6, "Humid", O368&gt;0.4, "Less Humidity", TRUE, "Dry")</f>
        <v>High Humidity</v>
      </c>
      <c r="Q368" s="18">
        <v>0.19400000000000001</v>
      </c>
      <c r="R368" s="18" t="str" cm="1">
        <f t="array" ref="R368">_xlfn.IFS(Q368&lt;=0.2,"Low Windspeed",Q368&lt;0.4,"Medium Windspeed",Q368&gt;=0.41,"High Windspeed")</f>
        <v>Low Windspeed</v>
      </c>
      <c r="S368" s="18">
        <v>1</v>
      </c>
      <c r="T368" s="18">
        <v>11</v>
      </c>
      <c r="U368" s="19">
        <v>12</v>
      </c>
      <c r="V368" s="18" t="str" cm="1">
        <f t="array" ref="V368">_xlfn.IFS(U368&lt;=70,"Low",U368&lt;=160,"Medium",U368&gt;=161,"High")</f>
        <v>Low</v>
      </c>
    </row>
    <row r="369" spans="1:22" x14ac:dyDescent="0.25">
      <c r="A369" s="16">
        <v>978</v>
      </c>
      <c r="B369" s="17">
        <v>40587</v>
      </c>
      <c r="C369" s="18">
        <v>1</v>
      </c>
      <c r="D369" s="18">
        <v>0</v>
      </c>
      <c r="E369" s="18">
        <v>2</v>
      </c>
      <c r="F369" s="18">
        <v>9</v>
      </c>
      <c r="G369" s="18" t="str" cm="1">
        <f t="array" ref="G369">_xlfn.IFS(F369&lt;4,"Night",F369&lt;=6,"Early Morning",F369&lt;11,"Morning",F369&lt;12,"Afternoon",F369&lt;=16,"Afternoon",F369&lt;=20,"Evening",F369&gt;=21,"Night")</f>
        <v>Morning</v>
      </c>
      <c r="H369" s="18" t="b">
        <v>0</v>
      </c>
      <c r="I369" s="18">
        <v>0</v>
      </c>
      <c r="J369" s="18" t="str" cm="1">
        <f t="array" ref="J369">_xlfn.IFS(I369=1,"Monday",I369=2,"Tuesday",I369=3,"Wednesday",I369=4,"Thursday",I369=5,"Friday",I369=6,"Saturday",I369=0,"Sunday")</f>
        <v>Sunday</v>
      </c>
      <c r="K369" s="18">
        <v>2</v>
      </c>
      <c r="L369" s="18">
        <v>0.24</v>
      </c>
      <c r="M369" s="27" t="str" cm="1">
        <f t="array" ref="M369">_xlfn.IFS(L369&lt;0.15,"Cold",L369&lt;0.25,"Mild",L369&lt;=0.32,"Warm",L369&gt;=0.33,"Hot")</f>
        <v>Mild</v>
      </c>
      <c r="N369" s="18">
        <v>0.2273</v>
      </c>
      <c r="O369" s="18">
        <v>0.6</v>
      </c>
      <c r="P369" s="18" t="str" cm="1">
        <f t="array" ref="P369">_xlfn.IFS(O369&gt;0.61, "High Humidity", O369&gt;=0.6, "Humid", O369&gt;0.4, "Less Humidity", TRUE, "Dry")</f>
        <v>Humid</v>
      </c>
      <c r="Q369" s="18">
        <v>0.22389999999999999</v>
      </c>
      <c r="R369" s="18" t="str" cm="1">
        <f t="array" ref="R369">_xlfn.IFS(Q369&lt;=0.2,"Low Windspeed",Q369&lt;0.4,"Medium Windspeed",Q369&gt;=0.41,"High Windspeed")</f>
        <v>Medium Windspeed</v>
      </c>
      <c r="S369" s="18">
        <v>12</v>
      </c>
      <c r="T369" s="18">
        <v>35</v>
      </c>
      <c r="U369" s="19">
        <v>47</v>
      </c>
      <c r="V369" s="18" t="str" cm="1">
        <f t="array" ref="V369">_xlfn.IFS(U369&lt;=70,"Low",U369&lt;=160,"Medium",U369&gt;=161,"High")</f>
        <v>Low</v>
      </c>
    </row>
    <row r="370" spans="1:22" x14ac:dyDescent="0.25">
      <c r="A370" s="16">
        <v>979</v>
      </c>
      <c r="B370" s="17">
        <v>40587</v>
      </c>
      <c r="C370" s="18">
        <v>1</v>
      </c>
      <c r="D370" s="18">
        <v>0</v>
      </c>
      <c r="E370" s="18">
        <v>2</v>
      </c>
      <c r="F370" s="18">
        <v>10</v>
      </c>
      <c r="G370" s="18" t="str" cm="1">
        <f t="array" ref="G370">_xlfn.IFS(F370&lt;4,"Night",F370&lt;=6,"Early Morning",F370&lt;11,"Morning",F370&lt;12,"Afternoon",F370&lt;=16,"Afternoon",F370&lt;=20,"Evening",F370&gt;=21,"Night")</f>
        <v>Morning</v>
      </c>
      <c r="H370" s="18" t="b">
        <v>0</v>
      </c>
      <c r="I370" s="18">
        <v>0</v>
      </c>
      <c r="J370" s="18" t="str" cm="1">
        <f t="array" ref="J370">_xlfn.IFS(I370=1,"Monday",I370=2,"Tuesday",I370=3,"Wednesday",I370=4,"Thursday",I370=5,"Friday",I370=6,"Saturday",I370=0,"Sunday")</f>
        <v>Sunday</v>
      </c>
      <c r="K370" s="18">
        <v>1</v>
      </c>
      <c r="L370" s="18">
        <v>0.3</v>
      </c>
      <c r="M370" s="27" t="str" cm="1">
        <f t="array" ref="M370">_xlfn.IFS(L370&lt;0.15,"Cold",L370&lt;0.25,"Mild",L370&lt;=0.32,"Warm",L370&gt;=0.33,"Hot")</f>
        <v>Warm</v>
      </c>
      <c r="N370" s="18">
        <v>0.2727</v>
      </c>
      <c r="O370" s="18">
        <v>0.45</v>
      </c>
      <c r="P370" s="18" t="str" cm="1">
        <f t="array" ref="P370">_xlfn.IFS(O370&gt;0.61, "High Humidity", O370&gt;=0.6, "Humid", O370&gt;0.4, "Less Humidity", TRUE, "Dry")</f>
        <v>Less Humidity</v>
      </c>
      <c r="Q370" s="18">
        <v>0.32840000000000003</v>
      </c>
      <c r="R370" s="18" t="str" cm="1">
        <f t="array" ref="R370">_xlfn.IFS(Q370&lt;=0.2,"Low Windspeed",Q370&lt;0.4,"Medium Windspeed",Q370&gt;=0.41,"High Windspeed")</f>
        <v>Medium Windspeed</v>
      </c>
      <c r="S370" s="18">
        <v>19</v>
      </c>
      <c r="T370" s="18">
        <v>86</v>
      </c>
      <c r="U370" s="19">
        <v>105</v>
      </c>
      <c r="V370" s="18" t="str" cm="1">
        <f t="array" ref="V370">_xlfn.IFS(U370&lt;=70,"Low",U370&lt;=160,"Medium",U370&gt;=161,"High")</f>
        <v>Medium</v>
      </c>
    </row>
    <row r="371" spans="1:22" x14ac:dyDescent="0.25">
      <c r="A371" s="16">
        <v>980</v>
      </c>
      <c r="B371" s="17">
        <v>40587</v>
      </c>
      <c r="C371" s="18">
        <v>1</v>
      </c>
      <c r="D371" s="18">
        <v>0</v>
      </c>
      <c r="E371" s="18">
        <v>2</v>
      </c>
      <c r="F371" s="18">
        <v>11</v>
      </c>
      <c r="G371" s="18" t="str" cm="1">
        <f t="array" ref="G371">_xlfn.IFS(F371&lt;4,"Night",F371&lt;=6,"Early Morning",F371&lt;11,"Morning",F371&lt;12,"Afternoon",F371&lt;=16,"Afternoon",F371&lt;=20,"Evening",F371&gt;=21,"Night")</f>
        <v>Afternoon</v>
      </c>
      <c r="H371" s="18" t="b">
        <v>0</v>
      </c>
      <c r="I371" s="18">
        <v>0</v>
      </c>
      <c r="J371" s="18" t="str" cm="1">
        <f t="array" ref="J371">_xlfn.IFS(I371=1,"Monday",I371=2,"Tuesday",I371=3,"Wednesday",I371=4,"Thursday",I371=5,"Friday",I371=6,"Saturday",I371=0,"Sunday")</f>
        <v>Sunday</v>
      </c>
      <c r="K371" s="18">
        <v>1</v>
      </c>
      <c r="L371" s="18">
        <v>0.32</v>
      </c>
      <c r="M371" s="27" t="str" cm="1">
        <f t="array" ref="M371">_xlfn.IFS(L371&lt;0.15,"Cold",L371&lt;0.25,"Mild",L371&lt;=0.32,"Warm",L371&gt;=0.33,"Hot")</f>
        <v>Warm</v>
      </c>
      <c r="N371" s="18">
        <v>0.28789999999999999</v>
      </c>
      <c r="O371" s="18">
        <v>0.39</v>
      </c>
      <c r="P371" s="18" t="str" cm="1">
        <f t="array" ref="P371">_xlfn.IFS(O371&gt;0.61, "High Humidity", O371&gt;=0.6, "Humid", O371&gt;0.4, "Less Humidity", TRUE, "Dry")</f>
        <v>Dry</v>
      </c>
      <c r="Q371" s="18">
        <v>0.44779999999999998</v>
      </c>
      <c r="R371" s="18" t="str" cm="1">
        <f t="array" ref="R371">_xlfn.IFS(Q371&lt;=0.2,"Low Windspeed",Q371&lt;0.4,"Medium Windspeed",Q371&gt;=0.41,"High Windspeed")</f>
        <v>High Windspeed</v>
      </c>
      <c r="S371" s="18">
        <v>26</v>
      </c>
      <c r="T371" s="18">
        <v>86</v>
      </c>
      <c r="U371" s="19">
        <v>112</v>
      </c>
      <c r="V371" s="18" t="str" cm="1">
        <f t="array" ref="V371">_xlfn.IFS(U371&lt;=70,"Low",U371&lt;=160,"Medium",U371&gt;=161,"High")</f>
        <v>Medium</v>
      </c>
    </row>
    <row r="372" spans="1:22" x14ac:dyDescent="0.25">
      <c r="A372" s="16">
        <v>981</v>
      </c>
      <c r="B372" s="17">
        <v>40587</v>
      </c>
      <c r="C372" s="18">
        <v>1</v>
      </c>
      <c r="D372" s="18">
        <v>0</v>
      </c>
      <c r="E372" s="18">
        <v>2</v>
      </c>
      <c r="F372" s="18">
        <v>12</v>
      </c>
      <c r="G372" s="18" t="str" cm="1">
        <f t="array" ref="G372">_xlfn.IFS(F372&lt;4,"Night",F372&lt;=6,"Early Morning",F372&lt;11,"Morning",F372&lt;12,"Afternoon",F372&lt;=16,"Afternoon",F372&lt;=20,"Evening",F372&gt;=21,"Night")</f>
        <v>Afternoon</v>
      </c>
      <c r="H372" s="18" t="b">
        <v>0</v>
      </c>
      <c r="I372" s="18">
        <v>0</v>
      </c>
      <c r="J372" s="18" t="str" cm="1">
        <f t="array" ref="J372">_xlfn.IFS(I372=1,"Monday",I372=2,"Tuesday",I372=3,"Wednesday",I372=4,"Thursday",I372=5,"Friday",I372=6,"Saturday",I372=0,"Sunday")</f>
        <v>Sunday</v>
      </c>
      <c r="K372" s="18">
        <v>1</v>
      </c>
      <c r="L372" s="18">
        <v>0.36</v>
      </c>
      <c r="M372" s="27" t="str" cm="1">
        <f t="array" ref="M372">_xlfn.IFS(L372&lt;0.15,"Cold",L372&lt;0.25,"Mild",L372&lt;=0.32,"Warm",L372&gt;=0.33,"Hot")</f>
        <v>Hot</v>
      </c>
      <c r="N372" s="18">
        <v>0.31819999999999998</v>
      </c>
      <c r="O372" s="18">
        <v>0.32</v>
      </c>
      <c r="P372" s="18" t="str" cm="1">
        <f t="array" ref="P372">_xlfn.IFS(O372&gt;0.61, "High Humidity", O372&gt;=0.6, "Humid", O372&gt;0.4, "Less Humidity", TRUE, "Dry")</f>
        <v>Dry</v>
      </c>
      <c r="Q372" s="18">
        <v>0.4627</v>
      </c>
      <c r="R372" s="18" t="str" cm="1">
        <f t="array" ref="R372">_xlfn.IFS(Q372&lt;=0.2,"Low Windspeed",Q372&lt;0.4,"Medium Windspeed",Q372&gt;=0.41,"High Windspeed")</f>
        <v>High Windspeed</v>
      </c>
      <c r="S372" s="18">
        <v>58</v>
      </c>
      <c r="T372" s="18">
        <v>94</v>
      </c>
      <c r="U372" s="19">
        <v>152</v>
      </c>
      <c r="V372" s="18" t="str" cm="1">
        <f t="array" ref="V372">_xlfn.IFS(U372&lt;=70,"Low",U372&lt;=160,"Medium",U372&gt;=161,"High")</f>
        <v>Medium</v>
      </c>
    </row>
    <row r="373" spans="1:22" x14ac:dyDescent="0.25">
      <c r="A373" s="16">
        <v>982</v>
      </c>
      <c r="B373" s="17">
        <v>40587</v>
      </c>
      <c r="C373" s="18">
        <v>1</v>
      </c>
      <c r="D373" s="18">
        <v>0</v>
      </c>
      <c r="E373" s="18">
        <v>2</v>
      </c>
      <c r="F373" s="18">
        <v>13</v>
      </c>
      <c r="G373" s="18" t="str" cm="1">
        <f t="array" ref="G373">_xlfn.IFS(F373&lt;4,"Night",F373&lt;=6,"Early Morning",F373&lt;11,"Morning",F373&lt;12,"Afternoon",F373&lt;=16,"Afternoon",F373&lt;=20,"Evening",F373&gt;=21,"Night")</f>
        <v>Afternoon</v>
      </c>
      <c r="H373" s="18" t="b">
        <v>0</v>
      </c>
      <c r="I373" s="18">
        <v>0</v>
      </c>
      <c r="J373" s="18" t="str" cm="1">
        <f t="array" ref="J373">_xlfn.IFS(I373=1,"Monday",I373=2,"Tuesday",I373=3,"Wednesday",I373=4,"Thursday",I373=5,"Friday",I373=6,"Saturday",I373=0,"Sunday")</f>
        <v>Sunday</v>
      </c>
      <c r="K373" s="18">
        <v>1</v>
      </c>
      <c r="L373" s="18">
        <v>0.38</v>
      </c>
      <c r="M373" s="27" t="str" cm="1">
        <f t="array" ref="M373">_xlfn.IFS(L373&lt;0.15,"Cold",L373&lt;0.25,"Mild",L373&lt;=0.32,"Warm",L373&gt;=0.33,"Hot")</f>
        <v>Hot</v>
      </c>
      <c r="N373" s="18">
        <v>0.39389999999999997</v>
      </c>
      <c r="O373" s="18">
        <v>0.28999999999999998</v>
      </c>
      <c r="P373" s="18" t="str" cm="1">
        <f t="array" ref="P373">_xlfn.IFS(O373&gt;0.61, "High Humidity", O373&gt;=0.6, "Humid", O373&gt;0.4, "Less Humidity", TRUE, "Dry")</f>
        <v>Dry</v>
      </c>
      <c r="Q373" s="18">
        <v>0.35820000000000002</v>
      </c>
      <c r="R373" s="18" t="str" cm="1">
        <f t="array" ref="R373">_xlfn.IFS(Q373&lt;=0.2,"Low Windspeed",Q373&lt;0.4,"Medium Windspeed",Q373&gt;=0.41,"High Windspeed")</f>
        <v>Medium Windspeed</v>
      </c>
      <c r="S373" s="18">
        <v>62</v>
      </c>
      <c r="T373" s="18">
        <v>92</v>
      </c>
      <c r="U373" s="19">
        <v>154</v>
      </c>
      <c r="V373" s="18" t="str" cm="1">
        <f t="array" ref="V373">_xlfn.IFS(U373&lt;=70,"Low",U373&lt;=160,"Medium",U373&gt;=161,"High")</f>
        <v>Medium</v>
      </c>
    </row>
    <row r="374" spans="1:22" x14ac:dyDescent="0.25">
      <c r="A374" s="16">
        <v>983</v>
      </c>
      <c r="B374" s="17">
        <v>40587</v>
      </c>
      <c r="C374" s="18">
        <v>1</v>
      </c>
      <c r="D374" s="18">
        <v>0</v>
      </c>
      <c r="E374" s="18">
        <v>2</v>
      </c>
      <c r="F374" s="18">
        <v>14</v>
      </c>
      <c r="G374" s="18" t="str" cm="1">
        <f t="array" ref="G374">_xlfn.IFS(F374&lt;4,"Night",F374&lt;=6,"Early Morning",F374&lt;11,"Morning",F374&lt;12,"Afternoon",F374&lt;=16,"Afternoon",F374&lt;=20,"Evening",F374&gt;=21,"Night")</f>
        <v>Afternoon</v>
      </c>
      <c r="H374" s="18" t="b">
        <v>0</v>
      </c>
      <c r="I374" s="18">
        <v>0</v>
      </c>
      <c r="J374" s="18" t="str" cm="1">
        <f t="array" ref="J374">_xlfn.IFS(I374=1,"Monday",I374=2,"Tuesday",I374=3,"Wednesday",I374=4,"Thursday",I374=5,"Friday",I374=6,"Saturday",I374=0,"Sunday")</f>
        <v>Sunday</v>
      </c>
      <c r="K374" s="18">
        <v>2</v>
      </c>
      <c r="L374" s="18">
        <v>0.4</v>
      </c>
      <c r="M374" s="27" t="str" cm="1">
        <f t="array" ref="M374">_xlfn.IFS(L374&lt;0.15,"Cold",L374&lt;0.25,"Mild",L374&lt;=0.32,"Warm",L374&gt;=0.33,"Hot")</f>
        <v>Hot</v>
      </c>
      <c r="N374" s="18">
        <v>0.40910000000000002</v>
      </c>
      <c r="O374" s="18">
        <v>0.3</v>
      </c>
      <c r="P374" s="18" t="str" cm="1">
        <f t="array" ref="P374">_xlfn.IFS(O374&gt;0.61, "High Humidity", O374&gt;=0.6, "Humid", O374&gt;0.4, "Less Humidity", TRUE, "Dry")</f>
        <v>Dry</v>
      </c>
      <c r="Q374" s="18">
        <v>0.41789999999999999</v>
      </c>
      <c r="R374" s="18" t="str" cm="1">
        <f t="array" ref="R374">_xlfn.IFS(Q374&lt;=0.2,"Low Windspeed",Q374&lt;0.4,"Medium Windspeed",Q374&gt;=0.41,"High Windspeed")</f>
        <v>High Windspeed</v>
      </c>
      <c r="S374" s="18">
        <v>51</v>
      </c>
      <c r="T374" s="18">
        <v>110</v>
      </c>
      <c r="U374" s="19">
        <v>161</v>
      </c>
      <c r="V374" s="18" t="str" cm="1">
        <f t="array" ref="V374">_xlfn.IFS(U374&lt;=70,"Low",U374&lt;=160,"Medium",U374&gt;=161,"High")</f>
        <v>High</v>
      </c>
    </row>
    <row r="375" spans="1:22" x14ac:dyDescent="0.25">
      <c r="A375" s="16">
        <v>984</v>
      </c>
      <c r="B375" s="17">
        <v>40587</v>
      </c>
      <c r="C375" s="18">
        <v>1</v>
      </c>
      <c r="D375" s="18">
        <v>0</v>
      </c>
      <c r="E375" s="18">
        <v>2</v>
      </c>
      <c r="F375" s="18">
        <v>15</v>
      </c>
      <c r="G375" s="18" t="str" cm="1">
        <f t="array" ref="G375">_xlfn.IFS(F375&lt;4,"Night",F375&lt;=6,"Early Morning",F375&lt;11,"Morning",F375&lt;12,"Afternoon",F375&lt;=16,"Afternoon",F375&lt;=20,"Evening",F375&gt;=21,"Night")</f>
        <v>Afternoon</v>
      </c>
      <c r="H375" s="18" t="b">
        <v>0</v>
      </c>
      <c r="I375" s="18">
        <v>0</v>
      </c>
      <c r="J375" s="18" t="str" cm="1">
        <f t="array" ref="J375">_xlfn.IFS(I375=1,"Monday",I375=2,"Tuesday",I375=3,"Wednesday",I375=4,"Thursday",I375=5,"Friday",I375=6,"Saturday",I375=0,"Sunday")</f>
        <v>Sunday</v>
      </c>
      <c r="K375" s="18">
        <v>2</v>
      </c>
      <c r="L375" s="18">
        <v>0.4</v>
      </c>
      <c r="M375" s="27" t="str" cm="1">
        <f t="array" ref="M375">_xlfn.IFS(L375&lt;0.15,"Cold",L375&lt;0.25,"Mild",L375&lt;=0.32,"Warm",L375&gt;=0.33,"Hot")</f>
        <v>Hot</v>
      </c>
      <c r="N375" s="18">
        <v>0.40910000000000002</v>
      </c>
      <c r="O375" s="18">
        <v>0.3</v>
      </c>
      <c r="P375" s="18" t="str" cm="1">
        <f t="array" ref="P375">_xlfn.IFS(O375&gt;0.61, "High Humidity", O375&gt;=0.6, "Humid", O375&gt;0.4, "Less Humidity", TRUE, "Dry")</f>
        <v>Dry</v>
      </c>
      <c r="Q375" s="18">
        <v>0.29849999999999999</v>
      </c>
      <c r="R375" s="18" t="str" cm="1">
        <f t="array" ref="R375">_xlfn.IFS(Q375&lt;=0.2,"Low Windspeed",Q375&lt;0.4,"Medium Windspeed",Q375&gt;=0.41,"High Windspeed")</f>
        <v>Medium Windspeed</v>
      </c>
      <c r="S375" s="18">
        <v>40</v>
      </c>
      <c r="T375" s="18">
        <v>122</v>
      </c>
      <c r="U375" s="19">
        <v>162</v>
      </c>
      <c r="V375" s="18" t="str" cm="1">
        <f t="array" ref="V375">_xlfn.IFS(U375&lt;=70,"Low",U375&lt;=160,"Medium",U375&gt;=161,"High")</f>
        <v>High</v>
      </c>
    </row>
    <row r="376" spans="1:22" x14ac:dyDescent="0.25">
      <c r="A376" s="16">
        <v>985</v>
      </c>
      <c r="B376" s="17">
        <v>40587</v>
      </c>
      <c r="C376" s="18">
        <v>1</v>
      </c>
      <c r="D376" s="18">
        <v>0</v>
      </c>
      <c r="E376" s="18">
        <v>2</v>
      </c>
      <c r="F376" s="18">
        <v>16</v>
      </c>
      <c r="G376" s="18" t="str" cm="1">
        <f t="array" ref="G376">_xlfn.IFS(F376&lt;4,"Night",F376&lt;=6,"Early Morning",F376&lt;11,"Morning",F376&lt;12,"Afternoon",F376&lt;=16,"Afternoon",F376&lt;=20,"Evening",F376&gt;=21,"Night")</f>
        <v>Afternoon</v>
      </c>
      <c r="H376" s="18" t="b">
        <v>0</v>
      </c>
      <c r="I376" s="18">
        <v>0</v>
      </c>
      <c r="J376" s="18" t="str" cm="1">
        <f t="array" ref="J376">_xlfn.IFS(I376=1,"Monday",I376=2,"Tuesday",I376=3,"Wednesday",I376=4,"Thursday",I376=5,"Friday",I376=6,"Saturday",I376=0,"Sunday")</f>
        <v>Sunday</v>
      </c>
      <c r="K376" s="18">
        <v>2</v>
      </c>
      <c r="L376" s="18">
        <v>0.42</v>
      </c>
      <c r="M376" s="27" t="str" cm="1">
        <f t="array" ref="M376">_xlfn.IFS(L376&lt;0.15,"Cold",L376&lt;0.25,"Mild",L376&lt;=0.32,"Warm",L376&gt;=0.33,"Hot")</f>
        <v>Hot</v>
      </c>
      <c r="N376" s="18">
        <v>0.42420000000000002</v>
      </c>
      <c r="O376" s="18">
        <v>0.28000000000000003</v>
      </c>
      <c r="P376" s="18" t="str" cm="1">
        <f t="array" ref="P376">_xlfn.IFS(O376&gt;0.61, "High Humidity", O376&gt;=0.6, "Humid", O376&gt;0.4, "Less Humidity", TRUE, "Dry")</f>
        <v>Dry</v>
      </c>
      <c r="Q376" s="18">
        <v>0.32840000000000003</v>
      </c>
      <c r="R376" s="18" t="str" cm="1">
        <f t="array" ref="R376">_xlfn.IFS(Q376&lt;=0.2,"Low Windspeed",Q376&lt;0.4,"Medium Windspeed",Q376&gt;=0.41,"High Windspeed")</f>
        <v>Medium Windspeed</v>
      </c>
      <c r="S376" s="18">
        <v>28</v>
      </c>
      <c r="T376" s="18">
        <v>106</v>
      </c>
      <c r="U376" s="19">
        <v>134</v>
      </c>
      <c r="V376" s="18" t="str" cm="1">
        <f t="array" ref="V376">_xlfn.IFS(U376&lt;=70,"Low",U376&lt;=160,"Medium",U376&gt;=161,"High")</f>
        <v>Medium</v>
      </c>
    </row>
    <row r="377" spans="1:22" x14ac:dyDescent="0.25">
      <c r="A377" s="16">
        <v>986</v>
      </c>
      <c r="B377" s="17">
        <v>40587</v>
      </c>
      <c r="C377" s="18">
        <v>1</v>
      </c>
      <c r="D377" s="18">
        <v>0</v>
      </c>
      <c r="E377" s="18">
        <v>2</v>
      </c>
      <c r="F377" s="18">
        <v>17</v>
      </c>
      <c r="G377" s="18" t="str" cm="1">
        <f t="array" ref="G377">_xlfn.IFS(F377&lt;4,"Night",F377&lt;=6,"Early Morning",F377&lt;11,"Morning",F377&lt;12,"Afternoon",F377&lt;=16,"Afternoon",F377&lt;=20,"Evening",F377&gt;=21,"Night")</f>
        <v>Evening</v>
      </c>
      <c r="H377" s="18" t="b">
        <v>0</v>
      </c>
      <c r="I377" s="18">
        <v>0</v>
      </c>
      <c r="J377" s="18" t="str" cm="1">
        <f t="array" ref="J377">_xlfn.IFS(I377=1,"Monday",I377=2,"Tuesday",I377=3,"Wednesday",I377=4,"Thursday",I377=5,"Friday",I377=6,"Saturday",I377=0,"Sunday")</f>
        <v>Sunday</v>
      </c>
      <c r="K377" s="18">
        <v>1</v>
      </c>
      <c r="L377" s="18">
        <v>0.42</v>
      </c>
      <c r="M377" s="27" t="str" cm="1">
        <f t="array" ref="M377">_xlfn.IFS(L377&lt;0.15,"Cold",L377&lt;0.25,"Mild",L377&lt;=0.32,"Warm",L377&gt;=0.33,"Hot")</f>
        <v>Hot</v>
      </c>
      <c r="N377" s="18">
        <v>0.42420000000000002</v>
      </c>
      <c r="O377" s="18">
        <v>0.28000000000000003</v>
      </c>
      <c r="P377" s="18" t="str" cm="1">
        <f t="array" ref="P377">_xlfn.IFS(O377&gt;0.61, "High Humidity", O377&gt;=0.6, "Humid", O377&gt;0.4, "Less Humidity", TRUE, "Dry")</f>
        <v>Dry</v>
      </c>
      <c r="Q377" s="18">
        <v>0.32840000000000003</v>
      </c>
      <c r="R377" s="18" t="str" cm="1">
        <f t="array" ref="R377">_xlfn.IFS(Q377&lt;=0.2,"Low Windspeed",Q377&lt;0.4,"Medium Windspeed",Q377&gt;=0.41,"High Windspeed")</f>
        <v>Medium Windspeed</v>
      </c>
      <c r="S377" s="18">
        <v>30</v>
      </c>
      <c r="T377" s="18">
        <v>95</v>
      </c>
      <c r="U377" s="19">
        <v>125</v>
      </c>
      <c r="V377" s="18" t="str" cm="1">
        <f t="array" ref="V377">_xlfn.IFS(U377&lt;=70,"Low",U377&lt;=160,"Medium",U377&gt;=161,"High")</f>
        <v>Medium</v>
      </c>
    </row>
    <row r="378" spans="1:22" x14ac:dyDescent="0.25">
      <c r="A378" s="16">
        <v>987</v>
      </c>
      <c r="B378" s="17">
        <v>40587</v>
      </c>
      <c r="C378" s="18">
        <v>1</v>
      </c>
      <c r="D378" s="18">
        <v>0</v>
      </c>
      <c r="E378" s="18">
        <v>2</v>
      </c>
      <c r="F378" s="18">
        <v>18</v>
      </c>
      <c r="G378" s="18" t="str" cm="1">
        <f t="array" ref="G378">_xlfn.IFS(F378&lt;4,"Night",F378&lt;=6,"Early Morning",F378&lt;11,"Morning",F378&lt;12,"Afternoon",F378&lt;=16,"Afternoon",F378&lt;=20,"Evening",F378&gt;=21,"Night")</f>
        <v>Evening</v>
      </c>
      <c r="H378" s="18" t="b">
        <v>0</v>
      </c>
      <c r="I378" s="18">
        <v>0</v>
      </c>
      <c r="J378" s="18" t="str" cm="1">
        <f t="array" ref="J378">_xlfn.IFS(I378=1,"Monday",I378=2,"Tuesday",I378=3,"Wednesday",I378=4,"Thursday",I378=5,"Friday",I378=6,"Saturday",I378=0,"Sunday")</f>
        <v>Sunday</v>
      </c>
      <c r="K378" s="18">
        <v>1</v>
      </c>
      <c r="L378" s="18">
        <v>0.4</v>
      </c>
      <c r="M378" s="27" t="str" cm="1">
        <f t="array" ref="M378">_xlfn.IFS(L378&lt;0.15,"Cold",L378&lt;0.25,"Mild",L378&lt;=0.32,"Warm",L378&gt;=0.33,"Hot")</f>
        <v>Hot</v>
      </c>
      <c r="N378" s="18">
        <v>0.40910000000000002</v>
      </c>
      <c r="O378" s="18">
        <v>0.32</v>
      </c>
      <c r="P378" s="18" t="str" cm="1">
        <f t="array" ref="P378">_xlfn.IFS(O378&gt;0.61, "High Humidity", O378&gt;=0.6, "Humid", O378&gt;0.4, "Less Humidity", TRUE, "Dry")</f>
        <v>Dry</v>
      </c>
      <c r="Q378" s="18">
        <v>0.29849999999999999</v>
      </c>
      <c r="R378" s="18" t="str" cm="1">
        <f t="array" ref="R378">_xlfn.IFS(Q378&lt;=0.2,"Low Windspeed",Q378&lt;0.4,"Medium Windspeed",Q378&gt;=0.41,"High Windspeed")</f>
        <v>Medium Windspeed</v>
      </c>
      <c r="S378" s="18">
        <v>17</v>
      </c>
      <c r="T378" s="18">
        <v>78</v>
      </c>
      <c r="U378" s="19">
        <v>95</v>
      </c>
      <c r="V378" s="18" t="str" cm="1">
        <f t="array" ref="V378">_xlfn.IFS(U378&lt;=70,"Low",U378&lt;=160,"Medium",U378&gt;=161,"High")</f>
        <v>Medium</v>
      </c>
    </row>
    <row r="379" spans="1:22" x14ac:dyDescent="0.25">
      <c r="A379" s="16">
        <v>988</v>
      </c>
      <c r="B379" s="17">
        <v>40587</v>
      </c>
      <c r="C379" s="18">
        <v>1</v>
      </c>
      <c r="D379" s="18">
        <v>0</v>
      </c>
      <c r="E379" s="18">
        <v>2</v>
      </c>
      <c r="F379" s="18">
        <v>19</v>
      </c>
      <c r="G379" s="18" t="str" cm="1">
        <f t="array" ref="G379">_xlfn.IFS(F379&lt;4,"Night",F379&lt;=6,"Early Morning",F379&lt;11,"Morning",F379&lt;12,"Afternoon",F379&lt;=16,"Afternoon",F379&lt;=20,"Evening",F379&gt;=21,"Night")</f>
        <v>Evening</v>
      </c>
      <c r="H379" s="18" t="b">
        <v>0</v>
      </c>
      <c r="I379" s="18">
        <v>0</v>
      </c>
      <c r="J379" s="18" t="str" cm="1">
        <f t="array" ref="J379">_xlfn.IFS(I379=1,"Monday",I379=2,"Tuesday",I379=3,"Wednesday",I379=4,"Thursday",I379=5,"Friday",I379=6,"Saturday",I379=0,"Sunday")</f>
        <v>Sunday</v>
      </c>
      <c r="K379" s="18">
        <v>1</v>
      </c>
      <c r="L379" s="18">
        <v>0.4</v>
      </c>
      <c r="M379" s="27" t="str" cm="1">
        <f t="array" ref="M379">_xlfn.IFS(L379&lt;0.15,"Cold",L379&lt;0.25,"Mild",L379&lt;=0.32,"Warm",L379&gt;=0.33,"Hot")</f>
        <v>Hot</v>
      </c>
      <c r="N379" s="18">
        <v>0.40910000000000002</v>
      </c>
      <c r="O379" s="18">
        <v>0.35</v>
      </c>
      <c r="P379" s="18" t="str" cm="1">
        <f t="array" ref="P379">_xlfn.IFS(O379&gt;0.61, "High Humidity", O379&gt;=0.6, "Humid", O379&gt;0.4, "Less Humidity", TRUE, "Dry")</f>
        <v>Dry</v>
      </c>
      <c r="Q379" s="18">
        <v>0.28360000000000002</v>
      </c>
      <c r="R379" s="18" t="str" cm="1">
        <f t="array" ref="R379">_xlfn.IFS(Q379&lt;=0.2,"Low Windspeed",Q379&lt;0.4,"Medium Windspeed",Q379&gt;=0.41,"High Windspeed")</f>
        <v>Medium Windspeed</v>
      </c>
      <c r="S379" s="18">
        <v>11</v>
      </c>
      <c r="T379" s="18">
        <v>50</v>
      </c>
      <c r="U379" s="19">
        <v>61</v>
      </c>
      <c r="V379" s="18" t="str" cm="1">
        <f t="array" ref="V379">_xlfn.IFS(U379&lt;=70,"Low",U379&lt;=160,"Medium",U379&gt;=161,"High")</f>
        <v>Low</v>
      </c>
    </row>
    <row r="380" spans="1:22" x14ac:dyDescent="0.25">
      <c r="A380" s="16">
        <v>989</v>
      </c>
      <c r="B380" s="17">
        <v>40587</v>
      </c>
      <c r="C380" s="18">
        <v>1</v>
      </c>
      <c r="D380" s="18">
        <v>0</v>
      </c>
      <c r="E380" s="18">
        <v>2</v>
      </c>
      <c r="F380" s="18">
        <v>20</v>
      </c>
      <c r="G380" s="18" t="str" cm="1">
        <f t="array" ref="G380">_xlfn.IFS(F380&lt;4,"Night",F380&lt;=6,"Early Morning",F380&lt;11,"Morning",F380&lt;12,"Afternoon",F380&lt;=16,"Afternoon",F380&lt;=20,"Evening",F380&gt;=21,"Night")</f>
        <v>Evening</v>
      </c>
      <c r="H380" s="18" t="b">
        <v>0</v>
      </c>
      <c r="I380" s="18">
        <v>0</v>
      </c>
      <c r="J380" s="18" t="str" cm="1">
        <f t="array" ref="J380">_xlfn.IFS(I380=1,"Monday",I380=2,"Tuesday",I380=3,"Wednesday",I380=4,"Thursday",I380=5,"Friday",I380=6,"Saturday",I380=0,"Sunday")</f>
        <v>Sunday</v>
      </c>
      <c r="K380" s="18">
        <v>1</v>
      </c>
      <c r="L380" s="18">
        <v>0.4</v>
      </c>
      <c r="M380" s="27" t="str" cm="1">
        <f t="array" ref="M380">_xlfn.IFS(L380&lt;0.15,"Cold",L380&lt;0.25,"Mild",L380&lt;=0.32,"Warm",L380&gt;=0.33,"Hot")</f>
        <v>Hot</v>
      </c>
      <c r="N380" s="18">
        <v>0.40910000000000002</v>
      </c>
      <c r="O380" s="18">
        <v>0.35</v>
      </c>
      <c r="P380" s="18" t="str" cm="1">
        <f t="array" ref="P380">_xlfn.IFS(O380&gt;0.61, "High Humidity", O380&gt;=0.6, "Humid", O380&gt;0.4, "Less Humidity", TRUE, "Dry")</f>
        <v>Dry</v>
      </c>
      <c r="Q380" s="18">
        <v>0.32840000000000003</v>
      </c>
      <c r="R380" s="18" t="str" cm="1">
        <f t="array" ref="R380">_xlfn.IFS(Q380&lt;=0.2,"Low Windspeed",Q380&lt;0.4,"Medium Windspeed",Q380&gt;=0.41,"High Windspeed")</f>
        <v>Medium Windspeed</v>
      </c>
      <c r="S380" s="18">
        <v>15</v>
      </c>
      <c r="T380" s="18">
        <v>32</v>
      </c>
      <c r="U380" s="19">
        <v>47</v>
      </c>
      <c r="V380" s="18" t="str" cm="1">
        <f t="array" ref="V380">_xlfn.IFS(U380&lt;=70,"Low",U380&lt;=160,"Medium",U380&gt;=161,"High")</f>
        <v>Low</v>
      </c>
    </row>
    <row r="381" spans="1:22" x14ac:dyDescent="0.25">
      <c r="A381" s="16">
        <v>990</v>
      </c>
      <c r="B381" s="17">
        <v>40587</v>
      </c>
      <c r="C381" s="18">
        <v>1</v>
      </c>
      <c r="D381" s="18">
        <v>0</v>
      </c>
      <c r="E381" s="18">
        <v>2</v>
      </c>
      <c r="F381" s="18">
        <v>21</v>
      </c>
      <c r="G381" s="18" t="str" cm="1">
        <f t="array" ref="G381">_xlfn.IFS(F381&lt;4,"Night",F381&lt;=6,"Early Morning",F381&lt;11,"Morning",F381&lt;12,"Afternoon",F381&lt;=16,"Afternoon",F381&lt;=20,"Evening",F381&gt;=21,"Night")</f>
        <v>Night</v>
      </c>
      <c r="H381" s="18" t="b">
        <v>0</v>
      </c>
      <c r="I381" s="18">
        <v>0</v>
      </c>
      <c r="J381" s="18" t="str" cm="1">
        <f t="array" ref="J381">_xlfn.IFS(I381=1,"Monday",I381=2,"Tuesday",I381=3,"Wednesday",I381=4,"Thursday",I381=5,"Friday",I381=6,"Saturday",I381=0,"Sunday")</f>
        <v>Sunday</v>
      </c>
      <c r="K381" s="18">
        <v>1</v>
      </c>
      <c r="L381" s="18">
        <v>0.4</v>
      </c>
      <c r="M381" s="27" t="str" cm="1">
        <f t="array" ref="M381">_xlfn.IFS(L381&lt;0.15,"Cold",L381&lt;0.25,"Mild",L381&lt;=0.32,"Warm",L381&gt;=0.33,"Hot")</f>
        <v>Hot</v>
      </c>
      <c r="N381" s="18">
        <v>0.40910000000000002</v>
      </c>
      <c r="O381" s="18">
        <v>0.35</v>
      </c>
      <c r="P381" s="18" t="str" cm="1">
        <f t="array" ref="P381">_xlfn.IFS(O381&gt;0.61, "High Humidity", O381&gt;=0.6, "Humid", O381&gt;0.4, "Less Humidity", TRUE, "Dry")</f>
        <v>Dry</v>
      </c>
      <c r="Q381" s="18">
        <v>0.35820000000000002</v>
      </c>
      <c r="R381" s="18" t="str" cm="1">
        <f t="array" ref="R381">_xlfn.IFS(Q381&lt;=0.2,"Low Windspeed",Q381&lt;0.4,"Medium Windspeed",Q381&gt;=0.41,"High Windspeed")</f>
        <v>Medium Windspeed</v>
      </c>
      <c r="S381" s="18">
        <v>6</v>
      </c>
      <c r="T381" s="18">
        <v>45</v>
      </c>
      <c r="U381" s="19">
        <v>51</v>
      </c>
      <c r="V381" s="18" t="str" cm="1">
        <f t="array" ref="V381">_xlfn.IFS(U381&lt;=70,"Low",U381&lt;=160,"Medium",U381&gt;=161,"High")</f>
        <v>Low</v>
      </c>
    </row>
    <row r="382" spans="1:22" x14ac:dyDescent="0.25">
      <c r="A382" s="16">
        <v>991</v>
      </c>
      <c r="B382" s="17">
        <v>40587</v>
      </c>
      <c r="C382" s="18">
        <v>1</v>
      </c>
      <c r="D382" s="18">
        <v>0</v>
      </c>
      <c r="E382" s="18">
        <v>2</v>
      </c>
      <c r="F382" s="18">
        <v>22</v>
      </c>
      <c r="G382" s="18" t="str" cm="1">
        <f t="array" ref="G382">_xlfn.IFS(F382&lt;4,"Night",F382&lt;=6,"Early Morning",F382&lt;11,"Morning",F382&lt;12,"Afternoon",F382&lt;=16,"Afternoon",F382&lt;=20,"Evening",F382&gt;=21,"Night")</f>
        <v>Night</v>
      </c>
      <c r="H382" s="18" t="b">
        <v>0</v>
      </c>
      <c r="I382" s="18">
        <v>0</v>
      </c>
      <c r="J382" s="18" t="str" cm="1">
        <f t="array" ref="J382">_xlfn.IFS(I382=1,"Monday",I382=2,"Tuesday",I382=3,"Wednesday",I382=4,"Thursday",I382=5,"Friday",I382=6,"Saturday",I382=0,"Sunday")</f>
        <v>Sunday</v>
      </c>
      <c r="K382" s="18">
        <v>1</v>
      </c>
      <c r="L382" s="18">
        <v>0.4</v>
      </c>
      <c r="M382" s="27" t="str" cm="1">
        <f t="array" ref="M382">_xlfn.IFS(L382&lt;0.15,"Cold",L382&lt;0.25,"Mild",L382&lt;=0.32,"Warm",L382&gt;=0.33,"Hot")</f>
        <v>Hot</v>
      </c>
      <c r="N382" s="18">
        <v>0.40910000000000002</v>
      </c>
      <c r="O382" s="18">
        <v>0.35</v>
      </c>
      <c r="P382" s="18" t="str" cm="1">
        <f t="array" ref="P382">_xlfn.IFS(O382&gt;0.61, "High Humidity", O382&gt;=0.6, "Humid", O382&gt;0.4, "Less Humidity", TRUE, "Dry")</f>
        <v>Dry</v>
      </c>
      <c r="Q382" s="18">
        <v>0.29849999999999999</v>
      </c>
      <c r="R382" s="18" t="str" cm="1">
        <f t="array" ref="R382">_xlfn.IFS(Q382&lt;=0.2,"Low Windspeed",Q382&lt;0.4,"Medium Windspeed",Q382&gt;=0.41,"High Windspeed")</f>
        <v>Medium Windspeed</v>
      </c>
      <c r="S382" s="18">
        <v>5</v>
      </c>
      <c r="T382" s="18">
        <v>31</v>
      </c>
      <c r="U382" s="19">
        <v>36</v>
      </c>
      <c r="V382" s="18" t="str" cm="1">
        <f t="array" ref="V382">_xlfn.IFS(U382&lt;=70,"Low",U382&lt;=160,"Medium",U382&gt;=161,"High")</f>
        <v>Low</v>
      </c>
    </row>
    <row r="383" spans="1:22" x14ac:dyDescent="0.25">
      <c r="A383" s="16">
        <v>992</v>
      </c>
      <c r="B383" s="17">
        <v>40587</v>
      </c>
      <c r="C383" s="18">
        <v>1</v>
      </c>
      <c r="D383" s="18">
        <v>0</v>
      </c>
      <c r="E383" s="18">
        <v>2</v>
      </c>
      <c r="F383" s="18">
        <v>23</v>
      </c>
      <c r="G383" s="18" t="str" cm="1">
        <f t="array" ref="G383">_xlfn.IFS(F383&lt;4,"Night",F383&lt;=6,"Early Morning",F383&lt;11,"Morning",F383&lt;12,"Afternoon",F383&lt;=16,"Afternoon",F383&lt;=20,"Evening",F383&gt;=21,"Night")</f>
        <v>Night</v>
      </c>
      <c r="H383" s="18" t="b">
        <v>0</v>
      </c>
      <c r="I383" s="18">
        <v>0</v>
      </c>
      <c r="J383" s="18" t="str" cm="1">
        <f t="array" ref="J383">_xlfn.IFS(I383=1,"Monday",I383=2,"Tuesday",I383=3,"Wednesday",I383=4,"Thursday",I383=5,"Friday",I383=6,"Saturday",I383=0,"Sunday")</f>
        <v>Sunday</v>
      </c>
      <c r="K383" s="18">
        <v>1</v>
      </c>
      <c r="L383" s="18">
        <v>0.4</v>
      </c>
      <c r="M383" s="27" t="str" cm="1">
        <f t="array" ref="M383">_xlfn.IFS(L383&lt;0.15,"Cold",L383&lt;0.25,"Mild",L383&lt;=0.32,"Warm",L383&gt;=0.33,"Hot")</f>
        <v>Hot</v>
      </c>
      <c r="N383" s="18">
        <v>0.40910000000000002</v>
      </c>
      <c r="O383" s="18">
        <v>0.35</v>
      </c>
      <c r="P383" s="18" t="str" cm="1">
        <f t="array" ref="P383">_xlfn.IFS(O383&gt;0.61, "High Humidity", O383&gt;=0.6, "Humid", O383&gt;0.4, "Less Humidity", TRUE, "Dry")</f>
        <v>Dry</v>
      </c>
      <c r="Q383" s="18">
        <v>0.35820000000000002</v>
      </c>
      <c r="R383" s="18" t="str" cm="1">
        <f t="array" ref="R383">_xlfn.IFS(Q383&lt;=0.2,"Low Windspeed",Q383&lt;0.4,"Medium Windspeed",Q383&gt;=0.41,"High Windspeed")</f>
        <v>Medium Windspeed</v>
      </c>
      <c r="S383" s="18">
        <v>3</v>
      </c>
      <c r="T383" s="18">
        <v>27</v>
      </c>
      <c r="U383" s="19">
        <v>30</v>
      </c>
      <c r="V383" s="18" t="str" cm="1">
        <f t="array" ref="V383">_xlfn.IFS(U383&lt;=70,"Low",U383&lt;=160,"Medium",U383&gt;=161,"High")</f>
        <v>Low</v>
      </c>
    </row>
    <row r="384" spans="1:22" x14ac:dyDescent="0.25">
      <c r="A384" s="16">
        <v>993</v>
      </c>
      <c r="B384" s="17">
        <v>40588</v>
      </c>
      <c r="C384" s="18">
        <v>1</v>
      </c>
      <c r="D384" s="18">
        <v>0</v>
      </c>
      <c r="E384" s="18">
        <v>2</v>
      </c>
      <c r="F384" s="18">
        <v>0</v>
      </c>
      <c r="G384" s="18" t="str" cm="1">
        <f t="array" ref="G384">_xlfn.IFS(F384&lt;4,"Night",F384&lt;=6,"Early Morning",F384&lt;11,"Morning",F384&lt;12,"Afternoon",F384&lt;=16,"Afternoon",F384&lt;=20,"Evening",F384&gt;=21,"Night")</f>
        <v>Night</v>
      </c>
      <c r="H384" s="18" t="b">
        <v>0</v>
      </c>
      <c r="I384" s="18">
        <v>1</v>
      </c>
      <c r="J384" s="18" t="str" cm="1">
        <f t="array" ref="J384">_xlfn.IFS(I384=1,"Monday",I384=2,"Tuesday",I384=3,"Wednesday",I384=4,"Thursday",I384=5,"Friday",I384=6,"Saturday",I384=0,"Sunday")</f>
        <v>Monday</v>
      </c>
      <c r="K384" s="18">
        <v>1</v>
      </c>
      <c r="L384" s="18">
        <v>0.38</v>
      </c>
      <c r="M384" s="27" t="str" cm="1">
        <f t="array" ref="M384">_xlfn.IFS(L384&lt;0.15,"Cold",L384&lt;0.25,"Mild",L384&lt;=0.32,"Warm",L384&gt;=0.33,"Hot")</f>
        <v>Hot</v>
      </c>
      <c r="N384" s="18">
        <v>0.39389999999999997</v>
      </c>
      <c r="O384" s="18">
        <v>0.37</v>
      </c>
      <c r="P384" s="18" t="str" cm="1">
        <f t="array" ref="P384">_xlfn.IFS(O384&gt;0.61, "High Humidity", O384&gt;=0.6, "Humid", O384&gt;0.4, "Less Humidity", TRUE, "Dry")</f>
        <v>Dry</v>
      </c>
      <c r="Q384" s="18">
        <v>0.35820000000000002</v>
      </c>
      <c r="R384" s="18" t="str" cm="1">
        <f t="array" ref="R384">_xlfn.IFS(Q384&lt;=0.2,"Low Windspeed",Q384&lt;0.4,"Medium Windspeed",Q384&gt;=0.41,"High Windspeed")</f>
        <v>Medium Windspeed</v>
      </c>
      <c r="S384" s="18">
        <v>3</v>
      </c>
      <c r="T384" s="18">
        <v>8</v>
      </c>
      <c r="U384" s="19">
        <v>11</v>
      </c>
      <c r="V384" s="18" t="str" cm="1">
        <f t="array" ref="V384">_xlfn.IFS(U384&lt;=70,"Low",U384&lt;=160,"Medium",U384&gt;=161,"High")</f>
        <v>Low</v>
      </c>
    </row>
    <row r="385" spans="1:22" x14ac:dyDescent="0.25">
      <c r="A385" s="16">
        <v>994</v>
      </c>
      <c r="B385" s="17">
        <v>40588</v>
      </c>
      <c r="C385" s="18">
        <v>1</v>
      </c>
      <c r="D385" s="18">
        <v>0</v>
      </c>
      <c r="E385" s="18">
        <v>2</v>
      </c>
      <c r="F385" s="18">
        <v>1</v>
      </c>
      <c r="G385" s="18" t="str" cm="1">
        <f t="array" ref="G385">_xlfn.IFS(F385&lt;4,"Night",F385&lt;=6,"Early Morning",F385&lt;11,"Morning",F385&lt;12,"Afternoon",F385&lt;=16,"Afternoon",F385&lt;=20,"Evening",F385&gt;=21,"Night")</f>
        <v>Night</v>
      </c>
      <c r="H385" s="18" t="b">
        <v>0</v>
      </c>
      <c r="I385" s="18">
        <v>1</v>
      </c>
      <c r="J385" s="18" t="str" cm="1">
        <f t="array" ref="J385">_xlfn.IFS(I385=1,"Monday",I385=2,"Tuesday",I385=3,"Wednesday",I385=4,"Thursday",I385=5,"Friday",I385=6,"Saturday",I385=0,"Sunday")</f>
        <v>Monday</v>
      </c>
      <c r="K385" s="18">
        <v>1</v>
      </c>
      <c r="L385" s="18">
        <v>0.38</v>
      </c>
      <c r="M385" s="27" t="str" cm="1">
        <f t="array" ref="M385">_xlfn.IFS(L385&lt;0.15,"Cold",L385&lt;0.25,"Mild",L385&lt;=0.32,"Warm",L385&gt;=0.33,"Hot")</f>
        <v>Hot</v>
      </c>
      <c r="N385" s="18">
        <v>0.39389999999999997</v>
      </c>
      <c r="O385" s="18">
        <v>0.37</v>
      </c>
      <c r="P385" s="18" t="str" cm="1">
        <f t="array" ref="P385">_xlfn.IFS(O385&gt;0.61, "High Humidity", O385&gt;=0.6, "Humid", O385&gt;0.4, "Less Humidity", TRUE, "Dry")</f>
        <v>Dry</v>
      </c>
      <c r="Q385" s="18">
        <v>0.35820000000000002</v>
      </c>
      <c r="R385" s="18" t="str" cm="1">
        <f t="array" ref="R385">_xlfn.IFS(Q385&lt;=0.2,"Low Windspeed",Q385&lt;0.4,"Medium Windspeed",Q385&gt;=0.41,"High Windspeed")</f>
        <v>Medium Windspeed</v>
      </c>
      <c r="S385" s="18">
        <v>1</v>
      </c>
      <c r="T385" s="18">
        <v>6</v>
      </c>
      <c r="U385" s="19">
        <v>7</v>
      </c>
      <c r="V385" s="18" t="str" cm="1">
        <f t="array" ref="V385">_xlfn.IFS(U385&lt;=70,"Low",U385&lt;=160,"Medium",U385&gt;=161,"High")</f>
        <v>Low</v>
      </c>
    </row>
    <row r="386" spans="1:22" x14ac:dyDescent="0.25">
      <c r="A386" s="16">
        <v>995</v>
      </c>
      <c r="B386" s="17">
        <v>40588</v>
      </c>
      <c r="C386" s="18">
        <v>1</v>
      </c>
      <c r="D386" s="18">
        <v>0</v>
      </c>
      <c r="E386" s="18">
        <v>2</v>
      </c>
      <c r="F386" s="18">
        <v>2</v>
      </c>
      <c r="G386" s="18" t="str" cm="1">
        <f t="array" ref="G386">_xlfn.IFS(F386&lt;4,"Night",F386&lt;=6,"Early Morning",F386&lt;11,"Morning",F386&lt;12,"Afternoon",F386&lt;=16,"Afternoon",F386&lt;=20,"Evening",F386&gt;=21,"Night")</f>
        <v>Night</v>
      </c>
      <c r="H386" s="18" t="b">
        <v>0</v>
      </c>
      <c r="I386" s="18">
        <v>1</v>
      </c>
      <c r="J386" s="18" t="str" cm="1">
        <f t="array" ref="J386">_xlfn.IFS(I386=1,"Monday",I386=2,"Tuesday",I386=3,"Wednesday",I386=4,"Thursday",I386=5,"Friday",I386=6,"Saturday",I386=0,"Sunday")</f>
        <v>Monday</v>
      </c>
      <c r="K386" s="18">
        <v>1</v>
      </c>
      <c r="L386" s="18">
        <v>0.36</v>
      </c>
      <c r="M386" s="27" t="str" cm="1">
        <f t="array" ref="M386">_xlfn.IFS(L386&lt;0.15,"Cold",L386&lt;0.25,"Mild",L386&lt;=0.32,"Warm",L386&gt;=0.33,"Hot")</f>
        <v>Hot</v>
      </c>
      <c r="N386" s="18">
        <v>0.33329999999999999</v>
      </c>
      <c r="O386" s="18">
        <v>0.4</v>
      </c>
      <c r="P386" s="18" t="str" cm="1">
        <f t="array" ref="P386">_xlfn.IFS(O386&gt;0.61, "High Humidity", O386&gt;=0.6, "Humid", O386&gt;0.4, "Less Humidity", TRUE, "Dry")</f>
        <v>Dry</v>
      </c>
      <c r="Q386" s="18">
        <v>0.29849999999999999</v>
      </c>
      <c r="R386" s="18" t="str" cm="1">
        <f t="array" ref="R386">_xlfn.IFS(Q386&lt;=0.2,"Low Windspeed",Q386&lt;0.4,"Medium Windspeed",Q386&gt;=0.41,"High Windspeed")</f>
        <v>Medium Windspeed</v>
      </c>
      <c r="S386" s="18">
        <v>0</v>
      </c>
      <c r="T386" s="18">
        <v>2</v>
      </c>
      <c r="U386" s="19">
        <v>2</v>
      </c>
      <c r="V386" s="18" t="str" cm="1">
        <f t="array" ref="V386">_xlfn.IFS(U386&lt;=70,"Low",U386&lt;=160,"Medium",U386&gt;=161,"High")</f>
        <v>Low</v>
      </c>
    </row>
    <row r="387" spans="1:22" x14ac:dyDescent="0.25">
      <c r="A387" s="16">
        <v>996</v>
      </c>
      <c r="B387" s="17">
        <v>40588</v>
      </c>
      <c r="C387" s="18">
        <v>1</v>
      </c>
      <c r="D387" s="18">
        <v>0</v>
      </c>
      <c r="E387" s="18">
        <v>2</v>
      </c>
      <c r="F387" s="18">
        <v>3</v>
      </c>
      <c r="G387" s="18" t="str" cm="1">
        <f t="array" ref="G387">_xlfn.IFS(F387&lt;4,"Night",F387&lt;=6,"Early Morning",F387&lt;11,"Morning",F387&lt;12,"Afternoon",F387&lt;=16,"Afternoon",F387&lt;=20,"Evening",F387&gt;=21,"Night")</f>
        <v>Night</v>
      </c>
      <c r="H387" s="18" t="b">
        <v>0</v>
      </c>
      <c r="I387" s="18">
        <v>1</v>
      </c>
      <c r="J387" s="18" t="str" cm="1">
        <f t="array" ref="J387">_xlfn.IFS(I387=1,"Monday",I387=2,"Tuesday",I387=3,"Wednesday",I387=4,"Thursday",I387=5,"Friday",I387=6,"Saturday",I387=0,"Sunday")</f>
        <v>Monday</v>
      </c>
      <c r="K387" s="18">
        <v>1</v>
      </c>
      <c r="L387" s="18">
        <v>0.34</v>
      </c>
      <c r="M387" s="27" t="str" cm="1">
        <f t="array" ref="M387">_xlfn.IFS(L387&lt;0.15,"Cold",L387&lt;0.25,"Mild",L387&lt;=0.32,"Warm",L387&gt;=0.33,"Hot")</f>
        <v>Hot</v>
      </c>
      <c r="N387" s="18">
        <v>0.31819999999999998</v>
      </c>
      <c r="O387" s="18">
        <v>0.46</v>
      </c>
      <c r="P387" s="18" t="str" cm="1">
        <f t="array" ref="P387">_xlfn.IFS(O387&gt;0.61, "High Humidity", O387&gt;=0.6, "Humid", O387&gt;0.4, "Less Humidity", TRUE, "Dry")</f>
        <v>Less Humidity</v>
      </c>
      <c r="Q387" s="18">
        <v>0.22389999999999999</v>
      </c>
      <c r="R387" s="18" t="str" cm="1">
        <f t="array" ref="R387">_xlfn.IFS(Q387&lt;=0.2,"Low Windspeed",Q387&lt;0.4,"Medium Windspeed",Q387&gt;=0.41,"High Windspeed")</f>
        <v>Medium Windspeed</v>
      </c>
      <c r="S387" s="18">
        <v>1</v>
      </c>
      <c r="T387" s="18">
        <v>1</v>
      </c>
      <c r="U387" s="19">
        <v>2</v>
      </c>
      <c r="V387" s="18" t="str" cm="1">
        <f t="array" ref="V387">_xlfn.IFS(U387&lt;=70,"Low",U387&lt;=160,"Medium",U387&gt;=161,"High")</f>
        <v>Low</v>
      </c>
    </row>
    <row r="388" spans="1:22" x14ac:dyDescent="0.25">
      <c r="A388" s="16">
        <v>997</v>
      </c>
      <c r="B388" s="17">
        <v>40588</v>
      </c>
      <c r="C388" s="18">
        <v>1</v>
      </c>
      <c r="D388" s="18">
        <v>0</v>
      </c>
      <c r="E388" s="18">
        <v>2</v>
      </c>
      <c r="F388" s="18">
        <v>4</v>
      </c>
      <c r="G388" s="18" t="str" cm="1">
        <f t="array" ref="G388">_xlfn.IFS(F388&lt;4,"Night",F388&lt;=6,"Early Morning",F388&lt;11,"Morning",F388&lt;12,"Afternoon",F388&lt;=16,"Afternoon",F388&lt;=20,"Evening",F388&gt;=21,"Night")</f>
        <v>Early Morning</v>
      </c>
      <c r="H388" s="18" t="b">
        <v>0</v>
      </c>
      <c r="I388" s="18">
        <v>1</v>
      </c>
      <c r="J388" s="18" t="str" cm="1">
        <f t="array" ref="J388">_xlfn.IFS(I388=1,"Monday",I388=2,"Tuesday",I388=3,"Wednesday",I388=4,"Thursday",I388=5,"Friday",I388=6,"Saturday",I388=0,"Sunday")</f>
        <v>Monday</v>
      </c>
      <c r="K388" s="18">
        <v>1</v>
      </c>
      <c r="L388" s="18">
        <v>0.32</v>
      </c>
      <c r="M388" s="27" t="str" cm="1">
        <f t="array" ref="M388">_xlfn.IFS(L388&lt;0.15,"Cold",L388&lt;0.25,"Mild",L388&lt;=0.32,"Warm",L388&gt;=0.33,"Hot")</f>
        <v>Warm</v>
      </c>
      <c r="N388" s="18">
        <v>0.30299999999999999</v>
      </c>
      <c r="O388" s="18">
        <v>0.53</v>
      </c>
      <c r="P388" s="18" t="str" cm="1">
        <f t="array" ref="P388">_xlfn.IFS(O388&gt;0.61, "High Humidity", O388&gt;=0.6, "Humid", O388&gt;0.4, "Less Humidity", TRUE, "Dry")</f>
        <v>Less Humidity</v>
      </c>
      <c r="Q388" s="18">
        <v>0.28360000000000002</v>
      </c>
      <c r="R388" s="18" t="str" cm="1">
        <f t="array" ref="R388">_xlfn.IFS(Q388&lt;=0.2,"Low Windspeed",Q388&lt;0.4,"Medium Windspeed",Q388&gt;=0.41,"High Windspeed")</f>
        <v>Medium Windspeed</v>
      </c>
      <c r="S388" s="18">
        <v>0</v>
      </c>
      <c r="T388" s="18">
        <v>2</v>
      </c>
      <c r="U388" s="19">
        <v>2</v>
      </c>
      <c r="V388" s="18" t="str" cm="1">
        <f t="array" ref="V388">_xlfn.IFS(U388&lt;=70,"Low",U388&lt;=160,"Medium",U388&gt;=161,"High")</f>
        <v>Low</v>
      </c>
    </row>
    <row r="389" spans="1:22" x14ac:dyDescent="0.25">
      <c r="A389" s="16">
        <v>998</v>
      </c>
      <c r="B389" s="17">
        <v>40588</v>
      </c>
      <c r="C389" s="18">
        <v>1</v>
      </c>
      <c r="D389" s="18">
        <v>0</v>
      </c>
      <c r="E389" s="18">
        <v>2</v>
      </c>
      <c r="F389" s="18">
        <v>5</v>
      </c>
      <c r="G389" s="18" t="str" cm="1">
        <f t="array" ref="G389">_xlfn.IFS(F389&lt;4,"Night",F389&lt;=6,"Early Morning",F389&lt;11,"Morning",F389&lt;12,"Afternoon",F389&lt;=16,"Afternoon",F389&lt;=20,"Evening",F389&gt;=21,"Night")</f>
        <v>Early Morning</v>
      </c>
      <c r="H389" s="18" t="b">
        <v>0</v>
      </c>
      <c r="I389" s="18">
        <v>1</v>
      </c>
      <c r="J389" s="18" t="str" cm="1">
        <f t="array" ref="J389">_xlfn.IFS(I389=1,"Monday",I389=2,"Tuesday",I389=3,"Wednesday",I389=4,"Thursday",I389=5,"Friday",I389=6,"Saturday",I389=0,"Sunday")</f>
        <v>Monday</v>
      </c>
      <c r="K389" s="18">
        <v>1</v>
      </c>
      <c r="L389" s="18">
        <v>0.32</v>
      </c>
      <c r="M389" s="27" t="str" cm="1">
        <f t="array" ref="M389">_xlfn.IFS(L389&lt;0.15,"Cold",L389&lt;0.25,"Mild",L389&lt;=0.32,"Warm",L389&gt;=0.33,"Hot")</f>
        <v>Warm</v>
      </c>
      <c r="N389" s="18">
        <v>0.30299999999999999</v>
      </c>
      <c r="O389" s="18">
        <v>0.53</v>
      </c>
      <c r="P389" s="18" t="str" cm="1">
        <f t="array" ref="P389">_xlfn.IFS(O389&gt;0.61, "High Humidity", O389&gt;=0.6, "Humid", O389&gt;0.4, "Less Humidity", TRUE, "Dry")</f>
        <v>Less Humidity</v>
      </c>
      <c r="Q389" s="18">
        <v>0.28360000000000002</v>
      </c>
      <c r="R389" s="18" t="str" cm="1">
        <f t="array" ref="R389">_xlfn.IFS(Q389&lt;=0.2,"Low Windspeed",Q389&lt;0.4,"Medium Windspeed",Q389&gt;=0.41,"High Windspeed")</f>
        <v>Medium Windspeed</v>
      </c>
      <c r="S389" s="18">
        <v>0</v>
      </c>
      <c r="T389" s="18">
        <v>3</v>
      </c>
      <c r="U389" s="19">
        <v>3</v>
      </c>
      <c r="V389" s="18" t="str" cm="1">
        <f t="array" ref="V389">_xlfn.IFS(U389&lt;=70,"Low",U389&lt;=160,"Medium",U389&gt;=161,"High")</f>
        <v>Low</v>
      </c>
    </row>
    <row r="390" spans="1:22" x14ac:dyDescent="0.25">
      <c r="A390" s="16">
        <v>999</v>
      </c>
      <c r="B390" s="17">
        <v>40588</v>
      </c>
      <c r="C390" s="18">
        <v>1</v>
      </c>
      <c r="D390" s="18">
        <v>0</v>
      </c>
      <c r="E390" s="18">
        <v>2</v>
      </c>
      <c r="F390" s="18">
        <v>6</v>
      </c>
      <c r="G390" s="18" t="str" cm="1">
        <f t="array" ref="G390">_xlfn.IFS(F390&lt;4,"Night",F390&lt;=6,"Early Morning",F390&lt;11,"Morning",F390&lt;12,"Afternoon",F390&lt;=16,"Afternoon",F390&lt;=20,"Evening",F390&gt;=21,"Night")</f>
        <v>Early Morning</v>
      </c>
      <c r="H390" s="18" t="b">
        <v>0</v>
      </c>
      <c r="I390" s="18">
        <v>1</v>
      </c>
      <c r="J390" s="18" t="str" cm="1">
        <f t="array" ref="J390">_xlfn.IFS(I390=1,"Monday",I390=2,"Tuesday",I390=3,"Wednesday",I390=4,"Thursday",I390=5,"Friday",I390=6,"Saturday",I390=0,"Sunday")</f>
        <v>Monday</v>
      </c>
      <c r="K390" s="18">
        <v>1</v>
      </c>
      <c r="L390" s="18">
        <v>0.34</v>
      </c>
      <c r="M390" s="27" t="str" cm="1">
        <f t="array" ref="M390">_xlfn.IFS(L390&lt;0.15,"Cold",L390&lt;0.25,"Mild",L390&lt;=0.32,"Warm",L390&gt;=0.33,"Hot")</f>
        <v>Hot</v>
      </c>
      <c r="N390" s="18">
        <v>0.30299999999999999</v>
      </c>
      <c r="O390" s="18">
        <v>0.46</v>
      </c>
      <c r="P390" s="18" t="str" cm="1">
        <f t="array" ref="P390">_xlfn.IFS(O390&gt;0.61, "High Humidity", O390&gt;=0.6, "Humid", O390&gt;0.4, "Less Humidity", TRUE, "Dry")</f>
        <v>Less Humidity</v>
      </c>
      <c r="Q390" s="18">
        <v>0.29849999999999999</v>
      </c>
      <c r="R390" s="18" t="str" cm="1">
        <f t="array" ref="R390">_xlfn.IFS(Q390&lt;=0.2,"Low Windspeed",Q390&lt;0.4,"Medium Windspeed",Q390&gt;=0.41,"High Windspeed")</f>
        <v>Medium Windspeed</v>
      </c>
      <c r="S390" s="18">
        <v>1</v>
      </c>
      <c r="T390" s="18">
        <v>25</v>
      </c>
      <c r="U390" s="19">
        <v>26</v>
      </c>
      <c r="V390" s="18" t="str" cm="1">
        <f t="array" ref="V390">_xlfn.IFS(U390&lt;=70,"Low",U390&lt;=160,"Medium",U390&gt;=161,"High")</f>
        <v>Low</v>
      </c>
    </row>
    <row r="391" spans="1:22" x14ac:dyDescent="0.25">
      <c r="A391" s="20">
        <v>1000</v>
      </c>
      <c r="B391" s="21">
        <v>40588</v>
      </c>
      <c r="C391" s="22">
        <v>1</v>
      </c>
      <c r="D391" s="22">
        <v>0</v>
      </c>
      <c r="E391" s="22">
        <v>2</v>
      </c>
      <c r="F391" s="22">
        <v>7</v>
      </c>
      <c r="G391" s="22" t="str" cm="1">
        <f t="array" ref="G391">_xlfn.IFS(F391&lt;4,"Night",F391&lt;=6,"Early Morning",F391&lt;11,"Morning",F391&lt;12,"Afternoon",F391&lt;=16,"Afternoon",F391&lt;=20,"Evening",F391&gt;=21,"Night")</f>
        <v>Morning</v>
      </c>
      <c r="H391" s="22" t="b">
        <v>0</v>
      </c>
      <c r="I391" s="22">
        <v>1</v>
      </c>
      <c r="J391" s="22" t="str" cm="1">
        <f t="array" ref="J391">_xlfn.IFS(I391=1,"Monday",I391=2,"Tuesday",I391=3,"Wednesday",I391=4,"Thursday",I391=5,"Friday",I391=6,"Saturday",I391=0,"Sunday")</f>
        <v>Monday</v>
      </c>
      <c r="K391" s="22">
        <v>1</v>
      </c>
      <c r="L391" s="22">
        <v>0.34</v>
      </c>
      <c r="M391" s="28" t="str" cm="1">
        <f t="array" ref="M391">_xlfn.IFS(L391&lt;0.15,"Cold",L391&lt;0.25,"Mild",L391&lt;=0.32,"Warm",L391&gt;=0.33,"Hot")</f>
        <v>Hot</v>
      </c>
      <c r="N391" s="22">
        <v>0.30299999999999999</v>
      </c>
      <c r="O391" s="22">
        <v>0.46</v>
      </c>
      <c r="P391" s="22" t="str" cm="1">
        <f t="array" ref="P391">_xlfn.IFS(O391&gt;0.61, "High Humidity", O391&gt;=0.6, "Humid", O391&gt;0.4, "Less Humidity", TRUE, "Dry")</f>
        <v>Less Humidity</v>
      </c>
      <c r="Q391" s="22">
        <v>0.29849999999999999</v>
      </c>
      <c r="R391" s="22" t="str" cm="1">
        <f t="array" ref="R391">_xlfn.IFS(Q391&lt;=0.2,"Low Windspeed",Q391&lt;0.4,"Medium Windspeed",Q391&gt;=0.41,"High Windspeed")</f>
        <v>Medium Windspeed</v>
      </c>
      <c r="S391" s="22">
        <v>2</v>
      </c>
      <c r="T391" s="22">
        <v>96</v>
      </c>
      <c r="U391" s="23">
        <v>98</v>
      </c>
      <c r="V391" s="22" t="str" cm="1">
        <f t="array" ref="V391">_xlfn.IFS(U391&lt;=70,"Low",U391&lt;=160,"Medium",U391&gt;=161,"High")</f>
        <v>Medium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AEA24-9DA9-486B-A9E1-1288660431DF}">
  <dimension ref="A3:F46"/>
  <sheetViews>
    <sheetView tabSelected="1" topLeftCell="A53" workbookViewId="0">
      <selection activeCell="A71" sqref="A71"/>
    </sheetView>
  </sheetViews>
  <sheetFormatPr defaultRowHeight="13.2" x14ac:dyDescent="0.25"/>
  <cols>
    <col min="1" max="1" width="13.33203125" bestFit="1" customWidth="1"/>
    <col min="2" max="2" width="21.44140625" bestFit="1" customWidth="1"/>
    <col min="3" max="3" width="27.6640625" bestFit="1" customWidth="1"/>
    <col min="4" max="4" width="21.44140625" bestFit="1" customWidth="1"/>
    <col min="5" max="5" width="17.33203125" bestFit="1" customWidth="1"/>
    <col min="6" max="6" width="21.44140625" bestFit="1" customWidth="1"/>
    <col min="7" max="9" width="16.21875" bestFit="1" customWidth="1"/>
    <col min="10" max="10" width="11.33203125" bestFit="1" customWidth="1"/>
  </cols>
  <sheetData>
    <row r="3" spans="1:4" x14ac:dyDescent="0.25">
      <c r="A3" s="35" t="s">
        <v>16</v>
      </c>
      <c r="B3" s="36" t="s">
        <v>35</v>
      </c>
      <c r="C3" s="36" t="s">
        <v>36</v>
      </c>
      <c r="D3" s="36" t="s">
        <v>37</v>
      </c>
    </row>
    <row r="4" spans="1:4" x14ac:dyDescent="0.25">
      <c r="A4" s="36" t="s">
        <v>26</v>
      </c>
      <c r="B4" s="37">
        <v>891</v>
      </c>
      <c r="C4" s="37">
        <v>3417</v>
      </c>
      <c r="D4" s="37">
        <v>4308</v>
      </c>
    </row>
    <row r="5" spans="1:4" x14ac:dyDescent="0.25">
      <c r="A5" s="36" t="s">
        <v>27</v>
      </c>
      <c r="B5" s="37">
        <v>170</v>
      </c>
      <c r="C5" s="37">
        <v>3194</v>
      </c>
      <c r="D5" s="37">
        <v>3364</v>
      </c>
    </row>
    <row r="6" spans="1:4" x14ac:dyDescent="0.25">
      <c r="A6" s="36" t="s">
        <v>28</v>
      </c>
      <c r="B6" s="37">
        <v>111</v>
      </c>
      <c r="C6" s="37">
        <v>2779</v>
      </c>
      <c r="D6" s="37">
        <v>2890</v>
      </c>
    </row>
    <row r="7" spans="1:4" x14ac:dyDescent="0.25">
      <c r="A7" s="36" t="s">
        <v>29</v>
      </c>
      <c r="B7" s="37">
        <v>125</v>
      </c>
      <c r="C7" s="37">
        <v>3006</v>
      </c>
      <c r="D7" s="37">
        <v>3131</v>
      </c>
    </row>
    <row r="8" spans="1:4" x14ac:dyDescent="0.25">
      <c r="A8" s="36" t="s">
        <v>30</v>
      </c>
      <c r="B8" s="37">
        <v>108</v>
      </c>
      <c r="C8" s="37">
        <v>2980</v>
      </c>
      <c r="D8" s="37">
        <v>3088</v>
      </c>
    </row>
    <row r="9" spans="1:4" x14ac:dyDescent="0.25">
      <c r="A9" s="36" t="s">
        <v>31</v>
      </c>
      <c r="B9" s="37">
        <v>259</v>
      </c>
      <c r="C9" s="37">
        <v>3791</v>
      </c>
      <c r="D9" s="37">
        <v>4050</v>
      </c>
    </row>
    <row r="10" spans="1:4" x14ac:dyDescent="0.25">
      <c r="A10" s="36" t="s">
        <v>32</v>
      </c>
      <c r="B10" s="37">
        <v>511</v>
      </c>
      <c r="C10" s="37">
        <v>3064</v>
      </c>
      <c r="D10" s="37">
        <v>3575</v>
      </c>
    </row>
    <row r="11" spans="1:4" x14ac:dyDescent="0.25">
      <c r="A11" s="36" t="s">
        <v>33</v>
      </c>
      <c r="B11" s="37">
        <v>2175</v>
      </c>
      <c r="C11" s="37">
        <v>22231</v>
      </c>
      <c r="D11" s="37">
        <v>24406</v>
      </c>
    </row>
    <row r="15" spans="1:4" x14ac:dyDescent="0.25">
      <c r="A15" s="38" t="s">
        <v>42</v>
      </c>
      <c r="B15" s="18" t="s">
        <v>35</v>
      </c>
      <c r="C15" s="18" t="s">
        <v>36</v>
      </c>
      <c r="D15" s="18" t="s">
        <v>37</v>
      </c>
    </row>
    <row r="16" spans="1:4" x14ac:dyDescent="0.25">
      <c r="A16" s="18" t="s">
        <v>38</v>
      </c>
      <c r="B16" s="39">
        <v>103</v>
      </c>
      <c r="C16" s="39">
        <v>3046</v>
      </c>
      <c r="D16" s="39">
        <v>3149</v>
      </c>
    </row>
    <row r="17" spans="1:6" x14ac:dyDescent="0.25">
      <c r="A17" s="18" t="s">
        <v>39</v>
      </c>
      <c r="B17" s="39">
        <v>791</v>
      </c>
      <c r="C17" s="39">
        <v>3131</v>
      </c>
      <c r="D17" s="39">
        <v>3922</v>
      </c>
    </row>
    <row r="18" spans="1:6" x14ac:dyDescent="0.25">
      <c r="A18" s="18" t="s">
        <v>40</v>
      </c>
      <c r="B18" s="39">
        <v>705</v>
      </c>
      <c r="C18" s="39">
        <v>11676</v>
      </c>
      <c r="D18" s="39">
        <v>12381</v>
      </c>
    </row>
    <row r="19" spans="1:6" x14ac:dyDescent="0.25">
      <c r="A19" s="18" t="s">
        <v>41</v>
      </c>
      <c r="B19" s="39">
        <v>576</v>
      </c>
      <c r="C19" s="39">
        <v>4378</v>
      </c>
      <c r="D19" s="39">
        <v>4954</v>
      </c>
    </row>
    <row r="20" spans="1:6" x14ac:dyDescent="0.25">
      <c r="A20" s="18" t="s">
        <v>33</v>
      </c>
      <c r="B20" s="39">
        <v>2175</v>
      </c>
      <c r="C20" s="39">
        <v>22231</v>
      </c>
      <c r="D20" s="39">
        <v>24406</v>
      </c>
    </row>
    <row r="22" spans="1:6" x14ac:dyDescent="0.25">
      <c r="E22" s="32" t="s">
        <v>25</v>
      </c>
      <c r="F22" t="s">
        <v>34</v>
      </c>
    </row>
    <row r="23" spans="1:6" x14ac:dyDescent="0.25">
      <c r="A23" s="32" t="s">
        <v>25</v>
      </c>
      <c r="B23" t="s">
        <v>34</v>
      </c>
      <c r="E23" s="33" t="s">
        <v>43</v>
      </c>
      <c r="F23" s="34">
        <v>8266</v>
      </c>
    </row>
    <row r="24" spans="1:6" x14ac:dyDescent="0.25">
      <c r="A24" s="33" t="s">
        <v>26</v>
      </c>
      <c r="B24" s="34">
        <v>4308</v>
      </c>
      <c r="E24" s="33" t="s">
        <v>44</v>
      </c>
      <c r="F24" s="34">
        <v>446</v>
      </c>
    </row>
    <row r="25" spans="1:6" x14ac:dyDescent="0.25">
      <c r="A25" s="33" t="s">
        <v>27</v>
      </c>
      <c r="B25" s="34">
        <v>3364</v>
      </c>
      <c r="E25" s="33" t="s">
        <v>45</v>
      </c>
      <c r="F25" s="34">
        <v>7383</v>
      </c>
    </row>
    <row r="26" spans="1:6" x14ac:dyDescent="0.25">
      <c r="A26" s="33" t="s">
        <v>28</v>
      </c>
      <c r="B26" s="34">
        <v>2890</v>
      </c>
      <c r="E26" s="33" t="s">
        <v>46</v>
      </c>
      <c r="F26" s="34">
        <v>5444</v>
      </c>
    </row>
    <row r="27" spans="1:6" x14ac:dyDescent="0.25">
      <c r="A27" s="33" t="s">
        <v>29</v>
      </c>
      <c r="B27" s="34">
        <v>3131</v>
      </c>
      <c r="E27" s="33" t="s">
        <v>47</v>
      </c>
      <c r="F27" s="34">
        <v>2867</v>
      </c>
    </row>
    <row r="28" spans="1:6" x14ac:dyDescent="0.25">
      <c r="A28" s="33" t="s">
        <v>30</v>
      </c>
      <c r="B28" s="34">
        <v>3088</v>
      </c>
      <c r="E28" s="33" t="s">
        <v>33</v>
      </c>
      <c r="F28" s="34">
        <v>24406</v>
      </c>
    </row>
    <row r="29" spans="1:6" x14ac:dyDescent="0.25">
      <c r="A29" s="33" t="s">
        <v>31</v>
      </c>
      <c r="B29" s="34">
        <v>4050</v>
      </c>
    </row>
    <row r="30" spans="1:6" x14ac:dyDescent="0.25">
      <c r="A30" s="33" t="s">
        <v>32</v>
      </c>
      <c r="B30" s="34">
        <v>3575</v>
      </c>
    </row>
    <row r="31" spans="1:6" x14ac:dyDescent="0.25">
      <c r="A31" s="33" t="s">
        <v>33</v>
      </c>
      <c r="B31" s="34">
        <v>24406</v>
      </c>
    </row>
    <row r="41" spans="1:6" x14ac:dyDescent="0.25">
      <c r="A41" s="32" t="s">
        <v>25</v>
      </c>
      <c r="B41" t="s">
        <v>34</v>
      </c>
      <c r="E41" s="32" t="s">
        <v>25</v>
      </c>
      <c r="F41" t="s">
        <v>34</v>
      </c>
    </row>
    <row r="42" spans="1:6" x14ac:dyDescent="0.25">
      <c r="A42" s="33" t="s">
        <v>38</v>
      </c>
      <c r="B42" s="34">
        <v>3149</v>
      </c>
      <c r="E42" s="33" t="s">
        <v>48</v>
      </c>
      <c r="F42" s="34">
        <v>3317</v>
      </c>
    </row>
    <row r="43" spans="1:6" x14ac:dyDescent="0.25">
      <c r="A43" s="33" t="s">
        <v>39</v>
      </c>
      <c r="B43" s="34">
        <v>3922</v>
      </c>
      <c r="E43" s="33" t="s">
        <v>49</v>
      </c>
      <c r="F43" s="34">
        <v>14459</v>
      </c>
    </row>
    <row r="44" spans="1:6" x14ac:dyDescent="0.25">
      <c r="A44" s="33" t="s">
        <v>40</v>
      </c>
      <c r="B44" s="34">
        <v>12381</v>
      </c>
      <c r="E44" s="33" t="s">
        <v>50</v>
      </c>
      <c r="F44" s="34">
        <v>6630</v>
      </c>
    </row>
    <row r="45" spans="1:6" x14ac:dyDescent="0.25">
      <c r="A45" s="33" t="s">
        <v>41</v>
      </c>
      <c r="B45" s="34">
        <v>4954</v>
      </c>
      <c r="E45" s="33" t="s">
        <v>33</v>
      </c>
      <c r="F45" s="34">
        <v>24406</v>
      </c>
    </row>
    <row r="46" spans="1:6" x14ac:dyDescent="0.25">
      <c r="A46" s="33" t="s">
        <v>33</v>
      </c>
      <c r="B46" s="34">
        <v>24406</v>
      </c>
    </row>
  </sheetData>
  <pageMargins left="0.7" right="0.7" top="0.75" bottom="0.75" header="0.3" footer="0.3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8ADD2A-CDC8-4B37-9D33-65FDFE98AC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dataset_3</vt:lpstr>
      <vt:lpstr>Forecast Rides</vt:lpstr>
      <vt:lpstr>Dataset 3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Singh</dc:creator>
  <cp:lastModifiedBy>Shilpa Singh</cp:lastModifiedBy>
  <dcterms:created xsi:type="dcterms:W3CDTF">2026-07-25T17:27:42Z</dcterms:created>
  <dcterms:modified xsi:type="dcterms:W3CDTF">2026-07-25T17:58:11Z</dcterms:modified>
</cp:coreProperties>
</file>