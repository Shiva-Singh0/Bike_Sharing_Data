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hiva\"/>
    </mc:Choice>
  </mc:AlternateContent>
  <xr:revisionPtr revIDLastSave="0" documentId="13_ncr:1_{29ECCBB6-534E-4FC1-90F0-73A58B6036D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set1" sheetId="1" r:id="rId1"/>
    <sheet name="DB1 edited" sheetId="2" r:id="rId2"/>
    <sheet name="Forecast Data" sheetId="5" r:id="rId3"/>
    <sheet name="Analysis" sheetId="3" r:id="rId4"/>
  </sheets>
  <externalReferences>
    <externalReference r:id="rId5"/>
  </externalReferences>
  <calcPr calcId="191029"/>
  <pivotCaches>
    <pivotCache cacheId="24" r:id="rId6"/>
    <pivotCache cacheId="27" r:id="rId7"/>
    <pivotCache cacheId="3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 a="1"/>
  <c r="K2" i="2" s="1"/>
  <c r="K3" i="2" a="1"/>
  <c r="K3" i="2" s="1"/>
  <c r="K4" i="2" a="1"/>
  <c r="K4" i="2" s="1"/>
  <c r="K5" i="2" a="1"/>
  <c r="K5" i="2"/>
  <c r="K6" i="2" a="1"/>
  <c r="K6" i="2"/>
  <c r="K7" i="2" a="1"/>
  <c r="K7" i="2"/>
  <c r="K8" i="2" a="1"/>
  <c r="K8" i="2"/>
  <c r="K9" i="2" a="1"/>
  <c r="K9" i="2"/>
  <c r="K10" i="2" a="1"/>
  <c r="K10" i="2" s="1"/>
  <c r="K11" i="2" a="1"/>
  <c r="K11" i="2" s="1"/>
  <c r="K12" i="2" a="1"/>
  <c r="K12" i="2" s="1"/>
  <c r="K13" i="2" a="1"/>
  <c r="K13" i="2"/>
  <c r="K14" i="2" a="1"/>
  <c r="K14" i="2"/>
  <c r="K15" i="2" a="1"/>
  <c r="K15" i="2"/>
  <c r="K16" i="2" a="1"/>
  <c r="K16" i="2"/>
  <c r="K17" i="2" a="1"/>
  <c r="K17" i="2"/>
  <c r="K18" i="2" a="1"/>
  <c r="K18" i="2" s="1"/>
  <c r="K19" i="2" a="1"/>
  <c r="K19" i="2" s="1"/>
  <c r="K20" i="2" a="1"/>
  <c r="K20" i="2" s="1"/>
  <c r="K21" i="2" a="1"/>
  <c r="K21" i="2"/>
  <c r="K22" i="2" a="1"/>
  <c r="K22" i="2"/>
  <c r="K23" i="2" a="1"/>
  <c r="K23" i="2"/>
  <c r="K24" i="2" a="1"/>
  <c r="K24" i="2"/>
  <c r="K25" i="2" a="1"/>
  <c r="K25" i="2"/>
  <c r="K26" i="2" a="1"/>
  <c r="K26" i="2" s="1"/>
  <c r="K27" i="2" a="1"/>
  <c r="K27" i="2" s="1"/>
  <c r="K28" i="2" a="1"/>
  <c r="K28" i="2" s="1"/>
  <c r="K29" i="2" a="1"/>
  <c r="K29" i="2"/>
  <c r="K30" i="2" a="1"/>
  <c r="K30" i="2"/>
  <c r="K31" i="2" a="1"/>
  <c r="K31" i="2"/>
  <c r="K32" i="2" a="1"/>
  <c r="K32" i="2"/>
  <c r="K33" i="2" a="1"/>
  <c r="K33" i="2"/>
  <c r="K34" i="2" a="1"/>
  <c r="K34" i="2" s="1"/>
  <c r="K35" i="2" a="1"/>
  <c r="K35" i="2" s="1"/>
  <c r="K36" i="2" a="1"/>
  <c r="K36" i="2" s="1"/>
  <c r="K37" i="2" a="1"/>
  <c r="K37" i="2"/>
  <c r="K38" i="2" a="1"/>
  <c r="K38" i="2"/>
  <c r="K39" i="2" a="1"/>
  <c r="K39" i="2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/>
  <c r="K46" i="2" a="1"/>
  <c r="K46" i="2"/>
  <c r="K47" i="2" a="1"/>
  <c r="K47" i="2"/>
  <c r="K48" i="2" a="1"/>
  <c r="K48" i="2"/>
  <c r="K49" i="2" a="1"/>
  <c r="K49" i="2"/>
  <c r="K50" i="2" a="1"/>
  <c r="K50" i="2" s="1"/>
  <c r="K51" i="2" a="1"/>
  <c r="K51" i="2" s="1"/>
  <c r="K52" i="2" a="1"/>
  <c r="K52" i="2" s="1"/>
  <c r="K53" i="2" a="1"/>
  <c r="K53" i="2"/>
  <c r="K54" i="2" a="1"/>
  <c r="K54" i="2"/>
  <c r="K55" i="2" a="1"/>
  <c r="K55" i="2"/>
  <c r="K56" i="2" a="1"/>
  <c r="K56" i="2"/>
  <c r="K57" i="2" a="1"/>
  <c r="K57" i="2"/>
  <c r="K58" i="2" a="1"/>
  <c r="K58" i="2" s="1"/>
  <c r="K59" i="2" a="1"/>
  <c r="K59" i="2" s="1"/>
  <c r="K60" i="2" a="1"/>
  <c r="K60" i="2" s="1"/>
  <c r="K61" i="2" a="1"/>
  <c r="K61" i="2"/>
  <c r="K62" i="2" a="1"/>
  <c r="K62" i="2"/>
  <c r="K63" i="2" a="1"/>
  <c r="K63" i="2"/>
  <c r="K64" i="2" a="1"/>
  <c r="K64" i="2"/>
  <c r="K65" i="2" a="1"/>
  <c r="K65" i="2"/>
  <c r="K66" i="2" a="1"/>
  <c r="K66" i="2" s="1"/>
  <c r="K67" i="2" a="1"/>
  <c r="K67" i="2" s="1"/>
  <c r="K68" i="2" a="1"/>
  <c r="K68" i="2" s="1"/>
  <c r="K69" i="2" a="1"/>
  <c r="K69" i="2"/>
  <c r="K70" i="2" a="1"/>
  <c r="K70" i="2"/>
  <c r="K71" i="2" a="1"/>
  <c r="K71" i="2"/>
  <c r="K72" i="2" a="1"/>
  <c r="K72" i="2"/>
  <c r="K73" i="2" a="1"/>
  <c r="K73" i="2"/>
  <c r="K74" i="2" a="1"/>
  <c r="K74" i="2" s="1"/>
  <c r="K75" i="2" a="1"/>
  <c r="K75" i="2" s="1"/>
  <c r="K76" i="2" a="1"/>
  <c r="K76" i="2" s="1"/>
  <c r="K77" i="2" a="1"/>
  <c r="K77" i="2"/>
  <c r="K78" i="2" a="1"/>
  <c r="K78" i="2"/>
  <c r="K79" i="2" a="1"/>
  <c r="K79" i="2"/>
  <c r="K80" i="2" a="1"/>
  <c r="K80" i="2"/>
  <c r="K81" i="2" a="1"/>
  <c r="K81" i="2"/>
  <c r="K82" i="2" a="1"/>
  <c r="K82" i="2" s="1"/>
  <c r="K83" i="2" a="1"/>
  <c r="K83" i="2" s="1"/>
  <c r="K84" i="2" a="1"/>
  <c r="K84" i="2" s="1"/>
  <c r="K85" i="2" a="1"/>
  <c r="K85" i="2"/>
  <c r="K86" i="2" a="1"/>
  <c r="K86" i="2"/>
  <c r="K87" i="2" a="1"/>
  <c r="K87" i="2"/>
  <c r="K88" i="2" a="1"/>
  <c r="K88" i="2"/>
  <c r="K89" i="2" a="1"/>
  <c r="K89" i="2"/>
  <c r="K90" i="2" a="1"/>
  <c r="K90" i="2" s="1"/>
  <c r="K91" i="2" a="1"/>
  <c r="K91" i="2" s="1"/>
  <c r="K92" i="2" a="1"/>
  <c r="K92" i="2" s="1"/>
  <c r="K93" i="2" a="1"/>
  <c r="K93" i="2"/>
  <c r="K94" i="2" a="1"/>
  <c r="K94" i="2"/>
  <c r="K95" i="2" a="1"/>
  <c r="K95" i="2"/>
  <c r="K96" i="2" a="1"/>
  <c r="K96" i="2"/>
  <c r="K97" i="2" a="1"/>
  <c r="K97" i="2"/>
  <c r="K98" i="2" a="1"/>
  <c r="K98" i="2" s="1"/>
  <c r="K99" i="2" a="1"/>
  <c r="K99" i="2" s="1"/>
  <c r="K100" i="2" a="1"/>
  <c r="K100" i="2" s="1"/>
  <c r="K101" i="2" a="1"/>
  <c r="K101" i="2"/>
  <c r="K102" i="2" a="1"/>
  <c r="K102" i="2"/>
  <c r="K103" i="2" a="1"/>
  <c r="K103" i="2"/>
  <c r="K104" i="2" a="1"/>
  <c r="K104" i="2"/>
  <c r="K105" i="2" a="1"/>
  <c r="K105" i="2"/>
  <c r="K106" i="2" a="1"/>
  <c r="K106" i="2" s="1"/>
  <c r="K107" i="2" a="1"/>
  <c r="K107" i="2" s="1"/>
  <c r="K108" i="2" a="1"/>
  <c r="K108" i="2" s="1"/>
  <c r="K109" i="2" a="1"/>
  <c r="K109" i="2"/>
  <c r="K110" i="2" a="1"/>
  <c r="K110" i="2"/>
  <c r="K111" i="2" a="1"/>
  <c r="K111" i="2"/>
  <c r="K112" i="2" a="1"/>
  <c r="K112" i="2"/>
  <c r="K113" i="2" a="1"/>
  <c r="K113" i="2"/>
  <c r="K114" i="2" a="1"/>
  <c r="K114" i="2" s="1"/>
  <c r="K115" i="2" a="1"/>
  <c r="K115" i="2" s="1"/>
  <c r="K116" i="2" a="1"/>
  <c r="K116" i="2" s="1"/>
  <c r="K117" i="2" a="1"/>
  <c r="K117" i="2"/>
  <c r="K118" i="2" a="1"/>
  <c r="K118" i="2"/>
  <c r="K119" i="2" a="1"/>
  <c r="K119" i="2"/>
  <c r="K120" i="2" a="1"/>
  <c r="K120" i="2"/>
  <c r="K121" i="2" a="1"/>
  <c r="K121" i="2"/>
  <c r="K122" i="2" a="1"/>
  <c r="K122" i="2" s="1"/>
  <c r="K123" i="2" a="1"/>
  <c r="K123" i="2" s="1"/>
  <c r="K124" i="2" a="1"/>
  <c r="K124" i="2" s="1"/>
  <c r="K125" i="2" a="1"/>
  <c r="K125" i="2"/>
  <c r="K126" i="2" a="1"/>
  <c r="K126" i="2"/>
  <c r="K127" i="2" a="1"/>
  <c r="K127" i="2"/>
  <c r="K128" i="2" a="1"/>
  <c r="K128" i="2"/>
  <c r="K129" i="2" a="1"/>
  <c r="K129" i="2"/>
  <c r="K130" i="2" a="1"/>
  <c r="K130" i="2" s="1"/>
  <c r="K131" i="2" a="1"/>
  <c r="K131" i="2" s="1"/>
  <c r="K132" i="2" a="1"/>
  <c r="K132" i="2" s="1"/>
  <c r="K133" i="2" a="1"/>
  <c r="K133" i="2"/>
  <c r="K134" i="2" a="1"/>
  <c r="K134" i="2"/>
  <c r="K135" i="2" a="1"/>
  <c r="K135" i="2"/>
  <c r="K136" i="2" a="1"/>
  <c r="K136" i="2"/>
  <c r="K137" i="2" a="1"/>
  <c r="K137" i="2"/>
  <c r="K138" i="2" a="1"/>
  <c r="K138" i="2" s="1"/>
  <c r="K139" i="2" a="1"/>
  <c r="K139" i="2" s="1"/>
  <c r="K140" i="2" a="1"/>
  <c r="K140" i="2" s="1"/>
  <c r="K141" i="2" a="1"/>
  <c r="K141" i="2"/>
  <c r="K142" i="2" a="1"/>
  <c r="K142" i="2"/>
  <c r="K143" i="2" a="1"/>
  <c r="K143" i="2"/>
  <c r="K144" i="2" a="1"/>
  <c r="K144" i="2"/>
  <c r="K145" i="2" a="1"/>
  <c r="K145" i="2"/>
  <c r="K146" i="2" a="1"/>
  <c r="K146" i="2" s="1"/>
  <c r="K147" i="2" a="1"/>
  <c r="K147" i="2" s="1"/>
  <c r="K148" i="2" a="1"/>
  <c r="K148" i="2" s="1"/>
  <c r="K149" i="2" a="1"/>
  <c r="K149" i="2"/>
  <c r="K150" i="2" a="1"/>
  <c r="K150" i="2"/>
  <c r="K151" i="2" a="1"/>
  <c r="K151" i="2"/>
  <c r="K152" i="2" a="1"/>
  <c r="K152" i="2"/>
  <c r="K153" i="2" a="1"/>
  <c r="K153" i="2"/>
  <c r="K154" i="2" a="1"/>
  <c r="K154" i="2" s="1"/>
  <c r="K155" i="2" a="1"/>
  <c r="K155" i="2" s="1"/>
  <c r="K156" i="2" a="1"/>
  <c r="K156" i="2" s="1"/>
  <c r="K157" i="2" a="1"/>
  <c r="K157" i="2"/>
  <c r="K158" i="2" a="1"/>
  <c r="K158" i="2"/>
  <c r="K159" i="2" a="1"/>
  <c r="K159" i="2"/>
  <c r="K160" i="2" a="1"/>
  <c r="K160" i="2"/>
  <c r="K161" i="2" a="1"/>
  <c r="K161" i="2"/>
  <c r="K162" i="2" a="1"/>
  <c r="K162" i="2" s="1"/>
  <c r="K163" i="2" a="1"/>
  <c r="K163" i="2" s="1"/>
  <c r="K164" i="2" a="1"/>
  <c r="K164" i="2" s="1"/>
  <c r="K165" i="2" a="1"/>
  <c r="K165" i="2"/>
  <c r="K166" i="2" a="1"/>
  <c r="K166" i="2"/>
  <c r="K167" i="2" a="1"/>
  <c r="K167" i="2"/>
  <c r="K168" i="2" a="1"/>
  <c r="K168" i="2"/>
  <c r="K169" i="2" a="1"/>
  <c r="K169" i="2"/>
  <c r="K170" i="2" a="1"/>
  <c r="K170" i="2" s="1"/>
  <c r="K171" i="2" a="1"/>
  <c r="K171" i="2" s="1"/>
  <c r="K172" i="2" a="1"/>
  <c r="K172" i="2" s="1"/>
  <c r="K173" i="2" a="1"/>
  <c r="K173" i="2"/>
  <c r="K174" i="2" a="1"/>
  <c r="K174" i="2"/>
  <c r="K175" i="2" a="1"/>
  <c r="K175" i="2"/>
  <c r="K176" i="2" a="1"/>
  <c r="K176" i="2"/>
  <c r="K177" i="2" a="1"/>
  <c r="K177" i="2"/>
  <c r="K178" i="2" a="1"/>
  <c r="K178" i="2" s="1"/>
  <c r="K179" i="2" a="1"/>
  <c r="K179" i="2" s="1"/>
  <c r="K180" i="2" a="1"/>
  <c r="K180" i="2" s="1"/>
  <c r="K181" i="2" a="1"/>
  <c r="K181" i="2"/>
  <c r="K182" i="2" a="1"/>
  <c r="K182" i="2"/>
  <c r="K183" i="2" a="1"/>
  <c r="K183" i="2"/>
  <c r="K184" i="2" a="1"/>
  <c r="K184" i="2"/>
  <c r="K185" i="2" a="1"/>
  <c r="K185" i="2"/>
  <c r="K186" i="2" a="1"/>
  <c r="K186" i="2" s="1"/>
  <c r="K187" i="2" a="1"/>
  <c r="K187" i="2" s="1"/>
  <c r="K188" i="2" a="1"/>
  <c r="K188" i="2" s="1"/>
  <c r="K189" i="2" a="1"/>
  <c r="K189" i="2"/>
  <c r="K190" i="2" a="1"/>
  <c r="K190" i="2"/>
  <c r="K191" i="2" a="1"/>
  <c r="K191" i="2"/>
  <c r="K192" i="2" a="1"/>
  <c r="K192" i="2"/>
  <c r="K193" i="2" a="1"/>
  <c r="K193" i="2"/>
  <c r="K194" i="2" a="1"/>
  <c r="K194" i="2" s="1"/>
  <c r="K195" i="2" a="1"/>
  <c r="K195" i="2" s="1"/>
  <c r="K196" i="2" a="1"/>
  <c r="K196" i="2" s="1"/>
  <c r="K197" i="2" a="1"/>
  <c r="K197" i="2"/>
  <c r="K198" i="2" a="1"/>
  <c r="K198" i="2"/>
  <c r="K199" i="2" a="1"/>
  <c r="K199" i="2"/>
  <c r="K200" i="2" a="1"/>
  <c r="K200" i="2"/>
  <c r="K201" i="2" a="1"/>
  <c r="K201" i="2"/>
  <c r="K202" i="2" a="1"/>
  <c r="K202" i="2" s="1"/>
  <c r="K203" i="2" a="1"/>
  <c r="K203" i="2" s="1"/>
  <c r="K204" i="2" a="1"/>
  <c r="K204" i="2" s="1"/>
  <c r="K205" i="2" a="1"/>
  <c r="K205" i="2"/>
  <c r="K206" i="2" a="1"/>
  <c r="K206" i="2"/>
  <c r="K207" i="2" a="1"/>
  <c r="K207" i="2"/>
  <c r="K208" i="2" a="1"/>
  <c r="K208" i="2"/>
  <c r="K209" i="2" a="1"/>
  <c r="K209" i="2"/>
  <c r="K210" i="2" a="1"/>
  <c r="K210" i="2" s="1"/>
  <c r="K211" i="2" a="1"/>
  <c r="K211" i="2" s="1"/>
  <c r="K212" i="2" a="1"/>
  <c r="K212" i="2" s="1"/>
  <c r="K213" i="2" a="1"/>
  <c r="K213" i="2"/>
  <c r="K214" i="2" a="1"/>
  <c r="K214" i="2"/>
  <c r="K215" i="2" a="1"/>
  <c r="K215" i="2"/>
  <c r="K216" i="2" a="1"/>
  <c r="K216" i="2"/>
  <c r="K217" i="2" a="1"/>
  <c r="K217" i="2"/>
  <c r="K218" i="2" a="1"/>
  <c r="K218" i="2" s="1"/>
  <c r="K219" i="2" a="1"/>
  <c r="K219" i="2" s="1"/>
  <c r="K220" i="2" a="1"/>
  <c r="K220" i="2" s="1"/>
  <c r="K221" i="2" a="1"/>
  <c r="K221" i="2"/>
  <c r="K222" i="2" a="1"/>
  <c r="K222" i="2"/>
  <c r="K223" i="2" a="1"/>
  <c r="K223" i="2"/>
  <c r="K224" i="2" a="1"/>
  <c r="K224" i="2"/>
  <c r="K225" i="2" a="1"/>
  <c r="K225" i="2"/>
  <c r="K226" i="2" a="1"/>
  <c r="K226" i="2" s="1"/>
  <c r="K227" i="2" a="1"/>
  <c r="K227" i="2" s="1"/>
  <c r="K228" i="2" a="1"/>
  <c r="K228" i="2" s="1"/>
  <c r="K229" i="2" a="1"/>
  <c r="K229" i="2"/>
  <c r="K230" i="2" a="1"/>
  <c r="K230" i="2"/>
  <c r="K231" i="2" a="1"/>
  <c r="K231" i="2"/>
  <c r="K232" i="2" a="1"/>
  <c r="K232" i="2"/>
  <c r="K233" i="2" a="1"/>
  <c r="K233" i="2"/>
  <c r="K234" i="2" a="1"/>
  <c r="K234" i="2" s="1"/>
  <c r="K235" i="2" a="1"/>
  <c r="K235" i="2" s="1"/>
  <c r="K236" i="2" a="1"/>
  <c r="K236" i="2" s="1"/>
  <c r="K237" i="2" a="1"/>
  <c r="K237" i="2"/>
  <c r="K238" i="2" a="1"/>
  <c r="K238" i="2"/>
  <c r="K239" i="2" a="1"/>
  <c r="K239" i="2"/>
  <c r="K240" i="2" a="1"/>
  <c r="K240" i="2"/>
  <c r="K241" i="2" a="1"/>
  <c r="K241" i="2"/>
  <c r="K242" i="2" a="1"/>
  <c r="K242" i="2" s="1"/>
  <c r="K243" i="2" a="1"/>
  <c r="K243" i="2" s="1"/>
  <c r="K244" i="2" a="1"/>
  <c r="K244" i="2" s="1"/>
  <c r="K245" i="2" a="1"/>
  <c r="K245" i="2"/>
  <c r="K246" i="2" a="1"/>
  <c r="K246" i="2"/>
  <c r="K247" i="2" a="1"/>
  <c r="K247" i="2"/>
  <c r="K248" i="2" a="1"/>
  <c r="K248" i="2"/>
  <c r="K249" i="2" a="1"/>
  <c r="K249" i="2"/>
  <c r="K250" i="2" a="1"/>
  <c r="K250" i="2" s="1"/>
  <c r="K251" i="2" a="1"/>
  <c r="K251" i="2" s="1"/>
  <c r="K252" i="2" a="1"/>
  <c r="K252" i="2" s="1"/>
  <c r="K253" i="2" a="1"/>
  <c r="K253" i="2"/>
  <c r="K254" i="2" a="1"/>
  <c r="K254" i="2"/>
  <c r="K255" i="2" a="1"/>
  <c r="K255" i="2"/>
  <c r="K256" i="2" a="1"/>
  <c r="K256" i="2"/>
  <c r="K257" i="2" a="1"/>
  <c r="K257" i="2"/>
  <c r="K258" i="2" a="1"/>
  <c r="K258" i="2" s="1"/>
  <c r="K259" i="2" a="1"/>
  <c r="K259" i="2" s="1"/>
  <c r="K260" i="2" a="1"/>
  <c r="K260" i="2" s="1"/>
  <c r="K261" i="2" a="1"/>
  <c r="K261" i="2"/>
  <c r="K262" i="2" a="1"/>
  <c r="K262" i="2"/>
  <c r="K263" i="2" a="1"/>
  <c r="K263" i="2"/>
  <c r="K264" i="2" a="1"/>
  <c r="K264" i="2"/>
  <c r="K265" i="2" a="1"/>
  <c r="K265" i="2"/>
  <c r="K266" i="2" a="1"/>
  <c r="K266" i="2" s="1"/>
  <c r="K267" i="2" a="1"/>
  <c r="K267" i="2" s="1"/>
  <c r="K268" i="2" a="1"/>
  <c r="K268" i="2" s="1"/>
  <c r="K269" i="2" a="1"/>
  <c r="K269" i="2"/>
  <c r="K270" i="2" a="1"/>
  <c r="K270" i="2"/>
  <c r="K271" i="2" a="1"/>
  <c r="K271" i="2"/>
  <c r="K272" i="2" a="1"/>
  <c r="K272" i="2"/>
  <c r="K273" i="2" a="1"/>
  <c r="K273" i="2"/>
  <c r="K274" i="2" a="1"/>
  <c r="K274" i="2" s="1"/>
  <c r="K275" i="2" a="1"/>
  <c r="K275" i="2" s="1"/>
  <c r="K276" i="2" a="1"/>
  <c r="K276" i="2" s="1"/>
  <c r="K277" i="2" a="1"/>
  <c r="K277" i="2"/>
  <c r="K278" i="2" a="1"/>
  <c r="K278" i="2"/>
  <c r="K279" i="2" a="1"/>
  <c r="K279" i="2"/>
  <c r="K280" i="2" a="1"/>
  <c r="K280" i="2"/>
  <c r="K281" i="2" a="1"/>
  <c r="K281" i="2"/>
  <c r="K282" i="2" a="1"/>
  <c r="K282" i="2" s="1"/>
  <c r="K283" i="2" a="1"/>
  <c r="K283" i="2" s="1"/>
  <c r="K284" i="2" a="1"/>
  <c r="K284" i="2" s="1"/>
  <c r="K285" i="2" a="1"/>
  <c r="K285" i="2"/>
  <c r="K286" i="2" a="1"/>
  <c r="K286" i="2"/>
  <c r="K287" i="2" a="1"/>
  <c r="K287" i="2"/>
  <c r="K288" i="2" a="1"/>
  <c r="K288" i="2"/>
  <c r="K289" i="2" a="1"/>
  <c r="K289" i="2"/>
  <c r="K290" i="2" a="1"/>
  <c r="K290" i="2" s="1"/>
  <c r="K291" i="2" a="1"/>
  <c r="K291" i="2" s="1"/>
  <c r="K292" i="2" a="1"/>
  <c r="K292" i="2" s="1"/>
  <c r="K293" i="2" a="1"/>
  <c r="K293" i="2"/>
  <c r="K294" i="2" a="1"/>
  <c r="K294" i="2"/>
  <c r="K295" i="2" a="1"/>
  <c r="K295" i="2"/>
  <c r="K296" i="2" a="1"/>
  <c r="K296" i="2"/>
  <c r="K297" i="2" a="1"/>
  <c r="K297" i="2"/>
  <c r="K298" i="2" a="1"/>
  <c r="K298" i="2" s="1"/>
  <c r="K299" i="2" a="1"/>
  <c r="K299" i="2" s="1"/>
  <c r="K300" i="2" a="1"/>
  <c r="K300" i="2" s="1"/>
  <c r="K301" i="2" a="1"/>
  <c r="K301" i="2"/>
  <c r="K302" i="2" a="1"/>
  <c r="K302" i="2"/>
  <c r="K303" i="2" a="1"/>
  <c r="K303" i="2"/>
  <c r="K304" i="2" a="1"/>
  <c r="K304" i="2"/>
  <c r="K305" i="2" a="1"/>
  <c r="K305" i="2"/>
  <c r="K306" i="2" a="1"/>
  <c r="K306" i="2" s="1"/>
  <c r="K307" i="2" a="1"/>
  <c r="K307" i="2" s="1"/>
  <c r="K308" i="2" a="1"/>
  <c r="K308" i="2" s="1"/>
  <c r="K309" i="2" a="1"/>
  <c r="K309" i="2"/>
  <c r="K310" i="2" a="1"/>
  <c r="K310" i="2"/>
  <c r="K311" i="2" a="1"/>
  <c r="K311" i="2"/>
  <c r="K312" i="2" a="1"/>
  <c r="K312" i="2"/>
  <c r="K313" i="2" a="1"/>
  <c r="K313" i="2"/>
  <c r="K314" i="2" a="1"/>
  <c r="K314" i="2" s="1"/>
  <c r="K315" i="2" a="1"/>
  <c r="K315" i="2" s="1"/>
  <c r="K316" i="2" a="1"/>
  <c r="K316" i="2" s="1"/>
  <c r="K317" i="2" a="1"/>
  <c r="K317" i="2"/>
  <c r="K318" i="2" a="1"/>
  <c r="K318" i="2"/>
  <c r="K319" i="2" a="1"/>
  <c r="K319" i="2"/>
  <c r="K320" i="2" a="1"/>
  <c r="K320" i="2"/>
  <c r="K321" i="2" a="1"/>
  <c r="K321" i="2"/>
  <c r="K322" i="2" a="1"/>
  <c r="K322" i="2" s="1"/>
  <c r="K323" i="2" a="1"/>
  <c r="K323" i="2" s="1"/>
  <c r="K324" i="2" a="1"/>
  <c r="K324" i="2" s="1"/>
  <c r="K325" i="2" a="1"/>
  <c r="K325" i="2"/>
  <c r="K326" i="2" a="1"/>
  <c r="K326" i="2"/>
  <c r="K327" i="2" a="1"/>
  <c r="K327" i="2"/>
  <c r="K328" i="2" a="1"/>
  <c r="K328" i="2"/>
  <c r="K329" i="2" a="1"/>
  <c r="K329" i="2"/>
  <c r="K330" i="2" a="1"/>
  <c r="K330" i="2" s="1"/>
  <c r="K331" i="2" a="1"/>
  <c r="K331" i="2" s="1"/>
  <c r="K332" i="2" a="1"/>
  <c r="K332" i="2" s="1"/>
  <c r="K333" i="2" a="1"/>
  <c r="K333" i="2"/>
  <c r="K334" i="2" a="1"/>
  <c r="K334" i="2"/>
  <c r="K335" i="2" a="1"/>
  <c r="K335" i="2"/>
  <c r="K336" i="2" a="1"/>
  <c r="K336" i="2"/>
  <c r="K337" i="2" a="1"/>
  <c r="K337" i="2"/>
  <c r="K338" i="2" a="1"/>
  <c r="K338" i="2" s="1"/>
  <c r="K339" i="2" a="1"/>
  <c r="K339" i="2" s="1"/>
  <c r="K340" i="2" a="1"/>
  <c r="K340" i="2" s="1"/>
  <c r="K341" i="2" a="1"/>
  <c r="K341" i="2"/>
  <c r="K342" i="2" a="1"/>
  <c r="K342" i="2"/>
  <c r="K343" i="2" a="1"/>
  <c r="K343" i="2"/>
  <c r="K344" i="2" a="1"/>
  <c r="K344" i="2"/>
  <c r="K345" i="2" a="1"/>
  <c r="K345" i="2"/>
  <c r="K346" i="2" a="1"/>
  <c r="K346" i="2" s="1"/>
  <c r="K347" i="2" a="1"/>
  <c r="K347" i="2" s="1"/>
  <c r="K348" i="2" a="1"/>
  <c r="K348" i="2" s="1"/>
  <c r="K349" i="2" a="1"/>
  <c r="K349" i="2"/>
  <c r="K350" i="2" a="1"/>
  <c r="K350" i="2"/>
  <c r="K351" i="2" a="1"/>
  <c r="K351" i="2"/>
  <c r="K352" i="2" a="1"/>
  <c r="K352" i="2"/>
  <c r="K353" i="2" a="1"/>
  <c r="K353" i="2"/>
  <c r="K354" i="2" a="1"/>
  <c r="K354" i="2" s="1"/>
  <c r="K355" i="2" a="1"/>
  <c r="K355" i="2" s="1"/>
  <c r="K356" i="2" a="1"/>
  <c r="K356" i="2" s="1"/>
  <c r="K357" i="2" a="1"/>
  <c r="K357" i="2"/>
  <c r="K358" i="2" a="1"/>
  <c r="K358" i="2"/>
  <c r="K359" i="2" a="1"/>
  <c r="K359" i="2"/>
  <c r="K360" i="2" a="1"/>
  <c r="K360" i="2"/>
  <c r="K361" i="2" a="1"/>
  <c r="K361" i="2"/>
  <c r="K362" i="2" a="1"/>
  <c r="K362" i="2" s="1"/>
  <c r="K363" i="2" a="1"/>
  <c r="K363" i="2" s="1"/>
  <c r="K364" i="2" a="1"/>
  <c r="K364" i="2" s="1"/>
  <c r="K365" i="2" a="1"/>
  <c r="K365" i="2"/>
  <c r="K366" i="2" a="1"/>
  <c r="K366" i="2"/>
  <c r="K367" i="2" a="1"/>
  <c r="K367" i="2"/>
  <c r="K368" i="2" a="1"/>
  <c r="K368" i="2"/>
  <c r="K369" i="2" a="1"/>
  <c r="K369" i="2"/>
  <c r="K370" i="2" a="1"/>
  <c r="K370" i="2" s="1"/>
  <c r="K371" i="2" a="1"/>
  <c r="K371" i="2" s="1"/>
  <c r="K372" i="2" a="1"/>
  <c r="K372" i="2" s="1"/>
  <c r="K373" i="2" a="1"/>
  <c r="K373" i="2"/>
  <c r="K374" i="2" a="1"/>
  <c r="K374" i="2"/>
  <c r="K375" i="2" a="1"/>
  <c r="K375" i="2"/>
  <c r="K376" i="2" a="1"/>
  <c r="K376" i="2"/>
  <c r="K377" i="2" a="1"/>
  <c r="K377" i="2"/>
  <c r="K378" i="2" a="1"/>
  <c r="K378" i="2" s="1"/>
  <c r="K379" i="2" a="1"/>
  <c r="K379" i="2" s="1"/>
  <c r="K380" i="2" a="1"/>
  <c r="K380" i="2" s="1"/>
  <c r="K381" i="2" a="1"/>
  <c r="K381" i="2"/>
  <c r="K382" i="2" a="1"/>
  <c r="K382" i="2"/>
  <c r="K383" i="2" a="1"/>
  <c r="K383" i="2"/>
  <c r="K384" i="2" a="1"/>
  <c r="K384" i="2"/>
  <c r="K385" i="2" a="1"/>
  <c r="K385" i="2"/>
  <c r="K386" i="2" a="1"/>
  <c r="K386" i="2" s="1"/>
  <c r="K387" i="2" a="1"/>
  <c r="K387" i="2" s="1"/>
  <c r="K388" i="2" a="1"/>
  <c r="K388" i="2" s="1"/>
  <c r="K389" i="2" a="1"/>
  <c r="K389" i="2"/>
  <c r="K390" i="2" a="1"/>
  <c r="K390" i="2"/>
  <c r="K391" i="2" a="1"/>
  <c r="K391" i="2"/>
  <c r="K392" i="2" a="1"/>
  <c r="K392" i="2"/>
  <c r="K393" i="2" a="1"/>
  <c r="K393" i="2"/>
  <c r="K394" i="2" a="1"/>
  <c r="K394" i="2" s="1"/>
  <c r="K395" i="2" a="1"/>
  <c r="K395" i="2" s="1"/>
  <c r="K396" i="2" a="1"/>
  <c r="K396" i="2" s="1"/>
  <c r="K397" i="2" a="1"/>
  <c r="K397" i="2"/>
  <c r="K398" i="2" a="1"/>
  <c r="K398" i="2"/>
  <c r="K399" i="2" a="1"/>
  <c r="K399" i="2"/>
  <c r="K400" i="2" a="1"/>
  <c r="K400" i="2"/>
  <c r="K401" i="2" a="1"/>
  <c r="K401" i="2"/>
  <c r="K402" i="2" a="1"/>
  <c r="K402" i="2" s="1"/>
  <c r="K403" i="2" a="1"/>
  <c r="K403" i="2" s="1"/>
  <c r="K404" i="2" a="1"/>
  <c r="K404" i="2" s="1"/>
  <c r="K405" i="2" a="1"/>
  <c r="K405" i="2"/>
  <c r="K406" i="2" a="1"/>
  <c r="K406" i="2"/>
  <c r="K407" i="2" a="1"/>
  <c r="K407" i="2"/>
  <c r="K408" i="2" a="1"/>
  <c r="K408" i="2"/>
  <c r="K409" i="2" a="1"/>
  <c r="K409" i="2"/>
  <c r="K410" i="2" a="1"/>
  <c r="K410" i="2" s="1"/>
  <c r="K411" i="2" a="1"/>
  <c r="K411" i="2" s="1"/>
  <c r="K412" i="2" a="1"/>
  <c r="K412" i="2" s="1"/>
  <c r="K413" i="2" a="1"/>
  <c r="K413" i="2"/>
  <c r="K414" i="2" a="1"/>
  <c r="K414" i="2"/>
  <c r="K415" i="2" a="1"/>
  <c r="K415" i="2"/>
  <c r="K416" i="2" a="1"/>
  <c r="K416" i="2"/>
  <c r="K417" i="2" a="1"/>
  <c r="K417" i="2"/>
  <c r="K418" i="2" a="1"/>
  <c r="K418" i="2" s="1"/>
  <c r="K419" i="2" a="1"/>
  <c r="K419" i="2" s="1"/>
  <c r="K420" i="2" a="1"/>
  <c r="K420" i="2" s="1"/>
  <c r="K421" i="2" a="1"/>
  <c r="K421" i="2"/>
  <c r="K422" i="2" a="1"/>
  <c r="K422" i="2"/>
  <c r="K423" i="2" a="1"/>
  <c r="K423" i="2"/>
  <c r="K424" i="2" a="1"/>
  <c r="K424" i="2"/>
  <c r="K425" i="2" a="1"/>
  <c r="K425" i="2"/>
  <c r="K426" i="2" a="1"/>
  <c r="K426" i="2" s="1"/>
  <c r="K427" i="2" a="1"/>
  <c r="K427" i="2" s="1"/>
  <c r="K428" i="2" a="1"/>
  <c r="K428" i="2" s="1"/>
  <c r="K429" i="2" a="1"/>
  <c r="K429" i="2"/>
  <c r="K430" i="2" a="1"/>
  <c r="K430" i="2"/>
  <c r="K431" i="2" a="1"/>
  <c r="K431" i="2"/>
  <c r="K432" i="2" a="1"/>
  <c r="K432" i="2"/>
  <c r="K433" i="2" a="1"/>
  <c r="K433" i="2"/>
  <c r="K434" i="2" a="1"/>
  <c r="K434" i="2" s="1"/>
  <c r="K435" i="2" a="1"/>
  <c r="K435" i="2" s="1"/>
  <c r="K436" i="2" a="1"/>
  <c r="K436" i="2" s="1"/>
  <c r="K437" i="2" a="1"/>
  <c r="K437" i="2"/>
  <c r="K438" i="2" a="1"/>
  <c r="K438" i="2"/>
  <c r="K439" i="2" a="1"/>
  <c r="K439" i="2"/>
  <c r="K440" i="2" a="1"/>
  <c r="K440" i="2"/>
  <c r="K441" i="2" a="1"/>
  <c r="K441" i="2"/>
  <c r="K442" i="2" a="1"/>
  <c r="K442" i="2" s="1"/>
  <c r="K443" i="2" a="1"/>
  <c r="K443" i="2" s="1"/>
  <c r="K444" i="2" a="1"/>
  <c r="K444" i="2" s="1"/>
  <c r="K445" i="2" a="1"/>
  <c r="K445" i="2"/>
  <c r="K446" i="2" a="1"/>
  <c r="K446" i="2"/>
  <c r="K447" i="2" a="1"/>
  <c r="K447" i="2"/>
  <c r="K448" i="2" a="1"/>
  <c r="K448" i="2"/>
  <c r="K449" i="2" a="1"/>
  <c r="K449" i="2"/>
  <c r="K450" i="2" a="1"/>
  <c r="K450" i="2" s="1"/>
  <c r="K451" i="2" a="1"/>
  <c r="K451" i="2" s="1"/>
  <c r="K452" i="2" a="1"/>
  <c r="K452" i="2" s="1"/>
  <c r="K453" i="2" a="1"/>
  <c r="K453" i="2"/>
  <c r="K454" i="2" a="1"/>
  <c r="K454" i="2"/>
  <c r="K455" i="2" a="1"/>
  <c r="K455" i="2"/>
  <c r="K456" i="2" a="1"/>
  <c r="K456" i="2"/>
  <c r="K457" i="2" a="1"/>
  <c r="K457" i="2"/>
  <c r="K458" i="2" a="1"/>
  <c r="K458" i="2" s="1"/>
  <c r="K459" i="2" a="1"/>
  <c r="K459" i="2" s="1"/>
  <c r="K460" i="2" a="1"/>
  <c r="K460" i="2" s="1"/>
  <c r="K461" i="2" a="1"/>
  <c r="K461" i="2"/>
  <c r="K462" i="2" a="1"/>
  <c r="K462" i="2"/>
  <c r="K463" i="2" a="1"/>
  <c r="K463" i="2"/>
  <c r="K464" i="2" a="1"/>
  <c r="K464" i="2"/>
  <c r="K465" i="2" a="1"/>
  <c r="K465" i="2"/>
  <c r="K466" i="2" a="1"/>
  <c r="K466" i="2" s="1"/>
  <c r="K467" i="2" a="1"/>
  <c r="K467" i="2" s="1"/>
  <c r="K468" i="2" a="1"/>
  <c r="K468" i="2" s="1"/>
  <c r="K469" i="2" a="1"/>
  <c r="K469" i="2"/>
  <c r="K470" i="2" a="1"/>
  <c r="K470" i="2"/>
  <c r="K471" i="2" a="1"/>
  <c r="K471" i="2"/>
  <c r="K472" i="2" a="1"/>
  <c r="K472" i="2"/>
  <c r="K473" i="2" a="1"/>
  <c r="K473" i="2"/>
  <c r="K474" i="2" a="1"/>
  <c r="K474" i="2" s="1"/>
  <c r="K475" i="2" a="1"/>
  <c r="K475" i="2" s="1"/>
  <c r="K476" i="2" a="1"/>
  <c r="K476" i="2" s="1"/>
  <c r="K477" i="2" a="1"/>
  <c r="K477" i="2"/>
  <c r="K478" i="2" a="1"/>
  <c r="K478" i="2"/>
  <c r="K479" i="2" a="1"/>
  <c r="K479" i="2"/>
  <c r="K480" i="2" a="1"/>
  <c r="K480" i="2"/>
  <c r="K481" i="2" a="1"/>
  <c r="K481" i="2"/>
  <c r="K482" i="2" a="1"/>
  <c r="K482" i="2" s="1"/>
  <c r="K483" i="2" a="1"/>
  <c r="K483" i="2" s="1"/>
  <c r="K484" i="2" a="1"/>
  <c r="K484" i="2" s="1"/>
  <c r="K485" i="2" a="1"/>
  <c r="K485" i="2"/>
  <c r="K486" i="2" a="1"/>
  <c r="K486" i="2"/>
  <c r="K487" i="2" a="1"/>
  <c r="K487" i="2"/>
  <c r="K488" i="2" a="1"/>
  <c r="K488" i="2"/>
  <c r="K489" i="2" a="1"/>
  <c r="K489" i="2"/>
  <c r="K490" i="2" a="1"/>
  <c r="K490" i="2" s="1"/>
  <c r="K491" i="2" a="1"/>
  <c r="K491" i="2" s="1"/>
  <c r="K492" i="2" a="1"/>
  <c r="K492" i="2" s="1"/>
  <c r="K493" i="2" a="1"/>
  <c r="K493" i="2"/>
  <c r="K494" i="2" a="1"/>
  <c r="K494" i="2"/>
  <c r="K495" i="2" a="1"/>
  <c r="K495" i="2"/>
  <c r="K496" i="2" a="1"/>
  <c r="K496" i="2"/>
  <c r="K497" i="2" a="1"/>
  <c r="K497" i="2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/>
  <c r="K504" i="2" a="1"/>
  <c r="K504" i="2"/>
  <c r="K505" i="2" a="1"/>
  <c r="K505" i="2"/>
  <c r="K506" i="2" a="1"/>
  <c r="K506" i="2" s="1"/>
  <c r="K507" i="2" a="1"/>
  <c r="K507" i="2" s="1"/>
  <c r="K508" i="2" a="1"/>
  <c r="K508" i="2" s="1"/>
  <c r="K509" i="2" a="1"/>
  <c r="K509" i="2"/>
  <c r="K510" i="2" a="1"/>
  <c r="K510" i="2"/>
  <c r="K511" i="2" a="1"/>
  <c r="K511" i="2"/>
  <c r="K512" i="2" a="1"/>
  <c r="K512" i="2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/>
  <c r="K519" i="2" a="1"/>
  <c r="K519" i="2"/>
  <c r="K520" i="2" a="1"/>
  <c r="K520" i="2"/>
  <c r="K521" i="2" a="1"/>
  <c r="K521" i="2"/>
  <c r="K522" i="2" a="1"/>
  <c r="K522" i="2" s="1"/>
  <c r="K523" i="2" a="1"/>
  <c r="K523" i="2" s="1"/>
  <c r="K524" i="2" a="1"/>
  <c r="K524" i="2" s="1"/>
  <c r="K525" i="2" a="1"/>
  <c r="K525" i="2"/>
  <c r="K526" i="2" a="1"/>
  <c r="K526" i="2"/>
  <c r="K527" i="2" a="1"/>
  <c r="K527" i="2"/>
  <c r="K528" i="2" a="1"/>
  <c r="K528" i="2"/>
  <c r="K529" i="2" a="1"/>
  <c r="K529" i="2"/>
  <c r="K530" i="2" a="1"/>
  <c r="K530" i="2" s="1"/>
  <c r="K531" i="2" a="1"/>
  <c r="K531" i="2" s="1"/>
  <c r="K532" i="2" a="1"/>
  <c r="K532" i="2" s="1"/>
  <c r="K533" i="2" a="1"/>
  <c r="K533" i="2"/>
  <c r="K534" i="2" a="1"/>
  <c r="K534" i="2"/>
  <c r="K535" i="2" a="1"/>
  <c r="K535" i="2"/>
  <c r="K536" i="2" a="1"/>
  <c r="K536" i="2"/>
  <c r="K537" i="2" a="1"/>
  <c r="K537" i="2"/>
  <c r="K538" i="2" a="1"/>
  <c r="K538" i="2" s="1"/>
  <c r="K539" i="2" a="1"/>
  <c r="K539" i="2" s="1"/>
  <c r="K540" i="2" a="1"/>
  <c r="K540" i="2" s="1"/>
  <c r="K541" i="2" a="1"/>
  <c r="K541" i="2"/>
  <c r="K542" i="2" a="1"/>
  <c r="K542" i="2"/>
  <c r="K543" i="2" a="1"/>
  <c r="K543" i="2"/>
  <c r="K544" i="2" a="1"/>
  <c r="K544" i="2"/>
  <c r="K545" i="2" a="1"/>
  <c r="K545" i="2"/>
  <c r="K546" i="2" a="1"/>
  <c r="K546" i="2" s="1"/>
  <c r="K547" i="2" a="1"/>
  <c r="K547" i="2" s="1"/>
  <c r="K548" i="2" a="1"/>
  <c r="K548" i="2" s="1"/>
  <c r="K549" i="2" a="1"/>
  <c r="K549" i="2"/>
  <c r="K550" i="2" a="1"/>
  <c r="K550" i="2"/>
  <c r="K551" i="2" a="1"/>
  <c r="K551" i="2"/>
  <c r="K552" i="2" a="1"/>
  <c r="K552" i="2"/>
  <c r="K553" i="2" a="1"/>
  <c r="K553" i="2"/>
  <c r="K554" i="2" a="1"/>
  <c r="K554" i="2" s="1"/>
  <c r="K555" i="2" a="1"/>
  <c r="K555" i="2" s="1"/>
  <c r="K556" i="2" a="1"/>
  <c r="K556" i="2" s="1"/>
  <c r="K557" i="2" a="1"/>
  <c r="K557" i="2"/>
  <c r="K558" i="2" a="1"/>
  <c r="K558" i="2"/>
  <c r="K559" i="2" a="1"/>
  <c r="K559" i="2" s="1"/>
  <c r="K560" i="2" a="1"/>
  <c r="K560" i="2"/>
  <c r="K561" i="2" a="1"/>
  <c r="K561" i="2"/>
  <c r="K562" i="2" a="1"/>
  <c r="K562" i="2" s="1"/>
  <c r="K563" i="2" a="1"/>
  <c r="K563" i="2" s="1"/>
  <c r="K564" i="2" a="1"/>
  <c r="K564" i="2" s="1"/>
  <c r="K565" i="2" a="1"/>
  <c r="K565" i="2"/>
  <c r="K566" i="2" a="1"/>
  <c r="K566" i="2"/>
  <c r="K567" i="2" a="1"/>
  <c r="K567" i="2"/>
  <c r="K568" i="2" a="1"/>
  <c r="K568" i="2"/>
  <c r="K569" i="2" a="1"/>
  <c r="K569" i="2"/>
  <c r="K570" i="2" a="1"/>
  <c r="K570" i="2" s="1"/>
  <c r="K571" i="2" a="1"/>
  <c r="K571" i="2" s="1"/>
  <c r="K572" i="2" a="1"/>
  <c r="K572" i="2" s="1"/>
  <c r="K573" i="2" a="1"/>
  <c r="K573" i="2"/>
  <c r="K574" i="2" a="1"/>
  <c r="K574" i="2"/>
  <c r="K575" i="2" a="1"/>
  <c r="K575" i="2"/>
  <c r="K576" i="2" a="1"/>
  <c r="K576" i="2"/>
  <c r="K577" i="2" a="1"/>
  <c r="K577" i="2"/>
  <c r="K578" i="2" a="1"/>
  <c r="K578" i="2" s="1"/>
  <c r="K579" i="2" a="1"/>
  <c r="K579" i="2" s="1"/>
  <c r="K580" i="2" a="1"/>
  <c r="K580" i="2" s="1"/>
  <c r="K581" i="2" a="1"/>
  <c r="K581" i="2"/>
  <c r="K582" i="2" a="1"/>
  <c r="K582" i="2"/>
  <c r="K583" i="2" a="1"/>
  <c r="K583" i="2"/>
  <c r="K584" i="2" a="1"/>
  <c r="K584" i="2"/>
  <c r="K585" i="2" a="1"/>
  <c r="K585" i="2"/>
  <c r="K586" i="2" a="1"/>
  <c r="K586" i="2" s="1"/>
  <c r="K587" i="2" a="1"/>
  <c r="K587" i="2" s="1"/>
  <c r="K588" i="2" a="1"/>
  <c r="K588" i="2" s="1"/>
  <c r="K589" i="2" a="1"/>
  <c r="K589" i="2"/>
  <c r="K590" i="2" a="1"/>
  <c r="K590" i="2"/>
  <c r="K591" i="2" a="1"/>
  <c r="K591" i="2"/>
  <c r="K592" i="2" a="1"/>
  <c r="K592" i="2"/>
  <c r="K593" i="2" a="1"/>
  <c r="K593" i="2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/>
  <c r="K600" i="2" a="1"/>
  <c r="K600" i="2"/>
  <c r="K601" i="2" a="1"/>
  <c r="K601" i="2"/>
  <c r="K602" i="2" a="1"/>
  <c r="K602" i="2" s="1"/>
  <c r="K603" i="2" a="1"/>
  <c r="K603" i="2" s="1"/>
  <c r="K604" i="2" a="1"/>
  <c r="K604" i="2" s="1"/>
  <c r="K605" i="2" a="1"/>
  <c r="K605" i="2"/>
  <c r="K606" i="2" a="1"/>
  <c r="K606" i="2"/>
  <c r="K607" i="2" a="1"/>
  <c r="K607" i="2"/>
  <c r="K608" i="2" a="1"/>
  <c r="K608" i="2"/>
  <c r="K609" i="2" a="1"/>
  <c r="K609" i="2"/>
  <c r="K610" i="2" a="1"/>
  <c r="K610" i="2" s="1"/>
  <c r="K611" i="2" a="1"/>
  <c r="K611" i="2" s="1"/>
  <c r="M2" i="2" a="1"/>
  <c r="M2" i="2" s="1"/>
  <c r="M3" i="2" a="1"/>
  <c r="M3" i="2" s="1"/>
  <c r="M4" i="2" a="1"/>
  <c r="M4" i="2"/>
  <c r="M5" i="2" a="1"/>
  <c r="M5" i="2"/>
  <c r="M6" i="2" a="1"/>
  <c r="M6" i="2"/>
  <c r="M7" i="2" a="1"/>
  <c r="M7" i="2"/>
  <c r="M8" i="2" a="1"/>
  <c r="M8" i="2"/>
  <c r="M9" i="2" a="1"/>
  <c r="M9" i="2"/>
  <c r="M10" i="2" a="1"/>
  <c r="M10" i="2" s="1"/>
  <c r="M11" i="2" a="1"/>
  <c r="M11" i="2" s="1"/>
  <c r="M12" i="2" a="1"/>
  <c r="M12" i="2"/>
  <c r="M13" i="2" a="1"/>
  <c r="M13" i="2"/>
  <c r="M14" i="2" a="1"/>
  <c r="M14" i="2"/>
  <c r="M15" i="2" a="1"/>
  <c r="M15" i="2"/>
  <c r="M16" i="2" a="1"/>
  <c r="M16" i="2"/>
  <c r="M17" i="2" a="1"/>
  <c r="M17" i="2"/>
  <c r="M18" i="2" a="1"/>
  <c r="M18" i="2" s="1"/>
  <c r="M19" i="2" a="1"/>
  <c r="M19" i="2" s="1"/>
  <c r="M20" i="2" a="1"/>
  <c r="M20" i="2"/>
  <c r="M21" i="2" a="1"/>
  <c r="M21" i="2"/>
  <c r="M22" i="2" a="1"/>
  <c r="M22" i="2"/>
  <c r="M23" i="2" a="1"/>
  <c r="M23" i="2"/>
  <c r="M24" i="2" a="1"/>
  <c r="M24" i="2"/>
  <c r="M25" i="2" a="1"/>
  <c r="M25" i="2"/>
  <c r="M26" i="2" a="1"/>
  <c r="M26" i="2" s="1"/>
  <c r="M27" i="2" a="1"/>
  <c r="M27" i="2" s="1"/>
  <c r="M28" i="2" a="1"/>
  <c r="M28" i="2"/>
  <c r="M29" i="2" a="1"/>
  <c r="M29" i="2"/>
  <c r="M30" i="2" a="1"/>
  <c r="M30" i="2"/>
  <c r="M31" i="2" a="1"/>
  <c r="M31" i="2"/>
  <c r="M32" i="2" a="1"/>
  <c r="M32" i="2"/>
  <c r="M33" i="2" a="1"/>
  <c r="M33" i="2"/>
  <c r="M34" i="2" a="1"/>
  <c r="M34" i="2" s="1"/>
  <c r="M35" i="2" a="1"/>
  <c r="M35" i="2" s="1"/>
  <c r="M36" i="2" a="1"/>
  <c r="M36" i="2" s="1"/>
  <c r="M37" i="2" a="1"/>
  <c r="M37" i="2"/>
  <c r="M38" i="2" a="1"/>
  <c r="M38" i="2"/>
  <c r="M39" i="2" a="1"/>
  <c r="M39" i="2"/>
  <c r="M40" i="2" a="1"/>
  <c r="M40" i="2"/>
  <c r="M41" i="2" a="1"/>
  <c r="M41" i="2"/>
  <c r="M42" i="2" a="1"/>
  <c r="M42" i="2" s="1"/>
  <c r="M43" i="2" a="1"/>
  <c r="M43" i="2" s="1"/>
  <c r="M44" i="2" a="1"/>
  <c r="M44" i="2"/>
  <c r="M45" i="2" a="1"/>
  <c r="M45" i="2"/>
  <c r="M46" i="2" a="1"/>
  <c r="M46" i="2"/>
  <c r="M47" i="2" a="1"/>
  <c r="M47" i="2"/>
  <c r="M48" i="2" a="1"/>
  <c r="M48" i="2"/>
  <c r="M49" i="2" a="1"/>
  <c r="M49" i="2"/>
  <c r="M50" i="2" a="1"/>
  <c r="M50" i="2" s="1"/>
  <c r="M51" i="2" a="1"/>
  <c r="M51" i="2" s="1"/>
  <c r="M52" i="2" a="1"/>
  <c r="M52" i="2"/>
  <c r="M53" i="2" a="1"/>
  <c r="M53" i="2"/>
  <c r="M54" i="2" a="1"/>
  <c r="M54" i="2"/>
  <c r="M55" i="2" a="1"/>
  <c r="M55" i="2"/>
  <c r="M56" i="2" a="1"/>
  <c r="M56" i="2"/>
  <c r="M57" i="2" a="1"/>
  <c r="M57" i="2"/>
  <c r="M58" i="2" a="1"/>
  <c r="M58" i="2" s="1"/>
  <c r="M59" i="2" a="1"/>
  <c r="M59" i="2" s="1"/>
  <c r="M60" i="2" a="1"/>
  <c r="M60" i="2"/>
  <c r="M61" i="2" a="1"/>
  <c r="M61" i="2"/>
  <c r="M62" i="2" a="1"/>
  <c r="M62" i="2"/>
  <c r="M63" i="2" a="1"/>
  <c r="M63" i="2"/>
  <c r="M64" i="2" a="1"/>
  <c r="M64" i="2"/>
  <c r="M65" i="2" a="1"/>
  <c r="M65" i="2"/>
  <c r="M66" i="2" a="1"/>
  <c r="M66" i="2" s="1"/>
  <c r="M67" i="2" a="1"/>
  <c r="M67" i="2" s="1"/>
  <c r="M68" i="2" a="1"/>
  <c r="M68" i="2"/>
  <c r="M69" i="2" a="1"/>
  <c r="M69" i="2"/>
  <c r="M70" i="2" a="1"/>
  <c r="M70" i="2"/>
  <c r="M71" i="2" a="1"/>
  <c r="M71" i="2"/>
  <c r="M72" i="2" a="1"/>
  <c r="M72" i="2"/>
  <c r="M73" i="2" a="1"/>
  <c r="M73" i="2"/>
  <c r="M74" i="2" a="1"/>
  <c r="M74" i="2" s="1"/>
  <c r="M75" i="2" a="1"/>
  <c r="M75" i="2" s="1"/>
  <c r="M76" i="2" a="1"/>
  <c r="M76" i="2"/>
  <c r="M77" i="2" a="1"/>
  <c r="M77" i="2"/>
  <c r="M78" i="2" a="1"/>
  <c r="M78" i="2"/>
  <c r="M79" i="2" a="1"/>
  <c r="M79" i="2"/>
  <c r="M80" i="2" a="1"/>
  <c r="M80" i="2"/>
  <c r="M81" i="2" a="1"/>
  <c r="M81" i="2"/>
  <c r="M82" i="2" a="1"/>
  <c r="M82" i="2" s="1"/>
  <c r="M83" i="2" a="1"/>
  <c r="M83" i="2" s="1"/>
  <c r="M84" i="2" a="1"/>
  <c r="M84" i="2"/>
  <c r="M85" i="2" a="1"/>
  <c r="M85" i="2"/>
  <c r="M86" i="2" a="1"/>
  <c r="M86" i="2"/>
  <c r="M87" i="2" a="1"/>
  <c r="M87" i="2"/>
  <c r="M88" i="2" a="1"/>
  <c r="M88" i="2"/>
  <c r="M89" i="2" a="1"/>
  <c r="M89" i="2"/>
  <c r="M90" i="2" a="1"/>
  <c r="M90" i="2" s="1"/>
  <c r="M91" i="2" a="1"/>
  <c r="M91" i="2" s="1"/>
  <c r="M92" i="2" a="1"/>
  <c r="M92" i="2"/>
  <c r="M93" i="2" a="1"/>
  <c r="M93" i="2"/>
  <c r="M94" i="2" a="1"/>
  <c r="M94" i="2"/>
  <c r="M95" i="2" a="1"/>
  <c r="M95" i="2"/>
  <c r="M96" i="2" a="1"/>
  <c r="M96" i="2"/>
  <c r="M97" i="2" a="1"/>
  <c r="M97" i="2"/>
  <c r="M98" i="2" a="1"/>
  <c r="M98" i="2" s="1"/>
  <c r="M99" i="2" a="1"/>
  <c r="M99" i="2" s="1"/>
  <c r="M100" i="2" a="1"/>
  <c r="M100" i="2"/>
  <c r="M101" i="2" a="1"/>
  <c r="M101" i="2"/>
  <c r="M102" i="2" a="1"/>
  <c r="M102" i="2"/>
  <c r="M103" i="2" a="1"/>
  <c r="M103" i="2"/>
  <c r="M104" i="2" a="1"/>
  <c r="M104" i="2"/>
  <c r="M105" i="2" a="1"/>
  <c r="M105" i="2"/>
  <c r="M106" i="2" a="1"/>
  <c r="M106" i="2" s="1"/>
  <c r="M107" i="2" a="1"/>
  <c r="M107" i="2" s="1"/>
  <c r="M108" i="2" a="1"/>
  <c r="M108" i="2"/>
  <c r="M109" i="2" a="1"/>
  <c r="M109" i="2"/>
  <c r="M110" i="2" a="1"/>
  <c r="M110" i="2"/>
  <c r="M111" i="2" a="1"/>
  <c r="M111" i="2"/>
  <c r="M112" i="2" a="1"/>
  <c r="M112" i="2"/>
  <c r="M113" i="2" a="1"/>
  <c r="M113" i="2"/>
  <c r="M114" i="2" a="1"/>
  <c r="M114" i="2" s="1"/>
  <c r="M115" i="2" a="1"/>
  <c r="M115" i="2" s="1"/>
  <c r="M116" i="2" a="1"/>
  <c r="M116" i="2"/>
  <c r="M117" i="2" a="1"/>
  <c r="M117" i="2"/>
  <c r="M118" i="2" a="1"/>
  <c r="M118" i="2"/>
  <c r="M119" i="2" a="1"/>
  <c r="M119" i="2"/>
  <c r="M120" i="2" a="1"/>
  <c r="M120" i="2"/>
  <c r="M121" i="2" a="1"/>
  <c r="M121" i="2"/>
  <c r="M122" i="2" a="1"/>
  <c r="M122" i="2" s="1"/>
  <c r="M123" i="2" a="1"/>
  <c r="M123" i="2" s="1"/>
  <c r="M124" i="2" a="1"/>
  <c r="M124" i="2"/>
  <c r="M125" i="2" a="1"/>
  <c r="M125" i="2"/>
  <c r="M126" i="2" a="1"/>
  <c r="M126" i="2"/>
  <c r="M127" i="2" a="1"/>
  <c r="M127" i="2"/>
  <c r="M128" i="2" a="1"/>
  <c r="M128" i="2"/>
  <c r="M129" i="2" a="1"/>
  <c r="M129" i="2"/>
  <c r="M130" i="2" a="1"/>
  <c r="M130" i="2" s="1"/>
  <c r="M131" i="2" a="1"/>
  <c r="M131" i="2" s="1"/>
  <c r="M132" i="2" a="1"/>
  <c r="M132" i="2"/>
  <c r="M133" i="2" a="1"/>
  <c r="M133" i="2"/>
  <c r="M134" i="2" a="1"/>
  <c r="M134" i="2"/>
  <c r="M135" i="2" a="1"/>
  <c r="M135" i="2"/>
  <c r="M136" i="2" a="1"/>
  <c r="M136" i="2"/>
  <c r="M137" i="2" a="1"/>
  <c r="M137" i="2"/>
  <c r="M138" i="2" a="1"/>
  <c r="M138" i="2" s="1"/>
  <c r="M139" i="2" a="1"/>
  <c r="M139" i="2" s="1"/>
  <c r="M140" i="2" a="1"/>
  <c r="M140" i="2"/>
  <c r="M141" i="2" a="1"/>
  <c r="M141" i="2"/>
  <c r="M142" i="2" a="1"/>
  <c r="M142" i="2"/>
  <c r="M143" i="2" a="1"/>
  <c r="M143" i="2"/>
  <c r="M144" i="2" a="1"/>
  <c r="M144" i="2"/>
  <c r="M145" i="2" a="1"/>
  <c r="M145" i="2"/>
  <c r="M146" i="2" a="1"/>
  <c r="M146" i="2" s="1"/>
  <c r="M147" i="2" a="1"/>
  <c r="M147" i="2" s="1"/>
  <c r="M148" i="2" a="1"/>
  <c r="M148" i="2"/>
  <c r="M149" i="2" a="1"/>
  <c r="M149" i="2"/>
  <c r="M150" i="2" a="1"/>
  <c r="M150" i="2"/>
  <c r="M151" i="2" a="1"/>
  <c r="M151" i="2"/>
  <c r="M152" i="2" a="1"/>
  <c r="M152" i="2"/>
  <c r="M153" i="2" a="1"/>
  <c r="M153" i="2"/>
  <c r="M154" i="2" a="1"/>
  <c r="M154" i="2" s="1"/>
  <c r="M155" i="2" a="1"/>
  <c r="M155" i="2" s="1"/>
  <c r="M156" i="2" a="1"/>
  <c r="M156" i="2"/>
  <c r="M157" i="2" a="1"/>
  <c r="M157" i="2"/>
  <c r="M158" i="2" a="1"/>
  <c r="M158" i="2"/>
  <c r="M159" i="2" a="1"/>
  <c r="M159" i="2"/>
  <c r="M160" i="2" a="1"/>
  <c r="M160" i="2"/>
  <c r="M161" i="2" a="1"/>
  <c r="M161" i="2"/>
  <c r="M162" i="2" a="1"/>
  <c r="M162" i="2" s="1"/>
  <c r="M163" i="2" a="1"/>
  <c r="M163" i="2" s="1"/>
  <c r="M164" i="2" a="1"/>
  <c r="M164" i="2"/>
  <c r="M165" i="2" a="1"/>
  <c r="M165" i="2"/>
  <c r="M166" i="2" a="1"/>
  <c r="M166" i="2"/>
  <c r="M167" i="2" a="1"/>
  <c r="M167" i="2"/>
  <c r="M168" i="2" a="1"/>
  <c r="M168" i="2"/>
  <c r="M169" i="2" a="1"/>
  <c r="M169" i="2"/>
  <c r="M170" i="2" a="1"/>
  <c r="M170" i="2" s="1"/>
  <c r="M171" i="2" a="1"/>
  <c r="M171" i="2" s="1"/>
  <c r="M172" i="2" a="1"/>
  <c r="M172" i="2"/>
  <c r="M173" i="2" a="1"/>
  <c r="M173" i="2"/>
  <c r="M174" i="2" a="1"/>
  <c r="M174" i="2"/>
  <c r="M175" i="2" a="1"/>
  <c r="M175" i="2"/>
  <c r="M176" i="2" a="1"/>
  <c r="M176" i="2"/>
  <c r="M177" i="2" a="1"/>
  <c r="M177" i="2"/>
  <c r="M178" i="2" a="1"/>
  <c r="M178" i="2" s="1"/>
  <c r="M179" i="2" a="1"/>
  <c r="M179" i="2" s="1"/>
  <c r="M180" i="2" a="1"/>
  <c r="M180" i="2"/>
  <c r="M181" i="2" a="1"/>
  <c r="M181" i="2"/>
  <c r="M182" i="2" a="1"/>
  <c r="M182" i="2"/>
  <c r="M183" i="2" a="1"/>
  <c r="M183" i="2"/>
  <c r="M184" i="2" a="1"/>
  <c r="M184" i="2"/>
  <c r="M185" i="2" a="1"/>
  <c r="M185" i="2"/>
  <c r="M186" i="2" a="1"/>
  <c r="M186" i="2" s="1"/>
  <c r="M187" i="2" a="1"/>
  <c r="M187" i="2" s="1"/>
  <c r="M188" i="2" a="1"/>
  <c r="M188" i="2"/>
  <c r="M189" i="2" a="1"/>
  <c r="M189" i="2"/>
  <c r="M190" i="2" a="1"/>
  <c r="M190" i="2"/>
  <c r="M191" i="2" a="1"/>
  <c r="M191" i="2"/>
  <c r="M192" i="2" a="1"/>
  <c r="M192" i="2"/>
  <c r="M193" i="2" a="1"/>
  <c r="M193" i="2"/>
  <c r="M194" i="2" a="1"/>
  <c r="M194" i="2" s="1"/>
  <c r="M195" i="2" a="1"/>
  <c r="M195" i="2" s="1"/>
  <c r="M196" i="2" a="1"/>
  <c r="M196" i="2" s="1"/>
  <c r="M197" i="2" a="1"/>
  <c r="M197" i="2"/>
  <c r="M198" i="2" a="1"/>
  <c r="M198" i="2"/>
  <c r="M199" i="2" a="1"/>
  <c r="M199" i="2"/>
  <c r="M200" i="2" a="1"/>
  <c r="M200" i="2"/>
  <c r="M201" i="2" a="1"/>
  <c r="M201" i="2"/>
  <c r="M202" i="2" a="1"/>
  <c r="M202" i="2" s="1"/>
  <c r="M203" i="2" a="1"/>
  <c r="M203" i="2" s="1"/>
  <c r="M204" i="2" a="1"/>
  <c r="M204" i="2" s="1"/>
  <c r="M205" i="2" a="1"/>
  <c r="M205" i="2"/>
  <c r="M206" i="2" a="1"/>
  <c r="M206" i="2"/>
  <c r="M207" i="2" a="1"/>
  <c r="M207" i="2"/>
  <c r="M208" i="2" a="1"/>
  <c r="M208" i="2"/>
  <c r="M209" i="2" a="1"/>
  <c r="M209" i="2"/>
  <c r="M210" i="2" a="1"/>
  <c r="M210" i="2" s="1"/>
  <c r="M211" i="2" a="1"/>
  <c r="M211" i="2" s="1"/>
  <c r="M212" i="2" a="1"/>
  <c r="M212" i="2" s="1"/>
  <c r="M213" i="2" a="1"/>
  <c r="M213" i="2"/>
  <c r="M214" i="2" a="1"/>
  <c r="M214" i="2"/>
  <c r="M215" i="2" a="1"/>
  <c r="M215" i="2"/>
  <c r="M216" i="2" a="1"/>
  <c r="M216" i="2"/>
  <c r="M217" i="2" a="1"/>
  <c r="M217" i="2"/>
  <c r="M218" i="2" a="1"/>
  <c r="M218" i="2" s="1"/>
  <c r="M219" i="2" a="1"/>
  <c r="M219" i="2" s="1"/>
  <c r="M220" i="2" a="1"/>
  <c r="M220" i="2" s="1"/>
  <c r="M221" i="2" a="1"/>
  <c r="M221" i="2"/>
  <c r="M222" i="2" a="1"/>
  <c r="M222" i="2"/>
  <c r="M223" i="2" a="1"/>
  <c r="M223" i="2"/>
  <c r="M224" i="2" a="1"/>
  <c r="M224" i="2"/>
  <c r="M225" i="2" a="1"/>
  <c r="M225" i="2"/>
  <c r="M226" i="2" a="1"/>
  <c r="M226" i="2" s="1"/>
  <c r="M227" i="2" a="1"/>
  <c r="M227" i="2" s="1"/>
  <c r="M228" i="2" a="1"/>
  <c r="M228" i="2" s="1"/>
  <c r="M229" i="2" a="1"/>
  <c r="M229" i="2"/>
  <c r="M230" i="2" a="1"/>
  <c r="M230" i="2"/>
  <c r="M231" i="2" a="1"/>
  <c r="M231" i="2"/>
  <c r="M232" i="2" a="1"/>
  <c r="M232" i="2"/>
  <c r="M233" i="2" a="1"/>
  <c r="M233" i="2"/>
  <c r="M234" i="2" a="1"/>
  <c r="M234" i="2" s="1"/>
  <c r="M235" i="2" a="1"/>
  <c r="M235" i="2" s="1"/>
  <c r="M236" i="2" a="1"/>
  <c r="M236" i="2" s="1"/>
  <c r="M237" i="2" a="1"/>
  <c r="M237" i="2"/>
  <c r="M238" i="2" a="1"/>
  <c r="M238" i="2"/>
  <c r="M239" i="2" a="1"/>
  <c r="M239" i="2"/>
  <c r="M240" i="2" a="1"/>
  <c r="M240" i="2"/>
  <c r="M241" i="2" a="1"/>
  <c r="M241" i="2"/>
  <c r="M242" i="2" a="1"/>
  <c r="M242" i="2" s="1"/>
  <c r="M243" i="2" a="1"/>
  <c r="M243" i="2" s="1"/>
  <c r="M244" i="2" a="1"/>
  <c r="M244" i="2" s="1"/>
  <c r="M245" i="2" a="1"/>
  <c r="M245" i="2"/>
  <c r="M246" i="2" a="1"/>
  <c r="M246" i="2"/>
  <c r="M247" i="2" a="1"/>
  <c r="M247" i="2"/>
  <c r="M248" i="2" a="1"/>
  <c r="M248" i="2"/>
  <c r="M249" i="2" a="1"/>
  <c r="M249" i="2"/>
  <c r="M250" i="2" a="1"/>
  <c r="M250" i="2" s="1"/>
  <c r="M251" i="2" a="1"/>
  <c r="M251" i="2" s="1"/>
  <c r="M252" i="2" a="1"/>
  <c r="M252" i="2" s="1"/>
  <c r="M253" i="2" a="1"/>
  <c r="M253" i="2"/>
  <c r="M254" i="2" a="1"/>
  <c r="M254" i="2"/>
  <c r="M255" i="2" a="1"/>
  <c r="M255" i="2"/>
  <c r="M256" i="2" a="1"/>
  <c r="M256" i="2"/>
  <c r="M257" i="2" a="1"/>
  <c r="M257" i="2"/>
  <c r="M258" i="2" a="1"/>
  <c r="M258" i="2" s="1"/>
  <c r="M259" i="2" a="1"/>
  <c r="M259" i="2" s="1"/>
  <c r="M260" i="2" a="1"/>
  <c r="M260" i="2" s="1"/>
  <c r="M261" i="2" a="1"/>
  <c r="M261" i="2"/>
  <c r="M262" i="2" a="1"/>
  <c r="M262" i="2"/>
  <c r="M263" i="2" a="1"/>
  <c r="M263" i="2"/>
  <c r="M264" i="2" a="1"/>
  <c r="M264" i="2"/>
  <c r="M265" i="2" a="1"/>
  <c r="M265" i="2"/>
  <c r="M266" i="2" a="1"/>
  <c r="M266" i="2" s="1"/>
  <c r="M267" i="2" a="1"/>
  <c r="M267" i="2" s="1"/>
  <c r="M268" i="2" a="1"/>
  <c r="M268" i="2" s="1"/>
  <c r="M269" i="2" a="1"/>
  <c r="M269" i="2"/>
  <c r="M270" i="2" a="1"/>
  <c r="M270" i="2"/>
  <c r="M271" i="2" a="1"/>
  <c r="M271" i="2"/>
  <c r="M272" i="2" a="1"/>
  <c r="M272" i="2"/>
  <c r="M273" i="2" a="1"/>
  <c r="M273" i="2"/>
  <c r="M274" i="2" a="1"/>
  <c r="M274" i="2" s="1"/>
  <c r="M275" i="2" a="1"/>
  <c r="M275" i="2" s="1"/>
  <c r="M276" i="2" a="1"/>
  <c r="M276" i="2" s="1"/>
  <c r="M277" i="2" a="1"/>
  <c r="M277" i="2"/>
  <c r="M278" i="2" a="1"/>
  <c r="M278" i="2"/>
  <c r="M279" i="2" a="1"/>
  <c r="M279" i="2"/>
  <c r="M280" i="2" a="1"/>
  <c r="M280" i="2"/>
  <c r="M281" i="2" a="1"/>
  <c r="M281" i="2"/>
  <c r="M282" i="2" a="1"/>
  <c r="M282" i="2" s="1"/>
  <c r="M283" i="2" a="1"/>
  <c r="M283" i="2" s="1"/>
  <c r="M284" i="2" a="1"/>
  <c r="M284" i="2" s="1"/>
  <c r="M285" i="2" a="1"/>
  <c r="M285" i="2"/>
  <c r="M286" i="2" a="1"/>
  <c r="M286" i="2"/>
  <c r="M287" i="2" a="1"/>
  <c r="M287" i="2"/>
  <c r="M288" i="2" a="1"/>
  <c r="M288" i="2"/>
  <c r="M289" i="2" a="1"/>
  <c r="M289" i="2"/>
  <c r="M290" i="2" a="1"/>
  <c r="M290" i="2" s="1"/>
  <c r="M291" i="2" a="1"/>
  <c r="M291" i="2" s="1"/>
  <c r="M292" i="2" a="1"/>
  <c r="M292" i="2" s="1"/>
  <c r="M293" i="2" a="1"/>
  <c r="M293" i="2"/>
  <c r="M294" i="2" a="1"/>
  <c r="M294" i="2"/>
  <c r="M295" i="2" a="1"/>
  <c r="M295" i="2"/>
  <c r="M296" i="2" a="1"/>
  <c r="M296" i="2"/>
  <c r="M297" i="2" a="1"/>
  <c r="M297" i="2"/>
  <c r="M298" i="2" a="1"/>
  <c r="M298" i="2" s="1"/>
  <c r="M299" i="2" a="1"/>
  <c r="M299" i="2" s="1"/>
  <c r="M300" i="2" a="1"/>
  <c r="M300" i="2" s="1"/>
  <c r="M301" i="2" a="1"/>
  <c r="M301" i="2"/>
  <c r="M302" i="2" a="1"/>
  <c r="M302" i="2"/>
  <c r="M303" i="2" a="1"/>
  <c r="M303" i="2"/>
  <c r="M304" i="2" a="1"/>
  <c r="M304" i="2"/>
  <c r="M305" i="2" a="1"/>
  <c r="M305" i="2"/>
  <c r="M306" i="2" a="1"/>
  <c r="M306" i="2" s="1"/>
  <c r="M307" i="2" a="1"/>
  <c r="M307" i="2" s="1"/>
  <c r="M308" i="2" a="1"/>
  <c r="M308" i="2" s="1"/>
  <c r="M309" i="2" a="1"/>
  <c r="M309" i="2"/>
  <c r="M310" i="2" a="1"/>
  <c r="M310" i="2"/>
  <c r="M311" i="2" a="1"/>
  <c r="M311" i="2"/>
  <c r="M312" i="2" a="1"/>
  <c r="M312" i="2"/>
  <c r="M313" i="2" a="1"/>
  <c r="M313" i="2"/>
  <c r="M314" i="2" a="1"/>
  <c r="M314" i="2" s="1"/>
  <c r="M315" i="2" a="1"/>
  <c r="M315" i="2" s="1"/>
  <c r="M316" i="2" a="1"/>
  <c r="M316" i="2" s="1"/>
  <c r="M317" i="2" a="1"/>
  <c r="M317" i="2"/>
  <c r="M318" i="2" a="1"/>
  <c r="M318" i="2"/>
  <c r="M319" i="2" a="1"/>
  <c r="M319" i="2"/>
  <c r="M320" i="2" a="1"/>
  <c r="M320" i="2"/>
  <c r="M321" i="2" a="1"/>
  <c r="M321" i="2"/>
  <c r="M322" i="2" a="1"/>
  <c r="M322" i="2" s="1"/>
  <c r="M323" i="2" a="1"/>
  <c r="M323" i="2" s="1"/>
  <c r="M324" i="2" a="1"/>
  <c r="M324" i="2" s="1"/>
  <c r="M325" i="2" a="1"/>
  <c r="M325" i="2"/>
  <c r="M326" i="2" a="1"/>
  <c r="M326" i="2"/>
  <c r="M327" i="2" a="1"/>
  <c r="M327" i="2"/>
  <c r="M328" i="2" a="1"/>
  <c r="M328" i="2"/>
  <c r="M329" i="2" a="1"/>
  <c r="M329" i="2"/>
  <c r="M330" i="2" a="1"/>
  <c r="M330" i="2" s="1"/>
  <c r="M331" i="2" a="1"/>
  <c r="M331" i="2" s="1"/>
  <c r="M332" i="2" a="1"/>
  <c r="M332" i="2" s="1"/>
  <c r="M333" i="2" a="1"/>
  <c r="M333" i="2"/>
  <c r="M334" i="2" a="1"/>
  <c r="M334" i="2"/>
  <c r="M335" i="2" a="1"/>
  <c r="M335" i="2"/>
  <c r="M336" i="2" a="1"/>
  <c r="M336" i="2"/>
  <c r="M337" i="2" a="1"/>
  <c r="M337" i="2"/>
  <c r="M338" i="2" a="1"/>
  <c r="M338" i="2" s="1"/>
  <c r="M339" i="2" a="1"/>
  <c r="M339" i="2" s="1"/>
  <c r="M340" i="2" a="1"/>
  <c r="M340" i="2" s="1"/>
  <c r="M341" i="2" a="1"/>
  <c r="M341" i="2"/>
  <c r="M342" i="2" a="1"/>
  <c r="M342" i="2"/>
  <c r="M343" i="2" a="1"/>
  <c r="M343" i="2"/>
  <c r="M344" i="2" a="1"/>
  <c r="M344" i="2"/>
  <c r="M345" i="2" a="1"/>
  <c r="M345" i="2"/>
  <c r="M346" i="2" a="1"/>
  <c r="M346" i="2" s="1"/>
  <c r="M347" i="2" a="1"/>
  <c r="M347" i="2" s="1"/>
  <c r="M348" i="2" a="1"/>
  <c r="M348" i="2" s="1"/>
  <c r="M349" i="2" a="1"/>
  <c r="M349" i="2"/>
  <c r="M350" i="2" a="1"/>
  <c r="M350" i="2"/>
  <c r="M351" i="2" a="1"/>
  <c r="M351" i="2"/>
  <c r="M352" i="2" a="1"/>
  <c r="M352" i="2"/>
  <c r="M353" i="2" a="1"/>
  <c r="M353" i="2"/>
  <c r="M354" i="2" a="1"/>
  <c r="M354" i="2" s="1"/>
  <c r="M355" i="2" a="1"/>
  <c r="M355" i="2" s="1"/>
  <c r="M356" i="2" a="1"/>
  <c r="M356" i="2" s="1"/>
  <c r="M357" i="2" a="1"/>
  <c r="M357" i="2"/>
  <c r="M358" i="2" a="1"/>
  <c r="M358" i="2"/>
  <c r="M359" i="2" a="1"/>
  <c r="M359" i="2"/>
  <c r="M360" i="2" a="1"/>
  <c r="M360" i="2"/>
  <c r="M361" i="2" a="1"/>
  <c r="M361" i="2"/>
  <c r="M362" i="2" a="1"/>
  <c r="M362" i="2" s="1"/>
  <c r="M363" i="2" a="1"/>
  <c r="M363" i="2" s="1"/>
  <c r="M364" i="2" a="1"/>
  <c r="M364" i="2" s="1"/>
  <c r="M365" i="2" a="1"/>
  <c r="M365" i="2"/>
  <c r="M366" i="2" a="1"/>
  <c r="M366" i="2"/>
  <c r="M367" i="2" a="1"/>
  <c r="M367" i="2"/>
  <c r="M368" i="2" a="1"/>
  <c r="M368" i="2"/>
  <c r="M369" i="2" a="1"/>
  <c r="M369" i="2"/>
  <c r="M370" i="2" a="1"/>
  <c r="M370" i="2" s="1"/>
  <c r="M371" i="2" a="1"/>
  <c r="M371" i="2" s="1"/>
  <c r="M372" i="2" a="1"/>
  <c r="M372" i="2" s="1"/>
  <c r="M373" i="2" a="1"/>
  <c r="M373" i="2"/>
  <c r="M374" i="2" a="1"/>
  <c r="M374" i="2"/>
  <c r="M375" i="2" a="1"/>
  <c r="M375" i="2"/>
  <c r="M376" i="2" a="1"/>
  <c r="M376" i="2"/>
  <c r="M377" i="2" a="1"/>
  <c r="M377" i="2"/>
  <c r="M378" i="2" a="1"/>
  <c r="M378" i="2" s="1"/>
  <c r="M379" i="2" a="1"/>
  <c r="M379" i="2" s="1"/>
  <c r="M380" i="2" a="1"/>
  <c r="M380" i="2" s="1"/>
  <c r="M381" i="2" a="1"/>
  <c r="M381" i="2"/>
  <c r="M382" i="2" a="1"/>
  <c r="M382" i="2"/>
  <c r="M383" i="2" a="1"/>
  <c r="M383" i="2"/>
  <c r="M384" i="2" a="1"/>
  <c r="M384" i="2"/>
  <c r="M385" i="2" a="1"/>
  <c r="M385" i="2"/>
  <c r="M386" i="2" a="1"/>
  <c r="M386" i="2" s="1"/>
  <c r="M387" i="2" a="1"/>
  <c r="M387" i="2" s="1"/>
  <c r="M388" i="2" a="1"/>
  <c r="M388" i="2" s="1"/>
  <c r="M389" i="2" a="1"/>
  <c r="M389" i="2"/>
  <c r="M390" i="2" a="1"/>
  <c r="M390" i="2"/>
  <c r="M391" i="2" a="1"/>
  <c r="M391" i="2"/>
  <c r="M392" i="2" a="1"/>
  <c r="M392" i="2"/>
  <c r="M393" i="2" a="1"/>
  <c r="M393" i="2"/>
  <c r="M394" i="2" a="1"/>
  <c r="M394" i="2" s="1"/>
  <c r="M395" i="2" a="1"/>
  <c r="M395" i="2" s="1"/>
  <c r="M396" i="2" a="1"/>
  <c r="M396" i="2" s="1"/>
  <c r="M397" i="2" a="1"/>
  <c r="M397" i="2"/>
  <c r="M398" i="2" a="1"/>
  <c r="M398" i="2"/>
  <c r="M399" i="2" a="1"/>
  <c r="M399" i="2"/>
  <c r="M400" i="2" a="1"/>
  <c r="M400" i="2"/>
  <c r="M401" i="2" a="1"/>
  <c r="M401" i="2"/>
  <c r="M402" i="2" a="1"/>
  <c r="M402" i="2" s="1"/>
  <c r="M403" i="2" a="1"/>
  <c r="M403" i="2" s="1"/>
  <c r="M404" i="2" a="1"/>
  <c r="M404" i="2" s="1"/>
  <c r="M405" i="2" a="1"/>
  <c r="M405" i="2"/>
  <c r="M406" i="2" a="1"/>
  <c r="M406" i="2"/>
  <c r="M407" i="2" a="1"/>
  <c r="M407" i="2"/>
  <c r="M408" i="2" a="1"/>
  <c r="M408" i="2"/>
  <c r="M409" i="2" a="1"/>
  <c r="M409" i="2"/>
  <c r="M410" i="2" a="1"/>
  <c r="M410" i="2" s="1"/>
  <c r="M411" i="2" a="1"/>
  <c r="M411" i="2" s="1"/>
  <c r="M412" i="2" a="1"/>
  <c r="M412" i="2" s="1"/>
  <c r="M413" i="2" a="1"/>
  <c r="M413" i="2"/>
  <c r="M414" i="2" a="1"/>
  <c r="M414" i="2"/>
  <c r="M415" i="2" a="1"/>
  <c r="M415" i="2"/>
  <c r="M416" i="2" a="1"/>
  <c r="M416" i="2"/>
  <c r="M417" i="2" a="1"/>
  <c r="M417" i="2"/>
  <c r="M418" i="2" a="1"/>
  <c r="M418" i="2" s="1"/>
  <c r="M419" i="2" a="1"/>
  <c r="M419" i="2" s="1"/>
  <c r="M420" i="2" a="1"/>
  <c r="M420" i="2" s="1"/>
  <c r="M421" i="2" a="1"/>
  <c r="M421" i="2"/>
  <c r="M422" i="2" a="1"/>
  <c r="M422" i="2"/>
  <c r="M423" i="2" a="1"/>
  <c r="M423" i="2"/>
  <c r="M424" i="2" a="1"/>
  <c r="M424" i="2"/>
  <c r="M425" i="2" a="1"/>
  <c r="M425" i="2"/>
  <c r="M426" i="2" a="1"/>
  <c r="M426" i="2" s="1"/>
  <c r="M427" i="2" a="1"/>
  <c r="M427" i="2" s="1"/>
  <c r="M428" i="2" a="1"/>
  <c r="M428" i="2" s="1"/>
  <c r="M429" i="2" a="1"/>
  <c r="M429" i="2"/>
  <c r="M430" i="2" a="1"/>
  <c r="M430" i="2"/>
  <c r="M431" i="2" a="1"/>
  <c r="M431" i="2"/>
  <c r="M432" i="2" a="1"/>
  <c r="M432" i="2"/>
  <c r="M433" i="2" a="1"/>
  <c r="M433" i="2"/>
  <c r="M434" i="2" a="1"/>
  <c r="M434" i="2" s="1"/>
  <c r="M435" i="2" a="1"/>
  <c r="M435" i="2" s="1"/>
  <c r="M436" i="2" a="1"/>
  <c r="M436" i="2" s="1"/>
  <c r="M437" i="2" a="1"/>
  <c r="M437" i="2"/>
  <c r="M438" i="2" a="1"/>
  <c r="M438" i="2"/>
  <c r="M439" i="2" a="1"/>
  <c r="M439" i="2"/>
  <c r="M440" i="2" a="1"/>
  <c r="M440" i="2"/>
  <c r="M441" i="2" a="1"/>
  <c r="M441" i="2"/>
  <c r="M442" i="2" a="1"/>
  <c r="M442" i="2" s="1"/>
  <c r="M443" i="2" a="1"/>
  <c r="M443" i="2" s="1"/>
  <c r="M444" i="2" a="1"/>
  <c r="M444" i="2" s="1"/>
  <c r="M445" i="2" a="1"/>
  <c r="M445" i="2"/>
  <c r="M446" i="2" a="1"/>
  <c r="M446" i="2" s="1"/>
  <c r="M447" i="2" a="1"/>
  <c r="M447" i="2"/>
  <c r="M448" i="2" a="1"/>
  <c r="M448" i="2"/>
  <c r="M449" i="2" a="1"/>
  <c r="M449" i="2"/>
  <c r="M450" i="2" a="1"/>
  <c r="M450" i="2" s="1"/>
  <c r="M451" i="2" a="1"/>
  <c r="M451" i="2" s="1"/>
  <c r="M452" i="2" a="1"/>
  <c r="M452" i="2" s="1"/>
  <c r="M453" i="2" a="1"/>
  <c r="M453" i="2"/>
  <c r="M454" i="2" a="1"/>
  <c r="M454" i="2"/>
  <c r="M455" i="2" a="1"/>
  <c r="M455" i="2"/>
  <c r="M456" i="2" a="1"/>
  <c r="M456" i="2"/>
  <c r="M457" i="2" a="1"/>
  <c r="M457" i="2"/>
  <c r="M458" i="2" a="1"/>
  <c r="M458" i="2" s="1"/>
  <c r="M459" i="2" a="1"/>
  <c r="M459" i="2" s="1"/>
  <c r="M460" i="2" a="1"/>
  <c r="M460" i="2" s="1"/>
  <c r="M461" i="2" a="1"/>
  <c r="M461" i="2"/>
  <c r="M462" i="2" a="1"/>
  <c r="M462" i="2"/>
  <c r="M463" i="2" a="1"/>
  <c r="M463" i="2"/>
  <c r="M464" i="2" a="1"/>
  <c r="M464" i="2"/>
  <c r="M465" i="2" a="1"/>
  <c r="M465" i="2"/>
  <c r="M466" i="2" a="1"/>
  <c r="M466" i="2" s="1"/>
  <c r="M467" i="2" a="1"/>
  <c r="M467" i="2" s="1"/>
  <c r="M468" i="2" a="1"/>
  <c r="M468" i="2" s="1"/>
  <c r="M469" i="2" a="1"/>
  <c r="M469" i="2"/>
  <c r="M470" i="2" a="1"/>
  <c r="M470" i="2"/>
  <c r="M471" i="2" a="1"/>
  <c r="M471" i="2"/>
  <c r="M472" i="2" a="1"/>
  <c r="M472" i="2"/>
  <c r="M473" i="2" a="1"/>
  <c r="M473" i="2"/>
  <c r="M474" i="2" a="1"/>
  <c r="M474" i="2" s="1"/>
  <c r="M475" i="2" a="1"/>
  <c r="M475" i="2" s="1"/>
  <c r="M476" i="2" a="1"/>
  <c r="M476" i="2" s="1"/>
  <c r="M477" i="2" a="1"/>
  <c r="M477" i="2"/>
  <c r="M478" i="2" a="1"/>
  <c r="M478" i="2"/>
  <c r="M479" i="2" a="1"/>
  <c r="M479" i="2"/>
  <c r="M480" i="2" a="1"/>
  <c r="M480" i="2"/>
  <c r="M481" i="2" a="1"/>
  <c r="M481" i="2"/>
  <c r="M482" i="2" a="1"/>
  <c r="M482" i="2" s="1"/>
  <c r="M483" i="2" a="1"/>
  <c r="M483" i="2" s="1"/>
  <c r="M484" i="2" a="1"/>
  <c r="M484" i="2" s="1"/>
  <c r="M485" i="2" a="1"/>
  <c r="M485" i="2"/>
  <c r="M486" i="2" a="1"/>
  <c r="M486" i="2"/>
  <c r="M487" i="2" a="1"/>
  <c r="M487" i="2"/>
  <c r="M488" i="2" a="1"/>
  <c r="M488" i="2"/>
  <c r="M489" i="2" a="1"/>
  <c r="M489" i="2"/>
  <c r="M490" i="2" a="1"/>
  <c r="M490" i="2" s="1"/>
  <c r="M491" i="2" a="1"/>
  <c r="M491" i="2" s="1"/>
  <c r="M492" i="2" a="1"/>
  <c r="M492" i="2" s="1"/>
  <c r="M493" i="2" a="1"/>
  <c r="M493" i="2"/>
  <c r="M494" i="2" a="1"/>
  <c r="M494" i="2"/>
  <c r="M495" i="2" a="1"/>
  <c r="M495" i="2"/>
  <c r="M496" i="2" a="1"/>
  <c r="M496" i="2"/>
  <c r="M497" i="2" a="1"/>
  <c r="M497" i="2"/>
  <c r="M498" i="2" a="1"/>
  <c r="M498" i="2" s="1"/>
  <c r="M499" i="2" a="1"/>
  <c r="M499" i="2" s="1"/>
  <c r="M500" i="2" a="1"/>
  <c r="M500" i="2" s="1"/>
  <c r="M501" i="2" a="1"/>
  <c r="M501" i="2"/>
  <c r="M502" i="2" a="1"/>
  <c r="M502" i="2"/>
  <c r="M503" i="2" a="1"/>
  <c r="M503" i="2"/>
  <c r="M504" i="2" a="1"/>
  <c r="M504" i="2"/>
  <c r="M505" i="2" a="1"/>
  <c r="M505" i="2"/>
  <c r="M506" i="2" a="1"/>
  <c r="M506" i="2" s="1"/>
  <c r="M507" i="2" a="1"/>
  <c r="M507" i="2" s="1"/>
  <c r="M508" i="2" a="1"/>
  <c r="M508" i="2" s="1"/>
  <c r="M509" i="2" a="1"/>
  <c r="M509" i="2"/>
  <c r="M510" i="2" a="1"/>
  <c r="M510" i="2"/>
  <c r="M511" i="2" a="1"/>
  <c r="M511" i="2"/>
  <c r="M512" i="2" a="1"/>
  <c r="M512" i="2"/>
  <c r="M513" i="2" a="1"/>
  <c r="M513" i="2"/>
  <c r="M514" i="2" a="1"/>
  <c r="M514" i="2" s="1"/>
  <c r="M515" i="2" a="1"/>
  <c r="M515" i="2" s="1"/>
  <c r="M516" i="2" a="1"/>
  <c r="M516" i="2" s="1"/>
  <c r="M517" i="2" a="1"/>
  <c r="M517" i="2"/>
  <c r="M518" i="2" a="1"/>
  <c r="M518" i="2"/>
  <c r="M519" i="2" a="1"/>
  <c r="M519" i="2"/>
  <c r="M520" i="2" a="1"/>
  <c r="M520" i="2"/>
  <c r="M521" i="2" a="1"/>
  <c r="M521" i="2"/>
  <c r="M522" i="2" a="1"/>
  <c r="M522" i="2" s="1"/>
  <c r="M523" i="2" a="1"/>
  <c r="M523" i="2" s="1"/>
  <c r="M524" i="2" a="1"/>
  <c r="M524" i="2" s="1"/>
  <c r="M525" i="2" a="1"/>
  <c r="M525" i="2"/>
  <c r="M526" i="2" a="1"/>
  <c r="M526" i="2"/>
  <c r="M527" i="2" a="1"/>
  <c r="M527" i="2"/>
  <c r="M528" i="2" a="1"/>
  <c r="M528" i="2"/>
  <c r="M529" i="2" a="1"/>
  <c r="M529" i="2"/>
  <c r="M530" i="2" a="1"/>
  <c r="M530" i="2" s="1"/>
  <c r="M531" i="2" a="1"/>
  <c r="M531" i="2" s="1"/>
  <c r="M532" i="2" a="1"/>
  <c r="M532" i="2" s="1"/>
  <c r="M533" i="2" a="1"/>
  <c r="M533" i="2"/>
  <c r="M534" i="2" a="1"/>
  <c r="M534" i="2"/>
  <c r="M535" i="2" a="1"/>
  <c r="M535" i="2"/>
  <c r="M536" i="2" a="1"/>
  <c r="M536" i="2"/>
  <c r="M537" i="2" a="1"/>
  <c r="M537" i="2"/>
  <c r="M538" i="2" a="1"/>
  <c r="M538" i="2" s="1"/>
  <c r="M539" i="2" a="1"/>
  <c r="M539" i="2" s="1"/>
  <c r="M540" i="2" a="1"/>
  <c r="M540" i="2" s="1"/>
  <c r="M541" i="2" a="1"/>
  <c r="M541" i="2"/>
  <c r="M542" i="2" a="1"/>
  <c r="M542" i="2"/>
  <c r="M543" i="2" a="1"/>
  <c r="M543" i="2"/>
  <c r="M544" i="2" a="1"/>
  <c r="M544" i="2"/>
  <c r="M545" i="2" a="1"/>
  <c r="M545" i="2"/>
  <c r="M546" i="2" a="1"/>
  <c r="M546" i="2" s="1"/>
  <c r="M547" i="2" a="1"/>
  <c r="M547" i="2" s="1"/>
  <c r="M548" i="2" a="1"/>
  <c r="M548" i="2" s="1"/>
  <c r="M549" i="2" a="1"/>
  <c r="M549" i="2"/>
  <c r="M550" i="2" a="1"/>
  <c r="M550" i="2"/>
  <c r="M551" i="2" a="1"/>
  <c r="M551" i="2"/>
  <c r="M552" i="2" a="1"/>
  <c r="M552" i="2"/>
  <c r="M553" i="2" a="1"/>
  <c r="M553" i="2"/>
  <c r="M554" i="2" a="1"/>
  <c r="M554" i="2" s="1"/>
  <c r="M555" i="2" a="1"/>
  <c r="M555" i="2" s="1"/>
  <c r="M556" i="2" a="1"/>
  <c r="M556" i="2" s="1"/>
  <c r="M557" i="2" a="1"/>
  <c r="M557" i="2"/>
  <c r="M558" i="2" a="1"/>
  <c r="M558" i="2"/>
  <c r="M559" i="2" a="1"/>
  <c r="M559" i="2"/>
  <c r="M560" i="2" a="1"/>
  <c r="M560" i="2"/>
  <c r="M561" i="2" a="1"/>
  <c r="M561" i="2"/>
  <c r="M562" i="2" a="1"/>
  <c r="M562" i="2" s="1"/>
  <c r="M563" i="2" a="1"/>
  <c r="M563" i="2" s="1"/>
  <c r="M564" i="2" a="1"/>
  <c r="M564" i="2" s="1"/>
  <c r="M565" i="2" a="1"/>
  <c r="M565" i="2"/>
  <c r="M566" i="2" a="1"/>
  <c r="M566" i="2"/>
  <c r="M567" i="2" a="1"/>
  <c r="M567" i="2"/>
  <c r="M568" i="2" a="1"/>
  <c r="M568" i="2"/>
  <c r="M569" i="2" a="1"/>
  <c r="M569" i="2"/>
  <c r="M570" i="2" a="1"/>
  <c r="M570" i="2" s="1"/>
  <c r="M571" i="2" a="1"/>
  <c r="M571" i="2" s="1"/>
  <c r="M572" i="2" a="1"/>
  <c r="M572" i="2" s="1"/>
  <c r="M573" i="2" a="1"/>
  <c r="M573" i="2"/>
  <c r="M574" i="2" a="1"/>
  <c r="M574" i="2"/>
  <c r="M575" i="2" a="1"/>
  <c r="M575" i="2"/>
  <c r="M576" i="2" a="1"/>
  <c r="M576" i="2"/>
  <c r="M577" i="2" a="1"/>
  <c r="M577" i="2"/>
  <c r="M578" i="2" a="1"/>
  <c r="M578" i="2" s="1"/>
  <c r="M579" i="2" a="1"/>
  <c r="M579" i="2" s="1"/>
  <c r="M580" i="2" a="1"/>
  <c r="M580" i="2" s="1"/>
  <c r="M581" i="2" a="1"/>
  <c r="M581" i="2"/>
  <c r="M582" i="2" a="1"/>
  <c r="M582" i="2"/>
  <c r="M583" i="2" a="1"/>
  <c r="M583" i="2"/>
  <c r="M584" i="2" a="1"/>
  <c r="M584" i="2"/>
  <c r="M585" i="2" a="1"/>
  <c r="M585" i="2"/>
  <c r="M586" i="2" a="1"/>
  <c r="M586" i="2" s="1"/>
  <c r="M587" i="2" a="1"/>
  <c r="M587" i="2" s="1"/>
  <c r="M588" i="2" a="1"/>
  <c r="M588" i="2" s="1"/>
  <c r="M589" i="2" a="1"/>
  <c r="M589" i="2"/>
  <c r="M590" i="2" a="1"/>
  <c r="M590" i="2"/>
  <c r="M591" i="2" a="1"/>
  <c r="M591" i="2"/>
  <c r="M592" i="2" a="1"/>
  <c r="M592" i="2"/>
  <c r="M593" i="2" a="1"/>
  <c r="M593" i="2"/>
  <c r="M594" i="2" a="1"/>
  <c r="M594" i="2" s="1"/>
  <c r="M595" i="2" a="1"/>
  <c r="M595" i="2" s="1"/>
  <c r="M596" i="2" a="1"/>
  <c r="M596" i="2" s="1"/>
  <c r="M597" i="2" a="1"/>
  <c r="M597" i="2"/>
  <c r="M598" i="2" a="1"/>
  <c r="M598" i="2"/>
  <c r="M599" i="2" a="1"/>
  <c r="M599" i="2"/>
  <c r="M600" i="2" a="1"/>
  <c r="M600" i="2"/>
  <c r="M601" i="2" a="1"/>
  <c r="M601" i="2"/>
  <c r="M602" i="2" a="1"/>
  <c r="M602" i="2" s="1"/>
  <c r="M603" i="2" a="1"/>
  <c r="M603" i="2" s="1"/>
  <c r="M604" i="2" a="1"/>
  <c r="M604" i="2" s="1"/>
  <c r="M605" i="2" a="1"/>
  <c r="M605" i="2"/>
  <c r="M606" i="2" a="1"/>
  <c r="M606" i="2"/>
  <c r="M607" i="2" a="1"/>
  <c r="M607" i="2"/>
  <c r="M608" i="2" a="1"/>
  <c r="M608" i="2"/>
  <c r="M609" i="2" a="1"/>
  <c r="M609" i="2"/>
  <c r="M610" i="2" a="1"/>
  <c r="M610" i="2" s="1"/>
  <c r="M611" i="2" a="1"/>
  <c r="M611" i="2" s="1"/>
  <c r="G2" i="2" a="1"/>
  <c r="G2" i="2" s="1"/>
  <c r="G3" i="2" a="1"/>
  <c r="G3" i="2" s="1"/>
  <c r="G4" i="2" a="1"/>
  <c r="G4" i="2"/>
  <c r="G5" i="2" a="1"/>
  <c r="G5" i="2"/>
  <c r="G6" i="2" a="1"/>
  <c r="G6" i="2"/>
  <c r="G7" i="2" a="1"/>
  <c r="G7" i="2"/>
  <c r="G8" i="2" a="1"/>
  <c r="G8" i="2"/>
  <c r="G9" i="2" a="1"/>
  <c r="G9" i="2"/>
  <c r="G10" i="2" a="1"/>
  <c r="G10" i="2" s="1"/>
  <c r="G11" i="2" a="1"/>
  <c r="G11" i="2" s="1"/>
  <c r="G12" i="2" a="1"/>
  <c r="G12" i="2"/>
  <c r="G13" i="2" a="1"/>
  <c r="G13" i="2"/>
  <c r="G14" i="2" a="1"/>
  <c r="G14" i="2"/>
  <c r="G15" i="2" a="1"/>
  <c r="G15" i="2"/>
  <c r="G16" i="2" a="1"/>
  <c r="G16" i="2"/>
  <c r="G17" i="2" a="1"/>
  <c r="G17" i="2"/>
  <c r="G18" i="2" a="1"/>
  <c r="G18" i="2" s="1"/>
  <c r="G19" i="2" a="1"/>
  <c r="G19" i="2" s="1"/>
  <c r="G20" i="2" a="1"/>
  <c r="G20" i="2"/>
  <c r="G21" i="2" a="1"/>
  <c r="G21" i="2"/>
  <c r="G22" i="2" a="1"/>
  <c r="G22" i="2"/>
  <c r="G23" i="2" a="1"/>
  <c r="G23" i="2"/>
  <c r="G24" i="2" a="1"/>
  <c r="G24" i="2"/>
  <c r="G25" i="2" a="1"/>
  <c r="G25" i="2"/>
  <c r="G26" i="2" a="1"/>
  <c r="G26" i="2" s="1"/>
  <c r="G27" i="2" a="1"/>
  <c r="G27" i="2" s="1"/>
  <c r="G28" i="2" a="1"/>
  <c r="G28" i="2"/>
  <c r="G29" i="2" a="1"/>
  <c r="G29" i="2"/>
  <c r="G30" i="2" a="1"/>
  <c r="G30" i="2"/>
  <c r="G31" i="2" a="1"/>
  <c r="G31" i="2"/>
  <c r="G32" i="2" a="1"/>
  <c r="G32" i="2"/>
  <c r="G33" i="2" a="1"/>
  <c r="G33" i="2"/>
  <c r="G34" i="2" a="1"/>
  <c r="G34" i="2" s="1"/>
  <c r="G35" i="2" a="1"/>
  <c r="G35" i="2" s="1"/>
  <c r="G36" i="2" a="1"/>
  <c r="G36" i="2"/>
  <c r="G37" i="2" a="1"/>
  <c r="G37" i="2"/>
  <c r="G38" i="2" a="1"/>
  <c r="G38" i="2"/>
  <c r="G39" i="2" a="1"/>
  <c r="G39" i="2" s="1"/>
  <c r="G40" i="2" a="1"/>
  <c r="G40" i="2"/>
  <c r="G41" i="2" a="1"/>
  <c r="G41" i="2"/>
  <c r="G42" i="2" a="1"/>
  <c r="G42" i="2" s="1"/>
  <c r="G43" i="2" a="1"/>
  <c r="G43" i="2" s="1"/>
  <c r="G44" i="2" a="1"/>
  <c r="G44" i="2"/>
  <c r="G45" i="2" a="1"/>
  <c r="G45" i="2"/>
  <c r="G46" i="2" a="1"/>
  <c r="G46" i="2"/>
  <c r="G47" i="2" a="1"/>
  <c r="G47" i="2"/>
  <c r="G48" i="2" a="1"/>
  <c r="G48" i="2"/>
  <c r="G49" i="2" a="1"/>
  <c r="G49" i="2"/>
  <c r="G50" i="2" a="1"/>
  <c r="G50" i="2" s="1"/>
  <c r="G51" i="2" a="1"/>
  <c r="G51" i="2" s="1"/>
  <c r="G52" i="2" a="1"/>
  <c r="G52" i="2"/>
  <c r="G53" i="2" a="1"/>
  <c r="G53" i="2"/>
  <c r="G54" i="2" a="1"/>
  <c r="G54" i="2"/>
  <c r="G55" i="2" a="1"/>
  <c r="G55" i="2"/>
  <c r="G56" i="2" a="1"/>
  <c r="G56" i="2"/>
  <c r="G57" i="2" a="1"/>
  <c r="G57" i="2"/>
  <c r="G58" i="2" a="1"/>
  <c r="G58" i="2" s="1"/>
  <c r="G59" i="2" a="1"/>
  <c r="G59" i="2" s="1"/>
  <c r="G60" i="2" a="1"/>
  <c r="G60" i="2"/>
  <c r="G61" i="2" a="1"/>
  <c r="G61" i="2"/>
  <c r="G62" i="2" a="1"/>
  <c r="G62" i="2"/>
  <c r="G63" i="2" a="1"/>
  <c r="G63" i="2"/>
  <c r="G64" i="2" a="1"/>
  <c r="G64" i="2"/>
  <c r="G65" i="2" a="1"/>
  <c r="G65" i="2"/>
  <c r="G66" i="2" a="1"/>
  <c r="G66" i="2" s="1"/>
  <c r="G67" i="2" a="1"/>
  <c r="G67" i="2" s="1"/>
  <c r="G68" i="2" a="1"/>
  <c r="G68" i="2"/>
  <c r="G69" i="2" a="1"/>
  <c r="G69" i="2"/>
  <c r="G70" i="2" a="1"/>
  <c r="G70" i="2"/>
  <c r="G71" i="2" a="1"/>
  <c r="G71" i="2"/>
  <c r="G72" i="2" a="1"/>
  <c r="G72" i="2"/>
  <c r="G73" i="2" a="1"/>
  <c r="G73" i="2"/>
  <c r="G74" i="2" a="1"/>
  <c r="G74" i="2" s="1"/>
  <c r="G75" i="2" a="1"/>
  <c r="G75" i="2" s="1"/>
  <c r="G76" i="2" a="1"/>
  <c r="G76" i="2"/>
  <c r="G77" i="2" a="1"/>
  <c r="G77" i="2"/>
  <c r="G78" i="2" a="1"/>
  <c r="G78" i="2"/>
  <c r="G79" i="2" a="1"/>
  <c r="G79" i="2"/>
  <c r="G80" i="2" a="1"/>
  <c r="G80" i="2"/>
  <c r="G81" i="2" a="1"/>
  <c r="G81" i="2"/>
  <c r="G82" i="2" a="1"/>
  <c r="G82" i="2" s="1"/>
  <c r="G83" i="2" a="1"/>
  <c r="G83" i="2" s="1"/>
  <c r="G84" i="2" a="1"/>
  <c r="G84" i="2"/>
  <c r="G85" i="2" a="1"/>
  <c r="G85" i="2"/>
  <c r="G86" i="2" a="1"/>
  <c r="G86" i="2"/>
  <c r="G87" i="2" a="1"/>
  <c r="G87" i="2"/>
  <c r="G88" i="2" a="1"/>
  <c r="G88" i="2"/>
  <c r="G89" i="2" a="1"/>
  <c r="G89" i="2"/>
  <c r="G90" i="2" a="1"/>
  <c r="G90" i="2" s="1"/>
  <c r="G91" i="2" a="1"/>
  <c r="G91" i="2" s="1"/>
  <c r="G92" i="2" a="1"/>
  <c r="G92" i="2"/>
  <c r="G93" i="2" a="1"/>
  <c r="G93" i="2"/>
  <c r="G94" i="2" a="1"/>
  <c r="G94" i="2"/>
  <c r="G95" i="2" a="1"/>
  <c r="G95" i="2"/>
  <c r="G96" i="2" a="1"/>
  <c r="G96" i="2"/>
  <c r="G97" i="2" a="1"/>
  <c r="G97" i="2"/>
  <c r="G98" i="2" a="1"/>
  <c r="G98" i="2" s="1"/>
  <c r="G99" i="2" a="1"/>
  <c r="G99" i="2" s="1"/>
  <c r="G100" i="2" a="1"/>
  <c r="G100" i="2"/>
  <c r="G101" i="2" a="1"/>
  <c r="G101" i="2"/>
  <c r="G102" i="2" a="1"/>
  <c r="G102" i="2"/>
  <c r="G103" i="2" a="1"/>
  <c r="G103" i="2"/>
  <c r="G104" i="2" a="1"/>
  <c r="G104" i="2"/>
  <c r="G105" i="2" a="1"/>
  <c r="G105" i="2"/>
  <c r="G106" i="2" a="1"/>
  <c r="G106" i="2" s="1"/>
  <c r="G107" i="2" a="1"/>
  <c r="G107" i="2" s="1"/>
  <c r="G108" i="2" a="1"/>
  <c r="G108" i="2"/>
  <c r="G109" i="2" a="1"/>
  <c r="G109" i="2"/>
  <c r="G110" i="2" a="1"/>
  <c r="G110" i="2"/>
  <c r="G111" i="2" a="1"/>
  <c r="G111" i="2"/>
  <c r="G112" i="2" a="1"/>
  <c r="G112" i="2"/>
  <c r="G113" i="2" a="1"/>
  <c r="G113" i="2"/>
  <c r="G114" i="2" a="1"/>
  <c r="G114" i="2" s="1"/>
  <c r="G115" i="2" a="1"/>
  <c r="G115" i="2" s="1"/>
  <c r="G116" i="2" a="1"/>
  <c r="G116" i="2"/>
  <c r="G117" i="2" a="1"/>
  <c r="G117" i="2"/>
  <c r="G118" i="2" a="1"/>
  <c r="G118" i="2"/>
  <c r="G119" i="2" a="1"/>
  <c r="G119" i="2"/>
  <c r="G120" i="2" a="1"/>
  <c r="G120" i="2"/>
  <c r="G121" i="2" a="1"/>
  <c r="G121" i="2"/>
  <c r="G122" i="2" a="1"/>
  <c r="G122" i="2" s="1"/>
  <c r="G123" i="2" a="1"/>
  <c r="G123" i="2" s="1"/>
  <c r="G124" i="2" a="1"/>
  <c r="G124" i="2"/>
  <c r="G125" i="2" a="1"/>
  <c r="G125" i="2"/>
  <c r="G126" i="2" a="1"/>
  <c r="G126" i="2"/>
  <c r="G127" i="2" a="1"/>
  <c r="G127" i="2"/>
  <c r="G128" i="2" a="1"/>
  <c r="G128" i="2"/>
  <c r="G129" i="2" a="1"/>
  <c r="G129" i="2"/>
  <c r="G130" i="2" a="1"/>
  <c r="G130" i="2" s="1"/>
  <c r="G131" i="2" a="1"/>
  <c r="G131" i="2" s="1"/>
  <c r="G132" i="2" a="1"/>
  <c r="G132" i="2"/>
  <c r="G133" i="2" a="1"/>
  <c r="G133" i="2"/>
  <c r="G134" i="2" a="1"/>
  <c r="G134" i="2"/>
  <c r="G135" i="2" a="1"/>
  <c r="G135" i="2"/>
  <c r="G136" i="2" a="1"/>
  <c r="G136" i="2"/>
  <c r="G137" i="2" a="1"/>
  <c r="G137" i="2"/>
  <c r="G138" i="2" a="1"/>
  <c r="G138" i="2" s="1"/>
  <c r="G139" i="2" a="1"/>
  <c r="G139" i="2" s="1"/>
  <c r="G140" i="2" a="1"/>
  <c r="G140" i="2"/>
  <c r="G141" i="2" a="1"/>
  <c r="G141" i="2"/>
  <c r="G142" i="2" a="1"/>
  <c r="G142" i="2"/>
  <c r="G143" i="2" a="1"/>
  <c r="G143" i="2"/>
  <c r="G144" i="2" a="1"/>
  <c r="G144" i="2"/>
  <c r="G145" i="2" a="1"/>
  <c r="G145" i="2"/>
  <c r="G146" i="2" a="1"/>
  <c r="G146" i="2" s="1"/>
  <c r="G147" i="2" a="1"/>
  <c r="G147" i="2" s="1"/>
  <c r="G148" i="2" a="1"/>
  <c r="G148" i="2"/>
  <c r="G149" i="2" a="1"/>
  <c r="G149" i="2"/>
  <c r="G150" i="2" a="1"/>
  <c r="G150" i="2"/>
  <c r="G151" i="2" a="1"/>
  <c r="G151" i="2"/>
  <c r="G152" i="2" a="1"/>
  <c r="G152" i="2"/>
  <c r="G153" i="2" a="1"/>
  <c r="G153" i="2"/>
  <c r="G154" i="2" a="1"/>
  <c r="G154" i="2" s="1"/>
  <c r="G155" i="2" a="1"/>
  <c r="G155" i="2" s="1"/>
  <c r="G156" i="2" a="1"/>
  <c r="G156" i="2"/>
  <c r="G157" i="2" a="1"/>
  <c r="G157" i="2"/>
  <c r="G158" i="2" a="1"/>
  <c r="G158" i="2"/>
  <c r="G159" i="2" a="1"/>
  <c r="G159" i="2"/>
  <c r="G160" i="2" a="1"/>
  <c r="G160" i="2"/>
  <c r="G161" i="2" a="1"/>
  <c r="G161" i="2"/>
  <c r="G162" i="2" a="1"/>
  <c r="G162" i="2" s="1"/>
  <c r="G163" i="2" a="1"/>
  <c r="G163" i="2" s="1"/>
  <c r="G164" i="2" a="1"/>
  <c r="G164" i="2"/>
  <c r="G165" i="2" a="1"/>
  <c r="G165" i="2"/>
  <c r="G166" i="2" a="1"/>
  <c r="G166" i="2"/>
  <c r="G167" i="2" a="1"/>
  <c r="G167" i="2"/>
  <c r="G168" i="2" a="1"/>
  <c r="G168" i="2"/>
  <c r="G169" i="2" a="1"/>
  <c r="G169" i="2"/>
  <c r="G170" i="2" a="1"/>
  <c r="G170" i="2" s="1"/>
  <c r="G171" i="2" a="1"/>
  <c r="G171" i="2" s="1"/>
  <c r="G172" i="2" a="1"/>
  <c r="G172" i="2"/>
  <c r="G173" i="2" a="1"/>
  <c r="G173" i="2"/>
  <c r="G174" i="2" a="1"/>
  <c r="G174" i="2"/>
  <c r="G175" i="2" a="1"/>
  <c r="G175" i="2"/>
  <c r="G176" i="2" a="1"/>
  <c r="G176" i="2"/>
  <c r="G177" i="2" a="1"/>
  <c r="G177" i="2"/>
  <c r="G178" i="2" a="1"/>
  <c r="G178" i="2" s="1"/>
  <c r="G179" i="2" a="1"/>
  <c r="G179" i="2" s="1"/>
  <c r="G180" i="2" a="1"/>
  <c r="G180" i="2"/>
  <c r="G181" i="2" a="1"/>
  <c r="G181" i="2"/>
  <c r="G182" i="2" a="1"/>
  <c r="G182" i="2"/>
  <c r="G183" i="2" a="1"/>
  <c r="G183" i="2"/>
  <c r="G184" i="2" a="1"/>
  <c r="G184" i="2"/>
  <c r="G185" i="2" a="1"/>
  <c r="G185" i="2"/>
  <c r="G186" i="2" a="1"/>
  <c r="G186" i="2" s="1"/>
  <c r="G187" i="2" a="1"/>
  <c r="G187" i="2" s="1"/>
  <c r="G188" i="2" a="1"/>
  <c r="G188" i="2"/>
  <c r="G189" i="2" a="1"/>
  <c r="G189" i="2"/>
  <c r="G190" i="2" a="1"/>
  <c r="G190" i="2"/>
  <c r="G191" i="2" a="1"/>
  <c r="G191" i="2"/>
  <c r="G192" i="2" a="1"/>
  <c r="G192" i="2"/>
  <c r="G193" i="2" a="1"/>
  <c r="G193" i="2"/>
  <c r="G194" i="2" a="1"/>
  <c r="G194" i="2" s="1"/>
  <c r="G195" i="2" a="1"/>
  <c r="G195" i="2" s="1"/>
  <c r="G196" i="2" a="1"/>
  <c r="G196" i="2"/>
  <c r="G197" i="2" a="1"/>
  <c r="G197" i="2"/>
  <c r="G198" i="2" a="1"/>
  <c r="G198" i="2"/>
  <c r="G199" i="2" a="1"/>
  <c r="G199" i="2"/>
  <c r="G200" i="2" a="1"/>
  <c r="G200" i="2"/>
  <c r="G201" i="2" a="1"/>
  <c r="G201" i="2"/>
  <c r="G202" i="2" a="1"/>
  <c r="G202" i="2" s="1"/>
  <c r="G203" i="2" a="1"/>
  <c r="G203" i="2" s="1"/>
  <c r="G204" i="2" a="1"/>
  <c r="G204" i="2"/>
  <c r="G205" i="2" a="1"/>
  <c r="G205" i="2"/>
  <c r="G206" i="2" a="1"/>
  <c r="G206" i="2"/>
  <c r="G207" i="2" a="1"/>
  <c r="G207" i="2"/>
  <c r="G208" i="2" a="1"/>
  <c r="G208" i="2"/>
  <c r="G209" i="2" a="1"/>
  <c r="G209" i="2"/>
  <c r="G210" i="2" a="1"/>
  <c r="G210" i="2" s="1"/>
  <c r="G211" i="2" a="1"/>
  <c r="G211" i="2" s="1"/>
  <c r="G212" i="2" a="1"/>
  <c r="G212" i="2"/>
  <c r="G213" i="2" a="1"/>
  <c r="G213" i="2"/>
  <c r="G214" i="2" a="1"/>
  <c r="G214" i="2"/>
  <c r="G215" i="2" a="1"/>
  <c r="G215" i="2"/>
  <c r="G216" i="2" a="1"/>
  <c r="G216" i="2"/>
  <c r="G217" i="2" a="1"/>
  <c r="G217" i="2"/>
  <c r="G218" i="2" a="1"/>
  <c r="G218" i="2" s="1"/>
  <c r="G219" i="2" a="1"/>
  <c r="G219" i="2" s="1"/>
  <c r="G220" i="2" a="1"/>
  <c r="G220" i="2"/>
  <c r="G221" i="2" a="1"/>
  <c r="G221" i="2"/>
  <c r="G222" i="2" a="1"/>
  <c r="G222" i="2"/>
  <c r="G223" i="2" a="1"/>
  <c r="G223" i="2"/>
  <c r="G224" i="2" a="1"/>
  <c r="G224" i="2"/>
  <c r="G225" i="2" a="1"/>
  <c r="G225" i="2"/>
  <c r="G226" i="2" a="1"/>
  <c r="G226" i="2" s="1"/>
  <c r="G227" i="2" a="1"/>
  <c r="G227" i="2" s="1"/>
  <c r="G228" i="2" a="1"/>
  <c r="G228" i="2"/>
  <c r="G229" i="2" a="1"/>
  <c r="G229" i="2"/>
  <c r="G230" i="2" a="1"/>
  <c r="G230" i="2"/>
  <c r="G231" i="2" a="1"/>
  <c r="G231" i="2"/>
  <c r="G232" i="2" a="1"/>
  <c r="G232" i="2"/>
  <c r="G233" i="2" a="1"/>
  <c r="G233" i="2"/>
  <c r="G234" i="2" a="1"/>
  <c r="G234" i="2" s="1"/>
  <c r="G235" i="2" a="1"/>
  <c r="G235" i="2" s="1"/>
  <c r="G236" i="2" a="1"/>
  <c r="G236" i="2"/>
  <c r="G237" i="2" a="1"/>
  <c r="G237" i="2"/>
  <c r="G238" i="2" a="1"/>
  <c r="G238" i="2"/>
  <c r="G239" i="2" a="1"/>
  <c r="G239" i="2"/>
  <c r="G240" i="2" a="1"/>
  <c r="G240" i="2"/>
  <c r="G241" i="2" a="1"/>
  <c r="G241" i="2"/>
  <c r="G242" i="2" a="1"/>
  <c r="G242" i="2" s="1"/>
  <c r="G243" i="2" a="1"/>
  <c r="G243" i="2" s="1"/>
  <c r="G244" i="2" a="1"/>
  <c r="G244" i="2"/>
  <c r="G245" i="2" a="1"/>
  <c r="G245" i="2"/>
  <c r="G246" i="2" a="1"/>
  <c r="G246" i="2"/>
  <c r="G247" i="2" a="1"/>
  <c r="G247" i="2"/>
  <c r="G248" i="2" a="1"/>
  <c r="G248" i="2"/>
  <c r="G249" i="2" a="1"/>
  <c r="G249" i="2"/>
  <c r="G250" i="2" a="1"/>
  <c r="G250" i="2" s="1"/>
  <c r="G251" i="2" a="1"/>
  <c r="G251" i="2" s="1"/>
  <c r="G252" i="2" a="1"/>
  <c r="G252" i="2"/>
  <c r="G253" i="2" a="1"/>
  <c r="G253" i="2"/>
  <c r="G254" i="2" a="1"/>
  <c r="G254" i="2"/>
  <c r="G255" i="2" a="1"/>
  <c r="G255" i="2"/>
  <c r="G256" i="2" a="1"/>
  <c r="G256" i="2"/>
  <c r="G257" i="2" a="1"/>
  <c r="G257" i="2"/>
  <c r="G258" i="2" a="1"/>
  <c r="G258" i="2" s="1"/>
  <c r="G259" i="2" a="1"/>
  <c r="G259" i="2" s="1"/>
  <c r="G260" i="2" a="1"/>
  <c r="G260" i="2"/>
  <c r="G261" i="2" a="1"/>
  <c r="G261" i="2"/>
  <c r="G262" i="2" a="1"/>
  <c r="G262" i="2"/>
  <c r="G263" i="2" a="1"/>
  <c r="G263" i="2"/>
  <c r="G264" i="2" a="1"/>
  <c r="G264" i="2"/>
  <c r="G265" i="2" a="1"/>
  <c r="G265" i="2"/>
  <c r="G266" i="2" a="1"/>
  <c r="G266" i="2" s="1"/>
  <c r="G267" i="2" a="1"/>
  <c r="G267" i="2" s="1"/>
  <c r="G268" i="2" a="1"/>
  <c r="G268" i="2"/>
  <c r="G269" i="2" a="1"/>
  <c r="G269" i="2"/>
  <c r="G270" i="2" a="1"/>
  <c r="G270" i="2"/>
  <c r="G271" i="2" a="1"/>
  <c r="G271" i="2"/>
  <c r="G272" i="2" a="1"/>
  <c r="G272" i="2"/>
  <c r="G273" i="2" a="1"/>
  <c r="G273" i="2"/>
  <c r="G274" i="2" a="1"/>
  <c r="G274" i="2" s="1"/>
  <c r="G275" i="2" a="1"/>
  <c r="G275" i="2" s="1"/>
  <c r="G276" i="2" a="1"/>
  <c r="G276" i="2"/>
  <c r="G277" i="2" a="1"/>
  <c r="G277" i="2"/>
  <c r="G278" i="2" a="1"/>
  <c r="G278" i="2"/>
  <c r="G279" i="2" a="1"/>
  <c r="G279" i="2"/>
  <c r="G280" i="2" a="1"/>
  <c r="G280" i="2"/>
  <c r="G281" i="2" a="1"/>
  <c r="G281" i="2"/>
  <c r="G282" i="2" a="1"/>
  <c r="G282" i="2" s="1"/>
  <c r="G283" i="2" a="1"/>
  <c r="G283" i="2" s="1"/>
  <c r="G284" i="2" a="1"/>
  <c r="G284" i="2"/>
  <c r="G285" i="2" a="1"/>
  <c r="G285" i="2"/>
  <c r="G286" i="2" a="1"/>
  <c r="G286" i="2"/>
  <c r="G287" i="2" a="1"/>
  <c r="G287" i="2"/>
  <c r="G288" i="2" a="1"/>
  <c r="G288" i="2"/>
  <c r="G289" i="2" a="1"/>
  <c r="G289" i="2"/>
  <c r="G290" i="2" a="1"/>
  <c r="G290" i="2" s="1"/>
  <c r="G291" i="2" a="1"/>
  <c r="G291" i="2" s="1"/>
  <c r="G292" i="2" a="1"/>
  <c r="G292" i="2"/>
  <c r="G293" i="2" a="1"/>
  <c r="G293" i="2"/>
  <c r="G294" i="2" a="1"/>
  <c r="G294" i="2"/>
  <c r="G295" i="2" a="1"/>
  <c r="G295" i="2"/>
  <c r="G296" i="2" a="1"/>
  <c r="G296" i="2"/>
  <c r="G297" i="2" a="1"/>
  <c r="G297" i="2"/>
  <c r="G298" i="2" a="1"/>
  <c r="G298" i="2" s="1"/>
  <c r="G299" i="2" a="1"/>
  <c r="G299" i="2" s="1"/>
  <c r="G300" i="2" a="1"/>
  <c r="G300" i="2"/>
  <c r="G301" i="2" a="1"/>
  <c r="G301" i="2"/>
  <c r="G302" i="2" a="1"/>
  <c r="G302" i="2"/>
  <c r="G303" i="2" a="1"/>
  <c r="G303" i="2"/>
  <c r="G304" i="2" a="1"/>
  <c r="G304" i="2"/>
  <c r="G305" i="2" a="1"/>
  <c r="G305" i="2"/>
  <c r="G306" i="2" a="1"/>
  <c r="G306" i="2" s="1"/>
  <c r="G307" i="2" a="1"/>
  <c r="G307" i="2" s="1"/>
  <c r="G308" i="2" a="1"/>
  <c r="G308" i="2"/>
  <c r="G309" i="2" a="1"/>
  <c r="G309" i="2"/>
  <c r="G310" i="2" a="1"/>
  <c r="G310" i="2"/>
  <c r="G311" i="2" a="1"/>
  <c r="G311" i="2"/>
  <c r="G312" i="2" a="1"/>
  <c r="G312" i="2"/>
  <c r="G313" i="2" a="1"/>
  <c r="G313" i="2"/>
  <c r="G314" i="2" a="1"/>
  <c r="G314" i="2" s="1"/>
  <c r="G315" i="2" a="1"/>
  <c r="G315" i="2" s="1"/>
  <c r="G316" i="2" a="1"/>
  <c r="G316" i="2"/>
  <c r="G317" i="2" a="1"/>
  <c r="G317" i="2"/>
  <c r="G318" i="2" a="1"/>
  <c r="G318" i="2"/>
  <c r="G319" i="2" a="1"/>
  <c r="G319" i="2"/>
  <c r="G320" i="2" a="1"/>
  <c r="G320" i="2"/>
  <c r="G321" i="2" a="1"/>
  <c r="G321" i="2"/>
  <c r="G322" i="2" a="1"/>
  <c r="G322" i="2" s="1"/>
  <c r="G323" i="2" a="1"/>
  <c r="G323" i="2" s="1"/>
  <c r="G324" i="2" a="1"/>
  <c r="G324" i="2"/>
  <c r="G325" i="2" a="1"/>
  <c r="G325" i="2"/>
  <c r="G326" i="2" a="1"/>
  <c r="G326" i="2"/>
  <c r="G327" i="2" a="1"/>
  <c r="G327" i="2"/>
  <c r="G328" i="2" a="1"/>
  <c r="G328" i="2"/>
  <c r="G329" i="2" a="1"/>
  <c r="G329" i="2"/>
  <c r="G330" i="2" a="1"/>
  <c r="G330" i="2" s="1"/>
  <c r="G331" i="2" a="1"/>
  <c r="G331" i="2" s="1"/>
  <c r="G332" i="2" a="1"/>
  <c r="G332" i="2"/>
  <c r="G333" i="2" a="1"/>
  <c r="G333" i="2"/>
  <c r="G334" i="2" a="1"/>
  <c r="G334" i="2"/>
  <c r="G335" i="2" a="1"/>
  <c r="G335" i="2"/>
  <c r="G336" i="2" a="1"/>
  <c r="G336" i="2"/>
  <c r="G337" i="2" a="1"/>
  <c r="G337" i="2"/>
  <c r="G338" i="2" a="1"/>
  <c r="G338" i="2" s="1"/>
  <c r="G339" i="2" a="1"/>
  <c r="G339" i="2" s="1"/>
  <c r="G340" i="2" a="1"/>
  <c r="G340" i="2"/>
  <c r="G341" i="2" a="1"/>
  <c r="G341" i="2"/>
  <c r="G342" i="2" a="1"/>
  <c r="G342" i="2"/>
  <c r="G343" i="2" a="1"/>
  <c r="G343" i="2"/>
  <c r="G344" i="2" a="1"/>
  <c r="G344" i="2"/>
  <c r="G345" i="2" a="1"/>
  <c r="G345" i="2"/>
  <c r="G346" i="2" a="1"/>
  <c r="G346" i="2" s="1"/>
  <c r="G347" i="2" a="1"/>
  <c r="G347" i="2" s="1"/>
  <c r="G348" i="2" a="1"/>
  <c r="G348" i="2"/>
  <c r="G349" i="2" a="1"/>
  <c r="G349" i="2"/>
  <c r="G350" i="2" a="1"/>
  <c r="G350" i="2"/>
  <c r="G351" i="2" a="1"/>
  <c r="G351" i="2"/>
  <c r="G352" i="2" a="1"/>
  <c r="G352" i="2"/>
  <c r="G353" i="2" a="1"/>
  <c r="G353" i="2"/>
  <c r="G354" i="2" a="1"/>
  <c r="G354" i="2" s="1"/>
  <c r="G355" i="2" a="1"/>
  <c r="G355" i="2" s="1"/>
  <c r="G356" i="2" a="1"/>
  <c r="G356" i="2"/>
  <c r="G357" i="2" a="1"/>
  <c r="G357" i="2"/>
  <c r="G358" i="2" a="1"/>
  <c r="G358" i="2"/>
  <c r="G359" i="2" a="1"/>
  <c r="G359" i="2"/>
  <c r="G360" i="2" a="1"/>
  <c r="G360" i="2"/>
  <c r="G361" i="2" a="1"/>
  <c r="G361" i="2"/>
  <c r="G362" i="2" a="1"/>
  <c r="G362" i="2" s="1"/>
  <c r="G363" i="2" a="1"/>
  <c r="G363" i="2" s="1"/>
  <c r="G364" i="2" a="1"/>
  <c r="G364" i="2"/>
  <c r="G365" i="2" a="1"/>
  <c r="G365" i="2"/>
  <c r="G366" i="2" a="1"/>
  <c r="G366" i="2"/>
  <c r="G367" i="2" a="1"/>
  <c r="G367" i="2"/>
  <c r="G368" i="2" a="1"/>
  <c r="G368" i="2"/>
  <c r="G369" i="2" a="1"/>
  <c r="G369" i="2"/>
  <c r="G370" i="2" a="1"/>
  <c r="G370" i="2" s="1"/>
  <c r="G371" i="2" a="1"/>
  <c r="G371" i="2" s="1"/>
  <c r="G372" i="2" a="1"/>
  <c r="G372" i="2"/>
  <c r="G373" i="2" a="1"/>
  <c r="G373" i="2"/>
  <c r="G374" i="2" a="1"/>
  <c r="G374" i="2"/>
  <c r="G375" i="2" a="1"/>
  <c r="G375" i="2"/>
  <c r="G376" i="2" a="1"/>
  <c r="G376" i="2"/>
  <c r="G377" i="2" a="1"/>
  <c r="G377" i="2"/>
  <c r="G378" i="2" a="1"/>
  <c r="G378" i="2" s="1"/>
  <c r="G379" i="2" a="1"/>
  <c r="G379" i="2" s="1"/>
  <c r="G380" i="2" a="1"/>
  <c r="G380" i="2"/>
  <c r="G381" i="2" a="1"/>
  <c r="G381" i="2"/>
  <c r="G382" i="2" a="1"/>
  <c r="G382" i="2"/>
  <c r="G383" i="2" a="1"/>
  <c r="G383" i="2"/>
  <c r="G384" i="2" a="1"/>
  <c r="G384" i="2"/>
  <c r="G385" i="2" a="1"/>
  <c r="G385" i="2"/>
  <c r="G386" i="2" a="1"/>
  <c r="G386" i="2" s="1"/>
  <c r="G387" i="2" a="1"/>
  <c r="G387" i="2" s="1"/>
  <c r="G388" i="2" a="1"/>
  <c r="G388" i="2"/>
  <c r="G389" i="2" a="1"/>
  <c r="G389" i="2"/>
  <c r="G390" i="2" a="1"/>
  <c r="G390" i="2"/>
  <c r="G391" i="2" a="1"/>
  <c r="G391" i="2"/>
  <c r="G392" i="2" a="1"/>
  <c r="G392" i="2"/>
  <c r="G393" i="2" a="1"/>
  <c r="G393" i="2"/>
  <c r="G394" i="2" a="1"/>
  <c r="G394" i="2" s="1"/>
  <c r="G395" i="2" a="1"/>
  <c r="G395" i="2" s="1"/>
  <c r="G396" i="2" a="1"/>
  <c r="G396" i="2"/>
  <c r="G397" i="2" a="1"/>
  <c r="G397" i="2"/>
  <c r="G398" i="2" a="1"/>
  <c r="G398" i="2"/>
  <c r="G399" i="2" a="1"/>
  <c r="G399" i="2"/>
  <c r="G400" i="2" a="1"/>
  <c r="G400" i="2"/>
  <c r="G401" i="2" a="1"/>
  <c r="G401" i="2"/>
  <c r="G402" i="2" a="1"/>
  <c r="G402" i="2" s="1"/>
  <c r="G403" i="2" a="1"/>
  <c r="G403" i="2" s="1"/>
  <c r="G404" i="2" a="1"/>
  <c r="G404" i="2"/>
  <c r="G405" i="2" a="1"/>
  <c r="G405" i="2"/>
  <c r="G406" i="2" a="1"/>
  <c r="G406" i="2"/>
  <c r="G407" i="2" a="1"/>
  <c r="G407" i="2"/>
  <c r="G408" i="2" a="1"/>
  <c r="G408" i="2"/>
  <c r="G409" i="2" a="1"/>
  <c r="G409" i="2"/>
  <c r="G410" i="2" a="1"/>
  <c r="G410" i="2" s="1"/>
  <c r="G411" i="2" a="1"/>
  <c r="G411" i="2" s="1"/>
  <c r="G412" i="2" a="1"/>
  <c r="G412" i="2"/>
  <c r="G413" i="2" a="1"/>
  <c r="G413" i="2"/>
  <c r="G414" i="2" a="1"/>
  <c r="G414" i="2"/>
  <c r="G415" i="2" a="1"/>
  <c r="G415" i="2"/>
  <c r="G416" i="2" a="1"/>
  <c r="G416" i="2"/>
  <c r="G417" i="2" a="1"/>
  <c r="G417" i="2"/>
  <c r="G418" i="2" a="1"/>
  <c r="G418" i="2" s="1"/>
  <c r="G419" i="2" a="1"/>
  <c r="G419" i="2" s="1"/>
  <c r="G420" i="2" a="1"/>
  <c r="G420" i="2"/>
  <c r="G421" i="2" a="1"/>
  <c r="G421" i="2"/>
  <c r="G422" i="2" a="1"/>
  <c r="G422" i="2"/>
  <c r="G423" i="2" a="1"/>
  <c r="G423" i="2"/>
  <c r="G424" i="2" a="1"/>
  <c r="G424" i="2"/>
  <c r="G425" i="2" a="1"/>
  <c r="G425" i="2"/>
  <c r="G426" i="2" a="1"/>
  <c r="G426" i="2" s="1"/>
  <c r="G427" i="2" a="1"/>
  <c r="G427" i="2" s="1"/>
  <c r="G428" i="2" a="1"/>
  <c r="G428" i="2"/>
  <c r="G429" i="2" a="1"/>
  <c r="G429" i="2"/>
  <c r="G430" i="2" a="1"/>
  <c r="G430" i="2"/>
  <c r="G431" i="2" a="1"/>
  <c r="G431" i="2"/>
  <c r="G432" i="2" a="1"/>
  <c r="G432" i="2"/>
  <c r="G433" i="2" a="1"/>
  <c r="G433" i="2"/>
  <c r="G434" i="2" a="1"/>
  <c r="G434" i="2" s="1"/>
  <c r="G435" i="2" a="1"/>
  <c r="G435" i="2" s="1"/>
  <c r="G436" i="2" a="1"/>
  <c r="G436" i="2"/>
  <c r="G437" i="2" a="1"/>
  <c r="G437" i="2"/>
  <c r="G438" i="2" a="1"/>
  <c r="G438" i="2"/>
  <c r="G439" i="2" a="1"/>
  <c r="G439" i="2"/>
  <c r="G440" i="2" a="1"/>
  <c r="G440" i="2"/>
  <c r="G441" i="2" a="1"/>
  <c r="G441" i="2"/>
  <c r="G442" i="2" a="1"/>
  <c r="G442" i="2" s="1"/>
  <c r="G443" i="2" a="1"/>
  <c r="G443" i="2" s="1"/>
  <c r="G444" i="2" a="1"/>
  <c r="G444" i="2"/>
  <c r="G445" i="2" a="1"/>
  <c r="G445" i="2"/>
  <c r="G446" i="2" a="1"/>
  <c r="G446" i="2"/>
  <c r="G447" i="2" a="1"/>
  <c r="G447" i="2"/>
  <c r="G448" i="2" a="1"/>
  <c r="G448" i="2"/>
  <c r="G449" i="2" a="1"/>
  <c r="G449" i="2"/>
  <c r="G450" i="2" a="1"/>
  <c r="G450" i="2" s="1"/>
  <c r="G451" i="2" a="1"/>
  <c r="G451" i="2" s="1"/>
  <c r="G452" i="2" a="1"/>
  <c r="G452" i="2"/>
  <c r="G453" i="2" a="1"/>
  <c r="G453" i="2"/>
  <c r="G454" i="2" a="1"/>
  <c r="G454" i="2"/>
  <c r="G455" i="2" a="1"/>
  <c r="G455" i="2"/>
  <c r="G456" i="2" a="1"/>
  <c r="G456" i="2"/>
  <c r="G457" i="2" a="1"/>
  <c r="G457" i="2"/>
  <c r="G458" i="2" a="1"/>
  <c r="G458" i="2" s="1"/>
  <c r="G459" i="2" a="1"/>
  <c r="G459" i="2" s="1"/>
  <c r="G460" i="2" a="1"/>
  <c r="G460" i="2"/>
  <c r="G461" i="2" a="1"/>
  <c r="G461" i="2"/>
  <c r="G462" i="2" a="1"/>
  <c r="G462" i="2"/>
  <c r="G463" i="2" a="1"/>
  <c r="G463" i="2"/>
  <c r="G464" i="2" a="1"/>
  <c r="G464" i="2"/>
  <c r="G465" i="2" a="1"/>
  <c r="G465" i="2"/>
  <c r="G466" i="2" a="1"/>
  <c r="G466" i="2" s="1"/>
  <c r="G467" i="2" a="1"/>
  <c r="G467" i="2" s="1"/>
  <c r="G468" i="2" a="1"/>
  <c r="G468" i="2"/>
  <c r="G469" i="2" a="1"/>
  <c r="G469" i="2"/>
  <c r="G470" i="2" a="1"/>
  <c r="G470" i="2"/>
  <c r="G471" i="2" a="1"/>
  <c r="G471" i="2"/>
  <c r="G472" i="2" a="1"/>
  <c r="G472" i="2"/>
  <c r="G473" i="2" a="1"/>
  <c r="G473" i="2"/>
  <c r="G474" i="2" a="1"/>
  <c r="G474" i="2" s="1"/>
  <c r="G475" i="2" a="1"/>
  <c r="G475" i="2" s="1"/>
  <c r="G476" i="2" a="1"/>
  <c r="G476" i="2"/>
  <c r="G477" i="2" a="1"/>
  <c r="G477" i="2"/>
  <c r="G478" i="2" a="1"/>
  <c r="G478" i="2"/>
  <c r="G479" i="2" a="1"/>
  <c r="G479" i="2"/>
  <c r="G480" i="2" a="1"/>
  <c r="G480" i="2"/>
  <c r="G481" i="2" a="1"/>
  <c r="G481" i="2"/>
  <c r="G482" i="2" a="1"/>
  <c r="G482" i="2" s="1"/>
  <c r="G483" i="2" a="1"/>
  <c r="G483" i="2" s="1"/>
  <c r="G484" i="2" a="1"/>
  <c r="G484" i="2"/>
  <c r="G485" i="2" a="1"/>
  <c r="G485" i="2"/>
  <c r="G486" i="2" a="1"/>
  <c r="G486" i="2"/>
  <c r="G487" i="2" a="1"/>
  <c r="G487" i="2"/>
  <c r="G488" i="2" a="1"/>
  <c r="G488" i="2"/>
  <c r="G489" i="2" a="1"/>
  <c r="G489" i="2"/>
  <c r="G490" i="2" a="1"/>
  <c r="G490" i="2" s="1"/>
  <c r="G491" i="2" a="1"/>
  <c r="G491" i="2" s="1"/>
  <c r="G492" i="2" a="1"/>
  <c r="G492" i="2"/>
  <c r="G493" i="2" a="1"/>
  <c r="G493" i="2"/>
  <c r="G494" i="2" a="1"/>
  <c r="G494" i="2"/>
  <c r="G495" i="2" a="1"/>
  <c r="G495" i="2"/>
  <c r="G496" i="2" a="1"/>
  <c r="G496" i="2"/>
  <c r="G497" i="2" a="1"/>
  <c r="G497" i="2"/>
  <c r="G498" i="2" a="1"/>
  <c r="G498" i="2" s="1"/>
  <c r="G499" i="2" a="1"/>
  <c r="G499" i="2" s="1"/>
  <c r="G500" i="2" a="1"/>
  <c r="G500" i="2"/>
  <c r="G501" i="2" a="1"/>
  <c r="G501" i="2"/>
  <c r="G502" i="2" a="1"/>
  <c r="G502" i="2"/>
  <c r="G503" i="2" a="1"/>
  <c r="G503" i="2"/>
  <c r="G504" i="2" a="1"/>
  <c r="G504" i="2"/>
  <c r="G505" i="2" a="1"/>
  <c r="G505" i="2"/>
  <c r="G506" i="2" a="1"/>
  <c r="G506" i="2" s="1"/>
  <c r="G507" i="2" a="1"/>
  <c r="G507" i="2" s="1"/>
  <c r="G508" i="2" a="1"/>
  <c r="G508" i="2"/>
  <c r="G509" i="2" a="1"/>
  <c r="G509" i="2"/>
  <c r="G510" i="2" a="1"/>
  <c r="G510" i="2"/>
  <c r="G511" i="2" a="1"/>
  <c r="G511" i="2"/>
  <c r="G512" i="2" a="1"/>
  <c r="G512" i="2"/>
  <c r="G513" i="2" a="1"/>
  <c r="G513" i="2"/>
  <c r="G514" i="2" a="1"/>
  <c r="G514" i="2" s="1"/>
  <c r="G515" i="2" a="1"/>
  <c r="G515" i="2" s="1"/>
  <c r="G516" i="2" a="1"/>
  <c r="G516" i="2"/>
  <c r="G517" i="2" a="1"/>
  <c r="G517" i="2"/>
  <c r="G518" i="2" a="1"/>
  <c r="G518" i="2"/>
  <c r="G519" i="2" a="1"/>
  <c r="G519" i="2"/>
  <c r="G520" i="2" a="1"/>
  <c r="G520" i="2"/>
  <c r="G521" i="2" a="1"/>
  <c r="G521" i="2"/>
  <c r="G522" i="2" a="1"/>
  <c r="G522" i="2" s="1"/>
  <c r="G523" i="2" a="1"/>
  <c r="G523" i="2" s="1"/>
  <c r="G524" i="2" a="1"/>
  <c r="G524" i="2"/>
  <c r="G525" i="2" a="1"/>
  <c r="G525" i="2"/>
  <c r="G526" i="2" a="1"/>
  <c r="G526" i="2" s="1"/>
  <c r="G527" i="2" a="1"/>
  <c r="G527" i="2"/>
  <c r="G528" i="2" a="1"/>
  <c r="G528" i="2"/>
  <c r="G529" i="2" a="1"/>
  <c r="G529" i="2"/>
  <c r="G530" i="2" a="1"/>
  <c r="G530" i="2" s="1"/>
  <c r="G531" i="2" a="1"/>
  <c r="G531" i="2" s="1"/>
  <c r="G532" i="2" a="1"/>
  <c r="G532" i="2"/>
  <c r="G533" i="2" a="1"/>
  <c r="G533" i="2"/>
  <c r="G534" i="2" a="1"/>
  <c r="G534" i="2"/>
  <c r="G535" i="2" a="1"/>
  <c r="G535" i="2"/>
  <c r="G536" i="2" a="1"/>
  <c r="G536" i="2"/>
  <c r="G537" i="2" a="1"/>
  <c r="G537" i="2"/>
  <c r="G538" i="2" a="1"/>
  <c r="G538" i="2" s="1"/>
  <c r="G539" i="2" a="1"/>
  <c r="G539" i="2" s="1"/>
  <c r="G540" i="2" a="1"/>
  <c r="G540" i="2"/>
  <c r="G541" i="2" a="1"/>
  <c r="G541" i="2"/>
  <c r="G542" i="2" a="1"/>
  <c r="G542" i="2"/>
  <c r="G543" i="2" a="1"/>
  <c r="G543" i="2"/>
  <c r="G544" i="2" a="1"/>
  <c r="G544" i="2"/>
  <c r="G545" i="2" a="1"/>
  <c r="G545" i="2"/>
  <c r="G546" i="2" a="1"/>
  <c r="G546" i="2" s="1"/>
  <c r="G547" i="2" a="1"/>
  <c r="G547" i="2" s="1"/>
  <c r="G548" i="2" a="1"/>
  <c r="G548" i="2"/>
  <c r="G549" i="2" a="1"/>
  <c r="G549" i="2"/>
  <c r="G550" i="2" a="1"/>
  <c r="G550" i="2"/>
  <c r="G551" i="2" a="1"/>
  <c r="G551" i="2"/>
  <c r="G552" i="2" a="1"/>
  <c r="G552" i="2"/>
  <c r="G553" i="2" a="1"/>
  <c r="G553" i="2"/>
  <c r="G554" i="2" a="1"/>
  <c r="G554" i="2" s="1"/>
  <c r="G555" i="2" a="1"/>
  <c r="G555" i="2" s="1"/>
  <c r="G556" i="2" a="1"/>
  <c r="G556" i="2"/>
  <c r="G557" i="2" a="1"/>
  <c r="G557" i="2"/>
  <c r="G558" i="2" a="1"/>
  <c r="G558" i="2"/>
  <c r="G559" i="2" a="1"/>
  <c r="G559" i="2"/>
  <c r="G560" i="2" a="1"/>
  <c r="G560" i="2"/>
  <c r="G561" i="2" a="1"/>
  <c r="G561" i="2"/>
  <c r="G562" i="2" a="1"/>
  <c r="G562" i="2" s="1"/>
  <c r="G563" i="2" a="1"/>
  <c r="G563" i="2" s="1"/>
  <c r="G564" i="2" a="1"/>
  <c r="G564" i="2"/>
  <c r="G565" i="2" a="1"/>
  <c r="G565" i="2"/>
  <c r="G566" i="2" a="1"/>
  <c r="G566" i="2"/>
  <c r="G567" i="2" a="1"/>
  <c r="G567" i="2"/>
  <c r="G568" i="2" a="1"/>
  <c r="G568" i="2"/>
  <c r="G569" i="2" a="1"/>
  <c r="G569" i="2"/>
  <c r="G570" i="2" a="1"/>
  <c r="G570" i="2" s="1"/>
  <c r="G571" i="2" a="1"/>
  <c r="G571" i="2" s="1"/>
  <c r="G572" i="2" a="1"/>
  <c r="G572" i="2"/>
  <c r="G573" i="2" a="1"/>
  <c r="G573" i="2"/>
  <c r="G574" i="2" a="1"/>
  <c r="G574" i="2"/>
  <c r="G575" i="2" a="1"/>
  <c r="G575" i="2"/>
  <c r="G576" i="2" a="1"/>
  <c r="G576" i="2"/>
  <c r="G577" i="2" a="1"/>
  <c r="G577" i="2"/>
  <c r="G578" i="2" a="1"/>
  <c r="G578" i="2" s="1"/>
  <c r="G579" i="2" a="1"/>
  <c r="G579" i="2" s="1"/>
  <c r="G580" i="2" a="1"/>
  <c r="G580" i="2"/>
  <c r="G581" i="2" a="1"/>
  <c r="G581" i="2"/>
  <c r="G582" i="2" a="1"/>
  <c r="G582" i="2"/>
  <c r="G583" i="2" a="1"/>
  <c r="G583" i="2"/>
  <c r="G584" i="2" a="1"/>
  <c r="G584" i="2"/>
  <c r="G585" i="2" a="1"/>
  <c r="G585" i="2"/>
  <c r="G586" i="2" a="1"/>
  <c r="G586" i="2" s="1"/>
  <c r="G587" i="2" a="1"/>
  <c r="G587" i="2" s="1"/>
  <c r="G588" i="2" a="1"/>
  <c r="G588" i="2"/>
  <c r="G589" i="2" a="1"/>
  <c r="G589" i="2"/>
  <c r="G590" i="2" a="1"/>
  <c r="G590" i="2"/>
  <c r="G591" i="2" a="1"/>
  <c r="G591" i="2"/>
  <c r="G592" i="2" a="1"/>
  <c r="G592" i="2"/>
  <c r="G593" i="2" a="1"/>
  <c r="G593" i="2"/>
  <c r="G594" i="2" a="1"/>
  <c r="G594" i="2" s="1"/>
  <c r="G595" i="2" a="1"/>
  <c r="G595" i="2" s="1"/>
  <c r="G596" i="2" a="1"/>
  <c r="G596" i="2"/>
  <c r="G597" i="2" a="1"/>
  <c r="G597" i="2"/>
  <c r="G598" i="2" a="1"/>
  <c r="G598" i="2"/>
  <c r="G599" i="2" a="1"/>
  <c r="G599" i="2"/>
  <c r="G600" i="2" a="1"/>
  <c r="G600" i="2"/>
  <c r="G601" i="2" a="1"/>
  <c r="G601" i="2"/>
  <c r="G602" i="2" a="1"/>
  <c r="G602" i="2" s="1"/>
  <c r="G603" i="2" a="1"/>
  <c r="G603" i="2" s="1"/>
  <c r="G604" i="2" a="1"/>
  <c r="G604" i="2"/>
  <c r="G605" i="2" a="1"/>
  <c r="G605" i="2"/>
  <c r="G606" i="2" a="1"/>
  <c r="G606" i="2"/>
  <c r="G607" i="2" a="1"/>
  <c r="G607" i="2"/>
  <c r="G608" i="2" a="1"/>
  <c r="G608" i="2"/>
  <c r="G609" i="2" a="1"/>
  <c r="G609" i="2"/>
  <c r="G610" i="2" a="1"/>
  <c r="G610" i="2" s="1"/>
  <c r="G611" i="2" a="1"/>
  <c r="G611" i="2" s="1"/>
  <c r="L3" i="3"/>
  <c r="L4" i="3"/>
  <c r="L5" i="3"/>
  <c r="L6" i="3"/>
  <c r="L7" i="3"/>
  <c r="L8" i="3"/>
  <c r="L9" i="3"/>
  <c r="L10" i="3"/>
  <c r="C30" i="5"/>
  <c r="C46" i="5"/>
  <c r="C31" i="5"/>
  <c r="C47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D45" i="5" l="1"/>
  <c r="D37" i="5"/>
  <c r="E46" i="5"/>
  <c r="E33" i="5"/>
  <c r="E47" i="5"/>
  <c r="E38" i="5"/>
  <c r="E45" i="5"/>
  <c r="E37" i="5"/>
  <c r="D46" i="5"/>
  <c r="E41" i="5"/>
  <c r="E32" i="5"/>
  <c r="D31" i="5"/>
  <c r="D44" i="5"/>
  <c r="D36" i="5"/>
  <c r="D30" i="5"/>
  <c r="D41" i="5"/>
  <c r="D39" i="5"/>
  <c r="E31" i="5"/>
  <c r="E44" i="5"/>
  <c r="E36" i="5"/>
  <c r="E30" i="5"/>
  <c r="D43" i="5"/>
  <c r="E35" i="5"/>
  <c r="D40" i="5"/>
  <c r="E39" i="5"/>
  <c r="E43" i="5"/>
  <c r="D35" i="5"/>
  <c r="D34" i="5"/>
  <c r="D32" i="5"/>
  <c r="D47" i="5"/>
  <c r="D42" i="5"/>
  <c r="E34" i="5"/>
  <c r="E42" i="5"/>
  <c r="D33" i="5"/>
  <c r="E40" i="5"/>
  <c r="D3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tc={4940B70E-EB47-4A0B-BEE9-1EF3C39D42EE}</author>
  </authors>
  <commentList>
    <comment ref="A1" authorId="0" shapeId="0" xr:uid="{4940B70E-EB47-4A0B-BEE9-1EF3C39D42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datashet is incomplete if we check the 2 and 3, so dataset 1 and 2 should be combined so that we can merge 3 with that.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<sst xmlns="http://schemas.openxmlformats.org/spreadsheetml/2006/main" count="79" uniqueCount="53">
  <si>
    <t>Instant</t>
  </si>
  <si>
    <t>Date</t>
  </si>
  <si>
    <t>season</t>
  </si>
  <si>
    <t>Year</t>
  </si>
  <si>
    <t>Month</t>
  </si>
  <si>
    <t>Hour</t>
  </si>
  <si>
    <t>holiday</t>
  </si>
  <si>
    <t>weekday</t>
  </si>
  <si>
    <t>weathersit</t>
  </si>
  <si>
    <t>temp</t>
  </si>
  <si>
    <t>Season</t>
  </si>
  <si>
    <t>yr</t>
  </si>
  <si>
    <t>mnth</t>
  </si>
  <si>
    <t>hr</t>
  </si>
  <si>
    <t>time of day</t>
  </si>
  <si>
    <t>Weather_Situation</t>
  </si>
  <si>
    <t>Weather</t>
  </si>
  <si>
    <t>Temperature</t>
  </si>
  <si>
    <t>Temp</t>
  </si>
  <si>
    <t>Grand Total</t>
  </si>
  <si>
    <t>TRUE</t>
  </si>
  <si>
    <t>FALSE</t>
  </si>
  <si>
    <t>Count of holiday</t>
  </si>
  <si>
    <t>Average of Weather_Situation</t>
  </si>
  <si>
    <t>Row Labels</t>
  </si>
  <si>
    <t>Days</t>
  </si>
  <si>
    <t>Column Labels</t>
  </si>
  <si>
    <t>Weather_Situations</t>
  </si>
  <si>
    <t>Weather situation based on the days</t>
  </si>
  <si>
    <t>Average Visited day</t>
  </si>
  <si>
    <t>Least visited day</t>
  </si>
  <si>
    <t>Most visited day</t>
  </si>
  <si>
    <t>Min_Temp</t>
  </si>
  <si>
    <t>Max_Temp</t>
  </si>
  <si>
    <t>Average Temp</t>
  </si>
  <si>
    <t>Days Count</t>
  </si>
  <si>
    <t>Total number of instances</t>
  </si>
  <si>
    <t>Average of Temperature</t>
  </si>
  <si>
    <t>Count of Weather_Situation</t>
  </si>
  <si>
    <t>Value</t>
  </si>
  <si>
    <t>Analysis</t>
  </si>
  <si>
    <t>Daily Average temperature</t>
  </si>
  <si>
    <t>Daywise weather situation</t>
  </si>
  <si>
    <t>Clear</t>
  </si>
  <si>
    <t>Mist/Cloudy</t>
  </si>
  <si>
    <t>Rain</t>
  </si>
  <si>
    <t>Heavy Rain/Thunderstorm</t>
  </si>
  <si>
    <t>Daywise</t>
  </si>
  <si>
    <t>Max of Temp</t>
  </si>
  <si>
    <t>Forecast(Temp)</t>
  </si>
  <si>
    <t>Lower Confidence Bound(Temp)</t>
  </si>
  <si>
    <t>Upper Confidence Bound(Temp)</t>
  </si>
  <si>
    <t>Count of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</si>
</sst>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</font>
    <font>
      <sz val="10"/>
      <color rgb="FF000000"/>
      <name val="Calibri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2060"/>
      <name val="Calibri"/>
      <family val="2"/>
      <scheme val="minor"/>
    </font>
    <font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1" fillId="0" borderId="5" xfId="0" applyNumberFormat="1" applyFont="1" applyBorder="1"/>
    <xf numFmtId="0" fontId="1" fillId="0" borderId="5" xfId="0" applyFont="1" applyBorder="1"/>
    <xf numFmtId="0" fontId="1" fillId="0" borderId="6" xfId="0" applyFont="1" applyBorder="1"/>
    <xf numFmtId="2" fontId="1" fillId="0" borderId="6" xfId="0" applyNumberFormat="1" applyFont="1" applyBorder="1"/>
    <xf numFmtId="0" fontId="1" fillId="0" borderId="7" xfId="0" applyFont="1" applyBorder="1"/>
    <xf numFmtId="164" fontId="1" fillId="0" borderId="8" xfId="0" applyNumberFormat="1" applyFont="1" applyBorder="1"/>
    <xf numFmtId="0" fontId="1" fillId="0" borderId="8" xfId="0" applyFont="1" applyBorder="1"/>
    <xf numFmtId="0" fontId="1" fillId="0" borderId="9" xfId="0" applyFont="1" applyBorder="1"/>
    <xf numFmtId="2" fontId="1" fillId="0" borderId="9" xfId="0" applyNumberFormat="1" applyFont="1" applyBorder="1"/>
    <xf numFmtId="0" fontId="2" fillId="0" borderId="3" xfId="0" applyFont="1" applyBorder="1"/>
    <xf numFmtId="0" fontId="4" fillId="0" borderId="0" xfId="1"/>
    <xf numFmtId="0" fontId="4" fillId="0" borderId="0" xfId="1" applyAlignment="1">
      <alignment horizontal="left"/>
    </xf>
    <xf numFmtId="2" fontId="4" fillId="0" borderId="0" xfId="1" applyNumberFormat="1"/>
    <xf numFmtId="0" fontId="4" fillId="0" borderId="0" xfId="1" pivotButton="1"/>
    <xf numFmtId="0" fontId="4" fillId="0" borderId="5" xfId="1" applyBorder="1" applyAlignment="1">
      <alignment horizontal="center"/>
    </xf>
    <xf numFmtId="0" fontId="4" fillId="0" borderId="5" xfId="1" pivotButton="1" applyBorder="1" applyAlignment="1">
      <alignment horizontal="center"/>
    </xf>
    <xf numFmtId="0" fontId="5" fillId="2" borderId="14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6" fillId="0" borderId="0" xfId="1" applyFont="1"/>
    <xf numFmtId="2" fontId="4" fillId="0" borderId="5" xfId="1" applyNumberFormat="1" applyBorder="1" applyAlignment="1">
      <alignment horizontal="center" vertical="center"/>
    </xf>
    <xf numFmtId="165" fontId="4" fillId="3" borderId="13" xfId="1" applyNumberForma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4" fillId="3" borderId="11" xfId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2" fontId="4" fillId="3" borderId="11" xfId="1" applyNumberFormat="1" applyFill="1" applyBorder="1" applyAlignment="1">
      <alignment horizontal="center" vertical="center"/>
    </xf>
    <xf numFmtId="0" fontId="4" fillId="3" borderId="10" xfId="1" applyFill="1" applyBorder="1" applyAlignment="1">
      <alignment horizontal="center" vertical="center"/>
    </xf>
    <xf numFmtId="0" fontId="4" fillId="0" borderId="5" xfId="1" pivotButton="1" applyBorder="1" applyAlignment="1">
      <alignment horizontal="center" vertical="center"/>
    </xf>
    <xf numFmtId="0" fontId="4" fillId="3" borderId="15" xfId="1" applyFill="1" applyBorder="1" applyAlignment="1">
      <alignment horizontal="center" vertical="center"/>
    </xf>
    <xf numFmtId="0" fontId="4" fillId="3" borderId="16" xfId="1" applyFill="1" applyBorder="1" applyAlignment="1">
      <alignment horizontal="center" vertical="center"/>
    </xf>
    <xf numFmtId="0" fontId="7" fillId="4" borderId="17" xfId="1" applyFont="1" applyFill="1" applyBorder="1" applyAlignment="1">
      <alignment horizontal="center" vertical="center"/>
    </xf>
    <xf numFmtId="0" fontId="7" fillId="4" borderId="18" xfId="1" applyFont="1" applyFill="1" applyBorder="1" applyAlignment="1">
      <alignment horizontal="center" vertical="center"/>
    </xf>
    <xf numFmtId="0" fontId="4" fillId="5" borderId="5" xfId="1" applyFill="1" applyBorder="1" applyAlignment="1">
      <alignment horizontal="center" vertical="center"/>
    </xf>
    <xf numFmtId="0" fontId="8" fillId="5" borderId="3" xfId="1" applyFont="1" applyFill="1" applyBorder="1" applyAlignment="1">
      <alignment horizontal="center"/>
    </xf>
    <xf numFmtId="0" fontId="8" fillId="5" borderId="14" xfId="1" applyFont="1" applyFill="1" applyBorder="1" applyAlignment="1">
      <alignment horizontal="center"/>
    </xf>
    <xf numFmtId="2" fontId="2" fillId="0" borderId="6" xfId="0" applyNumberFormat="1" applyFont="1" applyBorder="1"/>
    <xf numFmtId="2" fontId="2" fillId="0" borderId="3" xfId="0" applyNumberFormat="1" applyFont="1" applyBorder="1"/>
    <xf numFmtId="2" fontId="2" fillId="0" borderId="9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5" xfId="0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left"/>
    </xf>
    <xf numFmtId="2" fontId="0" fillId="0" borderId="0" xfId="0" applyNumberFormat="1"/>
  </cellXfs>
  <cellStyles count="2">
    <cellStyle name="Normal" xfId="0" builtinId="0"/>
    <cellStyle name="Normal 2" xfId="1" xr:uid="{2086A42F-DE36-46D4-8CDF-2BCD91954053}"/>
  </cellStyles>
  <dxfs count="204">
    <dxf>
      <numFmt numFmtId="2" formatCode="0.00"/>
    </dxf>
    <dxf>
      <numFmt numFmtId="2" formatCode="0.00"/>
    </dxf>
    <dxf>
      <numFmt numFmtId="2" formatCode="0.00"/>
    </dxf>
    <dxf>
      <numFmt numFmtId="164" formatCode="dd\-mm\-yyyy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0" cap="none" spc="0">
                <a:ln w="0"/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Temperature Forecast</a:t>
            </a:r>
            <a:endParaRPr lang="en-IN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37942857142857145"/>
          <c:y val="2.3792529145848205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Data'!$B$1</c:f>
              <c:strCache>
                <c:ptCount val="1"/>
                <c:pt idx="0">
                  <c:v>Temp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'Forecast Data'!$B$2:$B$47</c:f>
              <c:numCache>
                <c:formatCode>0.00</c:formatCode>
                <c:ptCount val="46"/>
                <c:pt idx="0">
                  <c:v>0.34416666666666673</c:v>
                </c:pt>
                <c:pt idx="1">
                  <c:v>0.36347826086956525</c:v>
                </c:pt>
                <c:pt idx="2">
                  <c:v>0.19636363636363641</c:v>
                </c:pt>
                <c:pt idx="3">
                  <c:v>0.2</c:v>
                </c:pt>
                <c:pt idx="4">
                  <c:v>0.22695652173913047</c:v>
                </c:pt>
                <c:pt idx="5">
                  <c:v>0.20434782608695656</c:v>
                </c:pt>
                <c:pt idx="6">
                  <c:v>0.19652173913043489</c:v>
                </c:pt>
                <c:pt idx="7">
                  <c:v>0.16500000000000006</c:v>
                </c:pt>
                <c:pt idx="8">
                  <c:v>0.13833333333333339</c:v>
                </c:pt>
                <c:pt idx="9">
                  <c:v>0.1508333333333334</c:v>
                </c:pt>
                <c:pt idx="10">
                  <c:v>0.16909090909090915</c:v>
                </c:pt>
                <c:pt idx="11">
                  <c:v>0.17272727272727281</c:v>
                </c:pt>
                <c:pt idx="12">
                  <c:v>0.16500000000000006</c:v>
                </c:pt>
                <c:pt idx="13">
                  <c:v>0.16086956521739137</c:v>
                </c:pt>
                <c:pt idx="14">
                  <c:v>0.23333333333333331</c:v>
                </c:pt>
                <c:pt idx="15">
                  <c:v>0.2316666666666666</c:v>
                </c:pt>
                <c:pt idx="16">
                  <c:v>0.1758333333333334</c:v>
                </c:pt>
                <c:pt idx="17">
                  <c:v>0.2166666666666667</c:v>
                </c:pt>
                <c:pt idx="18">
                  <c:v>0.29217391304347823</c:v>
                </c:pt>
                <c:pt idx="19">
                  <c:v>0.2616666666666666</c:v>
                </c:pt>
                <c:pt idx="20">
                  <c:v>0.17750000000000007</c:v>
                </c:pt>
                <c:pt idx="21">
                  <c:v>5.913043478260871E-2</c:v>
                </c:pt>
                <c:pt idx="22">
                  <c:v>9.6521739130434797E-2</c:v>
                </c:pt>
                <c:pt idx="23">
                  <c:v>9.7391304347826113E-2</c:v>
                </c:pt>
                <c:pt idx="24">
                  <c:v>0.22347826086956521</c:v>
                </c:pt>
                <c:pt idx="25">
                  <c:v>0.21750000000000005</c:v>
                </c:pt>
                <c:pt idx="26">
                  <c:v>0.19499999999999998</c:v>
                </c:pt>
                <c:pt idx="27">
                  <c:v>0.18666666666666668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3-4AA8-BCBC-B06756BD5BCE}"/>
            </c:ext>
          </c:extLst>
        </c:ser>
        <c:ser>
          <c:idx val="1"/>
          <c:order val="1"/>
          <c:tx>
            <c:strRef>
              <c:f>'Forecast Data'!$C$1</c:f>
              <c:strCache>
                <c:ptCount val="1"/>
                <c:pt idx="0">
                  <c:v>Forecast(Temp)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'Forecast Data'!$A$2:$A$47</c:f>
              <c:numCache>
                <c:formatCode>dd\-mm\-yyyy</c:formatCode>
                <c:ptCount val="46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  <c:pt idx="28">
                  <c:v>40572</c:v>
                </c:pt>
                <c:pt idx="29">
                  <c:v>40573</c:v>
                </c:pt>
                <c:pt idx="30">
                  <c:v>40574</c:v>
                </c:pt>
                <c:pt idx="31">
                  <c:v>40575</c:v>
                </c:pt>
                <c:pt idx="32">
                  <c:v>40576</c:v>
                </c:pt>
                <c:pt idx="33">
                  <c:v>40577</c:v>
                </c:pt>
                <c:pt idx="34">
                  <c:v>40578</c:v>
                </c:pt>
                <c:pt idx="35">
                  <c:v>40579</c:v>
                </c:pt>
                <c:pt idx="36">
                  <c:v>40580</c:v>
                </c:pt>
                <c:pt idx="37">
                  <c:v>40581</c:v>
                </c:pt>
                <c:pt idx="38">
                  <c:v>40582</c:v>
                </c:pt>
                <c:pt idx="39">
                  <c:v>40583</c:v>
                </c:pt>
                <c:pt idx="40">
                  <c:v>40584</c:v>
                </c:pt>
                <c:pt idx="41">
                  <c:v>40585</c:v>
                </c:pt>
                <c:pt idx="42">
                  <c:v>40586</c:v>
                </c:pt>
                <c:pt idx="43">
                  <c:v>40587</c:v>
                </c:pt>
                <c:pt idx="44">
                  <c:v>40588</c:v>
                </c:pt>
                <c:pt idx="45">
                  <c:v>40589</c:v>
                </c:pt>
              </c:numCache>
            </c:numRef>
          </c:cat>
          <c:val>
            <c:numRef>
              <c:f>'Forecast Data'!$C$2:$C$47</c:f>
              <c:numCache>
                <c:formatCode>General</c:formatCode>
                <c:ptCount val="46"/>
                <c:pt idx="27" formatCode="0.00">
                  <c:v>0.18666666666666668</c:v>
                </c:pt>
                <c:pt idx="28" formatCode="0.00">
                  <c:v>0.18582042461639708</c:v>
                </c:pt>
                <c:pt idx="29" formatCode="0.00">
                  <c:v>0.18286707003909897</c:v>
                </c:pt>
                <c:pt idx="30" formatCode="0.00">
                  <c:v>0.17991371546180088</c:v>
                </c:pt>
                <c:pt idx="31" formatCode="0.00">
                  <c:v>0.17696036088450279</c:v>
                </c:pt>
                <c:pt idx="32" formatCode="0.00">
                  <c:v>0.17400700630720467</c:v>
                </c:pt>
                <c:pt idx="33" formatCode="0.00">
                  <c:v>0.17105365172990658</c:v>
                </c:pt>
                <c:pt idx="34" formatCode="0.00">
                  <c:v>0.16810029715260846</c:v>
                </c:pt>
                <c:pt idx="35" formatCode="0.00">
                  <c:v>0.16514694257531037</c:v>
                </c:pt>
                <c:pt idx="36" formatCode="0.00">
                  <c:v>0.16219358799801228</c:v>
                </c:pt>
                <c:pt idx="37" formatCode="0.00">
                  <c:v>0.15924023342071417</c:v>
                </c:pt>
                <c:pt idx="38" formatCode="0.00">
                  <c:v>0.15628687884341608</c:v>
                </c:pt>
                <c:pt idx="39" formatCode="0.00">
                  <c:v>0.15333352426611796</c:v>
                </c:pt>
                <c:pt idx="40" formatCode="0.00">
                  <c:v>0.15038016968881987</c:v>
                </c:pt>
                <c:pt idx="41" formatCode="0.00">
                  <c:v>0.14742681511152178</c:v>
                </c:pt>
                <c:pt idx="42" formatCode="0.00">
                  <c:v>0.14447346053422366</c:v>
                </c:pt>
                <c:pt idx="43" formatCode="0.00">
                  <c:v>0.14152010595692557</c:v>
                </c:pt>
                <c:pt idx="44" formatCode="0.00">
                  <c:v>0.13856675137962748</c:v>
                </c:pt>
                <c:pt idx="45" formatCode="0.00">
                  <c:v>0.13561339680232937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C3-4AA8-BCBC-B06756BD5BCE}"/>
            </c:ext>
          </c:extLst>
        </c:ser>
        <c:ser>
          <c:idx val="2"/>
          <c:order val="2"/>
          <c:tx>
            <c:strRef>
              <c:f>'Forecast Data'!$D$1</c:f>
              <c:strCache>
                <c:ptCount val="1"/>
                <c:pt idx="0">
                  <c:v>Lower Confidence Bound(Temp)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'Forecast Data'!$A$2:$A$47</c:f>
              <c:numCache>
                <c:formatCode>dd\-mm\-yyyy</c:formatCode>
                <c:ptCount val="46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  <c:pt idx="28">
                  <c:v>40572</c:v>
                </c:pt>
                <c:pt idx="29">
                  <c:v>40573</c:v>
                </c:pt>
                <c:pt idx="30">
                  <c:v>40574</c:v>
                </c:pt>
                <c:pt idx="31">
                  <c:v>40575</c:v>
                </c:pt>
                <c:pt idx="32">
                  <c:v>40576</c:v>
                </c:pt>
                <c:pt idx="33">
                  <c:v>40577</c:v>
                </c:pt>
                <c:pt idx="34">
                  <c:v>40578</c:v>
                </c:pt>
                <c:pt idx="35">
                  <c:v>40579</c:v>
                </c:pt>
                <c:pt idx="36">
                  <c:v>40580</c:v>
                </c:pt>
                <c:pt idx="37">
                  <c:v>40581</c:v>
                </c:pt>
                <c:pt idx="38">
                  <c:v>40582</c:v>
                </c:pt>
                <c:pt idx="39">
                  <c:v>40583</c:v>
                </c:pt>
                <c:pt idx="40">
                  <c:v>40584</c:v>
                </c:pt>
                <c:pt idx="41">
                  <c:v>40585</c:v>
                </c:pt>
                <c:pt idx="42">
                  <c:v>40586</c:v>
                </c:pt>
                <c:pt idx="43">
                  <c:v>40587</c:v>
                </c:pt>
                <c:pt idx="44">
                  <c:v>40588</c:v>
                </c:pt>
                <c:pt idx="45">
                  <c:v>40589</c:v>
                </c:pt>
              </c:numCache>
            </c:numRef>
          </c:cat>
          <c:val>
            <c:numRef>
              <c:f>'Forecast Data'!$D$2:$D$47</c:f>
              <c:numCache>
                <c:formatCode>General</c:formatCode>
                <c:ptCount val="46"/>
                <c:pt idx="27" formatCode="0.00">
                  <c:v>0.18666666666666668</c:v>
                </c:pt>
                <c:pt idx="28" formatCode="0.00">
                  <c:v>7.4293565632301828E-2</c:v>
                </c:pt>
                <c:pt idx="29" formatCode="0.00">
                  <c:v>4.3391551656414312E-2</c:v>
                </c:pt>
                <c:pt idx="30" formatCode="0.00">
                  <c:v>1.7164537717297174E-2</c:v>
                </c:pt>
                <c:pt idx="31" formatCode="0.00">
                  <c:v>-6.1786274181499234E-3</c:v>
                </c:pt>
                <c:pt idx="32" formatCode="0.00">
                  <c:v>-2.7515269495299366E-2</c:v>
                </c:pt>
                <c:pt idx="33" formatCode="0.00">
                  <c:v>-4.735270247549786E-2</c:v>
                </c:pt>
                <c:pt idx="34" formatCode="0.00">
                  <c:v>-6.6015566579493173E-2</c:v>
                </c:pt>
                <c:pt idx="35" formatCode="0.00">
                  <c:v>-8.3726436479773042E-2</c:v>
                </c:pt>
                <c:pt idx="36" formatCode="0.00">
                  <c:v>-0.1006457619623369</c:v>
                </c:pt>
                <c:pt idx="37" formatCode="0.00">
                  <c:v>-0.11689371556665598</c:v>
                </c:pt>
                <c:pt idx="38" formatCode="0.00">
                  <c:v>-0.13256305687774289</c:v>
                </c:pt>
                <c:pt idx="39" formatCode="0.00">
                  <c:v>-0.14772715319331686</c:v>
                </c:pt>
                <c:pt idx="40" formatCode="0.00">
                  <c:v>-0.16244521466879372</c:v>
                </c:pt>
                <c:pt idx="41" formatCode="0.00">
                  <c:v>-0.17676584211726654</c:v>
                </c:pt>
                <c:pt idx="42" formatCode="0.00">
                  <c:v>-0.19072950797371824</c:v>
                </c:pt>
                <c:pt idx="43" formatCode="0.00">
                  <c:v>-0.20437033805879198</c:v>
                </c:pt>
                <c:pt idx="44" formatCode="0.00">
                  <c:v>-0.21771742083702456</c:v>
                </c:pt>
                <c:pt idx="45" formatCode="0.00">
                  <c:v>-0.23079578881555479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3-4AA8-BCBC-B06756BD5BCE}"/>
            </c:ext>
          </c:extLst>
        </c:ser>
        <c:ser>
          <c:idx val="3"/>
          <c:order val="3"/>
          <c:tx>
            <c:strRef>
              <c:f>'Forecast Data'!$E$1</c:f>
              <c:strCache>
                <c:ptCount val="1"/>
                <c:pt idx="0">
                  <c:v>Upper Confidence Bound(Temp)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'Forecast Data'!$A$2:$A$47</c:f>
              <c:numCache>
                <c:formatCode>dd\-mm\-yyyy</c:formatCode>
                <c:ptCount val="46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  <c:pt idx="28">
                  <c:v>40572</c:v>
                </c:pt>
                <c:pt idx="29">
                  <c:v>40573</c:v>
                </c:pt>
                <c:pt idx="30">
                  <c:v>40574</c:v>
                </c:pt>
                <c:pt idx="31">
                  <c:v>40575</c:v>
                </c:pt>
                <c:pt idx="32">
                  <c:v>40576</c:v>
                </c:pt>
                <c:pt idx="33">
                  <c:v>40577</c:v>
                </c:pt>
                <c:pt idx="34">
                  <c:v>40578</c:v>
                </c:pt>
                <c:pt idx="35">
                  <c:v>40579</c:v>
                </c:pt>
                <c:pt idx="36">
                  <c:v>40580</c:v>
                </c:pt>
                <c:pt idx="37">
                  <c:v>40581</c:v>
                </c:pt>
                <c:pt idx="38">
                  <c:v>40582</c:v>
                </c:pt>
                <c:pt idx="39">
                  <c:v>40583</c:v>
                </c:pt>
                <c:pt idx="40">
                  <c:v>40584</c:v>
                </c:pt>
                <c:pt idx="41">
                  <c:v>40585</c:v>
                </c:pt>
                <c:pt idx="42">
                  <c:v>40586</c:v>
                </c:pt>
                <c:pt idx="43">
                  <c:v>40587</c:v>
                </c:pt>
                <c:pt idx="44">
                  <c:v>40588</c:v>
                </c:pt>
                <c:pt idx="45">
                  <c:v>40589</c:v>
                </c:pt>
              </c:numCache>
            </c:numRef>
          </c:cat>
          <c:val>
            <c:numRef>
              <c:f>'Forecast Data'!$E$2:$E$47</c:f>
              <c:numCache>
                <c:formatCode>General</c:formatCode>
                <c:ptCount val="46"/>
                <c:pt idx="27" formatCode="0.00">
                  <c:v>0.18666666666666668</c:v>
                </c:pt>
                <c:pt idx="28" formatCode="0.00">
                  <c:v>0.29734728360049234</c:v>
                </c:pt>
                <c:pt idx="29" formatCode="0.00">
                  <c:v>0.32234258842178365</c:v>
                </c:pt>
                <c:pt idx="30" formatCode="0.00">
                  <c:v>0.34266289320630461</c:v>
                </c:pt>
                <c:pt idx="31" formatCode="0.00">
                  <c:v>0.36009934918715547</c:v>
                </c:pt>
                <c:pt idx="32" formatCode="0.00">
                  <c:v>0.37552928210970871</c:v>
                </c:pt>
                <c:pt idx="33" formatCode="0.00">
                  <c:v>0.38946000593531105</c:v>
                </c:pt>
                <c:pt idx="34" formatCode="0.00">
                  <c:v>0.40221616088471013</c:v>
                </c:pt>
                <c:pt idx="35" formatCode="0.00">
                  <c:v>0.41402032163039382</c:v>
                </c:pt>
                <c:pt idx="36" formatCode="0.00">
                  <c:v>0.4250329379583615</c:v>
                </c:pt>
                <c:pt idx="37" formatCode="0.00">
                  <c:v>0.43537418240808434</c:v>
                </c:pt>
                <c:pt idx="38" formatCode="0.00">
                  <c:v>0.44513681456457505</c:v>
                </c:pt>
                <c:pt idx="39" formatCode="0.00">
                  <c:v>0.45439420172555278</c:v>
                </c:pt>
                <c:pt idx="40" formatCode="0.00">
                  <c:v>0.46320555404643349</c:v>
                </c:pt>
                <c:pt idx="41" formatCode="0.00">
                  <c:v>0.4716194723403101</c:v>
                </c:pt>
                <c:pt idx="42" formatCode="0.00">
                  <c:v>0.47967642904216556</c:v>
                </c:pt>
                <c:pt idx="43" formatCode="0.00">
                  <c:v>0.4874105499726431</c:v>
                </c:pt>
                <c:pt idx="44" formatCode="0.00">
                  <c:v>0.49485092359627952</c:v>
                </c:pt>
                <c:pt idx="45" formatCode="0.00">
                  <c:v>0.50202258242021358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C3-4AA8-BCBC-B06756BD5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27983"/>
        <c:axId val="57444783"/>
      </c:lineChart>
      <c:catAx>
        <c:axId val="5742798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4783"/>
        <c:crosses val="autoZero"/>
        <c:auto val="1"/>
        <c:lblAlgn val="ctr"/>
        <c:lblOffset val="100"/>
        <c:noMultiLvlLbl val="0"/>
      </c:catAx>
      <c:valAx>
        <c:axId val="574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2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Chart</a:t>
            </a:r>
            <a:r>
              <a:rPr lang="en-US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shows daily Temperature</a:t>
            </a:r>
          </a:p>
        </c:rich>
      </c:tx>
      <c:overlay val="0"/>
      <c:spPr>
        <a:solidFill>
          <a:schemeClr val="accent5">
            <a:lumMod val="60000"/>
            <a:lumOff val="40000"/>
          </a:schemeClr>
        </a:solidFill>
        <a:ln>
          <a:solidFill>
            <a:schemeClr val="accent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2">
                  <a:lumMod val="75000"/>
                  <a:lumOff val="2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[1]Dataset_1!$M$1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[1]Dataset_1!$I$2:$I$611</c:f>
              <c:numCache>
                <c:formatCode>General</c:formatCode>
                <c:ptCount val="6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</c:numCache>
            </c:numRef>
          </c:xVal>
          <c:yVal>
            <c:numRef>
              <c:f>[1]Dataset_1!$M$2:$M$611</c:f>
              <c:numCache>
                <c:formatCode>0.00</c:formatCode>
                <c:ptCount val="610"/>
                <c:pt idx="0">
                  <c:v>0.24</c:v>
                </c:pt>
                <c:pt idx="1">
                  <c:v>0.22</c:v>
                </c:pt>
                <c:pt idx="2">
                  <c:v>0.22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0.22</c:v>
                </c:pt>
                <c:pt idx="7">
                  <c:v>0.2</c:v>
                </c:pt>
                <c:pt idx="8">
                  <c:v>0.24</c:v>
                </c:pt>
                <c:pt idx="9">
                  <c:v>0.32</c:v>
                </c:pt>
                <c:pt idx="10">
                  <c:v>0.38</c:v>
                </c:pt>
                <c:pt idx="11">
                  <c:v>0.36</c:v>
                </c:pt>
                <c:pt idx="12">
                  <c:v>0.42</c:v>
                </c:pt>
                <c:pt idx="13">
                  <c:v>0.46</c:v>
                </c:pt>
                <c:pt idx="14">
                  <c:v>0.46</c:v>
                </c:pt>
                <c:pt idx="15">
                  <c:v>0.44</c:v>
                </c:pt>
                <c:pt idx="16">
                  <c:v>0.42</c:v>
                </c:pt>
                <c:pt idx="17">
                  <c:v>0.44</c:v>
                </c:pt>
                <c:pt idx="18">
                  <c:v>0.42</c:v>
                </c:pt>
                <c:pt idx="19">
                  <c:v>0.42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0.46</c:v>
                </c:pt>
                <c:pt idx="24">
                  <c:v>0.46</c:v>
                </c:pt>
                <c:pt idx="25">
                  <c:v>0.44</c:v>
                </c:pt>
                <c:pt idx="26">
                  <c:v>0.42</c:v>
                </c:pt>
                <c:pt idx="27">
                  <c:v>0.46</c:v>
                </c:pt>
                <c:pt idx="28">
                  <c:v>0.46</c:v>
                </c:pt>
                <c:pt idx="29">
                  <c:v>0.42</c:v>
                </c:pt>
                <c:pt idx="30">
                  <c:v>0.4</c:v>
                </c:pt>
                <c:pt idx="31">
                  <c:v>0.4</c:v>
                </c:pt>
                <c:pt idx="32">
                  <c:v>0.38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0.36</c:v>
                </c:pt>
                <c:pt idx="38">
                  <c:v>0.34</c:v>
                </c:pt>
                <c:pt idx="39">
                  <c:v>0.34</c:v>
                </c:pt>
                <c:pt idx="40">
                  <c:v>0.34</c:v>
                </c:pt>
                <c:pt idx="41">
                  <c:v>0.36</c:v>
                </c:pt>
                <c:pt idx="42">
                  <c:v>0.32</c:v>
                </c:pt>
                <c:pt idx="43">
                  <c:v>0.3</c:v>
                </c:pt>
                <c:pt idx="44">
                  <c:v>0.26</c:v>
                </c:pt>
                <c:pt idx="45">
                  <c:v>0.24</c:v>
                </c:pt>
                <c:pt idx="46">
                  <c:v>0.22</c:v>
                </c:pt>
                <c:pt idx="47">
                  <c:v>0.22</c:v>
                </c:pt>
                <c:pt idx="48">
                  <c:v>0.2</c:v>
                </c:pt>
                <c:pt idx="49">
                  <c:v>0.16</c:v>
                </c:pt>
                <c:pt idx="50">
                  <c:v>0.16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0.16</c:v>
                </c:pt>
                <c:pt idx="55">
                  <c:v>0.18</c:v>
                </c:pt>
                <c:pt idx="56">
                  <c:v>0.2</c:v>
                </c:pt>
                <c:pt idx="57">
                  <c:v>0.22</c:v>
                </c:pt>
                <c:pt idx="58">
                  <c:v>0.24</c:v>
                </c:pt>
                <c:pt idx="59">
                  <c:v>0.26</c:v>
                </c:pt>
                <c:pt idx="60">
                  <c:v>0.26</c:v>
                </c:pt>
                <c:pt idx="61">
                  <c:v>0.26</c:v>
                </c:pt>
                <c:pt idx="62">
                  <c:v>0.24</c:v>
                </c:pt>
                <c:pt idx="63">
                  <c:v>0.24</c:v>
                </c:pt>
                <c:pt idx="64">
                  <c:v>0.2</c:v>
                </c:pt>
                <c:pt idx="65">
                  <c:v>0.2</c:v>
                </c:pt>
                <c:pt idx="66">
                  <c:v>0.18</c:v>
                </c:pt>
                <c:pt idx="67">
                  <c:v>0.14000000000000001</c:v>
                </c:pt>
                <c:pt idx="68">
                  <c:v>0.18</c:v>
                </c:pt>
                <c:pt idx="69">
                  <c:v>0.16</c:v>
                </c:pt>
                <c:pt idx="70">
                  <c:v>0.16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0.14000000000000001</c:v>
                </c:pt>
                <c:pt idx="77">
                  <c:v>0.16</c:v>
                </c:pt>
                <c:pt idx="78">
                  <c:v>0.16</c:v>
                </c:pt>
                <c:pt idx="79">
                  <c:v>0.22</c:v>
                </c:pt>
                <c:pt idx="80">
                  <c:v>0.22</c:v>
                </c:pt>
                <c:pt idx="81">
                  <c:v>0.24</c:v>
                </c:pt>
                <c:pt idx="82">
                  <c:v>0.26</c:v>
                </c:pt>
                <c:pt idx="83">
                  <c:v>0.28000000000000003</c:v>
                </c:pt>
                <c:pt idx="84">
                  <c:v>0.3</c:v>
                </c:pt>
                <c:pt idx="85">
                  <c:v>0.28000000000000003</c:v>
                </c:pt>
                <c:pt idx="86">
                  <c:v>0.26</c:v>
                </c:pt>
                <c:pt idx="87">
                  <c:v>0.24</c:v>
                </c:pt>
                <c:pt idx="88">
                  <c:v>0.24</c:v>
                </c:pt>
                <c:pt idx="89">
                  <c:v>0.22</c:v>
                </c:pt>
                <c:pt idx="90">
                  <c:v>0.22</c:v>
                </c:pt>
                <c:pt idx="91">
                  <c:v>0.2</c:v>
                </c:pt>
                <c:pt idx="92">
                  <c:v>0.2</c:v>
                </c:pt>
                <c:pt idx="93">
                  <c:v>0.16</c:v>
                </c:pt>
                <c:pt idx="94">
                  <c:v>0.16</c:v>
                </c:pt>
                <c:pt idx="95">
                  <c:v>0.24</c:v>
                </c:pt>
                <c:pt idx="96">
                  <c:v>0.22</c:v>
                </c:pt>
                <c:pt idx="97">
                  <c:v>0.2</c:v>
                </c:pt>
                <c:pt idx="98">
                  <c:v>0.18</c:v>
                </c:pt>
                <c:pt idx="99">
                  <c:v>0.2</c:v>
                </c:pt>
                <c:pt idx="100">
                  <c:v>0.22</c:v>
                </c:pt>
                <c:pt idx="101">
                  <c:v>0.22</c:v>
                </c:pt>
                <c:pt idx="102">
                  <c:v>0.26</c:v>
                </c:pt>
                <c:pt idx="103">
                  <c:v>0.26</c:v>
                </c:pt>
                <c:pt idx="104">
                  <c:v>0.28000000000000003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0.22</c:v>
                </c:pt>
                <c:pt idx="112">
                  <c:v>0.2</c:v>
                </c:pt>
                <c:pt idx="113">
                  <c:v>0.18</c:v>
                </c:pt>
                <c:pt idx="114">
                  <c:v>0.2</c:v>
                </c:pt>
                <c:pt idx="115">
                  <c:v>0.18</c:v>
                </c:pt>
                <c:pt idx="116">
                  <c:v>0.16</c:v>
                </c:pt>
                <c:pt idx="117">
                  <c:v>0.16</c:v>
                </c:pt>
                <c:pt idx="118">
                  <c:v>0.16</c:v>
                </c:pt>
                <c:pt idx="119">
                  <c:v>0.14000000000000001</c:v>
                </c:pt>
                <c:pt idx="120">
                  <c:v>0.14000000000000001</c:v>
                </c:pt>
                <c:pt idx="121">
                  <c:v>0.16</c:v>
                </c:pt>
                <c:pt idx="122">
                  <c:v>0.16</c:v>
                </c:pt>
                <c:pt idx="123">
                  <c:v>0.18</c:v>
                </c:pt>
                <c:pt idx="124">
                  <c:v>0.2</c:v>
                </c:pt>
                <c:pt idx="125">
                  <c:v>0.22</c:v>
                </c:pt>
                <c:pt idx="126">
                  <c:v>0.26</c:v>
                </c:pt>
                <c:pt idx="127">
                  <c:v>0.26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0.26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</c:v>
                </c:pt>
                <c:pt idx="135">
                  <c:v>0.22</c:v>
                </c:pt>
                <c:pt idx="136">
                  <c:v>0.22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0.22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0.2</c:v>
                </c:pt>
                <c:pt idx="147">
                  <c:v>0.22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0.16</c:v>
                </c:pt>
                <c:pt idx="157">
                  <c:v>0.18</c:v>
                </c:pt>
                <c:pt idx="158">
                  <c:v>0.18</c:v>
                </c:pt>
                <c:pt idx="159">
                  <c:v>0.18</c:v>
                </c:pt>
                <c:pt idx="160">
                  <c:v>0.18</c:v>
                </c:pt>
                <c:pt idx="161">
                  <c:v>0.18</c:v>
                </c:pt>
                <c:pt idx="162">
                  <c:v>0.18</c:v>
                </c:pt>
                <c:pt idx="163">
                  <c:v>0.18</c:v>
                </c:pt>
                <c:pt idx="164">
                  <c:v>0.18</c:v>
                </c:pt>
                <c:pt idx="165">
                  <c:v>0.18</c:v>
                </c:pt>
                <c:pt idx="166">
                  <c:v>0.16</c:v>
                </c:pt>
                <c:pt idx="167">
                  <c:v>0.16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0.18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0.18</c:v>
                </c:pt>
                <c:pt idx="178">
                  <c:v>0.16</c:v>
                </c:pt>
                <c:pt idx="179">
                  <c:v>0.14000000000000001</c:v>
                </c:pt>
                <c:pt idx="180">
                  <c:v>0.14000000000000001</c:v>
                </c:pt>
                <c:pt idx="181">
                  <c:v>0.12</c:v>
                </c:pt>
                <c:pt idx="182">
                  <c:v>0.12</c:v>
                </c:pt>
                <c:pt idx="183">
                  <c:v>0.12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0.08</c:v>
                </c:pt>
                <c:pt idx="190">
                  <c:v>0.08</c:v>
                </c:pt>
                <c:pt idx="191">
                  <c:v>0.1</c:v>
                </c:pt>
                <c:pt idx="192">
                  <c:v>0.08</c:v>
                </c:pt>
                <c:pt idx="193">
                  <c:v>0.1</c:v>
                </c:pt>
                <c:pt idx="194">
                  <c:v>0.12</c:v>
                </c:pt>
                <c:pt idx="195">
                  <c:v>0.14000000000000001</c:v>
                </c:pt>
                <c:pt idx="196">
                  <c:v>0.16</c:v>
                </c:pt>
                <c:pt idx="197">
                  <c:v>0.18</c:v>
                </c:pt>
                <c:pt idx="198">
                  <c:v>0.2</c:v>
                </c:pt>
                <c:pt idx="199">
                  <c:v>0.22</c:v>
                </c:pt>
                <c:pt idx="200">
                  <c:v>0.22</c:v>
                </c:pt>
                <c:pt idx="201">
                  <c:v>0.2</c:v>
                </c:pt>
                <c:pt idx="202">
                  <c:v>0.18</c:v>
                </c:pt>
                <c:pt idx="203">
                  <c:v>0.16</c:v>
                </c:pt>
                <c:pt idx="204">
                  <c:v>0.16</c:v>
                </c:pt>
                <c:pt idx="205">
                  <c:v>0.14000000000000001</c:v>
                </c:pt>
                <c:pt idx="206">
                  <c:v>0.14000000000000001</c:v>
                </c:pt>
                <c:pt idx="207">
                  <c:v>0.14000000000000001</c:v>
                </c:pt>
                <c:pt idx="208">
                  <c:v>0.12</c:v>
                </c:pt>
                <c:pt idx="209">
                  <c:v>0.12</c:v>
                </c:pt>
                <c:pt idx="210">
                  <c:v>0.12</c:v>
                </c:pt>
                <c:pt idx="211">
                  <c:v>0.12</c:v>
                </c:pt>
                <c:pt idx="212">
                  <c:v>0.12</c:v>
                </c:pt>
                <c:pt idx="213">
                  <c:v>0.1</c:v>
                </c:pt>
                <c:pt idx="214">
                  <c:v>0.1</c:v>
                </c:pt>
                <c:pt idx="215">
                  <c:v>0.12</c:v>
                </c:pt>
                <c:pt idx="216">
                  <c:v>0.12</c:v>
                </c:pt>
                <c:pt idx="217">
                  <c:v>0.12</c:v>
                </c:pt>
                <c:pt idx="218">
                  <c:v>0.14000000000000001</c:v>
                </c:pt>
                <c:pt idx="219">
                  <c:v>0.14000000000000001</c:v>
                </c:pt>
                <c:pt idx="220">
                  <c:v>0.16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0.16</c:v>
                </c:pt>
                <c:pt idx="229">
                  <c:v>0.16</c:v>
                </c:pt>
                <c:pt idx="230">
                  <c:v>0.14000000000000001</c:v>
                </c:pt>
                <c:pt idx="231">
                  <c:v>0.14000000000000001</c:v>
                </c:pt>
                <c:pt idx="232">
                  <c:v>0.14000000000000001</c:v>
                </c:pt>
                <c:pt idx="233">
                  <c:v>0.14000000000000001</c:v>
                </c:pt>
                <c:pt idx="234">
                  <c:v>0.14000000000000001</c:v>
                </c:pt>
                <c:pt idx="235">
                  <c:v>0.16</c:v>
                </c:pt>
                <c:pt idx="236">
                  <c:v>0.16</c:v>
                </c:pt>
                <c:pt idx="237">
                  <c:v>0.16</c:v>
                </c:pt>
                <c:pt idx="238">
                  <c:v>0.16</c:v>
                </c:pt>
                <c:pt idx="239">
                  <c:v>0.18</c:v>
                </c:pt>
                <c:pt idx="240">
                  <c:v>0.18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0.2</c:v>
                </c:pt>
                <c:pt idx="246">
                  <c:v>0.16</c:v>
                </c:pt>
                <c:pt idx="247">
                  <c:v>0.16</c:v>
                </c:pt>
                <c:pt idx="248">
                  <c:v>0.16</c:v>
                </c:pt>
                <c:pt idx="249">
                  <c:v>0.16</c:v>
                </c:pt>
                <c:pt idx="250">
                  <c:v>0.16</c:v>
                </c:pt>
                <c:pt idx="251">
                  <c:v>0.16</c:v>
                </c:pt>
                <c:pt idx="252">
                  <c:v>0.16</c:v>
                </c:pt>
                <c:pt idx="253">
                  <c:v>0.16</c:v>
                </c:pt>
                <c:pt idx="254">
                  <c:v>0.16</c:v>
                </c:pt>
                <c:pt idx="255">
                  <c:v>0.16</c:v>
                </c:pt>
                <c:pt idx="256">
                  <c:v>0.16</c:v>
                </c:pt>
                <c:pt idx="257">
                  <c:v>0.14000000000000001</c:v>
                </c:pt>
                <c:pt idx="258">
                  <c:v>0.14000000000000001</c:v>
                </c:pt>
                <c:pt idx="259">
                  <c:v>0.12</c:v>
                </c:pt>
                <c:pt idx="260">
                  <c:v>0.14000000000000001</c:v>
                </c:pt>
                <c:pt idx="261">
                  <c:v>0.16</c:v>
                </c:pt>
                <c:pt idx="262">
                  <c:v>0.16</c:v>
                </c:pt>
                <c:pt idx="263">
                  <c:v>0.18</c:v>
                </c:pt>
                <c:pt idx="264">
                  <c:v>0.2</c:v>
                </c:pt>
                <c:pt idx="265">
                  <c:v>0.2</c:v>
                </c:pt>
                <c:pt idx="266">
                  <c:v>0.22</c:v>
                </c:pt>
                <c:pt idx="267">
                  <c:v>0.2</c:v>
                </c:pt>
                <c:pt idx="268">
                  <c:v>0.2</c:v>
                </c:pt>
                <c:pt idx="269">
                  <c:v>0.22</c:v>
                </c:pt>
                <c:pt idx="270">
                  <c:v>0.2</c:v>
                </c:pt>
                <c:pt idx="271">
                  <c:v>0.2</c:v>
                </c:pt>
                <c:pt idx="272">
                  <c:v>0.18</c:v>
                </c:pt>
                <c:pt idx="273">
                  <c:v>0.16</c:v>
                </c:pt>
                <c:pt idx="274">
                  <c:v>0.16</c:v>
                </c:pt>
                <c:pt idx="275">
                  <c:v>0.16</c:v>
                </c:pt>
                <c:pt idx="276">
                  <c:v>0.14000000000000001</c:v>
                </c:pt>
                <c:pt idx="277">
                  <c:v>0.14000000000000001</c:v>
                </c:pt>
                <c:pt idx="278">
                  <c:v>0.14000000000000001</c:v>
                </c:pt>
                <c:pt idx="279">
                  <c:v>0.14000000000000001</c:v>
                </c:pt>
                <c:pt idx="280">
                  <c:v>0.14000000000000001</c:v>
                </c:pt>
                <c:pt idx="281">
                  <c:v>0.14000000000000001</c:v>
                </c:pt>
                <c:pt idx="282">
                  <c:v>0.14000000000000001</c:v>
                </c:pt>
                <c:pt idx="283">
                  <c:v>0.12</c:v>
                </c:pt>
                <c:pt idx="284">
                  <c:v>0.12</c:v>
                </c:pt>
                <c:pt idx="285">
                  <c:v>0.14000000000000001</c:v>
                </c:pt>
                <c:pt idx="286">
                  <c:v>0.14000000000000001</c:v>
                </c:pt>
                <c:pt idx="287">
                  <c:v>0.16</c:v>
                </c:pt>
                <c:pt idx="288">
                  <c:v>0.2</c:v>
                </c:pt>
                <c:pt idx="289">
                  <c:v>0.2</c:v>
                </c:pt>
                <c:pt idx="290">
                  <c:v>0.22</c:v>
                </c:pt>
                <c:pt idx="291">
                  <c:v>0.22</c:v>
                </c:pt>
                <c:pt idx="292">
                  <c:v>0.24</c:v>
                </c:pt>
                <c:pt idx="293">
                  <c:v>0.24</c:v>
                </c:pt>
                <c:pt idx="294">
                  <c:v>0.2</c:v>
                </c:pt>
                <c:pt idx="295">
                  <c:v>0.2</c:v>
                </c:pt>
                <c:pt idx="296">
                  <c:v>0.16</c:v>
                </c:pt>
                <c:pt idx="297">
                  <c:v>0.16</c:v>
                </c:pt>
                <c:pt idx="298">
                  <c:v>0.14000000000000001</c:v>
                </c:pt>
                <c:pt idx="299">
                  <c:v>0.14000000000000001</c:v>
                </c:pt>
                <c:pt idx="300">
                  <c:v>0.12</c:v>
                </c:pt>
                <c:pt idx="301">
                  <c:v>0.12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0.12</c:v>
                </c:pt>
                <c:pt idx="309">
                  <c:v>0.14000000000000001</c:v>
                </c:pt>
                <c:pt idx="310">
                  <c:v>0.18</c:v>
                </c:pt>
                <c:pt idx="311">
                  <c:v>0.18</c:v>
                </c:pt>
                <c:pt idx="312">
                  <c:v>0.2</c:v>
                </c:pt>
                <c:pt idx="313">
                  <c:v>0.22</c:v>
                </c:pt>
                <c:pt idx="314">
                  <c:v>0.22</c:v>
                </c:pt>
                <c:pt idx="315">
                  <c:v>0.24</c:v>
                </c:pt>
                <c:pt idx="316">
                  <c:v>0.22</c:v>
                </c:pt>
                <c:pt idx="317">
                  <c:v>0.22</c:v>
                </c:pt>
                <c:pt idx="318">
                  <c:v>0.2</c:v>
                </c:pt>
                <c:pt idx="319">
                  <c:v>0.16</c:v>
                </c:pt>
                <c:pt idx="320">
                  <c:v>0.18</c:v>
                </c:pt>
                <c:pt idx="321">
                  <c:v>0.16</c:v>
                </c:pt>
                <c:pt idx="322">
                  <c:v>0.16</c:v>
                </c:pt>
                <c:pt idx="323">
                  <c:v>0.18</c:v>
                </c:pt>
                <c:pt idx="324">
                  <c:v>0.18</c:v>
                </c:pt>
                <c:pt idx="325">
                  <c:v>0.16</c:v>
                </c:pt>
                <c:pt idx="326">
                  <c:v>0.16</c:v>
                </c:pt>
                <c:pt idx="327">
                  <c:v>0.16</c:v>
                </c:pt>
                <c:pt idx="328">
                  <c:v>0.16</c:v>
                </c:pt>
                <c:pt idx="329">
                  <c:v>0.16</c:v>
                </c:pt>
                <c:pt idx="330">
                  <c:v>0.14000000000000001</c:v>
                </c:pt>
                <c:pt idx="331">
                  <c:v>0.14000000000000001</c:v>
                </c:pt>
                <c:pt idx="332">
                  <c:v>0.14000000000000001</c:v>
                </c:pt>
                <c:pt idx="333">
                  <c:v>0.16</c:v>
                </c:pt>
                <c:pt idx="334">
                  <c:v>0.18</c:v>
                </c:pt>
                <c:pt idx="335">
                  <c:v>0.2</c:v>
                </c:pt>
                <c:pt idx="336">
                  <c:v>0.24</c:v>
                </c:pt>
                <c:pt idx="337">
                  <c:v>0.28000000000000003</c:v>
                </c:pt>
                <c:pt idx="338">
                  <c:v>0.3</c:v>
                </c:pt>
                <c:pt idx="339">
                  <c:v>0.32</c:v>
                </c:pt>
                <c:pt idx="340">
                  <c:v>0.34</c:v>
                </c:pt>
                <c:pt idx="341">
                  <c:v>0.32</c:v>
                </c:pt>
                <c:pt idx="342">
                  <c:v>0.3</c:v>
                </c:pt>
                <c:pt idx="343">
                  <c:v>0.32</c:v>
                </c:pt>
                <c:pt idx="344">
                  <c:v>0.32</c:v>
                </c:pt>
                <c:pt idx="345">
                  <c:v>0.32</c:v>
                </c:pt>
                <c:pt idx="346">
                  <c:v>0.3</c:v>
                </c:pt>
                <c:pt idx="347">
                  <c:v>0.3</c:v>
                </c:pt>
                <c:pt idx="348">
                  <c:v>0.26</c:v>
                </c:pt>
                <c:pt idx="349">
                  <c:v>0.26</c:v>
                </c:pt>
                <c:pt idx="350">
                  <c:v>0.26</c:v>
                </c:pt>
                <c:pt idx="351">
                  <c:v>0.22</c:v>
                </c:pt>
                <c:pt idx="352">
                  <c:v>0.26</c:v>
                </c:pt>
                <c:pt idx="353">
                  <c:v>0.26</c:v>
                </c:pt>
                <c:pt idx="354">
                  <c:v>0.26</c:v>
                </c:pt>
                <c:pt idx="355">
                  <c:v>0.24</c:v>
                </c:pt>
                <c:pt idx="356">
                  <c:v>0.22</c:v>
                </c:pt>
                <c:pt idx="357">
                  <c:v>0.22</c:v>
                </c:pt>
                <c:pt idx="358">
                  <c:v>0.22</c:v>
                </c:pt>
                <c:pt idx="359">
                  <c:v>0.24</c:v>
                </c:pt>
                <c:pt idx="360">
                  <c:v>0.24</c:v>
                </c:pt>
                <c:pt idx="361">
                  <c:v>0.26</c:v>
                </c:pt>
                <c:pt idx="362">
                  <c:v>0.28000000000000003</c:v>
                </c:pt>
                <c:pt idx="363">
                  <c:v>0.26</c:v>
                </c:pt>
                <c:pt idx="364">
                  <c:v>0.24</c:v>
                </c:pt>
                <c:pt idx="365">
                  <c:v>0.22</c:v>
                </c:pt>
                <c:pt idx="366">
                  <c:v>0.2</c:v>
                </c:pt>
                <c:pt idx="367">
                  <c:v>0.18</c:v>
                </c:pt>
                <c:pt idx="368">
                  <c:v>0.18</c:v>
                </c:pt>
                <c:pt idx="369">
                  <c:v>0.18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0.18</c:v>
                </c:pt>
                <c:pt idx="375">
                  <c:v>0.18</c:v>
                </c:pt>
                <c:pt idx="376">
                  <c:v>0.18</c:v>
                </c:pt>
                <c:pt idx="377">
                  <c:v>0.18</c:v>
                </c:pt>
                <c:pt idx="378">
                  <c:v>0.18</c:v>
                </c:pt>
                <c:pt idx="379">
                  <c:v>0.16</c:v>
                </c:pt>
                <c:pt idx="380">
                  <c:v>0.16</c:v>
                </c:pt>
                <c:pt idx="381">
                  <c:v>0.16</c:v>
                </c:pt>
                <c:pt idx="382">
                  <c:v>0.16</c:v>
                </c:pt>
                <c:pt idx="383">
                  <c:v>0.16</c:v>
                </c:pt>
                <c:pt idx="384">
                  <c:v>0.18</c:v>
                </c:pt>
                <c:pt idx="385">
                  <c:v>0.18</c:v>
                </c:pt>
                <c:pt idx="386">
                  <c:v>0.18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0.18</c:v>
                </c:pt>
                <c:pt idx="391">
                  <c:v>0.18</c:v>
                </c:pt>
                <c:pt idx="392">
                  <c:v>0.16</c:v>
                </c:pt>
                <c:pt idx="393">
                  <c:v>0.16</c:v>
                </c:pt>
                <c:pt idx="394">
                  <c:v>0.14000000000000001</c:v>
                </c:pt>
                <c:pt idx="395">
                  <c:v>0.16</c:v>
                </c:pt>
                <c:pt idx="396">
                  <c:v>0.2</c:v>
                </c:pt>
                <c:pt idx="397">
                  <c:v>0.2</c:v>
                </c:pt>
                <c:pt idx="398">
                  <c:v>0.22</c:v>
                </c:pt>
                <c:pt idx="399">
                  <c:v>0.22</c:v>
                </c:pt>
                <c:pt idx="400">
                  <c:v>0.22</c:v>
                </c:pt>
                <c:pt idx="401">
                  <c:v>0.22</c:v>
                </c:pt>
                <c:pt idx="402">
                  <c:v>0.22</c:v>
                </c:pt>
                <c:pt idx="403">
                  <c:v>0.22</c:v>
                </c:pt>
                <c:pt idx="404">
                  <c:v>0.22</c:v>
                </c:pt>
                <c:pt idx="405">
                  <c:v>0.22</c:v>
                </c:pt>
                <c:pt idx="406">
                  <c:v>0.22</c:v>
                </c:pt>
                <c:pt idx="407">
                  <c:v>0.22</c:v>
                </c:pt>
                <c:pt idx="408">
                  <c:v>0.22</c:v>
                </c:pt>
                <c:pt idx="409">
                  <c:v>0.22</c:v>
                </c:pt>
                <c:pt idx="410">
                  <c:v>0.22</c:v>
                </c:pt>
                <c:pt idx="411">
                  <c:v>0.22</c:v>
                </c:pt>
                <c:pt idx="412">
                  <c:v>0.22</c:v>
                </c:pt>
                <c:pt idx="413">
                  <c:v>0.22</c:v>
                </c:pt>
                <c:pt idx="414">
                  <c:v>0.24</c:v>
                </c:pt>
                <c:pt idx="415">
                  <c:v>0.24</c:v>
                </c:pt>
                <c:pt idx="416">
                  <c:v>0.24</c:v>
                </c:pt>
                <c:pt idx="417">
                  <c:v>0.26</c:v>
                </c:pt>
                <c:pt idx="418">
                  <c:v>0.28000000000000003</c:v>
                </c:pt>
                <c:pt idx="419">
                  <c:v>0.3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0.38</c:v>
                </c:pt>
                <c:pt idx="424">
                  <c:v>0.36</c:v>
                </c:pt>
                <c:pt idx="425">
                  <c:v>0.34</c:v>
                </c:pt>
                <c:pt idx="426">
                  <c:v>0.32</c:v>
                </c:pt>
                <c:pt idx="427">
                  <c:v>0.32</c:v>
                </c:pt>
                <c:pt idx="428">
                  <c:v>0.32</c:v>
                </c:pt>
                <c:pt idx="429">
                  <c:v>0.3</c:v>
                </c:pt>
                <c:pt idx="430">
                  <c:v>0.3</c:v>
                </c:pt>
                <c:pt idx="431">
                  <c:v>0.26</c:v>
                </c:pt>
                <c:pt idx="432">
                  <c:v>0.26</c:v>
                </c:pt>
                <c:pt idx="433">
                  <c:v>0.26</c:v>
                </c:pt>
                <c:pt idx="434">
                  <c:v>0.26</c:v>
                </c:pt>
                <c:pt idx="435">
                  <c:v>0.26</c:v>
                </c:pt>
                <c:pt idx="436">
                  <c:v>0.24</c:v>
                </c:pt>
                <c:pt idx="437">
                  <c:v>0.22</c:v>
                </c:pt>
                <c:pt idx="438">
                  <c:v>0.22</c:v>
                </c:pt>
                <c:pt idx="439">
                  <c:v>0.22</c:v>
                </c:pt>
                <c:pt idx="440">
                  <c:v>0.24</c:v>
                </c:pt>
                <c:pt idx="441">
                  <c:v>0.26</c:v>
                </c:pt>
                <c:pt idx="442">
                  <c:v>0.28000000000000003</c:v>
                </c:pt>
                <c:pt idx="443">
                  <c:v>0.3</c:v>
                </c:pt>
                <c:pt idx="444">
                  <c:v>0.28000000000000003</c:v>
                </c:pt>
                <c:pt idx="445">
                  <c:v>0.3</c:v>
                </c:pt>
                <c:pt idx="446">
                  <c:v>0.32</c:v>
                </c:pt>
                <c:pt idx="447">
                  <c:v>0.3</c:v>
                </c:pt>
                <c:pt idx="448">
                  <c:v>0.3</c:v>
                </c:pt>
                <c:pt idx="449">
                  <c:v>0.26</c:v>
                </c:pt>
                <c:pt idx="450">
                  <c:v>0.26</c:v>
                </c:pt>
                <c:pt idx="451">
                  <c:v>0.26</c:v>
                </c:pt>
                <c:pt idx="452">
                  <c:v>0.24</c:v>
                </c:pt>
                <c:pt idx="453">
                  <c:v>0.24</c:v>
                </c:pt>
                <c:pt idx="454">
                  <c:v>0.24</c:v>
                </c:pt>
                <c:pt idx="455">
                  <c:v>0.24</c:v>
                </c:pt>
                <c:pt idx="456">
                  <c:v>0.24</c:v>
                </c:pt>
                <c:pt idx="457">
                  <c:v>0.24</c:v>
                </c:pt>
                <c:pt idx="458">
                  <c:v>0.22</c:v>
                </c:pt>
                <c:pt idx="459">
                  <c:v>0.22</c:v>
                </c:pt>
                <c:pt idx="460">
                  <c:v>0.24</c:v>
                </c:pt>
                <c:pt idx="461">
                  <c:v>0.22</c:v>
                </c:pt>
                <c:pt idx="462">
                  <c:v>0.2</c:v>
                </c:pt>
                <c:pt idx="463">
                  <c:v>0.2</c:v>
                </c:pt>
                <c:pt idx="464">
                  <c:v>0.2</c:v>
                </c:pt>
                <c:pt idx="465">
                  <c:v>0.2</c:v>
                </c:pt>
                <c:pt idx="466">
                  <c:v>0.22</c:v>
                </c:pt>
                <c:pt idx="467">
                  <c:v>0.22</c:v>
                </c:pt>
                <c:pt idx="468">
                  <c:v>0.2</c:v>
                </c:pt>
                <c:pt idx="469">
                  <c:v>0.2</c:v>
                </c:pt>
                <c:pt idx="470">
                  <c:v>0.16</c:v>
                </c:pt>
                <c:pt idx="471">
                  <c:v>0.16</c:v>
                </c:pt>
                <c:pt idx="472">
                  <c:v>0.14000000000000001</c:v>
                </c:pt>
                <c:pt idx="473">
                  <c:v>0.12</c:v>
                </c:pt>
                <c:pt idx="474">
                  <c:v>0.12</c:v>
                </c:pt>
                <c:pt idx="475">
                  <c:v>0.1</c:v>
                </c:pt>
                <c:pt idx="476">
                  <c:v>0.08</c:v>
                </c:pt>
                <c:pt idx="477">
                  <c:v>0.06</c:v>
                </c:pt>
                <c:pt idx="478">
                  <c:v>0.06</c:v>
                </c:pt>
                <c:pt idx="479">
                  <c:v>0.04</c:v>
                </c:pt>
                <c:pt idx="480">
                  <c:v>0.04</c:v>
                </c:pt>
                <c:pt idx="481">
                  <c:v>0.04</c:v>
                </c:pt>
                <c:pt idx="482">
                  <c:v>0.04</c:v>
                </c:pt>
                <c:pt idx="483">
                  <c:v>0.02</c:v>
                </c:pt>
                <c:pt idx="484">
                  <c:v>0.02</c:v>
                </c:pt>
                <c:pt idx="485">
                  <c:v>0.02</c:v>
                </c:pt>
                <c:pt idx="486">
                  <c:v>0.02</c:v>
                </c:pt>
                <c:pt idx="487">
                  <c:v>0.04</c:v>
                </c:pt>
                <c:pt idx="488">
                  <c:v>0.04</c:v>
                </c:pt>
                <c:pt idx="489">
                  <c:v>0.06</c:v>
                </c:pt>
                <c:pt idx="490">
                  <c:v>0.06</c:v>
                </c:pt>
                <c:pt idx="491">
                  <c:v>0.08</c:v>
                </c:pt>
                <c:pt idx="492">
                  <c:v>0.1</c:v>
                </c:pt>
                <c:pt idx="493">
                  <c:v>0.12</c:v>
                </c:pt>
                <c:pt idx="494">
                  <c:v>0.12</c:v>
                </c:pt>
                <c:pt idx="495">
                  <c:v>0.12</c:v>
                </c:pt>
                <c:pt idx="496">
                  <c:v>0.08</c:v>
                </c:pt>
                <c:pt idx="497">
                  <c:v>0.08</c:v>
                </c:pt>
                <c:pt idx="498">
                  <c:v>0.06</c:v>
                </c:pt>
                <c:pt idx="499">
                  <c:v>0.06</c:v>
                </c:pt>
                <c:pt idx="500">
                  <c:v>0.06</c:v>
                </c:pt>
                <c:pt idx="501">
                  <c:v>0.04</c:v>
                </c:pt>
                <c:pt idx="502">
                  <c:v>0.04</c:v>
                </c:pt>
                <c:pt idx="503">
                  <c:v>0.04</c:v>
                </c:pt>
                <c:pt idx="504">
                  <c:v>0.02</c:v>
                </c:pt>
                <c:pt idx="505">
                  <c:v>0.02</c:v>
                </c:pt>
                <c:pt idx="506">
                  <c:v>0.04</c:v>
                </c:pt>
                <c:pt idx="507">
                  <c:v>0.04</c:v>
                </c:pt>
                <c:pt idx="508">
                  <c:v>0.08</c:v>
                </c:pt>
                <c:pt idx="509">
                  <c:v>0.06</c:v>
                </c:pt>
                <c:pt idx="510">
                  <c:v>0.1</c:v>
                </c:pt>
                <c:pt idx="511">
                  <c:v>0.14000000000000001</c:v>
                </c:pt>
                <c:pt idx="512">
                  <c:v>0.14000000000000001</c:v>
                </c:pt>
                <c:pt idx="513">
                  <c:v>0.16</c:v>
                </c:pt>
                <c:pt idx="514">
                  <c:v>0.14000000000000001</c:v>
                </c:pt>
                <c:pt idx="515">
                  <c:v>0.16</c:v>
                </c:pt>
                <c:pt idx="516">
                  <c:v>0.16</c:v>
                </c:pt>
                <c:pt idx="517">
                  <c:v>0.16</c:v>
                </c:pt>
                <c:pt idx="518">
                  <c:v>0.14000000000000001</c:v>
                </c:pt>
                <c:pt idx="519">
                  <c:v>0.12</c:v>
                </c:pt>
                <c:pt idx="520">
                  <c:v>0.12</c:v>
                </c:pt>
                <c:pt idx="521">
                  <c:v>0.1</c:v>
                </c:pt>
                <c:pt idx="522">
                  <c:v>0.1</c:v>
                </c:pt>
                <c:pt idx="523">
                  <c:v>0.08</c:v>
                </c:pt>
                <c:pt idx="524">
                  <c:v>0.06</c:v>
                </c:pt>
                <c:pt idx="525">
                  <c:v>0.06</c:v>
                </c:pt>
                <c:pt idx="526">
                  <c:v>0.04</c:v>
                </c:pt>
                <c:pt idx="527">
                  <c:v>0.04</c:v>
                </c:pt>
                <c:pt idx="528">
                  <c:v>0.02</c:v>
                </c:pt>
                <c:pt idx="529">
                  <c:v>0.02</c:v>
                </c:pt>
                <c:pt idx="530">
                  <c:v>0.02</c:v>
                </c:pt>
                <c:pt idx="531">
                  <c:v>0.02</c:v>
                </c:pt>
                <c:pt idx="532">
                  <c:v>0.04</c:v>
                </c:pt>
                <c:pt idx="533">
                  <c:v>0.06</c:v>
                </c:pt>
                <c:pt idx="534">
                  <c:v>0.1</c:v>
                </c:pt>
                <c:pt idx="535">
                  <c:v>0.1</c:v>
                </c:pt>
                <c:pt idx="536">
                  <c:v>0.12</c:v>
                </c:pt>
                <c:pt idx="537">
                  <c:v>0.14000000000000001</c:v>
                </c:pt>
                <c:pt idx="538">
                  <c:v>0.14000000000000001</c:v>
                </c:pt>
                <c:pt idx="539">
                  <c:v>0.16</c:v>
                </c:pt>
                <c:pt idx="540">
                  <c:v>0.16</c:v>
                </c:pt>
                <c:pt idx="541">
                  <c:v>0.14000000000000001</c:v>
                </c:pt>
                <c:pt idx="542">
                  <c:v>0.14000000000000001</c:v>
                </c:pt>
                <c:pt idx="543">
                  <c:v>0.14000000000000001</c:v>
                </c:pt>
                <c:pt idx="544">
                  <c:v>0.14000000000000001</c:v>
                </c:pt>
                <c:pt idx="545">
                  <c:v>0.14000000000000001</c:v>
                </c:pt>
                <c:pt idx="546">
                  <c:v>0.14000000000000001</c:v>
                </c:pt>
                <c:pt idx="547">
                  <c:v>0.16</c:v>
                </c:pt>
                <c:pt idx="548">
                  <c:v>0.16</c:v>
                </c:pt>
                <c:pt idx="549">
                  <c:v>0.16</c:v>
                </c:pt>
                <c:pt idx="550">
                  <c:v>0.16</c:v>
                </c:pt>
                <c:pt idx="551">
                  <c:v>0.14000000000000001</c:v>
                </c:pt>
                <c:pt idx="552">
                  <c:v>0.14000000000000001</c:v>
                </c:pt>
                <c:pt idx="553">
                  <c:v>0.16</c:v>
                </c:pt>
                <c:pt idx="554">
                  <c:v>0.16</c:v>
                </c:pt>
                <c:pt idx="555">
                  <c:v>0.16</c:v>
                </c:pt>
                <c:pt idx="556">
                  <c:v>0.2</c:v>
                </c:pt>
                <c:pt idx="557">
                  <c:v>0.22</c:v>
                </c:pt>
                <c:pt idx="558">
                  <c:v>0.24</c:v>
                </c:pt>
                <c:pt idx="559">
                  <c:v>0.26</c:v>
                </c:pt>
                <c:pt idx="560">
                  <c:v>0.26</c:v>
                </c:pt>
                <c:pt idx="561">
                  <c:v>0.3</c:v>
                </c:pt>
                <c:pt idx="562">
                  <c:v>0.32</c:v>
                </c:pt>
                <c:pt idx="563">
                  <c:v>0.32</c:v>
                </c:pt>
                <c:pt idx="564">
                  <c:v>0.3</c:v>
                </c:pt>
                <c:pt idx="565">
                  <c:v>0.3</c:v>
                </c:pt>
                <c:pt idx="566">
                  <c:v>0.26</c:v>
                </c:pt>
                <c:pt idx="567">
                  <c:v>0.24</c:v>
                </c:pt>
                <c:pt idx="568">
                  <c:v>0.24</c:v>
                </c:pt>
                <c:pt idx="569">
                  <c:v>0.22</c:v>
                </c:pt>
                <c:pt idx="570">
                  <c:v>0.22</c:v>
                </c:pt>
                <c:pt idx="571">
                  <c:v>0.22</c:v>
                </c:pt>
                <c:pt idx="572">
                  <c:v>0.24</c:v>
                </c:pt>
                <c:pt idx="573">
                  <c:v>0.22</c:v>
                </c:pt>
                <c:pt idx="574">
                  <c:v>0.2</c:v>
                </c:pt>
                <c:pt idx="575">
                  <c:v>0.2</c:v>
                </c:pt>
                <c:pt idx="576">
                  <c:v>0.22</c:v>
                </c:pt>
                <c:pt idx="577">
                  <c:v>0.22</c:v>
                </c:pt>
                <c:pt idx="578">
                  <c:v>0.22</c:v>
                </c:pt>
                <c:pt idx="579">
                  <c:v>0.22</c:v>
                </c:pt>
                <c:pt idx="580">
                  <c:v>0.22</c:v>
                </c:pt>
                <c:pt idx="581">
                  <c:v>0.22</c:v>
                </c:pt>
                <c:pt idx="582">
                  <c:v>0.22</c:v>
                </c:pt>
                <c:pt idx="583">
                  <c:v>0.22</c:v>
                </c:pt>
                <c:pt idx="584">
                  <c:v>0.22</c:v>
                </c:pt>
                <c:pt idx="585">
                  <c:v>0.22</c:v>
                </c:pt>
                <c:pt idx="586">
                  <c:v>0.2</c:v>
                </c:pt>
                <c:pt idx="587">
                  <c:v>0.22</c:v>
                </c:pt>
                <c:pt idx="588">
                  <c:v>0.22</c:v>
                </c:pt>
                <c:pt idx="589">
                  <c:v>0.2</c:v>
                </c:pt>
                <c:pt idx="590">
                  <c:v>0.2</c:v>
                </c:pt>
                <c:pt idx="591">
                  <c:v>0.18</c:v>
                </c:pt>
                <c:pt idx="592">
                  <c:v>0.18</c:v>
                </c:pt>
                <c:pt idx="593">
                  <c:v>0.18</c:v>
                </c:pt>
                <c:pt idx="594">
                  <c:v>0.18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0.18</c:v>
                </c:pt>
                <c:pt idx="600">
                  <c:v>0.18</c:v>
                </c:pt>
                <c:pt idx="601">
                  <c:v>0.16</c:v>
                </c:pt>
                <c:pt idx="602">
                  <c:v>0.16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0.22</c:v>
                </c:pt>
                <c:pt idx="60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65-4396-8FF7-C803A59AD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247087"/>
        <c:axId val="1341861967"/>
      </c:scatterChart>
      <c:valAx>
        <c:axId val="1384247087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Days</a:t>
                </a:r>
              </a:p>
            </c:rich>
          </c:tx>
          <c:layout>
            <c:manualLayout>
              <c:xMode val="edge"/>
              <c:yMode val="edge"/>
              <c:x val="0.45567016622922135"/>
              <c:y val="0.891921114027413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61967"/>
        <c:crosses val="autoZero"/>
        <c:crossBetween val="midCat"/>
      </c:valAx>
      <c:valAx>
        <c:axId val="13418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4783537474482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247087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solidFill>
            <a:schemeClr val="accent3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[Shiva Dataset_1.xlsx]Analysis!PivotTable3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Analysis!$B$44</c:f>
              <c:strCache>
                <c:ptCount val="1"/>
                <c:pt idx="0">
                  <c:v>Average of Weather_Situation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Analysis!$A$45:$A$47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Analysis!$B$45:$B$47</c:f>
              <c:numCache>
                <c:formatCode>0.00</c:formatCode>
                <c:ptCount val="2"/>
                <c:pt idx="0">
                  <c:v>1.4488054607508531</c:v>
                </c:pt>
                <c:pt idx="1">
                  <c:v>2.1666666666666665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7-474D-9E83-46D81EC772CD}"/>
            </c:ext>
          </c:extLst>
        </c:ser>
        <c:ser>
          <c:idx val="1"/>
          <c:order val="1"/>
          <c:tx>
            <c:strRef>
              <c:f>Analysis!$C$44</c:f>
              <c:strCache>
                <c:ptCount val="1"/>
                <c:pt idx="0">
                  <c:v>Count of holiday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Analysis!$A$45:$A$47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Analysis!$C$45:$C$47</c:f>
              <c:numCache>
                <c:formatCode>0.00</c:formatCode>
                <c:ptCount val="2"/>
                <c:pt idx="0">
                  <c:v>586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7-474D-9E83-46D81EC77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39939696"/>
        <c:axId val="439941136"/>
      </c:barChart>
      <c:catAx>
        <c:axId val="4399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41136"/>
        <c:crosses val="autoZero"/>
        <c:auto val="1"/>
        <c:lblAlgn val="ctr"/>
        <c:lblOffset val="100"/>
        <c:noMultiLvlLbl val="0"/>
      </c:catAx>
      <c:valAx>
        <c:axId val="43994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3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[Shiva Dataset_1.xlsx]Analysis!PivotTable5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Analysis!$B$65:$B$66</c:f>
              <c:strCache>
                <c:ptCount val="1"/>
                <c:pt idx="0">
                  <c:v>Clear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Analysis!$A$67:$A$74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Analysis!$B$67:$B$74</c:f>
              <c:numCache>
                <c:formatCode>General</c:formatCode>
                <c:ptCount val="7"/>
                <c:pt idx="0">
                  <c:v>70</c:v>
                </c:pt>
                <c:pt idx="1">
                  <c:v>57</c:v>
                </c:pt>
                <c:pt idx="2">
                  <c:v>33</c:v>
                </c:pt>
                <c:pt idx="3">
                  <c:v>54</c:v>
                </c:pt>
                <c:pt idx="4">
                  <c:v>56</c:v>
                </c:pt>
                <c:pt idx="5">
                  <c:v>48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7-49B2-9F26-5706AA25A1EC}"/>
            </c:ext>
          </c:extLst>
        </c:ser>
        <c:ser>
          <c:idx val="1"/>
          <c:order val="1"/>
          <c:tx>
            <c:strRef>
              <c:f>Analysis!$C$65:$C$66</c:f>
              <c:strCache>
                <c:ptCount val="1"/>
                <c:pt idx="0">
                  <c:v>Heavy Rain/Thunderstorm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Analysis!$A$67:$A$74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Analysis!$C$67:$C$74</c:f>
              <c:numCache>
                <c:formatCode>General</c:formatCode>
                <c:ptCount val="7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7-49B2-9F26-5706AA25A1EC}"/>
            </c:ext>
          </c:extLst>
        </c:ser>
        <c:ser>
          <c:idx val="2"/>
          <c:order val="2"/>
          <c:tx>
            <c:strRef>
              <c:f>Analysis!$D$65:$D$66</c:f>
              <c:strCache>
                <c:ptCount val="1"/>
                <c:pt idx="0">
                  <c:v>Mist/Cloudy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Analysis!$A$67:$A$74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Analysis!$D$67:$D$74</c:f>
              <c:numCache>
                <c:formatCode>General</c:formatCode>
                <c:ptCount val="7"/>
                <c:pt idx="0">
                  <c:v>19</c:v>
                </c:pt>
                <c:pt idx="1">
                  <c:v>31</c:v>
                </c:pt>
                <c:pt idx="2">
                  <c:v>41</c:v>
                </c:pt>
                <c:pt idx="3">
                  <c:v>13</c:v>
                </c:pt>
                <c:pt idx="4">
                  <c:v>23</c:v>
                </c:pt>
                <c:pt idx="5">
                  <c:v>28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7-49B2-9F26-5706AA25A1EC}"/>
            </c:ext>
          </c:extLst>
        </c:ser>
        <c:ser>
          <c:idx val="3"/>
          <c:order val="3"/>
          <c:tx>
            <c:strRef>
              <c:f>Analysis!$E$65:$E$66</c:f>
              <c:strCache>
                <c:ptCount val="1"/>
                <c:pt idx="0">
                  <c:v>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Analysis!$A$67:$A$74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Analysis!$E$67:$E$74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16</c:v>
                </c:pt>
                <c:pt idx="5">
                  <c:v>9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E7-49B2-9F26-5706AA25A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21103"/>
        <c:axId val="57534063"/>
      </c:barChart>
      <c:catAx>
        <c:axId val="575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4063"/>
        <c:crosses val="autoZero"/>
        <c:auto val="1"/>
        <c:lblAlgn val="ctr"/>
        <c:lblOffset val="100"/>
        <c:noMultiLvlLbl val="0"/>
      </c:catAx>
      <c:valAx>
        <c:axId val="575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[Shiva Dataset_1.xlsx]Analysis!PivotTable8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Analysis!$B$79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Analysis!$A$80:$A$108</c:f>
              <c:strCache>
                <c:ptCount val="28"/>
                <c:pt idx="0">
                  <c:v>01-01-2011</c:v>
                </c:pt>
                <c:pt idx="1">
                  <c:v>02-01-2011</c:v>
                </c:pt>
                <c:pt idx="2">
                  <c:v>03-01-2011</c:v>
                </c:pt>
                <c:pt idx="3">
                  <c:v>04-01-2011</c:v>
                </c:pt>
                <c:pt idx="4">
                  <c:v>05-01-2011</c:v>
                </c:pt>
                <c:pt idx="5">
                  <c:v>06-01-2011</c:v>
                </c:pt>
                <c:pt idx="6">
                  <c:v>07-01-2011</c:v>
                </c:pt>
                <c:pt idx="7">
                  <c:v>08-01-2011</c:v>
                </c:pt>
                <c:pt idx="8">
                  <c:v>09-01-2011</c:v>
                </c:pt>
                <c:pt idx="9">
                  <c:v>10-01-2011</c:v>
                </c:pt>
                <c:pt idx="10">
                  <c:v>11-01-2011</c:v>
                </c:pt>
                <c:pt idx="11">
                  <c:v>12-01-2011</c:v>
                </c:pt>
                <c:pt idx="12">
                  <c:v>13-01-2011</c:v>
                </c:pt>
                <c:pt idx="13">
                  <c:v>14-01-2011</c:v>
                </c:pt>
                <c:pt idx="14">
                  <c:v>15-01-2011</c:v>
                </c:pt>
                <c:pt idx="15">
                  <c:v>16-01-2011</c:v>
                </c:pt>
                <c:pt idx="16">
                  <c:v>17-01-2011</c:v>
                </c:pt>
                <c:pt idx="17">
                  <c:v>18-01-2011</c:v>
                </c:pt>
                <c:pt idx="18">
                  <c:v>19-01-2011</c:v>
                </c:pt>
                <c:pt idx="19">
                  <c:v>20-01-2011</c:v>
                </c:pt>
                <c:pt idx="20">
                  <c:v>21-01-2011</c:v>
                </c:pt>
                <c:pt idx="21">
                  <c:v>22-01-2011</c:v>
                </c:pt>
                <c:pt idx="22">
                  <c:v>23-01-2011</c:v>
                </c:pt>
                <c:pt idx="23">
                  <c:v>24-01-2011</c:v>
                </c:pt>
                <c:pt idx="24">
                  <c:v>25-01-2011</c:v>
                </c:pt>
                <c:pt idx="25">
                  <c:v>26-01-2011</c:v>
                </c:pt>
                <c:pt idx="26">
                  <c:v>27-01-2011</c:v>
                </c:pt>
                <c:pt idx="27">
                  <c:v>28-01-2011</c:v>
                </c:pt>
              </c:strCache>
            </c:strRef>
          </c:cat>
          <c:val>
            <c:numRef>
              <c:f>Analysis!$B$80:$B$108</c:f>
              <c:numCache>
                <c:formatCode>0.00</c:formatCode>
                <c:ptCount val="28"/>
                <c:pt idx="0">
                  <c:v>0.46</c:v>
                </c:pt>
                <c:pt idx="1">
                  <c:v>0.46</c:v>
                </c:pt>
                <c:pt idx="2">
                  <c:v>0.26</c:v>
                </c:pt>
                <c:pt idx="3">
                  <c:v>0.3</c:v>
                </c:pt>
                <c:pt idx="4">
                  <c:v>0.3</c:v>
                </c:pt>
                <c:pt idx="5">
                  <c:v>0.28000000000000003</c:v>
                </c:pt>
                <c:pt idx="6">
                  <c:v>0.22</c:v>
                </c:pt>
                <c:pt idx="7">
                  <c:v>0.2</c:v>
                </c:pt>
                <c:pt idx="8">
                  <c:v>0.22</c:v>
                </c:pt>
                <c:pt idx="9">
                  <c:v>0.2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0.24</c:v>
                </c:pt>
                <c:pt idx="14">
                  <c:v>0.34</c:v>
                </c:pt>
                <c:pt idx="15">
                  <c:v>0.28000000000000003</c:v>
                </c:pt>
                <c:pt idx="16">
                  <c:v>0.2</c:v>
                </c:pt>
                <c:pt idx="17">
                  <c:v>0.22</c:v>
                </c:pt>
                <c:pt idx="18">
                  <c:v>0.4</c:v>
                </c:pt>
                <c:pt idx="19">
                  <c:v>0.32</c:v>
                </c:pt>
                <c:pt idx="20">
                  <c:v>0.24</c:v>
                </c:pt>
                <c:pt idx="21">
                  <c:v>0.12</c:v>
                </c:pt>
                <c:pt idx="22">
                  <c:v>0.16</c:v>
                </c:pt>
                <c:pt idx="23">
                  <c:v>0.16</c:v>
                </c:pt>
                <c:pt idx="24">
                  <c:v>0.32</c:v>
                </c:pt>
                <c:pt idx="25">
                  <c:v>0.24</c:v>
                </c:pt>
                <c:pt idx="26">
                  <c:v>0.22</c:v>
                </c:pt>
                <c:pt idx="27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0-40AF-BF64-6F556DA10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7499503"/>
        <c:axId val="57491343"/>
      </c:barChart>
      <c:catAx>
        <c:axId val="574995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91343"/>
        <c:crosses val="autoZero"/>
        <c:auto val="1"/>
        <c:lblAlgn val="ctr"/>
        <c:lblOffset val="100"/>
        <c:noMultiLvlLbl val="0"/>
      </c:catAx>
      <c:valAx>
        <c:axId val="57491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9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[Shiva Dataset_1.xlsx]Analysis!PivotTable9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Weather</a:t>
            </a:r>
            <a:r>
              <a:rPr lang="en-US" baseline="0"/>
              <a:t> and Temp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Analysis!$B$112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Analysis!$A$113:$A$117</c:f>
              <c:strCache>
                <c:ptCount val="4"/>
                <c:pt idx="0">
                  <c:v>Clear</c:v>
                </c:pt>
                <c:pt idx="1">
                  <c:v>Heavy Rain/Thunderstorm</c:v>
                </c:pt>
                <c:pt idx="2">
                  <c:v>Mist/Cloudy</c:v>
                </c:pt>
                <c:pt idx="3">
                  <c:v>Rain</c:v>
                </c:pt>
              </c:strCache>
            </c:strRef>
          </c:cat>
          <c:val>
            <c:numRef>
              <c:f>Analysis!$B$113:$B$117</c:f>
              <c:numCache>
                <c:formatCode>General</c:formatCode>
                <c:ptCount val="4"/>
                <c:pt idx="0">
                  <c:v>368</c:v>
                </c:pt>
                <c:pt idx="1">
                  <c:v>1</c:v>
                </c:pt>
                <c:pt idx="2">
                  <c:v>194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F-4145-A74D-EF15E6F92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8</xdr:row>
      <xdr:rowOff>87630</xdr:rowOff>
    </xdr:from>
    <xdr:to>
      <xdr:col>19</xdr:col>
      <xdr:colOff>350520</xdr:colOff>
      <xdr:row>37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AED77-FE35-8A0F-64A3-944C5EE71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17</xdr:row>
      <xdr:rowOff>7620</xdr:rowOff>
    </xdr:from>
    <xdr:to>
      <xdr:col>6</xdr:col>
      <xdr:colOff>518160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7CDF9-3363-4DFE-AC0B-133D3C701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38</xdr:row>
      <xdr:rowOff>102870</xdr:rowOff>
    </xdr:from>
    <xdr:to>
      <xdr:col>8</xdr:col>
      <xdr:colOff>45720</xdr:colOff>
      <xdr:row>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89BFF3-F9DA-475F-8799-F18DE7261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281940</xdr:colOff>
      <xdr:row>62</xdr:row>
      <xdr:rowOff>19050</xdr:rowOff>
    </xdr:from>
    <xdr:to>
      <xdr:col>9</xdr:col>
      <xdr:colOff>1188720</xdr:colOff>
      <xdr:row>77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91508D-DEC5-4ED7-A22D-34CA97FB7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396240</xdr:colOff>
      <xdr:row>77</xdr:row>
      <xdr:rowOff>106680</xdr:rowOff>
    </xdr:from>
    <xdr:to>
      <xdr:col>9</xdr:col>
      <xdr:colOff>853440</xdr:colOff>
      <xdr:row>104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900818-C35C-CB19-5AC3-3FF6A4E43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108</xdr:row>
      <xdr:rowOff>87630</xdr:rowOff>
    </xdr:from>
    <xdr:to>
      <xdr:col>6</xdr:col>
      <xdr:colOff>891540</xdr:colOff>
      <xdr:row>123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AF94F8-15DB-9616-3049-6662033C2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hiva%20Singh%20Bike%20Sharing%20Demand%20Analysis%20Project%20Using%20Excel.xlsx" TargetMode="External"/><Relationship Id="rId2" Type="http://schemas.openxmlformats.org/officeDocument/2006/relationships/externalLinkPath" Target="file:///D:\Downloads\Shiva%20Singh%20Bike%20Sharing%20Demand%20Analysis%20Project%20Using%20Excel.xlsx" TargetMode="External"/><Relationship Id="rId1" Type="http://schemas.openxmlformats.org/officeDocument/2006/relationships/externalLinkPath" Target="/Downloads/Shiva%20Singh%20Bike%20Sharing%20Demand%20Analysis%20Project%20Using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set_1"/>
      <sheetName val="Findings on DB1"/>
      <sheetName val="Dataset_2"/>
      <sheetName val="Findings on DB2"/>
      <sheetName val="Merged Database 1&amp;2"/>
      <sheetName val="Analysis on DB1&amp;2"/>
      <sheetName val="Sheet4"/>
      <sheetName val="Combined Dataset"/>
      <sheetName val="Dashboard Final"/>
      <sheetName val="Descriptive Data"/>
      <sheetName val="dataset_3"/>
    </sheetNames>
    <sheetDataSet>
      <sheetData sheetId="0">
        <row r="1">
          <cell r="M1" t="str">
            <v>Temperature</v>
          </cell>
        </row>
        <row r="2">
          <cell r="A2">
            <v>1</v>
          </cell>
          <cell r="I2">
            <v>6</v>
          </cell>
          <cell r="M2">
            <v>0.24</v>
          </cell>
        </row>
        <row r="3">
          <cell r="A3">
            <v>2</v>
          </cell>
          <cell r="I3">
            <v>6</v>
          </cell>
          <cell r="M3">
            <v>0.22</v>
          </cell>
        </row>
        <row r="4">
          <cell r="A4">
            <v>3</v>
          </cell>
          <cell r="I4">
            <v>6</v>
          </cell>
          <cell r="M4">
            <v>0.22</v>
          </cell>
        </row>
        <row r="5">
          <cell r="A5">
            <v>4</v>
          </cell>
          <cell r="I5">
            <v>6</v>
          </cell>
          <cell r="M5">
            <v>0.24</v>
          </cell>
        </row>
        <row r="6">
          <cell r="A6">
            <v>5</v>
          </cell>
          <cell r="I6">
            <v>6</v>
          </cell>
          <cell r="M6">
            <v>0.24</v>
          </cell>
        </row>
        <row r="7">
          <cell r="A7">
            <v>6</v>
          </cell>
          <cell r="I7">
            <v>6</v>
          </cell>
          <cell r="M7">
            <v>0.24</v>
          </cell>
        </row>
        <row r="8">
          <cell r="A8">
            <v>7</v>
          </cell>
          <cell r="I8">
            <v>6</v>
          </cell>
          <cell r="M8">
            <v>0.22</v>
          </cell>
        </row>
        <row r="9">
          <cell r="A9">
            <v>8</v>
          </cell>
          <cell r="I9">
            <v>6</v>
          </cell>
          <cell r="M9">
            <v>0.2</v>
          </cell>
        </row>
        <row r="10">
          <cell r="A10">
            <v>9</v>
          </cell>
          <cell r="I10">
            <v>6</v>
          </cell>
          <cell r="M10">
            <v>0.24</v>
          </cell>
        </row>
        <row r="11">
          <cell r="A11">
            <v>10</v>
          </cell>
          <cell r="I11">
            <v>6</v>
          </cell>
          <cell r="M11">
            <v>0.32</v>
          </cell>
        </row>
        <row r="12">
          <cell r="A12">
            <v>11</v>
          </cell>
          <cell r="I12">
            <v>6</v>
          </cell>
          <cell r="M12">
            <v>0.38</v>
          </cell>
        </row>
        <row r="13">
          <cell r="A13">
            <v>12</v>
          </cell>
          <cell r="I13">
            <v>6</v>
          </cell>
          <cell r="M13">
            <v>0.36</v>
          </cell>
        </row>
        <row r="14">
          <cell r="A14">
            <v>13</v>
          </cell>
          <cell r="I14">
            <v>6</v>
          </cell>
          <cell r="M14">
            <v>0.42</v>
          </cell>
        </row>
        <row r="15">
          <cell r="A15">
            <v>14</v>
          </cell>
          <cell r="I15">
            <v>6</v>
          </cell>
          <cell r="M15">
            <v>0.46</v>
          </cell>
        </row>
        <row r="16">
          <cell r="A16">
            <v>15</v>
          </cell>
          <cell r="I16">
            <v>6</v>
          </cell>
          <cell r="M16">
            <v>0.46</v>
          </cell>
        </row>
        <row r="17">
          <cell r="A17">
            <v>16</v>
          </cell>
          <cell r="I17">
            <v>6</v>
          </cell>
          <cell r="M17">
            <v>0.44</v>
          </cell>
        </row>
        <row r="18">
          <cell r="A18">
            <v>17</v>
          </cell>
          <cell r="I18">
            <v>6</v>
          </cell>
          <cell r="M18">
            <v>0.42</v>
          </cell>
        </row>
        <row r="19">
          <cell r="A19">
            <v>18</v>
          </cell>
          <cell r="I19">
            <v>6</v>
          </cell>
          <cell r="M19">
            <v>0.44</v>
          </cell>
        </row>
        <row r="20">
          <cell r="A20">
            <v>19</v>
          </cell>
          <cell r="I20">
            <v>6</v>
          </cell>
          <cell r="M20">
            <v>0.42</v>
          </cell>
        </row>
        <row r="21">
          <cell r="A21">
            <v>20</v>
          </cell>
          <cell r="I21">
            <v>6</v>
          </cell>
          <cell r="M21">
            <v>0.42</v>
          </cell>
        </row>
        <row r="22">
          <cell r="A22">
            <v>21</v>
          </cell>
          <cell r="I22">
            <v>6</v>
          </cell>
          <cell r="M22">
            <v>0.4</v>
          </cell>
        </row>
        <row r="23">
          <cell r="A23">
            <v>22</v>
          </cell>
          <cell r="I23">
            <v>6</v>
          </cell>
          <cell r="M23">
            <v>0.4</v>
          </cell>
        </row>
        <row r="24">
          <cell r="A24">
            <v>23</v>
          </cell>
          <cell r="I24">
            <v>6</v>
          </cell>
          <cell r="M24">
            <v>0.4</v>
          </cell>
        </row>
        <row r="25">
          <cell r="A25">
            <v>24</v>
          </cell>
          <cell r="I25">
            <v>6</v>
          </cell>
          <cell r="M25">
            <v>0.46</v>
          </cell>
        </row>
        <row r="26">
          <cell r="A26">
            <v>25</v>
          </cell>
          <cell r="I26">
            <v>0</v>
          </cell>
          <cell r="M26">
            <v>0.46</v>
          </cell>
        </row>
        <row r="27">
          <cell r="A27">
            <v>26</v>
          </cell>
          <cell r="I27">
            <v>0</v>
          </cell>
          <cell r="M27">
            <v>0.44</v>
          </cell>
        </row>
        <row r="28">
          <cell r="A28">
            <v>27</v>
          </cell>
          <cell r="I28">
            <v>0</v>
          </cell>
          <cell r="M28">
            <v>0.42</v>
          </cell>
        </row>
        <row r="29">
          <cell r="A29">
            <v>28</v>
          </cell>
          <cell r="I29">
            <v>0</v>
          </cell>
          <cell r="M29">
            <v>0.46</v>
          </cell>
        </row>
        <row r="30">
          <cell r="A30">
            <v>29</v>
          </cell>
          <cell r="I30">
            <v>0</v>
          </cell>
          <cell r="M30">
            <v>0.46</v>
          </cell>
        </row>
        <row r="31">
          <cell r="A31">
            <v>30</v>
          </cell>
          <cell r="I31">
            <v>0</v>
          </cell>
          <cell r="M31">
            <v>0.42</v>
          </cell>
        </row>
        <row r="32">
          <cell r="A32">
            <v>31</v>
          </cell>
          <cell r="I32">
            <v>0</v>
          </cell>
          <cell r="M32">
            <v>0.4</v>
          </cell>
        </row>
        <row r="33">
          <cell r="A33">
            <v>32</v>
          </cell>
          <cell r="I33">
            <v>0</v>
          </cell>
          <cell r="M33">
            <v>0.4</v>
          </cell>
        </row>
        <row r="34">
          <cell r="A34">
            <v>33</v>
          </cell>
          <cell r="I34">
            <v>0</v>
          </cell>
          <cell r="M34">
            <v>0.38</v>
          </cell>
        </row>
        <row r="35">
          <cell r="A35">
            <v>34</v>
          </cell>
          <cell r="I35">
            <v>0</v>
          </cell>
          <cell r="M35">
            <v>0.36</v>
          </cell>
        </row>
        <row r="36">
          <cell r="A36">
            <v>35</v>
          </cell>
          <cell r="I36">
            <v>0</v>
          </cell>
          <cell r="M36">
            <v>0.36</v>
          </cell>
        </row>
        <row r="37">
          <cell r="A37">
            <v>36</v>
          </cell>
          <cell r="I37">
            <v>0</v>
          </cell>
          <cell r="M37">
            <v>0.36</v>
          </cell>
        </row>
        <row r="38">
          <cell r="A38">
            <v>37</v>
          </cell>
          <cell r="I38">
            <v>0</v>
          </cell>
          <cell r="M38">
            <v>0.36</v>
          </cell>
        </row>
        <row r="39">
          <cell r="A39">
            <v>38</v>
          </cell>
          <cell r="I39">
            <v>0</v>
          </cell>
          <cell r="M39">
            <v>0.36</v>
          </cell>
        </row>
        <row r="40">
          <cell r="A40">
            <v>39</v>
          </cell>
          <cell r="I40">
            <v>0</v>
          </cell>
          <cell r="M40">
            <v>0.34</v>
          </cell>
        </row>
        <row r="41">
          <cell r="A41">
            <v>40</v>
          </cell>
          <cell r="I41">
            <v>0</v>
          </cell>
          <cell r="M41">
            <v>0.34</v>
          </cell>
        </row>
        <row r="42">
          <cell r="A42">
            <v>41</v>
          </cell>
          <cell r="I42">
            <v>0</v>
          </cell>
          <cell r="M42">
            <v>0.34</v>
          </cell>
        </row>
        <row r="43">
          <cell r="A43">
            <v>42</v>
          </cell>
          <cell r="I43">
            <v>0</v>
          </cell>
          <cell r="M43">
            <v>0.36</v>
          </cell>
        </row>
        <row r="44">
          <cell r="A44">
            <v>43</v>
          </cell>
          <cell r="I44">
            <v>0</v>
          </cell>
          <cell r="M44">
            <v>0.32</v>
          </cell>
        </row>
        <row r="45">
          <cell r="A45">
            <v>44</v>
          </cell>
          <cell r="I45">
            <v>0</v>
          </cell>
          <cell r="M45">
            <v>0.3</v>
          </cell>
        </row>
        <row r="46">
          <cell r="A46">
            <v>45</v>
          </cell>
          <cell r="I46">
            <v>0</v>
          </cell>
          <cell r="M46">
            <v>0.26</v>
          </cell>
        </row>
        <row r="47">
          <cell r="A47">
            <v>46</v>
          </cell>
          <cell r="I47">
            <v>0</v>
          </cell>
          <cell r="M47">
            <v>0.24</v>
          </cell>
        </row>
        <row r="48">
          <cell r="A48">
            <v>47</v>
          </cell>
          <cell r="I48">
            <v>0</v>
          </cell>
          <cell r="M48">
            <v>0.22</v>
          </cell>
        </row>
        <row r="49">
          <cell r="A49">
            <v>48</v>
          </cell>
          <cell r="I49">
            <v>1</v>
          </cell>
          <cell r="M49">
            <v>0.22</v>
          </cell>
        </row>
        <row r="50">
          <cell r="A50">
            <v>49</v>
          </cell>
          <cell r="I50">
            <v>1</v>
          </cell>
          <cell r="M50">
            <v>0.2</v>
          </cell>
        </row>
        <row r="51">
          <cell r="A51">
            <v>50</v>
          </cell>
          <cell r="I51">
            <v>1</v>
          </cell>
          <cell r="M51">
            <v>0.16</v>
          </cell>
        </row>
        <row r="52">
          <cell r="A52">
            <v>51</v>
          </cell>
          <cell r="I52">
            <v>1</v>
          </cell>
          <cell r="M52">
            <v>0.16</v>
          </cell>
        </row>
        <row r="53">
          <cell r="A53">
            <v>52</v>
          </cell>
          <cell r="I53">
            <v>1</v>
          </cell>
          <cell r="M53">
            <v>0.14000000000000001</v>
          </cell>
        </row>
        <row r="54">
          <cell r="A54">
            <v>53</v>
          </cell>
          <cell r="I54">
            <v>1</v>
          </cell>
          <cell r="M54">
            <v>0.14000000000000001</v>
          </cell>
        </row>
        <row r="55">
          <cell r="A55">
            <v>54</v>
          </cell>
          <cell r="I55">
            <v>1</v>
          </cell>
          <cell r="M55">
            <v>0.14000000000000001</v>
          </cell>
        </row>
        <row r="56">
          <cell r="A56">
            <v>55</v>
          </cell>
          <cell r="I56">
            <v>1</v>
          </cell>
          <cell r="M56">
            <v>0.16</v>
          </cell>
        </row>
        <row r="57">
          <cell r="A57">
            <v>56</v>
          </cell>
          <cell r="I57">
            <v>1</v>
          </cell>
          <cell r="M57">
            <v>0.18</v>
          </cell>
        </row>
        <row r="58">
          <cell r="A58">
            <v>57</v>
          </cell>
          <cell r="I58">
            <v>1</v>
          </cell>
          <cell r="M58">
            <v>0.2</v>
          </cell>
        </row>
        <row r="59">
          <cell r="A59">
            <v>58</v>
          </cell>
          <cell r="I59">
            <v>1</v>
          </cell>
          <cell r="M59">
            <v>0.22</v>
          </cell>
        </row>
        <row r="60">
          <cell r="A60">
            <v>59</v>
          </cell>
          <cell r="I60">
            <v>1</v>
          </cell>
          <cell r="M60">
            <v>0.24</v>
          </cell>
        </row>
        <row r="61">
          <cell r="A61">
            <v>60</v>
          </cell>
          <cell r="I61">
            <v>1</v>
          </cell>
          <cell r="M61">
            <v>0.26</v>
          </cell>
        </row>
        <row r="62">
          <cell r="A62">
            <v>61</v>
          </cell>
          <cell r="I62">
            <v>1</v>
          </cell>
          <cell r="M62">
            <v>0.26</v>
          </cell>
        </row>
        <row r="63">
          <cell r="A63">
            <v>62</v>
          </cell>
          <cell r="I63">
            <v>1</v>
          </cell>
          <cell r="M63">
            <v>0.26</v>
          </cell>
        </row>
        <row r="64">
          <cell r="A64">
            <v>63</v>
          </cell>
          <cell r="I64">
            <v>1</v>
          </cell>
          <cell r="M64">
            <v>0.24</v>
          </cell>
        </row>
        <row r="65">
          <cell r="A65">
            <v>64</v>
          </cell>
          <cell r="I65">
            <v>1</v>
          </cell>
          <cell r="M65">
            <v>0.24</v>
          </cell>
        </row>
        <row r="66">
          <cell r="A66">
            <v>65</v>
          </cell>
          <cell r="I66">
            <v>1</v>
          </cell>
          <cell r="M66">
            <v>0.2</v>
          </cell>
        </row>
        <row r="67">
          <cell r="A67">
            <v>66</v>
          </cell>
          <cell r="I67">
            <v>1</v>
          </cell>
          <cell r="M67">
            <v>0.2</v>
          </cell>
        </row>
        <row r="68">
          <cell r="A68">
            <v>67</v>
          </cell>
          <cell r="I68">
            <v>1</v>
          </cell>
          <cell r="M68">
            <v>0.18</v>
          </cell>
        </row>
        <row r="69">
          <cell r="A69">
            <v>68</v>
          </cell>
          <cell r="I69">
            <v>1</v>
          </cell>
          <cell r="M69">
            <v>0.14000000000000001</v>
          </cell>
        </row>
        <row r="70">
          <cell r="A70">
            <v>69</v>
          </cell>
          <cell r="I70">
            <v>1</v>
          </cell>
          <cell r="M70">
            <v>0.18</v>
          </cell>
        </row>
        <row r="71">
          <cell r="A71">
            <v>70</v>
          </cell>
          <cell r="I71">
            <v>2</v>
          </cell>
          <cell r="M71">
            <v>0.16</v>
          </cell>
        </row>
        <row r="72">
          <cell r="A72">
            <v>71</v>
          </cell>
          <cell r="I72">
            <v>2</v>
          </cell>
          <cell r="M72">
            <v>0.16</v>
          </cell>
        </row>
        <row r="73">
          <cell r="A73">
            <v>72</v>
          </cell>
          <cell r="I73">
            <v>2</v>
          </cell>
          <cell r="M73">
            <v>0.14000000000000001</v>
          </cell>
        </row>
        <row r="74">
          <cell r="A74">
            <v>73</v>
          </cell>
          <cell r="I74">
            <v>2</v>
          </cell>
          <cell r="M74">
            <v>0.14000000000000001</v>
          </cell>
        </row>
        <row r="75">
          <cell r="A75">
            <v>74</v>
          </cell>
          <cell r="I75">
            <v>2</v>
          </cell>
          <cell r="M75">
            <v>0.12</v>
          </cell>
        </row>
        <row r="76">
          <cell r="A76">
            <v>75</v>
          </cell>
          <cell r="I76">
            <v>2</v>
          </cell>
          <cell r="M76">
            <v>0.12</v>
          </cell>
        </row>
        <row r="77">
          <cell r="A77">
            <v>76</v>
          </cell>
          <cell r="I77">
            <v>2</v>
          </cell>
          <cell r="M77">
            <v>0.12</v>
          </cell>
        </row>
        <row r="78">
          <cell r="A78">
            <v>77</v>
          </cell>
          <cell r="I78">
            <v>2</v>
          </cell>
          <cell r="M78">
            <v>0.14000000000000001</v>
          </cell>
        </row>
        <row r="79">
          <cell r="A79">
            <v>78</v>
          </cell>
          <cell r="I79">
            <v>2</v>
          </cell>
          <cell r="M79">
            <v>0.16</v>
          </cell>
        </row>
        <row r="80">
          <cell r="A80">
            <v>79</v>
          </cell>
          <cell r="I80">
            <v>2</v>
          </cell>
          <cell r="M80">
            <v>0.16</v>
          </cell>
        </row>
        <row r="81">
          <cell r="A81">
            <v>80</v>
          </cell>
          <cell r="I81">
            <v>2</v>
          </cell>
          <cell r="M81">
            <v>0.22</v>
          </cell>
        </row>
        <row r="82">
          <cell r="A82">
            <v>81</v>
          </cell>
          <cell r="I82">
            <v>2</v>
          </cell>
          <cell r="M82">
            <v>0.22</v>
          </cell>
        </row>
        <row r="83">
          <cell r="A83">
            <v>82</v>
          </cell>
          <cell r="I83">
            <v>2</v>
          </cell>
          <cell r="M83">
            <v>0.24</v>
          </cell>
        </row>
        <row r="84">
          <cell r="A84">
            <v>83</v>
          </cell>
          <cell r="I84">
            <v>2</v>
          </cell>
          <cell r="M84">
            <v>0.26</v>
          </cell>
        </row>
        <row r="85">
          <cell r="A85">
            <v>84</v>
          </cell>
          <cell r="I85">
            <v>2</v>
          </cell>
          <cell r="M85">
            <v>0.28000000000000003</v>
          </cell>
        </row>
        <row r="86">
          <cell r="A86">
            <v>85</v>
          </cell>
          <cell r="I86">
            <v>2</v>
          </cell>
          <cell r="M86">
            <v>0.3</v>
          </cell>
        </row>
        <row r="87">
          <cell r="A87">
            <v>86</v>
          </cell>
          <cell r="I87">
            <v>2</v>
          </cell>
          <cell r="M87">
            <v>0.28000000000000003</v>
          </cell>
        </row>
        <row r="88">
          <cell r="A88">
            <v>87</v>
          </cell>
          <cell r="I88">
            <v>2</v>
          </cell>
          <cell r="M88">
            <v>0.26</v>
          </cell>
        </row>
        <row r="89">
          <cell r="A89">
            <v>88</v>
          </cell>
          <cell r="I89">
            <v>2</v>
          </cell>
          <cell r="M89">
            <v>0.24</v>
          </cell>
        </row>
        <row r="90">
          <cell r="A90">
            <v>89</v>
          </cell>
          <cell r="I90">
            <v>2</v>
          </cell>
          <cell r="M90">
            <v>0.24</v>
          </cell>
        </row>
        <row r="91">
          <cell r="A91">
            <v>90</v>
          </cell>
          <cell r="I91">
            <v>2</v>
          </cell>
          <cell r="M91">
            <v>0.22</v>
          </cell>
        </row>
        <row r="92">
          <cell r="A92">
            <v>91</v>
          </cell>
          <cell r="I92">
            <v>2</v>
          </cell>
          <cell r="M92">
            <v>0.22</v>
          </cell>
        </row>
        <row r="93">
          <cell r="A93">
            <v>92</v>
          </cell>
          <cell r="I93">
            <v>2</v>
          </cell>
          <cell r="M93">
            <v>0.2</v>
          </cell>
        </row>
        <row r="94">
          <cell r="A94">
            <v>93</v>
          </cell>
          <cell r="I94">
            <v>3</v>
          </cell>
          <cell r="M94">
            <v>0.2</v>
          </cell>
        </row>
        <row r="95">
          <cell r="A95">
            <v>94</v>
          </cell>
          <cell r="I95">
            <v>3</v>
          </cell>
          <cell r="M95">
            <v>0.16</v>
          </cell>
        </row>
        <row r="96">
          <cell r="A96">
            <v>95</v>
          </cell>
          <cell r="I96">
            <v>3</v>
          </cell>
          <cell r="M96">
            <v>0.16</v>
          </cell>
        </row>
        <row r="97">
          <cell r="A97">
            <v>96</v>
          </cell>
          <cell r="I97">
            <v>3</v>
          </cell>
          <cell r="M97">
            <v>0.24</v>
          </cell>
        </row>
        <row r="98">
          <cell r="A98">
            <v>97</v>
          </cell>
          <cell r="I98">
            <v>3</v>
          </cell>
          <cell r="M98">
            <v>0.22</v>
          </cell>
        </row>
        <row r="99">
          <cell r="A99">
            <v>98</v>
          </cell>
          <cell r="I99">
            <v>3</v>
          </cell>
          <cell r="M99">
            <v>0.2</v>
          </cell>
        </row>
        <row r="100">
          <cell r="A100">
            <v>99</v>
          </cell>
          <cell r="I100">
            <v>3</v>
          </cell>
          <cell r="M100">
            <v>0.18</v>
          </cell>
        </row>
        <row r="101">
          <cell r="A101">
            <v>100</v>
          </cell>
          <cell r="I101">
            <v>3</v>
          </cell>
          <cell r="M101">
            <v>0.2</v>
          </cell>
        </row>
        <row r="102">
          <cell r="A102">
            <v>101</v>
          </cell>
          <cell r="I102">
            <v>3</v>
          </cell>
          <cell r="M102">
            <v>0.22</v>
          </cell>
        </row>
        <row r="103">
          <cell r="A103">
            <v>102</v>
          </cell>
          <cell r="I103">
            <v>3</v>
          </cell>
          <cell r="M103">
            <v>0.22</v>
          </cell>
        </row>
        <row r="104">
          <cell r="A104">
            <v>103</v>
          </cell>
          <cell r="I104">
            <v>3</v>
          </cell>
          <cell r="M104">
            <v>0.26</v>
          </cell>
        </row>
        <row r="105">
          <cell r="A105">
            <v>104</v>
          </cell>
          <cell r="I105">
            <v>3</v>
          </cell>
          <cell r="M105">
            <v>0.26</v>
          </cell>
        </row>
        <row r="106">
          <cell r="A106">
            <v>105</v>
          </cell>
          <cell r="I106">
            <v>3</v>
          </cell>
          <cell r="M106">
            <v>0.28000000000000003</v>
          </cell>
        </row>
        <row r="107">
          <cell r="A107">
            <v>106</v>
          </cell>
          <cell r="I107">
            <v>3</v>
          </cell>
          <cell r="M107">
            <v>0.3</v>
          </cell>
        </row>
        <row r="108">
          <cell r="A108">
            <v>107</v>
          </cell>
          <cell r="I108">
            <v>3</v>
          </cell>
          <cell r="M108">
            <v>0.3</v>
          </cell>
        </row>
        <row r="109">
          <cell r="A109">
            <v>108</v>
          </cell>
          <cell r="I109">
            <v>3</v>
          </cell>
          <cell r="M109">
            <v>0.3</v>
          </cell>
        </row>
        <row r="110">
          <cell r="A110">
            <v>109</v>
          </cell>
          <cell r="I110">
            <v>3</v>
          </cell>
          <cell r="M110">
            <v>0.24</v>
          </cell>
        </row>
        <row r="111">
          <cell r="A111">
            <v>110</v>
          </cell>
          <cell r="I111">
            <v>3</v>
          </cell>
          <cell r="M111">
            <v>0.24</v>
          </cell>
        </row>
        <row r="112">
          <cell r="A112">
            <v>111</v>
          </cell>
          <cell r="I112">
            <v>3</v>
          </cell>
          <cell r="M112">
            <v>0.24</v>
          </cell>
        </row>
        <row r="113">
          <cell r="A113">
            <v>112</v>
          </cell>
          <cell r="I113">
            <v>3</v>
          </cell>
          <cell r="M113">
            <v>0.22</v>
          </cell>
        </row>
        <row r="114">
          <cell r="A114">
            <v>113</v>
          </cell>
          <cell r="I114">
            <v>3</v>
          </cell>
          <cell r="M114">
            <v>0.2</v>
          </cell>
        </row>
        <row r="115">
          <cell r="A115">
            <v>114</v>
          </cell>
          <cell r="I115">
            <v>3</v>
          </cell>
          <cell r="M115">
            <v>0.18</v>
          </cell>
        </row>
        <row r="116">
          <cell r="A116">
            <v>115</v>
          </cell>
          <cell r="I116">
            <v>3</v>
          </cell>
          <cell r="M116">
            <v>0.2</v>
          </cell>
        </row>
        <row r="117">
          <cell r="A117">
            <v>116</v>
          </cell>
          <cell r="I117">
            <v>4</v>
          </cell>
          <cell r="M117">
            <v>0.18</v>
          </cell>
        </row>
        <row r="118">
          <cell r="A118">
            <v>117</v>
          </cell>
          <cell r="I118">
            <v>4</v>
          </cell>
          <cell r="M118">
            <v>0.16</v>
          </cell>
        </row>
        <row r="119">
          <cell r="A119">
            <v>118</v>
          </cell>
          <cell r="I119">
            <v>4</v>
          </cell>
          <cell r="M119">
            <v>0.16</v>
          </cell>
        </row>
        <row r="120">
          <cell r="A120">
            <v>119</v>
          </cell>
          <cell r="I120">
            <v>4</v>
          </cell>
          <cell r="M120">
            <v>0.16</v>
          </cell>
        </row>
        <row r="121">
          <cell r="A121">
            <v>120</v>
          </cell>
          <cell r="I121">
            <v>4</v>
          </cell>
          <cell r="M121">
            <v>0.14000000000000001</v>
          </cell>
        </row>
        <row r="122">
          <cell r="A122">
            <v>121</v>
          </cell>
          <cell r="I122">
            <v>4</v>
          </cell>
          <cell r="M122">
            <v>0.14000000000000001</v>
          </cell>
        </row>
        <row r="123">
          <cell r="A123">
            <v>122</v>
          </cell>
          <cell r="I123">
            <v>4</v>
          </cell>
          <cell r="M123">
            <v>0.16</v>
          </cell>
        </row>
        <row r="124">
          <cell r="A124">
            <v>123</v>
          </cell>
          <cell r="I124">
            <v>4</v>
          </cell>
          <cell r="M124">
            <v>0.16</v>
          </cell>
        </row>
        <row r="125">
          <cell r="A125">
            <v>124</v>
          </cell>
          <cell r="I125">
            <v>4</v>
          </cell>
          <cell r="M125">
            <v>0.18</v>
          </cell>
        </row>
        <row r="126">
          <cell r="A126">
            <v>125</v>
          </cell>
          <cell r="I126">
            <v>4</v>
          </cell>
          <cell r="M126">
            <v>0.2</v>
          </cell>
        </row>
        <row r="127">
          <cell r="A127">
            <v>126</v>
          </cell>
          <cell r="I127">
            <v>4</v>
          </cell>
          <cell r="M127">
            <v>0.22</v>
          </cell>
        </row>
        <row r="128">
          <cell r="A128">
            <v>127</v>
          </cell>
          <cell r="I128">
            <v>4</v>
          </cell>
          <cell r="M128">
            <v>0.26</v>
          </cell>
        </row>
        <row r="129">
          <cell r="A129">
            <v>128</v>
          </cell>
          <cell r="I129">
            <v>4</v>
          </cell>
          <cell r="M129">
            <v>0.26</v>
          </cell>
        </row>
        <row r="130">
          <cell r="A130">
            <v>129</v>
          </cell>
          <cell r="I130">
            <v>4</v>
          </cell>
          <cell r="M130">
            <v>0.28000000000000003</v>
          </cell>
        </row>
        <row r="131">
          <cell r="A131">
            <v>130</v>
          </cell>
          <cell r="I131">
            <v>4</v>
          </cell>
          <cell r="M131">
            <v>0.28000000000000003</v>
          </cell>
        </row>
        <row r="132">
          <cell r="A132">
            <v>131</v>
          </cell>
          <cell r="I132">
            <v>4</v>
          </cell>
          <cell r="M132">
            <v>0.26</v>
          </cell>
        </row>
        <row r="133">
          <cell r="A133">
            <v>132</v>
          </cell>
          <cell r="I133">
            <v>4</v>
          </cell>
          <cell r="M133">
            <v>0.22</v>
          </cell>
        </row>
        <row r="134">
          <cell r="A134">
            <v>133</v>
          </cell>
          <cell r="I134">
            <v>4</v>
          </cell>
          <cell r="M134">
            <v>0.22</v>
          </cell>
        </row>
        <row r="135">
          <cell r="A135">
            <v>134</v>
          </cell>
          <cell r="I135">
            <v>4</v>
          </cell>
          <cell r="M135">
            <v>0.22</v>
          </cell>
        </row>
        <row r="136">
          <cell r="A136">
            <v>135</v>
          </cell>
          <cell r="I136">
            <v>4</v>
          </cell>
          <cell r="M136">
            <v>0.2</v>
          </cell>
        </row>
        <row r="137">
          <cell r="A137">
            <v>136</v>
          </cell>
          <cell r="I137">
            <v>4</v>
          </cell>
          <cell r="M137">
            <v>0.22</v>
          </cell>
        </row>
        <row r="138">
          <cell r="A138">
            <v>137</v>
          </cell>
          <cell r="I138">
            <v>4</v>
          </cell>
          <cell r="M138">
            <v>0.22</v>
          </cell>
        </row>
        <row r="139">
          <cell r="A139">
            <v>138</v>
          </cell>
          <cell r="I139">
            <v>4</v>
          </cell>
          <cell r="M139">
            <v>0.2</v>
          </cell>
        </row>
        <row r="140">
          <cell r="A140">
            <v>139</v>
          </cell>
          <cell r="I140">
            <v>5</v>
          </cell>
          <cell r="M140">
            <v>0.2</v>
          </cell>
        </row>
        <row r="141">
          <cell r="A141">
            <v>140</v>
          </cell>
          <cell r="I141">
            <v>5</v>
          </cell>
          <cell r="M141">
            <v>0.2</v>
          </cell>
        </row>
        <row r="142">
          <cell r="A142">
            <v>141</v>
          </cell>
          <cell r="I142">
            <v>5</v>
          </cell>
          <cell r="M142">
            <v>0.2</v>
          </cell>
        </row>
        <row r="143">
          <cell r="A143">
            <v>142</v>
          </cell>
          <cell r="I143">
            <v>5</v>
          </cell>
          <cell r="M143">
            <v>0.2</v>
          </cell>
        </row>
        <row r="144">
          <cell r="A144">
            <v>143</v>
          </cell>
          <cell r="I144">
            <v>5</v>
          </cell>
          <cell r="M144">
            <v>0.22</v>
          </cell>
        </row>
        <row r="145">
          <cell r="A145">
            <v>144</v>
          </cell>
          <cell r="I145">
            <v>5</v>
          </cell>
          <cell r="M145">
            <v>0.2</v>
          </cell>
        </row>
        <row r="146">
          <cell r="A146">
            <v>145</v>
          </cell>
          <cell r="I146">
            <v>5</v>
          </cell>
          <cell r="M146">
            <v>0.2</v>
          </cell>
        </row>
        <row r="147">
          <cell r="A147">
            <v>146</v>
          </cell>
          <cell r="I147">
            <v>5</v>
          </cell>
          <cell r="M147">
            <v>0.2</v>
          </cell>
        </row>
        <row r="148">
          <cell r="A148">
            <v>147</v>
          </cell>
          <cell r="I148">
            <v>5</v>
          </cell>
          <cell r="M148">
            <v>0.2</v>
          </cell>
        </row>
        <row r="149">
          <cell r="A149">
            <v>148</v>
          </cell>
          <cell r="I149">
            <v>5</v>
          </cell>
          <cell r="M149">
            <v>0.22</v>
          </cell>
        </row>
        <row r="150">
          <cell r="A150">
            <v>149</v>
          </cell>
          <cell r="I150">
            <v>5</v>
          </cell>
          <cell r="M150">
            <v>0.2</v>
          </cell>
        </row>
        <row r="151">
          <cell r="A151">
            <v>150</v>
          </cell>
          <cell r="I151">
            <v>5</v>
          </cell>
          <cell r="M151">
            <v>0.2</v>
          </cell>
        </row>
        <row r="152">
          <cell r="A152">
            <v>151</v>
          </cell>
          <cell r="I152">
            <v>5</v>
          </cell>
          <cell r="M152">
            <v>0.2</v>
          </cell>
        </row>
        <row r="153">
          <cell r="A153">
            <v>152</v>
          </cell>
          <cell r="I153">
            <v>5</v>
          </cell>
          <cell r="M153">
            <v>0.2</v>
          </cell>
        </row>
        <row r="154">
          <cell r="A154">
            <v>153</v>
          </cell>
          <cell r="I154">
            <v>5</v>
          </cell>
          <cell r="M154">
            <v>0.2</v>
          </cell>
        </row>
        <row r="155">
          <cell r="A155">
            <v>154</v>
          </cell>
          <cell r="I155">
            <v>5</v>
          </cell>
          <cell r="M155">
            <v>0.2</v>
          </cell>
        </row>
        <row r="156">
          <cell r="A156">
            <v>155</v>
          </cell>
          <cell r="I156">
            <v>5</v>
          </cell>
          <cell r="M156">
            <v>0.2</v>
          </cell>
        </row>
        <row r="157">
          <cell r="A157">
            <v>156</v>
          </cell>
          <cell r="I157">
            <v>5</v>
          </cell>
          <cell r="M157">
            <v>0.2</v>
          </cell>
        </row>
        <row r="158">
          <cell r="A158">
            <v>157</v>
          </cell>
          <cell r="I158">
            <v>5</v>
          </cell>
          <cell r="M158">
            <v>0.16</v>
          </cell>
        </row>
        <row r="159">
          <cell r="A159">
            <v>158</v>
          </cell>
          <cell r="I159">
            <v>5</v>
          </cell>
          <cell r="M159">
            <v>0.18</v>
          </cell>
        </row>
        <row r="160">
          <cell r="A160">
            <v>159</v>
          </cell>
          <cell r="I160">
            <v>5</v>
          </cell>
          <cell r="M160">
            <v>0.18</v>
          </cell>
        </row>
        <row r="161">
          <cell r="A161">
            <v>160</v>
          </cell>
          <cell r="I161">
            <v>5</v>
          </cell>
          <cell r="M161">
            <v>0.18</v>
          </cell>
        </row>
        <row r="162">
          <cell r="A162">
            <v>161</v>
          </cell>
          <cell r="I162">
            <v>5</v>
          </cell>
          <cell r="M162">
            <v>0.18</v>
          </cell>
        </row>
        <row r="163">
          <cell r="A163">
            <v>162</v>
          </cell>
          <cell r="I163">
            <v>6</v>
          </cell>
          <cell r="M163">
            <v>0.18</v>
          </cell>
        </row>
        <row r="164">
          <cell r="A164">
            <v>163</v>
          </cell>
          <cell r="I164">
            <v>6</v>
          </cell>
          <cell r="M164">
            <v>0.18</v>
          </cell>
        </row>
        <row r="165">
          <cell r="A165">
            <v>164</v>
          </cell>
          <cell r="I165">
            <v>6</v>
          </cell>
          <cell r="M165">
            <v>0.18</v>
          </cell>
        </row>
        <row r="166">
          <cell r="A166">
            <v>165</v>
          </cell>
          <cell r="I166">
            <v>6</v>
          </cell>
          <cell r="M166">
            <v>0.18</v>
          </cell>
        </row>
        <row r="167">
          <cell r="A167">
            <v>166</v>
          </cell>
          <cell r="I167">
            <v>6</v>
          </cell>
          <cell r="M167">
            <v>0.18</v>
          </cell>
        </row>
        <row r="168">
          <cell r="A168">
            <v>167</v>
          </cell>
          <cell r="I168">
            <v>6</v>
          </cell>
          <cell r="M168">
            <v>0.16</v>
          </cell>
        </row>
        <row r="169">
          <cell r="A169">
            <v>168</v>
          </cell>
          <cell r="I169">
            <v>6</v>
          </cell>
          <cell r="M169">
            <v>0.16</v>
          </cell>
        </row>
        <row r="170">
          <cell r="A170">
            <v>169</v>
          </cell>
          <cell r="I170">
            <v>6</v>
          </cell>
          <cell r="M170">
            <v>0.16</v>
          </cell>
        </row>
        <row r="171">
          <cell r="A171">
            <v>170</v>
          </cell>
          <cell r="I171">
            <v>6</v>
          </cell>
          <cell r="M171">
            <v>0.16</v>
          </cell>
        </row>
        <row r="172">
          <cell r="A172">
            <v>171</v>
          </cell>
          <cell r="I172">
            <v>6</v>
          </cell>
          <cell r="M172">
            <v>0.16</v>
          </cell>
        </row>
        <row r="173">
          <cell r="A173">
            <v>172</v>
          </cell>
          <cell r="I173">
            <v>6</v>
          </cell>
          <cell r="M173">
            <v>0.18</v>
          </cell>
        </row>
        <row r="174">
          <cell r="A174">
            <v>173</v>
          </cell>
          <cell r="I174">
            <v>6</v>
          </cell>
          <cell r="M174">
            <v>0.2</v>
          </cell>
        </row>
        <row r="175">
          <cell r="A175">
            <v>174</v>
          </cell>
          <cell r="I175">
            <v>6</v>
          </cell>
          <cell r="M175">
            <v>0.2</v>
          </cell>
        </row>
        <row r="176">
          <cell r="A176">
            <v>175</v>
          </cell>
          <cell r="I176">
            <v>6</v>
          </cell>
          <cell r="M176">
            <v>0.2</v>
          </cell>
        </row>
        <row r="177">
          <cell r="A177">
            <v>176</v>
          </cell>
          <cell r="I177">
            <v>6</v>
          </cell>
          <cell r="M177">
            <v>0.2</v>
          </cell>
        </row>
        <row r="178">
          <cell r="A178">
            <v>177</v>
          </cell>
          <cell r="I178">
            <v>6</v>
          </cell>
          <cell r="M178">
            <v>0.2</v>
          </cell>
        </row>
        <row r="179">
          <cell r="A179">
            <v>178</v>
          </cell>
          <cell r="I179">
            <v>6</v>
          </cell>
          <cell r="M179">
            <v>0.18</v>
          </cell>
        </row>
        <row r="180">
          <cell r="A180">
            <v>179</v>
          </cell>
          <cell r="I180">
            <v>6</v>
          </cell>
          <cell r="M180">
            <v>0.16</v>
          </cell>
        </row>
        <row r="181">
          <cell r="A181">
            <v>180</v>
          </cell>
          <cell r="I181">
            <v>6</v>
          </cell>
          <cell r="M181">
            <v>0.14000000000000001</v>
          </cell>
        </row>
        <row r="182">
          <cell r="A182">
            <v>181</v>
          </cell>
          <cell r="I182">
            <v>6</v>
          </cell>
          <cell r="M182">
            <v>0.14000000000000001</v>
          </cell>
        </row>
        <row r="183">
          <cell r="A183">
            <v>182</v>
          </cell>
          <cell r="I183">
            <v>6</v>
          </cell>
          <cell r="M183">
            <v>0.12</v>
          </cell>
        </row>
        <row r="184">
          <cell r="A184">
            <v>183</v>
          </cell>
          <cell r="I184">
            <v>6</v>
          </cell>
          <cell r="M184">
            <v>0.12</v>
          </cell>
        </row>
        <row r="185">
          <cell r="A185">
            <v>184</v>
          </cell>
          <cell r="I185">
            <v>6</v>
          </cell>
          <cell r="M185">
            <v>0.12</v>
          </cell>
        </row>
        <row r="186">
          <cell r="A186">
            <v>185</v>
          </cell>
          <cell r="I186">
            <v>6</v>
          </cell>
          <cell r="M186">
            <v>0.1</v>
          </cell>
        </row>
        <row r="187">
          <cell r="A187">
            <v>186</v>
          </cell>
          <cell r="I187">
            <v>0</v>
          </cell>
          <cell r="M187">
            <v>0.1</v>
          </cell>
        </row>
        <row r="188">
          <cell r="A188">
            <v>187</v>
          </cell>
          <cell r="I188">
            <v>0</v>
          </cell>
          <cell r="M188">
            <v>0.1</v>
          </cell>
        </row>
        <row r="189">
          <cell r="A189">
            <v>188</v>
          </cell>
          <cell r="I189">
            <v>0</v>
          </cell>
          <cell r="M189">
            <v>0.1</v>
          </cell>
        </row>
        <row r="190">
          <cell r="A190">
            <v>189</v>
          </cell>
          <cell r="I190">
            <v>0</v>
          </cell>
          <cell r="M190">
            <v>0.1</v>
          </cell>
        </row>
        <row r="191">
          <cell r="A191">
            <v>190</v>
          </cell>
          <cell r="I191">
            <v>0</v>
          </cell>
          <cell r="M191">
            <v>0.08</v>
          </cell>
        </row>
        <row r="192">
          <cell r="A192">
            <v>191</v>
          </cell>
          <cell r="I192">
            <v>0</v>
          </cell>
          <cell r="M192">
            <v>0.08</v>
          </cell>
        </row>
        <row r="193">
          <cell r="A193">
            <v>192</v>
          </cell>
          <cell r="I193">
            <v>0</v>
          </cell>
          <cell r="M193">
            <v>0.1</v>
          </cell>
        </row>
        <row r="194">
          <cell r="A194">
            <v>193</v>
          </cell>
          <cell r="I194">
            <v>0</v>
          </cell>
          <cell r="M194">
            <v>0.08</v>
          </cell>
        </row>
        <row r="195">
          <cell r="A195">
            <v>194</v>
          </cell>
          <cell r="I195">
            <v>0</v>
          </cell>
          <cell r="M195">
            <v>0.1</v>
          </cell>
        </row>
        <row r="196">
          <cell r="A196">
            <v>195</v>
          </cell>
          <cell r="I196">
            <v>0</v>
          </cell>
          <cell r="M196">
            <v>0.12</v>
          </cell>
        </row>
        <row r="197">
          <cell r="A197">
            <v>196</v>
          </cell>
          <cell r="I197">
            <v>0</v>
          </cell>
          <cell r="M197">
            <v>0.14000000000000001</v>
          </cell>
        </row>
        <row r="198">
          <cell r="A198">
            <v>197</v>
          </cell>
          <cell r="I198">
            <v>0</v>
          </cell>
          <cell r="M198">
            <v>0.16</v>
          </cell>
        </row>
        <row r="199">
          <cell r="A199">
            <v>198</v>
          </cell>
          <cell r="I199">
            <v>0</v>
          </cell>
          <cell r="M199">
            <v>0.18</v>
          </cell>
        </row>
        <row r="200">
          <cell r="A200">
            <v>199</v>
          </cell>
          <cell r="I200">
            <v>0</v>
          </cell>
          <cell r="M200">
            <v>0.2</v>
          </cell>
        </row>
        <row r="201">
          <cell r="A201">
            <v>200</v>
          </cell>
          <cell r="I201">
            <v>0</v>
          </cell>
          <cell r="M201">
            <v>0.22</v>
          </cell>
        </row>
        <row r="202">
          <cell r="A202">
            <v>201</v>
          </cell>
          <cell r="I202">
            <v>0</v>
          </cell>
          <cell r="M202">
            <v>0.22</v>
          </cell>
        </row>
        <row r="203">
          <cell r="A203">
            <v>202</v>
          </cell>
          <cell r="I203">
            <v>0</v>
          </cell>
          <cell r="M203">
            <v>0.2</v>
          </cell>
        </row>
        <row r="204">
          <cell r="A204">
            <v>203</v>
          </cell>
          <cell r="I204">
            <v>0</v>
          </cell>
          <cell r="M204">
            <v>0.18</v>
          </cell>
        </row>
        <row r="205">
          <cell r="A205">
            <v>204</v>
          </cell>
          <cell r="I205">
            <v>0</v>
          </cell>
          <cell r="M205">
            <v>0.16</v>
          </cell>
        </row>
        <row r="206">
          <cell r="A206">
            <v>205</v>
          </cell>
          <cell r="I206">
            <v>0</v>
          </cell>
          <cell r="M206">
            <v>0.16</v>
          </cell>
        </row>
        <row r="207">
          <cell r="A207">
            <v>206</v>
          </cell>
          <cell r="I207">
            <v>0</v>
          </cell>
          <cell r="M207">
            <v>0.14000000000000001</v>
          </cell>
        </row>
        <row r="208">
          <cell r="A208">
            <v>207</v>
          </cell>
          <cell r="I208">
            <v>0</v>
          </cell>
          <cell r="M208">
            <v>0.14000000000000001</v>
          </cell>
        </row>
        <row r="209">
          <cell r="A209">
            <v>208</v>
          </cell>
          <cell r="I209">
            <v>0</v>
          </cell>
          <cell r="M209">
            <v>0.14000000000000001</v>
          </cell>
        </row>
        <row r="210">
          <cell r="A210">
            <v>209</v>
          </cell>
          <cell r="I210">
            <v>0</v>
          </cell>
          <cell r="M210">
            <v>0.12</v>
          </cell>
        </row>
        <row r="211">
          <cell r="A211">
            <v>210</v>
          </cell>
          <cell r="I211">
            <v>1</v>
          </cell>
          <cell r="M211">
            <v>0.12</v>
          </cell>
        </row>
        <row r="212">
          <cell r="A212">
            <v>211</v>
          </cell>
          <cell r="I212">
            <v>1</v>
          </cell>
          <cell r="M212">
            <v>0.12</v>
          </cell>
        </row>
        <row r="213">
          <cell r="A213">
            <v>212</v>
          </cell>
          <cell r="I213">
            <v>1</v>
          </cell>
          <cell r="M213">
            <v>0.12</v>
          </cell>
        </row>
        <row r="214">
          <cell r="A214">
            <v>213</v>
          </cell>
          <cell r="I214">
            <v>1</v>
          </cell>
          <cell r="M214">
            <v>0.12</v>
          </cell>
        </row>
        <row r="215">
          <cell r="A215">
            <v>214</v>
          </cell>
          <cell r="I215">
            <v>1</v>
          </cell>
          <cell r="M215">
            <v>0.1</v>
          </cell>
        </row>
        <row r="216">
          <cell r="A216">
            <v>215</v>
          </cell>
          <cell r="I216">
            <v>1</v>
          </cell>
          <cell r="M216">
            <v>0.1</v>
          </cell>
        </row>
        <row r="217">
          <cell r="A217">
            <v>216</v>
          </cell>
          <cell r="I217">
            <v>1</v>
          </cell>
          <cell r="M217">
            <v>0.12</v>
          </cell>
        </row>
        <row r="218">
          <cell r="A218">
            <v>217</v>
          </cell>
          <cell r="I218">
            <v>1</v>
          </cell>
          <cell r="M218">
            <v>0.12</v>
          </cell>
        </row>
        <row r="219">
          <cell r="A219">
            <v>218</v>
          </cell>
          <cell r="I219">
            <v>1</v>
          </cell>
          <cell r="M219">
            <v>0.12</v>
          </cell>
        </row>
        <row r="220">
          <cell r="A220">
            <v>219</v>
          </cell>
          <cell r="I220">
            <v>1</v>
          </cell>
          <cell r="M220">
            <v>0.14000000000000001</v>
          </cell>
        </row>
        <row r="221">
          <cell r="A221">
            <v>220</v>
          </cell>
          <cell r="I221">
            <v>1</v>
          </cell>
          <cell r="M221">
            <v>0.14000000000000001</v>
          </cell>
        </row>
        <row r="222">
          <cell r="A222">
            <v>221</v>
          </cell>
          <cell r="I222">
            <v>1</v>
          </cell>
          <cell r="M222">
            <v>0.16</v>
          </cell>
        </row>
        <row r="223">
          <cell r="A223">
            <v>222</v>
          </cell>
          <cell r="I223">
            <v>1</v>
          </cell>
          <cell r="M223">
            <v>0.2</v>
          </cell>
        </row>
        <row r="224">
          <cell r="A224">
            <v>223</v>
          </cell>
          <cell r="I224">
            <v>1</v>
          </cell>
          <cell r="M224">
            <v>0.2</v>
          </cell>
        </row>
        <row r="225">
          <cell r="A225">
            <v>224</v>
          </cell>
          <cell r="I225">
            <v>1</v>
          </cell>
          <cell r="M225">
            <v>0.2</v>
          </cell>
        </row>
        <row r="226">
          <cell r="A226">
            <v>225</v>
          </cell>
          <cell r="I226">
            <v>1</v>
          </cell>
          <cell r="M226">
            <v>0.2</v>
          </cell>
        </row>
        <row r="227">
          <cell r="A227">
            <v>226</v>
          </cell>
          <cell r="I227">
            <v>1</v>
          </cell>
          <cell r="M227">
            <v>0.2</v>
          </cell>
        </row>
        <row r="228">
          <cell r="A228">
            <v>227</v>
          </cell>
          <cell r="I228">
            <v>1</v>
          </cell>
          <cell r="M228">
            <v>0.2</v>
          </cell>
        </row>
        <row r="229">
          <cell r="A229">
            <v>228</v>
          </cell>
          <cell r="I229">
            <v>1</v>
          </cell>
          <cell r="M229">
            <v>0.2</v>
          </cell>
        </row>
        <row r="230">
          <cell r="A230">
            <v>229</v>
          </cell>
          <cell r="I230">
            <v>1</v>
          </cell>
          <cell r="M230">
            <v>0.16</v>
          </cell>
        </row>
        <row r="231">
          <cell r="A231">
            <v>230</v>
          </cell>
          <cell r="I231">
            <v>1</v>
          </cell>
          <cell r="M231">
            <v>0.16</v>
          </cell>
        </row>
        <row r="232">
          <cell r="A232">
            <v>231</v>
          </cell>
          <cell r="I232">
            <v>1</v>
          </cell>
          <cell r="M232">
            <v>0.14000000000000001</v>
          </cell>
        </row>
        <row r="233">
          <cell r="A233">
            <v>232</v>
          </cell>
          <cell r="I233">
            <v>1</v>
          </cell>
          <cell r="M233">
            <v>0.14000000000000001</v>
          </cell>
        </row>
        <row r="234">
          <cell r="A234">
            <v>233</v>
          </cell>
          <cell r="I234">
            <v>1</v>
          </cell>
          <cell r="M234">
            <v>0.14000000000000001</v>
          </cell>
        </row>
        <row r="235">
          <cell r="A235">
            <v>234</v>
          </cell>
          <cell r="I235">
            <v>2</v>
          </cell>
          <cell r="M235">
            <v>0.14000000000000001</v>
          </cell>
        </row>
        <row r="236">
          <cell r="A236">
            <v>235</v>
          </cell>
          <cell r="I236">
            <v>2</v>
          </cell>
          <cell r="M236">
            <v>0.14000000000000001</v>
          </cell>
        </row>
        <row r="237">
          <cell r="A237">
            <v>236</v>
          </cell>
          <cell r="I237">
            <v>2</v>
          </cell>
          <cell r="M237">
            <v>0.16</v>
          </cell>
        </row>
        <row r="238">
          <cell r="A238">
            <v>237</v>
          </cell>
          <cell r="I238">
            <v>2</v>
          </cell>
          <cell r="M238">
            <v>0.16</v>
          </cell>
        </row>
        <row r="239">
          <cell r="A239">
            <v>238</v>
          </cell>
          <cell r="I239">
            <v>2</v>
          </cell>
          <cell r="M239">
            <v>0.16</v>
          </cell>
        </row>
        <row r="240">
          <cell r="A240">
            <v>239</v>
          </cell>
          <cell r="I240">
            <v>2</v>
          </cell>
          <cell r="M240">
            <v>0.16</v>
          </cell>
        </row>
        <row r="241">
          <cell r="A241">
            <v>240</v>
          </cell>
          <cell r="I241">
            <v>2</v>
          </cell>
          <cell r="M241">
            <v>0.18</v>
          </cell>
        </row>
        <row r="242">
          <cell r="A242">
            <v>241</v>
          </cell>
          <cell r="I242">
            <v>2</v>
          </cell>
          <cell r="M242">
            <v>0.18</v>
          </cell>
        </row>
        <row r="243">
          <cell r="A243">
            <v>242</v>
          </cell>
          <cell r="I243">
            <v>2</v>
          </cell>
          <cell r="M243">
            <v>0.2</v>
          </cell>
        </row>
        <row r="244">
          <cell r="A244">
            <v>243</v>
          </cell>
          <cell r="I244">
            <v>2</v>
          </cell>
          <cell r="M244">
            <v>0.2</v>
          </cell>
        </row>
        <row r="245">
          <cell r="A245">
            <v>244</v>
          </cell>
          <cell r="I245">
            <v>2</v>
          </cell>
          <cell r="M245">
            <v>0.2</v>
          </cell>
        </row>
        <row r="246">
          <cell r="A246">
            <v>245</v>
          </cell>
          <cell r="I246">
            <v>2</v>
          </cell>
          <cell r="M246">
            <v>0.2</v>
          </cell>
        </row>
        <row r="247">
          <cell r="A247">
            <v>246</v>
          </cell>
          <cell r="I247">
            <v>2</v>
          </cell>
          <cell r="M247">
            <v>0.2</v>
          </cell>
        </row>
        <row r="248">
          <cell r="A248">
            <v>247</v>
          </cell>
          <cell r="I248">
            <v>2</v>
          </cell>
          <cell r="M248">
            <v>0.16</v>
          </cell>
        </row>
        <row r="249">
          <cell r="A249">
            <v>248</v>
          </cell>
          <cell r="I249">
            <v>2</v>
          </cell>
          <cell r="M249">
            <v>0.16</v>
          </cell>
        </row>
        <row r="250">
          <cell r="A250">
            <v>249</v>
          </cell>
          <cell r="I250">
            <v>2</v>
          </cell>
          <cell r="M250">
            <v>0.16</v>
          </cell>
        </row>
        <row r="251">
          <cell r="A251">
            <v>250</v>
          </cell>
          <cell r="I251">
            <v>2</v>
          </cell>
          <cell r="M251">
            <v>0.16</v>
          </cell>
        </row>
        <row r="252">
          <cell r="A252">
            <v>251</v>
          </cell>
          <cell r="I252">
            <v>2</v>
          </cell>
          <cell r="M252">
            <v>0.16</v>
          </cell>
        </row>
        <row r="253">
          <cell r="A253">
            <v>252</v>
          </cell>
          <cell r="I253">
            <v>2</v>
          </cell>
          <cell r="M253">
            <v>0.16</v>
          </cell>
        </row>
        <row r="254">
          <cell r="A254">
            <v>253</v>
          </cell>
          <cell r="I254">
            <v>2</v>
          </cell>
          <cell r="M254">
            <v>0.16</v>
          </cell>
        </row>
        <row r="255">
          <cell r="A255">
            <v>254</v>
          </cell>
          <cell r="I255">
            <v>2</v>
          </cell>
          <cell r="M255">
            <v>0.16</v>
          </cell>
        </row>
        <row r="256">
          <cell r="A256">
            <v>255</v>
          </cell>
          <cell r="I256">
            <v>2</v>
          </cell>
          <cell r="M256">
            <v>0.16</v>
          </cell>
        </row>
        <row r="257">
          <cell r="A257">
            <v>256</v>
          </cell>
          <cell r="I257">
            <v>3</v>
          </cell>
          <cell r="M257">
            <v>0.16</v>
          </cell>
        </row>
        <row r="258">
          <cell r="A258">
            <v>257</v>
          </cell>
          <cell r="I258">
            <v>3</v>
          </cell>
          <cell r="M258">
            <v>0.16</v>
          </cell>
        </row>
        <row r="259">
          <cell r="A259">
            <v>258</v>
          </cell>
          <cell r="I259">
            <v>3</v>
          </cell>
          <cell r="M259">
            <v>0.14000000000000001</v>
          </cell>
        </row>
        <row r="260">
          <cell r="A260">
            <v>259</v>
          </cell>
          <cell r="I260">
            <v>3</v>
          </cell>
          <cell r="M260">
            <v>0.14000000000000001</v>
          </cell>
        </row>
        <row r="261">
          <cell r="A261">
            <v>260</v>
          </cell>
          <cell r="I261">
            <v>3</v>
          </cell>
          <cell r="M261">
            <v>0.12</v>
          </cell>
        </row>
        <row r="262">
          <cell r="A262">
            <v>261</v>
          </cell>
          <cell r="I262">
            <v>3</v>
          </cell>
          <cell r="M262">
            <v>0.14000000000000001</v>
          </cell>
        </row>
        <row r="263">
          <cell r="A263">
            <v>262</v>
          </cell>
          <cell r="I263">
            <v>3</v>
          </cell>
          <cell r="M263">
            <v>0.16</v>
          </cell>
        </row>
        <row r="264">
          <cell r="A264">
            <v>263</v>
          </cell>
          <cell r="I264">
            <v>3</v>
          </cell>
          <cell r="M264">
            <v>0.16</v>
          </cell>
        </row>
        <row r="265">
          <cell r="A265">
            <v>264</v>
          </cell>
          <cell r="I265">
            <v>3</v>
          </cell>
          <cell r="M265">
            <v>0.18</v>
          </cell>
        </row>
        <row r="266">
          <cell r="A266">
            <v>265</v>
          </cell>
          <cell r="I266">
            <v>3</v>
          </cell>
          <cell r="M266">
            <v>0.2</v>
          </cell>
        </row>
        <row r="267">
          <cell r="A267">
            <v>266</v>
          </cell>
          <cell r="I267">
            <v>3</v>
          </cell>
          <cell r="M267">
            <v>0.2</v>
          </cell>
        </row>
        <row r="268">
          <cell r="A268">
            <v>267</v>
          </cell>
          <cell r="I268">
            <v>3</v>
          </cell>
          <cell r="M268">
            <v>0.22</v>
          </cell>
        </row>
        <row r="269">
          <cell r="A269">
            <v>268</v>
          </cell>
          <cell r="I269">
            <v>3</v>
          </cell>
          <cell r="M269">
            <v>0.2</v>
          </cell>
        </row>
        <row r="270">
          <cell r="A270">
            <v>269</v>
          </cell>
          <cell r="I270">
            <v>3</v>
          </cell>
          <cell r="M270">
            <v>0.2</v>
          </cell>
        </row>
        <row r="271">
          <cell r="A271">
            <v>270</v>
          </cell>
          <cell r="I271">
            <v>3</v>
          </cell>
          <cell r="M271">
            <v>0.22</v>
          </cell>
        </row>
        <row r="272">
          <cell r="A272">
            <v>271</v>
          </cell>
          <cell r="I272">
            <v>3</v>
          </cell>
          <cell r="M272">
            <v>0.2</v>
          </cell>
        </row>
        <row r="273">
          <cell r="A273">
            <v>272</v>
          </cell>
          <cell r="I273">
            <v>3</v>
          </cell>
          <cell r="M273">
            <v>0.2</v>
          </cell>
        </row>
        <row r="274">
          <cell r="A274">
            <v>273</v>
          </cell>
          <cell r="I274">
            <v>3</v>
          </cell>
          <cell r="M274">
            <v>0.18</v>
          </cell>
        </row>
        <row r="275">
          <cell r="A275">
            <v>274</v>
          </cell>
          <cell r="I275">
            <v>3</v>
          </cell>
          <cell r="M275">
            <v>0.16</v>
          </cell>
        </row>
        <row r="276">
          <cell r="A276">
            <v>275</v>
          </cell>
          <cell r="I276">
            <v>3</v>
          </cell>
          <cell r="M276">
            <v>0.16</v>
          </cell>
        </row>
        <row r="277">
          <cell r="A277">
            <v>276</v>
          </cell>
          <cell r="I277">
            <v>3</v>
          </cell>
          <cell r="M277">
            <v>0.16</v>
          </cell>
        </row>
        <row r="278">
          <cell r="A278">
            <v>277</v>
          </cell>
          <cell r="I278">
            <v>3</v>
          </cell>
          <cell r="M278">
            <v>0.14000000000000001</v>
          </cell>
        </row>
        <row r="279">
          <cell r="A279">
            <v>278</v>
          </cell>
          <cell r="I279">
            <v>4</v>
          </cell>
          <cell r="M279">
            <v>0.14000000000000001</v>
          </cell>
        </row>
        <row r="280">
          <cell r="A280">
            <v>279</v>
          </cell>
          <cell r="I280">
            <v>4</v>
          </cell>
          <cell r="M280">
            <v>0.14000000000000001</v>
          </cell>
        </row>
        <row r="281">
          <cell r="A281">
            <v>280</v>
          </cell>
          <cell r="I281">
            <v>4</v>
          </cell>
          <cell r="M281">
            <v>0.14000000000000001</v>
          </cell>
        </row>
        <row r="282">
          <cell r="A282">
            <v>281</v>
          </cell>
          <cell r="I282">
            <v>4</v>
          </cell>
          <cell r="M282">
            <v>0.14000000000000001</v>
          </cell>
        </row>
        <row r="283">
          <cell r="A283">
            <v>282</v>
          </cell>
          <cell r="I283">
            <v>4</v>
          </cell>
          <cell r="M283">
            <v>0.14000000000000001</v>
          </cell>
        </row>
        <row r="284">
          <cell r="A284">
            <v>283</v>
          </cell>
          <cell r="I284">
            <v>4</v>
          </cell>
          <cell r="M284">
            <v>0.14000000000000001</v>
          </cell>
        </row>
        <row r="285">
          <cell r="A285">
            <v>284</v>
          </cell>
          <cell r="I285">
            <v>4</v>
          </cell>
          <cell r="M285">
            <v>0.12</v>
          </cell>
        </row>
        <row r="286">
          <cell r="A286">
            <v>285</v>
          </cell>
          <cell r="I286">
            <v>4</v>
          </cell>
          <cell r="M286">
            <v>0.12</v>
          </cell>
        </row>
        <row r="287">
          <cell r="A287">
            <v>286</v>
          </cell>
          <cell r="I287">
            <v>4</v>
          </cell>
          <cell r="M287">
            <v>0.14000000000000001</v>
          </cell>
        </row>
        <row r="288">
          <cell r="A288">
            <v>287</v>
          </cell>
          <cell r="I288">
            <v>4</v>
          </cell>
          <cell r="M288">
            <v>0.14000000000000001</v>
          </cell>
        </row>
        <row r="289">
          <cell r="A289">
            <v>288</v>
          </cell>
          <cell r="I289">
            <v>4</v>
          </cell>
          <cell r="M289">
            <v>0.16</v>
          </cell>
        </row>
        <row r="290">
          <cell r="A290">
            <v>289</v>
          </cell>
          <cell r="I290">
            <v>4</v>
          </cell>
          <cell r="M290">
            <v>0.2</v>
          </cell>
        </row>
        <row r="291">
          <cell r="A291">
            <v>290</v>
          </cell>
          <cell r="I291">
            <v>4</v>
          </cell>
          <cell r="M291">
            <v>0.2</v>
          </cell>
        </row>
        <row r="292">
          <cell r="A292">
            <v>291</v>
          </cell>
          <cell r="I292">
            <v>4</v>
          </cell>
          <cell r="M292">
            <v>0.22</v>
          </cell>
        </row>
        <row r="293">
          <cell r="A293">
            <v>292</v>
          </cell>
          <cell r="I293">
            <v>4</v>
          </cell>
          <cell r="M293">
            <v>0.22</v>
          </cell>
        </row>
        <row r="294">
          <cell r="A294">
            <v>293</v>
          </cell>
          <cell r="I294">
            <v>4</v>
          </cell>
          <cell r="M294">
            <v>0.24</v>
          </cell>
        </row>
        <row r="295">
          <cell r="A295">
            <v>294</v>
          </cell>
          <cell r="I295">
            <v>4</v>
          </cell>
          <cell r="M295">
            <v>0.24</v>
          </cell>
        </row>
        <row r="296">
          <cell r="A296">
            <v>295</v>
          </cell>
          <cell r="I296">
            <v>4</v>
          </cell>
          <cell r="M296">
            <v>0.2</v>
          </cell>
        </row>
        <row r="297">
          <cell r="A297">
            <v>296</v>
          </cell>
          <cell r="I297">
            <v>4</v>
          </cell>
          <cell r="M297">
            <v>0.2</v>
          </cell>
        </row>
        <row r="298">
          <cell r="A298">
            <v>297</v>
          </cell>
          <cell r="I298">
            <v>4</v>
          </cell>
          <cell r="M298">
            <v>0.16</v>
          </cell>
        </row>
        <row r="299">
          <cell r="A299">
            <v>298</v>
          </cell>
          <cell r="I299">
            <v>4</v>
          </cell>
          <cell r="M299">
            <v>0.16</v>
          </cell>
        </row>
        <row r="300">
          <cell r="A300">
            <v>299</v>
          </cell>
          <cell r="I300">
            <v>4</v>
          </cell>
          <cell r="M300">
            <v>0.14000000000000001</v>
          </cell>
        </row>
        <row r="301">
          <cell r="A301">
            <v>300</v>
          </cell>
          <cell r="I301">
            <v>4</v>
          </cell>
          <cell r="M301">
            <v>0.14000000000000001</v>
          </cell>
        </row>
        <row r="302">
          <cell r="A302">
            <v>301</v>
          </cell>
          <cell r="I302">
            <v>4</v>
          </cell>
          <cell r="M302">
            <v>0.12</v>
          </cell>
        </row>
        <row r="303">
          <cell r="A303">
            <v>302</v>
          </cell>
          <cell r="I303">
            <v>5</v>
          </cell>
          <cell r="M303">
            <v>0.12</v>
          </cell>
        </row>
        <row r="304">
          <cell r="A304">
            <v>303</v>
          </cell>
          <cell r="I304">
            <v>5</v>
          </cell>
          <cell r="M304">
            <v>0.1</v>
          </cell>
        </row>
        <row r="305">
          <cell r="A305">
            <v>304</v>
          </cell>
          <cell r="I305">
            <v>5</v>
          </cell>
          <cell r="M305">
            <v>0.1</v>
          </cell>
        </row>
        <row r="306">
          <cell r="A306">
            <v>305</v>
          </cell>
          <cell r="I306">
            <v>5</v>
          </cell>
          <cell r="M306">
            <v>0.1</v>
          </cell>
        </row>
        <row r="307">
          <cell r="A307">
            <v>306</v>
          </cell>
          <cell r="I307">
            <v>5</v>
          </cell>
          <cell r="M307">
            <v>0.1</v>
          </cell>
        </row>
        <row r="308">
          <cell r="A308">
            <v>307</v>
          </cell>
          <cell r="I308">
            <v>5</v>
          </cell>
          <cell r="M308">
            <v>0.1</v>
          </cell>
        </row>
        <row r="309">
          <cell r="A309">
            <v>308</v>
          </cell>
          <cell r="I309">
            <v>5</v>
          </cell>
          <cell r="M309">
            <v>0.1</v>
          </cell>
        </row>
        <row r="310">
          <cell r="A310">
            <v>309</v>
          </cell>
          <cell r="I310">
            <v>5</v>
          </cell>
          <cell r="M310">
            <v>0.12</v>
          </cell>
        </row>
        <row r="311">
          <cell r="A311">
            <v>310</v>
          </cell>
          <cell r="I311">
            <v>5</v>
          </cell>
          <cell r="M311">
            <v>0.14000000000000001</v>
          </cell>
        </row>
        <row r="312">
          <cell r="A312">
            <v>311</v>
          </cell>
          <cell r="I312">
            <v>5</v>
          </cell>
          <cell r="M312">
            <v>0.18</v>
          </cell>
        </row>
        <row r="313">
          <cell r="A313">
            <v>312</v>
          </cell>
          <cell r="I313">
            <v>5</v>
          </cell>
          <cell r="M313">
            <v>0.18</v>
          </cell>
        </row>
        <row r="314">
          <cell r="A314">
            <v>313</v>
          </cell>
          <cell r="I314">
            <v>5</v>
          </cell>
          <cell r="M314">
            <v>0.2</v>
          </cell>
        </row>
        <row r="315">
          <cell r="A315">
            <v>314</v>
          </cell>
          <cell r="I315">
            <v>5</v>
          </cell>
          <cell r="M315">
            <v>0.22</v>
          </cell>
        </row>
        <row r="316">
          <cell r="A316">
            <v>315</v>
          </cell>
          <cell r="I316">
            <v>5</v>
          </cell>
          <cell r="M316">
            <v>0.22</v>
          </cell>
        </row>
        <row r="317">
          <cell r="A317">
            <v>316</v>
          </cell>
          <cell r="I317">
            <v>5</v>
          </cell>
          <cell r="M317">
            <v>0.24</v>
          </cell>
        </row>
        <row r="318">
          <cell r="A318">
            <v>317</v>
          </cell>
          <cell r="I318">
            <v>5</v>
          </cell>
          <cell r="M318">
            <v>0.22</v>
          </cell>
        </row>
        <row r="319">
          <cell r="A319">
            <v>318</v>
          </cell>
          <cell r="I319">
            <v>5</v>
          </cell>
          <cell r="M319">
            <v>0.22</v>
          </cell>
        </row>
        <row r="320">
          <cell r="A320">
            <v>319</v>
          </cell>
          <cell r="I320">
            <v>5</v>
          </cell>
          <cell r="M320">
            <v>0.2</v>
          </cell>
        </row>
        <row r="321">
          <cell r="A321">
            <v>320</v>
          </cell>
          <cell r="I321">
            <v>5</v>
          </cell>
          <cell r="M321">
            <v>0.16</v>
          </cell>
        </row>
        <row r="322">
          <cell r="A322">
            <v>321</v>
          </cell>
          <cell r="I322">
            <v>5</v>
          </cell>
          <cell r="M322">
            <v>0.18</v>
          </cell>
        </row>
        <row r="323">
          <cell r="A323">
            <v>322</v>
          </cell>
          <cell r="I323">
            <v>5</v>
          </cell>
          <cell r="M323">
            <v>0.16</v>
          </cell>
        </row>
        <row r="324">
          <cell r="A324">
            <v>323</v>
          </cell>
          <cell r="I324">
            <v>5</v>
          </cell>
          <cell r="M324">
            <v>0.16</v>
          </cell>
        </row>
        <row r="325">
          <cell r="A325">
            <v>324</v>
          </cell>
          <cell r="I325">
            <v>5</v>
          </cell>
          <cell r="M325">
            <v>0.18</v>
          </cell>
        </row>
        <row r="326">
          <cell r="A326">
            <v>325</v>
          </cell>
          <cell r="I326">
            <v>6</v>
          </cell>
          <cell r="M326">
            <v>0.18</v>
          </cell>
        </row>
        <row r="327">
          <cell r="A327">
            <v>326</v>
          </cell>
          <cell r="I327">
            <v>6</v>
          </cell>
          <cell r="M327">
            <v>0.16</v>
          </cell>
        </row>
        <row r="328">
          <cell r="A328">
            <v>327</v>
          </cell>
          <cell r="I328">
            <v>6</v>
          </cell>
          <cell r="M328">
            <v>0.16</v>
          </cell>
        </row>
        <row r="329">
          <cell r="A329">
            <v>328</v>
          </cell>
          <cell r="I329">
            <v>6</v>
          </cell>
          <cell r="M329">
            <v>0.16</v>
          </cell>
        </row>
        <row r="330">
          <cell r="A330">
            <v>329</v>
          </cell>
          <cell r="I330">
            <v>6</v>
          </cell>
          <cell r="M330">
            <v>0.16</v>
          </cell>
        </row>
        <row r="331">
          <cell r="A331">
            <v>330</v>
          </cell>
          <cell r="I331">
            <v>6</v>
          </cell>
          <cell r="M331">
            <v>0.16</v>
          </cell>
        </row>
        <row r="332">
          <cell r="A332">
            <v>331</v>
          </cell>
          <cell r="I332">
            <v>6</v>
          </cell>
          <cell r="M332">
            <v>0.14000000000000001</v>
          </cell>
        </row>
        <row r="333">
          <cell r="A333">
            <v>332</v>
          </cell>
          <cell r="I333">
            <v>6</v>
          </cell>
          <cell r="M333">
            <v>0.14000000000000001</v>
          </cell>
        </row>
        <row r="334">
          <cell r="A334">
            <v>333</v>
          </cell>
          <cell r="I334">
            <v>6</v>
          </cell>
          <cell r="M334">
            <v>0.14000000000000001</v>
          </cell>
        </row>
        <row r="335">
          <cell r="A335">
            <v>334</v>
          </cell>
          <cell r="I335">
            <v>6</v>
          </cell>
          <cell r="M335">
            <v>0.16</v>
          </cell>
        </row>
        <row r="336">
          <cell r="A336">
            <v>335</v>
          </cell>
          <cell r="I336">
            <v>6</v>
          </cell>
          <cell r="M336">
            <v>0.18</v>
          </cell>
        </row>
        <row r="337">
          <cell r="A337">
            <v>336</v>
          </cell>
          <cell r="I337">
            <v>6</v>
          </cell>
          <cell r="M337">
            <v>0.2</v>
          </cell>
        </row>
        <row r="338">
          <cell r="A338">
            <v>337</v>
          </cell>
          <cell r="I338">
            <v>6</v>
          </cell>
          <cell r="M338">
            <v>0.24</v>
          </cell>
        </row>
        <row r="339">
          <cell r="A339">
            <v>338</v>
          </cell>
          <cell r="I339">
            <v>6</v>
          </cell>
          <cell r="M339">
            <v>0.28000000000000003</v>
          </cell>
        </row>
        <row r="340">
          <cell r="A340">
            <v>339</v>
          </cell>
          <cell r="I340">
            <v>6</v>
          </cell>
          <cell r="M340">
            <v>0.3</v>
          </cell>
        </row>
        <row r="341">
          <cell r="A341">
            <v>340</v>
          </cell>
          <cell r="I341">
            <v>6</v>
          </cell>
          <cell r="M341">
            <v>0.32</v>
          </cell>
        </row>
        <row r="342">
          <cell r="A342">
            <v>341</v>
          </cell>
          <cell r="I342">
            <v>6</v>
          </cell>
          <cell r="M342">
            <v>0.34</v>
          </cell>
        </row>
        <row r="343">
          <cell r="A343">
            <v>342</v>
          </cell>
          <cell r="I343">
            <v>6</v>
          </cell>
          <cell r="M343">
            <v>0.32</v>
          </cell>
        </row>
        <row r="344">
          <cell r="A344">
            <v>343</v>
          </cell>
          <cell r="I344">
            <v>6</v>
          </cell>
          <cell r="M344">
            <v>0.3</v>
          </cell>
        </row>
        <row r="345">
          <cell r="A345">
            <v>344</v>
          </cell>
          <cell r="I345">
            <v>6</v>
          </cell>
          <cell r="M345">
            <v>0.32</v>
          </cell>
        </row>
        <row r="346">
          <cell r="A346">
            <v>345</v>
          </cell>
          <cell r="I346">
            <v>6</v>
          </cell>
          <cell r="M346">
            <v>0.32</v>
          </cell>
        </row>
        <row r="347">
          <cell r="A347">
            <v>346</v>
          </cell>
          <cell r="I347">
            <v>6</v>
          </cell>
          <cell r="M347">
            <v>0.32</v>
          </cell>
        </row>
        <row r="348">
          <cell r="A348">
            <v>347</v>
          </cell>
          <cell r="I348">
            <v>6</v>
          </cell>
          <cell r="M348">
            <v>0.3</v>
          </cell>
        </row>
        <row r="349">
          <cell r="A349">
            <v>348</v>
          </cell>
          <cell r="I349">
            <v>6</v>
          </cell>
          <cell r="M349">
            <v>0.3</v>
          </cell>
        </row>
        <row r="350">
          <cell r="A350">
            <v>349</v>
          </cell>
          <cell r="I350">
            <v>0</v>
          </cell>
          <cell r="M350">
            <v>0.26</v>
          </cell>
        </row>
        <row r="351">
          <cell r="A351">
            <v>350</v>
          </cell>
          <cell r="I351">
            <v>0</v>
          </cell>
          <cell r="M351">
            <v>0.26</v>
          </cell>
        </row>
        <row r="352">
          <cell r="A352">
            <v>351</v>
          </cell>
          <cell r="I352">
            <v>0</v>
          </cell>
          <cell r="M352">
            <v>0.26</v>
          </cell>
        </row>
        <row r="353">
          <cell r="A353">
            <v>352</v>
          </cell>
          <cell r="I353">
            <v>0</v>
          </cell>
          <cell r="M353">
            <v>0.22</v>
          </cell>
        </row>
        <row r="354">
          <cell r="A354">
            <v>353</v>
          </cell>
          <cell r="I354">
            <v>0</v>
          </cell>
          <cell r="M354">
            <v>0.26</v>
          </cell>
        </row>
        <row r="355">
          <cell r="A355">
            <v>354</v>
          </cell>
          <cell r="I355">
            <v>0</v>
          </cell>
          <cell r="M355">
            <v>0.26</v>
          </cell>
        </row>
        <row r="356">
          <cell r="A356">
            <v>355</v>
          </cell>
          <cell r="I356">
            <v>0</v>
          </cell>
          <cell r="M356">
            <v>0.26</v>
          </cell>
        </row>
        <row r="357">
          <cell r="A357">
            <v>356</v>
          </cell>
          <cell r="I357">
            <v>0</v>
          </cell>
          <cell r="M357">
            <v>0.24</v>
          </cell>
        </row>
        <row r="358">
          <cell r="A358">
            <v>357</v>
          </cell>
          <cell r="I358">
            <v>0</v>
          </cell>
          <cell r="M358">
            <v>0.22</v>
          </cell>
        </row>
        <row r="359">
          <cell r="A359">
            <v>358</v>
          </cell>
          <cell r="I359">
            <v>0</v>
          </cell>
          <cell r="M359">
            <v>0.22</v>
          </cell>
        </row>
        <row r="360">
          <cell r="A360">
            <v>359</v>
          </cell>
          <cell r="I360">
            <v>0</v>
          </cell>
          <cell r="M360">
            <v>0.22</v>
          </cell>
        </row>
        <row r="361">
          <cell r="A361">
            <v>360</v>
          </cell>
          <cell r="I361">
            <v>0</v>
          </cell>
          <cell r="M361">
            <v>0.24</v>
          </cell>
        </row>
        <row r="362">
          <cell r="A362">
            <v>361</v>
          </cell>
          <cell r="I362">
            <v>0</v>
          </cell>
          <cell r="M362">
            <v>0.24</v>
          </cell>
        </row>
        <row r="363">
          <cell r="A363">
            <v>362</v>
          </cell>
          <cell r="I363">
            <v>0</v>
          </cell>
          <cell r="M363">
            <v>0.26</v>
          </cell>
        </row>
        <row r="364">
          <cell r="A364">
            <v>363</v>
          </cell>
          <cell r="I364">
            <v>0</v>
          </cell>
          <cell r="M364">
            <v>0.28000000000000003</v>
          </cell>
        </row>
        <row r="365">
          <cell r="A365">
            <v>364</v>
          </cell>
          <cell r="I365">
            <v>0</v>
          </cell>
          <cell r="M365">
            <v>0.26</v>
          </cell>
        </row>
        <row r="366">
          <cell r="A366">
            <v>365</v>
          </cell>
          <cell r="I366">
            <v>0</v>
          </cell>
          <cell r="M366">
            <v>0.24</v>
          </cell>
        </row>
        <row r="367">
          <cell r="A367">
            <v>366</v>
          </cell>
          <cell r="I367">
            <v>0</v>
          </cell>
          <cell r="M367">
            <v>0.22</v>
          </cell>
        </row>
        <row r="368">
          <cell r="A368">
            <v>367</v>
          </cell>
          <cell r="I368">
            <v>0</v>
          </cell>
          <cell r="M368">
            <v>0.2</v>
          </cell>
        </row>
        <row r="369">
          <cell r="A369">
            <v>368</v>
          </cell>
          <cell r="I369">
            <v>0</v>
          </cell>
          <cell r="M369">
            <v>0.18</v>
          </cell>
        </row>
        <row r="370">
          <cell r="A370">
            <v>369</v>
          </cell>
          <cell r="I370">
            <v>0</v>
          </cell>
          <cell r="M370">
            <v>0.18</v>
          </cell>
        </row>
        <row r="371">
          <cell r="A371">
            <v>370</v>
          </cell>
          <cell r="I371">
            <v>0</v>
          </cell>
          <cell r="M371">
            <v>0.18</v>
          </cell>
        </row>
        <row r="372">
          <cell r="A372">
            <v>371</v>
          </cell>
          <cell r="I372">
            <v>0</v>
          </cell>
          <cell r="M372">
            <v>0.2</v>
          </cell>
        </row>
        <row r="373">
          <cell r="A373">
            <v>372</v>
          </cell>
          <cell r="I373">
            <v>0</v>
          </cell>
          <cell r="M373">
            <v>0.2</v>
          </cell>
        </row>
        <row r="374">
          <cell r="A374">
            <v>373</v>
          </cell>
          <cell r="I374">
            <v>1</v>
          </cell>
          <cell r="M374">
            <v>0.2</v>
          </cell>
        </row>
        <row r="375">
          <cell r="A375">
            <v>374</v>
          </cell>
          <cell r="I375">
            <v>1</v>
          </cell>
          <cell r="M375">
            <v>0.2</v>
          </cell>
        </row>
        <row r="376">
          <cell r="A376">
            <v>375</v>
          </cell>
          <cell r="I376">
            <v>1</v>
          </cell>
          <cell r="M376">
            <v>0.18</v>
          </cell>
        </row>
        <row r="377">
          <cell r="A377">
            <v>376</v>
          </cell>
          <cell r="I377">
            <v>1</v>
          </cell>
          <cell r="M377">
            <v>0.18</v>
          </cell>
        </row>
        <row r="378">
          <cell r="A378">
            <v>377</v>
          </cell>
          <cell r="I378">
            <v>1</v>
          </cell>
          <cell r="M378">
            <v>0.18</v>
          </cell>
        </row>
        <row r="379">
          <cell r="A379">
            <v>378</v>
          </cell>
          <cell r="I379">
            <v>1</v>
          </cell>
          <cell r="M379">
            <v>0.18</v>
          </cell>
        </row>
        <row r="380">
          <cell r="A380">
            <v>379</v>
          </cell>
          <cell r="I380">
            <v>1</v>
          </cell>
          <cell r="M380">
            <v>0.18</v>
          </cell>
        </row>
        <row r="381">
          <cell r="A381">
            <v>380</v>
          </cell>
          <cell r="I381">
            <v>1</v>
          </cell>
          <cell r="M381">
            <v>0.16</v>
          </cell>
        </row>
        <row r="382">
          <cell r="A382">
            <v>381</v>
          </cell>
          <cell r="I382">
            <v>1</v>
          </cell>
          <cell r="M382">
            <v>0.16</v>
          </cell>
        </row>
        <row r="383">
          <cell r="A383">
            <v>382</v>
          </cell>
          <cell r="I383">
            <v>1</v>
          </cell>
          <cell r="M383">
            <v>0.16</v>
          </cell>
        </row>
        <row r="384">
          <cell r="A384">
            <v>383</v>
          </cell>
          <cell r="I384">
            <v>1</v>
          </cell>
          <cell r="M384">
            <v>0.16</v>
          </cell>
        </row>
        <row r="385">
          <cell r="A385">
            <v>384</v>
          </cell>
          <cell r="I385">
            <v>1</v>
          </cell>
          <cell r="M385">
            <v>0.16</v>
          </cell>
        </row>
        <row r="386">
          <cell r="A386">
            <v>385</v>
          </cell>
          <cell r="I386">
            <v>1</v>
          </cell>
          <cell r="M386">
            <v>0.18</v>
          </cell>
        </row>
        <row r="387">
          <cell r="A387">
            <v>386</v>
          </cell>
          <cell r="I387">
            <v>1</v>
          </cell>
          <cell r="M387">
            <v>0.18</v>
          </cell>
        </row>
        <row r="388">
          <cell r="A388">
            <v>387</v>
          </cell>
          <cell r="I388">
            <v>1</v>
          </cell>
          <cell r="M388">
            <v>0.18</v>
          </cell>
        </row>
        <row r="389">
          <cell r="A389">
            <v>388</v>
          </cell>
          <cell r="I389">
            <v>1</v>
          </cell>
          <cell r="M389">
            <v>0.2</v>
          </cell>
        </row>
        <row r="390">
          <cell r="A390">
            <v>389</v>
          </cell>
          <cell r="I390">
            <v>1</v>
          </cell>
          <cell r="M390">
            <v>0.2</v>
          </cell>
        </row>
        <row r="391">
          <cell r="A391">
            <v>390</v>
          </cell>
          <cell r="I391">
            <v>1</v>
          </cell>
          <cell r="M391">
            <v>0.2</v>
          </cell>
        </row>
        <row r="392">
          <cell r="A392">
            <v>391</v>
          </cell>
          <cell r="I392">
            <v>1</v>
          </cell>
          <cell r="M392">
            <v>0.18</v>
          </cell>
        </row>
        <row r="393">
          <cell r="A393">
            <v>392</v>
          </cell>
          <cell r="I393">
            <v>1</v>
          </cell>
          <cell r="M393">
            <v>0.18</v>
          </cell>
        </row>
        <row r="394">
          <cell r="A394">
            <v>393</v>
          </cell>
          <cell r="I394">
            <v>1</v>
          </cell>
          <cell r="M394">
            <v>0.16</v>
          </cell>
        </row>
        <row r="395">
          <cell r="A395">
            <v>394</v>
          </cell>
          <cell r="I395">
            <v>1</v>
          </cell>
          <cell r="M395">
            <v>0.16</v>
          </cell>
        </row>
        <row r="396">
          <cell r="A396">
            <v>395</v>
          </cell>
          <cell r="I396">
            <v>1</v>
          </cell>
          <cell r="M396">
            <v>0.14000000000000001</v>
          </cell>
        </row>
        <row r="397">
          <cell r="A397">
            <v>396</v>
          </cell>
          <cell r="I397">
            <v>1</v>
          </cell>
          <cell r="M397">
            <v>0.16</v>
          </cell>
        </row>
        <row r="398">
          <cell r="A398">
            <v>397</v>
          </cell>
          <cell r="I398">
            <v>2</v>
          </cell>
          <cell r="M398">
            <v>0.2</v>
          </cell>
        </row>
        <row r="399">
          <cell r="A399">
            <v>398</v>
          </cell>
          <cell r="I399">
            <v>2</v>
          </cell>
          <cell r="M399">
            <v>0.2</v>
          </cell>
        </row>
        <row r="400">
          <cell r="A400">
            <v>399</v>
          </cell>
          <cell r="I400">
            <v>2</v>
          </cell>
          <cell r="M400">
            <v>0.22</v>
          </cell>
        </row>
        <row r="401">
          <cell r="A401">
            <v>400</v>
          </cell>
          <cell r="I401">
            <v>2</v>
          </cell>
          <cell r="M401">
            <v>0.22</v>
          </cell>
        </row>
        <row r="402">
          <cell r="A402">
            <v>401</v>
          </cell>
          <cell r="I402">
            <v>2</v>
          </cell>
          <cell r="M402">
            <v>0.22</v>
          </cell>
        </row>
        <row r="403">
          <cell r="A403">
            <v>402</v>
          </cell>
          <cell r="I403">
            <v>2</v>
          </cell>
          <cell r="M403">
            <v>0.22</v>
          </cell>
        </row>
        <row r="404">
          <cell r="A404">
            <v>403</v>
          </cell>
          <cell r="I404">
            <v>2</v>
          </cell>
          <cell r="M404">
            <v>0.22</v>
          </cell>
        </row>
        <row r="405">
          <cell r="A405">
            <v>404</v>
          </cell>
          <cell r="I405">
            <v>2</v>
          </cell>
          <cell r="M405">
            <v>0.22</v>
          </cell>
        </row>
        <row r="406">
          <cell r="A406">
            <v>405</v>
          </cell>
          <cell r="I406">
            <v>2</v>
          </cell>
          <cell r="M406">
            <v>0.22</v>
          </cell>
        </row>
        <row r="407">
          <cell r="A407">
            <v>406</v>
          </cell>
          <cell r="I407">
            <v>2</v>
          </cell>
          <cell r="M407">
            <v>0.22</v>
          </cell>
        </row>
        <row r="408">
          <cell r="A408">
            <v>407</v>
          </cell>
          <cell r="I408">
            <v>2</v>
          </cell>
          <cell r="M408">
            <v>0.22</v>
          </cell>
        </row>
        <row r="409">
          <cell r="A409">
            <v>408</v>
          </cell>
          <cell r="I409">
            <v>2</v>
          </cell>
          <cell r="M409">
            <v>0.22</v>
          </cell>
        </row>
        <row r="410">
          <cell r="A410">
            <v>409</v>
          </cell>
          <cell r="I410">
            <v>3</v>
          </cell>
          <cell r="M410">
            <v>0.22</v>
          </cell>
        </row>
        <row r="411">
          <cell r="A411">
            <v>410</v>
          </cell>
          <cell r="I411">
            <v>3</v>
          </cell>
          <cell r="M411">
            <v>0.22</v>
          </cell>
        </row>
        <row r="412">
          <cell r="A412">
            <v>411</v>
          </cell>
          <cell r="I412">
            <v>3</v>
          </cell>
          <cell r="M412">
            <v>0.22</v>
          </cell>
        </row>
        <row r="413">
          <cell r="A413">
            <v>412</v>
          </cell>
          <cell r="I413">
            <v>3</v>
          </cell>
          <cell r="M413">
            <v>0.22</v>
          </cell>
        </row>
        <row r="414">
          <cell r="A414">
            <v>413</v>
          </cell>
          <cell r="I414">
            <v>3</v>
          </cell>
          <cell r="M414">
            <v>0.22</v>
          </cell>
        </row>
        <row r="415">
          <cell r="A415">
            <v>414</v>
          </cell>
          <cell r="I415">
            <v>3</v>
          </cell>
          <cell r="M415">
            <v>0.22</v>
          </cell>
        </row>
        <row r="416">
          <cell r="A416">
            <v>415</v>
          </cell>
          <cell r="I416">
            <v>3</v>
          </cell>
          <cell r="M416">
            <v>0.24</v>
          </cell>
        </row>
        <row r="417">
          <cell r="A417">
            <v>416</v>
          </cell>
          <cell r="I417">
            <v>3</v>
          </cell>
          <cell r="M417">
            <v>0.24</v>
          </cell>
        </row>
        <row r="418">
          <cell r="A418">
            <v>417</v>
          </cell>
          <cell r="I418">
            <v>3</v>
          </cell>
          <cell r="M418">
            <v>0.24</v>
          </cell>
        </row>
        <row r="419">
          <cell r="A419">
            <v>418</v>
          </cell>
          <cell r="I419">
            <v>3</v>
          </cell>
          <cell r="M419">
            <v>0.26</v>
          </cell>
        </row>
        <row r="420">
          <cell r="A420">
            <v>419</v>
          </cell>
          <cell r="I420">
            <v>3</v>
          </cell>
          <cell r="M420">
            <v>0.28000000000000003</v>
          </cell>
        </row>
        <row r="421">
          <cell r="A421">
            <v>420</v>
          </cell>
          <cell r="I421">
            <v>3</v>
          </cell>
          <cell r="M421">
            <v>0.3</v>
          </cell>
        </row>
        <row r="422">
          <cell r="A422">
            <v>421</v>
          </cell>
          <cell r="I422">
            <v>3</v>
          </cell>
          <cell r="M422">
            <v>0.4</v>
          </cell>
        </row>
        <row r="423">
          <cell r="A423">
            <v>422</v>
          </cell>
          <cell r="I423">
            <v>3</v>
          </cell>
          <cell r="M423">
            <v>0.4</v>
          </cell>
        </row>
        <row r="424">
          <cell r="A424">
            <v>423</v>
          </cell>
          <cell r="I424">
            <v>3</v>
          </cell>
          <cell r="M424">
            <v>0.4</v>
          </cell>
        </row>
        <row r="425">
          <cell r="A425">
            <v>424</v>
          </cell>
          <cell r="I425">
            <v>3</v>
          </cell>
          <cell r="M425">
            <v>0.38</v>
          </cell>
        </row>
        <row r="426">
          <cell r="A426">
            <v>425</v>
          </cell>
          <cell r="I426">
            <v>3</v>
          </cell>
          <cell r="M426">
            <v>0.36</v>
          </cell>
        </row>
        <row r="427">
          <cell r="A427">
            <v>426</v>
          </cell>
          <cell r="I427">
            <v>3</v>
          </cell>
          <cell r="M427">
            <v>0.34</v>
          </cell>
        </row>
        <row r="428">
          <cell r="A428">
            <v>427</v>
          </cell>
          <cell r="I428">
            <v>3</v>
          </cell>
          <cell r="M428">
            <v>0.32</v>
          </cell>
        </row>
        <row r="429">
          <cell r="A429">
            <v>428</v>
          </cell>
          <cell r="I429">
            <v>3</v>
          </cell>
          <cell r="M429">
            <v>0.32</v>
          </cell>
        </row>
        <row r="430">
          <cell r="A430">
            <v>429</v>
          </cell>
          <cell r="I430">
            <v>3</v>
          </cell>
          <cell r="M430">
            <v>0.32</v>
          </cell>
        </row>
        <row r="431">
          <cell r="A431">
            <v>430</v>
          </cell>
          <cell r="I431">
            <v>3</v>
          </cell>
          <cell r="M431">
            <v>0.3</v>
          </cell>
        </row>
        <row r="432">
          <cell r="A432">
            <v>431</v>
          </cell>
          <cell r="I432">
            <v>3</v>
          </cell>
          <cell r="M432">
            <v>0.3</v>
          </cell>
        </row>
        <row r="433">
          <cell r="A433">
            <v>432</v>
          </cell>
          <cell r="I433">
            <v>4</v>
          </cell>
          <cell r="M433">
            <v>0.26</v>
          </cell>
        </row>
        <row r="434">
          <cell r="A434">
            <v>433</v>
          </cell>
          <cell r="I434">
            <v>4</v>
          </cell>
          <cell r="M434">
            <v>0.26</v>
          </cell>
        </row>
        <row r="435">
          <cell r="A435">
            <v>434</v>
          </cell>
          <cell r="I435">
            <v>4</v>
          </cell>
          <cell r="M435">
            <v>0.26</v>
          </cell>
        </row>
        <row r="436">
          <cell r="A436">
            <v>435</v>
          </cell>
          <cell r="I436">
            <v>4</v>
          </cell>
          <cell r="M436">
            <v>0.26</v>
          </cell>
        </row>
        <row r="437">
          <cell r="A437">
            <v>436</v>
          </cell>
          <cell r="I437">
            <v>4</v>
          </cell>
          <cell r="M437">
            <v>0.26</v>
          </cell>
        </row>
        <row r="438">
          <cell r="A438">
            <v>437</v>
          </cell>
          <cell r="I438">
            <v>4</v>
          </cell>
          <cell r="M438">
            <v>0.24</v>
          </cell>
        </row>
        <row r="439">
          <cell r="A439">
            <v>438</v>
          </cell>
          <cell r="I439">
            <v>4</v>
          </cell>
          <cell r="M439">
            <v>0.22</v>
          </cell>
        </row>
        <row r="440">
          <cell r="A440">
            <v>439</v>
          </cell>
          <cell r="I440">
            <v>4</v>
          </cell>
          <cell r="M440">
            <v>0.22</v>
          </cell>
        </row>
        <row r="441">
          <cell r="A441">
            <v>440</v>
          </cell>
          <cell r="I441">
            <v>4</v>
          </cell>
          <cell r="M441">
            <v>0.22</v>
          </cell>
        </row>
        <row r="442">
          <cell r="A442">
            <v>441</v>
          </cell>
          <cell r="I442">
            <v>4</v>
          </cell>
          <cell r="M442">
            <v>0.24</v>
          </cell>
        </row>
        <row r="443">
          <cell r="A443">
            <v>442</v>
          </cell>
          <cell r="I443">
            <v>4</v>
          </cell>
          <cell r="M443">
            <v>0.26</v>
          </cell>
        </row>
        <row r="444">
          <cell r="A444">
            <v>443</v>
          </cell>
          <cell r="I444">
            <v>4</v>
          </cell>
          <cell r="M444">
            <v>0.28000000000000003</v>
          </cell>
        </row>
        <row r="445">
          <cell r="A445">
            <v>444</v>
          </cell>
          <cell r="I445">
            <v>4</v>
          </cell>
          <cell r="M445">
            <v>0.3</v>
          </cell>
        </row>
        <row r="446">
          <cell r="A446">
            <v>445</v>
          </cell>
          <cell r="I446">
            <v>4</v>
          </cell>
          <cell r="M446">
            <v>0.28000000000000003</v>
          </cell>
        </row>
        <row r="447">
          <cell r="A447">
            <v>446</v>
          </cell>
          <cell r="I447">
            <v>4</v>
          </cell>
          <cell r="M447">
            <v>0.3</v>
          </cell>
        </row>
        <row r="448">
          <cell r="A448">
            <v>447</v>
          </cell>
          <cell r="I448">
            <v>4</v>
          </cell>
          <cell r="M448">
            <v>0.32</v>
          </cell>
        </row>
        <row r="449">
          <cell r="A449">
            <v>448</v>
          </cell>
          <cell r="I449">
            <v>4</v>
          </cell>
          <cell r="M449">
            <v>0.3</v>
          </cell>
        </row>
        <row r="450">
          <cell r="A450">
            <v>449</v>
          </cell>
          <cell r="I450">
            <v>4</v>
          </cell>
          <cell r="M450">
            <v>0.3</v>
          </cell>
        </row>
        <row r="451">
          <cell r="A451">
            <v>450</v>
          </cell>
          <cell r="I451">
            <v>4</v>
          </cell>
          <cell r="M451">
            <v>0.26</v>
          </cell>
        </row>
        <row r="452">
          <cell r="A452">
            <v>451</v>
          </cell>
          <cell r="I452">
            <v>4</v>
          </cell>
          <cell r="M452">
            <v>0.26</v>
          </cell>
        </row>
        <row r="453">
          <cell r="A453">
            <v>452</v>
          </cell>
          <cell r="I453">
            <v>4</v>
          </cell>
          <cell r="M453">
            <v>0.26</v>
          </cell>
        </row>
        <row r="454">
          <cell r="A454">
            <v>453</v>
          </cell>
          <cell r="I454">
            <v>4</v>
          </cell>
          <cell r="M454">
            <v>0.24</v>
          </cell>
        </row>
        <row r="455">
          <cell r="A455">
            <v>454</v>
          </cell>
          <cell r="I455">
            <v>4</v>
          </cell>
          <cell r="M455">
            <v>0.24</v>
          </cell>
        </row>
        <row r="456">
          <cell r="A456">
            <v>455</v>
          </cell>
          <cell r="I456">
            <v>4</v>
          </cell>
          <cell r="M456">
            <v>0.24</v>
          </cell>
        </row>
        <row r="457">
          <cell r="A457">
            <v>456</v>
          </cell>
          <cell r="I457">
            <v>5</v>
          </cell>
          <cell r="M457">
            <v>0.24</v>
          </cell>
        </row>
        <row r="458">
          <cell r="A458">
            <v>457</v>
          </cell>
          <cell r="I458">
            <v>5</v>
          </cell>
          <cell r="M458">
            <v>0.24</v>
          </cell>
        </row>
        <row r="459">
          <cell r="A459">
            <v>458</v>
          </cell>
          <cell r="I459">
            <v>5</v>
          </cell>
          <cell r="M459">
            <v>0.24</v>
          </cell>
        </row>
        <row r="460">
          <cell r="A460">
            <v>459</v>
          </cell>
          <cell r="I460">
            <v>5</v>
          </cell>
          <cell r="M460">
            <v>0.22</v>
          </cell>
        </row>
        <row r="461">
          <cell r="A461">
            <v>460</v>
          </cell>
          <cell r="I461">
            <v>5</v>
          </cell>
          <cell r="M461">
            <v>0.22</v>
          </cell>
        </row>
        <row r="462">
          <cell r="A462">
            <v>461</v>
          </cell>
          <cell r="I462">
            <v>5</v>
          </cell>
          <cell r="M462">
            <v>0.24</v>
          </cell>
        </row>
        <row r="463">
          <cell r="A463">
            <v>462</v>
          </cell>
          <cell r="I463">
            <v>5</v>
          </cell>
          <cell r="M463">
            <v>0.22</v>
          </cell>
        </row>
        <row r="464">
          <cell r="A464">
            <v>463</v>
          </cell>
          <cell r="I464">
            <v>5</v>
          </cell>
          <cell r="M464">
            <v>0.2</v>
          </cell>
        </row>
        <row r="465">
          <cell r="A465">
            <v>464</v>
          </cell>
          <cell r="I465">
            <v>5</v>
          </cell>
          <cell r="M465">
            <v>0.2</v>
          </cell>
        </row>
        <row r="466">
          <cell r="A466">
            <v>465</v>
          </cell>
          <cell r="I466">
            <v>5</v>
          </cell>
          <cell r="M466">
            <v>0.2</v>
          </cell>
        </row>
        <row r="467">
          <cell r="A467">
            <v>466</v>
          </cell>
          <cell r="I467">
            <v>5</v>
          </cell>
          <cell r="M467">
            <v>0.2</v>
          </cell>
        </row>
        <row r="468">
          <cell r="A468">
            <v>467</v>
          </cell>
          <cell r="I468">
            <v>5</v>
          </cell>
          <cell r="M468">
            <v>0.22</v>
          </cell>
        </row>
        <row r="469">
          <cell r="A469">
            <v>468</v>
          </cell>
          <cell r="I469">
            <v>5</v>
          </cell>
          <cell r="M469">
            <v>0.22</v>
          </cell>
        </row>
        <row r="470">
          <cell r="A470">
            <v>469</v>
          </cell>
          <cell r="I470">
            <v>5</v>
          </cell>
          <cell r="M470">
            <v>0.2</v>
          </cell>
        </row>
        <row r="471">
          <cell r="A471">
            <v>470</v>
          </cell>
          <cell r="I471">
            <v>5</v>
          </cell>
          <cell r="M471">
            <v>0.2</v>
          </cell>
        </row>
        <row r="472">
          <cell r="A472">
            <v>471</v>
          </cell>
          <cell r="I472">
            <v>5</v>
          </cell>
          <cell r="M472">
            <v>0.16</v>
          </cell>
        </row>
        <row r="473">
          <cell r="A473">
            <v>472</v>
          </cell>
          <cell r="I473">
            <v>5</v>
          </cell>
          <cell r="M473">
            <v>0.16</v>
          </cell>
        </row>
        <row r="474">
          <cell r="A474">
            <v>473</v>
          </cell>
          <cell r="I474">
            <v>5</v>
          </cell>
          <cell r="M474">
            <v>0.14000000000000001</v>
          </cell>
        </row>
        <row r="475">
          <cell r="A475">
            <v>474</v>
          </cell>
          <cell r="I475">
            <v>5</v>
          </cell>
          <cell r="M475">
            <v>0.12</v>
          </cell>
        </row>
        <row r="476">
          <cell r="A476">
            <v>475</v>
          </cell>
          <cell r="I476">
            <v>5</v>
          </cell>
          <cell r="M476">
            <v>0.12</v>
          </cell>
        </row>
        <row r="477">
          <cell r="A477">
            <v>476</v>
          </cell>
          <cell r="I477">
            <v>5</v>
          </cell>
          <cell r="M477">
            <v>0.1</v>
          </cell>
        </row>
        <row r="478">
          <cell r="A478">
            <v>477</v>
          </cell>
          <cell r="I478">
            <v>5</v>
          </cell>
          <cell r="M478">
            <v>0.08</v>
          </cell>
        </row>
        <row r="479">
          <cell r="A479">
            <v>478</v>
          </cell>
          <cell r="I479">
            <v>5</v>
          </cell>
          <cell r="M479">
            <v>0.06</v>
          </cell>
        </row>
        <row r="480">
          <cell r="A480">
            <v>479</v>
          </cell>
          <cell r="I480">
            <v>5</v>
          </cell>
          <cell r="M480">
            <v>0.06</v>
          </cell>
        </row>
        <row r="481">
          <cell r="A481">
            <v>480</v>
          </cell>
          <cell r="I481">
            <v>6</v>
          </cell>
          <cell r="M481">
            <v>0.04</v>
          </cell>
        </row>
        <row r="482">
          <cell r="A482">
            <v>481</v>
          </cell>
          <cell r="I482">
            <v>6</v>
          </cell>
          <cell r="M482">
            <v>0.04</v>
          </cell>
        </row>
        <row r="483">
          <cell r="A483">
            <v>482</v>
          </cell>
          <cell r="I483">
            <v>6</v>
          </cell>
          <cell r="M483">
            <v>0.04</v>
          </cell>
        </row>
        <row r="484">
          <cell r="A484">
            <v>483</v>
          </cell>
          <cell r="I484">
            <v>6</v>
          </cell>
          <cell r="M484">
            <v>0.04</v>
          </cell>
        </row>
        <row r="485">
          <cell r="A485">
            <v>484</v>
          </cell>
          <cell r="I485">
            <v>6</v>
          </cell>
          <cell r="M485">
            <v>0.02</v>
          </cell>
        </row>
        <row r="486">
          <cell r="A486">
            <v>485</v>
          </cell>
          <cell r="I486">
            <v>6</v>
          </cell>
          <cell r="M486">
            <v>0.02</v>
          </cell>
        </row>
        <row r="487">
          <cell r="A487">
            <v>486</v>
          </cell>
          <cell r="I487">
            <v>6</v>
          </cell>
          <cell r="M487">
            <v>0.02</v>
          </cell>
        </row>
        <row r="488">
          <cell r="A488">
            <v>487</v>
          </cell>
          <cell r="I488">
            <v>6</v>
          </cell>
          <cell r="M488">
            <v>0.02</v>
          </cell>
        </row>
        <row r="489">
          <cell r="A489">
            <v>488</v>
          </cell>
          <cell r="I489">
            <v>6</v>
          </cell>
          <cell r="M489">
            <v>0.04</v>
          </cell>
        </row>
        <row r="490">
          <cell r="A490">
            <v>489</v>
          </cell>
          <cell r="I490">
            <v>6</v>
          </cell>
          <cell r="M490">
            <v>0.04</v>
          </cell>
        </row>
        <row r="491">
          <cell r="A491">
            <v>490</v>
          </cell>
          <cell r="I491">
            <v>6</v>
          </cell>
          <cell r="M491">
            <v>0.06</v>
          </cell>
        </row>
        <row r="492">
          <cell r="A492">
            <v>491</v>
          </cell>
          <cell r="I492">
            <v>6</v>
          </cell>
          <cell r="M492">
            <v>0.06</v>
          </cell>
        </row>
        <row r="493">
          <cell r="A493">
            <v>492</v>
          </cell>
          <cell r="I493">
            <v>6</v>
          </cell>
          <cell r="M493">
            <v>0.08</v>
          </cell>
        </row>
        <row r="494">
          <cell r="A494">
            <v>493</v>
          </cell>
          <cell r="I494">
            <v>6</v>
          </cell>
          <cell r="M494">
            <v>0.1</v>
          </cell>
        </row>
        <row r="495">
          <cell r="A495">
            <v>494</v>
          </cell>
          <cell r="I495">
            <v>6</v>
          </cell>
          <cell r="M495">
            <v>0.12</v>
          </cell>
        </row>
        <row r="496">
          <cell r="A496">
            <v>495</v>
          </cell>
          <cell r="I496">
            <v>6</v>
          </cell>
          <cell r="M496">
            <v>0.12</v>
          </cell>
        </row>
        <row r="497">
          <cell r="A497">
            <v>496</v>
          </cell>
          <cell r="I497">
            <v>6</v>
          </cell>
          <cell r="M497">
            <v>0.12</v>
          </cell>
        </row>
        <row r="498">
          <cell r="A498">
            <v>497</v>
          </cell>
          <cell r="I498">
            <v>6</v>
          </cell>
          <cell r="M498">
            <v>0.08</v>
          </cell>
        </row>
        <row r="499">
          <cell r="A499">
            <v>498</v>
          </cell>
          <cell r="I499">
            <v>6</v>
          </cell>
          <cell r="M499">
            <v>0.08</v>
          </cell>
        </row>
        <row r="500">
          <cell r="A500">
            <v>499</v>
          </cell>
          <cell r="I500">
            <v>6</v>
          </cell>
          <cell r="M500">
            <v>0.06</v>
          </cell>
        </row>
        <row r="501">
          <cell r="A501">
            <v>500</v>
          </cell>
          <cell r="I501">
            <v>6</v>
          </cell>
          <cell r="M501">
            <v>0.06</v>
          </cell>
        </row>
        <row r="502">
          <cell r="A502">
            <v>501</v>
          </cell>
          <cell r="I502">
            <v>6</v>
          </cell>
          <cell r="M502">
            <v>0.06</v>
          </cell>
        </row>
        <row r="503">
          <cell r="A503">
            <v>502</v>
          </cell>
          <cell r="I503">
            <v>6</v>
          </cell>
          <cell r="M503">
            <v>0.04</v>
          </cell>
        </row>
        <row r="504">
          <cell r="A504">
            <v>503</v>
          </cell>
          <cell r="I504">
            <v>0</v>
          </cell>
          <cell r="M504">
            <v>0.04</v>
          </cell>
        </row>
        <row r="505">
          <cell r="A505">
            <v>504</v>
          </cell>
          <cell r="I505">
            <v>0</v>
          </cell>
          <cell r="M505">
            <v>0.04</v>
          </cell>
        </row>
        <row r="506">
          <cell r="A506">
            <v>505</v>
          </cell>
          <cell r="I506">
            <v>0</v>
          </cell>
          <cell r="M506">
            <v>0.02</v>
          </cell>
        </row>
        <row r="507">
          <cell r="A507">
            <v>506</v>
          </cell>
          <cell r="I507">
            <v>0</v>
          </cell>
          <cell r="M507">
            <v>0.02</v>
          </cell>
        </row>
        <row r="508">
          <cell r="A508">
            <v>507</v>
          </cell>
          <cell r="I508">
            <v>0</v>
          </cell>
          <cell r="M508">
            <v>0.04</v>
          </cell>
        </row>
        <row r="509">
          <cell r="A509">
            <v>508</v>
          </cell>
          <cell r="I509">
            <v>0</v>
          </cell>
          <cell r="M509">
            <v>0.04</v>
          </cell>
        </row>
        <row r="510">
          <cell r="A510">
            <v>509</v>
          </cell>
          <cell r="I510">
            <v>0</v>
          </cell>
          <cell r="M510">
            <v>0.08</v>
          </cell>
        </row>
        <row r="511">
          <cell r="A511">
            <v>510</v>
          </cell>
          <cell r="I511">
            <v>0</v>
          </cell>
          <cell r="M511">
            <v>0.06</v>
          </cell>
        </row>
        <row r="512">
          <cell r="A512">
            <v>511</v>
          </cell>
          <cell r="I512">
            <v>0</v>
          </cell>
          <cell r="M512">
            <v>0.1</v>
          </cell>
        </row>
        <row r="513">
          <cell r="A513">
            <v>512</v>
          </cell>
          <cell r="I513">
            <v>0</v>
          </cell>
          <cell r="M513">
            <v>0.14000000000000001</v>
          </cell>
        </row>
        <row r="514">
          <cell r="A514">
            <v>513</v>
          </cell>
          <cell r="I514">
            <v>0</v>
          </cell>
          <cell r="M514">
            <v>0.14000000000000001</v>
          </cell>
        </row>
        <row r="515">
          <cell r="A515">
            <v>514</v>
          </cell>
          <cell r="I515">
            <v>0</v>
          </cell>
          <cell r="M515">
            <v>0.16</v>
          </cell>
        </row>
        <row r="516">
          <cell r="A516">
            <v>515</v>
          </cell>
          <cell r="I516">
            <v>0</v>
          </cell>
          <cell r="M516">
            <v>0.14000000000000001</v>
          </cell>
        </row>
        <row r="517">
          <cell r="A517">
            <v>516</v>
          </cell>
          <cell r="I517">
            <v>0</v>
          </cell>
          <cell r="M517">
            <v>0.16</v>
          </cell>
        </row>
        <row r="518">
          <cell r="A518">
            <v>517</v>
          </cell>
          <cell r="I518">
            <v>0</v>
          </cell>
          <cell r="M518">
            <v>0.16</v>
          </cell>
        </row>
        <row r="519">
          <cell r="A519">
            <v>518</v>
          </cell>
          <cell r="I519">
            <v>0</v>
          </cell>
          <cell r="M519">
            <v>0.16</v>
          </cell>
        </row>
        <row r="520">
          <cell r="A520">
            <v>519</v>
          </cell>
          <cell r="I520">
            <v>0</v>
          </cell>
          <cell r="M520">
            <v>0.14000000000000001</v>
          </cell>
        </row>
        <row r="521">
          <cell r="A521">
            <v>520</v>
          </cell>
          <cell r="I521">
            <v>0</v>
          </cell>
          <cell r="M521">
            <v>0.12</v>
          </cell>
        </row>
        <row r="522">
          <cell r="A522">
            <v>521</v>
          </cell>
          <cell r="I522">
            <v>0</v>
          </cell>
          <cell r="M522">
            <v>0.12</v>
          </cell>
        </row>
        <row r="523">
          <cell r="A523">
            <v>522</v>
          </cell>
          <cell r="I523">
            <v>0</v>
          </cell>
          <cell r="M523">
            <v>0.1</v>
          </cell>
        </row>
        <row r="524">
          <cell r="A524">
            <v>523</v>
          </cell>
          <cell r="I524">
            <v>0</v>
          </cell>
          <cell r="M524">
            <v>0.1</v>
          </cell>
        </row>
        <row r="525">
          <cell r="A525">
            <v>524</v>
          </cell>
          <cell r="I525">
            <v>0</v>
          </cell>
          <cell r="M525">
            <v>0.08</v>
          </cell>
        </row>
        <row r="526">
          <cell r="A526">
            <v>525</v>
          </cell>
          <cell r="I526">
            <v>0</v>
          </cell>
          <cell r="M526">
            <v>0.06</v>
          </cell>
        </row>
        <row r="527">
          <cell r="A527">
            <v>526</v>
          </cell>
          <cell r="I527">
            <v>1</v>
          </cell>
          <cell r="M527">
            <v>0.06</v>
          </cell>
        </row>
        <row r="528">
          <cell r="A528">
            <v>527</v>
          </cell>
          <cell r="I528">
            <v>1</v>
          </cell>
          <cell r="M528">
            <v>0.04</v>
          </cell>
        </row>
        <row r="529">
          <cell r="A529">
            <v>528</v>
          </cell>
          <cell r="I529">
            <v>1</v>
          </cell>
          <cell r="M529">
            <v>0.04</v>
          </cell>
        </row>
        <row r="530">
          <cell r="A530">
            <v>529</v>
          </cell>
          <cell r="I530">
            <v>1</v>
          </cell>
          <cell r="M530">
            <v>0.02</v>
          </cell>
        </row>
        <row r="531">
          <cell r="A531">
            <v>530</v>
          </cell>
          <cell r="I531">
            <v>1</v>
          </cell>
          <cell r="M531">
            <v>0.02</v>
          </cell>
        </row>
        <row r="532">
          <cell r="A532">
            <v>531</v>
          </cell>
          <cell r="I532">
            <v>1</v>
          </cell>
          <cell r="M532">
            <v>0.02</v>
          </cell>
        </row>
        <row r="533">
          <cell r="A533">
            <v>532</v>
          </cell>
          <cell r="I533">
            <v>1</v>
          </cell>
          <cell r="M533">
            <v>0.02</v>
          </cell>
        </row>
        <row r="534">
          <cell r="A534">
            <v>533</v>
          </cell>
          <cell r="I534">
            <v>1</v>
          </cell>
          <cell r="M534">
            <v>0.04</v>
          </cell>
        </row>
        <row r="535">
          <cell r="A535">
            <v>534</v>
          </cell>
          <cell r="I535">
            <v>1</v>
          </cell>
          <cell r="M535">
            <v>0.06</v>
          </cell>
        </row>
        <row r="536">
          <cell r="A536">
            <v>535</v>
          </cell>
          <cell r="I536">
            <v>1</v>
          </cell>
          <cell r="M536">
            <v>0.1</v>
          </cell>
        </row>
        <row r="537">
          <cell r="A537">
            <v>536</v>
          </cell>
          <cell r="I537">
            <v>1</v>
          </cell>
          <cell r="M537">
            <v>0.1</v>
          </cell>
        </row>
        <row r="538">
          <cell r="A538">
            <v>537</v>
          </cell>
          <cell r="I538">
            <v>1</v>
          </cell>
          <cell r="M538">
            <v>0.12</v>
          </cell>
        </row>
        <row r="539">
          <cell r="A539">
            <v>538</v>
          </cell>
          <cell r="I539">
            <v>1</v>
          </cell>
          <cell r="M539">
            <v>0.14000000000000001</v>
          </cell>
        </row>
        <row r="540">
          <cell r="A540">
            <v>539</v>
          </cell>
          <cell r="I540">
            <v>1</v>
          </cell>
          <cell r="M540">
            <v>0.14000000000000001</v>
          </cell>
        </row>
        <row r="541">
          <cell r="A541">
            <v>540</v>
          </cell>
          <cell r="I541">
            <v>1</v>
          </cell>
          <cell r="M541">
            <v>0.16</v>
          </cell>
        </row>
        <row r="542">
          <cell r="A542">
            <v>541</v>
          </cell>
          <cell r="I542">
            <v>1</v>
          </cell>
          <cell r="M542">
            <v>0.16</v>
          </cell>
        </row>
        <row r="543">
          <cell r="A543">
            <v>542</v>
          </cell>
          <cell r="I543">
            <v>1</v>
          </cell>
          <cell r="M543">
            <v>0.14000000000000001</v>
          </cell>
        </row>
        <row r="544">
          <cell r="A544">
            <v>543</v>
          </cell>
          <cell r="I544">
            <v>1</v>
          </cell>
          <cell r="M544">
            <v>0.14000000000000001</v>
          </cell>
        </row>
        <row r="545">
          <cell r="A545">
            <v>544</v>
          </cell>
          <cell r="I545">
            <v>1</v>
          </cell>
          <cell r="M545">
            <v>0.14000000000000001</v>
          </cell>
        </row>
        <row r="546">
          <cell r="A546">
            <v>545</v>
          </cell>
          <cell r="I546">
            <v>1</v>
          </cell>
          <cell r="M546">
            <v>0.14000000000000001</v>
          </cell>
        </row>
        <row r="547">
          <cell r="A547">
            <v>546</v>
          </cell>
          <cell r="I547">
            <v>1</v>
          </cell>
          <cell r="M547">
            <v>0.14000000000000001</v>
          </cell>
        </row>
        <row r="548">
          <cell r="A548">
            <v>547</v>
          </cell>
          <cell r="I548">
            <v>1</v>
          </cell>
          <cell r="M548">
            <v>0.14000000000000001</v>
          </cell>
        </row>
        <row r="549">
          <cell r="A549">
            <v>548</v>
          </cell>
          <cell r="I549">
            <v>1</v>
          </cell>
          <cell r="M549">
            <v>0.16</v>
          </cell>
        </row>
        <row r="550">
          <cell r="A550">
            <v>549</v>
          </cell>
          <cell r="I550">
            <v>2</v>
          </cell>
          <cell r="M550">
            <v>0.16</v>
          </cell>
        </row>
        <row r="551">
          <cell r="A551">
            <v>550</v>
          </cell>
          <cell r="I551">
            <v>2</v>
          </cell>
          <cell r="M551">
            <v>0.16</v>
          </cell>
        </row>
        <row r="552">
          <cell r="A552">
            <v>551</v>
          </cell>
          <cell r="I552">
            <v>2</v>
          </cell>
          <cell r="M552">
            <v>0.16</v>
          </cell>
        </row>
        <row r="553">
          <cell r="A553">
            <v>552</v>
          </cell>
          <cell r="I553">
            <v>2</v>
          </cell>
          <cell r="M553">
            <v>0.14000000000000001</v>
          </cell>
        </row>
        <row r="554">
          <cell r="A554">
            <v>553</v>
          </cell>
          <cell r="I554">
            <v>2</v>
          </cell>
          <cell r="M554">
            <v>0.14000000000000001</v>
          </cell>
        </row>
        <row r="555">
          <cell r="A555">
            <v>554</v>
          </cell>
          <cell r="I555">
            <v>2</v>
          </cell>
          <cell r="M555">
            <v>0.16</v>
          </cell>
        </row>
        <row r="556">
          <cell r="A556">
            <v>555</v>
          </cell>
          <cell r="I556">
            <v>2</v>
          </cell>
          <cell r="M556">
            <v>0.16</v>
          </cell>
        </row>
        <row r="557">
          <cell r="A557">
            <v>556</v>
          </cell>
          <cell r="I557">
            <v>2</v>
          </cell>
          <cell r="M557">
            <v>0.16</v>
          </cell>
        </row>
        <row r="558">
          <cell r="A558">
            <v>557</v>
          </cell>
          <cell r="I558">
            <v>2</v>
          </cell>
          <cell r="M558">
            <v>0.2</v>
          </cell>
        </row>
        <row r="559">
          <cell r="A559">
            <v>558</v>
          </cell>
          <cell r="I559">
            <v>2</v>
          </cell>
          <cell r="M559">
            <v>0.22</v>
          </cell>
        </row>
        <row r="560">
          <cell r="A560">
            <v>559</v>
          </cell>
          <cell r="I560">
            <v>2</v>
          </cell>
          <cell r="M560">
            <v>0.24</v>
          </cell>
        </row>
        <row r="561">
          <cell r="A561">
            <v>560</v>
          </cell>
          <cell r="I561">
            <v>2</v>
          </cell>
          <cell r="M561">
            <v>0.26</v>
          </cell>
        </row>
        <row r="562">
          <cell r="A562">
            <v>561</v>
          </cell>
          <cell r="I562">
            <v>2</v>
          </cell>
          <cell r="M562">
            <v>0.26</v>
          </cell>
        </row>
        <row r="563">
          <cell r="A563">
            <v>562</v>
          </cell>
          <cell r="I563">
            <v>2</v>
          </cell>
          <cell r="M563">
            <v>0.3</v>
          </cell>
        </row>
        <row r="564">
          <cell r="A564">
            <v>563</v>
          </cell>
          <cell r="I564">
            <v>2</v>
          </cell>
          <cell r="M564">
            <v>0.32</v>
          </cell>
        </row>
        <row r="565">
          <cell r="A565">
            <v>564</v>
          </cell>
          <cell r="I565">
            <v>2</v>
          </cell>
          <cell r="M565">
            <v>0.32</v>
          </cell>
        </row>
        <row r="566">
          <cell r="A566">
            <v>565</v>
          </cell>
          <cell r="I566">
            <v>2</v>
          </cell>
          <cell r="M566">
            <v>0.3</v>
          </cell>
        </row>
        <row r="567">
          <cell r="A567">
            <v>566</v>
          </cell>
          <cell r="I567">
            <v>2</v>
          </cell>
          <cell r="M567">
            <v>0.3</v>
          </cell>
        </row>
        <row r="568">
          <cell r="A568">
            <v>567</v>
          </cell>
          <cell r="I568">
            <v>2</v>
          </cell>
          <cell r="M568">
            <v>0.26</v>
          </cell>
        </row>
        <row r="569">
          <cell r="A569">
            <v>568</v>
          </cell>
          <cell r="I569">
            <v>2</v>
          </cell>
          <cell r="M569">
            <v>0.24</v>
          </cell>
        </row>
        <row r="570">
          <cell r="A570">
            <v>569</v>
          </cell>
          <cell r="I570">
            <v>2</v>
          </cell>
          <cell r="M570">
            <v>0.24</v>
          </cell>
        </row>
        <row r="571">
          <cell r="A571">
            <v>570</v>
          </cell>
          <cell r="I571">
            <v>2</v>
          </cell>
          <cell r="M571">
            <v>0.22</v>
          </cell>
        </row>
        <row r="572">
          <cell r="A572">
            <v>571</v>
          </cell>
          <cell r="I572">
            <v>2</v>
          </cell>
          <cell r="M572">
            <v>0.22</v>
          </cell>
        </row>
        <row r="573">
          <cell r="A573">
            <v>572</v>
          </cell>
          <cell r="I573">
            <v>3</v>
          </cell>
          <cell r="M573">
            <v>0.22</v>
          </cell>
        </row>
        <row r="574">
          <cell r="A574">
            <v>573</v>
          </cell>
          <cell r="I574">
            <v>3</v>
          </cell>
          <cell r="M574">
            <v>0.24</v>
          </cell>
        </row>
        <row r="575">
          <cell r="A575">
            <v>574</v>
          </cell>
          <cell r="I575">
            <v>3</v>
          </cell>
          <cell r="M575">
            <v>0.22</v>
          </cell>
        </row>
        <row r="576">
          <cell r="A576">
            <v>575</v>
          </cell>
          <cell r="I576">
            <v>3</v>
          </cell>
          <cell r="M576">
            <v>0.2</v>
          </cell>
        </row>
        <row r="577">
          <cell r="A577">
            <v>576</v>
          </cell>
          <cell r="I577">
            <v>3</v>
          </cell>
          <cell r="M577">
            <v>0.2</v>
          </cell>
        </row>
        <row r="578">
          <cell r="A578">
            <v>577</v>
          </cell>
          <cell r="I578">
            <v>3</v>
          </cell>
          <cell r="M578">
            <v>0.22</v>
          </cell>
        </row>
        <row r="579">
          <cell r="A579">
            <v>578</v>
          </cell>
          <cell r="I579">
            <v>3</v>
          </cell>
          <cell r="M579">
            <v>0.22</v>
          </cell>
        </row>
        <row r="580">
          <cell r="A580">
            <v>579</v>
          </cell>
          <cell r="I580">
            <v>3</v>
          </cell>
          <cell r="M580">
            <v>0.22</v>
          </cell>
        </row>
        <row r="581">
          <cell r="A581">
            <v>580</v>
          </cell>
          <cell r="I581">
            <v>3</v>
          </cell>
          <cell r="M581">
            <v>0.22</v>
          </cell>
        </row>
        <row r="582">
          <cell r="A582">
            <v>581</v>
          </cell>
          <cell r="I582">
            <v>3</v>
          </cell>
          <cell r="M582">
            <v>0.22</v>
          </cell>
        </row>
        <row r="583">
          <cell r="A583">
            <v>582</v>
          </cell>
          <cell r="I583">
            <v>3</v>
          </cell>
          <cell r="M583">
            <v>0.22</v>
          </cell>
        </row>
        <row r="584">
          <cell r="A584">
            <v>583</v>
          </cell>
          <cell r="I584">
            <v>3</v>
          </cell>
          <cell r="M584">
            <v>0.22</v>
          </cell>
        </row>
        <row r="585">
          <cell r="A585">
            <v>584</v>
          </cell>
          <cell r="I585">
            <v>3</v>
          </cell>
          <cell r="M585">
            <v>0.22</v>
          </cell>
        </row>
        <row r="586">
          <cell r="A586">
            <v>585</v>
          </cell>
          <cell r="I586">
            <v>3</v>
          </cell>
          <cell r="M586">
            <v>0.22</v>
          </cell>
        </row>
        <row r="587">
          <cell r="A587">
            <v>586</v>
          </cell>
          <cell r="I587">
            <v>3</v>
          </cell>
          <cell r="M587">
            <v>0.22</v>
          </cell>
        </row>
        <row r="588">
          <cell r="A588">
            <v>587</v>
          </cell>
          <cell r="I588">
            <v>3</v>
          </cell>
          <cell r="M588">
            <v>0.2</v>
          </cell>
        </row>
        <row r="589">
          <cell r="A589">
            <v>588</v>
          </cell>
          <cell r="I589">
            <v>4</v>
          </cell>
          <cell r="M589">
            <v>0.22</v>
          </cell>
        </row>
        <row r="590">
          <cell r="A590">
            <v>589</v>
          </cell>
          <cell r="I590">
            <v>4</v>
          </cell>
          <cell r="M590">
            <v>0.22</v>
          </cell>
        </row>
        <row r="591">
          <cell r="A591">
            <v>590</v>
          </cell>
          <cell r="I591">
            <v>4</v>
          </cell>
          <cell r="M591">
            <v>0.2</v>
          </cell>
        </row>
        <row r="592">
          <cell r="A592">
            <v>591</v>
          </cell>
          <cell r="I592">
            <v>4</v>
          </cell>
          <cell r="M592">
            <v>0.2</v>
          </cell>
        </row>
        <row r="593">
          <cell r="A593">
            <v>592</v>
          </cell>
          <cell r="I593">
            <v>4</v>
          </cell>
          <cell r="M593">
            <v>0.18</v>
          </cell>
        </row>
        <row r="594">
          <cell r="A594">
            <v>593</v>
          </cell>
          <cell r="I594">
            <v>4</v>
          </cell>
          <cell r="M594">
            <v>0.18</v>
          </cell>
        </row>
        <row r="595">
          <cell r="A595">
            <v>594</v>
          </cell>
          <cell r="I595">
            <v>4</v>
          </cell>
          <cell r="M595">
            <v>0.18</v>
          </cell>
        </row>
        <row r="596">
          <cell r="A596">
            <v>595</v>
          </cell>
          <cell r="I596">
            <v>4</v>
          </cell>
          <cell r="M596">
            <v>0.18</v>
          </cell>
        </row>
        <row r="597">
          <cell r="A597">
            <v>596</v>
          </cell>
          <cell r="I597">
            <v>5</v>
          </cell>
          <cell r="M597">
            <v>0.2</v>
          </cell>
        </row>
        <row r="598">
          <cell r="A598">
            <v>597</v>
          </cell>
          <cell r="I598">
            <v>5</v>
          </cell>
          <cell r="M598">
            <v>0.2</v>
          </cell>
        </row>
        <row r="599">
          <cell r="A599">
            <v>598</v>
          </cell>
          <cell r="I599">
            <v>5</v>
          </cell>
          <cell r="M599">
            <v>0.2</v>
          </cell>
        </row>
        <row r="600">
          <cell r="A600">
            <v>599</v>
          </cell>
          <cell r="I600">
            <v>5</v>
          </cell>
          <cell r="M600">
            <v>0.2</v>
          </cell>
        </row>
        <row r="601">
          <cell r="A601">
            <v>600</v>
          </cell>
          <cell r="I601">
            <v>5</v>
          </cell>
          <cell r="M601">
            <v>0.18</v>
          </cell>
        </row>
        <row r="602">
          <cell r="A602">
            <v>601</v>
          </cell>
          <cell r="I602">
            <v>5</v>
          </cell>
          <cell r="M602">
            <v>0.18</v>
          </cell>
        </row>
        <row r="603">
          <cell r="A603">
            <v>602</v>
          </cell>
          <cell r="I603">
            <v>5</v>
          </cell>
          <cell r="M603">
            <v>0.16</v>
          </cell>
        </row>
        <row r="604">
          <cell r="A604">
            <v>603</v>
          </cell>
          <cell r="I604">
            <v>5</v>
          </cell>
          <cell r="M604">
            <v>0.16</v>
          </cell>
        </row>
        <row r="605">
          <cell r="A605">
            <v>604</v>
          </cell>
          <cell r="I605">
            <v>5</v>
          </cell>
          <cell r="M605">
            <v>0.18</v>
          </cell>
        </row>
        <row r="606">
          <cell r="A606">
            <v>605</v>
          </cell>
          <cell r="I606">
            <v>5</v>
          </cell>
          <cell r="M606">
            <v>0.18</v>
          </cell>
        </row>
        <row r="607">
          <cell r="A607">
            <v>606</v>
          </cell>
          <cell r="I607">
            <v>5</v>
          </cell>
          <cell r="M607">
            <v>0.18</v>
          </cell>
        </row>
        <row r="608">
          <cell r="A608">
            <v>607</v>
          </cell>
          <cell r="I608">
            <v>5</v>
          </cell>
          <cell r="M608">
            <v>0.18</v>
          </cell>
        </row>
        <row r="609">
          <cell r="A609">
            <v>608</v>
          </cell>
          <cell r="I609">
            <v>5</v>
          </cell>
          <cell r="M609">
            <v>0.18</v>
          </cell>
        </row>
        <row r="610">
          <cell r="A610">
            <v>609</v>
          </cell>
          <cell r="I610">
            <v>5</v>
          </cell>
          <cell r="M610">
            <v>0.22</v>
          </cell>
        </row>
        <row r="611">
          <cell r="A611">
            <v>610</v>
          </cell>
          <cell r="I611">
            <v>5</v>
          </cell>
          <cell r="M611">
            <v>0.2</v>
          </cell>
        </row>
      </sheetData>
      <sheetData sheetId="1">
        <row r="44">
          <cell r="B44" t="str">
            <v>Average of Weather_Situation</v>
          </cell>
          <cell r="C44" t="str">
            <v>Count of holiday</v>
          </cell>
        </row>
        <row r="45">
          <cell r="A45" t="str">
            <v>FALSE</v>
          </cell>
          <cell r="B45">
            <v>1.4488054607508531</v>
          </cell>
          <cell r="C45">
            <v>586</v>
          </cell>
        </row>
        <row r="46">
          <cell r="A46" t="str">
            <v>TRUE</v>
          </cell>
          <cell r="B46">
            <v>2.1666666666666665</v>
          </cell>
          <cell r="C46">
            <v>24</v>
          </cell>
        </row>
        <row r="47">
          <cell r="A47" t="str">
            <v>Grand Total</v>
          </cell>
          <cell r="B47">
            <v>1.4770491803278689</v>
          </cell>
          <cell r="C47">
            <v>610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ilpa Singh" id="{5F54A3B0-C44A-4AB3-A15B-99B695953707}" userId="630858de8ca5c45b" providerId="Windows Live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ownloads/Shiva%20Singh%20Bike%20Sharing%20Demand%20Analysis%20Project%20Using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Downloads/Shiva%20Singh%20Bike%20Sharing%20Demand%20Analysis%20Project%20Using%20Excel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pi" refreshedDate="46216.048909490739" createdVersion="8" refreshedVersion="8" minRefreshableVersion="3" recordCount="610" xr:uid="{16D4F282-FD4D-47D0-84F2-068B361250A6}">
  <cacheSource type="worksheet">
    <worksheetSource ref="A1:M611" sheet="Dataset_1" r:id="rId2"/>
  </cacheSource>
  <cacheFields count="10">
    <cacheField name="Instant" numFmtId="0">
      <sharedItems containsSemiMixedTypes="0" containsString="0" containsNumber="1" containsInteger="1" minValue="1" maxValue="610"/>
    </cacheField>
    <cacheField name="Date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/>
    </cacheField>
    <cacheField name="holiday" numFmtId="0">
      <sharedItems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_Situation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erature" numFmtId="2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pi" refreshedDate="46228.217225462962" createdVersion="8" refreshedVersion="8" minRefreshableVersion="3" recordCount="610" xr:uid="{AD6F1674-6226-438B-B12E-18A6124CA938}">
  <cacheSource type="worksheet">
    <worksheetSource name="Table1" r:id="rId2"/>
  </cacheSource>
  <cacheFields count="10">
    <cacheField name="Instant" numFmtId="0">
      <sharedItems containsSemiMixedTypes="0" containsString="0" containsNumber="1" containsInteger="1" minValue="1" maxValue="610"/>
    </cacheField>
    <cacheField name="Date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/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_Situation" numFmtId="0">
      <sharedItems containsSemiMixedTypes="0" containsString="0" containsNumber="1" containsInteger="1" minValue="1" maxValue="4"/>
    </cacheField>
    <cacheField name="Temperature" numFmtId="2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pi" refreshedDate="46228.828406134257" createdVersion="8" refreshedVersion="8" minRefreshableVersion="3" recordCount="610" xr:uid="{105E666B-C266-4E60-ADC9-95654EAADB3F}">
  <cacheSource type="worksheet">
    <worksheetSource name="Table13"/>
  </cacheSource>
  <cacheFields count="13">
    <cacheField name="Instant" numFmtId="0">
      <sharedItems containsSemiMixedTypes="0" containsString="0" containsNumber="1" containsInteger="1" minValue="1" maxValue="610"/>
    </cacheField>
    <cacheField name="Date" numFmtId="16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/>
    </cacheField>
    <cacheField name="time of day" numFmtId="0">
      <sharedItems/>
    </cacheField>
    <cacheField name="holiday" numFmtId="0">
      <sharedItems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_Situation" numFmtId="0">
      <sharedItems containsSemiMixedTypes="0" containsString="0" containsNumber="1" containsInteger="1" minValue="1" maxValue="4"/>
    </cacheField>
    <cacheField name="Weather" numFmtId="0">
      <sharedItems count="4">
        <s v="Clear"/>
        <s v="Mist/Cloudy"/>
        <s v="Rain"/>
        <s v="Heavy Rain/Thunderstorm"/>
      </sharedItems>
    </cacheField>
    <cacheField name="Temp" numFmtId="2">
      <sharedItems containsSemiMixedTypes="0" containsString="0" containsNumber="1" minValue="0.02" maxValue="0.46"/>
    </cacheField>
    <cacheField name="Temperature" numFmtId="2">
      <sharedItems count="4">
        <s v="Mild"/>
        <s v="Warm"/>
        <s v="Hot"/>
        <s v="C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n v="1"/>
    <n v="0"/>
    <n v="1"/>
    <n v="0"/>
    <b v="0"/>
    <x v="0"/>
    <x v="0"/>
    <n v="0.24"/>
  </r>
  <r>
    <n v="2"/>
    <d v="2011-01-01T00:00:00"/>
    <n v="1"/>
    <n v="0"/>
    <n v="1"/>
    <n v="1"/>
    <b v="0"/>
    <x v="0"/>
    <x v="0"/>
    <n v="0.22"/>
  </r>
  <r>
    <n v="3"/>
    <d v="2011-01-01T00:00:00"/>
    <n v="1"/>
    <n v="0"/>
    <n v="1"/>
    <n v="2"/>
    <b v="0"/>
    <x v="0"/>
    <x v="0"/>
    <n v="0.22"/>
  </r>
  <r>
    <n v="4"/>
    <d v="2011-01-01T00:00:00"/>
    <n v="1"/>
    <n v="0"/>
    <n v="1"/>
    <n v="3"/>
    <b v="0"/>
    <x v="0"/>
    <x v="0"/>
    <n v="0.24"/>
  </r>
  <r>
    <n v="5"/>
    <d v="2011-01-01T00:00:00"/>
    <n v="1"/>
    <n v="0"/>
    <n v="1"/>
    <n v="4"/>
    <b v="0"/>
    <x v="0"/>
    <x v="0"/>
    <n v="0.24"/>
  </r>
  <r>
    <n v="6"/>
    <d v="2011-01-01T00:00:00"/>
    <n v="1"/>
    <n v="0"/>
    <n v="1"/>
    <n v="5"/>
    <b v="0"/>
    <x v="0"/>
    <x v="1"/>
    <n v="0.24"/>
  </r>
  <r>
    <n v="7"/>
    <d v="2011-01-01T00:00:00"/>
    <n v="1"/>
    <n v="0"/>
    <n v="1"/>
    <n v="6"/>
    <b v="0"/>
    <x v="0"/>
    <x v="0"/>
    <n v="0.22"/>
  </r>
  <r>
    <n v="8"/>
    <d v="2011-01-01T00:00:00"/>
    <n v="1"/>
    <n v="0"/>
    <n v="1"/>
    <n v="7"/>
    <b v="0"/>
    <x v="0"/>
    <x v="0"/>
    <n v="0.2"/>
  </r>
  <r>
    <n v="9"/>
    <d v="2011-01-01T00:00:00"/>
    <n v="1"/>
    <n v="0"/>
    <n v="1"/>
    <n v="8"/>
    <b v="0"/>
    <x v="0"/>
    <x v="0"/>
    <n v="0.24"/>
  </r>
  <r>
    <n v="10"/>
    <d v="2011-01-01T00:00:00"/>
    <n v="1"/>
    <n v="0"/>
    <n v="1"/>
    <n v="9"/>
    <b v="0"/>
    <x v="0"/>
    <x v="0"/>
    <n v="0.32"/>
  </r>
  <r>
    <n v="11"/>
    <d v="2011-01-01T00:00:00"/>
    <n v="1"/>
    <n v="0"/>
    <n v="1"/>
    <n v="10"/>
    <b v="0"/>
    <x v="0"/>
    <x v="0"/>
    <n v="0.38"/>
  </r>
  <r>
    <n v="12"/>
    <d v="2011-01-01T00:00:00"/>
    <n v="1"/>
    <n v="0"/>
    <n v="1"/>
    <n v="11"/>
    <b v="0"/>
    <x v="0"/>
    <x v="0"/>
    <n v="0.36"/>
  </r>
  <r>
    <n v="13"/>
    <d v="2011-01-01T00:00:00"/>
    <n v="1"/>
    <n v="0"/>
    <n v="1"/>
    <n v="12"/>
    <b v="0"/>
    <x v="0"/>
    <x v="0"/>
    <n v="0.42"/>
  </r>
  <r>
    <n v="14"/>
    <d v="2011-01-01T00:00:00"/>
    <n v="1"/>
    <n v="0"/>
    <n v="1"/>
    <n v="13"/>
    <b v="0"/>
    <x v="0"/>
    <x v="1"/>
    <n v="0.46"/>
  </r>
  <r>
    <n v="15"/>
    <d v="2011-01-01T00:00:00"/>
    <n v="1"/>
    <n v="0"/>
    <n v="1"/>
    <n v="14"/>
    <b v="0"/>
    <x v="0"/>
    <x v="1"/>
    <n v="0.46"/>
  </r>
  <r>
    <n v="16"/>
    <d v="2011-01-01T00:00:00"/>
    <n v="1"/>
    <n v="0"/>
    <n v="1"/>
    <n v="15"/>
    <b v="0"/>
    <x v="0"/>
    <x v="1"/>
    <n v="0.44"/>
  </r>
  <r>
    <n v="17"/>
    <d v="2011-01-01T00:00:00"/>
    <n v="1"/>
    <n v="0"/>
    <n v="1"/>
    <n v="16"/>
    <b v="0"/>
    <x v="0"/>
    <x v="1"/>
    <n v="0.42"/>
  </r>
  <r>
    <n v="18"/>
    <d v="2011-01-01T00:00:00"/>
    <n v="1"/>
    <n v="0"/>
    <n v="1"/>
    <n v="17"/>
    <b v="0"/>
    <x v="0"/>
    <x v="1"/>
    <n v="0.44"/>
  </r>
  <r>
    <n v="19"/>
    <d v="2011-01-01T00:00:00"/>
    <n v="1"/>
    <n v="0"/>
    <n v="1"/>
    <n v="18"/>
    <b v="0"/>
    <x v="0"/>
    <x v="2"/>
    <n v="0.42"/>
  </r>
  <r>
    <n v="20"/>
    <d v="2011-01-01T00:00:00"/>
    <n v="1"/>
    <n v="0"/>
    <n v="1"/>
    <n v="19"/>
    <b v="0"/>
    <x v="0"/>
    <x v="2"/>
    <n v="0.42"/>
  </r>
  <r>
    <n v="21"/>
    <d v="2011-01-01T00:00:00"/>
    <n v="1"/>
    <n v="0"/>
    <n v="1"/>
    <n v="20"/>
    <b v="0"/>
    <x v="0"/>
    <x v="1"/>
    <n v="0.4"/>
  </r>
  <r>
    <n v="22"/>
    <d v="2011-01-01T00:00:00"/>
    <n v="1"/>
    <n v="0"/>
    <n v="1"/>
    <n v="21"/>
    <b v="0"/>
    <x v="0"/>
    <x v="1"/>
    <n v="0.4"/>
  </r>
  <r>
    <n v="23"/>
    <d v="2011-01-01T00:00:00"/>
    <n v="1"/>
    <n v="0"/>
    <n v="1"/>
    <n v="22"/>
    <b v="0"/>
    <x v="0"/>
    <x v="1"/>
    <n v="0.4"/>
  </r>
  <r>
    <n v="24"/>
    <d v="2011-01-01T00:00:00"/>
    <n v="1"/>
    <n v="0"/>
    <n v="1"/>
    <n v="23"/>
    <b v="0"/>
    <x v="0"/>
    <x v="1"/>
    <n v="0.46"/>
  </r>
  <r>
    <n v="25"/>
    <d v="2011-01-02T00:00:00"/>
    <n v="1"/>
    <n v="0"/>
    <n v="1"/>
    <n v="0"/>
    <b v="0"/>
    <x v="1"/>
    <x v="1"/>
    <n v="0.46"/>
  </r>
  <r>
    <n v="26"/>
    <d v="2011-01-02T00:00:00"/>
    <n v="1"/>
    <n v="0"/>
    <n v="1"/>
    <n v="1"/>
    <b v="0"/>
    <x v="1"/>
    <x v="1"/>
    <n v="0.44"/>
  </r>
  <r>
    <n v="27"/>
    <d v="2011-01-02T00:00:00"/>
    <n v="1"/>
    <n v="0"/>
    <n v="1"/>
    <n v="2"/>
    <b v="0"/>
    <x v="1"/>
    <x v="1"/>
    <n v="0.42"/>
  </r>
  <r>
    <n v="28"/>
    <d v="2011-01-02T00:00:00"/>
    <n v="1"/>
    <n v="0"/>
    <n v="1"/>
    <n v="3"/>
    <b v="0"/>
    <x v="1"/>
    <x v="1"/>
    <n v="0.46"/>
  </r>
  <r>
    <n v="29"/>
    <d v="2011-01-02T00:00:00"/>
    <n v="1"/>
    <n v="0"/>
    <n v="1"/>
    <n v="4"/>
    <b v="0"/>
    <x v="1"/>
    <x v="1"/>
    <n v="0.46"/>
  </r>
  <r>
    <n v="30"/>
    <d v="2011-01-02T00:00:00"/>
    <n v="1"/>
    <n v="0"/>
    <n v="1"/>
    <n v="6"/>
    <b v="0"/>
    <x v="1"/>
    <x v="2"/>
    <n v="0.42"/>
  </r>
  <r>
    <n v="31"/>
    <d v="2011-01-02T00:00:00"/>
    <n v="1"/>
    <n v="0"/>
    <n v="1"/>
    <n v="7"/>
    <b v="0"/>
    <x v="1"/>
    <x v="1"/>
    <n v="0.4"/>
  </r>
  <r>
    <n v="32"/>
    <d v="2011-01-02T00:00:00"/>
    <n v="1"/>
    <n v="0"/>
    <n v="1"/>
    <n v="8"/>
    <b v="0"/>
    <x v="1"/>
    <x v="2"/>
    <n v="0.4"/>
  </r>
  <r>
    <n v="33"/>
    <d v="2011-01-02T00:00:00"/>
    <n v="1"/>
    <n v="0"/>
    <n v="1"/>
    <n v="9"/>
    <b v="0"/>
    <x v="1"/>
    <x v="1"/>
    <n v="0.38"/>
  </r>
  <r>
    <n v="34"/>
    <d v="2011-01-02T00:00:00"/>
    <n v="1"/>
    <n v="0"/>
    <n v="1"/>
    <n v="10"/>
    <b v="0"/>
    <x v="1"/>
    <x v="1"/>
    <n v="0.36"/>
  </r>
  <r>
    <n v="35"/>
    <d v="2011-01-02T00:00:00"/>
    <n v="1"/>
    <n v="0"/>
    <n v="1"/>
    <n v="11"/>
    <b v="0"/>
    <x v="1"/>
    <x v="1"/>
    <n v="0.36"/>
  </r>
  <r>
    <n v="36"/>
    <d v="2011-01-02T00:00:00"/>
    <n v="1"/>
    <n v="0"/>
    <n v="1"/>
    <n v="12"/>
    <b v="0"/>
    <x v="1"/>
    <x v="1"/>
    <n v="0.36"/>
  </r>
  <r>
    <n v="37"/>
    <d v="2011-01-02T00:00:00"/>
    <n v="1"/>
    <n v="0"/>
    <n v="1"/>
    <n v="13"/>
    <b v="0"/>
    <x v="1"/>
    <x v="1"/>
    <n v="0.36"/>
  </r>
  <r>
    <n v="38"/>
    <d v="2011-01-02T00:00:00"/>
    <n v="1"/>
    <n v="0"/>
    <n v="1"/>
    <n v="14"/>
    <b v="0"/>
    <x v="1"/>
    <x v="2"/>
    <n v="0.36"/>
  </r>
  <r>
    <n v="39"/>
    <d v="2011-01-02T00:00:00"/>
    <n v="1"/>
    <n v="0"/>
    <n v="1"/>
    <n v="15"/>
    <b v="0"/>
    <x v="1"/>
    <x v="2"/>
    <n v="0.34"/>
  </r>
  <r>
    <n v="40"/>
    <d v="2011-01-02T00:00:00"/>
    <n v="1"/>
    <n v="0"/>
    <n v="1"/>
    <n v="16"/>
    <b v="0"/>
    <x v="1"/>
    <x v="2"/>
    <n v="0.34"/>
  </r>
  <r>
    <n v="41"/>
    <d v="2011-01-02T00:00:00"/>
    <n v="1"/>
    <n v="0"/>
    <n v="1"/>
    <n v="17"/>
    <b v="0"/>
    <x v="1"/>
    <x v="0"/>
    <n v="0.34"/>
  </r>
  <r>
    <n v="42"/>
    <d v="2011-01-02T00:00:00"/>
    <n v="1"/>
    <n v="0"/>
    <n v="1"/>
    <n v="18"/>
    <b v="0"/>
    <x v="1"/>
    <x v="1"/>
    <n v="0.36"/>
  </r>
  <r>
    <n v="43"/>
    <d v="2011-01-02T00:00:00"/>
    <n v="1"/>
    <n v="0"/>
    <n v="1"/>
    <n v="19"/>
    <b v="0"/>
    <x v="1"/>
    <x v="0"/>
    <n v="0.32"/>
  </r>
  <r>
    <n v="44"/>
    <d v="2011-01-02T00:00:00"/>
    <n v="1"/>
    <n v="0"/>
    <n v="1"/>
    <n v="20"/>
    <b v="0"/>
    <x v="1"/>
    <x v="0"/>
    <n v="0.3"/>
  </r>
  <r>
    <n v="45"/>
    <d v="2011-01-02T00:00:00"/>
    <n v="1"/>
    <n v="0"/>
    <n v="1"/>
    <n v="21"/>
    <b v="0"/>
    <x v="1"/>
    <x v="0"/>
    <n v="0.26"/>
  </r>
  <r>
    <n v="46"/>
    <d v="2011-01-02T00:00:00"/>
    <n v="1"/>
    <n v="0"/>
    <n v="1"/>
    <n v="22"/>
    <b v="0"/>
    <x v="1"/>
    <x v="0"/>
    <n v="0.24"/>
  </r>
  <r>
    <n v="47"/>
    <d v="2011-01-02T00:00:00"/>
    <n v="1"/>
    <n v="0"/>
    <n v="1"/>
    <n v="23"/>
    <b v="0"/>
    <x v="1"/>
    <x v="0"/>
    <n v="0.22"/>
  </r>
  <r>
    <n v="48"/>
    <d v="2011-01-03T00:00:00"/>
    <n v="1"/>
    <n v="0"/>
    <n v="1"/>
    <n v="0"/>
    <b v="0"/>
    <x v="2"/>
    <x v="0"/>
    <n v="0.22"/>
  </r>
  <r>
    <n v="49"/>
    <d v="2011-01-03T00:00:00"/>
    <n v="1"/>
    <n v="0"/>
    <n v="1"/>
    <n v="1"/>
    <b v="0"/>
    <x v="2"/>
    <x v="0"/>
    <n v="0.2"/>
  </r>
  <r>
    <n v="50"/>
    <d v="2011-01-03T00:00:00"/>
    <n v="1"/>
    <n v="0"/>
    <n v="1"/>
    <n v="4"/>
    <b v="0"/>
    <x v="2"/>
    <x v="0"/>
    <n v="0.16"/>
  </r>
  <r>
    <n v="51"/>
    <d v="2011-01-03T00:00:00"/>
    <n v="1"/>
    <n v="0"/>
    <n v="1"/>
    <n v="5"/>
    <b v="0"/>
    <x v="2"/>
    <x v="0"/>
    <n v="0.16"/>
  </r>
  <r>
    <n v="52"/>
    <d v="2011-01-03T00:00:00"/>
    <n v="1"/>
    <n v="0"/>
    <n v="1"/>
    <n v="6"/>
    <b v="0"/>
    <x v="2"/>
    <x v="0"/>
    <n v="0.14000000000000001"/>
  </r>
  <r>
    <n v="53"/>
    <d v="2011-01-03T00:00:00"/>
    <n v="1"/>
    <n v="0"/>
    <n v="1"/>
    <n v="7"/>
    <b v="0"/>
    <x v="2"/>
    <x v="0"/>
    <n v="0.14000000000000001"/>
  </r>
  <r>
    <n v="54"/>
    <d v="2011-01-03T00:00:00"/>
    <n v="1"/>
    <n v="0"/>
    <n v="1"/>
    <n v="8"/>
    <b v="0"/>
    <x v="2"/>
    <x v="0"/>
    <n v="0.14000000000000001"/>
  </r>
  <r>
    <n v="55"/>
    <d v="2011-01-03T00:00:00"/>
    <n v="1"/>
    <n v="0"/>
    <n v="1"/>
    <n v="9"/>
    <b v="0"/>
    <x v="2"/>
    <x v="0"/>
    <n v="0.16"/>
  </r>
  <r>
    <n v="56"/>
    <d v="2011-01-03T00:00:00"/>
    <n v="1"/>
    <n v="0"/>
    <n v="1"/>
    <n v="10"/>
    <b v="0"/>
    <x v="2"/>
    <x v="0"/>
    <n v="0.18"/>
  </r>
  <r>
    <n v="57"/>
    <d v="2011-01-03T00:00:00"/>
    <n v="1"/>
    <n v="0"/>
    <n v="1"/>
    <n v="11"/>
    <b v="0"/>
    <x v="2"/>
    <x v="0"/>
    <n v="0.2"/>
  </r>
  <r>
    <n v="58"/>
    <d v="2011-01-03T00:00:00"/>
    <n v="1"/>
    <n v="0"/>
    <n v="1"/>
    <n v="12"/>
    <b v="0"/>
    <x v="2"/>
    <x v="0"/>
    <n v="0.22"/>
  </r>
  <r>
    <n v="59"/>
    <d v="2011-01-03T00:00:00"/>
    <n v="1"/>
    <n v="0"/>
    <n v="1"/>
    <n v="13"/>
    <b v="0"/>
    <x v="2"/>
    <x v="0"/>
    <n v="0.24"/>
  </r>
  <r>
    <n v="60"/>
    <d v="2011-01-03T00:00:00"/>
    <n v="1"/>
    <n v="0"/>
    <n v="1"/>
    <n v="14"/>
    <b v="0"/>
    <x v="2"/>
    <x v="0"/>
    <n v="0.26"/>
  </r>
  <r>
    <n v="61"/>
    <d v="2011-01-03T00:00:00"/>
    <n v="1"/>
    <n v="0"/>
    <n v="1"/>
    <n v="15"/>
    <b v="0"/>
    <x v="2"/>
    <x v="0"/>
    <n v="0.26"/>
  </r>
  <r>
    <n v="62"/>
    <d v="2011-01-03T00:00:00"/>
    <n v="1"/>
    <n v="0"/>
    <n v="1"/>
    <n v="16"/>
    <b v="0"/>
    <x v="2"/>
    <x v="0"/>
    <n v="0.26"/>
  </r>
  <r>
    <n v="63"/>
    <d v="2011-01-03T00:00:00"/>
    <n v="1"/>
    <n v="0"/>
    <n v="1"/>
    <n v="17"/>
    <b v="0"/>
    <x v="2"/>
    <x v="0"/>
    <n v="0.24"/>
  </r>
  <r>
    <n v="64"/>
    <d v="2011-01-03T00:00:00"/>
    <n v="1"/>
    <n v="0"/>
    <n v="1"/>
    <n v="18"/>
    <b v="0"/>
    <x v="2"/>
    <x v="0"/>
    <n v="0.24"/>
  </r>
  <r>
    <n v="65"/>
    <d v="2011-01-03T00:00:00"/>
    <n v="1"/>
    <n v="0"/>
    <n v="1"/>
    <n v="19"/>
    <b v="0"/>
    <x v="2"/>
    <x v="0"/>
    <n v="0.2"/>
  </r>
  <r>
    <n v="66"/>
    <d v="2011-01-03T00:00:00"/>
    <n v="1"/>
    <n v="0"/>
    <n v="1"/>
    <n v="20"/>
    <b v="0"/>
    <x v="2"/>
    <x v="0"/>
    <n v="0.2"/>
  </r>
  <r>
    <n v="67"/>
    <d v="2011-01-03T00:00:00"/>
    <n v="1"/>
    <n v="0"/>
    <n v="1"/>
    <n v="21"/>
    <b v="0"/>
    <x v="2"/>
    <x v="0"/>
    <n v="0.18"/>
  </r>
  <r>
    <n v="68"/>
    <d v="2011-01-03T00:00:00"/>
    <n v="1"/>
    <n v="0"/>
    <n v="1"/>
    <n v="22"/>
    <b v="0"/>
    <x v="2"/>
    <x v="0"/>
    <n v="0.14000000000000001"/>
  </r>
  <r>
    <n v="69"/>
    <d v="2011-01-03T00:00:00"/>
    <n v="1"/>
    <n v="0"/>
    <n v="1"/>
    <n v="23"/>
    <b v="0"/>
    <x v="2"/>
    <x v="0"/>
    <n v="0.18"/>
  </r>
  <r>
    <n v="70"/>
    <d v="2011-01-04T00:00:00"/>
    <n v="1"/>
    <n v="0"/>
    <n v="1"/>
    <n v="0"/>
    <b v="0"/>
    <x v="3"/>
    <x v="0"/>
    <n v="0.16"/>
  </r>
  <r>
    <n v="71"/>
    <d v="2011-01-04T00:00:00"/>
    <n v="1"/>
    <n v="0"/>
    <n v="1"/>
    <n v="1"/>
    <b v="0"/>
    <x v="3"/>
    <x v="0"/>
    <n v="0.16"/>
  </r>
  <r>
    <n v="72"/>
    <d v="2011-01-04T00:00:00"/>
    <n v="1"/>
    <n v="0"/>
    <n v="1"/>
    <n v="2"/>
    <b v="0"/>
    <x v="3"/>
    <x v="0"/>
    <n v="0.14000000000000001"/>
  </r>
  <r>
    <n v="73"/>
    <d v="2011-01-04T00:00:00"/>
    <n v="1"/>
    <n v="0"/>
    <n v="1"/>
    <n v="4"/>
    <b v="0"/>
    <x v="3"/>
    <x v="0"/>
    <n v="0.14000000000000001"/>
  </r>
  <r>
    <n v="74"/>
    <d v="2011-01-04T00:00:00"/>
    <n v="1"/>
    <n v="0"/>
    <n v="1"/>
    <n v="5"/>
    <b v="0"/>
    <x v="3"/>
    <x v="0"/>
    <n v="0.12"/>
  </r>
  <r>
    <n v="75"/>
    <d v="2011-01-04T00:00:00"/>
    <n v="1"/>
    <n v="0"/>
    <n v="1"/>
    <n v="6"/>
    <b v="0"/>
    <x v="3"/>
    <x v="0"/>
    <n v="0.12"/>
  </r>
  <r>
    <n v="76"/>
    <d v="2011-01-04T00:00:00"/>
    <n v="1"/>
    <n v="0"/>
    <n v="1"/>
    <n v="7"/>
    <b v="0"/>
    <x v="3"/>
    <x v="0"/>
    <n v="0.12"/>
  </r>
  <r>
    <n v="77"/>
    <d v="2011-01-04T00:00:00"/>
    <n v="1"/>
    <n v="0"/>
    <n v="1"/>
    <n v="8"/>
    <b v="0"/>
    <x v="3"/>
    <x v="0"/>
    <n v="0.14000000000000001"/>
  </r>
  <r>
    <n v="78"/>
    <d v="2011-01-04T00:00:00"/>
    <n v="1"/>
    <n v="0"/>
    <n v="1"/>
    <n v="9"/>
    <b v="0"/>
    <x v="3"/>
    <x v="0"/>
    <n v="0.16"/>
  </r>
  <r>
    <n v="79"/>
    <d v="2011-01-04T00:00:00"/>
    <n v="1"/>
    <n v="0"/>
    <n v="1"/>
    <n v="10"/>
    <b v="0"/>
    <x v="3"/>
    <x v="1"/>
    <n v="0.16"/>
  </r>
  <r>
    <n v="80"/>
    <d v="2011-01-04T00:00:00"/>
    <n v="1"/>
    <n v="0"/>
    <n v="1"/>
    <n v="11"/>
    <b v="0"/>
    <x v="3"/>
    <x v="0"/>
    <n v="0.22"/>
  </r>
  <r>
    <n v="81"/>
    <d v="2011-01-04T00:00:00"/>
    <n v="1"/>
    <n v="0"/>
    <n v="1"/>
    <n v="12"/>
    <b v="0"/>
    <x v="3"/>
    <x v="0"/>
    <n v="0.22"/>
  </r>
  <r>
    <n v="82"/>
    <d v="2011-01-04T00:00:00"/>
    <n v="1"/>
    <n v="0"/>
    <n v="1"/>
    <n v="13"/>
    <b v="0"/>
    <x v="3"/>
    <x v="0"/>
    <n v="0.24"/>
  </r>
  <r>
    <n v="83"/>
    <d v="2011-01-04T00:00:00"/>
    <n v="1"/>
    <n v="0"/>
    <n v="1"/>
    <n v="14"/>
    <b v="0"/>
    <x v="3"/>
    <x v="0"/>
    <n v="0.26"/>
  </r>
  <r>
    <n v="84"/>
    <d v="2011-01-04T00:00:00"/>
    <n v="1"/>
    <n v="0"/>
    <n v="1"/>
    <n v="15"/>
    <b v="0"/>
    <x v="3"/>
    <x v="0"/>
    <n v="0.28000000000000003"/>
  </r>
  <r>
    <n v="85"/>
    <d v="2011-01-04T00:00:00"/>
    <n v="1"/>
    <n v="0"/>
    <n v="1"/>
    <n v="16"/>
    <b v="0"/>
    <x v="3"/>
    <x v="0"/>
    <n v="0.3"/>
  </r>
  <r>
    <n v="86"/>
    <d v="2011-01-04T00:00:00"/>
    <n v="1"/>
    <n v="0"/>
    <n v="1"/>
    <n v="17"/>
    <b v="0"/>
    <x v="3"/>
    <x v="0"/>
    <n v="0.28000000000000003"/>
  </r>
  <r>
    <n v="87"/>
    <d v="2011-01-04T00:00:00"/>
    <n v="1"/>
    <n v="0"/>
    <n v="1"/>
    <n v="18"/>
    <b v="0"/>
    <x v="3"/>
    <x v="0"/>
    <n v="0.26"/>
  </r>
  <r>
    <n v="88"/>
    <d v="2011-01-04T00:00:00"/>
    <n v="1"/>
    <n v="0"/>
    <n v="1"/>
    <n v="19"/>
    <b v="0"/>
    <x v="3"/>
    <x v="0"/>
    <n v="0.24"/>
  </r>
  <r>
    <n v="89"/>
    <d v="2011-01-04T00:00:00"/>
    <n v="1"/>
    <n v="0"/>
    <n v="1"/>
    <n v="20"/>
    <b v="0"/>
    <x v="3"/>
    <x v="0"/>
    <n v="0.24"/>
  </r>
  <r>
    <n v="90"/>
    <d v="2011-01-04T00:00:00"/>
    <n v="1"/>
    <n v="0"/>
    <n v="1"/>
    <n v="21"/>
    <b v="0"/>
    <x v="3"/>
    <x v="0"/>
    <n v="0.22"/>
  </r>
  <r>
    <n v="91"/>
    <d v="2011-01-04T00:00:00"/>
    <n v="1"/>
    <n v="0"/>
    <n v="1"/>
    <n v="22"/>
    <b v="0"/>
    <x v="3"/>
    <x v="0"/>
    <n v="0.22"/>
  </r>
  <r>
    <n v="92"/>
    <d v="2011-01-04T00:00:00"/>
    <n v="1"/>
    <n v="0"/>
    <n v="1"/>
    <n v="23"/>
    <b v="0"/>
    <x v="3"/>
    <x v="0"/>
    <n v="0.2"/>
  </r>
  <r>
    <n v="93"/>
    <d v="2011-01-05T00:00:00"/>
    <n v="1"/>
    <n v="0"/>
    <n v="1"/>
    <n v="0"/>
    <b v="0"/>
    <x v="4"/>
    <x v="0"/>
    <n v="0.2"/>
  </r>
  <r>
    <n v="94"/>
    <d v="2011-01-05T00:00:00"/>
    <n v="1"/>
    <n v="0"/>
    <n v="1"/>
    <n v="1"/>
    <b v="0"/>
    <x v="4"/>
    <x v="0"/>
    <n v="0.16"/>
  </r>
  <r>
    <n v="95"/>
    <d v="2011-01-05T00:00:00"/>
    <n v="1"/>
    <n v="0"/>
    <n v="1"/>
    <n v="2"/>
    <b v="0"/>
    <x v="4"/>
    <x v="0"/>
    <n v="0.16"/>
  </r>
  <r>
    <n v="96"/>
    <d v="2011-01-05T00:00:00"/>
    <n v="1"/>
    <n v="0"/>
    <n v="1"/>
    <n v="4"/>
    <b v="0"/>
    <x v="4"/>
    <x v="0"/>
    <n v="0.24"/>
  </r>
  <r>
    <n v="97"/>
    <d v="2011-01-05T00:00:00"/>
    <n v="1"/>
    <n v="0"/>
    <n v="1"/>
    <n v="5"/>
    <b v="0"/>
    <x v="4"/>
    <x v="0"/>
    <n v="0.22"/>
  </r>
  <r>
    <n v="98"/>
    <d v="2011-01-05T00:00:00"/>
    <n v="1"/>
    <n v="0"/>
    <n v="1"/>
    <n v="6"/>
    <b v="0"/>
    <x v="4"/>
    <x v="0"/>
    <n v="0.2"/>
  </r>
  <r>
    <n v="99"/>
    <d v="2011-01-05T00:00:00"/>
    <n v="1"/>
    <n v="0"/>
    <n v="1"/>
    <n v="7"/>
    <b v="0"/>
    <x v="4"/>
    <x v="0"/>
    <n v="0.18"/>
  </r>
  <r>
    <n v="100"/>
    <d v="2011-01-05T00:00:00"/>
    <n v="1"/>
    <n v="0"/>
    <n v="1"/>
    <n v="8"/>
    <b v="0"/>
    <x v="4"/>
    <x v="0"/>
    <n v="0.2"/>
  </r>
  <r>
    <n v="101"/>
    <d v="2011-01-05T00:00:00"/>
    <n v="1"/>
    <n v="0"/>
    <n v="1"/>
    <n v="9"/>
    <b v="0"/>
    <x v="4"/>
    <x v="0"/>
    <n v="0.22"/>
  </r>
  <r>
    <n v="102"/>
    <d v="2011-01-05T00:00:00"/>
    <n v="1"/>
    <n v="0"/>
    <n v="1"/>
    <n v="10"/>
    <b v="0"/>
    <x v="4"/>
    <x v="0"/>
    <n v="0.22"/>
  </r>
  <r>
    <n v="103"/>
    <d v="2011-01-05T00:00:00"/>
    <n v="1"/>
    <n v="0"/>
    <n v="1"/>
    <n v="11"/>
    <b v="0"/>
    <x v="4"/>
    <x v="0"/>
    <n v="0.26"/>
  </r>
  <r>
    <n v="104"/>
    <d v="2011-01-05T00:00:00"/>
    <n v="1"/>
    <n v="0"/>
    <n v="1"/>
    <n v="12"/>
    <b v="0"/>
    <x v="4"/>
    <x v="0"/>
    <n v="0.26"/>
  </r>
  <r>
    <n v="105"/>
    <d v="2011-01-05T00:00:00"/>
    <n v="1"/>
    <n v="0"/>
    <n v="1"/>
    <n v="13"/>
    <b v="0"/>
    <x v="4"/>
    <x v="0"/>
    <n v="0.28000000000000003"/>
  </r>
  <r>
    <n v="106"/>
    <d v="2011-01-05T00:00:00"/>
    <n v="1"/>
    <n v="0"/>
    <n v="1"/>
    <n v="14"/>
    <b v="0"/>
    <x v="4"/>
    <x v="0"/>
    <n v="0.3"/>
  </r>
  <r>
    <n v="107"/>
    <d v="2011-01-05T00:00:00"/>
    <n v="1"/>
    <n v="0"/>
    <n v="1"/>
    <n v="15"/>
    <b v="0"/>
    <x v="4"/>
    <x v="0"/>
    <n v="0.3"/>
  </r>
  <r>
    <n v="108"/>
    <d v="2011-01-05T00:00:00"/>
    <n v="1"/>
    <n v="0"/>
    <n v="1"/>
    <n v="16"/>
    <b v="0"/>
    <x v="4"/>
    <x v="0"/>
    <n v="0.3"/>
  </r>
  <r>
    <n v="109"/>
    <d v="2011-01-05T00:00:00"/>
    <n v="1"/>
    <n v="0"/>
    <n v="1"/>
    <n v="17"/>
    <b v="0"/>
    <x v="4"/>
    <x v="0"/>
    <n v="0.24"/>
  </r>
  <r>
    <n v="110"/>
    <d v="2011-01-05T00:00:00"/>
    <n v="1"/>
    <n v="0"/>
    <n v="1"/>
    <n v="18"/>
    <b v="0"/>
    <x v="4"/>
    <x v="0"/>
    <n v="0.24"/>
  </r>
  <r>
    <n v="111"/>
    <d v="2011-01-05T00:00:00"/>
    <n v="1"/>
    <n v="0"/>
    <n v="1"/>
    <n v="19"/>
    <b v="0"/>
    <x v="4"/>
    <x v="0"/>
    <n v="0.24"/>
  </r>
  <r>
    <n v="112"/>
    <d v="2011-01-05T00:00:00"/>
    <n v="1"/>
    <n v="0"/>
    <n v="1"/>
    <n v="20"/>
    <b v="0"/>
    <x v="4"/>
    <x v="0"/>
    <n v="0.22"/>
  </r>
  <r>
    <n v="113"/>
    <d v="2011-01-05T00:00:00"/>
    <n v="1"/>
    <n v="0"/>
    <n v="1"/>
    <n v="21"/>
    <b v="0"/>
    <x v="4"/>
    <x v="0"/>
    <n v="0.2"/>
  </r>
  <r>
    <n v="114"/>
    <d v="2011-01-05T00:00:00"/>
    <n v="1"/>
    <n v="0"/>
    <n v="1"/>
    <n v="22"/>
    <b v="0"/>
    <x v="4"/>
    <x v="0"/>
    <n v="0.18"/>
  </r>
  <r>
    <n v="115"/>
    <d v="2011-01-05T00:00:00"/>
    <n v="1"/>
    <n v="0"/>
    <n v="1"/>
    <n v="23"/>
    <b v="0"/>
    <x v="4"/>
    <x v="0"/>
    <n v="0.2"/>
  </r>
  <r>
    <n v="116"/>
    <d v="2011-01-06T00:00:00"/>
    <n v="1"/>
    <n v="0"/>
    <n v="1"/>
    <n v="0"/>
    <b v="0"/>
    <x v="5"/>
    <x v="0"/>
    <n v="0.18"/>
  </r>
  <r>
    <n v="117"/>
    <d v="2011-01-06T00:00:00"/>
    <n v="1"/>
    <n v="0"/>
    <n v="1"/>
    <n v="1"/>
    <b v="0"/>
    <x v="5"/>
    <x v="0"/>
    <n v="0.16"/>
  </r>
  <r>
    <n v="118"/>
    <d v="2011-01-06T00:00:00"/>
    <n v="1"/>
    <n v="0"/>
    <n v="1"/>
    <n v="2"/>
    <b v="0"/>
    <x v="5"/>
    <x v="0"/>
    <n v="0.16"/>
  </r>
  <r>
    <n v="119"/>
    <d v="2011-01-06T00:00:00"/>
    <n v="1"/>
    <n v="0"/>
    <n v="1"/>
    <n v="4"/>
    <b v="0"/>
    <x v="5"/>
    <x v="1"/>
    <n v="0.16"/>
  </r>
  <r>
    <n v="120"/>
    <d v="2011-01-06T00:00:00"/>
    <n v="1"/>
    <n v="0"/>
    <n v="1"/>
    <n v="5"/>
    <b v="0"/>
    <x v="5"/>
    <x v="1"/>
    <n v="0.14000000000000001"/>
  </r>
  <r>
    <n v="121"/>
    <d v="2011-01-06T00:00:00"/>
    <n v="1"/>
    <n v="0"/>
    <n v="1"/>
    <n v="6"/>
    <b v="0"/>
    <x v="5"/>
    <x v="1"/>
    <n v="0.14000000000000001"/>
  </r>
  <r>
    <n v="122"/>
    <d v="2011-01-06T00:00:00"/>
    <n v="1"/>
    <n v="0"/>
    <n v="1"/>
    <n v="7"/>
    <b v="0"/>
    <x v="5"/>
    <x v="1"/>
    <n v="0.16"/>
  </r>
  <r>
    <n v="123"/>
    <d v="2011-01-06T00:00:00"/>
    <n v="1"/>
    <n v="0"/>
    <n v="1"/>
    <n v="8"/>
    <b v="0"/>
    <x v="5"/>
    <x v="0"/>
    <n v="0.16"/>
  </r>
  <r>
    <n v="124"/>
    <d v="2011-01-06T00:00:00"/>
    <n v="1"/>
    <n v="0"/>
    <n v="1"/>
    <n v="9"/>
    <b v="0"/>
    <x v="5"/>
    <x v="1"/>
    <n v="0.18"/>
  </r>
  <r>
    <n v="125"/>
    <d v="2011-01-06T00:00:00"/>
    <n v="1"/>
    <n v="0"/>
    <n v="1"/>
    <n v="10"/>
    <b v="0"/>
    <x v="5"/>
    <x v="0"/>
    <n v="0.2"/>
  </r>
  <r>
    <n v="126"/>
    <d v="2011-01-06T00:00:00"/>
    <n v="1"/>
    <n v="0"/>
    <n v="1"/>
    <n v="11"/>
    <b v="0"/>
    <x v="5"/>
    <x v="0"/>
    <n v="0.22"/>
  </r>
  <r>
    <n v="127"/>
    <d v="2011-01-06T00:00:00"/>
    <n v="1"/>
    <n v="0"/>
    <n v="1"/>
    <n v="12"/>
    <b v="0"/>
    <x v="5"/>
    <x v="0"/>
    <n v="0.26"/>
  </r>
  <r>
    <n v="128"/>
    <d v="2011-01-06T00:00:00"/>
    <n v="1"/>
    <n v="0"/>
    <n v="1"/>
    <n v="13"/>
    <b v="0"/>
    <x v="5"/>
    <x v="0"/>
    <n v="0.26"/>
  </r>
  <r>
    <n v="129"/>
    <d v="2011-01-06T00:00:00"/>
    <n v="1"/>
    <n v="0"/>
    <n v="1"/>
    <n v="14"/>
    <b v="0"/>
    <x v="5"/>
    <x v="0"/>
    <n v="0.28000000000000003"/>
  </r>
  <r>
    <n v="130"/>
    <d v="2011-01-06T00:00:00"/>
    <n v="1"/>
    <n v="0"/>
    <n v="1"/>
    <n v="15"/>
    <b v="0"/>
    <x v="5"/>
    <x v="0"/>
    <n v="0.28000000000000003"/>
  </r>
  <r>
    <n v="131"/>
    <d v="2011-01-06T00:00:00"/>
    <n v="1"/>
    <n v="0"/>
    <n v="1"/>
    <n v="16"/>
    <b v="0"/>
    <x v="5"/>
    <x v="0"/>
    <n v="0.26"/>
  </r>
  <r>
    <n v="132"/>
    <d v="2011-01-06T00:00:00"/>
    <n v="1"/>
    <n v="0"/>
    <n v="1"/>
    <n v="17"/>
    <b v="0"/>
    <x v="5"/>
    <x v="0"/>
    <n v="0.22"/>
  </r>
  <r>
    <n v="133"/>
    <d v="2011-01-06T00:00:00"/>
    <n v="1"/>
    <n v="0"/>
    <n v="1"/>
    <n v="18"/>
    <b v="0"/>
    <x v="5"/>
    <x v="0"/>
    <n v="0.22"/>
  </r>
  <r>
    <n v="134"/>
    <d v="2011-01-06T00:00:00"/>
    <n v="1"/>
    <n v="0"/>
    <n v="1"/>
    <n v="19"/>
    <b v="0"/>
    <x v="5"/>
    <x v="0"/>
    <n v="0.22"/>
  </r>
  <r>
    <n v="135"/>
    <d v="2011-01-06T00:00:00"/>
    <n v="1"/>
    <n v="0"/>
    <n v="1"/>
    <n v="20"/>
    <b v="0"/>
    <x v="5"/>
    <x v="0"/>
    <n v="0.2"/>
  </r>
  <r>
    <n v="136"/>
    <d v="2011-01-06T00:00:00"/>
    <n v="1"/>
    <n v="0"/>
    <n v="1"/>
    <n v="21"/>
    <b v="0"/>
    <x v="5"/>
    <x v="1"/>
    <n v="0.22"/>
  </r>
  <r>
    <n v="137"/>
    <d v="2011-01-06T00:00:00"/>
    <n v="1"/>
    <n v="0"/>
    <n v="1"/>
    <n v="22"/>
    <b v="0"/>
    <x v="5"/>
    <x v="1"/>
    <n v="0.22"/>
  </r>
  <r>
    <n v="138"/>
    <d v="2011-01-06T00:00:00"/>
    <n v="1"/>
    <n v="0"/>
    <n v="1"/>
    <n v="23"/>
    <b v="0"/>
    <x v="5"/>
    <x v="1"/>
    <n v="0.2"/>
  </r>
  <r>
    <n v="139"/>
    <d v="2011-01-07T00:00:00"/>
    <n v="1"/>
    <n v="0"/>
    <n v="1"/>
    <n v="0"/>
    <b v="0"/>
    <x v="6"/>
    <x v="1"/>
    <n v="0.2"/>
  </r>
  <r>
    <n v="140"/>
    <d v="2011-01-07T00:00:00"/>
    <n v="1"/>
    <n v="0"/>
    <n v="1"/>
    <n v="1"/>
    <b v="0"/>
    <x v="6"/>
    <x v="1"/>
    <n v="0.2"/>
  </r>
  <r>
    <n v="141"/>
    <d v="2011-01-07T00:00:00"/>
    <n v="1"/>
    <n v="0"/>
    <n v="1"/>
    <n v="2"/>
    <b v="0"/>
    <x v="6"/>
    <x v="1"/>
    <n v="0.2"/>
  </r>
  <r>
    <n v="142"/>
    <d v="2011-01-07T00:00:00"/>
    <n v="1"/>
    <n v="0"/>
    <n v="1"/>
    <n v="4"/>
    <b v="0"/>
    <x v="6"/>
    <x v="1"/>
    <n v="0.2"/>
  </r>
  <r>
    <n v="143"/>
    <d v="2011-01-07T00:00:00"/>
    <n v="1"/>
    <n v="0"/>
    <n v="1"/>
    <n v="5"/>
    <b v="0"/>
    <x v="6"/>
    <x v="2"/>
    <n v="0.22"/>
  </r>
  <r>
    <n v="144"/>
    <d v="2011-01-07T00:00:00"/>
    <n v="1"/>
    <n v="0"/>
    <n v="1"/>
    <n v="6"/>
    <b v="0"/>
    <x v="6"/>
    <x v="1"/>
    <n v="0.2"/>
  </r>
  <r>
    <n v="145"/>
    <d v="2011-01-07T00:00:00"/>
    <n v="1"/>
    <n v="0"/>
    <n v="1"/>
    <n v="7"/>
    <b v="0"/>
    <x v="6"/>
    <x v="0"/>
    <n v="0.2"/>
  </r>
  <r>
    <n v="146"/>
    <d v="2011-01-07T00:00:00"/>
    <n v="1"/>
    <n v="0"/>
    <n v="1"/>
    <n v="8"/>
    <b v="0"/>
    <x v="6"/>
    <x v="0"/>
    <n v="0.2"/>
  </r>
  <r>
    <n v="147"/>
    <d v="2011-01-07T00:00:00"/>
    <n v="1"/>
    <n v="0"/>
    <n v="1"/>
    <n v="9"/>
    <b v="0"/>
    <x v="6"/>
    <x v="0"/>
    <n v="0.2"/>
  </r>
  <r>
    <n v="148"/>
    <d v="2011-01-07T00:00:00"/>
    <n v="1"/>
    <n v="0"/>
    <n v="1"/>
    <n v="10"/>
    <b v="0"/>
    <x v="6"/>
    <x v="0"/>
    <n v="0.22"/>
  </r>
  <r>
    <n v="149"/>
    <d v="2011-01-07T00:00:00"/>
    <n v="1"/>
    <n v="0"/>
    <n v="1"/>
    <n v="11"/>
    <b v="0"/>
    <x v="6"/>
    <x v="1"/>
    <n v="0.2"/>
  </r>
  <r>
    <n v="150"/>
    <d v="2011-01-07T00:00:00"/>
    <n v="1"/>
    <n v="0"/>
    <n v="1"/>
    <n v="12"/>
    <b v="0"/>
    <x v="6"/>
    <x v="1"/>
    <n v="0.2"/>
  </r>
  <r>
    <n v="151"/>
    <d v="2011-01-07T00:00:00"/>
    <n v="1"/>
    <n v="0"/>
    <n v="1"/>
    <n v="13"/>
    <b v="0"/>
    <x v="6"/>
    <x v="1"/>
    <n v="0.2"/>
  </r>
  <r>
    <n v="152"/>
    <d v="2011-01-07T00:00:00"/>
    <n v="1"/>
    <n v="0"/>
    <n v="1"/>
    <n v="14"/>
    <b v="0"/>
    <x v="6"/>
    <x v="1"/>
    <n v="0.2"/>
  </r>
  <r>
    <n v="153"/>
    <d v="2011-01-07T00:00:00"/>
    <n v="1"/>
    <n v="0"/>
    <n v="1"/>
    <n v="15"/>
    <b v="0"/>
    <x v="6"/>
    <x v="1"/>
    <n v="0.2"/>
  </r>
  <r>
    <n v="154"/>
    <d v="2011-01-07T00:00:00"/>
    <n v="1"/>
    <n v="0"/>
    <n v="1"/>
    <n v="16"/>
    <b v="0"/>
    <x v="6"/>
    <x v="1"/>
    <n v="0.2"/>
  </r>
  <r>
    <n v="155"/>
    <d v="2011-01-07T00:00:00"/>
    <n v="1"/>
    <n v="0"/>
    <n v="1"/>
    <n v="17"/>
    <b v="0"/>
    <x v="6"/>
    <x v="1"/>
    <n v="0.2"/>
  </r>
  <r>
    <n v="156"/>
    <d v="2011-01-07T00:00:00"/>
    <n v="1"/>
    <n v="0"/>
    <n v="1"/>
    <n v="18"/>
    <b v="0"/>
    <x v="6"/>
    <x v="0"/>
    <n v="0.2"/>
  </r>
  <r>
    <n v="157"/>
    <d v="2011-01-07T00:00:00"/>
    <n v="1"/>
    <n v="0"/>
    <n v="1"/>
    <n v="19"/>
    <b v="0"/>
    <x v="6"/>
    <x v="0"/>
    <n v="0.16"/>
  </r>
  <r>
    <n v="158"/>
    <d v="2011-01-07T00:00:00"/>
    <n v="1"/>
    <n v="0"/>
    <n v="1"/>
    <n v="20"/>
    <b v="0"/>
    <x v="6"/>
    <x v="0"/>
    <n v="0.18"/>
  </r>
  <r>
    <n v="159"/>
    <d v="2011-01-07T00:00:00"/>
    <n v="1"/>
    <n v="0"/>
    <n v="1"/>
    <n v="21"/>
    <b v="0"/>
    <x v="6"/>
    <x v="0"/>
    <n v="0.18"/>
  </r>
  <r>
    <n v="160"/>
    <d v="2011-01-07T00:00:00"/>
    <n v="1"/>
    <n v="0"/>
    <n v="1"/>
    <n v="22"/>
    <b v="0"/>
    <x v="6"/>
    <x v="1"/>
    <n v="0.18"/>
  </r>
  <r>
    <n v="161"/>
    <d v="2011-01-07T00:00:00"/>
    <n v="1"/>
    <n v="0"/>
    <n v="1"/>
    <n v="23"/>
    <b v="0"/>
    <x v="6"/>
    <x v="1"/>
    <n v="0.18"/>
  </r>
  <r>
    <n v="162"/>
    <d v="2011-01-08T00:00:00"/>
    <n v="1"/>
    <n v="0"/>
    <n v="1"/>
    <n v="0"/>
    <b v="0"/>
    <x v="0"/>
    <x v="1"/>
    <n v="0.18"/>
  </r>
  <r>
    <n v="163"/>
    <d v="2011-01-08T00:00:00"/>
    <n v="1"/>
    <n v="0"/>
    <n v="1"/>
    <n v="1"/>
    <b v="0"/>
    <x v="0"/>
    <x v="1"/>
    <n v="0.18"/>
  </r>
  <r>
    <n v="164"/>
    <d v="2011-01-08T00:00:00"/>
    <n v="1"/>
    <n v="0"/>
    <n v="1"/>
    <n v="2"/>
    <b v="0"/>
    <x v="0"/>
    <x v="1"/>
    <n v="0.18"/>
  </r>
  <r>
    <n v="165"/>
    <d v="2011-01-08T00:00:00"/>
    <n v="1"/>
    <n v="0"/>
    <n v="1"/>
    <n v="3"/>
    <b v="0"/>
    <x v="0"/>
    <x v="2"/>
    <n v="0.18"/>
  </r>
  <r>
    <n v="166"/>
    <d v="2011-01-08T00:00:00"/>
    <n v="1"/>
    <n v="0"/>
    <n v="1"/>
    <n v="4"/>
    <b v="0"/>
    <x v="0"/>
    <x v="2"/>
    <n v="0.18"/>
  </r>
  <r>
    <n v="167"/>
    <d v="2011-01-08T00:00:00"/>
    <n v="1"/>
    <n v="0"/>
    <n v="1"/>
    <n v="5"/>
    <b v="0"/>
    <x v="0"/>
    <x v="1"/>
    <n v="0.16"/>
  </r>
  <r>
    <n v="168"/>
    <d v="2011-01-08T00:00:00"/>
    <n v="1"/>
    <n v="0"/>
    <n v="1"/>
    <n v="6"/>
    <b v="0"/>
    <x v="0"/>
    <x v="1"/>
    <n v="0.16"/>
  </r>
  <r>
    <n v="169"/>
    <d v="2011-01-08T00:00:00"/>
    <n v="1"/>
    <n v="0"/>
    <n v="1"/>
    <n v="7"/>
    <b v="0"/>
    <x v="0"/>
    <x v="1"/>
    <n v="0.16"/>
  </r>
  <r>
    <n v="170"/>
    <d v="2011-01-08T00:00:00"/>
    <n v="1"/>
    <n v="0"/>
    <n v="1"/>
    <n v="8"/>
    <b v="0"/>
    <x v="0"/>
    <x v="2"/>
    <n v="0.16"/>
  </r>
  <r>
    <n v="171"/>
    <d v="2011-01-08T00:00:00"/>
    <n v="1"/>
    <n v="0"/>
    <n v="1"/>
    <n v="9"/>
    <b v="0"/>
    <x v="0"/>
    <x v="2"/>
    <n v="0.16"/>
  </r>
  <r>
    <n v="172"/>
    <d v="2011-01-08T00:00:00"/>
    <n v="1"/>
    <n v="0"/>
    <n v="1"/>
    <n v="10"/>
    <b v="0"/>
    <x v="0"/>
    <x v="1"/>
    <n v="0.18"/>
  </r>
  <r>
    <n v="173"/>
    <d v="2011-01-08T00:00:00"/>
    <n v="1"/>
    <n v="0"/>
    <n v="1"/>
    <n v="11"/>
    <b v="0"/>
    <x v="0"/>
    <x v="1"/>
    <n v="0.2"/>
  </r>
  <r>
    <n v="174"/>
    <d v="2011-01-08T00:00:00"/>
    <n v="1"/>
    <n v="0"/>
    <n v="1"/>
    <n v="12"/>
    <b v="0"/>
    <x v="0"/>
    <x v="1"/>
    <n v="0.2"/>
  </r>
  <r>
    <n v="175"/>
    <d v="2011-01-08T00:00:00"/>
    <n v="1"/>
    <n v="0"/>
    <n v="1"/>
    <n v="13"/>
    <b v="0"/>
    <x v="0"/>
    <x v="0"/>
    <n v="0.2"/>
  </r>
  <r>
    <n v="176"/>
    <d v="2011-01-08T00:00:00"/>
    <n v="1"/>
    <n v="0"/>
    <n v="1"/>
    <n v="14"/>
    <b v="0"/>
    <x v="0"/>
    <x v="0"/>
    <n v="0.2"/>
  </r>
  <r>
    <n v="177"/>
    <d v="2011-01-08T00:00:00"/>
    <n v="1"/>
    <n v="0"/>
    <n v="1"/>
    <n v="15"/>
    <b v="0"/>
    <x v="0"/>
    <x v="0"/>
    <n v="0.2"/>
  </r>
  <r>
    <n v="178"/>
    <d v="2011-01-08T00:00:00"/>
    <n v="1"/>
    <n v="0"/>
    <n v="1"/>
    <n v="16"/>
    <b v="0"/>
    <x v="0"/>
    <x v="0"/>
    <n v="0.18"/>
  </r>
  <r>
    <n v="179"/>
    <d v="2011-01-08T00:00:00"/>
    <n v="1"/>
    <n v="0"/>
    <n v="1"/>
    <n v="17"/>
    <b v="0"/>
    <x v="0"/>
    <x v="0"/>
    <n v="0.16"/>
  </r>
  <r>
    <n v="180"/>
    <d v="2011-01-08T00:00:00"/>
    <n v="1"/>
    <n v="0"/>
    <n v="1"/>
    <n v="18"/>
    <b v="0"/>
    <x v="0"/>
    <x v="0"/>
    <n v="0.14000000000000001"/>
  </r>
  <r>
    <n v="181"/>
    <d v="2011-01-08T00:00:00"/>
    <n v="1"/>
    <n v="0"/>
    <n v="1"/>
    <n v="19"/>
    <b v="0"/>
    <x v="0"/>
    <x v="0"/>
    <n v="0.14000000000000001"/>
  </r>
  <r>
    <n v="182"/>
    <d v="2011-01-08T00:00:00"/>
    <n v="1"/>
    <n v="0"/>
    <n v="1"/>
    <n v="20"/>
    <b v="0"/>
    <x v="0"/>
    <x v="0"/>
    <n v="0.12"/>
  </r>
  <r>
    <n v="183"/>
    <d v="2011-01-08T00:00:00"/>
    <n v="1"/>
    <n v="0"/>
    <n v="1"/>
    <n v="21"/>
    <b v="0"/>
    <x v="0"/>
    <x v="0"/>
    <n v="0.12"/>
  </r>
  <r>
    <n v="184"/>
    <d v="2011-01-08T00:00:00"/>
    <n v="1"/>
    <n v="0"/>
    <n v="1"/>
    <n v="22"/>
    <b v="0"/>
    <x v="0"/>
    <x v="0"/>
    <n v="0.12"/>
  </r>
  <r>
    <n v="185"/>
    <d v="2011-01-08T00:00:00"/>
    <n v="1"/>
    <n v="0"/>
    <n v="1"/>
    <n v="23"/>
    <b v="0"/>
    <x v="0"/>
    <x v="0"/>
    <n v="0.1"/>
  </r>
  <r>
    <n v="186"/>
    <d v="2011-01-09T00:00:00"/>
    <n v="1"/>
    <n v="0"/>
    <n v="1"/>
    <n v="0"/>
    <b v="0"/>
    <x v="1"/>
    <x v="0"/>
    <n v="0.1"/>
  </r>
  <r>
    <n v="187"/>
    <d v="2011-01-09T00:00:00"/>
    <n v="1"/>
    <n v="0"/>
    <n v="1"/>
    <n v="1"/>
    <b v="0"/>
    <x v="1"/>
    <x v="0"/>
    <n v="0.1"/>
  </r>
  <r>
    <n v="188"/>
    <d v="2011-01-09T00:00:00"/>
    <n v="1"/>
    <n v="0"/>
    <n v="1"/>
    <n v="2"/>
    <b v="0"/>
    <x v="1"/>
    <x v="0"/>
    <n v="0.1"/>
  </r>
  <r>
    <n v="189"/>
    <d v="2011-01-09T00:00:00"/>
    <n v="1"/>
    <n v="0"/>
    <n v="1"/>
    <n v="3"/>
    <b v="0"/>
    <x v="1"/>
    <x v="0"/>
    <n v="0.1"/>
  </r>
  <r>
    <n v="190"/>
    <d v="2011-01-09T00:00:00"/>
    <n v="1"/>
    <n v="0"/>
    <n v="1"/>
    <n v="4"/>
    <b v="0"/>
    <x v="1"/>
    <x v="0"/>
    <n v="0.08"/>
  </r>
  <r>
    <n v="191"/>
    <d v="2011-01-09T00:00:00"/>
    <n v="1"/>
    <n v="0"/>
    <n v="1"/>
    <n v="5"/>
    <b v="0"/>
    <x v="1"/>
    <x v="0"/>
    <n v="0.08"/>
  </r>
  <r>
    <n v="192"/>
    <d v="2011-01-09T00:00:00"/>
    <n v="1"/>
    <n v="0"/>
    <n v="1"/>
    <n v="6"/>
    <b v="0"/>
    <x v="1"/>
    <x v="0"/>
    <n v="0.1"/>
  </r>
  <r>
    <n v="193"/>
    <d v="2011-01-09T00:00:00"/>
    <n v="1"/>
    <n v="0"/>
    <n v="1"/>
    <n v="7"/>
    <b v="0"/>
    <x v="1"/>
    <x v="0"/>
    <n v="0.08"/>
  </r>
  <r>
    <n v="194"/>
    <d v="2011-01-09T00:00:00"/>
    <n v="1"/>
    <n v="0"/>
    <n v="1"/>
    <n v="8"/>
    <b v="0"/>
    <x v="1"/>
    <x v="0"/>
    <n v="0.1"/>
  </r>
  <r>
    <n v="195"/>
    <d v="2011-01-09T00:00:00"/>
    <n v="1"/>
    <n v="0"/>
    <n v="1"/>
    <n v="9"/>
    <b v="0"/>
    <x v="1"/>
    <x v="0"/>
    <n v="0.12"/>
  </r>
  <r>
    <n v="196"/>
    <d v="2011-01-09T00:00:00"/>
    <n v="1"/>
    <n v="0"/>
    <n v="1"/>
    <n v="10"/>
    <b v="0"/>
    <x v="1"/>
    <x v="0"/>
    <n v="0.14000000000000001"/>
  </r>
  <r>
    <n v="197"/>
    <d v="2011-01-09T00:00:00"/>
    <n v="1"/>
    <n v="0"/>
    <n v="1"/>
    <n v="11"/>
    <b v="0"/>
    <x v="1"/>
    <x v="0"/>
    <n v="0.16"/>
  </r>
  <r>
    <n v="198"/>
    <d v="2011-01-09T00:00:00"/>
    <n v="1"/>
    <n v="0"/>
    <n v="1"/>
    <n v="12"/>
    <b v="0"/>
    <x v="1"/>
    <x v="0"/>
    <n v="0.18"/>
  </r>
  <r>
    <n v="199"/>
    <d v="2011-01-09T00:00:00"/>
    <n v="1"/>
    <n v="0"/>
    <n v="1"/>
    <n v="13"/>
    <b v="0"/>
    <x v="1"/>
    <x v="0"/>
    <n v="0.2"/>
  </r>
  <r>
    <n v="200"/>
    <d v="2011-01-09T00:00:00"/>
    <n v="1"/>
    <n v="0"/>
    <n v="1"/>
    <n v="14"/>
    <b v="0"/>
    <x v="1"/>
    <x v="0"/>
    <n v="0.22"/>
  </r>
  <r>
    <n v="201"/>
    <d v="2011-01-09T00:00:00"/>
    <n v="1"/>
    <n v="0"/>
    <n v="1"/>
    <n v="15"/>
    <b v="0"/>
    <x v="1"/>
    <x v="0"/>
    <n v="0.22"/>
  </r>
  <r>
    <n v="202"/>
    <d v="2011-01-09T00:00:00"/>
    <n v="1"/>
    <n v="0"/>
    <n v="1"/>
    <n v="16"/>
    <b v="0"/>
    <x v="1"/>
    <x v="0"/>
    <n v="0.2"/>
  </r>
  <r>
    <n v="203"/>
    <d v="2011-01-09T00:00:00"/>
    <n v="1"/>
    <n v="0"/>
    <n v="1"/>
    <n v="17"/>
    <b v="0"/>
    <x v="1"/>
    <x v="0"/>
    <n v="0.18"/>
  </r>
  <r>
    <n v="204"/>
    <d v="2011-01-09T00:00:00"/>
    <n v="1"/>
    <n v="0"/>
    <n v="1"/>
    <n v="18"/>
    <b v="0"/>
    <x v="1"/>
    <x v="0"/>
    <n v="0.16"/>
  </r>
  <r>
    <n v="205"/>
    <d v="2011-01-09T00:00:00"/>
    <n v="1"/>
    <n v="0"/>
    <n v="1"/>
    <n v="19"/>
    <b v="0"/>
    <x v="1"/>
    <x v="0"/>
    <n v="0.16"/>
  </r>
  <r>
    <n v="206"/>
    <d v="2011-01-09T00:00:00"/>
    <n v="1"/>
    <n v="0"/>
    <n v="1"/>
    <n v="20"/>
    <b v="0"/>
    <x v="1"/>
    <x v="0"/>
    <n v="0.14000000000000001"/>
  </r>
  <r>
    <n v="207"/>
    <d v="2011-01-09T00:00:00"/>
    <n v="1"/>
    <n v="0"/>
    <n v="1"/>
    <n v="21"/>
    <b v="0"/>
    <x v="1"/>
    <x v="0"/>
    <n v="0.14000000000000001"/>
  </r>
  <r>
    <n v="208"/>
    <d v="2011-01-09T00:00:00"/>
    <n v="1"/>
    <n v="0"/>
    <n v="1"/>
    <n v="22"/>
    <b v="0"/>
    <x v="1"/>
    <x v="0"/>
    <n v="0.14000000000000001"/>
  </r>
  <r>
    <n v="209"/>
    <d v="2011-01-09T00:00:00"/>
    <n v="1"/>
    <n v="0"/>
    <n v="1"/>
    <n v="23"/>
    <b v="0"/>
    <x v="1"/>
    <x v="0"/>
    <n v="0.12"/>
  </r>
  <r>
    <n v="210"/>
    <d v="2011-01-10T00:00:00"/>
    <n v="1"/>
    <n v="0"/>
    <n v="1"/>
    <n v="0"/>
    <b v="0"/>
    <x v="2"/>
    <x v="0"/>
    <n v="0.12"/>
  </r>
  <r>
    <n v="211"/>
    <d v="2011-01-10T00:00:00"/>
    <n v="1"/>
    <n v="0"/>
    <n v="1"/>
    <n v="1"/>
    <b v="0"/>
    <x v="2"/>
    <x v="0"/>
    <n v="0.12"/>
  </r>
  <r>
    <n v="212"/>
    <d v="2011-01-10T00:00:00"/>
    <n v="1"/>
    <n v="0"/>
    <n v="1"/>
    <n v="2"/>
    <b v="0"/>
    <x v="2"/>
    <x v="0"/>
    <n v="0.12"/>
  </r>
  <r>
    <n v="213"/>
    <d v="2011-01-10T00:00:00"/>
    <n v="1"/>
    <n v="0"/>
    <n v="1"/>
    <n v="3"/>
    <b v="0"/>
    <x v="2"/>
    <x v="0"/>
    <n v="0.12"/>
  </r>
  <r>
    <n v="214"/>
    <d v="2011-01-10T00:00:00"/>
    <n v="1"/>
    <n v="0"/>
    <n v="1"/>
    <n v="4"/>
    <b v="0"/>
    <x v="2"/>
    <x v="0"/>
    <n v="0.1"/>
  </r>
  <r>
    <n v="215"/>
    <d v="2011-01-10T00:00:00"/>
    <n v="1"/>
    <n v="0"/>
    <n v="1"/>
    <n v="5"/>
    <b v="0"/>
    <x v="2"/>
    <x v="0"/>
    <n v="0.1"/>
  </r>
  <r>
    <n v="216"/>
    <d v="2011-01-10T00:00:00"/>
    <n v="1"/>
    <n v="0"/>
    <n v="1"/>
    <n v="6"/>
    <b v="0"/>
    <x v="2"/>
    <x v="0"/>
    <n v="0.12"/>
  </r>
  <r>
    <n v="217"/>
    <d v="2011-01-10T00:00:00"/>
    <n v="1"/>
    <n v="0"/>
    <n v="1"/>
    <n v="7"/>
    <b v="0"/>
    <x v="2"/>
    <x v="0"/>
    <n v="0.12"/>
  </r>
  <r>
    <n v="218"/>
    <d v="2011-01-10T00:00:00"/>
    <n v="1"/>
    <n v="0"/>
    <n v="1"/>
    <n v="8"/>
    <b v="0"/>
    <x v="2"/>
    <x v="1"/>
    <n v="0.12"/>
  </r>
  <r>
    <n v="219"/>
    <d v="2011-01-10T00:00:00"/>
    <n v="1"/>
    <n v="0"/>
    <n v="1"/>
    <n v="9"/>
    <b v="0"/>
    <x v="2"/>
    <x v="1"/>
    <n v="0.14000000000000001"/>
  </r>
  <r>
    <n v="220"/>
    <d v="2011-01-10T00:00:00"/>
    <n v="1"/>
    <n v="0"/>
    <n v="1"/>
    <n v="10"/>
    <b v="0"/>
    <x v="2"/>
    <x v="1"/>
    <n v="0.14000000000000001"/>
  </r>
  <r>
    <n v="221"/>
    <d v="2011-01-10T00:00:00"/>
    <n v="1"/>
    <n v="0"/>
    <n v="1"/>
    <n v="11"/>
    <b v="0"/>
    <x v="2"/>
    <x v="1"/>
    <n v="0.16"/>
  </r>
  <r>
    <n v="222"/>
    <d v="2011-01-10T00:00:00"/>
    <n v="1"/>
    <n v="0"/>
    <n v="1"/>
    <n v="12"/>
    <b v="0"/>
    <x v="2"/>
    <x v="1"/>
    <n v="0.2"/>
  </r>
  <r>
    <n v="223"/>
    <d v="2011-01-10T00:00:00"/>
    <n v="1"/>
    <n v="0"/>
    <n v="1"/>
    <n v="13"/>
    <b v="0"/>
    <x v="2"/>
    <x v="1"/>
    <n v="0.2"/>
  </r>
  <r>
    <n v="224"/>
    <d v="2011-01-10T00:00:00"/>
    <n v="1"/>
    <n v="0"/>
    <n v="1"/>
    <n v="14"/>
    <b v="0"/>
    <x v="2"/>
    <x v="1"/>
    <n v="0.2"/>
  </r>
  <r>
    <n v="225"/>
    <d v="2011-01-10T00:00:00"/>
    <n v="1"/>
    <n v="0"/>
    <n v="1"/>
    <n v="15"/>
    <b v="0"/>
    <x v="2"/>
    <x v="1"/>
    <n v="0.2"/>
  </r>
  <r>
    <n v="226"/>
    <d v="2011-01-10T00:00:00"/>
    <n v="1"/>
    <n v="0"/>
    <n v="1"/>
    <n v="16"/>
    <b v="0"/>
    <x v="2"/>
    <x v="0"/>
    <n v="0.2"/>
  </r>
  <r>
    <n v="227"/>
    <d v="2011-01-10T00:00:00"/>
    <n v="1"/>
    <n v="0"/>
    <n v="1"/>
    <n v="17"/>
    <b v="0"/>
    <x v="2"/>
    <x v="0"/>
    <n v="0.2"/>
  </r>
  <r>
    <n v="228"/>
    <d v="2011-01-10T00:00:00"/>
    <n v="1"/>
    <n v="0"/>
    <n v="1"/>
    <n v="18"/>
    <b v="0"/>
    <x v="2"/>
    <x v="0"/>
    <n v="0.2"/>
  </r>
  <r>
    <n v="229"/>
    <d v="2011-01-10T00:00:00"/>
    <n v="1"/>
    <n v="0"/>
    <n v="1"/>
    <n v="19"/>
    <b v="0"/>
    <x v="2"/>
    <x v="0"/>
    <n v="0.16"/>
  </r>
  <r>
    <n v="230"/>
    <d v="2011-01-10T00:00:00"/>
    <n v="1"/>
    <n v="0"/>
    <n v="1"/>
    <n v="20"/>
    <b v="0"/>
    <x v="2"/>
    <x v="0"/>
    <n v="0.16"/>
  </r>
  <r>
    <n v="231"/>
    <d v="2011-01-10T00:00:00"/>
    <n v="1"/>
    <n v="0"/>
    <n v="1"/>
    <n v="21"/>
    <b v="0"/>
    <x v="2"/>
    <x v="0"/>
    <n v="0.14000000000000001"/>
  </r>
  <r>
    <n v="232"/>
    <d v="2011-01-10T00:00:00"/>
    <n v="1"/>
    <n v="0"/>
    <n v="1"/>
    <n v="22"/>
    <b v="0"/>
    <x v="2"/>
    <x v="0"/>
    <n v="0.14000000000000001"/>
  </r>
  <r>
    <n v="233"/>
    <d v="2011-01-10T00:00:00"/>
    <n v="1"/>
    <n v="0"/>
    <n v="1"/>
    <n v="23"/>
    <b v="0"/>
    <x v="2"/>
    <x v="0"/>
    <n v="0.14000000000000001"/>
  </r>
  <r>
    <n v="234"/>
    <d v="2011-01-11T00:00:00"/>
    <n v="1"/>
    <n v="0"/>
    <n v="1"/>
    <n v="0"/>
    <b v="0"/>
    <x v="3"/>
    <x v="0"/>
    <n v="0.14000000000000001"/>
  </r>
  <r>
    <n v="235"/>
    <d v="2011-01-11T00:00:00"/>
    <n v="1"/>
    <n v="0"/>
    <n v="1"/>
    <n v="1"/>
    <b v="0"/>
    <x v="3"/>
    <x v="0"/>
    <n v="0.14000000000000001"/>
  </r>
  <r>
    <n v="236"/>
    <d v="2011-01-11T00:00:00"/>
    <n v="1"/>
    <n v="0"/>
    <n v="1"/>
    <n v="2"/>
    <b v="0"/>
    <x v="3"/>
    <x v="1"/>
    <n v="0.16"/>
  </r>
  <r>
    <n v="237"/>
    <d v="2011-01-11T00:00:00"/>
    <n v="1"/>
    <n v="0"/>
    <n v="1"/>
    <n v="5"/>
    <b v="0"/>
    <x v="3"/>
    <x v="1"/>
    <n v="0.16"/>
  </r>
  <r>
    <n v="238"/>
    <d v="2011-01-11T00:00:00"/>
    <n v="1"/>
    <n v="0"/>
    <n v="1"/>
    <n v="6"/>
    <b v="0"/>
    <x v="3"/>
    <x v="1"/>
    <n v="0.16"/>
  </r>
  <r>
    <n v="239"/>
    <d v="2011-01-11T00:00:00"/>
    <n v="1"/>
    <n v="0"/>
    <n v="1"/>
    <n v="7"/>
    <b v="0"/>
    <x v="3"/>
    <x v="1"/>
    <n v="0.16"/>
  </r>
  <r>
    <n v="240"/>
    <d v="2011-01-11T00:00:00"/>
    <n v="1"/>
    <n v="0"/>
    <n v="1"/>
    <n v="8"/>
    <b v="0"/>
    <x v="3"/>
    <x v="1"/>
    <n v="0.18"/>
  </r>
  <r>
    <n v="241"/>
    <d v="2011-01-11T00:00:00"/>
    <n v="1"/>
    <n v="0"/>
    <n v="1"/>
    <n v="9"/>
    <b v="0"/>
    <x v="3"/>
    <x v="1"/>
    <n v="0.18"/>
  </r>
  <r>
    <n v="242"/>
    <d v="2011-01-11T00:00:00"/>
    <n v="1"/>
    <n v="0"/>
    <n v="1"/>
    <n v="10"/>
    <b v="0"/>
    <x v="3"/>
    <x v="1"/>
    <n v="0.2"/>
  </r>
  <r>
    <n v="243"/>
    <d v="2011-01-11T00:00:00"/>
    <n v="1"/>
    <n v="0"/>
    <n v="1"/>
    <n v="11"/>
    <b v="0"/>
    <x v="3"/>
    <x v="1"/>
    <n v="0.2"/>
  </r>
  <r>
    <n v="244"/>
    <d v="2011-01-11T00:00:00"/>
    <n v="1"/>
    <n v="0"/>
    <n v="1"/>
    <n v="12"/>
    <b v="0"/>
    <x v="3"/>
    <x v="1"/>
    <n v="0.2"/>
  </r>
  <r>
    <n v="245"/>
    <d v="2011-01-11T00:00:00"/>
    <n v="1"/>
    <n v="0"/>
    <n v="1"/>
    <n v="13"/>
    <b v="0"/>
    <x v="3"/>
    <x v="1"/>
    <n v="0.2"/>
  </r>
  <r>
    <n v="246"/>
    <d v="2011-01-11T00:00:00"/>
    <n v="1"/>
    <n v="0"/>
    <n v="1"/>
    <n v="14"/>
    <b v="0"/>
    <x v="3"/>
    <x v="1"/>
    <n v="0.2"/>
  </r>
  <r>
    <n v="247"/>
    <d v="2011-01-11T00:00:00"/>
    <n v="1"/>
    <n v="0"/>
    <n v="1"/>
    <n v="15"/>
    <b v="0"/>
    <x v="3"/>
    <x v="1"/>
    <n v="0.16"/>
  </r>
  <r>
    <n v="248"/>
    <d v="2011-01-11T00:00:00"/>
    <n v="1"/>
    <n v="0"/>
    <n v="1"/>
    <n v="16"/>
    <b v="0"/>
    <x v="3"/>
    <x v="1"/>
    <n v="0.16"/>
  </r>
  <r>
    <n v="249"/>
    <d v="2011-01-11T00:00:00"/>
    <n v="1"/>
    <n v="0"/>
    <n v="1"/>
    <n v="17"/>
    <b v="0"/>
    <x v="3"/>
    <x v="1"/>
    <n v="0.16"/>
  </r>
  <r>
    <n v="250"/>
    <d v="2011-01-11T00:00:00"/>
    <n v="1"/>
    <n v="0"/>
    <n v="1"/>
    <n v="18"/>
    <b v="0"/>
    <x v="3"/>
    <x v="2"/>
    <n v="0.16"/>
  </r>
  <r>
    <n v="251"/>
    <d v="2011-01-11T00:00:00"/>
    <n v="1"/>
    <n v="0"/>
    <n v="1"/>
    <n v="19"/>
    <b v="0"/>
    <x v="3"/>
    <x v="2"/>
    <n v="0.16"/>
  </r>
  <r>
    <n v="252"/>
    <d v="2011-01-11T00:00:00"/>
    <n v="1"/>
    <n v="0"/>
    <n v="1"/>
    <n v="20"/>
    <b v="0"/>
    <x v="3"/>
    <x v="2"/>
    <n v="0.16"/>
  </r>
  <r>
    <n v="253"/>
    <d v="2011-01-11T00:00:00"/>
    <n v="1"/>
    <n v="0"/>
    <n v="1"/>
    <n v="21"/>
    <b v="0"/>
    <x v="3"/>
    <x v="2"/>
    <n v="0.16"/>
  </r>
  <r>
    <n v="254"/>
    <d v="2011-01-11T00:00:00"/>
    <n v="1"/>
    <n v="0"/>
    <n v="1"/>
    <n v="22"/>
    <b v="0"/>
    <x v="3"/>
    <x v="2"/>
    <n v="0.16"/>
  </r>
  <r>
    <n v="255"/>
    <d v="2011-01-11T00:00:00"/>
    <n v="1"/>
    <n v="0"/>
    <n v="1"/>
    <n v="23"/>
    <b v="0"/>
    <x v="3"/>
    <x v="2"/>
    <n v="0.16"/>
  </r>
  <r>
    <n v="256"/>
    <d v="2011-01-12T00:00:00"/>
    <n v="1"/>
    <n v="0"/>
    <n v="1"/>
    <n v="0"/>
    <b v="0"/>
    <x v="4"/>
    <x v="1"/>
    <n v="0.16"/>
  </r>
  <r>
    <n v="257"/>
    <d v="2011-01-12T00:00:00"/>
    <n v="1"/>
    <n v="0"/>
    <n v="1"/>
    <n v="1"/>
    <b v="0"/>
    <x v="4"/>
    <x v="1"/>
    <n v="0.16"/>
  </r>
  <r>
    <n v="258"/>
    <d v="2011-01-12T00:00:00"/>
    <n v="1"/>
    <n v="0"/>
    <n v="1"/>
    <n v="2"/>
    <b v="0"/>
    <x v="4"/>
    <x v="0"/>
    <n v="0.14000000000000001"/>
  </r>
  <r>
    <n v="259"/>
    <d v="2011-01-12T00:00:00"/>
    <n v="1"/>
    <n v="0"/>
    <n v="1"/>
    <n v="5"/>
    <b v="0"/>
    <x v="4"/>
    <x v="0"/>
    <n v="0.14000000000000001"/>
  </r>
  <r>
    <n v="260"/>
    <d v="2011-01-12T00:00:00"/>
    <n v="1"/>
    <n v="0"/>
    <n v="1"/>
    <n v="6"/>
    <b v="0"/>
    <x v="4"/>
    <x v="0"/>
    <n v="0.12"/>
  </r>
  <r>
    <n v="261"/>
    <d v="2011-01-12T00:00:00"/>
    <n v="1"/>
    <n v="0"/>
    <n v="1"/>
    <n v="7"/>
    <b v="0"/>
    <x v="4"/>
    <x v="0"/>
    <n v="0.14000000000000001"/>
  </r>
  <r>
    <n v="262"/>
    <d v="2011-01-12T00:00:00"/>
    <n v="1"/>
    <n v="0"/>
    <n v="1"/>
    <n v="8"/>
    <b v="0"/>
    <x v="4"/>
    <x v="0"/>
    <n v="0.16"/>
  </r>
  <r>
    <n v="263"/>
    <d v="2011-01-12T00:00:00"/>
    <n v="1"/>
    <n v="0"/>
    <n v="1"/>
    <n v="9"/>
    <b v="0"/>
    <x v="4"/>
    <x v="0"/>
    <n v="0.16"/>
  </r>
  <r>
    <n v="264"/>
    <d v="2011-01-12T00:00:00"/>
    <n v="1"/>
    <n v="0"/>
    <n v="1"/>
    <n v="10"/>
    <b v="0"/>
    <x v="4"/>
    <x v="0"/>
    <n v="0.18"/>
  </r>
  <r>
    <n v="265"/>
    <d v="2011-01-12T00:00:00"/>
    <n v="1"/>
    <n v="0"/>
    <n v="1"/>
    <n v="11"/>
    <b v="0"/>
    <x v="4"/>
    <x v="0"/>
    <n v="0.2"/>
  </r>
  <r>
    <n v="266"/>
    <d v="2011-01-12T00:00:00"/>
    <n v="1"/>
    <n v="0"/>
    <n v="1"/>
    <n v="12"/>
    <b v="0"/>
    <x v="4"/>
    <x v="0"/>
    <n v="0.2"/>
  </r>
  <r>
    <n v="267"/>
    <d v="2011-01-12T00:00:00"/>
    <n v="1"/>
    <n v="0"/>
    <n v="1"/>
    <n v="13"/>
    <b v="0"/>
    <x v="4"/>
    <x v="0"/>
    <n v="0.22"/>
  </r>
  <r>
    <n v="268"/>
    <d v="2011-01-12T00:00:00"/>
    <n v="1"/>
    <n v="0"/>
    <n v="1"/>
    <n v="14"/>
    <b v="0"/>
    <x v="4"/>
    <x v="0"/>
    <n v="0.2"/>
  </r>
  <r>
    <n v="269"/>
    <d v="2011-01-12T00:00:00"/>
    <n v="1"/>
    <n v="0"/>
    <n v="1"/>
    <n v="15"/>
    <b v="0"/>
    <x v="4"/>
    <x v="0"/>
    <n v="0.2"/>
  </r>
  <r>
    <n v="270"/>
    <d v="2011-01-12T00:00:00"/>
    <n v="1"/>
    <n v="0"/>
    <n v="1"/>
    <n v="16"/>
    <b v="0"/>
    <x v="4"/>
    <x v="0"/>
    <n v="0.22"/>
  </r>
  <r>
    <n v="271"/>
    <d v="2011-01-12T00:00:00"/>
    <n v="1"/>
    <n v="0"/>
    <n v="1"/>
    <n v="17"/>
    <b v="0"/>
    <x v="4"/>
    <x v="0"/>
    <n v="0.2"/>
  </r>
  <r>
    <n v="272"/>
    <d v="2011-01-12T00:00:00"/>
    <n v="1"/>
    <n v="0"/>
    <n v="1"/>
    <n v="18"/>
    <b v="0"/>
    <x v="4"/>
    <x v="0"/>
    <n v="0.2"/>
  </r>
  <r>
    <n v="273"/>
    <d v="2011-01-12T00:00:00"/>
    <n v="1"/>
    <n v="0"/>
    <n v="1"/>
    <n v="19"/>
    <b v="0"/>
    <x v="4"/>
    <x v="0"/>
    <n v="0.18"/>
  </r>
  <r>
    <n v="274"/>
    <d v="2011-01-12T00:00:00"/>
    <n v="1"/>
    <n v="0"/>
    <n v="1"/>
    <n v="20"/>
    <b v="0"/>
    <x v="4"/>
    <x v="0"/>
    <n v="0.16"/>
  </r>
  <r>
    <n v="275"/>
    <d v="2011-01-12T00:00:00"/>
    <n v="1"/>
    <n v="0"/>
    <n v="1"/>
    <n v="21"/>
    <b v="0"/>
    <x v="4"/>
    <x v="0"/>
    <n v="0.16"/>
  </r>
  <r>
    <n v="276"/>
    <d v="2011-01-12T00:00:00"/>
    <n v="1"/>
    <n v="0"/>
    <n v="1"/>
    <n v="22"/>
    <b v="0"/>
    <x v="4"/>
    <x v="0"/>
    <n v="0.16"/>
  </r>
  <r>
    <n v="277"/>
    <d v="2011-01-12T00:00:00"/>
    <n v="1"/>
    <n v="0"/>
    <n v="1"/>
    <n v="23"/>
    <b v="0"/>
    <x v="4"/>
    <x v="0"/>
    <n v="0.14000000000000001"/>
  </r>
  <r>
    <n v="278"/>
    <d v="2011-01-13T00:00:00"/>
    <n v="1"/>
    <n v="0"/>
    <n v="1"/>
    <n v="0"/>
    <b v="0"/>
    <x v="5"/>
    <x v="0"/>
    <n v="0.14000000000000001"/>
  </r>
  <r>
    <n v="279"/>
    <d v="2011-01-13T00:00:00"/>
    <n v="1"/>
    <n v="0"/>
    <n v="1"/>
    <n v="1"/>
    <b v="0"/>
    <x v="5"/>
    <x v="0"/>
    <n v="0.14000000000000001"/>
  </r>
  <r>
    <n v="280"/>
    <d v="2011-01-13T00:00:00"/>
    <n v="1"/>
    <n v="0"/>
    <n v="1"/>
    <n v="2"/>
    <b v="0"/>
    <x v="5"/>
    <x v="0"/>
    <n v="0.14000000000000001"/>
  </r>
  <r>
    <n v="281"/>
    <d v="2011-01-13T00:00:00"/>
    <n v="1"/>
    <n v="0"/>
    <n v="1"/>
    <n v="3"/>
    <b v="0"/>
    <x v="5"/>
    <x v="0"/>
    <n v="0.14000000000000001"/>
  </r>
  <r>
    <n v="282"/>
    <d v="2011-01-13T00:00:00"/>
    <n v="1"/>
    <n v="0"/>
    <n v="1"/>
    <n v="4"/>
    <b v="0"/>
    <x v="5"/>
    <x v="0"/>
    <n v="0.14000000000000001"/>
  </r>
  <r>
    <n v="283"/>
    <d v="2011-01-13T00:00:00"/>
    <n v="1"/>
    <n v="0"/>
    <n v="1"/>
    <n v="5"/>
    <b v="0"/>
    <x v="5"/>
    <x v="0"/>
    <n v="0.14000000000000001"/>
  </r>
  <r>
    <n v="284"/>
    <d v="2011-01-13T00:00:00"/>
    <n v="1"/>
    <n v="0"/>
    <n v="1"/>
    <n v="6"/>
    <b v="0"/>
    <x v="5"/>
    <x v="0"/>
    <n v="0.12"/>
  </r>
  <r>
    <n v="285"/>
    <d v="2011-01-13T00:00:00"/>
    <n v="1"/>
    <n v="0"/>
    <n v="1"/>
    <n v="7"/>
    <b v="0"/>
    <x v="5"/>
    <x v="0"/>
    <n v="0.12"/>
  </r>
  <r>
    <n v="286"/>
    <d v="2011-01-13T00:00:00"/>
    <n v="1"/>
    <n v="0"/>
    <n v="1"/>
    <n v="8"/>
    <b v="0"/>
    <x v="5"/>
    <x v="0"/>
    <n v="0.14000000000000001"/>
  </r>
  <r>
    <n v="287"/>
    <d v="2011-01-13T00:00:00"/>
    <n v="1"/>
    <n v="0"/>
    <n v="1"/>
    <n v="9"/>
    <b v="0"/>
    <x v="5"/>
    <x v="0"/>
    <n v="0.14000000000000001"/>
  </r>
  <r>
    <n v="288"/>
    <d v="2011-01-13T00:00:00"/>
    <n v="1"/>
    <n v="0"/>
    <n v="1"/>
    <n v="10"/>
    <b v="0"/>
    <x v="5"/>
    <x v="1"/>
    <n v="0.16"/>
  </r>
  <r>
    <n v="289"/>
    <d v="2011-01-13T00:00:00"/>
    <n v="1"/>
    <n v="0"/>
    <n v="1"/>
    <n v="11"/>
    <b v="0"/>
    <x v="5"/>
    <x v="1"/>
    <n v="0.2"/>
  </r>
  <r>
    <n v="290"/>
    <d v="2011-01-13T00:00:00"/>
    <n v="1"/>
    <n v="0"/>
    <n v="1"/>
    <n v="12"/>
    <b v="0"/>
    <x v="5"/>
    <x v="0"/>
    <n v="0.2"/>
  </r>
  <r>
    <n v="291"/>
    <d v="2011-01-13T00:00:00"/>
    <n v="1"/>
    <n v="0"/>
    <n v="1"/>
    <n v="13"/>
    <b v="0"/>
    <x v="5"/>
    <x v="0"/>
    <n v="0.22"/>
  </r>
  <r>
    <n v="292"/>
    <d v="2011-01-13T00:00:00"/>
    <n v="1"/>
    <n v="0"/>
    <n v="1"/>
    <n v="14"/>
    <b v="0"/>
    <x v="5"/>
    <x v="0"/>
    <n v="0.22"/>
  </r>
  <r>
    <n v="293"/>
    <d v="2011-01-13T00:00:00"/>
    <n v="1"/>
    <n v="0"/>
    <n v="1"/>
    <n v="15"/>
    <b v="0"/>
    <x v="5"/>
    <x v="0"/>
    <n v="0.24"/>
  </r>
  <r>
    <n v="294"/>
    <d v="2011-01-13T00:00:00"/>
    <n v="1"/>
    <n v="0"/>
    <n v="1"/>
    <n v="16"/>
    <b v="0"/>
    <x v="5"/>
    <x v="0"/>
    <n v="0.24"/>
  </r>
  <r>
    <n v="295"/>
    <d v="2011-01-13T00:00:00"/>
    <n v="1"/>
    <n v="0"/>
    <n v="1"/>
    <n v="17"/>
    <b v="0"/>
    <x v="5"/>
    <x v="0"/>
    <n v="0.2"/>
  </r>
  <r>
    <n v="296"/>
    <d v="2011-01-13T00:00:00"/>
    <n v="1"/>
    <n v="0"/>
    <n v="1"/>
    <n v="18"/>
    <b v="0"/>
    <x v="5"/>
    <x v="0"/>
    <n v="0.2"/>
  </r>
  <r>
    <n v="297"/>
    <d v="2011-01-13T00:00:00"/>
    <n v="1"/>
    <n v="0"/>
    <n v="1"/>
    <n v="19"/>
    <b v="0"/>
    <x v="5"/>
    <x v="0"/>
    <n v="0.16"/>
  </r>
  <r>
    <n v="298"/>
    <d v="2011-01-13T00:00:00"/>
    <n v="1"/>
    <n v="0"/>
    <n v="1"/>
    <n v="20"/>
    <b v="0"/>
    <x v="5"/>
    <x v="0"/>
    <n v="0.16"/>
  </r>
  <r>
    <n v="299"/>
    <d v="2011-01-13T00:00:00"/>
    <n v="1"/>
    <n v="0"/>
    <n v="1"/>
    <n v="21"/>
    <b v="0"/>
    <x v="5"/>
    <x v="0"/>
    <n v="0.14000000000000001"/>
  </r>
  <r>
    <n v="300"/>
    <d v="2011-01-13T00:00:00"/>
    <n v="1"/>
    <n v="0"/>
    <n v="1"/>
    <n v="22"/>
    <b v="0"/>
    <x v="5"/>
    <x v="0"/>
    <n v="0.14000000000000001"/>
  </r>
  <r>
    <n v="301"/>
    <d v="2011-01-13T00:00:00"/>
    <n v="1"/>
    <n v="0"/>
    <n v="1"/>
    <n v="23"/>
    <b v="0"/>
    <x v="5"/>
    <x v="0"/>
    <n v="0.12"/>
  </r>
  <r>
    <n v="302"/>
    <d v="2011-01-14T00:00:00"/>
    <n v="1"/>
    <n v="0"/>
    <n v="1"/>
    <n v="0"/>
    <b v="0"/>
    <x v="6"/>
    <x v="0"/>
    <n v="0.12"/>
  </r>
  <r>
    <n v="303"/>
    <d v="2011-01-14T00:00:00"/>
    <n v="1"/>
    <n v="0"/>
    <n v="1"/>
    <n v="1"/>
    <b v="0"/>
    <x v="6"/>
    <x v="0"/>
    <n v="0.1"/>
  </r>
  <r>
    <n v="304"/>
    <d v="2011-01-14T00:00:00"/>
    <n v="1"/>
    <n v="0"/>
    <n v="1"/>
    <n v="2"/>
    <b v="0"/>
    <x v="6"/>
    <x v="0"/>
    <n v="0.1"/>
  </r>
  <r>
    <n v="305"/>
    <d v="2011-01-14T00:00:00"/>
    <n v="1"/>
    <n v="0"/>
    <n v="1"/>
    <n v="3"/>
    <b v="0"/>
    <x v="6"/>
    <x v="0"/>
    <n v="0.1"/>
  </r>
  <r>
    <n v="306"/>
    <d v="2011-01-14T00:00:00"/>
    <n v="1"/>
    <n v="0"/>
    <n v="1"/>
    <n v="5"/>
    <b v="0"/>
    <x v="6"/>
    <x v="0"/>
    <n v="0.1"/>
  </r>
  <r>
    <n v="307"/>
    <d v="2011-01-14T00:00:00"/>
    <n v="1"/>
    <n v="0"/>
    <n v="1"/>
    <n v="6"/>
    <b v="0"/>
    <x v="6"/>
    <x v="0"/>
    <n v="0.1"/>
  </r>
  <r>
    <n v="308"/>
    <d v="2011-01-14T00:00:00"/>
    <n v="1"/>
    <n v="0"/>
    <n v="1"/>
    <n v="7"/>
    <b v="0"/>
    <x v="6"/>
    <x v="0"/>
    <n v="0.1"/>
  </r>
  <r>
    <n v="309"/>
    <d v="2011-01-14T00:00:00"/>
    <n v="1"/>
    <n v="0"/>
    <n v="1"/>
    <n v="8"/>
    <b v="0"/>
    <x v="6"/>
    <x v="0"/>
    <n v="0.12"/>
  </r>
  <r>
    <n v="310"/>
    <d v="2011-01-14T00:00:00"/>
    <n v="1"/>
    <n v="0"/>
    <n v="1"/>
    <n v="9"/>
    <b v="0"/>
    <x v="6"/>
    <x v="0"/>
    <n v="0.14000000000000001"/>
  </r>
  <r>
    <n v="311"/>
    <d v="2011-01-14T00:00:00"/>
    <n v="1"/>
    <n v="0"/>
    <n v="1"/>
    <n v="10"/>
    <b v="0"/>
    <x v="6"/>
    <x v="0"/>
    <n v="0.18"/>
  </r>
  <r>
    <n v="312"/>
    <d v="2011-01-14T00:00:00"/>
    <n v="1"/>
    <n v="0"/>
    <n v="1"/>
    <n v="11"/>
    <b v="0"/>
    <x v="6"/>
    <x v="0"/>
    <n v="0.18"/>
  </r>
  <r>
    <n v="313"/>
    <d v="2011-01-14T00:00:00"/>
    <n v="1"/>
    <n v="0"/>
    <n v="1"/>
    <n v="12"/>
    <b v="0"/>
    <x v="6"/>
    <x v="0"/>
    <n v="0.2"/>
  </r>
  <r>
    <n v="314"/>
    <d v="2011-01-14T00:00:00"/>
    <n v="1"/>
    <n v="0"/>
    <n v="1"/>
    <n v="13"/>
    <b v="0"/>
    <x v="6"/>
    <x v="0"/>
    <n v="0.22"/>
  </r>
  <r>
    <n v="315"/>
    <d v="2011-01-14T00:00:00"/>
    <n v="1"/>
    <n v="0"/>
    <n v="1"/>
    <n v="14"/>
    <b v="0"/>
    <x v="6"/>
    <x v="0"/>
    <n v="0.22"/>
  </r>
  <r>
    <n v="316"/>
    <d v="2011-01-14T00:00:00"/>
    <n v="1"/>
    <n v="0"/>
    <n v="1"/>
    <n v="15"/>
    <b v="0"/>
    <x v="6"/>
    <x v="0"/>
    <n v="0.24"/>
  </r>
  <r>
    <n v="317"/>
    <d v="2011-01-14T00:00:00"/>
    <n v="1"/>
    <n v="0"/>
    <n v="1"/>
    <n v="16"/>
    <b v="0"/>
    <x v="6"/>
    <x v="0"/>
    <n v="0.22"/>
  </r>
  <r>
    <n v="318"/>
    <d v="2011-01-14T00:00:00"/>
    <n v="1"/>
    <n v="0"/>
    <n v="1"/>
    <n v="17"/>
    <b v="0"/>
    <x v="6"/>
    <x v="0"/>
    <n v="0.22"/>
  </r>
  <r>
    <n v="319"/>
    <d v="2011-01-14T00:00:00"/>
    <n v="1"/>
    <n v="0"/>
    <n v="1"/>
    <n v="18"/>
    <b v="0"/>
    <x v="6"/>
    <x v="0"/>
    <n v="0.2"/>
  </r>
  <r>
    <n v="320"/>
    <d v="2011-01-14T00:00:00"/>
    <n v="1"/>
    <n v="0"/>
    <n v="1"/>
    <n v="19"/>
    <b v="0"/>
    <x v="6"/>
    <x v="0"/>
    <n v="0.16"/>
  </r>
  <r>
    <n v="321"/>
    <d v="2011-01-14T00:00:00"/>
    <n v="1"/>
    <n v="0"/>
    <n v="1"/>
    <n v="20"/>
    <b v="0"/>
    <x v="6"/>
    <x v="0"/>
    <n v="0.18"/>
  </r>
  <r>
    <n v="322"/>
    <d v="2011-01-14T00:00:00"/>
    <n v="1"/>
    <n v="0"/>
    <n v="1"/>
    <n v="21"/>
    <b v="0"/>
    <x v="6"/>
    <x v="0"/>
    <n v="0.16"/>
  </r>
  <r>
    <n v="323"/>
    <d v="2011-01-14T00:00:00"/>
    <n v="1"/>
    <n v="0"/>
    <n v="1"/>
    <n v="22"/>
    <b v="0"/>
    <x v="6"/>
    <x v="1"/>
    <n v="0.16"/>
  </r>
  <r>
    <n v="324"/>
    <d v="2011-01-14T00:00:00"/>
    <n v="1"/>
    <n v="0"/>
    <n v="1"/>
    <n v="23"/>
    <b v="0"/>
    <x v="6"/>
    <x v="1"/>
    <n v="0.18"/>
  </r>
  <r>
    <n v="325"/>
    <d v="2011-01-15T00:00:00"/>
    <n v="1"/>
    <n v="0"/>
    <n v="1"/>
    <n v="0"/>
    <b v="0"/>
    <x v="0"/>
    <x v="0"/>
    <n v="0.18"/>
  </r>
  <r>
    <n v="326"/>
    <d v="2011-01-15T00:00:00"/>
    <n v="1"/>
    <n v="0"/>
    <n v="1"/>
    <n v="1"/>
    <b v="0"/>
    <x v="0"/>
    <x v="1"/>
    <n v="0.16"/>
  </r>
  <r>
    <n v="327"/>
    <d v="2011-01-15T00:00:00"/>
    <n v="1"/>
    <n v="0"/>
    <n v="1"/>
    <n v="2"/>
    <b v="0"/>
    <x v="0"/>
    <x v="1"/>
    <n v="0.16"/>
  </r>
  <r>
    <n v="328"/>
    <d v="2011-01-15T00:00:00"/>
    <n v="1"/>
    <n v="0"/>
    <n v="1"/>
    <n v="3"/>
    <b v="0"/>
    <x v="0"/>
    <x v="1"/>
    <n v="0.16"/>
  </r>
  <r>
    <n v="329"/>
    <d v="2011-01-15T00:00:00"/>
    <n v="1"/>
    <n v="0"/>
    <n v="1"/>
    <n v="4"/>
    <b v="0"/>
    <x v="0"/>
    <x v="1"/>
    <n v="0.16"/>
  </r>
  <r>
    <n v="330"/>
    <d v="2011-01-15T00:00:00"/>
    <n v="1"/>
    <n v="0"/>
    <n v="1"/>
    <n v="5"/>
    <b v="0"/>
    <x v="0"/>
    <x v="0"/>
    <n v="0.16"/>
  </r>
  <r>
    <n v="331"/>
    <d v="2011-01-15T00:00:00"/>
    <n v="1"/>
    <n v="0"/>
    <n v="1"/>
    <n v="6"/>
    <b v="0"/>
    <x v="0"/>
    <x v="0"/>
    <n v="0.14000000000000001"/>
  </r>
  <r>
    <n v="332"/>
    <d v="2011-01-15T00:00:00"/>
    <n v="1"/>
    <n v="0"/>
    <n v="1"/>
    <n v="7"/>
    <b v="0"/>
    <x v="0"/>
    <x v="0"/>
    <n v="0.14000000000000001"/>
  </r>
  <r>
    <n v="333"/>
    <d v="2011-01-15T00:00:00"/>
    <n v="1"/>
    <n v="0"/>
    <n v="1"/>
    <n v="8"/>
    <b v="0"/>
    <x v="0"/>
    <x v="0"/>
    <n v="0.14000000000000001"/>
  </r>
  <r>
    <n v="334"/>
    <d v="2011-01-15T00:00:00"/>
    <n v="1"/>
    <n v="0"/>
    <n v="1"/>
    <n v="9"/>
    <b v="0"/>
    <x v="0"/>
    <x v="0"/>
    <n v="0.16"/>
  </r>
  <r>
    <n v="335"/>
    <d v="2011-01-15T00:00:00"/>
    <n v="1"/>
    <n v="0"/>
    <n v="1"/>
    <n v="10"/>
    <b v="0"/>
    <x v="0"/>
    <x v="0"/>
    <n v="0.18"/>
  </r>
  <r>
    <n v="336"/>
    <d v="2011-01-15T00:00:00"/>
    <n v="1"/>
    <n v="0"/>
    <n v="1"/>
    <n v="11"/>
    <b v="0"/>
    <x v="0"/>
    <x v="0"/>
    <n v="0.2"/>
  </r>
  <r>
    <n v="337"/>
    <d v="2011-01-15T00:00:00"/>
    <n v="1"/>
    <n v="0"/>
    <n v="1"/>
    <n v="12"/>
    <b v="0"/>
    <x v="0"/>
    <x v="0"/>
    <n v="0.24"/>
  </r>
  <r>
    <n v="338"/>
    <d v="2011-01-15T00:00:00"/>
    <n v="1"/>
    <n v="0"/>
    <n v="1"/>
    <n v="13"/>
    <b v="0"/>
    <x v="0"/>
    <x v="0"/>
    <n v="0.28000000000000003"/>
  </r>
  <r>
    <n v="339"/>
    <d v="2011-01-15T00:00:00"/>
    <n v="1"/>
    <n v="0"/>
    <n v="1"/>
    <n v="14"/>
    <b v="0"/>
    <x v="0"/>
    <x v="0"/>
    <n v="0.3"/>
  </r>
  <r>
    <n v="340"/>
    <d v="2011-01-15T00:00:00"/>
    <n v="1"/>
    <n v="0"/>
    <n v="1"/>
    <n v="15"/>
    <b v="0"/>
    <x v="0"/>
    <x v="1"/>
    <n v="0.32"/>
  </r>
  <r>
    <n v="341"/>
    <d v="2011-01-15T00:00:00"/>
    <n v="1"/>
    <n v="0"/>
    <n v="1"/>
    <n v="16"/>
    <b v="0"/>
    <x v="0"/>
    <x v="1"/>
    <n v="0.34"/>
  </r>
  <r>
    <n v="342"/>
    <d v="2011-01-15T00:00:00"/>
    <n v="1"/>
    <n v="0"/>
    <n v="1"/>
    <n v="17"/>
    <b v="0"/>
    <x v="0"/>
    <x v="1"/>
    <n v="0.32"/>
  </r>
  <r>
    <n v="343"/>
    <d v="2011-01-15T00:00:00"/>
    <n v="1"/>
    <n v="0"/>
    <n v="1"/>
    <n v="18"/>
    <b v="0"/>
    <x v="0"/>
    <x v="1"/>
    <n v="0.3"/>
  </r>
  <r>
    <n v="344"/>
    <d v="2011-01-15T00:00:00"/>
    <n v="1"/>
    <n v="0"/>
    <n v="1"/>
    <n v="19"/>
    <b v="0"/>
    <x v="0"/>
    <x v="1"/>
    <n v="0.32"/>
  </r>
  <r>
    <n v="345"/>
    <d v="2011-01-15T00:00:00"/>
    <n v="1"/>
    <n v="0"/>
    <n v="1"/>
    <n v="20"/>
    <b v="0"/>
    <x v="0"/>
    <x v="1"/>
    <n v="0.32"/>
  </r>
  <r>
    <n v="346"/>
    <d v="2011-01-15T00:00:00"/>
    <n v="1"/>
    <n v="0"/>
    <n v="1"/>
    <n v="21"/>
    <b v="0"/>
    <x v="0"/>
    <x v="1"/>
    <n v="0.32"/>
  </r>
  <r>
    <n v="347"/>
    <d v="2011-01-15T00:00:00"/>
    <n v="1"/>
    <n v="0"/>
    <n v="1"/>
    <n v="22"/>
    <b v="0"/>
    <x v="0"/>
    <x v="1"/>
    <n v="0.3"/>
  </r>
  <r>
    <n v="348"/>
    <d v="2011-01-15T00:00:00"/>
    <n v="1"/>
    <n v="0"/>
    <n v="1"/>
    <n v="23"/>
    <b v="0"/>
    <x v="0"/>
    <x v="0"/>
    <n v="0.3"/>
  </r>
  <r>
    <n v="349"/>
    <d v="2011-01-16T00:00:00"/>
    <n v="1"/>
    <n v="0"/>
    <n v="1"/>
    <n v="0"/>
    <b v="0"/>
    <x v="1"/>
    <x v="0"/>
    <n v="0.26"/>
  </r>
  <r>
    <n v="350"/>
    <d v="2011-01-16T00:00:00"/>
    <n v="1"/>
    <n v="0"/>
    <n v="1"/>
    <n v="1"/>
    <b v="0"/>
    <x v="1"/>
    <x v="0"/>
    <n v="0.26"/>
  </r>
  <r>
    <n v="351"/>
    <d v="2011-01-16T00:00:00"/>
    <n v="1"/>
    <n v="0"/>
    <n v="1"/>
    <n v="2"/>
    <b v="0"/>
    <x v="1"/>
    <x v="0"/>
    <n v="0.26"/>
  </r>
  <r>
    <n v="352"/>
    <d v="2011-01-16T00:00:00"/>
    <n v="1"/>
    <n v="0"/>
    <n v="1"/>
    <n v="3"/>
    <b v="0"/>
    <x v="1"/>
    <x v="0"/>
    <n v="0.22"/>
  </r>
  <r>
    <n v="353"/>
    <d v="2011-01-16T00:00:00"/>
    <n v="1"/>
    <n v="0"/>
    <n v="1"/>
    <n v="4"/>
    <b v="0"/>
    <x v="1"/>
    <x v="0"/>
    <n v="0.26"/>
  </r>
  <r>
    <n v="354"/>
    <d v="2011-01-16T00:00:00"/>
    <n v="1"/>
    <n v="0"/>
    <n v="1"/>
    <n v="5"/>
    <b v="0"/>
    <x v="1"/>
    <x v="1"/>
    <n v="0.26"/>
  </r>
  <r>
    <n v="355"/>
    <d v="2011-01-16T00:00:00"/>
    <n v="1"/>
    <n v="0"/>
    <n v="1"/>
    <n v="6"/>
    <b v="0"/>
    <x v="1"/>
    <x v="1"/>
    <n v="0.26"/>
  </r>
  <r>
    <n v="356"/>
    <d v="2011-01-16T00:00:00"/>
    <n v="1"/>
    <n v="0"/>
    <n v="1"/>
    <n v="7"/>
    <b v="0"/>
    <x v="1"/>
    <x v="1"/>
    <n v="0.24"/>
  </r>
  <r>
    <n v="357"/>
    <d v="2011-01-16T00:00:00"/>
    <n v="1"/>
    <n v="0"/>
    <n v="1"/>
    <n v="8"/>
    <b v="0"/>
    <x v="1"/>
    <x v="0"/>
    <n v="0.22"/>
  </r>
  <r>
    <n v="358"/>
    <d v="2011-01-16T00:00:00"/>
    <n v="1"/>
    <n v="0"/>
    <n v="1"/>
    <n v="9"/>
    <b v="0"/>
    <x v="1"/>
    <x v="0"/>
    <n v="0.22"/>
  </r>
  <r>
    <n v="359"/>
    <d v="2011-01-16T00:00:00"/>
    <n v="1"/>
    <n v="0"/>
    <n v="1"/>
    <n v="10"/>
    <b v="0"/>
    <x v="1"/>
    <x v="0"/>
    <n v="0.22"/>
  </r>
  <r>
    <n v="360"/>
    <d v="2011-01-16T00:00:00"/>
    <n v="1"/>
    <n v="0"/>
    <n v="1"/>
    <n v="11"/>
    <b v="0"/>
    <x v="1"/>
    <x v="0"/>
    <n v="0.24"/>
  </r>
  <r>
    <n v="361"/>
    <d v="2011-01-16T00:00:00"/>
    <n v="1"/>
    <n v="0"/>
    <n v="1"/>
    <n v="12"/>
    <b v="0"/>
    <x v="1"/>
    <x v="0"/>
    <n v="0.24"/>
  </r>
  <r>
    <n v="362"/>
    <d v="2011-01-16T00:00:00"/>
    <n v="1"/>
    <n v="0"/>
    <n v="1"/>
    <n v="13"/>
    <b v="0"/>
    <x v="1"/>
    <x v="0"/>
    <n v="0.26"/>
  </r>
  <r>
    <n v="363"/>
    <d v="2011-01-16T00:00:00"/>
    <n v="1"/>
    <n v="0"/>
    <n v="1"/>
    <n v="14"/>
    <b v="0"/>
    <x v="1"/>
    <x v="0"/>
    <n v="0.28000000000000003"/>
  </r>
  <r>
    <n v="364"/>
    <d v="2011-01-16T00:00:00"/>
    <n v="1"/>
    <n v="0"/>
    <n v="1"/>
    <n v="15"/>
    <b v="0"/>
    <x v="1"/>
    <x v="0"/>
    <n v="0.26"/>
  </r>
  <r>
    <n v="365"/>
    <d v="2011-01-16T00:00:00"/>
    <n v="1"/>
    <n v="0"/>
    <n v="1"/>
    <n v="16"/>
    <b v="0"/>
    <x v="1"/>
    <x v="0"/>
    <n v="0.24"/>
  </r>
  <r>
    <n v="366"/>
    <d v="2011-01-16T00:00:00"/>
    <n v="1"/>
    <n v="0"/>
    <n v="1"/>
    <n v="17"/>
    <b v="0"/>
    <x v="1"/>
    <x v="0"/>
    <n v="0.22"/>
  </r>
  <r>
    <n v="367"/>
    <d v="2011-01-16T00:00:00"/>
    <n v="1"/>
    <n v="0"/>
    <n v="1"/>
    <n v="18"/>
    <b v="0"/>
    <x v="1"/>
    <x v="0"/>
    <n v="0.2"/>
  </r>
  <r>
    <n v="368"/>
    <d v="2011-01-16T00:00:00"/>
    <n v="1"/>
    <n v="0"/>
    <n v="1"/>
    <n v="19"/>
    <b v="0"/>
    <x v="1"/>
    <x v="0"/>
    <n v="0.18"/>
  </r>
  <r>
    <n v="369"/>
    <d v="2011-01-16T00:00:00"/>
    <n v="1"/>
    <n v="0"/>
    <n v="1"/>
    <n v="20"/>
    <b v="0"/>
    <x v="1"/>
    <x v="0"/>
    <n v="0.18"/>
  </r>
  <r>
    <n v="370"/>
    <d v="2011-01-16T00:00:00"/>
    <n v="1"/>
    <n v="0"/>
    <n v="1"/>
    <n v="21"/>
    <b v="0"/>
    <x v="1"/>
    <x v="0"/>
    <n v="0.18"/>
  </r>
  <r>
    <n v="371"/>
    <d v="2011-01-16T00:00:00"/>
    <n v="1"/>
    <n v="0"/>
    <n v="1"/>
    <n v="22"/>
    <b v="0"/>
    <x v="1"/>
    <x v="1"/>
    <n v="0.2"/>
  </r>
  <r>
    <n v="372"/>
    <d v="2011-01-16T00:00:00"/>
    <n v="1"/>
    <n v="0"/>
    <n v="1"/>
    <n v="23"/>
    <b v="0"/>
    <x v="1"/>
    <x v="1"/>
    <n v="0.2"/>
  </r>
  <r>
    <n v="373"/>
    <d v="2011-01-17T00:00:00"/>
    <n v="1"/>
    <n v="0"/>
    <n v="1"/>
    <n v="0"/>
    <b v="1"/>
    <x v="2"/>
    <x v="1"/>
    <n v="0.2"/>
  </r>
  <r>
    <n v="374"/>
    <d v="2011-01-17T00:00:00"/>
    <n v="1"/>
    <n v="0"/>
    <n v="1"/>
    <n v="1"/>
    <b v="1"/>
    <x v="2"/>
    <x v="1"/>
    <n v="0.2"/>
  </r>
  <r>
    <n v="375"/>
    <d v="2011-01-17T00:00:00"/>
    <n v="1"/>
    <n v="0"/>
    <n v="1"/>
    <n v="2"/>
    <b v="1"/>
    <x v="2"/>
    <x v="1"/>
    <n v="0.18"/>
  </r>
  <r>
    <n v="376"/>
    <d v="2011-01-17T00:00:00"/>
    <n v="1"/>
    <n v="0"/>
    <n v="1"/>
    <n v="3"/>
    <b v="1"/>
    <x v="2"/>
    <x v="1"/>
    <n v="0.18"/>
  </r>
  <r>
    <n v="377"/>
    <d v="2011-01-17T00:00:00"/>
    <n v="1"/>
    <n v="0"/>
    <n v="1"/>
    <n v="4"/>
    <b v="1"/>
    <x v="2"/>
    <x v="1"/>
    <n v="0.18"/>
  </r>
  <r>
    <n v="378"/>
    <d v="2011-01-17T00:00:00"/>
    <n v="1"/>
    <n v="0"/>
    <n v="1"/>
    <n v="5"/>
    <b v="1"/>
    <x v="2"/>
    <x v="1"/>
    <n v="0.18"/>
  </r>
  <r>
    <n v="379"/>
    <d v="2011-01-17T00:00:00"/>
    <n v="1"/>
    <n v="0"/>
    <n v="1"/>
    <n v="6"/>
    <b v="1"/>
    <x v="2"/>
    <x v="1"/>
    <n v="0.18"/>
  </r>
  <r>
    <n v="380"/>
    <d v="2011-01-17T00:00:00"/>
    <n v="1"/>
    <n v="0"/>
    <n v="1"/>
    <n v="7"/>
    <b v="1"/>
    <x v="2"/>
    <x v="1"/>
    <n v="0.16"/>
  </r>
  <r>
    <n v="381"/>
    <d v="2011-01-17T00:00:00"/>
    <n v="1"/>
    <n v="0"/>
    <n v="1"/>
    <n v="8"/>
    <b v="1"/>
    <x v="2"/>
    <x v="1"/>
    <n v="0.16"/>
  </r>
  <r>
    <n v="382"/>
    <d v="2011-01-17T00:00:00"/>
    <n v="1"/>
    <n v="0"/>
    <n v="1"/>
    <n v="9"/>
    <b v="1"/>
    <x v="2"/>
    <x v="1"/>
    <n v="0.16"/>
  </r>
  <r>
    <n v="383"/>
    <d v="2011-01-17T00:00:00"/>
    <n v="1"/>
    <n v="0"/>
    <n v="1"/>
    <n v="10"/>
    <b v="1"/>
    <x v="2"/>
    <x v="1"/>
    <n v="0.16"/>
  </r>
  <r>
    <n v="384"/>
    <d v="2011-01-17T00:00:00"/>
    <n v="1"/>
    <n v="0"/>
    <n v="1"/>
    <n v="11"/>
    <b v="1"/>
    <x v="2"/>
    <x v="1"/>
    <n v="0.16"/>
  </r>
  <r>
    <n v="385"/>
    <d v="2011-01-17T00:00:00"/>
    <n v="1"/>
    <n v="0"/>
    <n v="1"/>
    <n v="12"/>
    <b v="1"/>
    <x v="2"/>
    <x v="1"/>
    <n v="0.18"/>
  </r>
  <r>
    <n v="386"/>
    <d v="2011-01-17T00:00:00"/>
    <n v="1"/>
    <n v="0"/>
    <n v="1"/>
    <n v="13"/>
    <b v="1"/>
    <x v="2"/>
    <x v="1"/>
    <n v="0.18"/>
  </r>
  <r>
    <n v="387"/>
    <d v="2011-01-17T00:00:00"/>
    <n v="1"/>
    <n v="0"/>
    <n v="1"/>
    <n v="14"/>
    <b v="1"/>
    <x v="2"/>
    <x v="1"/>
    <n v="0.18"/>
  </r>
  <r>
    <n v="388"/>
    <d v="2011-01-17T00:00:00"/>
    <n v="1"/>
    <n v="0"/>
    <n v="1"/>
    <n v="15"/>
    <b v="1"/>
    <x v="2"/>
    <x v="1"/>
    <n v="0.2"/>
  </r>
  <r>
    <n v="389"/>
    <d v="2011-01-17T00:00:00"/>
    <n v="1"/>
    <n v="0"/>
    <n v="1"/>
    <n v="16"/>
    <b v="1"/>
    <x v="2"/>
    <x v="1"/>
    <n v="0.2"/>
  </r>
  <r>
    <n v="390"/>
    <d v="2011-01-17T00:00:00"/>
    <n v="1"/>
    <n v="0"/>
    <n v="1"/>
    <n v="17"/>
    <b v="1"/>
    <x v="2"/>
    <x v="0"/>
    <n v="0.2"/>
  </r>
  <r>
    <n v="391"/>
    <d v="2011-01-17T00:00:00"/>
    <n v="1"/>
    <n v="0"/>
    <n v="1"/>
    <n v="18"/>
    <b v="1"/>
    <x v="2"/>
    <x v="1"/>
    <n v="0.18"/>
  </r>
  <r>
    <n v="392"/>
    <d v="2011-01-17T00:00:00"/>
    <n v="1"/>
    <n v="0"/>
    <n v="1"/>
    <n v="19"/>
    <b v="1"/>
    <x v="2"/>
    <x v="2"/>
    <n v="0.18"/>
  </r>
  <r>
    <n v="393"/>
    <d v="2011-01-17T00:00:00"/>
    <n v="1"/>
    <n v="0"/>
    <n v="1"/>
    <n v="20"/>
    <b v="1"/>
    <x v="2"/>
    <x v="2"/>
    <n v="0.16"/>
  </r>
  <r>
    <n v="394"/>
    <d v="2011-01-17T00:00:00"/>
    <n v="1"/>
    <n v="0"/>
    <n v="1"/>
    <n v="21"/>
    <b v="1"/>
    <x v="2"/>
    <x v="2"/>
    <n v="0.16"/>
  </r>
  <r>
    <n v="395"/>
    <d v="2011-01-17T00:00:00"/>
    <n v="1"/>
    <n v="0"/>
    <n v="1"/>
    <n v="22"/>
    <b v="1"/>
    <x v="2"/>
    <x v="2"/>
    <n v="0.14000000000000001"/>
  </r>
  <r>
    <n v="396"/>
    <d v="2011-01-17T00:00:00"/>
    <n v="1"/>
    <n v="0"/>
    <n v="1"/>
    <n v="23"/>
    <b v="1"/>
    <x v="2"/>
    <x v="2"/>
    <n v="0.16"/>
  </r>
  <r>
    <n v="397"/>
    <d v="2011-01-18T00:00:00"/>
    <n v="1"/>
    <n v="0"/>
    <n v="1"/>
    <n v="12"/>
    <b v="0"/>
    <x v="3"/>
    <x v="1"/>
    <n v="0.2"/>
  </r>
  <r>
    <n v="398"/>
    <d v="2011-01-18T00:00:00"/>
    <n v="1"/>
    <n v="0"/>
    <n v="1"/>
    <n v="13"/>
    <b v="0"/>
    <x v="3"/>
    <x v="1"/>
    <n v="0.2"/>
  </r>
  <r>
    <n v="399"/>
    <d v="2011-01-18T00:00:00"/>
    <n v="1"/>
    <n v="0"/>
    <n v="1"/>
    <n v="14"/>
    <b v="0"/>
    <x v="3"/>
    <x v="1"/>
    <n v="0.22"/>
  </r>
  <r>
    <n v="400"/>
    <d v="2011-01-18T00:00:00"/>
    <n v="1"/>
    <n v="0"/>
    <n v="1"/>
    <n v="15"/>
    <b v="0"/>
    <x v="3"/>
    <x v="1"/>
    <n v="0.22"/>
  </r>
  <r>
    <n v="401"/>
    <d v="2011-01-18T00:00:00"/>
    <n v="1"/>
    <n v="0"/>
    <n v="1"/>
    <n v="16"/>
    <b v="0"/>
    <x v="3"/>
    <x v="1"/>
    <n v="0.22"/>
  </r>
  <r>
    <n v="402"/>
    <d v="2011-01-18T00:00:00"/>
    <n v="1"/>
    <n v="0"/>
    <n v="1"/>
    <n v="17"/>
    <b v="0"/>
    <x v="3"/>
    <x v="1"/>
    <n v="0.22"/>
  </r>
  <r>
    <n v="403"/>
    <d v="2011-01-18T00:00:00"/>
    <n v="1"/>
    <n v="0"/>
    <n v="1"/>
    <n v="18"/>
    <b v="0"/>
    <x v="3"/>
    <x v="1"/>
    <n v="0.22"/>
  </r>
  <r>
    <n v="404"/>
    <d v="2011-01-18T00:00:00"/>
    <n v="1"/>
    <n v="0"/>
    <n v="1"/>
    <n v="19"/>
    <b v="0"/>
    <x v="3"/>
    <x v="1"/>
    <n v="0.22"/>
  </r>
  <r>
    <n v="405"/>
    <d v="2011-01-18T00:00:00"/>
    <n v="1"/>
    <n v="0"/>
    <n v="1"/>
    <n v="20"/>
    <b v="0"/>
    <x v="3"/>
    <x v="1"/>
    <n v="0.22"/>
  </r>
  <r>
    <n v="406"/>
    <d v="2011-01-18T00:00:00"/>
    <n v="1"/>
    <n v="0"/>
    <n v="1"/>
    <n v="21"/>
    <b v="0"/>
    <x v="3"/>
    <x v="1"/>
    <n v="0.22"/>
  </r>
  <r>
    <n v="407"/>
    <d v="2011-01-18T00:00:00"/>
    <n v="1"/>
    <n v="0"/>
    <n v="1"/>
    <n v="22"/>
    <b v="0"/>
    <x v="3"/>
    <x v="1"/>
    <n v="0.22"/>
  </r>
  <r>
    <n v="408"/>
    <d v="2011-01-18T00:00:00"/>
    <n v="1"/>
    <n v="0"/>
    <n v="1"/>
    <n v="23"/>
    <b v="0"/>
    <x v="3"/>
    <x v="1"/>
    <n v="0.22"/>
  </r>
  <r>
    <n v="409"/>
    <d v="2011-01-19T00:00:00"/>
    <n v="1"/>
    <n v="0"/>
    <n v="1"/>
    <n v="0"/>
    <b v="0"/>
    <x v="4"/>
    <x v="1"/>
    <n v="0.22"/>
  </r>
  <r>
    <n v="410"/>
    <d v="2011-01-19T00:00:00"/>
    <n v="1"/>
    <n v="0"/>
    <n v="1"/>
    <n v="1"/>
    <b v="0"/>
    <x v="4"/>
    <x v="2"/>
    <n v="0.22"/>
  </r>
  <r>
    <n v="411"/>
    <d v="2011-01-19T00:00:00"/>
    <n v="1"/>
    <n v="0"/>
    <n v="1"/>
    <n v="2"/>
    <b v="0"/>
    <x v="4"/>
    <x v="2"/>
    <n v="0.22"/>
  </r>
  <r>
    <n v="412"/>
    <d v="2011-01-19T00:00:00"/>
    <n v="1"/>
    <n v="0"/>
    <n v="1"/>
    <n v="4"/>
    <b v="0"/>
    <x v="4"/>
    <x v="2"/>
    <n v="0.22"/>
  </r>
  <r>
    <n v="413"/>
    <d v="2011-01-19T00:00:00"/>
    <n v="1"/>
    <n v="0"/>
    <n v="1"/>
    <n v="5"/>
    <b v="0"/>
    <x v="4"/>
    <x v="1"/>
    <n v="0.22"/>
  </r>
  <r>
    <n v="414"/>
    <d v="2011-01-19T00:00:00"/>
    <n v="1"/>
    <n v="0"/>
    <n v="1"/>
    <n v="6"/>
    <b v="0"/>
    <x v="4"/>
    <x v="1"/>
    <n v="0.22"/>
  </r>
  <r>
    <n v="415"/>
    <d v="2011-01-19T00:00:00"/>
    <n v="1"/>
    <n v="0"/>
    <n v="1"/>
    <n v="7"/>
    <b v="0"/>
    <x v="4"/>
    <x v="1"/>
    <n v="0.24"/>
  </r>
  <r>
    <n v="416"/>
    <d v="2011-01-19T00:00:00"/>
    <n v="1"/>
    <n v="0"/>
    <n v="1"/>
    <n v="8"/>
    <b v="0"/>
    <x v="4"/>
    <x v="1"/>
    <n v="0.24"/>
  </r>
  <r>
    <n v="417"/>
    <d v="2011-01-19T00:00:00"/>
    <n v="1"/>
    <n v="0"/>
    <n v="1"/>
    <n v="9"/>
    <b v="0"/>
    <x v="4"/>
    <x v="1"/>
    <n v="0.24"/>
  </r>
  <r>
    <n v="418"/>
    <d v="2011-01-19T00:00:00"/>
    <n v="1"/>
    <n v="0"/>
    <n v="1"/>
    <n v="10"/>
    <b v="0"/>
    <x v="4"/>
    <x v="1"/>
    <n v="0.26"/>
  </r>
  <r>
    <n v="419"/>
    <d v="2011-01-19T00:00:00"/>
    <n v="1"/>
    <n v="0"/>
    <n v="1"/>
    <n v="11"/>
    <b v="0"/>
    <x v="4"/>
    <x v="1"/>
    <n v="0.28000000000000003"/>
  </r>
  <r>
    <n v="420"/>
    <d v="2011-01-19T00:00:00"/>
    <n v="1"/>
    <n v="0"/>
    <n v="1"/>
    <n v="12"/>
    <b v="0"/>
    <x v="4"/>
    <x v="1"/>
    <n v="0.3"/>
  </r>
  <r>
    <n v="421"/>
    <d v="2011-01-19T00:00:00"/>
    <n v="1"/>
    <n v="0"/>
    <n v="1"/>
    <n v="13"/>
    <b v="0"/>
    <x v="4"/>
    <x v="0"/>
    <n v="0.4"/>
  </r>
  <r>
    <n v="422"/>
    <d v="2011-01-19T00:00:00"/>
    <n v="1"/>
    <n v="0"/>
    <n v="1"/>
    <n v="14"/>
    <b v="0"/>
    <x v="4"/>
    <x v="0"/>
    <n v="0.4"/>
  </r>
  <r>
    <n v="423"/>
    <d v="2011-01-19T00:00:00"/>
    <n v="1"/>
    <n v="0"/>
    <n v="1"/>
    <n v="15"/>
    <b v="0"/>
    <x v="4"/>
    <x v="0"/>
    <n v="0.4"/>
  </r>
  <r>
    <n v="424"/>
    <d v="2011-01-19T00:00:00"/>
    <n v="1"/>
    <n v="0"/>
    <n v="1"/>
    <n v="16"/>
    <b v="0"/>
    <x v="4"/>
    <x v="0"/>
    <n v="0.38"/>
  </r>
  <r>
    <n v="425"/>
    <d v="2011-01-19T00:00:00"/>
    <n v="1"/>
    <n v="0"/>
    <n v="1"/>
    <n v="17"/>
    <b v="0"/>
    <x v="4"/>
    <x v="0"/>
    <n v="0.36"/>
  </r>
  <r>
    <n v="426"/>
    <d v="2011-01-19T00:00:00"/>
    <n v="1"/>
    <n v="0"/>
    <n v="1"/>
    <n v="18"/>
    <b v="0"/>
    <x v="4"/>
    <x v="0"/>
    <n v="0.34"/>
  </r>
  <r>
    <n v="427"/>
    <d v="2011-01-19T00:00:00"/>
    <n v="1"/>
    <n v="0"/>
    <n v="1"/>
    <n v="19"/>
    <b v="0"/>
    <x v="4"/>
    <x v="0"/>
    <n v="0.32"/>
  </r>
  <r>
    <n v="428"/>
    <d v="2011-01-19T00:00:00"/>
    <n v="1"/>
    <n v="0"/>
    <n v="1"/>
    <n v="20"/>
    <b v="0"/>
    <x v="4"/>
    <x v="0"/>
    <n v="0.32"/>
  </r>
  <r>
    <n v="429"/>
    <d v="2011-01-19T00:00:00"/>
    <n v="1"/>
    <n v="0"/>
    <n v="1"/>
    <n v="21"/>
    <b v="0"/>
    <x v="4"/>
    <x v="0"/>
    <n v="0.32"/>
  </r>
  <r>
    <n v="430"/>
    <d v="2011-01-19T00:00:00"/>
    <n v="1"/>
    <n v="0"/>
    <n v="1"/>
    <n v="22"/>
    <b v="0"/>
    <x v="4"/>
    <x v="0"/>
    <n v="0.3"/>
  </r>
  <r>
    <n v="431"/>
    <d v="2011-01-19T00:00:00"/>
    <n v="1"/>
    <n v="0"/>
    <n v="1"/>
    <n v="23"/>
    <b v="0"/>
    <x v="4"/>
    <x v="0"/>
    <n v="0.3"/>
  </r>
  <r>
    <n v="432"/>
    <d v="2011-01-20T00:00:00"/>
    <n v="1"/>
    <n v="0"/>
    <n v="1"/>
    <n v="0"/>
    <b v="0"/>
    <x v="5"/>
    <x v="0"/>
    <n v="0.26"/>
  </r>
  <r>
    <n v="433"/>
    <d v="2011-01-20T00:00:00"/>
    <n v="1"/>
    <n v="0"/>
    <n v="1"/>
    <n v="1"/>
    <b v="0"/>
    <x v="5"/>
    <x v="0"/>
    <n v="0.26"/>
  </r>
  <r>
    <n v="434"/>
    <d v="2011-01-20T00:00:00"/>
    <n v="1"/>
    <n v="0"/>
    <n v="1"/>
    <n v="2"/>
    <b v="0"/>
    <x v="5"/>
    <x v="0"/>
    <n v="0.26"/>
  </r>
  <r>
    <n v="435"/>
    <d v="2011-01-20T00:00:00"/>
    <n v="1"/>
    <n v="0"/>
    <n v="1"/>
    <n v="3"/>
    <b v="0"/>
    <x v="5"/>
    <x v="0"/>
    <n v="0.26"/>
  </r>
  <r>
    <n v="436"/>
    <d v="2011-01-20T00:00:00"/>
    <n v="1"/>
    <n v="0"/>
    <n v="1"/>
    <n v="4"/>
    <b v="0"/>
    <x v="5"/>
    <x v="0"/>
    <n v="0.26"/>
  </r>
  <r>
    <n v="437"/>
    <d v="2011-01-20T00:00:00"/>
    <n v="1"/>
    <n v="0"/>
    <n v="1"/>
    <n v="5"/>
    <b v="0"/>
    <x v="5"/>
    <x v="0"/>
    <n v="0.24"/>
  </r>
  <r>
    <n v="438"/>
    <d v="2011-01-20T00:00:00"/>
    <n v="1"/>
    <n v="0"/>
    <n v="1"/>
    <n v="6"/>
    <b v="0"/>
    <x v="5"/>
    <x v="0"/>
    <n v="0.22"/>
  </r>
  <r>
    <n v="439"/>
    <d v="2011-01-20T00:00:00"/>
    <n v="1"/>
    <n v="0"/>
    <n v="1"/>
    <n v="7"/>
    <b v="0"/>
    <x v="5"/>
    <x v="0"/>
    <n v="0.22"/>
  </r>
  <r>
    <n v="440"/>
    <d v="2011-01-20T00:00:00"/>
    <n v="1"/>
    <n v="0"/>
    <n v="1"/>
    <n v="8"/>
    <b v="0"/>
    <x v="5"/>
    <x v="0"/>
    <n v="0.22"/>
  </r>
  <r>
    <n v="441"/>
    <d v="2011-01-20T00:00:00"/>
    <n v="1"/>
    <n v="0"/>
    <n v="1"/>
    <n v="9"/>
    <b v="0"/>
    <x v="5"/>
    <x v="1"/>
    <n v="0.24"/>
  </r>
  <r>
    <n v="442"/>
    <d v="2011-01-20T00:00:00"/>
    <n v="1"/>
    <n v="0"/>
    <n v="1"/>
    <n v="10"/>
    <b v="0"/>
    <x v="5"/>
    <x v="0"/>
    <n v="0.26"/>
  </r>
  <r>
    <n v="443"/>
    <d v="2011-01-20T00:00:00"/>
    <n v="1"/>
    <n v="0"/>
    <n v="1"/>
    <n v="11"/>
    <b v="0"/>
    <x v="5"/>
    <x v="1"/>
    <n v="0.28000000000000003"/>
  </r>
  <r>
    <n v="444"/>
    <d v="2011-01-20T00:00:00"/>
    <n v="1"/>
    <n v="0"/>
    <n v="1"/>
    <n v="12"/>
    <b v="0"/>
    <x v="5"/>
    <x v="1"/>
    <n v="0.3"/>
  </r>
  <r>
    <n v="445"/>
    <d v="2011-01-20T00:00:00"/>
    <n v="1"/>
    <n v="0"/>
    <n v="1"/>
    <n v="13"/>
    <b v="0"/>
    <x v="5"/>
    <x v="1"/>
    <n v="0.28000000000000003"/>
  </r>
  <r>
    <n v="446"/>
    <d v="2011-01-20T00:00:00"/>
    <n v="1"/>
    <n v="0"/>
    <n v="1"/>
    <n v="14"/>
    <b v="0"/>
    <x v="5"/>
    <x v="1"/>
    <n v="0.3"/>
  </r>
  <r>
    <n v="447"/>
    <d v="2011-01-20T00:00:00"/>
    <n v="1"/>
    <n v="0"/>
    <n v="1"/>
    <n v="15"/>
    <b v="0"/>
    <x v="5"/>
    <x v="1"/>
    <n v="0.32"/>
  </r>
  <r>
    <n v="448"/>
    <d v="2011-01-20T00:00:00"/>
    <n v="1"/>
    <n v="0"/>
    <n v="1"/>
    <n v="16"/>
    <b v="0"/>
    <x v="5"/>
    <x v="1"/>
    <n v="0.3"/>
  </r>
  <r>
    <n v="449"/>
    <d v="2011-01-20T00:00:00"/>
    <n v="1"/>
    <n v="0"/>
    <n v="1"/>
    <n v="17"/>
    <b v="0"/>
    <x v="5"/>
    <x v="1"/>
    <n v="0.3"/>
  </r>
  <r>
    <n v="450"/>
    <d v="2011-01-20T00:00:00"/>
    <n v="1"/>
    <n v="0"/>
    <n v="1"/>
    <n v="18"/>
    <b v="0"/>
    <x v="5"/>
    <x v="1"/>
    <n v="0.26"/>
  </r>
  <r>
    <n v="451"/>
    <d v="2011-01-20T00:00:00"/>
    <n v="1"/>
    <n v="0"/>
    <n v="1"/>
    <n v="19"/>
    <b v="0"/>
    <x v="5"/>
    <x v="0"/>
    <n v="0.26"/>
  </r>
  <r>
    <n v="452"/>
    <d v="2011-01-20T00:00:00"/>
    <n v="1"/>
    <n v="0"/>
    <n v="1"/>
    <n v="20"/>
    <b v="0"/>
    <x v="5"/>
    <x v="1"/>
    <n v="0.26"/>
  </r>
  <r>
    <n v="453"/>
    <d v="2011-01-20T00:00:00"/>
    <n v="1"/>
    <n v="0"/>
    <n v="1"/>
    <n v="21"/>
    <b v="0"/>
    <x v="5"/>
    <x v="1"/>
    <n v="0.24"/>
  </r>
  <r>
    <n v="454"/>
    <d v="2011-01-20T00:00:00"/>
    <n v="1"/>
    <n v="0"/>
    <n v="1"/>
    <n v="22"/>
    <b v="0"/>
    <x v="5"/>
    <x v="1"/>
    <n v="0.24"/>
  </r>
  <r>
    <n v="455"/>
    <d v="2011-01-20T00:00:00"/>
    <n v="1"/>
    <n v="0"/>
    <n v="1"/>
    <n v="23"/>
    <b v="0"/>
    <x v="5"/>
    <x v="1"/>
    <n v="0.24"/>
  </r>
  <r>
    <n v="456"/>
    <d v="2011-01-21T00:00:00"/>
    <n v="1"/>
    <n v="0"/>
    <n v="1"/>
    <n v="0"/>
    <b v="0"/>
    <x v="6"/>
    <x v="1"/>
    <n v="0.24"/>
  </r>
  <r>
    <n v="457"/>
    <d v="2011-01-21T00:00:00"/>
    <n v="1"/>
    <n v="0"/>
    <n v="1"/>
    <n v="1"/>
    <b v="0"/>
    <x v="6"/>
    <x v="1"/>
    <n v="0.24"/>
  </r>
  <r>
    <n v="458"/>
    <d v="2011-01-21T00:00:00"/>
    <n v="1"/>
    <n v="0"/>
    <n v="1"/>
    <n v="2"/>
    <b v="0"/>
    <x v="6"/>
    <x v="2"/>
    <n v="0.24"/>
  </r>
  <r>
    <n v="459"/>
    <d v="2011-01-21T00:00:00"/>
    <n v="1"/>
    <n v="0"/>
    <n v="1"/>
    <n v="3"/>
    <b v="0"/>
    <x v="6"/>
    <x v="2"/>
    <n v="0.22"/>
  </r>
  <r>
    <n v="460"/>
    <d v="2011-01-21T00:00:00"/>
    <n v="1"/>
    <n v="0"/>
    <n v="1"/>
    <n v="4"/>
    <b v="0"/>
    <x v="6"/>
    <x v="1"/>
    <n v="0.22"/>
  </r>
  <r>
    <n v="461"/>
    <d v="2011-01-21T00:00:00"/>
    <n v="1"/>
    <n v="0"/>
    <n v="1"/>
    <n v="5"/>
    <b v="0"/>
    <x v="6"/>
    <x v="0"/>
    <n v="0.24"/>
  </r>
  <r>
    <n v="462"/>
    <d v="2011-01-21T00:00:00"/>
    <n v="1"/>
    <n v="0"/>
    <n v="1"/>
    <n v="6"/>
    <b v="0"/>
    <x v="6"/>
    <x v="0"/>
    <n v="0.22"/>
  </r>
  <r>
    <n v="463"/>
    <d v="2011-01-21T00:00:00"/>
    <n v="1"/>
    <n v="0"/>
    <n v="1"/>
    <n v="7"/>
    <b v="0"/>
    <x v="6"/>
    <x v="0"/>
    <n v="0.2"/>
  </r>
  <r>
    <n v="464"/>
    <d v="2011-01-21T00:00:00"/>
    <n v="1"/>
    <n v="0"/>
    <n v="1"/>
    <n v="8"/>
    <b v="0"/>
    <x v="6"/>
    <x v="0"/>
    <n v="0.2"/>
  </r>
  <r>
    <n v="465"/>
    <d v="2011-01-21T00:00:00"/>
    <n v="1"/>
    <n v="0"/>
    <n v="1"/>
    <n v="9"/>
    <b v="0"/>
    <x v="6"/>
    <x v="0"/>
    <n v="0.2"/>
  </r>
  <r>
    <n v="466"/>
    <d v="2011-01-21T00:00:00"/>
    <n v="1"/>
    <n v="0"/>
    <n v="1"/>
    <n v="10"/>
    <b v="0"/>
    <x v="6"/>
    <x v="0"/>
    <n v="0.2"/>
  </r>
  <r>
    <n v="467"/>
    <d v="2011-01-21T00:00:00"/>
    <n v="1"/>
    <n v="0"/>
    <n v="1"/>
    <n v="11"/>
    <b v="0"/>
    <x v="6"/>
    <x v="0"/>
    <n v="0.22"/>
  </r>
  <r>
    <n v="468"/>
    <d v="2011-01-21T00:00:00"/>
    <n v="1"/>
    <n v="0"/>
    <n v="1"/>
    <n v="12"/>
    <b v="0"/>
    <x v="6"/>
    <x v="0"/>
    <n v="0.22"/>
  </r>
  <r>
    <n v="469"/>
    <d v="2011-01-21T00:00:00"/>
    <n v="1"/>
    <n v="0"/>
    <n v="1"/>
    <n v="13"/>
    <b v="0"/>
    <x v="6"/>
    <x v="0"/>
    <n v="0.2"/>
  </r>
  <r>
    <n v="470"/>
    <d v="2011-01-21T00:00:00"/>
    <n v="1"/>
    <n v="0"/>
    <n v="1"/>
    <n v="14"/>
    <b v="0"/>
    <x v="6"/>
    <x v="0"/>
    <n v="0.2"/>
  </r>
  <r>
    <n v="471"/>
    <d v="2011-01-21T00:00:00"/>
    <n v="1"/>
    <n v="0"/>
    <n v="1"/>
    <n v="15"/>
    <b v="0"/>
    <x v="6"/>
    <x v="0"/>
    <n v="0.16"/>
  </r>
  <r>
    <n v="472"/>
    <d v="2011-01-21T00:00:00"/>
    <n v="1"/>
    <n v="0"/>
    <n v="1"/>
    <n v="16"/>
    <b v="0"/>
    <x v="6"/>
    <x v="0"/>
    <n v="0.16"/>
  </r>
  <r>
    <n v="473"/>
    <d v="2011-01-21T00:00:00"/>
    <n v="1"/>
    <n v="0"/>
    <n v="1"/>
    <n v="17"/>
    <b v="0"/>
    <x v="6"/>
    <x v="0"/>
    <n v="0.14000000000000001"/>
  </r>
  <r>
    <n v="474"/>
    <d v="2011-01-21T00:00:00"/>
    <n v="1"/>
    <n v="0"/>
    <n v="1"/>
    <n v="18"/>
    <b v="0"/>
    <x v="6"/>
    <x v="0"/>
    <n v="0.12"/>
  </r>
  <r>
    <n v="475"/>
    <d v="2011-01-21T00:00:00"/>
    <n v="1"/>
    <n v="0"/>
    <n v="1"/>
    <n v="19"/>
    <b v="0"/>
    <x v="6"/>
    <x v="0"/>
    <n v="0.12"/>
  </r>
  <r>
    <n v="476"/>
    <d v="2011-01-21T00:00:00"/>
    <n v="1"/>
    <n v="0"/>
    <n v="1"/>
    <n v="20"/>
    <b v="0"/>
    <x v="6"/>
    <x v="0"/>
    <n v="0.1"/>
  </r>
  <r>
    <n v="477"/>
    <d v="2011-01-21T00:00:00"/>
    <n v="1"/>
    <n v="0"/>
    <n v="1"/>
    <n v="21"/>
    <b v="0"/>
    <x v="6"/>
    <x v="0"/>
    <n v="0.08"/>
  </r>
  <r>
    <n v="478"/>
    <d v="2011-01-21T00:00:00"/>
    <n v="1"/>
    <n v="0"/>
    <n v="1"/>
    <n v="22"/>
    <b v="0"/>
    <x v="6"/>
    <x v="0"/>
    <n v="0.06"/>
  </r>
  <r>
    <n v="479"/>
    <d v="2011-01-21T00:00:00"/>
    <n v="1"/>
    <n v="0"/>
    <n v="1"/>
    <n v="23"/>
    <b v="0"/>
    <x v="6"/>
    <x v="0"/>
    <n v="0.06"/>
  </r>
  <r>
    <n v="480"/>
    <d v="2011-01-22T00:00:00"/>
    <n v="1"/>
    <n v="0"/>
    <n v="1"/>
    <n v="0"/>
    <b v="0"/>
    <x v="0"/>
    <x v="0"/>
    <n v="0.04"/>
  </r>
  <r>
    <n v="481"/>
    <d v="2011-01-22T00:00:00"/>
    <n v="1"/>
    <n v="0"/>
    <n v="1"/>
    <n v="1"/>
    <b v="0"/>
    <x v="0"/>
    <x v="1"/>
    <n v="0.04"/>
  </r>
  <r>
    <n v="482"/>
    <d v="2011-01-22T00:00:00"/>
    <n v="1"/>
    <n v="0"/>
    <n v="1"/>
    <n v="2"/>
    <b v="0"/>
    <x v="0"/>
    <x v="1"/>
    <n v="0.04"/>
  </r>
  <r>
    <n v="483"/>
    <d v="2011-01-22T00:00:00"/>
    <n v="1"/>
    <n v="0"/>
    <n v="1"/>
    <n v="3"/>
    <b v="0"/>
    <x v="0"/>
    <x v="1"/>
    <n v="0.04"/>
  </r>
  <r>
    <n v="484"/>
    <d v="2011-01-22T00:00:00"/>
    <n v="1"/>
    <n v="0"/>
    <n v="1"/>
    <n v="4"/>
    <b v="0"/>
    <x v="0"/>
    <x v="1"/>
    <n v="0.02"/>
  </r>
  <r>
    <n v="485"/>
    <d v="2011-01-22T00:00:00"/>
    <n v="1"/>
    <n v="0"/>
    <n v="1"/>
    <n v="6"/>
    <b v="0"/>
    <x v="0"/>
    <x v="1"/>
    <n v="0.02"/>
  </r>
  <r>
    <n v="486"/>
    <d v="2011-01-22T00:00:00"/>
    <n v="1"/>
    <n v="0"/>
    <n v="1"/>
    <n v="7"/>
    <b v="0"/>
    <x v="0"/>
    <x v="0"/>
    <n v="0.02"/>
  </r>
  <r>
    <n v="487"/>
    <d v="2011-01-22T00:00:00"/>
    <n v="1"/>
    <n v="0"/>
    <n v="1"/>
    <n v="8"/>
    <b v="0"/>
    <x v="0"/>
    <x v="0"/>
    <n v="0.02"/>
  </r>
  <r>
    <n v="488"/>
    <d v="2011-01-22T00:00:00"/>
    <n v="1"/>
    <n v="0"/>
    <n v="1"/>
    <n v="9"/>
    <b v="0"/>
    <x v="0"/>
    <x v="0"/>
    <n v="0.04"/>
  </r>
  <r>
    <n v="489"/>
    <d v="2011-01-22T00:00:00"/>
    <n v="1"/>
    <n v="0"/>
    <n v="1"/>
    <n v="10"/>
    <b v="0"/>
    <x v="0"/>
    <x v="1"/>
    <n v="0.04"/>
  </r>
  <r>
    <n v="490"/>
    <d v="2011-01-22T00:00:00"/>
    <n v="1"/>
    <n v="0"/>
    <n v="1"/>
    <n v="11"/>
    <b v="0"/>
    <x v="0"/>
    <x v="1"/>
    <n v="0.06"/>
  </r>
  <r>
    <n v="491"/>
    <d v="2011-01-22T00:00:00"/>
    <n v="1"/>
    <n v="0"/>
    <n v="1"/>
    <n v="12"/>
    <b v="0"/>
    <x v="0"/>
    <x v="1"/>
    <n v="0.06"/>
  </r>
  <r>
    <n v="492"/>
    <d v="2011-01-22T00:00:00"/>
    <n v="1"/>
    <n v="0"/>
    <n v="1"/>
    <n v="13"/>
    <b v="0"/>
    <x v="0"/>
    <x v="0"/>
    <n v="0.08"/>
  </r>
  <r>
    <n v="493"/>
    <d v="2011-01-22T00:00:00"/>
    <n v="1"/>
    <n v="0"/>
    <n v="1"/>
    <n v="14"/>
    <b v="0"/>
    <x v="0"/>
    <x v="0"/>
    <n v="0.1"/>
  </r>
  <r>
    <n v="494"/>
    <d v="2011-01-22T00:00:00"/>
    <n v="1"/>
    <n v="0"/>
    <n v="1"/>
    <n v="15"/>
    <b v="0"/>
    <x v="0"/>
    <x v="0"/>
    <n v="0.12"/>
  </r>
  <r>
    <n v="495"/>
    <d v="2011-01-22T00:00:00"/>
    <n v="1"/>
    <n v="0"/>
    <n v="1"/>
    <n v="16"/>
    <b v="0"/>
    <x v="0"/>
    <x v="0"/>
    <n v="0.12"/>
  </r>
  <r>
    <n v="496"/>
    <d v="2011-01-22T00:00:00"/>
    <n v="1"/>
    <n v="0"/>
    <n v="1"/>
    <n v="17"/>
    <b v="0"/>
    <x v="0"/>
    <x v="0"/>
    <n v="0.12"/>
  </r>
  <r>
    <n v="497"/>
    <d v="2011-01-22T00:00:00"/>
    <n v="1"/>
    <n v="0"/>
    <n v="1"/>
    <n v="18"/>
    <b v="0"/>
    <x v="0"/>
    <x v="0"/>
    <n v="0.08"/>
  </r>
  <r>
    <n v="498"/>
    <d v="2011-01-22T00:00:00"/>
    <n v="1"/>
    <n v="0"/>
    <n v="1"/>
    <n v="19"/>
    <b v="0"/>
    <x v="0"/>
    <x v="0"/>
    <n v="0.08"/>
  </r>
  <r>
    <n v="499"/>
    <d v="2011-01-22T00:00:00"/>
    <n v="1"/>
    <n v="0"/>
    <n v="1"/>
    <n v="20"/>
    <b v="0"/>
    <x v="0"/>
    <x v="0"/>
    <n v="0.06"/>
  </r>
  <r>
    <n v="500"/>
    <d v="2011-01-22T00:00:00"/>
    <n v="1"/>
    <n v="0"/>
    <n v="1"/>
    <n v="21"/>
    <b v="0"/>
    <x v="0"/>
    <x v="0"/>
    <n v="0.06"/>
  </r>
  <r>
    <n v="501"/>
    <d v="2011-01-22T00:00:00"/>
    <n v="1"/>
    <n v="0"/>
    <n v="1"/>
    <n v="22"/>
    <b v="0"/>
    <x v="0"/>
    <x v="0"/>
    <n v="0.06"/>
  </r>
  <r>
    <n v="502"/>
    <d v="2011-01-22T00:00:00"/>
    <n v="1"/>
    <n v="0"/>
    <n v="1"/>
    <n v="23"/>
    <b v="0"/>
    <x v="0"/>
    <x v="0"/>
    <n v="0.04"/>
  </r>
  <r>
    <n v="503"/>
    <d v="2011-01-23T00:00:00"/>
    <n v="1"/>
    <n v="0"/>
    <n v="1"/>
    <n v="0"/>
    <b v="0"/>
    <x v="1"/>
    <x v="0"/>
    <n v="0.04"/>
  </r>
  <r>
    <n v="504"/>
    <d v="2011-01-23T00:00:00"/>
    <n v="1"/>
    <n v="0"/>
    <n v="1"/>
    <n v="1"/>
    <b v="0"/>
    <x v="1"/>
    <x v="0"/>
    <n v="0.04"/>
  </r>
  <r>
    <n v="505"/>
    <d v="2011-01-23T00:00:00"/>
    <n v="1"/>
    <n v="0"/>
    <n v="1"/>
    <n v="2"/>
    <b v="0"/>
    <x v="1"/>
    <x v="0"/>
    <n v="0.02"/>
  </r>
  <r>
    <n v="506"/>
    <d v="2011-01-23T00:00:00"/>
    <n v="1"/>
    <n v="0"/>
    <n v="1"/>
    <n v="3"/>
    <b v="0"/>
    <x v="1"/>
    <x v="0"/>
    <n v="0.02"/>
  </r>
  <r>
    <n v="507"/>
    <d v="2011-01-23T00:00:00"/>
    <n v="1"/>
    <n v="0"/>
    <n v="1"/>
    <n v="5"/>
    <b v="0"/>
    <x v="1"/>
    <x v="1"/>
    <n v="0.04"/>
  </r>
  <r>
    <n v="508"/>
    <d v="2011-01-23T00:00:00"/>
    <n v="1"/>
    <n v="0"/>
    <n v="1"/>
    <n v="6"/>
    <b v="0"/>
    <x v="1"/>
    <x v="1"/>
    <n v="0.04"/>
  </r>
  <r>
    <n v="509"/>
    <d v="2011-01-23T00:00:00"/>
    <n v="1"/>
    <n v="0"/>
    <n v="1"/>
    <n v="7"/>
    <b v="0"/>
    <x v="1"/>
    <x v="0"/>
    <n v="0.08"/>
  </r>
  <r>
    <n v="510"/>
    <d v="2011-01-23T00:00:00"/>
    <n v="1"/>
    <n v="0"/>
    <n v="1"/>
    <n v="8"/>
    <b v="0"/>
    <x v="1"/>
    <x v="0"/>
    <n v="0.06"/>
  </r>
  <r>
    <n v="511"/>
    <d v="2011-01-23T00:00:00"/>
    <n v="1"/>
    <n v="0"/>
    <n v="1"/>
    <n v="9"/>
    <b v="0"/>
    <x v="1"/>
    <x v="0"/>
    <n v="0.1"/>
  </r>
  <r>
    <n v="512"/>
    <d v="2011-01-23T00:00:00"/>
    <n v="1"/>
    <n v="0"/>
    <n v="1"/>
    <n v="10"/>
    <b v="0"/>
    <x v="1"/>
    <x v="0"/>
    <n v="0.14000000000000001"/>
  </r>
  <r>
    <n v="513"/>
    <d v="2011-01-23T00:00:00"/>
    <n v="1"/>
    <n v="0"/>
    <n v="1"/>
    <n v="11"/>
    <b v="0"/>
    <x v="1"/>
    <x v="0"/>
    <n v="0.14000000000000001"/>
  </r>
  <r>
    <n v="514"/>
    <d v="2011-01-23T00:00:00"/>
    <n v="1"/>
    <n v="0"/>
    <n v="1"/>
    <n v="12"/>
    <b v="0"/>
    <x v="1"/>
    <x v="0"/>
    <n v="0.16"/>
  </r>
  <r>
    <n v="515"/>
    <d v="2011-01-23T00:00:00"/>
    <n v="1"/>
    <n v="0"/>
    <n v="1"/>
    <n v="13"/>
    <b v="0"/>
    <x v="1"/>
    <x v="0"/>
    <n v="0.14000000000000001"/>
  </r>
  <r>
    <n v="516"/>
    <d v="2011-01-23T00:00:00"/>
    <n v="1"/>
    <n v="0"/>
    <n v="1"/>
    <n v="14"/>
    <b v="0"/>
    <x v="1"/>
    <x v="0"/>
    <n v="0.16"/>
  </r>
  <r>
    <n v="517"/>
    <d v="2011-01-23T00:00:00"/>
    <n v="1"/>
    <n v="0"/>
    <n v="1"/>
    <n v="15"/>
    <b v="0"/>
    <x v="1"/>
    <x v="0"/>
    <n v="0.16"/>
  </r>
  <r>
    <n v="518"/>
    <d v="2011-01-23T00:00:00"/>
    <n v="1"/>
    <n v="0"/>
    <n v="1"/>
    <n v="16"/>
    <b v="0"/>
    <x v="1"/>
    <x v="0"/>
    <n v="0.16"/>
  </r>
  <r>
    <n v="519"/>
    <d v="2011-01-23T00:00:00"/>
    <n v="1"/>
    <n v="0"/>
    <n v="1"/>
    <n v="17"/>
    <b v="0"/>
    <x v="1"/>
    <x v="0"/>
    <n v="0.14000000000000001"/>
  </r>
  <r>
    <n v="520"/>
    <d v="2011-01-23T00:00:00"/>
    <n v="1"/>
    <n v="0"/>
    <n v="1"/>
    <n v="18"/>
    <b v="0"/>
    <x v="1"/>
    <x v="0"/>
    <n v="0.12"/>
  </r>
  <r>
    <n v="521"/>
    <d v="2011-01-23T00:00:00"/>
    <n v="1"/>
    <n v="0"/>
    <n v="1"/>
    <n v="19"/>
    <b v="0"/>
    <x v="1"/>
    <x v="0"/>
    <n v="0.12"/>
  </r>
  <r>
    <n v="522"/>
    <d v="2011-01-23T00:00:00"/>
    <n v="1"/>
    <n v="0"/>
    <n v="1"/>
    <n v="20"/>
    <b v="0"/>
    <x v="1"/>
    <x v="0"/>
    <n v="0.1"/>
  </r>
  <r>
    <n v="523"/>
    <d v="2011-01-23T00:00:00"/>
    <n v="1"/>
    <n v="0"/>
    <n v="1"/>
    <n v="21"/>
    <b v="0"/>
    <x v="1"/>
    <x v="0"/>
    <n v="0.1"/>
  </r>
  <r>
    <n v="524"/>
    <d v="2011-01-23T00:00:00"/>
    <n v="1"/>
    <n v="0"/>
    <n v="1"/>
    <n v="22"/>
    <b v="0"/>
    <x v="1"/>
    <x v="0"/>
    <n v="0.08"/>
  </r>
  <r>
    <n v="525"/>
    <d v="2011-01-23T00:00:00"/>
    <n v="1"/>
    <n v="0"/>
    <n v="1"/>
    <n v="23"/>
    <b v="0"/>
    <x v="1"/>
    <x v="0"/>
    <n v="0.06"/>
  </r>
  <r>
    <n v="526"/>
    <d v="2011-01-24T00:00:00"/>
    <n v="1"/>
    <n v="0"/>
    <n v="1"/>
    <n v="0"/>
    <b v="0"/>
    <x v="2"/>
    <x v="0"/>
    <n v="0.06"/>
  </r>
  <r>
    <n v="527"/>
    <d v="2011-01-24T00:00:00"/>
    <n v="1"/>
    <n v="0"/>
    <n v="1"/>
    <n v="1"/>
    <b v="0"/>
    <x v="2"/>
    <x v="0"/>
    <n v="0.04"/>
  </r>
  <r>
    <n v="528"/>
    <d v="2011-01-24T00:00:00"/>
    <n v="1"/>
    <n v="0"/>
    <n v="1"/>
    <n v="3"/>
    <b v="0"/>
    <x v="2"/>
    <x v="0"/>
    <n v="0.04"/>
  </r>
  <r>
    <n v="529"/>
    <d v="2011-01-24T00:00:00"/>
    <n v="1"/>
    <n v="0"/>
    <n v="1"/>
    <n v="4"/>
    <b v="0"/>
    <x v="2"/>
    <x v="0"/>
    <n v="0.02"/>
  </r>
  <r>
    <n v="530"/>
    <d v="2011-01-24T00:00:00"/>
    <n v="1"/>
    <n v="0"/>
    <n v="1"/>
    <n v="5"/>
    <b v="0"/>
    <x v="2"/>
    <x v="0"/>
    <n v="0.02"/>
  </r>
  <r>
    <n v="531"/>
    <d v="2011-01-24T00:00:00"/>
    <n v="1"/>
    <n v="0"/>
    <n v="1"/>
    <n v="6"/>
    <b v="0"/>
    <x v="2"/>
    <x v="0"/>
    <n v="0.02"/>
  </r>
  <r>
    <n v="532"/>
    <d v="2011-01-24T00:00:00"/>
    <n v="1"/>
    <n v="0"/>
    <n v="1"/>
    <n v="7"/>
    <b v="0"/>
    <x v="2"/>
    <x v="0"/>
    <n v="0.02"/>
  </r>
  <r>
    <n v="533"/>
    <d v="2011-01-24T00:00:00"/>
    <n v="1"/>
    <n v="0"/>
    <n v="1"/>
    <n v="8"/>
    <b v="0"/>
    <x v="2"/>
    <x v="0"/>
    <n v="0.04"/>
  </r>
  <r>
    <n v="534"/>
    <d v="2011-01-24T00:00:00"/>
    <n v="1"/>
    <n v="0"/>
    <n v="1"/>
    <n v="9"/>
    <b v="0"/>
    <x v="2"/>
    <x v="0"/>
    <n v="0.06"/>
  </r>
  <r>
    <n v="535"/>
    <d v="2011-01-24T00:00:00"/>
    <n v="1"/>
    <n v="0"/>
    <n v="1"/>
    <n v="10"/>
    <b v="0"/>
    <x v="2"/>
    <x v="0"/>
    <n v="0.1"/>
  </r>
  <r>
    <n v="536"/>
    <d v="2011-01-24T00:00:00"/>
    <n v="1"/>
    <n v="0"/>
    <n v="1"/>
    <n v="11"/>
    <b v="0"/>
    <x v="2"/>
    <x v="0"/>
    <n v="0.1"/>
  </r>
  <r>
    <n v="537"/>
    <d v="2011-01-24T00:00:00"/>
    <n v="1"/>
    <n v="0"/>
    <n v="1"/>
    <n v="12"/>
    <b v="0"/>
    <x v="2"/>
    <x v="1"/>
    <n v="0.12"/>
  </r>
  <r>
    <n v="538"/>
    <d v="2011-01-24T00:00:00"/>
    <n v="1"/>
    <n v="0"/>
    <n v="1"/>
    <n v="13"/>
    <b v="0"/>
    <x v="2"/>
    <x v="1"/>
    <n v="0.14000000000000001"/>
  </r>
  <r>
    <n v="539"/>
    <d v="2011-01-24T00:00:00"/>
    <n v="1"/>
    <n v="0"/>
    <n v="1"/>
    <n v="14"/>
    <b v="0"/>
    <x v="2"/>
    <x v="1"/>
    <n v="0.14000000000000001"/>
  </r>
  <r>
    <n v="540"/>
    <d v="2011-01-24T00:00:00"/>
    <n v="1"/>
    <n v="0"/>
    <n v="1"/>
    <n v="15"/>
    <b v="0"/>
    <x v="2"/>
    <x v="0"/>
    <n v="0.16"/>
  </r>
  <r>
    <n v="541"/>
    <d v="2011-01-24T00:00:00"/>
    <n v="1"/>
    <n v="0"/>
    <n v="1"/>
    <n v="16"/>
    <b v="0"/>
    <x v="2"/>
    <x v="0"/>
    <n v="0.16"/>
  </r>
  <r>
    <n v="542"/>
    <d v="2011-01-24T00:00:00"/>
    <n v="1"/>
    <n v="0"/>
    <n v="1"/>
    <n v="17"/>
    <b v="0"/>
    <x v="2"/>
    <x v="0"/>
    <n v="0.14000000000000001"/>
  </r>
  <r>
    <n v="543"/>
    <d v="2011-01-24T00:00:00"/>
    <n v="1"/>
    <n v="0"/>
    <n v="1"/>
    <n v="18"/>
    <b v="0"/>
    <x v="2"/>
    <x v="0"/>
    <n v="0.14000000000000001"/>
  </r>
  <r>
    <n v="544"/>
    <d v="2011-01-24T00:00:00"/>
    <n v="1"/>
    <n v="0"/>
    <n v="1"/>
    <n v="19"/>
    <b v="0"/>
    <x v="2"/>
    <x v="0"/>
    <n v="0.14000000000000001"/>
  </r>
  <r>
    <n v="545"/>
    <d v="2011-01-24T00:00:00"/>
    <n v="1"/>
    <n v="0"/>
    <n v="1"/>
    <n v="20"/>
    <b v="0"/>
    <x v="2"/>
    <x v="0"/>
    <n v="0.14000000000000001"/>
  </r>
  <r>
    <n v="546"/>
    <d v="2011-01-24T00:00:00"/>
    <n v="1"/>
    <n v="0"/>
    <n v="1"/>
    <n v="21"/>
    <b v="0"/>
    <x v="2"/>
    <x v="0"/>
    <n v="0.14000000000000001"/>
  </r>
  <r>
    <n v="547"/>
    <d v="2011-01-24T00:00:00"/>
    <n v="1"/>
    <n v="0"/>
    <n v="1"/>
    <n v="22"/>
    <b v="0"/>
    <x v="2"/>
    <x v="1"/>
    <n v="0.14000000000000001"/>
  </r>
  <r>
    <n v="548"/>
    <d v="2011-01-24T00:00:00"/>
    <n v="1"/>
    <n v="0"/>
    <n v="1"/>
    <n v="23"/>
    <b v="0"/>
    <x v="2"/>
    <x v="1"/>
    <n v="0.16"/>
  </r>
  <r>
    <n v="549"/>
    <d v="2011-01-25T00:00:00"/>
    <n v="1"/>
    <n v="0"/>
    <n v="1"/>
    <n v="0"/>
    <b v="0"/>
    <x v="3"/>
    <x v="1"/>
    <n v="0.16"/>
  </r>
  <r>
    <n v="550"/>
    <d v="2011-01-25T00:00:00"/>
    <n v="1"/>
    <n v="0"/>
    <n v="1"/>
    <n v="1"/>
    <b v="0"/>
    <x v="3"/>
    <x v="1"/>
    <n v="0.16"/>
  </r>
  <r>
    <n v="551"/>
    <d v="2011-01-25T00:00:00"/>
    <n v="1"/>
    <n v="0"/>
    <n v="1"/>
    <n v="2"/>
    <b v="0"/>
    <x v="3"/>
    <x v="0"/>
    <n v="0.16"/>
  </r>
  <r>
    <n v="552"/>
    <d v="2011-01-25T00:00:00"/>
    <n v="1"/>
    <n v="0"/>
    <n v="1"/>
    <n v="4"/>
    <b v="0"/>
    <x v="3"/>
    <x v="0"/>
    <n v="0.14000000000000001"/>
  </r>
  <r>
    <n v="553"/>
    <d v="2011-01-25T00:00:00"/>
    <n v="1"/>
    <n v="0"/>
    <n v="1"/>
    <n v="5"/>
    <b v="0"/>
    <x v="3"/>
    <x v="0"/>
    <n v="0.14000000000000001"/>
  </r>
  <r>
    <n v="554"/>
    <d v="2011-01-25T00:00:00"/>
    <n v="1"/>
    <n v="0"/>
    <n v="1"/>
    <n v="6"/>
    <b v="0"/>
    <x v="3"/>
    <x v="0"/>
    <n v="0.16"/>
  </r>
  <r>
    <n v="555"/>
    <d v="2011-01-25T00:00:00"/>
    <n v="1"/>
    <n v="0"/>
    <n v="1"/>
    <n v="7"/>
    <b v="0"/>
    <x v="3"/>
    <x v="0"/>
    <n v="0.16"/>
  </r>
  <r>
    <n v="556"/>
    <d v="2011-01-25T00:00:00"/>
    <n v="1"/>
    <n v="0"/>
    <n v="1"/>
    <n v="8"/>
    <b v="0"/>
    <x v="3"/>
    <x v="1"/>
    <n v="0.16"/>
  </r>
  <r>
    <n v="557"/>
    <d v="2011-01-25T00:00:00"/>
    <n v="1"/>
    <n v="0"/>
    <n v="1"/>
    <n v="9"/>
    <b v="0"/>
    <x v="3"/>
    <x v="1"/>
    <n v="0.2"/>
  </r>
  <r>
    <n v="558"/>
    <d v="2011-01-25T00:00:00"/>
    <n v="1"/>
    <n v="0"/>
    <n v="1"/>
    <n v="10"/>
    <b v="0"/>
    <x v="3"/>
    <x v="1"/>
    <n v="0.22"/>
  </r>
  <r>
    <n v="559"/>
    <d v="2011-01-25T00:00:00"/>
    <n v="1"/>
    <n v="0"/>
    <n v="1"/>
    <n v="11"/>
    <b v="0"/>
    <x v="3"/>
    <x v="1"/>
    <n v="0.24"/>
  </r>
  <r>
    <n v="560"/>
    <d v="2011-01-25T00:00:00"/>
    <n v="1"/>
    <n v="0"/>
    <n v="1"/>
    <n v="12"/>
    <b v="0"/>
    <x v="3"/>
    <x v="1"/>
    <n v="0.26"/>
  </r>
  <r>
    <n v="561"/>
    <d v="2011-01-25T00:00:00"/>
    <n v="1"/>
    <n v="0"/>
    <n v="1"/>
    <n v="13"/>
    <b v="0"/>
    <x v="3"/>
    <x v="1"/>
    <n v="0.26"/>
  </r>
  <r>
    <n v="562"/>
    <d v="2011-01-25T00:00:00"/>
    <n v="1"/>
    <n v="0"/>
    <n v="1"/>
    <n v="14"/>
    <b v="0"/>
    <x v="3"/>
    <x v="1"/>
    <n v="0.3"/>
  </r>
  <r>
    <n v="563"/>
    <d v="2011-01-25T00:00:00"/>
    <n v="1"/>
    <n v="0"/>
    <n v="1"/>
    <n v="15"/>
    <b v="0"/>
    <x v="3"/>
    <x v="1"/>
    <n v="0.32"/>
  </r>
  <r>
    <n v="564"/>
    <d v="2011-01-25T00:00:00"/>
    <n v="1"/>
    <n v="0"/>
    <n v="1"/>
    <n v="16"/>
    <b v="0"/>
    <x v="3"/>
    <x v="1"/>
    <n v="0.32"/>
  </r>
  <r>
    <n v="565"/>
    <d v="2011-01-25T00:00:00"/>
    <n v="1"/>
    <n v="0"/>
    <n v="1"/>
    <n v="17"/>
    <b v="0"/>
    <x v="3"/>
    <x v="0"/>
    <n v="0.3"/>
  </r>
  <r>
    <n v="566"/>
    <d v="2011-01-25T00:00:00"/>
    <n v="1"/>
    <n v="0"/>
    <n v="1"/>
    <n v="18"/>
    <b v="0"/>
    <x v="3"/>
    <x v="1"/>
    <n v="0.3"/>
  </r>
  <r>
    <n v="567"/>
    <d v="2011-01-25T00:00:00"/>
    <n v="1"/>
    <n v="0"/>
    <n v="1"/>
    <n v="19"/>
    <b v="0"/>
    <x v="3"/>
    <x v="1"/>
    <n v="0.26"/>
  </r>
  <r>
    <n v="568"/>
    <d v="2011-01-25T00:00:00"/>
    <n v="1"/>
    <n v="0"/>
    <n v="1"/>
    <n v="20"/>
    <b v="0"/>
    <x v="3"/>
    <x v="0"/>
    <n v="0.24"/>
  </r>
  <r>
    <n v="569"/>
    <d v="2011-01-25T00:00:00"/>
    <n v="1"/>
    <n v="0"/>
    <n v="1"/>
    <n v="21"/>
    <b v="0"/>
    <x v="3"/>
    <x v="0"/>
    <n v="0.24"/>
  </r>
  <r>
    <n v="570"/>
    <d v="2011-01-25T00:00:00"/>
    <n v="1"/>
    <n v="0"/>
    <n v="1"/>
    <n v="22"/>
    <b v="0"/>
    <x v="3"/>
    <x v="0"/>
    <n v="0.22"/>
  </r>
  <r>
    <n v="571"/>
    <d v="2011-01-25T00:00:00"/>
    <n v="1"/>
    <n v="0"/>
    <n v="1"/>
    <n v="23"/>
    <b v="0"/>
    <x v="3"/>
    <x v="1"/>
    <n v="0.22"/>
  </r>
  <r>
    <n v="572"/>
    <d v="2011-01-26T00:00:00"/>
    <n v="1"/>
    <n v="0"/>
    <n v="1"/>
    <n v="0"/>
    <b v="0"/>
    <x v="4"/>
    <x v="1"/>
    <n v="0.22"/>
  </r>
  <r>
    <n v="573"/>
    <d v="2011-01-26T00:00:00"/>
    <n v="1"/>
    <n v="0"/>
    <n v="1"/>
    <n v="1"/>
    <b v="0"/>
    <x v="4"/>
    <x v="1"/>
    <n v="0.24"/>
  </r>
  <r>
    <n v="574"/>
    <d v="2011-01-26T00:00:00"/>
    <n v="1"/>
    <n v="0"/>
    <n v="1"/>
    <n v="2"/>
    <b v="0"/>
    <x v="4"/>
    <x v="2"/>
    <n v="0.22"/>
  </r>
  <r>
    <n v="575"/>
    <d v="2011-01-26T00:00:00"/>
    <n v="1"/>
    <n v="0"/>
    <n v="1"/>
    <n v="5"/>
    <b v="0"/>
    <x v="4"/>
    <x v="2"/>
    <n v="0.2"/>
  </r>
  <r>
    <n v="576"/>
    <d v="2011-01-26T00:00:00"/>
    <n v="1"/>
    <n v="0"/>
    <n v="1"/>
    <n v="6"/>
    <b v="0"/>
    <x v="4"/>
    <x v="2"/>
    <n v="0.2"/>
  </r>
  <r>
    <n v="577"/>
    <d v="2011-01-26T00:00:00"/>
    <n v="1"/>
    <n v="0"/>
    <n v="1"/>
    <n v="7"/>
    <b v="0"/>
    <x v="4"/>
    <x v="2"/>
    <n v="0.22"/>
  </r>
  <r>
    <n v="578"/>
    <d v="2011-01-26T00:00:00"/>
    <n v="1"/>
    <n v="0"/>
    <n v="1"/>
    <n v="8"/>
    <b v="0"/>
    <x v="4"/>
    <x v="2"/>
    <n v="0.22"/>
  </r>
  <r>
    <n v="579"/>
    <d v="2011-01-26T00:00:00"/>
    <n v="1"/>
    <n v="0"/>
    <n v="1"/>
    <n v="9"/>
    <b v="0"/>
    <x v="4"/>
    <x v="2"/>
    <n v="0.22"/>
  </r>
  <r>
    <n v="580"/>
    <d v="2011-01-26T00:00:00"/>
    <n v="1"/>
    <n v="0"/>
    <n v="1"/>
    <n v="10"/>
    <b v="0"/>
    <x v="4"/>
    <x v="2"/>
    <n v="0.22"/>
  </r>
  <r>
    <n v="581"/>
    <d v="2011-01-26T00:00:00"/>
    <n v="1"/>
    <n v="0"/>
    <n v="1"/>
    <n v="11"/>
    <b v="0"/>
    <x v="4"/>
    <x v="2"/>
    <n v="0.22"/>
  </r>
  <r>
    <n v="582"/>
    <d v="2011-01-26T00:00:00"/>
    <n v="1"/>
    <n v="0"/>
    <n v="1"/>
    <n v="12"/>
    <b v="0"/>
    <x v="4"/>
    <x v="2"/>
    <n v="0.22"/>
  </r>
  <r>
    <n v="583"/>
    <d v="2011-01-26T00:00:00"/>
    <n v="1"/>
    <n v="0"/>
    <n v="1"/>
    <n v="13"/>
    <b v="0"/>
    <x v="4"/>
    <x v="2"/>
    <n v="0.22"/>
  </r>
  <r>
    <n v="584"/>
    <d v="2011-01-26T00:00:00"/>
    <n v="1"/>
    <n v="0"/>
    <n v="1"/>
    <n v="14"/>
    <b v="0"/>
    <x v="4"/>
    <x v="2"/>
    <n v="0.22"/>
  </r>
  <r>
    <n v="585"/>
    <d v="2011-01-26T00:00:00"/>
    <n v="1"/>
    <n v="0"/>
    <n v="1"/>
    <n v="15"/>
    <b v="0"/>
    <x v="4"/>
    <x v="2"/>
    <n v="0.22"/>
  </r>
  <r>
    <n v="586"/>
    <d v="2011-01-26T00:00:00"/>
    <n v="1"/>
    <n v="0"/>
    <n v="1"/>
    <n v="16"/>
    <b v="0"/>
    <x v="4"/>
    <x v="3"/>
    <n v="0.22"/>
  </r>
  <r>
    <n v="587"/>
    <d v="2011-01-26T00:00:00"/>
    <n v="1"/>
    <n v="0"/>
    <n v="1"/>
    <n v="17"/>
    <b v="0"/>
    <x v="4"/>
    <x v="2"/>
    <n v="0.2"/>
  </r>
  <r>
    <n v="588"/>
    <d v="2011-01-27T00:00:00"/>
    <n v="1"/>
    <n v="0"/>
    <n v="1"/>
    <n v="16"/>
    <b v="0"/>
    <x v="5"/>
    <x v="0"/>
    <n v="0.22"/>
  </r>
  <r>
    <n v="589"/>
    <d v="2011-01-27T00:00:00"/>
    <n v="1"/>
    <n v="0"/>
    <n v="1"/>
    <n v="17"/>
    <b v="0"/>
    <x v="5"/>
    <x v="0"/>
    <n v="0.22"/>
  </r>
  <r>
    <n v="590"/>
    <d v="2011-01-27T00:00:00"/>
    <n v="1"/>
    <n v="0"/>
    <n v="1"/>
    <n v="18"/>
    <b v="0"/>
    <x v="5"/>
    <x v="0"/>
    <n v="0.2"/>
  </r>
  <r>
    <n v="591"/>
    <d v="2011-01-27T00:00:00"/>
    <n v="1"/>
    <n v="0"/>
    <n v="1"/>
    <n v="19"/>
    <b v="0"/>
    <x v="5"/>
    <x v="0"/>
    <n v="0.2"/>
  </r>
  <r>
    <n v="592"/>
    <d v="2011-01-27T00:00:00"/>
    <n v="1"/>
    <n v="0"/>
    <n v="1"/>
    <n v="20"/>
    <b v="0"/>
    <x v="5"/>
    <x v="0"/>
    <n v="0.18"/>
  </r>
  <r>
    <n v="593"/>
    <d v="2011-01-27T00:00:00"/>
    <n v="1"/>
    <n v="0"/>
    <n v="1"/>
    <n v="21"/>
    <b v="0"/>
    <x v="5"/>
    <x v="0"/>
    <n v="0.18"/>
  </r>
  <r>
    <n v="594"/>
    <d v="2011-01-27T00:00:00"/>
    <n v="1"/>
    <n v="0"/>
    <n v="1"/>
    <n v="22"/>
    <b v="0"/>
    <x v="5"/>
    <x v="0"/>
    <n v="0.18"/>
  </r>
  <r>
    <n v="595"/>
    <d v="2011-01-27T00:00:00"/>
    <n v="1"/>
    <n v="0"/>
    <n v="1"/>
    <n v="23"/>
    <b v="0"/>
    <x v="5"/>
    <x v="0"/>
    <n v="0.18"/>
  </r>
  <r>
    <n v="596"/>
    <d v="2011-01-28T00:00:00"/>
    <n v="1"/>
    <n v="0"/>
    <n v="1"/>
    <n v="0"/>
    <b v="0"/>
    <x v="6"/>
    <x v="1"/>
    <n v="0.2"/>
  </r>
  <r>
    <n v="597"/>
    <d v="2011-01-28T00:00:00"/>
    <n v="1"/>
    <n v="0"/>
    <n v="1"/>
    <n v="1"/>
    <b v="0"/>
    <x v="6"/>
    <x v="1"/>
    <n v="0.2"/>
  </r>
  <r>
    <n v="598"/>
    <d v="2011-01-28T00:00:00"/>
    <n v="1"/>
    <n v="0"/>
    <n v="1"/>
    <n v="2"/>
    <b v="0"/>
    <x v="6"/>
    <x v="1"/>
    <n v="0.2"/>
  </r>
  <r>
    <n v="599"/>
    <d v="2011-01-28T00:00:00"/>
    <n v="1"/>
    <n v="0"/>
    <n v="1"/>
    <n v="3"/>
    <b v="0"/>
    <x v="6"/>
    <x v="1"/>
    <n v="0.2"/>
  </r>
  <r>
    <n v="600"/>
    <d v="2011-01-28T00:00:00"/>
    <n v="1"/>
    <n v="0"/>
    <n v="1"/>
    <n v="5"/>
    <b v="0"/>
    <x v="6"/>
    <x v="1"/>
    <n v="0.18"/>
  </r>
  <r>
    <n v="601"/>
    <d v="2011-01-28T00:00:00"/>
    <n v="1"/>
    <n v="0"/>
    <n v="1"/>
    <n v="6"/>
    <b v="0"/>
    <x v="6"/>
    <x v="1"/>
    <n v="0.18"/>
  </r>
  <r>
    <n v="602"/>
    <d v="2011-01-28T00:00:00"/>
    <n v="1"/>
    <n v="0"/>
    <n v="1"/>
    <n v="7"/>
    <b v="0"/>
    <x v="6"/>
    <x v="1"/>
    <n v="0.16"/>
  </r>
  <r>
    <n v="603"/>
    <d v="2011-01-28T00:00:00"/>
    <n v="1"/>
    <n v="0"/>
    <n v="1"/>
    <n v="8"/>
    <b v="0"/>
    <x v="6"/>
    <x v="1"/>
    <n v="0.16"/>
  </r>
  <r>
    <n v="604"/>
    <d v="2011-01-28T00:00:00"/>
    <n v="1"/>
    <n v="0"/>
    <n v="1"/>
    <n v="9"/>
    <b v="0"/>
    <x v="6"/>
    <x v="2"/>
    <n v="0.18"/>
  </r>
  <r>
    <n v="605"/>
    <d v="2011-01-28T00:00:00"/>
    <n v="1"/>
    <n v="0"/>
    <n v="1"/>
    <n v="10"/>
    <b v="0"/>
    <x v="6"/>
    <x v="2"/>
    <n v="0.18"/>
  </r>
  <r>
    <n v="606"/>
    <d v="2011-01-28T00:00:00"/>
    <n v="1"/>
    <n v="0"/>
    <n v="1"/>
    <n v="11"/>
    <b v="0"/>
    <x v="6"/>
    <x v="2"/>
    <n v="0.18"/>
  </r>
  <r>
    <n v="607"/>
    <d v="2011-01-28T00:00:00"/>
    <n v="1"/>
    <n v="0"/>
    <n v="1"/>
    <n v="12"/>
    <b v="0"/>
    <x v="6"/>
    <x v="2"/>
    <n v="0.18"/>
  </r>
  <r>
    <n v="608"/>
    <d v="2011-01-28T00:00:00"/>
    <n v="1"/>
    <n v="0"/>
    <n v="1"/>
    <n v="13"/>
    <b v="0"/>
    <x v="6"/>
    <x v="2"/>
    <n v="0.18"/>
  </r>
  <r>
    <n v="609"/>
    <d v="2011-01-28T00:00:00"/>
    <n v="1"/>
    <n v="0"/>
    <n v="1"/>
    <n v="14"/>
    <b v="0"/>
    <x v="6"/>
    <x v="2"/>
    <n v="0.22"/>
  </r>
  <r>
    <n v="610"/>
    <d v="2011-01-28T00:00:00"/>
    <n v="1"/>
    <n v="0"/>
    <n v="1"/>
    <n v="15"/>
    <b v="0"/>
    <x v="6"/>
    <x v="1"/>
    <n v="0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n v="1"/>
    <n v="0"/>
    <n v="1"/>
    <n v="0"/>
    <x v="0"/>
    <n v="6"/>
    <n v="1"/>
    <n v="0.24"/>
  </r>
  <r>
    <n v="2"/>
    <d v="2011-01-01T00:00:00"/>
    <n v="1"/>
    <n v="0"/>
    <n v="1"/>
    <n v="1"/>
    <x v="0"/>
    <n v="6"/>
    <n v="1"/>
    <n v="0.22"/>
  </r>
  <r>
    <n v="3"/>
    <d v="2011-01-01T00:00:00"/>
    <n v="1"/>
    <n v="0"/>
    <n v="1"/>
    <n v="2"/>
    <x v="0"/>
    <n v="6"/>
    <n v="1"/>
    <n v="0.22"/>
  </r>
  <r>
    <n v="4"/>
    <d v="2011-01-01T00:00:00"/>
    <n v="1"/>
    <n v="0"/>
    <n v="1"/>
    <n v="3"/>
    <x v="0"/>
    <n v="6"/>
    <n v="1"/>
    <n v="0.24"/>
  </r>
  <r>
    <n v="5"/>
    <d v="2011-01-01T00:00:00"/>
    <n v="1"/>
    <n v="0"/>
    <n v="1"/>
    <n v="4"/>
    <x v="0"/>
    <n v="6"/>
    <n v="1"/>
    <n v="0.24"/>
  </r>
  <r>
    <n v="6"/>
    <d v="2011-01-01T00:00:00"/>
    <n v="1"/>
    <n v="0"/>
    <n v="1"/>
    <n v="5"/>
    <x v="0"/>
    <n v="6"/>
    <n v="2"/>
    <n v="0.24"/>
  </r>
  <r>
    <n v="7"/>
    <d v="2011-01-01T00:00:00"/>
    <n v="1"/>
    <n v="0"/>
    <n v="1"/>
    <n v="6"/>
    <x v="0"/>
    <n v="6"/>
    <n v="1"/>
    <n v="0.22"/>
  </r>
  <r>
    <n v="8"/>
    <d v="2011-01-01T00:00:00"/>
    <n v="1"/>
    <n v="0"/>
    <n v="1"/>
    <n v="7"/>
    <x v="0"/>
    <n v="6"/>
    <n v="1"/>
    <n v="0.2"/>
  </r>
  <r>
    <n v="9"/>
    <d v="2011-01-01T00:00:00"/>
    <n v="1"/>
    <n v="0"/>
    <n v="1"/>
    <n v="8"/>
    <x v="0"/>
    <n v="6"/>
    <n v="1"/>
    <n v="0.24"/>
  </r>
  <r>
    <n v="10"/>
    <d v="2011-01-01T00:00:00"/>
    <n v="1"/>
    <n v="0"/>
    <n v="1"/>
    <n v="9"/>
    <x v="0"/>
    <n v="6"/>
    <n v="1"/>
    <n v="0.32"/>
  </r>
  <r>
    <n v="11"/>
    <d v="2011-01-01T00:00:00"/>
    <n v="1"/>
    <n v="0"/>
    <n v="1"/>
    <n v="10"/>
    <x v="0"/>
    <n v="6"/>
    <n v="1"/>
    <n v="0.38"/>
  </r>
  <r>
    <n v="12"/>
    <d v="2011-01-01T00:00:00"/>
    <n v="1"/>
    <n v="0"/>
    <n v="1"/>
    <n v="11"/>
    <x v="0"/>
    <n v="6"/>
    <n v="1"/>
    <n v="0.36"/>
  </r>
  <r>
    <n v="13"/>
    <d v="2011-01-01T00:00:00"/>
    <n v="1"/>
    <n v="0"/>
    <n v="1"/>
    <n v="12"/>
    <x v="0"/>
    <n v="6"/>
    <n v="1"/>
    <n v="0.42"/>
  </r>
  <r>
    <n v="14"/>
    <d v="2011-01-01T00:00:00"/>
    <n v="1"/>
    <n v="0"/>
    <n v="1"/>
    <n v="13"/>
    <x v="0"/>
    <n v="6"/>
    <n v="2"/>
    <n v="0.46"/>
  </r>
  <r>
    <n v="15"/>
    <d v="2011-01-01T00:00:00"/>
    <n v="1"/>
    <n v="0"/>
    <n v="1"/>
    <n v="14"/>
    <x v="0"/>
    <n v="6"/>
    <n v="2"/>
    <n v="0.46"/>
  </r>
  <r>
    <n v="16"/>
    <d v="2011-01-01T00:00:00"/>
    <n v="1"/>
    <n v="0"/>
    <n v="1"/>
    <n v="15"/>
    <x v="0"/>
    <n v="6"/>
    <n v="2"/>
    <n v="0.44"/>
  </r>
  <r>
    <n v="17"/>
    <d v="2011-01-01T00:00:00"/>
    <n v="1"/>
    <n v="0"/>
    <n v="1"/>
    <n v="16"/>
    <x v="0"/>
    <n v="6"/>
    <n v="2"/>
    <n v="0.42"/>
  </r>
  <r>
    <n v="18"/>
    <d v="2011-01-01T00:00:00"/>
    <n v="1"/>
    <n v="0"/>
    <n v="1"/>
    <n v="17"/>
    <x v="0"/>
    <n v="6"/>
    <n v="2"/>
    <n v="0.44"/>
  </r>
  <r>
    <n v="19"/>
    <d v="2011-01-01T00:00:00"/>
    <n v="1"/>
    <n v="0"/>
    <n v="1"/>
    <n v="18"/>
    <x v="0"/>
    <n v="6"/>
    <n v="3"/>
    <n v="0.42"/>
  </r>
  <r>
    <n v="20"/>
    <d v="2011-01-01T00:00:00"/>
    <n v="1"/>
    <n v="0"/>
    <n v="1"/>
    <n v="19"/>
    <x v="0"/>
    <n v="6"/>
    <n v="3"/>
    <n v="0.42"/>
  </r>
  <r>
    <n v="21"/>
    <d v="2011-01-01T00:00:00"/>
    <n v="1"/>
    <n v="0"/>
    <n v="1"/>
    <n v="20"/>
    <x v="0"/>
    <n v="6"/>
    <n v="2"/>
    <n v="0.4"/>
  </r>
  <r>
    <n v="22"/>
    <d v="2011-01-01T00:00:00"/>
    <n v="1"/>
    <n v="0"/>
    <n v="1"/>
    <n v="21"/>
    <x v="0"/>
    <n v="6"/>
    <n v="2"/>
    <n v="0.4"/>
  </r>
  <r>
    <n v="23"/>
    <d v="2011-01-01T00:00:00"/>
    <n v="1"/>
    <n v="0"/>
    <n v="1"/>
    <n v="22"/>
    <x v="0"/>
    <n v="6"/>
    <n v="2"/>
    <n v="0.4"/>
  </r>
  <r>
    <n v="24"/>
    <d v="2011-01-01T00:00:00"/>
    <n v="1"/>
    <n v="0"/>
    <n v="1"/>
    <n v="23"/>
    <x v="0"/>
    <n v="6"/>
    <n v="2"/>
    <n v="0.46"/>
  </r>
  <r>
    <n v="25"/>
    <d v="2011-01-02T00:00:00"/>
    <n v="1"/>
    <n v="0"/>
    <n v="1"/>
    <n v="0"/>
    <x v="0"/>
    <n v="0"/>
    <n v="2"/>
    <n v="0.46"/>
  </r>
  <r>
    <n v="26"/>
    <d v="2011-01-02T00:00:00"/>
    <n v="1"/>
    <n v="0"/>
    <n v="1"/>
    <n v="1"/>
    <x v="0"/>
    <n v="0"/>
    <n v="2"/>
    <n v="0.44"/>
  </r>
  <r>
    <n v="27"/>
    <d v="2011-01-02T00:00:00"/>
    <n v="1"/>
    <n v="0"/>
    <n v="1"/>
    <n v="2"/>
    <x v="0"/>
    <n v="0"/>
    <n v="2"/>
    <n v="0.42"/>
  </r>
  <r>
    <n v="28"/>
    <d v="2011-01-02T00:00:00"/>
    <n v="1"/>
    <n v="0"/>
    <n v="1"/>
    <n v="3"/>
    <x v="0"/>
    <n v="0"/>
    <n v="2"/>
    <n v="0.46"/>
  </r>
  <r>
    <n v="29"/>
    <d v="2011-01-02T00:00:00"/>
    <n v="1"/>
    <n v="0"/>
    <n v="1"/>
    <n v="4"/>
    <x v="0"/>
    <n v="0"/>
    <n v="2"/>
    <n v="0.46"/>
  </r>
  <r>
    <n v="30"/>
    <d v="2011-01-02T00:00:00"/>
    <n v="1"/>
    <n v="0"/>
    <n v="1"/>
    <n v="6"/>
    <x v="0"/>
    <n v="0"/>
    <n v="3"/>
    <n v="0.42"/>
  </r>
  <r>
    <n v="31"/>
    <d v="2011-01-02T00:00:00"/>
    <n v="1"/>
    <n v="0"/>
    <n v="1"/>
    <n v="7"/>
    <x v="0"/>
    <n v="0"/>
    <n v="2"/>
    <n v="0.4"/>
  </r>
  <r>
    <n v="32"/>
    <d v="2011-01-02T00:00:00"/>
    <n v="1"/>
    <n v="0"/>
    <n v="1"/>
    <n v="8"/>
    <x v="0"/>
    <n v="0"/>
    <n v="3"/>
    <n v="0.4"/>
  </r>
  <r>
    <n v="33"/>
    <d v="2011-01-02T00:00:00"/>
    <n v="1"/>
    <n v="0"/>
    <n v="1"/>
    <n v="9"/>
    <x v="0"/>
    <n v="0"/>
    <n v="2"/>
    <n v="0.38"/>
  </r>
  <r>
    <n v="34"/>
    <d v="2011-01-02T00:00:00"/>
    <n v="1"/>
    <n v="0"/>
    <n v="1"/>
    <n v="10"/>
    <x v="0"/>
    <n v="0"/>
    <n v="2"/>
    <n v="0.36"/>
  </r>
  <r>
    <n v="35"/>
    <d v="2011-01-02T00:00:00"/>
    <n v="1"/>
    <n v="0"/>
    <n v="1"/>
    <n v="11"/>
    <x v="0"/>
    <n v="0"/>
    <n v="2"/>
    <n v="0.36"/>
  </r>
  <r>
    <n v="36"/>
    <d v="2011-01-02T00:00:00"/>
    <n v="1"/>
    <n v="0"/>
    <n v="1"/>
    <n v="12"/>
    <x v="0"/>
    <n v="0"/>
    <n v="2"/>
    <n v="0.36"/>
  </r>
  <r>
    <n v="37"/>
    <d v="2011-01-02T00:00:00"/>
    <n v="1"/>
    <n v="0"/>
    <n v="1"/>
    <n v="13"/>
    <x v="0"/>
    <n v="0"/>
    <n v="2"/>
    <n v="0.36"/>
  </r>
  <r>
    <n v="38"/>
    <d v="2011-01-02T00:00:00"/>
    <n v="1"/>
    <n v="0"/>
    <n v="1"/>
    <n v="14"/>
    <x v="0"/>
    <n v="0"/>
    <n v="3"/>
    <n v="0.36"/>
  </r>
  <r>
    <n v="39"/>
    <d v="2011-01-02T00:00:00"/>
    <n v="1"/>
    <n v="0"/>
    <n v="1"/>
    <n v="15"/>
    <x v="0"/>
    <n v="0"/>
    <n v="3"/>
    <n v="0.34"/>
  </r>
  <r>
    <n v="40"/>
    <d v="2011-01-02T00:00:00"/>
    <n v="1"/>
    <n v="0"/>
    <n v="1"/>
    <n v="16"/>
    <x v="0"/>
    <n v="0"/>
    <n v="3"/>
    <n v="0.34"/>
  </r>
  <r>
    <n v="41"/>
    <d v="2011-01-02T00:00:00"/>
    <n v="1"/>
    <n v="0"/>
    <n v="1"/>
    <n v="17"/>
    <x v="0"/>
    <n v="0"/>
    <n v="1"/>
    <n v="0.34"/>
  </r>
  <r>
    <n v="42"/>
    <d v="2011-01-02T00:00:00"/>
    <n v="1"/>
    <n v="0"/>
    <n v="1"/>
    <n v="18"/>
    <x v="0"/>
    <n v="0"/>
    <n v="2"/>
    <n v="0.36"/>
  </r>
  <r>
    <n v="43"/>
    <d v="2011-01-02T00:00:00"/>
    <n v="1"/>
    <n v="0"/>
    <n v="1"/>
    <n v="19"/>
    <x v="0"/>
    <n v="0"/>
    <n v="1"/>
    <n v="0.32"/>
  </r>
  <r>
    <n v="44"/>
    <d v="2011-01-02T00:00:00"/>
    <n v="1"/>
    <n v="0"/>
    <n v="1"/>
    <n v="20"/>
    <x v="0"/>
    <n v="0"/>
    <n v="1"/>
    <n v="0.3"/>
  </r>
  <r>
    <n v="45"/>
    <d v="2011-01-02T00:00:00"/>
    <n v="1"/>
    <n v="0"/>
    <n v="1"/>
    <n v="21"/>
    <x v="0"/>
    <n v="0"/>
    <n v="1"/>
    <n v="0.26"/>
  </r>
  <r>
    <n v="46"/>
    <d v="2011-01-02T00:00:00"/>
    <n v="1"/>
    <n v="0"/>
    <n v="1"/>
    <n v="22"/>
    <x v="0"/>
    <n v="0"/>
    <n v="1"/>
    <n v="0.24"/>
  </r>
  <r>
    <n v="47"/>
    <d v="2011-01-02T00:00:00"/>
    <n v="1"/>
    <n v="0"/>
    <n v="1"/>
    <n v="23"/>
    <x v="0"/>
    <n v="0"/>
    <n v="1"/>
    <n v="0.22"/>
  </r>
  <r>
    <n v="48"/>
    <d v="2011-01-03T00:00:00"/>
    <n v="1"/>
    <n v="0"/>
    <n v="1"/>
    <n v="0"/>
    <x v="0"/>
    <n v="1"/>
    <n v="1"/>
    <n v="0.22"/>
  </r>
  <r>
    <n v="49"/>
    <d v="2011-01-03T00:00:00"/>
    <n v="1"/>
    <n v="0"/>
    <n v="1"/>
    <n v="1"/>
    <x v="0"/>
    <n v="1"/>
    <n v="1"/>
    <n v="0.2"/>
  </r>
  <r>
    <n v="50"/>
    <d v="2011-01-03T00:00:00"/>
    <n v="1"/>
    <n v="0"/>
    <n v="1"/>
    <n v="4"/>
    <x v="0"/>
    <n v="1"/>
    <n v="1"/>
    <n v="0.16"/>
  </r>
  <r>
    <n v="51"/>
    <d v="2011-01-03T00:00:00"/>
    <n v="1"/>
    <n v="0"/>
    <n v="1"/>
    <n v="5"/>
    <x v="0"/>
    <n v="1"/>
    <n v="1"/>
    <n v="0.16"/>
  </r>
  <r>
    <n v="52"/>
    <d v="2011-01-03T00:00:00"/>
    <n v="1"/>
    <n v="0"/>
    <n v="1"/>
    <n v="6"/>
    <x v="0"/>
    <n v="1"/>
    <n v="1"/>
    <n v="0.14000000000000001"/>
  </r>
  <r>
    <n v="53"/>
    <d v="2011-01-03T00:00:00"/>
    <n v="1"/>
    <n v="0"/>
    <n v="1"/>
    <n v="7"/>
    <x v="0"/>
    <n v="1"/>
    <n v="1"/>
    <n v="0.14000000000000001"/>
  </r>
  <r>
    <n v="54"/>
    <d v="2011-01-03T00:00:00"/>
    <n v="1"/>
    <n v="0"/>
    <n v="1"/>
    <n v="8"/>
    <x v="0"/>
    <n v="1"/>
    <n v="1"/>
    <n v="0.14000000000000001"/>
  </r>
  <r>
    <n v="55"/>
    <d v="2011-01-03T00:00:00"/>
    <n v="1"/>
    <n v="0"/>
    <n v="1"/>
    <n v="9"/>
    <x v="0"/>
    <n v="1"/>
    <n v="1"/>
    <n v="0.16"/>
  </r>
  <r>
    <n v="56"/>
    <d v="2011-01-03T00:00:00"/>
    <n v="1"/>
    <n v="0"/>
    <n v="1"/>
    <n v="10"/>
    <x v="0"/>
    <n v="1"/>
    <n v="1"/>
    <n v="0.18"/>
  </r>
  <r>
    <n v="57"/>
    <d v="2011-01-03T00:00:00"/>
    <n v="1"/>
    <n v="0"/>
    <n v="1"/>
    <n v="11"/>
    <x v="0"/>
    <n v="1"/>
    <n v="1"/>
    <n v="0.2"/>
  </r>
  <r>
    <n v="58"/>
    <d v="2011-01-03T00:00:00"/>
    <n v="1"/>
    <n v="0"/>
    <n v="1"/>
    <n v="12"/>
    <x v="0"/>
    <n v="1"/>
    <n v="1"/>
    <n v="0.22"/>
  </r>
  <r>
    <n v="59"/>
    <d v="2011-01-03T00:00:00"/>
    <n v="1"/>
    <n v="0"/>
    <n v="1"/>
    <n v="13"/>
    <x v="0"/>
    <n v="1"/>
    <n v="1"/>
    <n v="0.24"/>
  </r>
  <r>
    <n v="60"/>
    <d v="2011-01-03T00:00:00"/>
    <n v="1"/>
    <n v="0"/>
    <n v="1"/>
    <n v="14"/>
    <x v="0"/>
    <n v="1"/>
    <n v="1"/>
    <n v="0.26"/>
  </r>
  <r>
    <n v="61"/>
    <d v="2011-01-03T00:00:00"/>
    <n v="1"/>
    <n v="0"/>
    <n v="1"/>
    <n v="15"/>
    <x v="0"/>
    <n v="1"/>
    <n v="1"/>
    <n v="0.26"/>
  </r>
  <r>
    <n v="62"/>
    <d v="2011-01-03T00:00:00"/>
    <n v="1"/>
    <n v="0"/>
    <n v="1"/>
    <n v="16"/>
    <x v="0"/>
    <n v="1"/>
    <n v="1"/>
    <n v="0.26"/>
  </r>
  <r>
    <n v="63"/>
    <d v="2011-01-03T00:00:00"/>
    <n v="1"/>
    <n v="0"/>
    <n v="1"/>
    <n v="17"/>
    <x v="0"/>
    <n v="1"/>
    <n v="1"/>
    <n v="0.24"/>
  </r>
  <r>
    <n v="64"/>
    <d v="2011-01-03T00:00:00"/>
    <n v="1"/>
    <n v="0"/>
    <n v="1"/>
    <n v="18"/>
    <x v="0"/>
    <n v="1"/>
    <n v="1"/>
    <n v="0.24"/>
  </r>
  <r>
    <n v="65"/>
    <d v="2011-01-03T00:00:00"/>
    <n v="1"/>
    <n v="0"/>
    <n v="1"/>
    <n v="19"/>
    <x v="0"/>
    <n v="1"/>
    <n v="1"/>
    <n v="0.2"/>
  </r>
  <r>
    <n v="66"/>
    <d v="2011-01-03T00:00:00"/>
    <n v="1"/>
    <n v="0"/>
    <n v="1"/>
    <n v="20"/>
    <x v="0"/>
    <n v="1"/>
    <n v="1"/>
    <n v="0.2"/>
  </r>
  <r>
    <n v="67"/>
    <d v="2011-01-03T00:00:00"/>
    <n v="1"/>
    <n v="0"/>
    <n v="1"/>
    <n v="21"/>
    <x v="0"/>
    <n v="1"/>
    <n v="1"/>
    <n v="0.18"/>
  </r>
  <r>
    <n v="68"/>
    <d v="2011-01-03T00:00:00"/>
    <n v="1"/>
    <n v="0"/>
    <n v="1"/>
    <n v="22"/>
    <x v="0"/>
    <n v="1"/>
    <n v="1"/>
    <n v="0.14000000000000001"/>
  </r>
  <r>
    <n v="69"/>
    <d v="2011-01-03T00:00:00"/>
    <n v="1"/>
    <n v="0"/>
    <n v="1"/>
    <n v="23"/>
    <x v="0"/>
    <n v="1"/>
    <n v="1"/>
    <n v="0.18"/>
  </r>
  <r>
    <n v="70"/>
    <d v="2011-01-04T00:00:00"/>
    <n v="1"/>
    <n v="0"/>
    <n v="1"/>
    <n v="0"/>
    <x v="0"/>
    <n v="2"/>
    <n v="1"/>
    <n v="0.16"/>
  </r>
  <r>
    <n v="71"/>
    <d v="2011-01-04T00:00:00"/>
    <n v="1"/>
    <n v="0"/>
    <n v="1"/>
    <n v="1"/>
    <x v="0"/>
    <n v="2"/>
    <n v="1"/>
    <n v="0.16"/>
  </r>
  <r>
    <n v="72"/>
    <d v="2011-01-04T00:00:00"/>
    <n v="1"/>
    <n v="0"/>
    <n v="1"/>
    <n v="2"/>
    <x v="0"/>
    <n v="2"/>
    <n v="1"/>
    <n v="0.14000000000000001"/>
  </r>
  <r>
    <n v="73"/>
    <d v="2011-01-04T00:00:00"/>
    <n v="1"/>
    <n v="0"/>
    <n v="1"/>
    <n v="4"/>
    <x v="0"/>
    <n v="2"/>
    <n v="1"/>
    <n v="0.14000000000000001"/>
  </r>
  <r>
    <n v="74"/>
    <d v="2011-01-04T00:00:00"/>
    <n v="1"/>
    <n v="0"/>
    <n v="1"/>
    <n v="5"/>
    <x v="0"/>
    <n v="2"/>
    <n v="1"/>
    <n v="0.12"/>
  </r>
  <r>
    <n v="75"/>
    <d v="2011-01-04T00:00:00"/>
    <n v="1"/>
    <n v="0"/>
    <n v="1"/>
    <n v="6"/>
    <x v="0"/>
    <n v="2"/>
    <n v="1"/>
    <n v="0.12"/>
  </r>
  <r>
    <n v="76"/>
    <d v="2011-01-04T00:00:00"/>
    <n v="1"/>
    <n v="0"/>
    <n v="1"/>
    <n v="7"/>
    <x v="0"/>
    <n v="2"/>
    <n v="1"/>
    <n v="0.12"/>
  </r>
  <r>
    <n v="77"/>
    <d v="2011-01-04T00:00:00"/>
    <n v="1"/>
    <n v="0"/>
    <n v="1"/>
    <n v="8"/>
    <x v="0"/>
    <n v="2"/>
    <n v="1"/>
    <n v="0.14000000000000001"/>
  </r>
  <r>
    <n v="78"/>
    <d v="2011-01-04T00:00:00"/>
    <n v="1"/>
    <n v="0"/>
    <n v="1"/>
    <n v="9"/>
    <x v="0"/>
    <n v="2"/>
    <n v="1"/>
    <n v="0.16"/>
  </r>
  <r>
    <n v="79"/>
    <d v="2011-01-04T00:00:00"/>
    <n v="1"/>
    <n v="0"/>
    <n v="1"/>
    <n v="10"/>
    <x v="0"/>
    <n v="2"/>
    <n v="2"/>
    <n v="0.16"/>
  </r>
  <r>
    <n v="80"/>
    <d v="2011-01-04T00:00:00"/>
    <n v="1"/>
    <n v="0"/>
    <n v="1"/>
    <n v="11"/>
    <x v="0"/>
    <n v="2"/>
    <n v="1"/>
    <n v="0.22"/>
  </r>
  <r>
    <n v="81"/>
    <d v="2011-01-04T00:00:00"/>
    <n v="1"/>
    <n v="0"/>
    <n v="1"/>
    <n v="12"/>
    <x v="0"/>
    <n v="2"/>
    <n v="1"/>
    <n v="0.22"/>
  </r>
  <r>
    <n v="82"/>
    <d v="2011-01-04T00:00:00"/>
    <n v="1"/>
    <n v="0"/>
    <n v="1"/>
    <n v="13"/>
    <x v="0"/>
    <n v="2"/>
    <n v="1"/>
    <n v="0.24"/>
  </r>
  <r>
    <n v="83"/>
    <d v="2011-01-04T00:00:00"/>
    <n v="1"/>
    <n v="0"/>
    <n v="1"/>
    <n v="14"/>
    <x v="0"/>
    <n v="2"/>
    <n v="1"/>
    <n v="0.26"/>
  </r>
  <r>
    <n v="84"/>
    <d v="2011-01-04T00:00:00"/>
    <n v="1"/>
    <n v="0"/>
    <n v="1"/>
    <n v="15"/>
    <x v="0"/>
    <n v="2"/>
    <n v="1"/>
    <n v="0.28000000000000003"/>
  </r>
  <r>
    <n v="85"/>
    <d v="2011-01-04T00:00:00"/>
    <n v="1"/>
    <n v="0"/>
    <n v="1"/>
    <n v="16"/>
    <x v="0"/>
    <n v="2"/>
    <n v="1"/>
    <n v="0.3"/>
  </r>
  <r>
    <n v="86"/>
    <d v="2011-01-04T00:00:00"/>
    <n v="1"/>
    <n v="0"/>
    <n v="1"/>
    <n v="17"/>
    <x v="0"/>
    <n v="2"/>
    <n v="1"/>
    <n v="0.28000000000000003"/>
  </r>
  <r>
    <n v="87"/>
    <d v="2011-01-04T00:00:00"/>
    <n v="1"/>
    <n v="0"/>
    <n v="1"/>
    <n v="18"/>
    <x v="0"/>
    <n v="2"/>
    <n v="1"/>
    <n v="0.26"/>
  </r>
  <r>
    <n v="88"/>
    <d v="2011-01-04T00:00:00"/>
    <n v="1"/>
    <n v="0"/>
    <n v="1"/>
    <n v="19"/>
    <x v="0"/>
    <n v="2"/>
    <n v="1"/>
    <n v="0.24"/>
  </r>
  <r>
    <n v="89"/>
    <d v="2011-01-04T00:00:00"/>
    <n v="1"/>
    <n v="0"/>
    <n v="1"/>
    <n v="20"/>
    <x v="0"/>
    <n v="2"/>
    <n v="1"/>
    <n v="0.24"/>
  </r>
  <r>
    <n v="90"/>
    <d v="2011-01-04T00:00:00"/>
    <n v="1"/>
    <n v="0"/>
    <n v="1"/>
    <n v="21"/>
    <x v="0"/>
    <n v="2"/>
    <n v="1"/>
    <n v="0.22"/>
  </r>
  <r>
    <n v="91"/>
    <d v="2011-01-04T00:00:00"/>
    <n v="1"/>
    <n v="0"/>
    <n v="1"/>
    <n v="22"/>
    <x v="0"/>
    <n v="2"/>
    <n v="1"/>
    <n v="0.22"/>
  </r>
  <r>
    <n v="92"/>
    <d v="2011-01-04T00:00:00"/>
    <n v="1"/>
    <n v="0"/>
    <n v="1"/>
    <n v="23"/>
    <x v="0"/>
    <n v="2"/>
    <n v="1"/>
    <n v="0.2"/>
  </r>
  <r>
    <n v="93"/>
    <d v="2011-01-05T00:00:00"/>
    <n v="1"/>
    <n v="0"/>
    <n v="1"/>
    <n v="0"/>
    <x v="0"/>
    <n v="3"/>
    <n v="1"/>
    <n v="0.2"/>
  </r>
  <r>
    <n v="94"/>
    <d v="2011-01-05T00:00:00"/>
    <n v="1"/>
    <n v="0"/>
    <n v="1"/>
    <n v="1"/>
    <x v="0"/>
    <n v="3"/>
    <n v="1"/>
    <n v="0.16"/>
  </r>
  <r>
    <n v="95"/>
    <d v="2011-01-05T00:00:00"/>
    <n v="1"/>
    <n v="0"/>
    <n v="1"/>
    <n v="2"/>
    <x v="0"/>
    <n v="3"/>
    <n v="1"/>
    <n v="0.16"/>
  </r>
  <r>
    <n v="96"/>
    <d v="2011-01-05T00:00:00"/>
    <n v="1"/>
    <n v="0"/>
    <n v="1"/>
    <n v="4"/>
    <x v="0"/>
    <n v="3"/>
    <n v="1"/>
    <n v="0.24"/>
  </r>
  <r>
    <n v="97"/>
    <d v="2011-01-05T00:00:00"/>
    <n v="1"/>
    <n v="0"/>
    <n v="1"/>
    <n v="5"/>
    <x v="0"/>
    <n v="3"/>
    <n v="1"/>
    <n v="0.22"/>
  </r>
  <r>
    <n v="98"/>
    <d v="2011-01-05T00:00:00"/>
    <n v="1"/>
    <n v="0"/>
    <n v="1"/>
    <n v="6"/>
    <x v="0"/>
    <n v="3"/>
    <n v="1"/>
    <n v="0.2"/>
  </r>
  <r>
    <n v="99"/>
    <d v="2011-01-05T00:00:00"/>
    <n v="1"/>
    <n v="0"/>
    <n v="1"/>
    <n v="7"/>
    <x v="0"/>
    <n v="3"/>
    <n v="1"/>
    <n v="0.18"/>
  </r>
  <r>
    <n v="100"/>
    <d v="2011-01-05T00:00:00"/>
    <n v="1"/>
    <n v="0"/>
    <n v="1"/>
    <n v="8"/>
    <x v="0"/>
    <n v="3"/>
    <n v="1"/>
    <n v="0.2"/>
  </r>
  <r>
    <n v="101"/>
    <d v="2011-01-05T00:00:00"/>
    <n v="1"/>
    <n v="0"/>
    <n v="1"/>
    <n v="9"/>
    <x v="0"/>
    <n v="3"/>
    <n v="1"/>
    <n v="0.22"/>
  </r>
  <r>
    <n v="102"/>
    <d v="2011-01-05T00:00:00"/>
    <n v="1"/>
    <n v="0"/>
    <n v="1"/>
    <n v="10"/>
    <x v="0"/>
    <n v="3"/>
    <n v="1"/>
    <n v="0.22"/>
  </r>
  <r>
    <n v="103"/>
    <d v="2011-01-05T00:00:00"/>
    <n v="1"/>
    <n v="0"/>
    <n v="1"/>
    <n v="11"/>
    <x v="0"/>
    <n v="3"/>
    <n v="1"/>
    <n v="0.26"/>
  </r>
  <r>
    <n v="104"/>
    <d v="2011-01-05T00:00:00"/>
    <n v="1"/>
    <n v="0"/>
    <n v="1"/>
    <n v="12"/>
    <x v="0"/>
    <n v="3"/>
    <n v="1"/>
    <n v="0.26"/>
  </r>
  <r>
    <n v="105"/>
    <d v="2011-01-05T00:00:00"/>
    <n v="1"/>
    <n v="0"/>
    <n v="1"/>
    <n v="13"/>
    <x v="0"/>
    <n v="3"/>
    <n v="1"/>
    <n v="0.28000000000000003"/>
  </r>
  <r>
    <n v="106"/>
    <d v="2011-01-05T00:00:00"/>
    <n v="1"/>
    <n v="0"/>
    <n v="1"/>
    <n v="14"/>
    <x v="0"/>
    <n v="3"/>
    <n v="1"/>
    <n v="0.3"/>
  </r>
  <r>
    <n v="107"/>
    <d v="2011-01-05T00:00:00"/>
    <n v="1"/>
    <n v="0"/>
    <n v="1"/>
    <n v="15"/>
    <x v="0"/>
    <n v="3"/>
    <n v="1"/>
    <n v="0.3"/>
  </r>
  <r>
    <n v="108"/>
    <d v="2011-01-05T00:00:00"/>
    <n v="1"/>
    <n v="0"/>
    <n v="1"/>
    <n v="16"/>
    <x v="0"/>
    <n v="3"/>
    <n v="1"/>
    <n v="0.3"/>
  </r>
  <r>
    <n v="109"/>
    <d v="2011-01-05T00:00:00"/>
    <n v="1"/>
    <n v="0"/>
    <n v="1"/>
    <n v="17"/>
    <x v="0"/>
    <n v="3"/>
    <n v="1"/>
    <n v="0.24"/>
  </r>
  <r>
    <n v="110"/>
    <d v="2011-01-05T00:00:00"/>
    <n v="1"/>
    <n v="0"/>
    <n v="1"/>
    <n v="18"/>
    <x v="0"/>
    <n v="3"/>
    <n v="1"/>
    <n v="0.24"/>
  </r>
  <r>
    <n v="111"/>
    <d v="2011-01-05T00:00:00"/>
    <n v="1"/>
    <n v="0"/>
    <n v="1"/>
    <n v="19"/>
    <x v="0"/>
    <n v="3"/>
    <n v="1"/>
    <n v="0.24"/>
  </r>
  <r>
    <n v="112"/>
    <d v="2011-01-05T00:00:00"/>
    <n v="1"/>
    <n v="0"/>
    <n v="1"/>
    <n v="20"/>
    <x v="0"/>
    <n v="3"/>
    <n v="1"/>
    <n v="0.22"/>
  </r>
  <r>
    <n v="113"/>
    <d v="2011-01-05T00:00:00"/>
    <n v="1"/>
    <n v="0"/>
    <n v="1"/>
    <n v="21"/>
    <x v="0"/>
    <n v="3"/>
    <n v="1"/>
    <n v="0.2"/>
  </r>
  <r>
    <n v="114"/>
    <d v="2011-01-05T00:00:00"/>
    <n v="1"/>
    <n v="0"/>
    <n v="1"/>
    <n v="22"/>
    <x v="0"/>
    <n v="3"/>
    <n v="1"/>
    <n v="0.18"/>
  </r>
  <r>
    <n v="115"/>
    <d v="2011-01-05T00:00:00"/>
    <n v="1"/>
    <n v="0"/>
    <n v="1"/>
    <n v="23"/>
    <x v="0"/>
    <n v="3"/>
    <n v="1"/>
    <n v="0.2"/>
  </r>
  <r>
    <n v="116"/>
    <d v="2011-01-06T00:00:00"/>
    <n v="1"/>
    <n v="0"/>
    <n v="1"/>
    <n v="0"/>
    <x v="0"/>
    <n v="4"/>
    <n v="1"/>
    <n v="0.18"/>
  </r>
  <r>
    <n v="117"/>
    <d v="2011-01-06T00:00:00"/>
    <n v="1"/>
    <n v="0"/>
    <n v="1"/>
    <n v="1"/>
    <x v="0"/>
    <n v="4"/>
    <n v="1"/>
    <n v="0.16"/>
  </r>
  <r>
    <n v="118"/>
    <d v="2011-01-06T00:00:00"/>
    <n v="1"/>
    <n v="0"/>
    <n v="1"/>
    <n v="2"/>
    <x v="0"/>
    <n v="4"/>
    <n v="1"/>
    <n v="0.16"/>
  </r>
  <r>
    <n v="119"/>
    <d v="2011-01-06T00:00:00"/>
    <n v="1"/>
    <n v="0"/>
    <n v="1"/>
    <n v="4"/>
    <x v="0"/>
    <n v="4"/>
    <n v="2"/>
    <n v="0.16"/>
  </r>
  <r>
    <n v="120"/>
    <d v="2011-01-06T00:00:00"/>
    <n v="1"/>
    <n v="0"/>
    <n v="1"/>
    <n v="5"/>
    <x v="0"/>
    <n v="4"/>
    <n v="2"/>
    <n v="0.14000000000000001"/>
  </r>
  <r>
    <n v="121"/>
    <d v="2011-01-06T00:00:00"/>
    <n v="1"/>
    <n v="0"/>
    <n v="1"/>
    <n v="6"/>
    <x v="0"/>
    <n v="4"/>
    <n v="2"/>
    <n v="0.14000000000000001"/>
  </r>
  <r>
    <n v="122"/>
    <d v="2011-01-06T00:00:00"/>
    <n v="1"/>
    <n v="0"/>
    <n v="1"/>
    <n v="7"/>
    <x v="0"/>
    <n v="4"/>
    <n v="2"/>
    <n v="0.16"/>
  </r>
  <r>
    <n v="123"/>
    <d v="2011-01-06T00:00:00"/>
    <n v="1"/>
    <n v="0"/>
    <n v="1"/>
    <n v="8"/>
    <x v="0"/>
    <n v="4"/>
    <n v="1"/>
    <n v="0.16"/>
  </r>
  <r>
    <n v="124"/>
    <d v="2011-01-06T00:00:00"/>
    <n v="1"/>
    <n v="0"/>
    <n v="1"/>
    <n v="9"/>
    <x v="0"/>
    <n v="4"/>
    <n v="2"/>
    <n v="0.18"/>
  </r>
  <r>
    <n v="125"/>
    <d v="2011-01-06T00:00:00"/>
    <n v="1"/>
    <n v="0"/>
    <n v="1"/>
    <n v="10"/>
    <x v="0"/>
    <n v="4"/>
    <n v="1"/>
    <n v="0.2"/>
  </r>
  <r>
    <n v="126"/>
    <d v="2011-01-06T00:00:00"/>
    <n v="1"/>
    <n v="0"/>
    <n v="1"/>
    <n v="11"/>
    <x v="0"/>
    <n v="4"/>
    <n v="1"/>
    <n v="0.22"/>
  </r>
  <r>
    <n v="127"/>
    <d v="2011-01-06T00:00:00"/>
    <n v="1"/>
    <n v="0"/>
    <n v="1"/>
    <n v="12"/>
    <x v="0"/>
    <n v="4"/>
    <n v="1"/>
    <n v="0.26"/>
  </r>
  <r>
    <n v="128"/>
    <d v="2011-01-06T00:00:00"/>
    <n v="1"/>
    <n v="0"/>
    <n v="1"/>
    <n v="13"/>
    <x v="0"/>
    <n v="4"/>
    <n v="1"/>
    <n v="0.26"/>
  </r>
  <r>
    <n v="129"/>
    <d v="2011-01-06T00:00:00"/>
    <n v="1"/>
    <n v="0"/>
    <n v="1"/>
    <n v="14"/>
    <x v="0"/>
    <n v="4"/>
    <n v="1"/>
    <n v="0.28000000000000003"/>
  </r>
  <r>
    <n v="130"/>
    <d v="2011-01-06T00:00:00"/>
    <n v="1"/>
    <n v="0"/>
    <n v="1"/>
    <n v="15"/>
    <x v="0"/>
    <n v="4"/>
    <n v="1"/>
    <n v="0.28000000000000003"/>
  </r>
  <r>
    <n v="131"/>
    <d v="2011-01-06T00:00:00"/>
    <n v="1"/>
    <n v="0"/>
    <n v="1"/>
    <n v="16"/>
    <x v="0"/>
    <n v="4"/>
    <n v="1"/>
    <n v="0.26"/>
  </r>
  <r>
    <n v="132"/>
    <d v="2011-01-06T00:00:00"/>
    <n v="1"/>
    <n v="0"/>
    <n v="1"/>
    <n v="17"/>
    <x v="0"/>
    <n v="4"/>
    <n v="1"/>
    <n v="0.22"/>
  </r>
  <r>
    <n v="133"/>
    <d v="2011-01-06T00:00:00"/>
    <n v="1"/>
    <n v="0"/>
    <n v="1"/>
    <n v="18"/>
    <x v="0"/>
    <n v="4"/>
    <n v="1"/>
    <n v="0.22"/>
  </r>
  <r>
    <n v="134"/>
    <d v="2011-01-06T00:00:00"/>
    <n v="1"/>
    <n v="0"/>
    <n v="1"/>
    <n v="19"/>
    <x v="0"/>
    <n v="4"/>
    <n v="1"/>
    <n v="0.22"/>
  </r>
  <r>
    <n v="135"/>
    <d v="2011-01-06T00:00:00"/>
    <n v="1"/>
    <n v="0"/>
    <n v="1"/>
    <n v="20"/>
    <x v="0"/>
    <n v="4"/>
    <n v="1"/>
    <n v="0.2"/>
  </r>
  <r>
    <n v="136"/>
    <d v="2011-01-06T00:00:00"/>
    <n v="1"/>
    <n v="0"/>
    <n v="1"/>
    <n v="21"/>
    <x v="0"/>
    <n v="4"/>
    <n v="2"/>
    <n v="0.22"/>
  </r>
  <r>
    <n v="137"/>
    <d v="2011-01-06T00:00:00"/>
    <n v="1"/>
    <n v="0"/>
    <n v="1"/>
    <n v="22"/>
    <x v="0"/>
    <n v="4"/>
    <n v="2"/>
    <n v="0.22"/>
  </r>
  <r>
    <n v="138"/>
    <d v="2011-01-06T00:00:00"/>
    <n v="1"/>
    <n v="0"/>
    <n v="1"/>
    <n v="23"/>
    <x v="0"/>
    <n v="4"/>
    <n v="2"/>
    <n v="0.2"/>
  </r>
  <r>
    <n v="139"/>
    <d v="2011-01-07T00:00:00"/>
    <n v="1"/>
    <n v="0"/>
    <n v="1"/>
    <n v="0"/>
    <x v="0"/>
    <n v="5"/>
    <n v="2"/>
    <n v="0.2"/>
  </r>
  <r>
    <n v="140"/>
    <d v="2011-01-07T00:00:00"/>
    <n v="1"/>
    <n v="0"/>
    <n v="1"/>
    <n v="1"/>
    <x v="0"/>
    <n v="5"/>
    <n v="2"/>
    <n v="0.2"/>
  </r>
  <r>
    <n v="141"/>
    <d v="2011-01-07T00:00:00"/>
    <n v="1"/>
    <n v="0"/>
    <n v="1"/>
    <n v="2"/>
    <x v="0"/>
    <n v="5"/>
    <n v="2"/>
    <n v="0.2"/>
  </r>
  <r>
    <n v="142"/>
    <d v="2011-01-07T00:00:00"/>
    <n v="1"/>
    <n v="0"/>
    <n v="1"/>
    <n v="4"/>
    <x v="0"/>
    <n v="5"/>
    <n v="2"/>
    <n v="0.2"/>
  </r>
  <r>
    <n v="143"/>
    <d v="2011-01-07T00:00:00"/>
    <n v="1"/>
    <n v="0"/>
    <n v="1"/>
    <n v="5"/>
    <x v="0"/>
    <n v="5"/>
    <n v="3"/>
    <n v="0.22"/>
  </r>
  <r>
    <n v="144"/>
    <d v="2011-01-07T00:00:00"/>
    <n v="1"/>
    <n v="0"/>
    <n v="1"/>
    <n v="6"/>
    <x v="0"/>
    <n v="5"/>
    <n v="2"/>
    <n v="0.2"/>
  </r>
  <r>
    <n v="145"/>
    <d v="2011-01-07T00:00:00"/>
    <n v="1"/>
    <n v="0"/>
    <n v="1"/>
    <n v="7"/>
    <x v="0"/>
    <n v="5"/>
    <n v="1"/>
    <n v="0.2"/>
  </r>
  <r>
    <n v="146"/>
    <d v="2011-01-07T00:00:00"/>
    <n v="1"/>
    <n v="0"/>
    <n v="1"/>
    <n v="8"/>
    <x v="0"/>
    <n v="5"/>
    <n v="1"/>
    <n v="0.2"/>
  </r>
  <r>
    <n v="147"/>
    <d v="2011-01-07T00:00:00"/>
    <n v="1"/>
    <n v="0"/>
    <n v="1"/>
    <n v="9"/>
    <x v="0"/>
    <n v="5"/>
    <n v="1"/>
    <n v="0.2"/>
  </r>
  <r>
    <n v="148"/>
    <d v="2011-01-07T00:00:00"/>
    <n v="1"/>
    <n v="0"/>
    <n v="1"/>
    <n v="10"/>
    <x v="0"/>
    <n v="5"/>
    <n v="1"/>
    <n v="0.22"/>
  </r>
  <r>
    <n v="149"/>
    <d v="2011-01-07T00:00:00"/>
    <n v="1"/>
    <n v="0"/>
    <n v="1"/>
    <n v="11"/>
    <x v="0"/>
    <n v="5"/>
    <n v="2"/>
    <n v="0.2"/>
  </r>
  <r>
    <n v="150"/>
    <d v="2011-01-07T00:00:00"/>
    <n v="1"/>
    <n v="0"/>
    <n v="1"/>
    <n v="12"/>
    <x v="0"/>
    <n v="5"/>
    <n v="2"/>
    <n v="0.2"/>
  </r>
  <r>
    <n v="151"/>
    <d v="2011-01-07T00:00:00"/>
    <n v="1"/>
    <n v="0"/>
    <n v="1"/>
    <n v="13"/>
    <x v="0"/>
    <n v="5"/>
    <n v="2"/>
    <n v="0.2"/>
  </r>
  <r>
    <n v="152"/>
    <d v="2011-01-07T00:00:00"/>
    <n v="1"/>
    <n v="0"/>
    <n v="1"/>
    <n v="14"/>
    <x v="0"/>
    <n v="5"/>
    <n v="2"/>
    <n v="0.2"/>
  </r>
  <r>
    <n v="153"/>
    <d v="2011-01-07T00:00:00"/>
    <n v="1"/>
    <n v="0"/>
    <n v="1"/>
    <n v="15"/>
    <x v="0"/>
    <n v="5"/>
    <n v="2"/>
    <n v="0.2"/>
  </r>
  <r>
    <n v="154"/>
    <d v="2011-01-07T00:00:00"/>
    <n v="1"/>
    <n v="0"/>
    <n v="1"/>
    <n v="16"/>
    <x v="0"/>
    <n v="5"/>
    <n v="2"/>
    <n v="0.2"/>
  </r>
  <r>
    <n v="155"/>
    <d v="2011-01-07T00:00:00"/>
    <n v="1"/>
    <n v="0"/>
    <n v="1"/>
    <n v="17"/>
    <x v="0"/>
    <n v="5"/>
    <n v="2"/>
    <n v="0.2"/>
  </r>
  <r>
    <n v="156"/>
    <d v="2011-01-07T00:00:00"/>
    <n v="1"/>
    <n v="0"/>
    <n v="1"/>
    <n v="18"/>
    <x v="0"/>
    <n v="5"/>
    <n v="1"/>
    <n v="0.2"/>
  </r>
  <r>
    <n v="157"/>
    <d v="2011-01-07T00:00:00"/>
    <n v="1"/>
    <n v="0"/>
    <n v="1"/>
    <n v="19"/>
    <x v="0"/>
    <n v="5"/>
    <n v="1"/>
    <n v="0.16"/>
  </r>
  <r>
    <n v="158"/>
    <d v="2011-01-07T00:00:00"/>
    <n v="1"/>
    <n v="0"/>
    <n v="1"/>
    <n v="20"/>
    <x v="0"/>
    <n v="5"/>
    <n v="1"/>
    <n v="0.18"/>
  </r>
  <r>
    <n v="159"/>
    <d v="2011-01-07T00:00:00"/>
    <n v="1"/>
    <n v="0"/>
    <n v="1"/>
    <n v="21"/>
    <x v="0"/>
    <n v="5"/>
    <n v="1"/>
    <n v="0.18"/>
  </r>
  <r>
    <n v="160"/>
    <d v="2011-01-07T00:00:00"/>
    <n v="1"/>
    <n v="0"/>
    <n v="1"/>
    <n v="22"/>
    <x v="0"/>
    <n v="5"/>
    <n v="2"/>
    <n v="0.18"/>
  </r>
  <r>
    <n v="161"/>
    <d v="2011-01-07T00:00:00"/>
    <n v="1"/>
    <n v="0"/>
    <n v="1"/>
    <n v="23"/>
    <x v="0"/>
    <n v="5"/>
    <n v="2"/>
    <n v="0.18"/>
  </r>
  <r>
    <n v="162"/>
    <d v="2011-01-08T00:00:00"/>
    <n v="1"/>
    <n v="0"/>
    <n v="1"/>
    <n v="0"/>
    <x v="0"/>
    <n v="6"/>
    <n v="2"/>
    <n v="0.18"/>
  </r>
  <r>
    <n v="163"/>
    <d v="2011-01-08T00:00:00"/>
    <n v="1"/>
    <n v="0"/>
    <n v="1"/>
    <n v="1"/>
    <x v="0"/>
    <n v="6"/>
    <n v="2"/>
    <n v="0.18"/>
  </r>
  <r>
    <n v="164"/>
    <d v="2011-01-08T00:00:00"/>
    <n v="1"/>
    <n v="0"/>
    <n v="1"/>
    <n v="2"/>
    <x v="0"/>
    <n v="6"/>
    <n v="2"/>
    <n v="0.18"/>
  </r>
  <r>
    <n v="165"/>
    <d v="2011-01-08T00:00:00"/>
    <n v="1"/>
    <n v="0"/>
    <n v="1"/>
    <n v="3"/>
    <x v="0"/>
    <n v="6"/>
    <n v="3"/>
    <n v="0.18"/>
  </r>
  <r>
    <n v="166"/>
    <d v="2011-01-08T00:00:00"/>
    <n v="1"/>
    <n v="0"/>
    <n v="1"/>
    <n v="4"/>
    <x v="0"/>
    <n v="6"/>
    <n v="3"/>
    <n v="0.18"/>
  </r>
  <r>
    <n v="167"/>
    <d v="2011-01-08T00:00:00"/>
    <n v="1"/>
    <n v="0"/>
    <n v="1"/>
    <n v="5"/>
    <x v="0"/>
    <n v="6"/>
    <n v="2"/>
    <n v="0.16"/>
  </r>
  <r>
    <n v="168"/>
    <d v="2011-01-08T00:00:00"/>
    <n v="1"/>
    <n v="0"/>
    <n v="1"/>
    <n v="6"/>
    <x v="0"/>
    <n v="6"/>
    <n v="2"/>
    <n v="0.16"/>
  </r>
  <r>
    <n v="169"/>
    <d v="2011-01-08T00:00:00"/>
    <n v="1"/>
    <n v="0"/>
    <n v="1"/>
    <n v="7"/>
    <x v="0"/>
    <n v="6"/>
    <n v="2"/>
    <n v="0.16"/>
  </r>
  <r>
    <n v="170"/>
    <d v="2011-01-08T00:00:00"/>
    <n v="1"/>
    <n v="0"/>
    <n v="1"/>
    <n v="8"/>
    <x v="0"/>
    <n v="6"/>
    <n v="3"/>
    <n v="0.16"/>
  </r>
  <r>
    <n v="171"/>
    <d v="2011-01-08T00:00:00"/>
    <n v="1"/>
    <n v="0"/>
    <n v="1"/>
    <n v="9"/>
    <x v="0"/>
    <n v="6"/>
    <n v="3"/>
    <n v="0.16"/>
  </r>
  <r>
    <n v="172"/>
    <d v="2011-01-08T00:00:00"/>
    <n v="1"/>
    <n v="0"/>
    <n v="1"/>
    <n v="10"/>
    <x v="0"/>
    <n v="6"/>
    <n v="2"/>
    <n v="0.18"/>
  </r>
  <r>
    <n v="173"/>
    <d v="2011-01-08T00:00:00"/>
    <n v="1"/>
    <n v="0"/>
    <n v="1"/>
    <n v="11"/>
    <x v="0"/>
    <n v="6"/>
    <n v="2"/>
    <n v="0.2"/>
  </r>
  <r>
    <n v="174"/>
    <d v="2011-01-08T00:00:00"/>
    <n v="1"/>
    <n v="0"/>
    <n v="1"/>
    <n v="12"/>
    <x v="0"/>
    <n v="6"/>
    <n v="2"/>
    <n v="0.2"/>
  </r>
  <r>
    <n v="175"/>
    <d v="2011-01-08T00:00:00"/>
    <n v="1"/>
    <n v="0"/>
    <n v="1"/>
    <n v="13"/>
    <x v="0"/>
    <n v="6"/>
    <n v="1"/>
    <n v="0.2"/>
  </r>
  <r>
    <n v="176"/>
    <d v="2011-01-08T00:00:00"/>
    <n v="1"/>
    <n v="0"/>
    <n v="1"/>
    <n v="14"/>
    <x v="0"/>
    <n v="6"/>
    <n v="1"/>
    <n v="0.2"/>
  </r>
  <r>
    <n v="177"/>
    <d v="2011-01-08T00:00:00"/>
    <n v="1"/>
    <n v="0"/>
    <n v="1"/>
    <n v="15"/>
    <x v="0"/>
    <n v="6"/>
    <n v="1"/>
    <n v="0.2"/>
  </r>
  <r>
    <n v="178"/>
    <d v="2011-01-08T00:00:00"/>
    <n v="1"/>
    <n v="0"/>
    <n v="1"/>
    <n v="16"/>
    <x v="0"/>
    <n v="6"/>
    <n v="1"/>
    <n v="0.18"/>
  </r>
  <r>
    <n v="179"/>
    <d v="2011-01-08T00:00:00"/>
    <n v="1"/>
    <n v="0"/>
    <n v="1"/>
    <n v="17"/>
    <x v="0"/>
    <n v="6"/>
    <n v="1"/>
    <n v="0.16"/>
  </r>
  <r>
    <n v="180"/>
    <d v="2011-01-08T00:00:00"/>
    <n v="1"/>
    <n v="0"/>
    <n v="1"/>
    <n v="18"/>
    <x v="0"/>
    <n v="6"/>
    <n v="1"/>
    <n v="0.14000000000000001"/>
  </r>
  <r>
    <n v="181"/>
    <d v="2011-01-08T00:00:00"/>
    <n v="1"/>
    <n v="0"/>
    <n v="1"/>
    <n v="19"/>
    <x v="0"/>
    <n v="6"/>
    <n v="1"/>
    <n v="0.14000000000000001"/>
  </r>
  <r>
    <n v="182"/>
    <d v="2011-01-08T00:00:00"/>
    <n v="1"/>
    <n v="0"/>
    <n v="1"/>
    <n v="20"/>
    <x v="0"/>
    <n v="6"/>
    <n v="1"/>
    <n v="0.12"/>
  </r>
  <r>
    <n v="183"/>
    <d v="2011-01-08T00:00:00"/>
    <n v="1"/>
    <n v="0"/>
    <n v="1"/>
    <n v="21"/>
    <x v="0"/>
    <n v="6"/>
    <n v="1"/>
    <n v="0.12"/>
  </r>
  <r>
    <n v="184"/>
    <d v="2011-01-08T00:00:00"/>
    <n v="1"/>
    <n v="0"/>
    <n v="1"/>
    <n v="22"/>
    <x v="0"/>
    <n v="6"/>
    <n v="1"/>
    <n v="0.12"/>
  </r>
  <r>
    <n v="185"/>
    <d v="2011-01-08T00:00:00"/>
    <n v="1"/>
    <n v="0"/>
    <n v="1"/>
    <n v="23"/>
    <x v="0"/>
    <n v="6"/>
    <n v="1"/>
    <n v="0.1"/>
  </r>
  <r>
    <n v="186"/>
    <d v="2011-01-09T00:00:00"/>
    <n v="1"/>
    <n v="0"/>
    <n v="1"/>
    <n v="0"/>
    <x v="0"/>
    <n v="0"/>
    <n v="1"/>
    <n v="0.1"/>
  </r>
  <r>
    <n v="187"/>
    <d v="2011-01-09T00:00:00"/>
    <n v="1"/>
    <n v="0"/>
    <n v="1"/>
    <n v="1"/>
    <x v="0"/>
    <n v="0"/>
    <n v="1"/>
    <n v="0.1"/>
  </r>
  <r>
    <n v="188"/>
    <d v="2011-01-09T00:00:00"/>
    <n v="1"/>
    <n v="0"/>
    <n v="1"/>
    <n v="2"/>
    <x v="0"/>
    <n v="0"/>
    <n v="1"/>
    <n v="0.1"/>
  </r>
  <r>
    <n v="189"/>
    <d v="2011-01-09T00:00:00"/>
    <n v="1"/>
    <n v="0"/>
    <n v="1"/>
    <n v="3"/>
    <x v="0"/>
    <n v="0"/>
    <n v="1"/>
    <n v="0.1"/>
  </r>
  <r>
    <n v="190"/>
    <d v="2011-01-09T00:00:00"/>
    <n v="1"/>
    <n v="0"/>
    <n v="1"/>
    <n v="4"/>
    <x v="0"/>
    <n v="0"/>
    <n v="1"/>
    <n v="0.08"/>
  </r>
  <r>
    <n v="191"/>
    <d v="2011-01-09T00:00:00"/>
    <n v="1"/>
    <n v="0"/>
    <n v="1"/>
    <n v="5"/>
    <x v="0"/>
    <n v="0"/>
    <n v="1"/>
    <n v="0.08"/>
  </r>
  <r>
    <n v="192"/>
    <d v="2011-01-09T00:00:00"/>
    <n v="1"/>
    <n v="0"/>
    <n v="1"/>
    <n v="6"/>
    <x v="0"/>
    <n v="0"/>
    <n v="1"/>
    <n v="0.1"/>
  </r>
  <r>
    <n v="193"/>
    <d v="2011-01-09T00:00:00"/>
    <n v="1"/>
    <n v="0"/>
    <n v="1"/>
    <n v="7"/>
    <x v="0"/>
    <n v="0"/>
    <n v="1"/>
    <n v="0.08"/>
  </r>
  <r>
    <n v="194"/>
    <d v="2011-01-09T00:00:00"/>
    <n v="1"/>
    <n v="0"/>
    <n v="1"/>
    <n v="8"/>
    <x v="0"/>
    <n v="0"/>
    <n v="1"/>
    <n v="0.1"/>
  </r>
  <r>
    <n v="195"/>
    <d v="2011-01-09T00:00:00"/>
    <n v="1"/>
    <n v="0"/>
    <n v="1"/>
    <n v="9"/>
    <x v="0"/>
    <n v="0"/>
    <n v="1"/>
    <n v="0.12"/>
  </r>
  <r>
    <n v="196"/>
    <d v="2011-01-09T00:00:00"/>
    <n v="1"/>
    <n v="0"/>
    <n v="1"/>
    <n v="10"/>
    <x v="0"/>
    <n v="0"/>
    <n v="1"/>
    <n v="0.14000000000000001"/>
  </r>
  <r>
    <n v="197"/>
    <d v="2011-01-09T00:00:00"/>
    <n v="1"/>
    <n v="0"/>
    <n v="1"/>
    <n v="11"/>
    <x v="0"/>
    <n v="0"/>
    <n v="1"/>
    <n v="0.16"/>
  </r>
  <r>
    <n v="198"/>
    <d v="2011-01-09T00:00:00"/>
    <n v="1"/>
    <n v="0"/>
    <n v="1"/>
    <n v="12"/>
    <x v="0"/>
    <n v="0"/>
    <n v="1"/>
    <n v="0.18"/>
  </r>
  <r>
    <n v="199"/>
    <d v="2011-01-09T00:00:00"/>
    <n v="1"/>
    <n v="0"/>
    <n v="1"/>
    <n v="13"/>
    <x v="0"/>
    <n v="0"/>
    <n v="1"/>
    <n v="0.2"/>
  </r>
  <r>
    <n v="200"/>
    <d v="2011-01-09T00:00:00"/>
    <n v="1"/>
    <n v="0"/>
    <n v="1"/>
    <n v="14"/>
    <x v="0"/>
    <n v="0"/>
    <n v="1"/>
    <n v="0.22"/>
  </r>
  <r>
    <n v="201"/>
    <d v="2011-01-09T00:00:00"/>
    <n v="1"/>
    <n v="0"/>
    <n v="1"/>
    <n v="15"/>
    <x v="0"/>
    <n v="0"/>
    <n v="1"/>
    <n v="0.22"/>
  </r>
  <r>
    <n v="202"/>
    <d v="2011-01-09T00:00:00"/>
    <n v="1"/>
    <n v="0"/>
    <n v="1"/>
    <n v="16"/>
    <x v="0"/>
    <n v="0"/>
    <n v="1"/>
    <n v="0.2"/>
  </r>
  <r>
    <n v="203"/>
    <d v="2011-01-09T00:00:00"/>
    <n v="1"/>
    <n v="0"/>
    <n v="1"/>
    <n v="17"/>
    <x v="0"/>
    <n v="0"/>
    <n v="1"/>
    <n v="0.18"/>
  </r>
  <r>
    <n v="204"/>
    <d v="2011-01-09T00:00:00"/>
    <n v="1"/>
    <n v="0"/>
    <n v="1"/>
    <n v="18"/>
    <x v="0"/>
    <n v="0"/>
    <n v="1"/>
    <n v="0.16"/>
  </r>
  <r>
    <n v="205"/>
    <d v="2011-01-09T00:00:00"/>
    <n v="1"/>
    <n v="0"/>
    <n v="1"/>
    <n v="19"/>
    <x v="0"/>
    <n v="0"/>
    <n v="1"/>
    <n v="0.16"/>
  </r>
  <r>
    <n v="206"/>
    <d v="2011-01-09T00:00:00"/>
    <n v="1"/>
    <n v="0"/>
    <n v="1"/>
    <n v="20"/>
    <x v="0"/>
    <n v="0"/>
    <n v="1"/>
    <n v="0.14000000000000001"/>
  </r>
  <r>
    <n v="207"/>
    <d v="2011-01-09T00:00:00"/>
    <n v="1"/>
    <n v="0"/>
    <n v="1"/>
    <n v="21"/>
    <x v="0"/>
    <n v="0"/>
    <n v="1"/>
    <n v="0.14000000000000001"/>
  </r>
  <r>
    <n v="208"/>
    <d v="2011-01-09T00:00:00"/>
    <n v="1"/>
    <n v="0"/>
    <n v="1"/>
    <n v="22"/>
    <x v="0"/>
    <n v="0"/>
    <n v="1"/>
    <n v="0.14000000000000001"/>
  </r>
  <r>
    <n v="209"/>
    <d v="2011-01-09T00:00:00"/>
    <n v="1"/>
    <n v="0"/>
    <n v="1"/>
    <n v="23"/>
    <x v="0"/>
    <n v="0"/>
    <n v="1"/>
    <n v="0.12"/>
  </r>
  <r>
    <n v="210"/>
    <d v="2011-01-10T00:00:00"/>
    <n v="1"/>
    <n v="0"/>
    <n v="1"/>
    <n v="0"/>
    <x v="0"/>
    <n v="1"/>
    <n v="1"/>
    <n v="0.12"/>
  </r>
  <r>
    <n v="211"/>
    <d v="2011-01-10T00:00:00"/>
    <n v="1"/>
    <n v="0"/>
    <n v="1"/>
    <n v="1"/>
    <x v="0"/>
    <n v="1"/>
    <n v="1"/>
    <n v="0.12"/>
  </r>
  <r>
    <n v="212"/>
    <d v="2011-01-10T00:00:00"/>
    <n v="1"/>
    <n v="0"/>
    <n v="1"/>
    <n v="2"/>
    <x v="0"/>
    <n v="1"/>
    <n v="1"/>
    <n v="0.12"/>
  </r>
  <r>
    <n v="213"/>
    <d v="2011-01-10T00:00:00"/>
    <n v="1"/>
    <n v="0"/>
    <n v="1"/>
    <n v="3"/>
    <x v="0"/>
    <n v="1"/>
    <n v="1"/>
    <n v="0.12"/>
  </r>
  <r>
    <n v="214"/>
    <d v="2011-01-10T00:00:00"/>
    <n v="1"/>
    <n v="0"/>
    <n v="1"/>
    <n v="4"/>
    <x v="0"/>
    <n v="1"/>
    <n v="1"/>
    <n v="0.1"/>
  </r>
  <r>
    <n v="215"/>
    <d v="2011-01-10T00:00:00"/>
    <n v="1"/>
    <n v="0"/>
    <n v="1"/>
    <n v="5"/>
    <x v="0"/>
    <n v="1"/>
    <n v="1"/>
    <n v="0.1"/>
  </r>
  <r>
    <n v="216"/>
    <d v="2011-01-10T00:00:00"/>
    <n v="1"/>
    <n v="0"/>
    <n v="1"/>
    <n v="6"/>
    <x v="0"/>
    <n v="1"/>
    <n v="1"/>
    <n v="0.12"/>
  </r>
  <r>
    <n v="217"/>
    <d v="2011-01-10T00:00:00"/>
    <n v="1"/>
    <n v="0"/>
    <n v="1"/>
    <n v="7"/>
    <x v="0"/>
    <n v="1"/>
    <n v="1"/>
    <n v="0.12"/>
  </r>
  <r>
    <n v="218"/>
    <d v="2011-01-10T00:00:00"/>
    <n v="1"/>
    <n v="0"/>
    <n v="1"/>
    <n v="8"/>
    <x v="0"/>
    <n v="1"/>
    <n v="2"/>
    <n v="0.12"/>
  </r>
  <r>
    <n v="219"/>
    <d v="2011-01-10T00:00:00"/>
    <n v="1"/>
    <n v="0"/>
    <n v="1"/>
    <n v="9"/>
    <x v="0"/>
    <n v="1"/>
    <n v="2"/>
    <n v="0.14000000000000001"/>
  </r>
  <r>
    <n v="220"/>
    <d v="2011-01-10T00:00:00"/>
    <n v="1"/>
    <n v="0"/>
    <n v="1"/>
    <n v="10"/>
    <x v="0"/>
    <n v="1"/>
    <n v="2"/>
    <n v="0.14000000000000001"/>
  </r>
  <r>
    <n v="221"/>
    <d v="2011-01-10T00:00:00"/>
    <n v="1"/>
    <n v="0"/>
    <n v="1"/>
    <n v="11"/>
    <x v="0"/>
    <n v="1"/>
    <n v="2"/>
    <n v="0.16"/>
  </r>
  <r>
    <n v="222"/>
    <d v="2011-01-10T00:00:00"/>
    <n v="1"/>
    <n v="0"/>
    <n v="1"/>
    <n v="12"/>
    <x v="0"/>
    <n v="1"/>
    <n v="2"/>
    <n v="0.2"/>
  </r>
  <r>
    <n v="223"/>
    <d v="2011-01-10T00:00:00"/>
    <n v="1"/>
    <n v="0"/>
    <n v="1"/>
    <n v="13"/>
    <x v="0"/>
    <n v="1"/>
    <n v="2"/>
    <n v="0.2"/>
  </r>
  <r>
    <n v="224"/>
    <d v="2011-01-10T00:00:00"/>
    <n v="1"/>
    <n v="0"/>
    <n v="1"/>
    <n v="14"/>
    <x v="0"/>
    <n v="1"/>
    <n v="2"/>
    <n v="0.2"/>
  </r>
  <r>
    <n v="225"/>
    <d v="2011-01-10T00:00:00"/>
    <n v="1"/>
    <n v="0"/>
    <n v="1"/>
    <n v="15"/>
    <x v="0"/>
    <n v="1"/>
    <n v="2"/>
    <n v="0.2"/>
  </r>
  <r>
    <n v="226"/>
    <d v="2011-01-10T00:00:00"/>
    <n v="1"/>
    <n v="0"/>
    <n v="1"/>
    <n v="16"/>
    <x v="0"/>
    <n v="1"/>
    <n v="1"/>
    <n v="0.2"/>
  </r>
  <r>
    <n v="227"/>
    <d v="2011-01-10T00:00:00"/>
    <n v="1"/>
    <n v="0"/>
    <n v="1"/>
    <n v="17"/>
    <x v="0"/>
    <n v="1"/>
    <n v="1"/>
    <n v="0.2"/>
  </r>
  <r>
    <n v="228"/>
    <d v="2011-01-10T00:00:00"/>
    <n v="1"/>
    <n v="0"/>
    <n v="1"/>
    <n v="18"/>
    <x v="0"/>
    <n v="1"/>
    <n v="1"/>
    <n v="0.2"/>
  </r>
  <r>
    <n v="229"/>
    <d v="2011-01-10T00:00:00"/>
    <n v="1"/>
    <n v="0"/>
    <n v="1"/>
    <n v="19"/>
    <x v="0"/>
    <n v="1"/>
    <n v="1"/>
    <n v="0.16"/>
  </r>
  <r>
    <n v="230"/>
    <d v="2011-01-10T00:00:00"/>
    <n v="1"/>
    <n v="0"/>
    <n v="1"/>
    <n v="20"/>
    <x v="0"/>
    <n v="1"/>
    <n v="1"/>
    <n v="0.16"/>
  </r>
  <r>
    <n v="231"/>
    <d v="2011-01-10T00:00:00"/>
    <n v="1"/>
    <n v="0"/>
    <n v="1"/>
    <n v="21"/>
    <x v="0"/>
    <n v="1"/>
    <n v="1"/>
    <n v="0.14000000000000001"/>
  </r>
  <r>
    <n v="232"/>
    <d v="2011-01-10T00:00:00"/>
    <n v="1"/>
    <n v="0"/>
    <n v="1"/>
    <n v="22"/>
    <x v="0"/>
    <n v="1"/>
    <n v="1"/>
    <n v="0.14000000000000001"/>
  </r>
  <r>
    <n v="233"/>
    <d v="2011-01-10T00:00:00"/>
    <n v="1"/>
    <n v="0"/>
    <n v="1"/>
    <n v="23"/>
    <x v="0"/>
    <n v="1"/>
    <n v="1"/>
    <n v="0.14000000000000001"/>
  </r>
  <r>
    <n v="234"/>
    <d v="2011-01-11T00:00:00"/>
    <n v="1"/>
    <n v="0"/>
    <n v="1"/>
    <n v="0"/>
    <x v="0"/>
    <n v="2"/>
    <n v="1"/>
    <n v="0.14000000000000001"/>
  </r>
  <r>
    <n v="235"/>
    <d v="2011-01-11T00:00:00"/>
    <n v="1"/>
    <n v="0"/>
    <n v="1"/>
    <n v="1"/>
    <x v="0"/>
    <n v="2"/>
    <n v="1"/>
    <n v="0.14000000000000001"/>
  </r>
  <r>
    <n v="236"/>
    <d v="2011-01-11T00:00:00"/>
    <n v="1"/>
    <n v="0"/>
    <n v="1"/>
    <n v="2"/>
    <x v="0"/>
    <n v="2"/>
    <n v="2"/>
    <n v="0.16"/>
  </r>
  <r>
    <n v="237"/>
    <d v="2011-01-11T00:00:00"/>
    <n v="1"/>
    <n v="0"/>
    <n v="1"/>
    <n v="5"/>
    <x v="0"/>
    <n v="2"/>
    <n v="2"/>
    <n v="0.16"/>
  </r>
  <r>
    <n v="238"/>
    <d v="2011-01-11T00:00:00"/>
    <n v="1"/>
    <n v="0"/>
    <n v="1"/>
    <n v="6"/>
    <x v="0"/>
    <n v="2"/>
    <n v="2"/>
    <n v="0.16"/>
  </r>
  <r>
    <n v="239"/>
    <d v="2011-01-11T00:00:00"/>
    <n v="1"/>
    <n v="0"/>
    <n v="1"/>
    <n v="7"/>
    <x v="0"/>
    <n v="2"/>
    <n v="2"/>
    <n v="0.16"/>
  </r>
  <r>
    <n v="240"/>
    <d v="2011-01-11T00:00:00"/>
    <n v="1"/>
    <n v="0"/>
    <n v="1"/>
    <n v="8"/>
    <x v="0"/>
    <n v="2"/>
    <n v="2"/>
    <n v="0.18"/>
  </r>
  <r>
    <n v="241"/>
    <d v="2011-01-11T00:00:00"/>
    <n v="1"/>
    <n v="0"/>
    <n v="1"/>
    <n v="9"/>
    <x v="0"/>
    <n v="2"/>
    <n v="2"/>
    <n v="0.18"/>
  </r>
  <r>
    <n v="242"/>
    <d v="2011-01-11T00:00:00"/>
    <n v="1"/>
    <n v="0"/>
    <n v="1"/>
    <n v="10"/>
    <x v="0"/>
    <n v="2"/>
    <n v="2"/>
    <n v="0.2"/>
  </r>
  <r>
    <n v="243"/>
    <d v="2011-01-11T00:00:00"/>
    <n v="1"/>
    <n v="0"/>
    <n v="1"/>
    <n v="11"/>
    <x v="0"/>
    <n v="2"/>
    <n v="2"/>
    <n v="0.2"/>
  </r>
  <r>
    <n v="244"/>
    <d v="2011-01-11T00:00:00"/>
    <n v="1"/>
    <n v="0"/>
    <n v="1"/>
    <n v="12"/>
    <x v="0"/>
    <n v="2"/>
    <n v="2"/>
    <n v="0.2"/>
  </r>
  <r>
    <n v="245"/>
    <d v="2011-01-11T00:00:00"/>
    <n v="1"/>
    <n v="0"/>
    <n v="1"/>
    <n v="13"/>
    <x v="0"/>
    <n v="2"/>
    <n v="2"/>
    <n v="0.2"/>
  </r>
  <r>
    <n v="246"/>
    <d v="2011-01-11T00:00:00"/>
    <n v="1"/>
    <n v="0"/>
    <n v="1"/>
    <n v="14"/>
    <x v="0"/>
    <n v="2"/>
    <n v="2"/>
    <n v="0.2"/>
  </r>
  <r>
    <n v="247"/>
    <d v="2011-01-11T00:00:00"/>
    <n v="1"/>
    <n v="0"/>
    <n v="1"/>
    <n v="15"/>
    <x v="0"/>
    <n v="2"/>
    <n v="2"/>
    <n v="0.16"/>
  </r>
  <r>
    <n v="248"/>
    <d v="2011-01-11T00:00:00"/>
    <n v="1"/>
    <n v="0"/>
    <n v="1"/>
    <n v="16"/>
    <x v="0"/>
    <n v="2"/>
    <n v="2"/>
    <n v="0.16"/>
  </r>
  <r>
    <n v="249"/>
    <d v="2011-01-11T00:00:00"/>
    <n v="1"/>
    <n v="0"/>
    <n v="1"/>
    <n v="17"/>
    <x v="0"/>
    <n v="2"/>
    <n v="2"/>
    <n v="0.16"/>
  </r>
  <r>
    <n v="250"/>
    <d v="2011-01-11T00:00:00"/>
    <n v="1"/>
    <n v="0"/>
    <n v="1"/>
    <n v="18"/>
    <x v="0"/>
    <n v="2"/>
    <n v="3"/>
    <n v="0.16"/>
  </r>
  <r>
    <n v="251"/>
    <d v="2011-01-11T00:00:00"/>
    <n v="1"/>
    <n v="0"/>
    <n v="1"/>
    <n v="19"/>
    <x v="0"/>
    <n v="2"/>
    <n v="3"/>
    <n v="0.16"/>
  </r>
  <r>
    <n v="252"/>
    <d v="2011-01-11T00:00:00"/>
    <n v="1"/>
    <n v="0"/>
    <n v="1"/>
    <n v="20"/>
    <x v="0"/>
    <n v="2"/>
    <n v="3"/>
    <n v="0.16"/>
  </r>
  <r>
    <n v="253"/>
    <d v="2011-01-11T00:00:00"/>
    <n v="1"/>
    <n v="0"/>
    <n v="1"/>
    <n v="21"/>
    <x v="0"/>
    <n v="2"/>
    <n v="3"/>
    <n v="0.16"/>
  </r>
  <r>
    <n v="254"/>
    <d v="2011-01-11T00:00:00"/>
    <n v="1"/>
    <n v="0"/>
    <n v="1"/>
    <n v="22"/>
    <x v="0"/>
    <n v="2"/>
    <n v="3"/>
    <n v="0.16"/>
  </r>
  <r>
    <n v="255"/>
    <d v="2011-01-11T00:00:00"/>
    <n v="1"/>
    <n v="0"/>
    <n v="1"/>
    <n v="23"/>
    <x v="0"/>
    <n v="2"/>
    <n v="3"/>
    <n v="0.16"/>
  </r>
  <r>
    <n v="256"/>
    <d v="2011-01-12T00:00:00"/>
    <n v="1"/>
    <n v="0"/>
    <n v="1"/>
    <n v="0"/>
    <x v="0"/>
    <n v="3"/>
    <n v="2"/>
    <n v="0.16"/>
  </r>
  <r>
    <n v="257"/>
    <d v="2011-01-12T00:00:00"/>
    <n v="1"/>
    <n v="0"/>
    <n v="1"/>
    <n v="1"/>
    <x v="0"/>
    <n v="3"/>
    <n v="2"/>
    <n v="0.16"/>
  </r>
  <r>
    <n v="258"/>
    <d v="2011-01-12T00:00:00"/>
    <n v="1"/>
    <n v="0"/>
    <n v="1"/>
    <n v="2"/>
    <x v="0"/>
    <n v="3"/>
    <n v="1"/>
    <n v="0.14000000000000001"/>
  </r>
  <r>
    <n v="259"/>
    <d v="2011-01-12T00:00:00"/>
    <n v="1"/>
    <n v="0"/>
    <n v="1"/>
    <n v="5"/>
    <x v="0"/>
    <n v="3"/>
    <n v="1"/>
    <n v="0.14000000000000001"/>
  </r>
  <r>
    <n v="260"/>
    <d v="2011-01-12T00:00:00"/>
    <n v="1"/>
    <n v="0"/>
    <n v="1"/>
    <n v="6"/>
    <x v="0"/>
    <n v="3"/>
    <n v="1"/>
    <n v="0.12"/>
  </r>
  <r>
    <n v="261"/>
    <d v="2011-01-12T00:00:00"/>
    <n v="1"/>
    <n v="0"/>
    <n v="1"/>
    <n v="7"/>
    <x v="0"/>
    <n v="3"/>
    <n v="1"/>
    <n v="0.14000000000000001"/>
  </r>
  <r>
    <n v="262"/>
    <d v="2011-01-12T00:00:00"/>
    <n v="1"/>
    <n v="0"/>
    <n v="1"/>
    <n v="8"/>
    <x v="0"/>
    <n v="3"/>
    <n v="1"/>
    <n v="0.16"/>
  </r>
  <r>
    <n v="263"/>
    <d v="2011-01-12T00:00:00"/>
    <n v="1"/>
    <n v="0"/>
    <n v="1"/>
    <n v="9"/>
    <x v="0"/>
    <n v="3"/>
    <n v="1"/>
    <n v="0.16"/>
  </r>
  <r>
    <n v="264"/>
    <d v="2011-01-12T00:00:00"/>
    <n v="1"/>
    <n v="0"/>
    <n v="1"/>
    <n v="10"/>
    <x v="0"/>
    <n v="3"/>
    <n v="1"/>
    <n v="0.18"/>
  </r>
  <r>
    <n v="265"/>
    <d v="2011-01-12T00:00:00"/>
    <n v="1"/>
    <n v="0"/>
    <n v="1"/>
    <n v="11"/>
    <x v="0"/>
    <n v="3"/>
    <n v="1"/>
    <n v="0.2"/>
  </r>
  <r>
    <n v="266"/>
    <d v="2011-01-12T00:00:00"/>
    <n v="1"/>
    <n v="0"/>
    <n v="1"/>
    <n v="12"/>
    <x v="0"/>
    <n v="3"/>
    <n v="1"/>
    <n v="0.2"/>
  </r>
  <r>
    <n v="267"/>
    <d v="2011-01-12T00:00:00"/>
    <n v="1"/>
    <n v="0"/>
    <n v="1"/>
    <n v="13"/>
    <x v="0"/>
    <n v="3"/>
    <n v="1"/>
    <n v="0.22"/>
  </r>
  <r>
    <n v="268"/>
    <d v="2011-01-12T00:00:00"/>
    <n v="1"/>
    <n v="0"/>
    <n v="1"/>
    <n v="14"/>
    <x v="0"/>
    <n v="3"/>
    <n v="1"/>
    <n v="0.2"/>
  </r>
  <r>
    <n v="269"/>
    <d v="2011-01-12T00:00:00"/>
    <n v="1"/>
    <n v="0"/>
    <n v="1"/>
    <n v="15"/>
    <x v="0"/>
    <n v="3"/>
    <n v="1"/>
    <n v="0.2"/>
  </r>
  <r>
    <n v="270"/>
    <d v="2011-01-12T00:00:00"/>
    <n v="1"/>
    <n v="0"/>
    <n v="1"/>
    <n v="16"/>
    <x v="0"/>
    <n v="3"/>
    <n v="1"/>
    <n v="0.22"/>
  </r>
  <r>
    <n v="271"/>
    <d v="2011-01-12T00:00:00"/>
    <n v="1"/>
    <n v="0"/>
    <n v="1"/>
    <n v="17"/>
    <x v="0"/>
    <n v="3"/>
    <n v="1"/>
    <n v="0.2"/>
  </r>
  <r>
    <n v="272"/>
    <d v="2011-01-12T00:00:00"/>
    <n v="1"/>
    <n v="0"/>
    <n v="1"/>
    <n v="18"/>
    <x v="0"/>
    <n v="3"/>
    <n v="1"/>
    <n v="0.2"/>
  </r>
  <r>
    <n v="273"/>
    <d v="2011-01-12T00:00:00"/>
    <n v="1"/>
    <n v="0"/>
    <n v="1"/>
    <n v="19"/>
    <x v="0"/>
    <n v="3"/>
    <n v="1"/>
    <n v="0.18"/>
  </r>
  <r>
    <n v="274"/>
    <d v="2011-01-12T00:00:00"/>
    <n v="1"/>
    <n v="0"/>
    <n v="1"/>
    <n v="20"/>
    <x v="0"/>
    <n v="3"/>
    <n v="1"/>
    <n v="0.16"/>
  </r>
  <r>
    <n v="275"/>
    <d v="2011-01-12T00:00:00"/>
    <n v="1"/>
    <n v="0"/>
    <n v="1"/>
    <n v="21"/>
    <x v="0"/>
    <n v="3"/>
    <n v="1"/>
    <n v="0.16"/>
  </r>
  <r>
    <n v="276"/>
    <d v="2011-01-12T00:00:00"/>
    <n v="1"/>
    <n v="0"/>
    <n v="1"/>
    <n v="22"/>
    <x v="0"/>
    <n v="3"/>
    <n v="1"/>
    <n v="0.16"/>
  </r>
  <r>
    <n v="277"/>
    <d v="2011-01-12T00:00:00"/>
    <n v="1"/>
    <n v="0"/>
    <n v="1"/>
    <n v="23"/>
    <x v="0"/>
    <n v="3"/>
    <n v="1"/>
    <n v="0.14000000000000001"/>
  </r>
  <r>
    <n v="278"/>
    <d v="2011-01-13T00:00:00"/>
    <n v="1"/>
    <n v="0"/>
    <n v="1"/>
    <n v="0"/>
    <x v="0"/>
    <n v="4"/>
    <n v="1"/>
    <n v="0.14000000000000001"/>
  </r>
  <r>
    <n v="279"/>
    <d v="2011-01-13T00:00:00"/>
    <n v="1"/>
    <n v="0"/>
    <n v="1"/>
    <n v="1"/>
    <x v="0"/>
    <n v="4"/>
    <n v="1"/>
    <n v="0.14000000000000001"/>
  </r>
  <r>
    <n v="280"/>
    <d v="2011-01-13T00:00:00"/>
    <n v="1"/>
    <n v="0"/>
    <n v="1"/>
    <n v="2"/>
    <x v="0"/>
    <n v="4"/>
    <n v="1"/>
    <n v="0.14000000000000001"/>
  </r>
  <r>
    <n v="281"/>
    <d v="2011-01-13T00:00:00"/>
    <n v="1"/>
    <n v="0"/>
    <n v="1"/>
    <n v="3"/>
    <x v="0"/>
    <n v="4"/>
    <n v="1"/>
    <n v="0.14000000000000001"/>
  </r>
  <r>
    <n v="282"/>
    <d v="2011-01-13T00:00:00"/>
    <n v="1"/>
    <n v="0"/>
    <n v="1"/>
    <n v="4"/>
    <x v="0"/>
    <n v="4"/>
    <n v="1"/>
    <n v="0.14000000000000001"/>
  </r>
  <r>
    <n v="283"/>
    <d v="2011-01-13T00:00:00"/>
    <n v="1"/>
    <n v="0"/>
    <n v="1"/>
    <n v="5"/>
    <x v="0"/>
    <n v="4"/>
    <n v="1"/>
    <n v="0.14000000000000001"/>
  </r>
  <r>
    <n v="284"/>
    <d v="2011-01-13T00:00:00"/>
    <n v="1"/>
    <n v="0"/>
    <n v="1"/>
    <n v="6"/>
    <x v="0"/>
    <n v="4"/>
    <n v="1"/>
    <n v="0.12"/>
  </r>
  <r>
    <n v="285"/>
    <d v="2011-01-13T00:00:00"/>
    <n v="1"/>
    <n v="0"/>
    <n v="1"/>
    <n v="7"/>
    <x v="0"/>
    <n v="4"/>
    <n v="1"/>
    <n v="0.12"/>
  </r>
  <r>
    <n v="286"/>
    <d v="2011-01-13T00:00:00"/>
    <n v="1"/>
    <n v="0"/>
    <n v="1"/>
    <n v="8"/>
    <x v="0"/>
    <n v="4"/>
    <n v="1"/>
    <n v="0.14000000000000001"/>
  </r>
  <r>
    <n v="287"/>
    <d v="2011-01-13T00:00:00"/>
    <n v="1"/>
    <n v="0"/>
    <n v="1"/>
    <n v="9"/>
    <x v="0"/>
    <n v="4"/>
    <n v="1"/>
    <n v="0.14000000000000001"/>
  </r>
  <r>
    <n v="288"/>
    <d v="2011-01-13T00:00:00"/>
    <n v="1"/>
    <n v="0"/>
    <n v="1"/>
    <n v="10"/>
    <x v="0"/>
    <n v="4"/>
    <n v="2"/>
    <n v="0.16"/>
  </r>
  <r>
    <n v="289"/>
    <d v="2011-01-13T00:00:00"/>
    <n v="1"/>
    <n v="0"/>
    <n v="1"/>
    <n v="11"/>
    <x v="0"/>
    <n v="4"/>
    <n v="2"/>
    <n v="0.2"/>
  </r>
  <r>
    <n v="290"/>
    <d v="2011-01-13T00:00:00"/>
    <n v="1"/>
    <n v="0"/>
    <n v="1"/>
    <n v="12"/>
    <x v="0"/>
    <n v="4"/>
    <n v="1"/>
    <n v="0.2"/>
  </r>
  <r>
    <n v="291"/>
    <d v="2011-01-13T00:00:00"/>
    <n v="1"/>
    <n v="0"/>
    <n v="1"/>
    <n v="13"/>
    <x v="0"/>
    <n v="4"/>
    <n v="1"/>
    <n v="0.22"/>
  </r>
  <r>
    <n v="292"/>
    <d v="2011-01-13T00:00:00"/>
    <n v="1"/>
    <n v="0"/>
    <n v="1"/>
    <n v="14"/>
    <x v="0"/>
    <n v="4"/>
    <n v="1"/>
    <n v="0.22"/>
  </r>
  <r>
    <n v="293"/>
    <d v="2011-01-13T00:00:00"/>
    <n v="1"/>
    <n v="0"/>
    <n v="1"/>
    <n v="15"/>
    <x v="0"/>
    <n v="4"/>
    <n v="1"/>
    <n v="0.24"/>
  </r>
  <r>
    <n v="294"/>
    <d v="2011-01-13T00:00:00"/>
    <n v="1"/>
    <n v="0"/>
    <n v="1"/>
    <n v="16"/>
    <x v="0"/>
    <n v="4"/>
    <n v="1"/>
    <n v="0.24"/>
  </r>
  <r>
    <n v="295"/>
    <d v="2011-01-13T00:00:00"/>
    <n v="1"/>
    <n v="0"/>
    <n v="1"/>
    <n v="17"/>
    <x v="0"/>
    <n v="4"/>
    <n v="1"/>
    <n v="0.2"/>
  </r>
  <r>
    <n v="296"/>
    <d v="2011-01-13T00:00:00"/>
    <n v="1"/>
    <n v="0"/>
    <n v="1"/>
    <n v="18"/>
    <x v="0"/>
    <n v="4"/>
    <n v="1"/>
    <n v="0.2"/>
  </r>
  <r>
    <n v="297"/>
    <d v="2011-01-13T00:00:00"/>
    <n v="1"/>
    <n v="0"/>
    <n v="1"/>
    <n v="19"/>
    <x v="0"/>
    <n v="4"/>
    <n v="1"/>
    <n v="0.16"/>
  </r>
  <r>
    <n v="298"/>
    <d v="2011-01-13T00:00:00"/>
    <n v="1"/>
    <n v="0"/>
    <n v="1"/>
    <n v="20"/>
    <x v="0"/>
    <n v="4"/>
    <n v="1"/>
    <n v="0.16"/>
  </r>
  <r>
    <n v="299"/>
    <d v="2011-01-13T00:00:00"/>
    <n v="1"/>
    <n v="0"/>
    <n v="1"/>
    <n v="21"/>
    <x v="0"/>
    <n v="4"/>
    <n v="1"/>
    <n v="0.14000000000000001"/>
  </r>
  <r>
    <n v="300"/>
    <d v="2011-01-13T00:00:00"/>
    <n v="1"/>
    <n v="0"/>
    <n v="1"/>
    <n v="22"/>
    <x v="0"/>
    <n v="4"/>
    <n v="1"/>
    <n v="0.14000000000000001"/>
  </r>
  <r>
    <n v="301"/>
    <d v="2011-01-13T00:00:00"/>
    <n v="1"/>
    <n v="0"/>
    <n v="1"/>
    <n v="23"/>
    <x v="0"/>
    <n v="4"/>
    <n v="1"/>
    <n v="0.12"/>
  </r>
  <r>
    <n v="302"/>
    <d v="2011-01-14T00:00:00"/>
    <n v="1"/>
    <n v="0"/>
    <n v="1"/>
    <n v="0"/>
    <x v="0"/>
    <n v="5"/>
    <n v="1"/>
    <n v="0.12"/>
  </r>
  <r>
    <n v="303"/>
    <d v="2011-01-14T00:00:00"/>
    <n v="1"/>
    <n v="0"/>
    <n v="1"/>
    <n v="1"/>
    <x v="0"/>
    <n v="5"/>
    <n v="1"/>
    <n v="0.1"/>
  </r>
  <r>
    <n v="304"/>
    <d v="2011-01-14T00:00:00"/>
    <n v="1"/>
    <n v="0"/>
    <n v="1"/>
    <n v="2"/>
    <x v="0"/>
    <n v="5"/>
    <n v="1"/>
    <n v="0.1"/>
  </r>
  <r>
    <n v="305"/>
    <d v="2011-01-14T00:00:00"/>
    <n v="1"/>
    <n v="0"/>
    <n v="1"/>
    <n v="3"/>
    <x v="0"/>
    <n v="5"/>
    <n v="1"/>
    <n v="0.1"/>
  </r>
  <r>
    <n v="306"/>
    <d v="2011-01-14T00:00:00"/>
    <n v="1"/>
    <n v="0"/>
    <n v="1"/>
    <n v="5"/>
    <x v="0"/>
    <n v="5"/>
    <n v="1"/>
    <n v="0.1"/>
  </r>
  <r>
    <n v="307"/>
    <d v="2011-01-14T00:00:00"/>
    <n v="1"/>
    <n v="0"/>
    <n v="1"/>
    <n v="6"/>
    <x v="0"/>
    <n v="5"/>
    <n v="1"/>
    <n v="0.1"/>
  </r>
  <r>
    <n v="308"/>
    <d v="2011-01-14T00:00:00"/>
    <n v="1"/>
    <n v="0"/>
    <n v="1"/>
    <n v="7"/>
    <x v="0"/>
    <n v="5"/>
    <n v="1"/>
    <n v="0.1"/>
  </r>
  <r>
    <n v="309"/>
    <d v="2011-01-14T00:00:00"/>
    <n v="1"/>
    <n v="0"/>
    <n v="1"/>
    <n v="8"/>
    <x v="0"/>
    <n v="5"/>
    <n v="1"/>
    <n v="0.12"/>
  </r>
  <r>
    <n v="310"/>
    <d v="2011-01-14T00:00:00"/>
    <n v="1"/>
    <n v="0"/>
    <n v="1"/>
    <n v="9"/>
    <x v="0"/>
    <n v="5"/>
    <n v="1"/>
    <n v="0.14000000000000001"/>
  </r>
  <r>
    <n v="311"/>
    <d v="2011-01-14T00:00:00"/>
    <n v="1"/>
    <n v="0"/>
    <n v="1"/>
    <n v="10"/>
    <x v="0"/>
    <n v="5"/>
    <n v="1"/>
    <n v="0.18"/>
  </r>
  <r>
    <n v="312"/>
    <d v="2011-01-14T00:00:00"/>
    <n v="1"/>
    <n v="0"/>
    <n v="1"/>
    <n v="11"/>
    <x v="0"/>
    <n v="5"/>
    <n v="1"/>
    <n v="0.18"/>
  </r>
  <r>
    <n v="313"/>
    <d v="2011-01-14T00:00:00"/>
    <n v="1"/>
    <n v="0"/>
    <n v="1"/>
    <n v="12"/>
    <x v="0"/>
    <n v="5"/>
    <n v="1"/>
    <n v="0.2"/>
  </r>
  <r>
    <n v="314"/>
    <d v="2011-01-14T00:00:00"/>
    <n v="1"/>
    <n v="0"/>
    <n v="1"/>
    <n v="13"/>
    <x v="0"/>
    <n v="5"/>
    <n v="1"/>
    <n v="0.22"/>
  </r>
  <r>
    <n v="315"/>
    <d v="2011-01-14T00:00:00"/>
    <n v="1"/>
    <n v="0"/>
    <n v="1"/>
    <n v="14"/>
    <x v="0"/>
    <n v="5"/>
    <n v="1"/>
    <n v="0.22"/>
  </r>
  <r>
    <n v="316"/>
    <d v="2011-01-14T00:00:00"/>
    <n v="1"/>
    <n v="0"/>
    <n v="1"/>
    <n v="15"/>
    <x v="0"/>
    <n v="5"/>
    <n v="1"/>
    <n v="0.24"/>
  </r>
  <r>
    <n v="317"/>
    <d v="2011-01-14T00:00:00"/>
    <n v="1"/>
    <n v="0"/>
    <n v="1"/>
    <n v="16"/>
    <x v="0"/>
    <n v="5"/>
    <n v="1"/>
    <n v="0.22"/>
  </r>
  <r>
    <n v="318"/>
    <d v="2011-01-14T00:00:00"/>
    <n v="1"/>
    <n v="0"/>
    <n v="1"/>
    <n v="17"/>
    <x v="0"/>
    <n v="5"/>
    <n v="1"/>
    <n v="0.22"/>
  </r>
  <r>
    <n v="319"/>
    <d v="2011-01-14T00:00:00"/>
    <n v="1"/>
    <n v="0"/>
    <n v="1"/>
    <n v="18"/>
    <x v="0"/>
    <n v="5"/>
    <n v="1"/>
    <n v="0.2"/>
  </r>
  <r>
    <n v="320"/>
    <d v="2011-01-14T00:00:00"/>
    <n v="1"/>
    <n v="0"/>
    <n v="1"/>
    <n v="19"/>
    <x v="0"/>
    <n v="5"/>
    <n v="1"/>
    <n v="0.16"/>
  </r>
  <r>
    <n v="321"/>
    <d v="2011-01-14T00:00:00"/>
    <n v="1"/>
    <n v="0"/>
    <n v="1"/>
    <n v="20"/>
    <x v="0"/>
    <n v="5"/>
    <n v="1"/>
    <n v="0.18"/>
  </r>
  <r>
    <n v="322"/>
    <d v="2011-01-14T00:00:00"/>
    <n v="1"/>
    <n v="0"/>
    <n v="1"/>
    <n v="21"/>
    <x v="0"/>
    <n v="5"/>
    <n v="1"/>
    <n v="0.16"/>
  </r>
  <r>
    <n v="323"/>
    <d v="2011-01-14T00:00:00"/>
    <n v="1"/>
    <n v="0"/>
    <n v="1"/>
    <n v="22"/>
    <x v="0"/>
    <n v="5"/>
    <n v="2"/>
    <n v="0.16"/>
  </r>
  <r>
    <n v="324"/>
    <d v="2011-01-14T00:00:00"/>
    <n v="1"/>
    <n v="0"/>
    <n v="1"/>
    <n v="23"/>
    <x v="0"/>
    <n v="5"/>
    <n v="2"/>
    <n v="0.18"/>
  </r>
  <r>
    <n v="325"/>
    <d v="2011-01-15T00:00:00"/>
    <n v="1"/>
    <n v="0"/>
    <n v="1"/>
    <n v="0"/>
    <x v="0"/>
    <n v="6"/>
    <n v="1"/>
    <n v="0.18"/>
  </r>
  <r>
    <n v="326"/>
    <d v="2011-01-15T00:00:00"/>
    <n v="1"/>
    <n v="0"/>
    <n v="1"/>
    <n v="1"/>
    <x v="0"/>
    <n v="6"/>
    <n v="2"/>
    <n v="0.16"/>
  </r>
  <r>
    <n v="327"/>
    <d v="2011-01-15T00:00:00"/>
    <n v="1"/>
    <n v="0"/>
    <n v="1"/>
    <n v="2"/>
    <x v="0"/>
    <n v="6"/>
    <n v="2"/>
    <n v="0.16"/>
  </r>
  <r>
    <n v="328"/>
    <d v="2011-01-15T00:00:00"/>
    <n v="1"/>
    <n v="0"/>
    <n v="1"/>
    <n v="3"/>
    <x v="0"/>
    <n v="6"/>
    <n v="2"/>
    <n v="0.16"/>
  </r>
  <r>
    <n v="329"/>
    <d v="2011-01-15T00:00:00"/>
    <n v="1"/>
    <n v="0"/>
    <n v="1"/>
    <n v="4"/>
    <x v="0"/>
    <n v="6"/>
    <n v="2"/>
    <n v="0.16"/>
  </r>
  <r>
    <n v="330"/>
    <d v="2011-01-15T00:00:00"/>
    <n v="1"/>
    <n v="0"/>
    <n v="1"/>
    <n v="5"/>
    <x v="0"/>
    <n v="6"/>
    <n v="1"/>
    <n v="0.16"/>
  </r>
  <r>
    <n v="331"/>
    <d v="2011-01-15T00:00:00"/>
    <n v="1"/>
    <n v="0"/>
    <n v="1"/>
    <n v="6"/>
    <x v="0"/>
    <n v="6"/>
    <n v="1"/>
    <n v="0.14000000000000001"/>
  </r>
  <r>
    <n v="332"/>
    <d v="2011-01-15T00:00:00"/>
    <n v="1"/>
    <n v="0"/>
    <n v="1"/>
    <n v="7"/>
    <x v="0"/>
    <n v="6"/>
    <n v="1"/>
    <n v="0.14000000000000001"/>
  </r>
  <r>
    <n v="333"/>
    <d v="2011-01-15T00:00:00"/>
    <n v="1"/>
    <n v="0"/>
    <n v="1"/>
    <n v="8"/>
    <x v="0"/>
    <n v="6"/>
    <n v="1"/>
    <n v="0.14000000000000001"/>
  </r>
  <r>
    <n v="334"/>
    <d v="2011-01-15T00:00:00"/>
    <n v="1"/>
    <n v="0"/>
    <n v="1"/>
    <n v="9"/>
    <x v="0"/>
    <n v="6"/>
    <n v="1"/>
    <n v="0.16"/>
  </r>
  <r>
    <n v="335"/>
    <d v="2011-01-15T00:00:00"/>
    <n v="1"/>
    <n v="0"/>
    <n v="1"/>
    <n v="10"/>
    <x v="0"/>
    <n v="6"/>
    <n v="1"/>
    <n v="0.18"/>
  </r>
  <r>
    <n v="336"/>
    <d v="2011-01-15T00:00:00"/>
    <n v="1"/>
    <n v="0"/>
    <n v="1"/>
    <n v="11"/>
    <x v="0"/>
    <n v="6"/>
    <n v="1"/>
    <n v="0.2"/>
  </r>
  <r>
    <n v="337"/>
    <d v="2011-01-15T00:00:00"/>
    <n v="1"/>
    <n v="0"/>
    <n v="1"/>
    <n v="12"/>
    <x v="0"/>
    <n v="6"/>
    <n v="1"/>
    <n v="0.24"/>
  </r>
  <r>
    <n v="338"/>
    <d v="2011-01-15T00:00:00"/>
    <n v="1"/>
    <n v="0"/>
    <n v="1"/>
    <n v="13"/>
    <x v="0"/>
    <n v="6"/>
    <n v="1"/>
    <n v="0.28000000000000003"/>
  </r>
  <r>
    <n v="339"/>
    <d v="2011-01-15T00:00:00"/>
    <n v="1"/>
    <n v="0"/>
    <n v="1"/>
    <n v="14"/>
    <x v="0"/>
    <n v="6"/>
    <n v="1"/>
    <n v="0.3"/>
  </r>
  <r>
    <n v="340"/>
    <d v="2011-01-15T00:00:00"/>
    <n v="1"/>
    <n v="0"/>
    <n v="1"/>
    <n v="15"/>
    <x v="0"/>
    <n v="6"/>
    <n v="2"/>
    <n v="0.32"/>
  </r>
  <r>
    <n v="341"/>
    <d v="2011-01-15T00:00:00"/>
    <n v="1"/>
    <n v="0"/>
    <n v="1"/>
    <n v="16"/>
    <x v="0"/>
    <n v="6"/>
    <n v="2"/>
    <n v="0.34"/>
  </r>
  <r>
    <n v="342"/>
    <d v="2011-01-15T00:00:00"/>
    <n v="1"/>
    <n v="0"/>
    <n v="1"/>
    <n v="17"/>
    <x v="0"/>
    <n v="6"/>
    <n v="2"/>
    <n v="0.32"/>
  </r>
  <r>
    <n v="343"/>
    <d v="2011-01-15T00:00:00"/>
    <n v="1"/>
    <n v="0"/>
    <n v="1"/>
    <n v="18"/>
    <x v="0"/>
    <n v="6"/>
    <n v="2"/>
    <n v="0.3"/>
  </r>
  <r>
    <n v="344"/>
    <d v="2011-01-15T00:00:00"/>
    <n v="1"/>
    <n v="0"/>
    <n v="1"/>
    <n v="19"/>
    <x v="0"/>
    <n v="6"/>
    <n v="2"/>
    <n v="0.32"/>
  </r>
  <r>
    <n v="345"/>
    <d v="2011-01-15T00:00:00"/>
    <n v="1"/>
    <n v="0"/>
    <n v="1"/>
    <n v="20"/>
    <x v="0"/>
    <n v="6"/>
    <n v="2"/>
    <n v="0.32"/>
  </r>
  <r>
    <n v="346"/>
    <d v="2011-01-15T00:00:00"/>
    <n v="1"/>
    <n v="0"/>
    <n v="1"/>
    <n v="21"/>
    <x v="0"/>
    <n v="6"/>
    <n v="2"/>
    <n v="0.32"/>
  </r>
  <r>
    <n v="347"/>
    <d v="2011-01-15T00:00:00"/>
    <n v="1"/>
    <n v="0"/>
    <n v="1"/>
    <n v="22"/>
    <x v="0"/>
    <n v="6"/>
    <n v="2"/>
    <n v="0.3"/>
  </r>
  <r>
    <n v="348"/>
    <d v="2011-01-15T00:00:00"/>
    <n v="1"/>
    <n v="0"/>
    <n v="1"/>
    <n v="23"/>
    <x v="0"/>
    <n v="6"/>
    <n v="1"/>
    <n v="0.3"/>
  </r>
  <r>
    <n v="349"/>
    <d v="2011-01-16T00:00:00"/>
    <n v="1"/>
    <n v="0"/>
    <n v="1"/>
    <n v="0"/>
    <x v="0"/>
    <n v="0"/>
    <n v="1"/>
    <n v="0.26"/>
  </r>
  <r>
    <n v="350"/>
    <d v="2011-01-16T00:00:00"/>
    <n v="1"/>
    <n v="0"/>
    <n v="1"/>
    <n v="1"/>
    <x v="0"/>
    <n v="0"/>
    <n v="1"/>
    <n v="0.26"/>
  </r>
  <r>
    <n v="351"/>
    <d v="2011-01-16T00:00:00"/>
    <n v="1"/>
    <n v="0"/>
    <n v="1"/>
    <n v="2"/>
    <x v="0"/>
    <n v="0"/>
    <n v="1"/>
    <n v="0.26"/>
  </r>
  <r>
    <n v="352"/>
    <d v="2011-01-16T00:00:00"/>
    <n v="1"/>
    <n v="0"/>
    <n v="1"/>
    <n v="3"/>
    <x v="0"/>
    <n v="0"/>
    <n v="1"/>
    <n v="0.22"/>
  </r>
  <r>
    <n v="353"/>
    <d v="2011-01-16T00:00:00"/>
    <n v="1"/>
    <n v="0"/>
    <n v="1"/>
    <n v="4"/>
    <x v="0"/>
    <n v="0"/>
    <n v="1"/>
    <n v="0.26"/>
  </r>
  <r>
    <n v="354"/>
    <d v="2011-01-16T00:00:00"/>
    <n v="1"/>
    <n v="0"/>
    <n v="1"/>
    <n v="5"/>
    <x v="0"/>
    <n v="0"/>
    <n v="2"/>
    <n v="0.26"/>
  </r>
  <r>
    <n v="355"/>
    <d v="2011-01-16T00:00:00"/>
    <n v="1"/>
    <n v="0"/>
    <n v="1"/>
    <n v="6"/>
    <x v="0"/>
    <n v="0"/>
    <n v="2"/>
    <n v="0.26"/>
  </r>
  <r>
    <n v="356"/>
    <d v="2011-01-16T00:00:00"/>
    <n v="1"/>
    <n v="0"/>
    <n v="1"/>
    <n v="7"/>
    <x v="0"/>
    <n v="0"/>
    <n v="2"/>
    <n v="0.24"/>
  </r>
  <r>
    <n v="357"/>
    <d v="2011-01-16T00:00:00"/>
    <n v="1"/>
    <n v="0"/>
    <n v="1"/>
    <n v="8"/>
    <x v="0"/>
    <n v="0"/>
    <n v="1"/>
    <n v="0.22"/>
  </r>
  <r>
    <n v="358"/>
    <d v="2011-01-16T00:00:00"/>
    <n v="1"/>
    <n v="0"/>
    <n v="1"/>
    <n v="9"/>
    <x v="0"/>
    <n v="0"/>
    <n v="1"/>
    <n v="0.22"/>
  </r>
  <r>
    <n v="359"/>
    <d v="2011-01-16T00:00:00"/>
    <n v="1"/>
    <n v="0"/>
    <n v="1"/>
    <n v="10"/>
    <x v="0"/>
    <n v="0"/>
    <n v="1"/>
    <n v="0.22"/>
  </r>
  <r>
    <n v="360"/>
    <d v="2011-01-16T00:00:00"/>
    <n v="1"/>
    <n v="0"/>
    <n v="1"/>
    <n v="11"/>
    <x v="0"/>
    <n v="0"/>
    <n v="1"/>
    <n v="0.24"/>
  </r>
  <r>
    <n v="361"/>
    <d v="2011-01-16T00:00:00"/>
    <n v="1"/>
    <n v="0"/>
    <n v="1"/>
    <n v="12"/>
    <x v="0"/>
    <n v="0"/>
    <n v="1"/>
    <n v="0.24"/>
  </r>
  <r>
    <n v="362"/>
    <d v="2011-01-16T00:00:00"/>
    <n v="1"/>
    <n v="0"/>
    <n v="1"/>
    <n v="13"/>
    <x v="0"/>
    <n v="0"/>
    <n v="1"/>
    <n v="0.26"/>
  </r>
  <r>
    <n v="363"/>
    <d v="2011-01-16T00:00:00"/>
    <n v="1"/>
    <n v="0"/>
    <n v="1"/>
    <n v="14"/>
    <x v="0"/>
    <n v="0"/>
    <n v="1"/>
    <n v="0.28000000000000003"/>
  </r>
  <r>
    <n v="364"/>
    <d v="2011-01-16T00:00:00"/>
    <n v="1"/>
    <n v="0"/>
    <n v="1"/>
    <n v="15"/>
    <x v="0"/>
    <n v="0"/>
    <n v="1"/>
    <n v="0.26"/>
  </r>
  <r>
    <n v="365"/>
    <d v="2011-01-16T00:00:00"/>
    <n v="1"/>
    <n v="0"/>
    <n v="1"/>
    <n v="16"/>
    <x v="0"/>
    <n v="0"/>
    <n v="1"/>
    <n v="0.24"/>
  </r>
  <r>
    <n v="366"/>
    <d v="2011-01-16T00:00:00"/>
    <n v="1"/>
    <n v="0"/>
    <n v="1"/>
    <n v="17"/>
    <x v="0"/>
    <n v="0"/>
    <n v="1"/>
    <n v="0.22"/>
  </r>
  <r>
    <n v="367"/>
    <d v="2011-01-16T00:00:00"/>
    <n v="1"/>
    <n v="0"/>
    <n v="1"/>
    <n v="18"/>
    <x v="0"/>
    <n v="0"/>
    <n v="1"/>
    <n v="0.2"/>
  </r>
  <r>
    <n v="368"/>
    <d v="2011-01-16T00:00:00"/>
    <n v="1"/>
    <n v="0"/>
    <n v="1"/>
    <n v="19"/>
    <x v="0"/>
    <n v="0"/>
    <n v="1"/>
    <n v="0.18"/>
  </r>
  <r>
    <n v="369"/>
    <d v="2011-01-16T00:00:00"/>
    <n v="1"/>
    <n v="0"/>
    <n v="1"/>
    <n v="20"/>
    <x v="0"/>
    <n v="0"/>
    <n v="1"/>
    <n v="0.18"/>
  </r>
  <r>
    <n v="370"/>
    <d v="2011-01-16T00:00:00"/>
    <n v="1"/>
    <n v="0"/>
    <n v="1"/>
    <n v="21"/>
    <x v="0"/>
    <n v="0"/>
    <n v="1"/>
    <n v="0.18"/>
  </r>
  <r>
    <n v="371"/>
    <d v="2011-01-16T00:00:00"/>
    <n v="1"/>
    <n v="0"/>
    <n v="1"/>
    <n v="22"/>
    <x v="0"/>
    <n v="0"/>
    <n v="2"/>
    <n v="0.2"/>
  </r>
  <r>
    <n v="372"/>
    <d v="2011-01-16T00:00:00"/>
    <n v="1"/>
    <n v="0"/>
    <n v="1"/>
    <n v="23"/>
    <x v="0"/>
    <n v="0"/>
    <n v="2"/>
    <n v="0.2"/>
  </r>
  <r>
    <n v="373"/>
    <d v="2011-01-17T00:00:00"/>
    <n v="1"/>
    <n v="0"/>
    <n v="1"/>
    <n v="0"/>
    <x v="1"/>
    <n v="1"/>
    <n v="2"/>
    <n v="0.2"/>
  </r>
  <r>
    <n v="374"/>
    <d v="2011-01-17T00:00:00"/>
    <n v="1"/>
    <n v="0"/>
    <n v="1"/>
    <n v="1"/>
    <x v="1"/>
    <n v="1"/>
    <n v="2"/>
    <n v="0.2"/>
  </r>
  <r>
    <n v="375"/>
    <d v="2011-01-17T00:00:00"/>
    <n v="1"/>
    <n v="0"/>
    <n v="1"/>
    <n v="2"/>
    <x v="1"/>
    <n v="1"/>
    <n v="2"/>
    <n v="0.18"/>
  </r>
  <r>
    <n v="376"/>
    <d v="2011-01-17T00:00:00"/>
    <n v="1"/>
    <n v="0"/>
    <n v="1"/>
    <n v="3"/>
    <x v="1"/>
    <n v="1"/>
    <n v="2"/>
    <n v="0.18"/>
  </r>
  <r>
    <n v="377"/>
    <d v="2011-01-17T00:00:00"/>
    <n v="1"/>
    <n v="0"/>
    <n v="1"/>
    <n v="4"/>
    <x v="1"/>
    <n v="1"/>
    <n v="2"/>
    <n v="0.18"/>
  </r>
  <r>
    <n v="378"/>
    <d v="2011-01-17T00:00:00"/>
    <n v="1"/>
    <n v="0"/>
    <n v="1"/>
    <n v="5"/>
    <x v="1"/>
    <n v="1"/>
    <n v="2"/>
    <n v="0.18"/>
  </r>
  <r>
    <n v="379"/>
    <d v="2011-01-17T00:00:00"/>
    <n v="1"/>
    <n v="0"/>
    <n v="1"/>
    <n v="6"/>
    <x v="1"/>
    <n v="1"/>
    <n v="2"/>
    <n v="0.18"/>
  </r>
  <r>
    <n v="380"/>
    <d v="2011-01-17T00:00:00"/>
    <n v="1"/>
    <n v="0"/>
    <n v="1"/>
    <n v="7"/>
    <x v="1"/>
    <n v="1"/>
    <n v="2"/>
    <n v="0.16"/>
  </r>
  <r>
    <n v="381"/>
    <d v="2011-01-17T00:00:00"/>
    <n v="1"/>
    <n v="0"/>
    <n v="1"/>
    <n v="8"/>
    <x v="1"/>
    <n v="1"/>
    <n v="2"/>
    <n v="0.16"/>
  </r>
  <r>
    <n v="382"/>
    <d v="2011-01-17T00:00:00"/>
    <n v="1"/>
    <n v="0"/>
    <n v="1"/>
    <n v="9"/>
    <x v="1"/>
    <n v="1"/>
    <n v="2"/>
    <n v="0.16"/>
  </r>
  <r>
    <n v="383"/>
    <d v="2011-01-17T00:00:00"/>
    <n v="1"/>
    <n v="0"/>
    <n v="1"/>
    <n v="10"/>
    <x v="1"/>
    <n v="1"/>
    <n v="2"/>
    <n v="0.16"/>
  </r>
  <r>
    <n v="384"/>
    <d v="2011-01-17T00:00:00"/>
    <n v="1"/>
    <n v="0"/>
    <n v="1"/>
    <n v="11"/>
    <x v="1"/>
    <n v="1"/>
    <n v="2"/>
    <n v="0.16"/>
  </r>
  <r>
    <n v="385"/>
    <d v="2011-01-17T00:00:00"/>
    <n v="1"/>
    <n v="0"/>
    <n v="1"/>
    <n v="12"/>
    <x v="1"/>
    <n v="1"/>
    <n v="2"/>
    <n v="0.18"/>
  </r>
  <r>
    <n v="386"/>
    <d v="2011-01-17T00:00:00"/>
    <n v="1"/>
    <n v="0"/>
    <n v="1"/>
    <n v="13"/>
    <x v="1"/>
    <n v="1"/>
    <n v="2"/>
    <n v="0.18"/>
  </r>
  <r>
    <n v="387"/>
    <d v="2011-01-17T00:00:00"/>
    <n v="1"/>
    <n v="0"/>
    <n v="1"/>
    <n v="14"/>
    <x v="1"/>
    <n v="1"/>
    <n v="2"/>
    <n v="0.18"/>
  </r>
  <r>
    <n v="388"/>
    <d v="2011-01-17T00:00:00"/>
    <n v="1"/>
    <n v="0"/>
    <n v="1"/>
    <n v="15"/>
    <x v="1"/>
    <n v="1"/>
    <n v="2"/>
    <n v="0.2"/>
  </r>
  <r>
    <n v="389"/>
    <d v="2011-01-17T00:00:00"/>
    <n v="1"/>
    <n v="0"/>
    <n v="1"/>
    <n v="16"/>
    <x v="1"/>
    <n v="1"/>
    <n v="2"/>
    <n v="0.2"/>
  </r>
  <r>
    <n v="390"/>
    <d v="2011-01-17T00:00:00"/>
    <n v="1"/>
    <n v="0"/>
    <n v="1"/>
    <n v="17"/>
    <x v="1"/>
    <n v="1"/>
    <n v="1"/>
    <n v="0.2"/>
  </r>
  <r>
    <n v="391"/>
    <d v="2011-01-17T00:00:00"/>
    <n v="1"/>
    <n v="0"/>
    <n v="1"/>
    <n v="18"/>
    <x v="1"/>
    <n v="1"/>
    <n v="2"/>
    <n v="0.18"/>
  </r>
  <r>
    <n v="392"/>
    <d v="2011-01-17T00:00:00"/>
    <n v="1"/>
    <n v="0"/>
    <n v="1"/>
    <n v="19"/>
    <x v="1"/>
    <n v="1"/>
    <n v="3"/>
    <n v="0.18"/>
  </r>
  <r>
    <n v="393"/>
    <d v="2011-01-17T00:00:00"/>
    <n v="1"/>
    <n v="0"/>
    <n v="1"/>
    <n v="20"/>
    <x v="1"/>
    <n v="1"/>
    <n v="3"/>
    <n v="0.16"/>
  </r>
  <r>
    <n v="394"/>
    <d v="2011-01-17T00:00:00"/>
    <n v="1"/>
    <n v="0"/>
    <n v="1"/>
    <n v="21"/>
    <x v="1"/>
    <n v="1"/>
    <n v="3"/>
    <n v="0.16"/>
  </r>
  <r>
    <n v="395"/>
    <d v="2011-01-17T00:00:00"/>
    <n v="1"/>
    <n v="0"/>
    <n v="1"/>
    <n v="22"/>
    <x v="1"/>
    <n v="1"/>
    <n v="3"/>
    <n v="0.14000000000000001"/>
  </r>
  <r>
    <n v="396"/>
    <d v="2011-01-17T00:00:00"/>
    <n v="1"/>
    <n v="0"/>
    <n v="1"/>
    <n v="23"/>
    <x v="1"/>
    <n v="1"/>
    <n v="3"/>
    <n v="0.16"/>
  </r>
  <r>
    <n v="397"/>
    <d v="2011-01-18T00:00:00"/>
    <n v="1"/>
    <n v="0"/>
    <n v="1"/>
    <n v="12"/>
    <x v="0"/>
    <n v="2"/>
    <n v="2"/>
    <n v="0.2"/>
  </r>
  <r>
    <n v="398"/>
    <d v="2011-01-18T00:00:00"/>
    <n v="1"/>
    <n v="0"/>
    <n v="1"/>
    <n v="13"/>
    <x v="0"/>
    <n v="2"/>
    <n v="2"/>
    <n v="0.2"/>
  </r>
  <r>
    <n v="399"/>
    <d v="2011-01-18T00:00:00"/>
    <n v="1"/>
    <n v="0"/>
    <n v="1"/>
    <n v="14"/>
    <x v="0"/>
    <n v="2"/>
    <n v="2"/>
    <n v="0.22"/>
  </r>
  <r>
    <n v="400"/>
    <d v="2011-01-18T00:00:00"/>
    <n v="1"/>
    <n v="0"/>
    <n v="1"/>
    <n v="15"/>
    <x v="0"/>
    <n v="2"/>
    <n v="2"/>
    <n v="0.22"/>
  </r>
  <r>
    <n v="401"/>
    <d v="2011-01-18T00:00:00"/>
    <n v="1"/>
    <n v="0"/>
    <n v="1"/>
    <n v="16"/>
    <x v="0"/>
    <n v="2"/>
    <n v="2"/>
    <n v="0.22"/>
  </r>
  <r>
    <n v="402"/>
    <d v="2011-01-18T00:00:00"/>
    <n v="1"/>
    <n v="0"/>
    <n v="1"/>
    <n v="17"/>
    <x v="0"/>
    <n v="2"/>
    <n v="2"/>
    <n v="0.22"/>
  </r>
  <r>
    <n v="403"/>
    <d v="2011-01-18T00:00:00"/>
    <n v="1"/>
    <n v="0"/>
    <n v="1"/>
    <n v="18"/>
    <x v="0"/>
    <n v="2"/>
    <n v="2"/>
    <n v="0.22"/>
  </r>
  <r>
    <n v="404"/>
    <d v="2011-01-18T00:00:00"/>
    <n v="1"/>
    <n v="0"/>
    <n v="1"/>
    <n v="19"/>
    <x v="0"/>
    <n v="2"/>
    <n v="2"/>
    <n v="0.22"/>
  </r>
  <r>
    <n v="405"/>
    <d v="2011-01-18T00:00:00"/>
    <n v="1"/>
    <n v="0"/>
    <n v="1"/>
    <n v="20"/>
    <x v="0"/>
    <n v="2"/>
    <n v="2"/>
    <n v="0.22"/>
  </r>
  <r>
    <n v="406"/>
    <d v="2011-01-18T00:00:00"/>
    <n v="1"/>
    <n v="0"/>
    <n v="1"/>
    <n v="21"/>
    <x v="0"/>
    <n v="2"/>
    <n v="2"/>
    <n v="0.22"/>
  </r>
  <r>
    <n v="407"/>
    <d v="2011-01-18T00:00:00"/>
    <n v="1"/>
    <n v="0"/>
    <n v="1"/>
    <n v="22"/>
    <x v="0"/>
    <n v="2"/>
    <n v="2"/>
    <n v="0.22"/>
  </r>
  <r>
    <n v="408"/>
    <d v="2011-01-18T00:00:00"/>
    <n v="1"/>
    <n v="0"/>
    <n v="1"/>
    <n v="23"/>
    <x v="0"/>
    <n v="2"/>
    <n v="2"/>
    <n v="0.22"/>
  </r>
  <r>
    <n v="409"/>
    <d v="2011-01-19T00:00:00"/>
    <n v="1"/>
    <n v="0"/>
    <n v="1"/>
    <n v="0"/>
    <x v="0"/>
    <n v="3"/>
    <n v="2"/>
    <n v="0.22"/>
  </r>
  <r>
    <n v="410"/>
    <d v="2011-01-19T00:00:00"/>
    <n v="1"/>
    <n v="0"/>
    <n v="1"/>
    <n v="1"/>
    <x v="0"/>
    <n v="3"/>
    <n v="3"/>
    <n v="0.22"/>
  </r>
  <r>
    <n v="411"/>
    <d v="2011-01-19T00:00:00"/>
    <n v="1"/>
    <n v="0"/>
    <n v="1"/>
    <n v="2"/>
    <x v="0"/>
    <n v="3"/>
    <n v="3"/>
    <n v="0.22"/>
  </r>
  <r>
    <n v="412"/>
    <d v="2011-01-19T00:00:00"/>
    <n v="1"/>
    <n v="0"/>
    <n v="1"/>
    <n v="4"/>
    <x v="0"/>
    <n v="3"/>
    <n v="3"/>
    <n v="0.22"/>
  </r>
  <r>
    <n v="413"/>
    <d v="2011-01-19T00:00:00"/>
    <n v="1"/>
    <n v="0"/>
    <n v="1"/>
    <n v="5"/>
    <x v="0"/>
    <n v="3"/>
    <n v="2"/>
    <n v="0.22"/>
  </r>
  <r>
    <n v="414"/>
    <d v="2011-01-19T00:00:00"/>
    <n v="1"/>
    <n v="0"/>
    <n v="1"/>
    <n v="6"/>
    <x v="0"/>
    <n v="3"/>
    <n v="2"/>
    <n v="0.22"/>
  </r>
  <r>
    <n v="415"/>
    <d v="2011-01-19T00:00:00"/>
    <n v="1"/>
    <n v="0"/>
    <n v="1"/>
    <n v="7"/>
    <x v="0"/>
    <n v="3"/>
    <n v="2"/>
    <n v="0.24"/>
  </r>
  <r>
    <n v="416"/>
    <d v="2011-01-19T00:00:00"/>
    <n v="1"/>
    <n v="0"/>
    <n v="1"/>
    <n v="8"/>
    <x v="0"/>
    <n v="3"/>
    <n v="2"/>
    <n v="0.24"/>
  </r>
  <r>
    <n v="417"/>
    <d v="2011-01-19T00:00:00"/>
    <n v="1"/>
    <n v="0"/>
    <n v="1"/>
    <n v="9"/>
    <x v="0"/>
    <n v="3"/>
    <n v="2"/>
    <n v="0.24"/>
  </r>
  <r>
    <n v="418"/>
    <d v="2011-01-19T00:00:00"/>
    <n v="1"/>
    <n v="0"/>
    <n v="1"/>
    <n v="10"/>
    <x v="0"/>
    <n v="3"/>
    <n v="2"/>
    <n v="0.26"/>
  </r>
  <r>
    <n v="419"/>
    <d v="2011-01-19T00:00:00"/>
    <n v="1"/>
    <n v="0"/>
    <n v="1"/>
    <n v="11"/>
    <x v="0"/>
    <n v="3"/>
    <n v="2"/>
    <n v="0.28000000000000003"/>
  </r>
  <r>
    <n v="420"/>
    <d v="2011-01-19T00:00:00"/>
    <n v="1"/>
    <n v="0"/>
    <n v="1"/>
    <n v="12"/>
    <x v="0"/>
    <n v="3"/>
    <n v="2"/>
    <n v="0.3"/>
  </r>
  <r>
    <n v="421"/>
    <d v="2011-01-19T00:00:00"/>
    <n v="1"/>
    <n v="0"/>
    <n v="1"/>
    <n v="13"/>
    <x v="0"/>
    <n v="3"/>
    <n v="1"/>
    <n v="0.4"/>
  </r>
  <r>
    <n v="422"/>
    <d v="2011-01-19T00:00:00"/>
    <n v="1"/>
    <n v="0"/>
    <n v="1"/>
    <n v="14"/>
    <x v="0"/>
    <n v="3"/>
    <n v="1"/>
    <n v="0.4"/>
  </r>
  <r>
    <n v="423"/>
    <d v="2011-01-19T00:00:00"/>
    <n v="1"/>
    <n v="0"/>
    <n v="1"/>
    <n v="15"/>
    <x v="0"/>
    <n v="3"/>
    <n v="1"/>
    <n v="0.4"/>
  </r>
  <r>
    <n v="424"/>
    <d v="2011-01-19T00:00:00"/>
    <n v="1"/>
    <n v="0"/>
    <n v="1"/>
    <n v="16"/>
    <x v="0"/>
    <n v="3"/>
    <n v="1"/>
    <n v="0.38"/>
  </r>
  <r>
    <n v="425"/>
    <d v="2011-01-19T00:00:00"/>
    <n v="1"/>
    <n v="0"/>
    <n v="1"/>
    <n v="17"/>
    <x v="0"/>
    <n v="3"/>
    <n v="1"/>
    <n v="0.36"/>
  </r>
  <r>
    <n v="426"/>
    <d v="2011-01-19T00:00:00"/>
    <n v="1"/>
    <n v="0"/>
    <n v="1"/>
    <n v="18"/>
    <x v="0"/>
    <n v="3"/>
    <n v="1"/>
    <n v="0.34"/>
  </r>
  <r>
    <n v="427"/>
    <d v="2011-01-19T00:00:00"/>
    <n v="1"/>
    <n v="0"/>
    <n v="1"/>
    <n v="19"/>
    <x v="0"/>
    <n v="3"/>
    <n v="1"/>
    <n v="0.32"/>
  </r>
  <r>
    <n v="428"/>
    <d v="2011-01-19T00:00:00"/>
    <n v="1"/>
    <n v="0"/>
    <n v="1"/>
    <n v="20"/>
    <x v="0"/>
    <n v="3"/>
    <n v="1"/>
    <n v="0.32"/>
  </r>
  <r>
    <n v="429"/>
    <d v="2011-01-19T00:00:00"/>
    <n v="1"/>
    <n v="0"/>
    <n v="1"/>
    <n v="21"/>
    <x v="0"/>
    <n v="3"/>
    <n v="1"/>
    <n v="0.32"/>
  </r>
  <r>
    <n v="430"/>
    <d v="2011-01-19T00:00:00"/>
    <n v="1"/>
    <n v="0"/>
    <n v="1"/>
    <n v="22"/>
    <x v="0"/>
    <n v="3"/>
    <n v="1"/>
    <n v="0.3"/>
  </r>
  <r>
    <n v="431"/>
    <d v="2011-01-19T00:00:00"/>
    <n v="1"/>
    <n v="0"/>
    <n v="1"/>
    <n v="23"/>
    <x v="0"/>
    <n v="3"/>
    <n v="1"/>
    <n v="0.3"/>
  </r>
  <r>
    <n v="432"/>
    <d v="2011-01-20T00:00:00"/>
    <n v="1"/>
    <n v="0"/>
    <n v="1"/>
    <n v="0"/>
    <x v="0"/>
    <n v="4"/>
    <n v="1"/>
    <n v="0.26"/>
  </r>
  <r>
    <n v="433"/>
    <d v="2011-01-20T00:00:00"/>
    <n v="1"/>
    <n v="0"/>
    <n v="1"/>
    <n v="1"/>
    <x v="0"/>
    <n v="4"/>
    <n v="1"/>
    <n v="0.26"/>
  </r>
  <r>
    <n v="434"/>
    <d v="2011-01-20T00:00:00"/>
    <n v="1"/>
    <n v="0"/>
    <n v="1"/>
    <n v="2"/>
    <x v="0"/>
    <n v="4"/>
    <n v="1"/>
    <n v="0.26"/>
  </r>
  <r>
    <n v="435"/>
    <d v="2011-01-20T00:00:00"/>
    <n v="1"/>
    <n v="0"/>
    <n v="1"/>
    <n v="3"/>
    <x v="0"/>
    <n v="4"/>
    <n v="1"/>
    <n v="0.26"/>
  </r>
  <r>
    <n v="436"/>
    <d v="2011-01-20T00:00:00"/>
    <n v="1"/>
    <n v="0"/>
    <n v="1"/>
    <n v="4"/>
    <x v="0"/>
    <n v="4"/>
    <n v="1"/>
    <n v="0.26"/>
  </r>
  <r>
    <n v="437"/>
    <d v="2011-01-20T00:00:00"/>
    <n v="1"/>
    <n v="0"/>
    <n v="1"/>
    <n v="5"/>
    <x v="0"/>
    <n v="4"/>
    <n v="1"/>
    <n v="0.24"/>
  </r>
  <r>
    <n v="438"/>
    <d v="2011-01-20T00:00:00"/>
    <n v="1"/>
    <n v="0"/>
    <n v="1"/>
    <n v="6"/>
    <x v="0"/>
    <n v="4"/>
    <n v="1"/>
    <n v="0.22"/>
  </r>
  <r>
    <n v="439"/>
    <d v="2011-01-20T00:00:00"/>
    <n v="1"/>
    <n v="0"/>
    <n v="1"/>
    <n v="7"/>
    <x v="0"/>
    <n v="4"/>
    <n v="1"/>
    <n v="0.22"/>
  </r>
  <r>
    <n v="440"/>
    <d v="2011-01-20T00:00:00"/>
    <n v="1"/>
    <n v="0"/>
    <n v="1"/>
    <n v="8"/>
    <x v="0"/>
    <n v="4"/>
    <n v="1"/>
    <n v="0.22"/>
  </r>
  <r>
    <n v="441"/>
    <d v="2011-01-20T00:00:00"/>
    <n v="1"/>
    <n v="0"/>
    <n v="1"/>
    <n v="9"/>
    <x v="0"/>
    <n v="4"/>
    <n v="2"/>
    <n v="0.24"/>
  </r>
  <r>
    <n v="442"/>
    <d v="2011-01-20T00:00:00"/>
    <n v="1"/>
    <n v="0"/>
    <n v="1"/>
    <n v="10"/>
    <x v="0"/>
    <n v="4"/>
    <n v="1"/>
    <n v="0.26"/>
  </r>
  <r>
    <n v="443"/>
    <d v="2011-01-20T00:00:00"/>
    <n v="1"/>
    <n v="0"/>
    <n v="1"/>
    <n v="11"/>
    <x v="0"/>
    <n v="4"/>
    <n v="2"/>
    <n v="0.28000000000000003"/>
  </r>
  <r>
    <n v="444"/>
    <d v="2011-01-20T00:00:00"/>
    <n v="1"/>
    <n v="0"/>
    <n v="1"/>
    <n v="12"/>
    <x v="0"/>
    <n v="4"/>
    <n v="2"/>
    <n v="0.3"/>
  </r>
  <r>
    <n v="445"/>
    <d v="2011-01-20T00:00:00"/>
    <n v="1"/>
    <n v="0"/>
    <n v="1"/>
    <n v="13"/>
    <x v="0"/>
    <n v="4"/>
    <n v="2"/>
    <n v="0.28000000000000003"/>
  </r>
  <r>
    <n v="446"/>
    <d v="2011-01-20T00:00:00"/>
    <n v="1"/>
    <n v="0"/>
    <n v="1"/>
    <n v="14"/>
    <x v="0"/>
    <n v="4"/>
    <n v="2"/>
    <n v="0.3"/>
  </r>
  <r>
    <n v="447"/>
    <d v="2011-01-20T00:00:00"/>
    <n v="1"/>
    <n v="0"/>
    <n v="1"/>
    <n v="15"/>
    <x v="0"/>
    <n v="4"/>
    <n v="2"/>
    <n v="0.32"/>
  </r>
  <r>
    <n v="448"/>
    <d v="2011-01-20T00:00:00"/>
    <n v="1"/>
    <n v="0"/>
    <n v="1"/>
    <n v="16"/>
    <x v="0"/>
    <n v="4"/>
    <n v="2"/>
    <n v="0.3"/>
  </r>
  <r>
    <n v="449"/>
    <d v="2011-01-20T00:00:00"/>
    <n v="1"/>
    <n v="0"/>
    <n v="1"/>
    <n v="17"/>
    <x v="0"/>
    <n v="4"/>
    <n v="2"/>
    <n v="0.3"/>
  </r>
  <r>
    <n v="450"/>
    <d v="2011-01-20T00:00:00"/>
    <n v="1"/>
    <n v="0"/>
    <n v="1"/>
    <n v="18"/>
    <x v="0"/>
    <n v="4"/>
    <n v="2"/>
    <n v="0.26"/>
  </r>
  <r>
    <n v="451"/>
    <d v="2011-01-20T00:00:00"/>
    <n v="1"/>
    <n v="0"/>
    <n v="1"/>
    <n v="19"/>
    <x v="0"/>
    <n v="4"/>
    <n v="1"/>
    <n v="0.26"/>
  </r>
  <r>
    <n v="452"/>
    <d v="2011-01-20T00:00:00"/>
    <n v="1"/>
    <n v="0"/>
    <n v="1"/>
    <n v="20"/>
    <x v="0"/>
    <n v="4"/>
    <n v="2"/>
    <n v="0.26"/>
  </r>
  <r>
    <n v="453"/>
    <d v="2011-01-20T00:00:00"/>
    <n v="1"/>
    <n v="0"/>
    <n v="1"/>
    <n v="21"/>
    <x v="0"/>
    <n v="4"/>
    <n v="2"/>
    <n v="0.24"/>
  </r>
  <r>
    <n v="454"/>
    <d v="2011-01-20T00:00:00"/>
    <n v="1"/>
    <n v="0"/>
    <n v="1"/>
    <n v="22"/>
    <x v="0"/>
    <n v="4"/>
    <n v="2"/>
    <n v="0.24"/>
  </r>
  <r>
    <n v="455"/>
    <d v="2011-01-20T00:00:00"/>
    <n v="1"/>
    <n v="0"/>
    <n v="1"/>
    <n v="23"/>
    <x v="0"/>
    <n v="4"/>
    <n v="2"/>
    <n v="0.24"/>
  </r>
  <r>
    <n v="456"/>
    <d v="2011-01-21T00:00:00"/>
    <n v="1"/>
    <n v="0"/>
    <n v="1"/>
    <n v="0"/>
    <x v="0"/>
    <n v="5"/>
    <n v="2"/>
    <n v="0.24"/>
  </r>
  <r>
    <n v="457"/>
    <d v="2011-01-21T00:00:00"/>
    <n v="1"/>
    <n v="0"/>
    <n v="1"/>
    <n v="1"/>
    <x v="0"/>
    <n v="5"/>
    <n v="2"/>
    <n v="0.24"/>
  </r>
  <r>
    <n v="458"/>
    <d v="2011-01-21T00:00:00"/>
    <n v="1"/>
    <n v="0"/>
    <n v="1"/>
    <n v="2"/>
    <x v="0"/>
    <n v="5"/>
    <n v="3"/>
    <n v="0.24"/>
  </r>
  <r>
    <n v="459"/>
    <d v="2011-01-21T00:00:00"/>
    <n v="1"/>
    <n v="0"/>
    <n v="1"/>
    <n v="3"/>
    <x v="0"/>
    <n v="5"/>
    <n v="3"/>
    <n v="0.22"/>
  </r>
  <r>
    <n v="460"/>
    <d v="2011-01-21T00:00:00"/>
    <n v="1"/>
    <n v="0"/>
    <n v="1"/>
    <n v="4"/>
    <x v="0"/>
    <n v="5"/>
    <n v="2"/>
    <n v="0.22"/>
  </r>
  <r>
    <n v="461"/>
    <d v="2011-01-21T00:00:00"/>
    <n v="1"/>
    <n v="0"/>
    <n v="1"/>
    <n v="5"/>
    <x v="0"/>
    <n v="5"/>
    <n v="1"/>
    <n v="0.24"/>
  </r>
  <r>
    <n v="462"/>
    <d v="2011-01-21T00:00:00"/>
    <n v="1"/>
    <n v="0"/>
    <n v="1"/>
    <n v="6"/>
    <x v="0"/>
    <n v="5"/>
    <n v="1"/>
    <n v="0.22"/>
  </r>
  <r>
    <n v="463"/>
    <d v="2011-01-21T00:00:00"/>
    <n v="1"/>
    <n v="0"/>
    <n v="1"/>
    <n v="7"/>
    <x v="0"/>
    <n v="5"/>
    <n v="1"/>
    <n v="0.2"/>
  </r>
  <r>
    <n v="464"/>
    <d v="2011-01-21T00:00:00"/>
    <n v="1"/>
    <n v="0"/>
    <n v="1"/>
    <n v="8"/>
    <x v="0"/>
    <n v="5"/>
    <n v="1"/>
    <n v="0.2"/>
  </r>
  <r>
    <n v="465"/>
    <d v="2011-01-21T00:00:00"/>
    <n v="1"/>
    <n v="0"/>
    <n v="1"/>
    <n v="9"/>
    <x v="0"/>
    <n v="5"/>
    <n v="1"/>
    <n v="0.2"/>
  </r>
  <r>
    <n v="466"/>
    <d v="2011-01-21T00:00:00"/>
    <n v="1"/>
    <n v="0"/>
    <n v="1"/>
    <n v="10"/>
    <x v="0"/>
    <n v="5"/>
    <n v="1"/>
    <n v="0.2"/>
  </r>
  <r>
    <n v="467"/>
    <d v="2011-01-21T00:00:00"/>
    <n v="1"/>
    <n v="0"/>
    <n v="1"/>
    <n v="11"/>
    <x v="0"/>
    <n v="5"/>
    <n v="1"/>
    <n v="0.22"/>
  </r>
  <r>
    <n v="468"/>
    <d v="2011-01-21T00:00:00"/>
    <n v="1"/>
    <n v="0"/>
    <n v="1"/>
    <n v="12"/>
    <x v="0"/>
    <n v="5"/>
    <n v="1"/>
    <n v="0.22"/>
  </r>
  <r>
    <n v="469"/>
    <d v="2011-01-21T00:00:00"/>
    <n v="1"/>
    <n v="0"/>
    <n v="1"/>
    <n v="13"/>
    <x v="0"/>
    <n v="5"/>
    <n v="1"/>
    <n v="0.2"/>
  </r>
  <r>
    <n v="470"/>
    <d v="2011-01-21T00:00:00"/>
    <n v="1"/>
    <n v="0"/>
    <n v="1"/>
    <n v="14"/>
    <x v="0"/>
    <n v="5"/>
    <n v="1"/>
    <n v="0.2"/>
  </r>
  <r>
    <n v="471"/>
    <d v="2011-01-21T00:00:00"/>
    <n v="1"/>
    <n v="0"/>
    <n v="1"/>
    <n v="15"/>
    <x v="0"/>
    <n v="5"/>
    <n v="1"/>
    <n v="0.16"/>
  </r>
  <r>
    <n v="472"/>
    <d v="2011-01-21T00:00:00"/>
    <n v="1"/>
    <n v="0"/>
    <n v="1"/>
    <n v="16"/>
    <x v="0"/>
    <n v="5"/>
    <n v="1"/>
    <n v="0.16"/>
  </r>
  <r>
    <n v="473"/>
    <d v="2011-01-21T00:00:00"/>
    <n v="1"/>
    <n v="0"/>
    <n v="1"/>
    <n v="17"/>
    <x v="0"/>
    <n v="5"/>
    <n v="1"/>
    <n v="0.14000000000000001"/>
  </r>
  <r>
    <n v="474"/>
    <d v="2011-01-21T00:00:00"/>
    <n v="1"/>
    <n v="0"/>
    <n v="1"/>
    <n v="18"/>
    <x v="0"/>
    <n v="5"/>
    <n v="1"/>
    <n v="0.12"/>
  </r>
  <r>
    <n v="475"/>
    <d v="2011-01-21T00:00:00"/>
    <n v="1"/>
    <n v="0"/>
    <n v="1"/>
    <n v="19"/>
    <x v="0"/>
    <n v="5"/>
    <n v="1"/>
    <n v="0.12"/>
  </r>
  <r>
    <n v="476"/>
    <d v="2011-01-21T00:00:00"/>
    <n v="1"/>
    <n v="0"/>
    <n v="1"/>
    <n v="20"/>
    <x v="0"/>
    <n v="5"/>
    <n v="1"/>
    <n v="0.1"/>
  </r>
  <r>
    <n v="477"/>
    <d v="2011-01-21T00:00:00"/>
    <n v="1"/>
    <n v="0"/>
    <n v="1"/>
    <n v="21"/>
    <x v="0"/>
    <n v="5"/>
    <n v="1"/>
    <n v="0.08"/>
  </r>
  <r>
    <n v="478"/>
    <d v="2011-01-21T00:00:00"/>
    <n v="1"/>
    <n v="0"/>
    <n v="1"/>
    <n v="22"/>
    <x v="0"/>
    <n v="5"/>
    <n v="1"/>
    <n v="0.06"/>
  </r>
  <r>
    <n v="479"/>
    <d v="2011-01-21T00:00:00"/>
    <n v="1"/>
    <n v="0"/>
    <n v="1"/>
    <n v="23"/>
    <x v="0"/>
    <n v="5"/>
    <n v="1"/>
    <n v="0.06"/>
  </r>
  <r>
    <n v="480"/>
    <d v="2011-01-22T00:00:00"/>
    <n v="1"/>
    <n v="0"/>
    <n v="1"/>
    <n v="0"/>
    <x v="0"/>
    <n v="6"/>
    <n v="1"/>
    <n v="0.04"/>
  </r>
  <r>
    <n v="481"/>
    <d v="2011-01-22T00:00:00"/>
    <n v="1"/>
    <n v="0"/>
    <n v="1"/>
    <n v="1"/>
    <x v="0"/>
    <n v="6"/>
    <n v="2"/>
    <n v="0.04"/>
  </r>
  <r>
    <n v="482"/>
    <d v="2011-01-22T00:00:00"/>
    <n v="1"/>
    <n v="0"/>
    <n v="1"/>
    <n v="2"/>
    <x v="0"/>
    <n v="6"/>
    <n v="2"/>
    <n v="0.04"/>
  </r>
  <r>
    <n v="483"/>
    <d v="2011-01-22T00:00:00"/>
    <n v="1"/>
    <n v="0"/>
    <n v="1"/>
    <n v="3"/>
    <x v="0"/>
    <n v="6"/>
    <n v="2"/>
    <n v="0.04"/>
  </r>
  <r>
    <n v="484"/>
    <d v="2011-01-22T00:00:00"/>
    <n v="1"/>
    <n v="0"/>
    <n v="1"/>
    <n v="4"/>
    <x v="0"/>
    <n v="6"/>
    <n v="2"/>
    <n v="0.02"/>
  </r>
  <r>
    <n v="485"/>
    <d v="2011-01-22T00:00:00"/>
    <n v="1"/>
    <n v="0"/>
    <n v="1"/>
    <n v="6"/>
    <x v="0"/>
    <n v="6"/>
    <n v="2"/>
    <n v="0.02"/>
  </r>
  <r>
    <n v="486"/>
    <d v="2011-01-22T00:00:00"/>
    <n v="1"/>
    <n v="0"/>
    <n v="1"/>
    <n v="7"/>
    <x v="0"/>
    <n v="6"/>
    <n v="1"/>
    <n v="0.02"/>
  </r>
  <r>
    <n v="487"/>
    <d v="2011-01-22T00:00:00"/>
    <n v="1"/>
    <n v="0"/>
    <n v="1"/>
    <n v="8"/>
    <x v="0"/>
    <n v="6"/>
    <n v="1"/>
    <n v="0.02"/>
  </r>
  <r>
    <n v="488"/>
    <d v="2011-01-22T00:00:00"/>
    <n v="1"/>
    <n v="0"/>
    <n v="1"/>
    <n v="9"/>
    <x v="0"/>
    <n v="6"/>
    <n v="1"/>
    <n v="0.04"/>
  </r>
  <r>
    <n v="489"/>
    <d v="2011-01-22T00:00:00"/>
    <n v="1"/>
    <n v="0"/>
    <n v="1"/>
    <n v="10"/>
    <x v="0"/>
    <n v="6"/>
    <n v="2"/>
    <n v="0.04"/>
  </r>
  <r>
    <n v="490"/>
    <d v="2011-01-22T00:00:00"/>
    <n v="1"/>
    <n v="0"/>
    <n v="1"/>
    <n v="11"/>
    <x v="0"/>
    <n v="6"/>
    <n v="2"/>
    <n v="0.06"/>
  </r>
  <r>
    <n v="491"/>
    <d v="2011-01-22T00:00:00"/>
    <n v="1"/>
    <n v="0"/>
    <n v="1"/>
    <n v="12"/>
    <x v="0"/>
    <n v="6"/>
    <n v="2"/>
    <n v="0.06"/>
  </r>
  <r>
    <n v="492"/>
    <d v="2011-01-22T00:00:00"/>
    <n v="1"/>
    <n v="0"/>
    <n v="1"/>
    <n v="13"/>
    <x v="0"/>
    <n v="6"/>
    <n v="1"/>
    <n v="0.08"/>
  </r>
  <r>
    <n v="493"/>
    <d v="2011-01-22T00:00:00"/>
    <n v="1"/>
    <n v="0"/>
    <n v="1"/>
    <n v="14"/>
    <x v="0"/>
    <n v="6"/>
    <n v="1"/>
    <n v="0.1"/>
  </r>
  <r>
    <n v="494"/>
    <d v="2011-01-22T00:00:00"/>
    <n v="1"/>
    <n v="0"/>
    <n v="1"/>
    <n v="15"/>
    <x v="0"/>
    <n v="6"/>
    <n v="1"/>
    <n v="0.12"/>
  </r>
  <r>
    <n v="495"/>
    <d v="2011-01-22T00:00:00"/>
    <n v="1"/>
    <n v="0"/>
    <n v="1"/>
    <n v="16"/>
    <x v="0"/>
    <n v="6"/>
    <n v="1"/>
    <n v="0.12"/>
  </r>
  <r>
    <n v="496"/>
    <d v="2011-01-22T00:00:00"/>
    <n v="1"/>
    <n v="0"/>
    <n v="1"/>
    <n v="17"/>
    <x v="0"/>
    <n v="6"/>
    <n v="1"/>
    <n v="0.12"/>
  </r>
  <r>
    <n v="497"/>
    <d v="2011-01-22T00:00:00"/>
    <n v="1"/>
    <n v="0"/>
    <n v="1"/>
    <n v="18"/>
    <x v="0"/>
    <n v="6"/>
    <n v="1"/>
    <n v="0.08"/>
  </r>
  <r>
    <n v="498"/>
    <d v="2011-01-22T00:00:00"/>
    <n v="1"/>
    <n v="0"/>
    <n v="1"/>
    <n v="19"/>
    <x v="0"/>
    <n v="6"/>
    <n v="1"/>
    <n v="0.08"/>
  </r>
  <r>
    <n v="499"/>
    <d v="2011-01-22T00:00:00"/>
    <n v="1"/>
    <n v="0"/>
    <n v="1"/>
    <n v="20"/>
    <x v="0"/>
    <n v="6"/>
    <n v="1"/>
    <n v="0.06"/>
  </r>
  <r>
    <n v="500"/>
    <d v="2011-01-22T00:00:00"/>
    <n v="1"/>
    <n v="0"/>
    <n v="1"/>
    <n v="21"/>
    <x v="0"/>
    <n v="6"/>
    <n v="1"/>
    <n v="0.06"/>
  </r>
  <r>
    <n v="501"/>
    <d v="2011-01-22T00:00:00"/>
    <n v="1"/>
    <n v="0"/>
    <n v="1"/>
    <n v="22"/>
    <x v="0"/>
    <n v="6"/>
    <n v="1"/>
    <n v="0.06"/>
  </r>
  <r>
    <n v="502"/>
    <d v="2011-01-22T00:00:00"/>
    <n v="1"/>
    <n v="0"/>
    <n v="1"/>
    <n v="23"/>
    <x v="0"/>
    <n v="6"/>
    <n v="1"/>
    <n v="0.04"/>
  </r>
  <r>
    <n v="503"/>
    <d v="2011-01-23T00:00:00"/>
    <n v="1"/>
    <n v="0"/>
    <n v="1"/>
    <n v="0"/>
    <x v="0"/>
    <n v="0"/>
    <n v="1"/>
    <n v="0.04"/>
  </r>
  <r>
    <n v="504"/>
    <d v="2011-01-23T00:00:00"/>
    <n v="1"/>
    <n v="0"/>
    <n v="1"/>
    <n v="1"/>
    <x v="0"/>
    <n v="0"/>
    <n v="1"/>
    <n v="0.04"/>
  </r>
  <r>
    <n v="505"/>
    <d v="2011-01-23T00:00:00"/>
    <n v="1"/>
    <n v="0"/>
    <n v="1"/>
    <n v="2"/>
    <x v="0"/>
    <n v="0"/>
    <n v="1"/>
    <n v="0.02"/>
  </r>
  <r>
    <n v="506"/>
    <d v="2011-01-23T00:00:00"/>
    <n v="1"/>
    <n v="0"/>
    <n v="1"/>
    <n v="3"/>
    <x v="0"/>
    <n v="0"/>
    <n v="1"/>
    <n v="0.02"/>
  </r>
  <r>
    <n v="507"/>
    <d v="2011-01-23T00:00:00"/>
    <n v="1"/>
    <n v="0"/>
    <n v="1"/>
    <n v="5"/>
    <x v="0"/>
    <n v="0"/>
    <n v="2"/>
    <n v="0.04"/>
  </r>
  <r>
    <n v="508"/>
    <d v="2011-01-23T00:00:00"/>
    <n v="1"/>
    <n v="0"/>
    <n v="1"/>
    <n v="6"/>
    <x v="0"/>
    <n v="0"/>
    <n v="2"/>
    <n v="0.04"/>
  </r>
  <r>
    <n v="509"/>
    <d v="2011-01-23T00:00:00"/>
    <n v="1"/>
    <n v="0"/>
    <n v="1"/>
    <n v="7"/>
    <x v="0"/>
    <n v="0"/>
    <n v="1"/>
    <n v="0.08"/>
  </r>
  <r>
    <n v="510"/>
    <d v="2011-01-23T00:00:00"/>
    <n v="1"/>
    <n v="0"/>
    <n v="1"/>
    <n v="8"/>
    <x v="0"/>
    <n v="0"/>
    <n v="1"/>
    <n v="0.06"/>
  </r>
  <r>
    <n v="511"/>
    <d v="2011-01-23T00:00:00"/>
    <n v="1"/>
    <n v="0"/>
    <n v="1"/>
    <n v="9"/>
    <x v="0"/>
    <n v="0"/>
    <n v="1"/>
    <n v="0.1"/>
  </r>
  <r>
    <n v="512"/>
    <d v="2011-01-23T00:00:00"/>
    <n v="1"/>
    <n v="0"/>
    <n v="1"/>
    <n v="10"/>
    <x v="0"/>
    <n v="0"/>
    <n v="1"/>
    <n v="0.14000000000000001"/>
  </r>
  <r>
    <n v="513"/>
    <d v="2011-01-23T00:00:00"/>
    <n v="1"/>
    <n v="0"/>
    <n v="1"/>
    <n v="11"/>
    <x v="0"/>
    <n v="0"/>
    <n v="1"/>
    <n v="0.14000000000000001"/>
  </r>
  <r>
    <n v="514"/>
    <d v="2011-01-23T00:00:00"/>
    <n v="1"/>
    <n v="0"/>
    <n v="1"/>
    <n v="12"/>
    <x v="0"/>
    <n v="0"/>
    <n v="1"/>
    <n v="0.16"/>
  </r>
  <r>
    <n v="515"/>
    <d v="2011-01-23T00:00:00"/>
    <n v="1"/>
    <n v="0"/>
    <n v="1"/>
    <n v="13"/>
    <x v="0"/>
    <n v="0"/>
    <n v="1"/>
    <n v="0.14000000000000001"/>
  </r>
  <r>
    <n v="516"/>
    <d v="2011-01-23T00:00:00"/>
    <n v="1"/>
    <n v="0"/>
    <n v="1"/>
    <n v="14"/>
    <x v="0"/>
    <n v="0"/>
    <n v="1"/>
    <n v="0.16"/>
  </r>
  <r>
    <n v="517"/>
    <d v="2011-01-23T00:00:00"/>
    <n v="1"/>
    <n v="0"/>
    <n v="1"/>
    <n v="15"/>
    <x v="0"/>
    <n v="0"/>
    <n v="1"/>
    <n v="0.16"/>
  </r>
  <r>
    <n v="518"/>
    <d v="2011-01-23T00:00:00"/>
    <n v="1"/>
    <n v="0"/>
    <n v="1"/>
    <n v="16"/>
    <x v="0"/>
    <n v="0"/>
    <n v="1"/>
    <n v="0.16"/>
  </r>
  <r>
    <n v="519"/>
    <d v="2011-01-23T00:00:00"/>
    <n v="1"/>
    <n v="0"/>
    <n v="1"/>
    <n v="17"/>
    <x v="0"/>
    <n v="0"/>
    <n v="1"/>
    <n v="0.14000000000000001"/>
  </r>
  <r>
    <n v="520"/>
    <d v="2011-01-23T00:00:00"/>
    <n v="1"/>
    <n v="0"/>
    <n v="1"/>
    <n v="18"/>
    <x v="0"/>
    <n v="0"/>
    <n v="1"/>
    <n v="0.12"/>
  </r>
  <r>
    <n v="521"/>
    <d v="2011-01-23T00:00:00"/>
    <n v="1"/>
    <n v="0"/>
    <n v="1"/>
    <n v="19"/>
    <x v="0"/>
    <n v="0"/>
    <n v="1"/>
    <n v="0.12"/>
  </r>
  <r>
    <n v="522"/>
    <d v="2011-01-23T00:00:00"/>
    <n v="1"/>
    <n v="0"/>
    <n v="1"/>
    <n v="20"/>
    <x v="0"/>
    <n v="0"/>
    <n v="1"/>
    <n v="0.1"/>
  </r>
  <r>
    <n v="523"/>
    <d v="2011-01-23T00:00:00"/>
    <n v="1"/>
    <n v="0"/>
    <n v="1"/>
    <n v="21"/>
    <x v="0"/>
    <n v="0"/>
    <n v="1"/>
    <n v="0.1"/>
  </r>
  <r>
    <n v="524"/>
    <d v="2011-01-23T00:00:00"/>
    <n v="1"/>
    <n v="0"/>
    <n v="1"/>
    <n v="22"/>
    <x v="0"/>
    <n v="0"/>
    <n v="1"/>
    <n v="0.08"/>
  </r>
  <r>
    <n v="525"/>
    <d v="2011-01-23T00:00:00"/>
    <n v="1"/>
    <n v="0"/>
    <n v="1"/>
    <n v="23"/>
    <x v="0"/>
    <n v="0"/>
    <n v="1"/>
    <n v="0.06"/>
  </r>
  <r>
    <n v="526"/>
    <d v="2011-01-24T00:00:00"/>
    <n v="1"/>
    <n v="0"/>
    <n v="1"/>
    <n v="0"/>
    <x v="0"/>
    <n v="1"/>
    <n v="1"/>
    <n v="0.06"/>
  </r>
  <r>
    <n v="527"/>
    <d v="2011-01-24T00:00:00"/>
    <n v="1"/>
    <n v="0"/>
    <n v="1"/>
    <n v="1"/>
    <x v="0"/>
    <n v="1"/>
    <n v="1"/>
    <n v="0.04"/>
  </r>
  <r>
    <n v="528"/>
    <d v="2011-01-24T00:00:00"/>
    <n v="1"/>
    <n v="0"/>
    <n v="1"/>
    <n v="3"/>
    <x v="0"/>
    <n v="1"/>
    <n v="1"/>
    <n v="0.04"/>
  </r>
  <r>
    <n v="529"/>
    <d v="2011-01-24T00:00:00"/>
    <n v="1"/>
    <n v="0"/>
    <n v="1"/>
    <n v="4"/>
    <x v="0"/>
    <n v="1"/>
    <n v="1"/>
    <n v="0.02"/>
  </r>
  <r>
    <n v="530"/>
    <d v="2011-01-24T00:00:00"/>
    <n v="1"/>
    <n v="0"/>
    <n v="1"/>
    <n v="5"/>
    <x v="0"/>
    <n v="1"/>
    <n v="1"/>
    <n v="0.02"/>
  </r>
  <r>
    <n v="531"/>
    <d v="2011-01-24T00:00:00"/>
    <n v="1"/>
    <n v="0"/>
    <n v="1"/>
    <n v="6"/>
    <x v="0"/>
    <n v="1"/>
    <n v="1"/>
    <n v="0.02"/>
  </r>
  <r>
    <n v="532"/>
    <d v="2011-01-24T00:00:00"/>
    <n v="1"/>
    <n v="0"/>
    <n v="1"/>
    <n v="7"/>
    <x v="0"/>
    <n v="1"/>
    <n v="1"/>
    <n v="0.02"/>
  </r>
  <r>
    <n v="533"/>
    <d v="2011-01-24T00:00:00"/>
    <n v="1"/>
    <n v="0"/>
    <n v="1"/>
    <n v="8"/>
    <x v="0"/>
    <n v="1"/>
    <n v="1"/>
    <n v="0.04"/>
  </r>
  <r>
    <n v="534"/>
    <d v="2011-01-24T00:00:00"/>
    <n v="1"/>
    <n v="0"/>
    <n v="1"/>
    <n v="9"/>
    <x v="0"/>
    <n v="1"/>
    <n v="1"/>
    <n v="0.06"/>
  </r>
  <r>
    <n v="535"/>
    <d v="2011-01-24T00:00:00"/>
    <n v="1"/>
    <n v="0"/>
    <n v="1"/>
    <n v="10"/>
    <x v="0"/>
    <n v="1"/>
    <n v="1"/>
    <n v="0.1"/>
  </r>
  <r>
    <n v="536"/>
    <d v="2011-01-24T00:00:00"/>
    <n v="1"/>
    <n v="0"/>
    <n v="1"/>
    <n v="11"/>
    <x v="0"/>
    <n v="1"/>
    <n v="1"/>
    <n v="0.1"/>
  </r>
  <r>
    <n v="537"/>
    <d v="2011-01-24T00:00:00"/>
    <n v="1"/>
    <n v="0"/>
    <n v="1"/>
    <n v="12"/>
    <x v="0"/>
    <n v="1"/>
    <n v="2"/>
    <n v="0.12"/>
  </r>
  <r>
    <n v="538"/>
    <d v="2011-01-24T00:00:00"/>
    <n v="1"/>
    <n v="0"/>
    <n v="1"/>
    <n v="13"/>
    <x v="0"/>
    <n v="1"/>
    <n v="2"/>
    <n v="0.14000000000000001"/>
  </r>
  <r>
    <n v="539"/>
    <d v="2011-01-24T00:00:00"/>
    <n v="1"/>
    <n v="0"/>
    <n v="1"/>
    <n v="14"/>
    <x v="0"/>
    <n v="1"/>
    <n v="2"/>
    <n v="0.14000000000000001"/>
  </r>
  <r>
    <n v="540"/>
    <d v="2011-01-24T00:00:00"/>
    <n v="1"/>
    <n v="0"/>
    <n v="1"/>
    <n v="15"/>
    <x v="0"/>
    <n v="1"/>
    <n v="1"/>
    <n v="0.16"/>
  </r>
  <r>
    <n v="541"/>
    <d v="2011-01-24T00:00:00"/>
    <n v="1"/>
    <n v="0"/>
    <n v="1"/>
    <n v="16"/>
    <x v="0"/>
    <n v="1"/>
    <n v="1"/>
    <n v="0.16"/>
  </r>
  <r>
    <n v="542"/>
    <d v="2011-01-24T00:00:00"/>
    <n v="1"/>
    <n v="0"/>
    <n v="1"/>
    <n v="17"/>
    <x v="0"/>
    <n v="1"/>
    <n v="1"/>
    <n v="0.14000000000000001"/>
  </r>
  <r>
    <n v="543"/>
    <d v="2011-01-24T00:00:00"/>
    <n v="1"/>
    <n v="0"/>
    <n v="1"/>
    <n v="18"/>
    <x v="0"/>
    <n v="1"/>
    <n v="1"/>
    <n v="0.14000000000000001"/>
  </r>
  <r>
    <n v="544"/>
    <d v="2011-01-24T00:00:00"/>
    <n v="1"/>
    <n v="0"/>
    <n v="1"/>
    <n v="19"/>
    <x v="0"/>
    <n v="1"/>
    <n v="1"/>
    <n v="0.14000000000000001"/>
  </r>
  <r>
    <n v="545"/>
    <d v="2011-01-24T00:00:00"/>
    <n v="1"/>
    <n v="0"/>
    <n v="1"/>
    <n v="20"/>
    <x v="0"/>
    <n v="1"/>
    <n v="1"/>
    <n v="0.14000000000000001"/>
  </r>
  <r>
    <n v="546"/>
    <d v="2011-01-24T00:00:00"/>
    <n v="1"/>
    <n v="0"/>
    <n v="1"/>
    <n v="21"/>
    <x v="0"/>
    <n v="1"/>
    <n v="1"/>
    <n v="0.14000000000000001"/>
  </r>
  <r>
    <n v="547"/>
    <d v="2011-01-24T00:00:00"/>
    <n v="1"/>
    <n v="0"/>
    <n v="1"/>
    <n v="22"/>
    <x v="0"/>
    <n v="1"/>
    <n v="2"/>
    <n v="0.14000000000000001"/>
  </r>
  <r>
    <n v="548"/>
    <d v="2011-01-24T00:00:00"/>
    <n v="1"/>
    <n v="0"/>
    <n v="1"/>
    <n v="23"/>
    <x v="0"/>
    <n v="1"/>
    <n v="2"/>
    <n v="0.16"/>
  </r>
  <r>
    <n v="549"/>
    <d v="2011-01-25T00:00:00"/>
    <n v="1"/>
    <n v="0"/>
    <n v="1"/>
    <n v="0"/>
    <x v="0"/>
    <n v="2"/>
    <n v="2"/>
    <n v="0.16"/>
  </r>
  <r>
    <n v="550"/>
    <d v="2011-01-25T00:00:00"/>
    <n v="1"/>
    <n v="0"/>
    <n v="1"/>
    <n v="1"/>
    <x v="0"/>
    <n v="2"/>
    <n v="2"/>
    <n v="0.16"/>
  </r>
  <r>
    <n v="551"/>
    <d v="2011-01-25T00:00:00"/>
    <n v="1"/>
    <n v="0"/>
    <n v="1"/>
    <n v="2"/>
    <x v="0"/>
    <n v="2"/>
    <n v="1"/>
    <n v="0.16"/>
  </r>
  <r>
    <n v="552"/>
    <d v="2011-01-25T00:00:00"/>
    <n v="1"/>
    <n v="0"/>
    <n v="1"/>
    <n v="4"/>
    <x v="0"/>
    <n v="2"/>
    <n v="1"/>
    <n v="0.14000000000000001"/>
  </r>
  <r>
    <n v="553"/>
    <d v="2011-01-25T00:00:00"/>
    <n v="1"/>
    <n v="0"/>
    <n v="1"/>
    <n v="5"/>
    <x v="0"/>
    <n v="2"/>
    <n v="1"/>
    <n v="0.14000000000000001"/>
  </r>
  <r>
    <n v="554"/>
    <d v="2011-01-25T00:00:00"/>
    <n v="1"/>
    <n v="0"/>
    <n v="1"/>
    <n v="6"/>
    <x v="0"/>
    <n v="2"/>
    <n v="1"/>
    <n v="0.16"/>
  </r>
  <r>
    <n v="555"/>
    <d v="2011-01-25T00:00:00"/>
    <n v="1"/>
    <n v="0"/>
    <n v="1"/>
    <n v="7"/>
    <x v="0"/>
    <n v="2"/>
    <n v="1"/>
    <n v="0.16"/>
  </r>
  <r>
    <n v="556"/>
    <d v="2011-01-25T00:00:00"/>
    <n v="1"/>
    <n v="0"/>
    <n v="1"/>
    <n v="8"/>
    <x v="0"/>
    <n v="2"/>
    <n v="2"/>
    <n v="0.16"/>
  </r>
  <r>
    <n v="557"/>
    <d v="2011-01-25T00:00:00"/>
    <n v="1"/>
    <n v="0"/>
    <n v="1"/>
    <n v="9"/>
    <x v="0"/>
    <n v="2"/>
    <n v="2"/>
    <n v="0.2"/>
  </r>
  <r>
    <n v="558"/>
    <d v="2011-01-25T00:00:00"/>
    <n v="1"/>
    <n v="0"/>
    <n v="1"/>
    <n v="10"/>
    <x v="0"/>
    <n v="2"/>
    <n v="2"/>
    <n v="0.22"/>
  </r>
  <r>
    <n v="559"/>
    <d v="2011-01-25T00:00:00"/>
    <n v="1"/>
    <n v="0"/>
    <n v="1"/>
    <n v="11"/>
    <x v="0"/>
    <n v="2"/>
    <n v="2"/>
    <n v="0.24"/>
  </r>
  <r>
    <n v="560"/>
    <d v="2011-01-25T00:00:00"/>
    <n v="1"/>
    <n v="0"/>
    <n v="1"/>
    <n v="12"/>
    <x v="0"/>
    <n v="2"/>
    <n v="2"/>
    <n v="0.26"/>
  </r>
  <r>
    <n v="561"/>
    <d v="2011-01-25T00:00:00"/>
    <n v="1"/>
    <n v="0"/>
    <n v="1"/>
    <n v="13"/>
    <x v="0"/>
    <n v="2"/>
    <n v="2"/>
    <n v="0.26"/>
  </r>
  <r>
    <n v="562"/>
    <d v="2011-01-25T00:00:00"/>
    <n v="1"/>
    <n v="0"/>
    <n v="1"/>
    <n v="14"/>
    <x v="0"/>
    <n v="2"/>
    <n v="2"/>
    <n v="0.3"/>
  </r>
  <r>
    <n v="563"/>
    <d v="2011-01-25T00:00:00"/>
    <n v="1"/>
    <n v="0"/>
    <n v="1"/>
    <n v="15"/>
    <x v="0"/>
    <n v="2"/>
    <n v="2"/>
    <n v="0.32"/>
  </r>
  <r>
    <n v="564"/>
    <d v="2011-01-25T00:00:00"/>
    <n v="1"/>
    <n v="0"/>
    <n v="1"/>
    <n v="16"/>
    <x v="0"/>
    <n v="2"/>
    <n v="2"/>
    <n v="0.32"/>
  </r>
  <r>
    <n v="565"/>
    <d v="2011-01-25T00:00:00"/>
    <n v="1"/>
    <n v="0"/>
    <n v="1"/>
    <n v="17"/>
    <x v="0"/>
    <n v="2"/>
    <n v="1"/>
    <n v="0.3"/>
  </r>
  <r>
    <n v="566"/>
    <d v="2011-01-25T00:00:00"/>
    <n v="1"/>
    <n v="0"/>
    <n v="1"/>
    <n v="18"/>
    <x v="0"/>
    <n v="2"/>
    <n v="2"/>
    <n v="0.3"/>
  </r>
  <r>
    <n v="567"/>
    <d v="2011-01-25T00:00:00"/>
    <n v="1"/>
    <n v="0"/>
    <n v="1"/>
    <n v="19"/>
    <x v="0"/>
    <n v="2"/>
    <n v="2"/>
    <n v="0.26"/>
  </r>
  <r>
    <n v="568"/>
    <d v="2011-01-25T00:00:00"/>
    <n v="1"/>
    <n v="0"/>
    <n v="1"/>
    <n v="20"/>
    <x v="0"/>
    <n v="2"/>
    <n v="1"/>
    <n v="0.24"/>
  </r>
  <r>
    <n v="569"/>
    <d v="2011-01-25T00:00:00"/>
    <n v="1"/>
    <n v="0"/>
    <n v="1"/>
    <n v="21"/>
    <x v="0"/>
    <n v="2"/>
    <n v="1"/>
    <n v="0.24"/>
  </r>
  <r>
    <n v="570"/>
    <d v="2011-01-25T00:00:00"/>
    <n v="1"/>
    <n v="0"/>
    <n v="1"/>
    <n v="22"/>
    <x v="0"/>
    <n v="2"/>
    <n v="1"/>
    <n v="0.22"/>
  </r>
  <r>
    <n v="571"/>
    <d v="2011-01-25T00:00:00"/>
    <n v="1"/>
    <n v="0"/>
    <n v="1"/>
    <n v="23"/>
    <x v="0"/>
    <n v="2"/>
    <n v="2"/>
    <n v="0.22"/>
  </r>
  <r>
    <n v="572"/>
    <d v="2011-01-26T00:00:00"/>
    <n v="1"/>
    <n v="0"/>
    <n v="1"/>
    <n v="0"/>
    <x v="0"/>
    <n v="3"/>
    <n v="2"/>
    <n v="0.22"/>
  </r>
  <r>
    <n v="573"/>
    <d v="2011-01-26T00:00:00"/>
    <n v="1"/>
    <n v="0"/>
    <n v="1"/>
    <n v="1"/>
    <x v="0"/>
    <n v="3"/>
    <n v="2"/>
    <n v="0.24"/>
  </r>
  <r>
    <n v="574"/>
    <d v="2011-01-26T00:00:00"/>
    <n v="1"/>
    <n v="0"/>
    <n v="1"/>
    <n v="2"/>
    <x v="0"/>
    <n v="3"/>
    <n v="3"/>
    <n v="0.22"/>
  </r>
  <r>
    <n v="575"/>
    <d v="2011-01-26T00:00:00"/>
    <n v="1"/>
    <n v="0"/>
    <n v="1"/>
    <n v="5"/>
    <x v="0"/>
    <n v="3"/>
    <n v="3"/>
    <n v="0.2"/>
  </r>
  <r>
    <n v="576"/>
    <d v="2011-01-26T00:00:00"/>
    <n v="1"/>
    <n v="0"/>
    <n v="1"/>
    <n v="6"/>
    <x v="0"/>
    <n v="3"/>
    <n v="3"/>
    <n v="0.2"/>
  </r>
  <r>
    <n v="577"/>
    <d v="2011-01-26T00:00:00"/>
    <n v="1"/>
    <n v="0"/>
    <n v="1"/>
    <n v="7"/>
    <x v="0"/>
    <n v="3"/>
    <n v="3"/>
    <n v="0.22"/>
  </r>
  <r>
    <n v="578"/>
    <d v="2011-01-26T00:00:00"/>
    <n v="1"/>
    <n v="0"/>
    <n v="1"/>
    <n v="8"/>
    <x v="0"/>
    <n v="3"/>
    <n v="3"/>
    <n v="0.22"/>
  </r>
  <r>
    <n v="579"/>
    <d v="2011-01-26T00:00:00"/>
    <n v="1"/>
    <n v="0"/>
    <n v="1"/>
    <n v="9"/>
    <x v="0"/>
    <n v="3"/>
    <n v="3"/>
    <n v="0.22"/>
  </r>
  <r>
    <n v="580"/>
    <d v="2011-01-26T00:00:00"/>
    <n v="1"/>
    <n v="0"/>
    <n v="1"/>
    <n v="10"/>
    <x v="0"/>
    <n v="3"/>
    <n v="3"/>
    <n v="0.22"/>
  </r>
  <r>
    <n v="581"/>
    <d v="2011-01-26T00:00:00"/>
    <n v="1"/>
    <n v="0"/>
    <n v="1"/>
    <n v="11"/>
    <x v="0"/>
    <n v="3"/>
    <n v="3"/>
    <n v="0.22"/>
  </r>
  <r>
    <n v="582"/>
    <d v="2011-01-26T00:00:00"/>
    <n v="1"/>
    <n v="0"/>
    <n v="1"/>
    <n v="12"/>
    <x v="0"/>
    <n v="3"/>
    <n v="3"/>
    <n v="0.22"/>
  </r>
  <r>
    <n v="583"/>
    <d v="2011-01-26T00:00:00"/>
    <n v="1"/>
    <n v="0"/>
    <n v="1"/>
    <n v="13"/>
    <x v="0"/>
    <n v="3"/>
    <n v="3"/>
    <n v="0.22"/>
  </r>
  <r>
    <n v="584"/>
    <d v="2011-01-26T00:00:00"/>
    <n v="1"/>
    <n v="0"/>
    <n v="1"/>
    <n v="14"/>
    <x v="0"/>
    <n v="3"/>
    <n v="3"/>
    <n v="0.22"/>
  </r>
  <r>
    <n v="585"/>
    <d v="2011-01-26T00:00:00"/>
    <n v="1"/>
    <n v="0"/>
    <n v="1"/>
    <n v="15"/>
    <x v="0"/>
    <n v="3"/>
    <n v="3"/>
    <n v="0.22"/>
  </r>
  <r>
    <n v="586"/>
    <d v="2011-01-26T00:00:00"/>
    <n v="1"/>
    <n v="0"/>
    <n v="1"/>
    <n v="16"/>
    <x v="0"/>
    <n v="3"/>
    <n v="4"/>
    <n v="0.22"/>
  </r>
  <r>
    <n v="587"/>
    <d v="2011-01-26T00:00:00"/>
    <n v="1"/>
    <n v="0"/>
    <n v="1"/>
    <n v="17"/>
    <x v="0"/>
    <n v="3"/>
    <n v="3"/>
    <n v="0.2"/>
  </r>
  <r>
    <n v="588"/>
    <d v="2011-01-27T00:00:00"/>
    <n v="1"/>
    <n v="0"/>
    <n v="1"/>
    <n v="16"/>
    <x v="0"/>
    <n v="4"/>
    <n v="1"/>
    <n v="0.22"/>
  </r>
  <r>
    <n v="589"/>
    <d v="2011-01-27T00:00:00"/>
    <n v="1"/>
    <n v="0"/>
    <n v="1"/>
    <n v="17"/>
    <x v="0"/>
    <n v="4"/>
    <n v="1"/>
    <n v="0.22"/>
  </r>
  <r>
    <n v="590"/>
    <d v="2011-01-27T00:00:00"/>
    <n v="1"/>
    <n v="0"/>
    <n v="1"/>
    <n v="18"/>
    <x v="0"/>
    <n v="4"/>
    <n v="1"/>
    <n v="0.2"/>
  </r>
  <r>
    <n v="591"/>
    <d v="2011-01-27T00:00:00"/>
    <n v="1"/>
    <n v="0"/>
    <n v="1"/>
    <n v="19"/>
    <x v="0"/>
    <n v="4"/>
    <n v="1"/>
    <n v="0.2"/>
  </r>
  <r>
    <n v="592"/>
    <d v="2011-01-27T00:00:00"/>
    <n v="1"/>
    <n v="0"/>
    <n v="1"/>
    <n v="20"/>
    <x v="0"/>
    <n v="4"/>
    <n v="1"/>
    <n v="0.18"/>
  </r>
  <r>
    <n v="593"/>
    <d v="2011-01-27T00:00:00"/>
    <n v="1"/>
    <n v="0"/>
    <n v="1"/>
    <n v="21"/>
    <x v="0"/>
    <n v="4"/>
    <n v="1"/>
    <n v="0.18"/>
  </r>
  <r>
    <n v="594"/>
    <d v="2011-01-27T00:00:00"/>
    <n v="1"/>
    <n v="0"/>
    <n v="1"/>
    <n v="22"/>
    <x v="0"/>
    <n v="4"/>
    <n v="1"/>
    <n v="0.18"/>
  </r>
  <r>
    <n v="595"/>
    <d v="2011-01-27T00:00:00"/>
    <n v="1"/>
    <n v="0"/>
    <n v="1"/>
    <n v="23"/>
    <x v="0"/>
    <n v="4"/>
    <n v="1"/>
    <n v="0.18"/>
  </r>
  <r>
    <n v="596"/>
    <d v="2011-01-28T00:00:00"/>
    <n v="1"/>
    <n v="0"/>
    <n v="1"/>
    <n v="0"/>
    <x v="0"/>
    <n v="5"/>
    <n v="2"/>
    <n v="0.2"/>
  </r>
  <r>
    <n v="597"/>
    <d v="2011-01-28T00:00:00"/>
    <n v="1"/>
    <n v="0"/>
    <n v="1"/>
    <n v="1"/>
    <x v="0"/>
    <n v="5"/>
    <n v="2"/>
    <n v="0.2"/>
  </r>
  <r>
    <n v="598"/>
    <d v="2011-01-28T00:00:00"/>
    <n v="1"/>
    <n v="0"/>
    <n v="1"/>
    <n v="2"/>
    <x v="0"/>
    <n v="5"/>
    <n v="2"/>
    <n v="0.2"/>
  </r>
  <r>
    <n v="599"/>
    <d v="2011-01-28T00:00:00"/>
    <n v="1"/>
    <n v="0"/>
    <n v="1"/>
    <n v="3"/>
    <x v="0"/>
    <n v="5"/>
    <n v="2"/>
    <n v="0.2"/>
  </r>
  <r>
    <n v="600"/>
    <d v="2011-01-28T00:00:00"/>
    <n v="1"/>
    <n v="0"/>
    <n v="1"/>
    <n v="5"/>
    <x v="0"/>
    <n v="5"/>
    <n v="2"/>
    <n v="0.18"/>
  </r>
  <r>
    <n v="601"/>
    <d v="2011-01-28T00:00:00"/>
    <n v="1"/>
    <n v="0"/>
    <n v="1"/>
    <n v="6"/>
    <x v="0"/>
    <n v="5"/>
    <n v="2"/>
    <n v="0.18"/>
  </r>
  <r>
    <n v="602"/>
    <d v="2011-01-28T00:00:00"/>
    <n v="1"/>
    <n v="0"/>
    <n v="1"/>
    <n v="7"/>
    <x v="0"/>
    <n v="5"/>
    <n v="2"/>
    <n v="0.16"/>
  </r>
  <r>
    <n v="603"/>
    <d v="2011-01-28T00:00:00"/>
    <n v="1"/>
    <n v="0"/>
    <n v="1"/>
    <n v="8"/>
    <x v="0"/>
    <n v="5"/>
    <n v="2"/>
    <n v="0.16"/>
  </r>
  <r>
    <n v="604"/>
    <d v="2011-01-28T00:00:00"/>
    <n v="1"/>
    <n v="0"/>
    <n v="1"/>
    <n v="9"/>
    <x v="0"/>
    <n v="5"/>
    <n v="3"/>
    <n v="0.18"/>
  </r>
  <r>
    <n v="605"/>
    <d v="2011-01-28T00:00:00"/>
    <n v="1"/>
    <n v="0"/>
    <n v="1"/>
    <n v="10"/>
    <x v="0"/>
    <n v="5"/>
    <n v="3"/>
    <n v="0.18"/>
  </r>
  <r>
    <n v="606"/>
    <d v="2011-01-28T00:00:00"/>
    <n v="1"/>
    <n v="0"/>
    <n v="1"/>
    <n v="11"/>
    <x v="0"/>
    <n v="5"/>
    <n v="3"/>
    <n v="0.18"/>
  </r>
  <r>
    <n v="607"/>
    <d v="2011-01-28T00:00:00"/>
    <n v="1"/>
    <n v="0"/>
    <n v="1"/>
    <n v="12"/>
    <x v="0"/>
    <n v="5"/>
    <n v="3"/>
    <n v="0.18"/>
  </r>
  <r>
    <n v="608"/>
    <d v="2011-01-28T00:00:00"/>
    <n v="1"/>
    <n v="0"/>
    <n v="1"/>
    <n v="13"/>
    <x v="0"/>
    <n v="5"/>
    <n v="3"/>
    <n v="0.18"/>
  </r>
  <r>
    <n v="609"/>
    <d v="2011-01-28T00:00:00"/>
    <n v="1"/>
    <n v="0"/>
    <n v="1"/>
    <n v="14"/>
    <x v="0"/>
    <n v="5"/>
    <n v="3"/>
    <n v="0.22"/>
  </r>
  <r>
    <n v="610"/>
    <d v="2011-01-28T00:00:00"/>
    <n v="1"/>
    <n v="0"/>
    <n v="1"/>
    <n v="15"/>
    <x v="0"/>
    <n v="5"/>
    <n v="2"/>
    <n v="0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n v="1"/>
    <n v="0"/>
    <n v="1"/>
    <n v="0"/>
    <s v="Night"/>
    <b v="0"/>
    <x v="0"/>
    <n v="1"/>
    <x v="0"/>
    <n v="0.24"/>
    <x v="0"/>
  </r>
  <r>
    <n v="2"/>
    <x v="0"/>
    <n v="1"/>
    <n v="0"/>
    <n v="1"/>
    <n v="1"/>
    <s v="Night"/>
    <b v="0"/>
    <x v="0"/>
    <n v="1"/>
    <x v="0"/>
    <n v="0.22"/>
    <x v="0"/>
  </r>
  <r>
    <n v="3"/>
    <x v="0"/>
    <n v="1"/>
    <n v="0"/>
    <n v="1"/>
    <n v="2"/>
    <s v="Night"/>
    <b v="0"/>
    <x v="0"/>
    <n v="1"/>
    <x v="0"/>
    <n v="0.22"/>
    <x v="0"/>
  </r>
  <r>
    <n v="4"/>
    <x v="0"/>
    <n v="1"/>
    <n v="0"/>
    <n v="1"/>
    <n v="3"/>
    <s v="Night"/>
    <b v="0"/>
    <x v="0"/>
    <n v="1"/>
    <x v="0"/>
    <n v="0.24"/>
    <x v="0"/>
  </r>
  <r>
    <n v="5"/>
    <x v="0"/>
    <n v="1"/>
    <n v="0"/>
    <n v="1"/>
    <n v="4"/>
    <s v="Early Morning"/>
    <b v="0"/>
    <x v="0"/>
    <n v="1"/>
    <x v="0"/>
    <n v="0.24"/>
    <x v="0"/>
  </r>
  <r>
    <n v="6"/>
    <x v="0"/>
    <n v="1"/>
    <n v="0"/>
    <n v="1"/>
    <n v="5"/>
    <s v="Early Morning"/>
    <b v="0"/>
    <x v="0"/>
    <n v="2"/>
    <x v="1"/>
    <n v="0.24"/>
    <x v="0"/>
  </r>
  <r>
    <n v="7"/>
    <x v="0"/>
    <n v="1"/>
    <n v="0"/>
    <n v="1"/>
    <n v="6"/>
    <s v="Early Morning"/>
    <b v="0"/>
    <x v="0"/>
    <n v="1"/>
    <x v="0"/>
    <n v="0.22"/>
    <x v="0"/>
  </r>
  <r>
    <n v="8"/>
    <x v="0"/>
    <n v="1"/>
    <n v="0"/>
    <n v="1"/>
    <n v="7"/>
    <s v="Morning"/>
    <b v="0"/>
    <x v="0"/>
    <n v="1"/>
    <x v="0"/>
    <n v="0.2"/>
    <x v="0"/>
  </r>
  <r>
    <n v="9"/>
    <x v="0"/>
    <n v="1"/>
    <n v="0"/>
    <n v="1"/>
    <n v="8"/>
    <s v="Morning"/>
    <b v="0"/>
    <x v="0"/>
    <n v="1"/>
    <x v="0"/>
    <n v="0.24"/>
    <x v="0"/>
  </r>
  <r>
    <n v="10"/>
    <x v="0"/>
    <n v="1"/>
    <n v="0"/>
    <n v="1"/>
    <n v="9"/>
    <s v="Morning"/>
    <b v="0"/>
    <x v="0"/>
    <n v="1"/>
    <x v="0"/>
    <n v="0.32"/>
    <x v="1"/>
  </r>
  <r>
    <n v="11"/>
    <x v="0"/>
    <n v="1"/>
    <n v="0"/>
    <n v="1"/>
    <n v="10"/>
    <s v="Morning"/>
    <b v="0"/>
    <x v="0"/>
    <n v="1"/>
    <x v="0"/>
    <n v="0.38"/>
    <x v="2"/>
  </r>
  <r>
    <n v="12"/>
    <x v="0"/>
    <n v="1"/>
    <n v="0"/>
    <n v="1"/>
    <n v="11"/>
    <s v="Afternoon"/>
    <b v="0"/>
    <x v="0"/>
    <n v="1"/>
    <x v="0"/>
    <n v="0.36"/>
    <x v="2"/>
  </r>
  <r>
    <n v="13"/>
    <x v="0"/>
    <n v="1"/>
    <n v="0"/>
    <n v="1"/>
    <n v="12"/>
    <s v="Afternoon"/>
    <b v="0"/>
    <x v="0"/>
    <n v="1"/>
    <x v="0"/>
    <n v="0.42"/>
    <x v="2"/>
  </r>
  <r>
    <n v="14"/>
    <x v="0"/>
    <n v="1"/>
    <n v="0"/>
    <n v="1"/>
    <n v="13"/>
    <s v="Afternoon"/>
    <b v="0"/>
    <x v="0"/>
    <n v="2"/>
    <x v="1"/>
    <n v="0.46"/>
    <x v="2"/>
  </r>
  <r>
    <n v="15"/>
    <x v="0"/>
    <n v="1"/>
    <n v="0"/>
    <n v="1"/>
    <n v="14"/>
    <s v="Afternoon"/>
    <b v="0"/>
    <x v="0"/>
    <n v="2"/>
    <x v="1"/>
    <n v="0.46"/>
    <x v="2"/>
  </r>
  <r>
    <n v="16"/>
    <x v="0"/>
    <n v="1"/>
    <n v="0"/>
    <n v="1"/>
    <n v="15"/>
    <s v="Afternoon"/>
    <b v="0"/>
    <x v="0"/>
    <n v="2"/>
    <x v="1"/>
    <n v="0.44"/>
    <x v="2"/>
  </r>
  <r>
    <n v="17"/>
    <x v="0"/>
    <n v="1"/>
    <n v="0"/>
    <n v="1"/>
    <n v="16"/>
    <s v="Afternoon"/>
    <b v="0"/>
    <x v="0"/>
    <n v="2"/>
    <x v="1"/>
    <n v="0.42"/>
    <x v="2"/>
  </r>
  <r>
    <n v="18"/>
    <x v="0"/>
    <n v="1"/>
    <n v="0"/>
    <n v="1"/>
    <n v="17"/>
    <s v="Evening"/>
    <b v="0"/>
    <x v="0"/>
    <n v="2"/>
    <x v="1"/>
    <n v="0.44"/>
    <x v="2"/>
  </r>
  <r>
    <n v="19"/>
    <x v="0"/>
    <n v="1"/>
    <n v="0"/>
    <n v="1"/>
    <n v="18"/>
    <s v="Evening"/>
    <b v="0"/>
    <x v="0"/>
    <n v="3"/>
    <x v="2"/>
    <n v="0.42"/>
    <x v="2"/>
  </r>
  <r>
    <n v="20"/>
    <x v="0"/>
    <n v="1"/>
    <n v="0"/>
    <n v="1"/>
    <n v="19"/>
    <s v="Evening"/>
    <b v="0"/>
    <x v="0"/>
    <n v="3"/>
    <x v="2"/>
    <n v="0.42"/>
    <x v="2"/>
  </r>
  <r>
    <n v="21"/>
    <x v="0"/>
    <n v="1"/>
    <n v="0"/>
    <n v="1"/>
    <n v="20"/>
    <s v="Evening"/>
    <b v="0"/>
    <x v="0"/>
    <n v="2"/>
    <x v="1"/>
    <n v="0.4"/>
    <x v="2"/>
  </r>
  <r>
    <n v="22"/>
    <x v="0"/>
    <n v="1"/>
    <n v="0"/>
    <n v="1"/>
    <n v="21"/>
    <s v="Night"/>
    <b v="0"/>
    <x v="0"/>
    <n v="2"/>
    <x v="1"/>
    <n v="0.4"/>
    <x v="2"/>
  </r>
  <r>
    <n v="23"/>
    <x v="0"/>
    <n v="1"/>
    <n v="0"/>
    <n v="1"/>
    <n v="22"/>
    <s v="Night"/>
    <b v="0"/>
    <x v="0"/>
    <n v="2"/>
    <x v="1"/>
    <n v="0.4"/>
    <x v="2"/>
  </r>
  <r>
    <n v="24"/>
    <x v="0"/>
    <n v="1"/>
    <n v="0"/>
    <n v="1"/>
    <n v="23"/>
    <s v="Night"/>
    <b v="0"/>
    <x v="0"/>
    <n v="2"/>
    <x v="1"/>
    <n v="0.46"/>
    <x v="2"/>
  </r>
  <r>
    <n v="25"/>
    <x v="1"/>
    <n v="1"/>
    <n v="0"/>
    <n v="1"/>
    <n v="0"/>
    <s v="Night"/>
    <b v="0"/>
    <x v="1"/>
    <n v="2"/>
    <x v="1"/>
    <n v="0.46"/>
    <x v="2"/>
  </r>
  <r>
    <n v="26"/>
    <x v="1"/>
    <n v="1"/>
    <n v="0"/>
    <n v="1"/>
    <n v="1"/>
    <s v="Night"/>
    <b v="0"/>
    <x v="1"/>
    <n v="2"/>
    <x v="1"/>
    <n v="0.44"/>
    <x v="2"/>
  </r>
  <r>
    <n v="27"/>
    <x v="1"/>
    <n v="1"/>
    <n v="0"/>
    <n v="1"/>
    <n v="2"/>
    <s v="Night"/>
    <b v="0"/>
    <x v="1"/>
    <n v="2"/>
    <x v="1"/>
    <n v="0.42"/>
    <x v="2"/>
  </r>
  <r>
    <n v="28"/>
    <x v="1"/>
    <n v="1"/>
    <n v="0"/>
    <n v="1"/>
    <n v="3"/>
    <s v="Night"/>
    <b v="0"/>
    <x v="1"/>
    <n v="2"/>
    <x v="1"/>
    <n v="0.46"/>
    <x v="2"/>
  </r>
  <r>
    <n v="29"/>
    <x v="1"/>
    <n v="1"/>
    <n v="0"/>
    <n v="1"/>
    <n v="4"/>
    <s v="Early Morning"/>
    <b v="0"/>
    <x v="1"/>
    <n v="2"/>
    <x v="1"/>
    <n v="0.46"/>
    <x v="2"/>
  </r>
  <r>
    <n v="30"/>
    <x v="1"/>
    <n v="1"/>
    <n v="0"/>
    <n v="1"/>
    <n v="6"/>
    <s v="Early Morning"/>
    <b v="0"/>
    <x v="1"/>
    <n v="3"/>
    <x v="2"/>
    <n v="0.42"/>
    <x v="2"/>
  </r>
  <r>
    <n v="31"/>
    <x v="1"/>
    <n v="1"/>
    <n v="0"/>
    <n v="1"/>
    <n v="7"/>
    <s v="Morning"/>
    <b v="0"/>
    <x v="1"/>
    <n v="2"/>
    <x v="1"/>
    <n v="0.4"/>
    <x v="2"/>
  </r>
  <r>
    <n v="32"/>
    <x v="1"/>
    <n v="1"/>
    <n v="0"/>
    <n v="1"/>
    <n v="8"/>
    <s v="Morning"/>
    <b v="0"/>
    <x v="1"/>
    <n v="3"/>
    <x v="2"/>
    <n v="0.4"/>
    <x v="2"/>
  </r>
  <r>
    <n v="33"/>
    <x v="1"/>
    <n v="1"/>
    <n v="0"/>
    <n v="1"/>
    <n v="9"/>
    <s v="Morning"/>
    <b v="0"/>
    <x v="1"/>
    <n v="2"/>
    <x v="1"/>
    <n v="0.38"/>
    <x v="2"/>
  </r>
  <r>
    <n v="34"/>
    <x v="1"/>
    <n v="1"/>
    <n v="0"/>
    <n v="1"/>
    <n v="10"/>
    <s v="Morning"/>
    <b v="0"/>
    <x v="1"/>
    <n v="2"/>
    <x v="1"/>
    <n v="0.36"/>
    <x v="2"/>
  </r>
  <r>
    <n v="35"/>
    <x v="1"/>
    <n v="1"/>
    <n v="0"/>
    <n v="1"/>
    <n v="11"/>
    <s v="Afternoon"/>
    <b v="0"/>
    <x v="1"/>
    <n v="2"/>
    <x v="1"/>
    <n v="0.36"/>
    <x v="2"/>
  </r>
  <r>
    <n v="36"/>
    <x v="1"/>
    <n v="1"/>
    <n v="0"/>
    <n v="1"/>
    <n v="12"/>
    <s v="Afternoon"/>
    <b v="0"/>
    <x v="1"/>
    <n v="2"/>
    <x v="1"/>
    <n v="0.36"/>
    <x v="2"/>
  </r>
  <r>
    <n v="37"/>
    <x v="1"/>
    <n v="1"/>
    <n v="0"/>
    <n v="1"/>
    <n v="13"/>
    <s v="Afternoon"/>
    <b v="0"/>
    <x v="1"/>
    <n v="2"/>
    <x v="1"/>
    <n v="0.36"/>
    <x v="2"/>
  </r>
  <r>
    <n v="38"/>
    <x v="1"/>
    <n v="1"/>
    <n v="0"/>
    <n v="1"/>
    <n v="14"/>
    <s v="Afternoon"/>
    <b v="0"/>
    <x v="1"/>
    <n v="3"/>
    <x v="2"/>
    <n v="0.36"/>
    <x v="2"/>
  </r>
  <r>
    <n v="39"/>
    <x v="1"/>
    <n v="1"/>
    <n v="0"/>
    <n v="1"/>
    <n v="15"/>
    <s v="Afternoon"/>
    <b v="0"/>
    <x v="1"/>
    <n v="3"/>
    <x v="2"/>
    <n v="0.34"/>
    <x v="2"/>
  </r>
  <r>
    <n v="40"/>
    <x v="1"/>
    <n v="1"/>
    <n v="0"/>
    <n v="1"/>
    <n v="16"/>
    <s v="Afternoon"/>
    <b v="0"/>
    <x v="1"/>
    <n v="3"/>
    <x v="2"/>
    <n v="0.34"/>
    <x v="2"/>
  </r>
  <r>
    <n v="41"/>
    <x v="1"/>
    <n v="1"/>
    <n v="0"/>
    <n v="1"/>
    <n v="17"/>
    <s v="Evening"/>
    <b v="0"/>
    <x v="1"/>
    <n v="1"/>
    <x v="0"/>
    <n v="0.34"/>
    <x v="2"/>
  </r>
  <r>
    <n v="42"/>
    <x v="1"/>
    <n v="1"/>
    <n v="0"/>
    <n v="1"/>
    <n v="18"/>
    <s v="Evening"/>
    <b v="0"/>
    <x v="1"/>
    <n v="2"/>
    <x v="1"/>
    <n v="0.36"/>
    <x v="2"/>
  </r>
  <r>
    <n v="43"/>
    <x v="1"/>
    <n v="1"/>
    <n v="0"/>
    <n v="1"/>
    <n v="19"/>
    <s v="Evening"/>
    <b v="0"/>
    <x v="1"/>
    <n v="1"/>
    <x v="0"/>
    <n v="0.32"/>
    <x v="1"/>
  </r>
  <r>
    <n v="44"/>
    <x v="1"/>
    <n v="1"/>
    <n v="0"/>
    <n v="1"/>
    <n v="20"/>
    <s v="Evening"/>
    <b v="0"/>
    <x v="1"/>
    <n v="1"/>
    <x v="0"/>
    <n v="0.3"/>
    <x v="1"/>
  </r>
  <r>
    <n v="45"/>
    <x v="1"/>
    <n v="1"/>
    <n v="0"/>
    <n v="1"/>
    <n v="21"/>
    <s v="Night"/>
    <b v="0"/>
    <x v="1"/>
    <n v="1"/>
    <x v="0"/>
    <n v="0.26"/>
    <x v="1"/>
  </r>
  <r>
    <n v="46"/>
    <x v="1"/>
    <n v="1"/>
    <n v="0"/>
    <n v="1"/>
    <n v="22"/>
    <s v="Night"/>
    <b v="0"/>
    <x v="1"/>
    <n v="1"/>
    <x v="0"/>
    <n v="0.24"/>
    <x v="0"/>
  </r>
  <r>
    <n v="47"/>
    <x v="1"/>
    <n v="1"/>
    <n v="0"/>
    <n v="1"/>
    <n v="23"/>
    <s v="Night"/>
    <b v="0"/>
    <x v="1"/>
    <n v="1"/>
    <x v="0"/>
    <n v="0.22"/>
    <x v="0"/>
  </r>
  <r>
    <n v="48"/>
    <x v="2"/>
    <n v="1"/>
    <n v="0"/>
    <n v="1"/>
    <n v="0"/>
    <s v="Night"/>
    <b v="0"/>
    <x v="2"/>
    <n v="1"/>
    <x v="0"/>
    <n v="0.22"/>
    <x v="0"/>
  </r>
  <r>
    <n v="49"/>
    <x v="2"/>
    <n v="1"/>
    <n v="0"/>
    <n v="1"/>
    <n v="1"/>
    <s v="Night"/>
    <b v="0"/>
    <x v="2"/>
    <n v="1"/>
    <x v="0"/>
    <n v="0.2"/>
    <x v="0"/>
  </r>
  <r>
    <n v="50"/>
    <x v="2"/>
    <n v="1"/>
    <n v="0"/>
    <n v="1"/>
    <n v="4"/>
    <s v="Early Morning"/>
    <b v="0"/>
    <x v="2"/>
    <n v="1"/>
    <x v="0"/>
    <n v="0.16"/>
    <x v="0"/>
  </r>
  <r>
    <n v="51"/>
    <x v="2"/>
    <n v="1"/>
    <n v="0"/>
    <n v="1"/>
    <n v="5"/>
    <s v="Early Morning"/>
    <b v="0"/>
    <x v="2"/>
    <n v="1"/>
    <x v="0"/>
    <n v="0.16"/>
    <x v="0"/>
  </r>
  <r>
    <n v="52"/>
    <x v="2"/>
    <n v="1"/>
    <n v="0"/>
    <n v="1"/>
    <n v="6"/>
    <s v="Early Morning"/>
    <b v="0"/>
    <x v="2"/>
    <n v="1"/>
    <x v="0"/>
    <n v="0.14000000000000001"/>
    <x v="3"/>
  </r>
  <r>
    <n v="53"/>
    <x v="2"/>
    <n v="1"/>
    <n v="0"/>
    <n v="1"/>
    <n v="7"/>
    <s v="Morning"/>
    <b v="0"/>
    <x v="2"/>
    <n v="1"/>
    <x v="0"/>
    <n v="0.14000000000000001"/>
    <x v="3"/>
  </r>
  <r>
    <n v="54"/>
    <x v="2"/>
    <n v="1"/>
    <n v="0"/>
    <n v="1"/>
    <n v="8"/>
    <s v="Morning"/>
    <b v="0"/>
    <x v="2"/>
    <n v="1"/>
    <x v="0"/>
    <n v="0.14000000000000001"/>
    <x v="3"/>
  </r>
  <r>
    <n v="55"/>
    <x v="2"/>
    <n v="1"/>
    <n v="0"/>
    <n v="1"/>
    <n v="9"/>
    <s v="Morning"/>
    <b v="0"/>
    <x v="2"/>
    <n v="1"/>
    <x v="0"/>
    <n v="0.16"/>
    <x v="0"/>
  </r>
  <r>
    <n v="56"/>
    <x v="2"/>
    <n v="1"/>
    <n v="0"/>
    <n v="1"/>
    <n v="10"/>
    <s v="Morning"/>
    <b v="0"/>
    <x v="2"/>
    <n v="1"/>
    <x v="0"/>
    <n v="0.18"/>
    <x v="0"/>
  </r>
  <r>
    <n v="57"/>
    <x v="2"/>
    <n v="1"/>
    <n v="0"/>
    <n v="1"/>
    <n v="11"/>
    <s v="Afternoon"/>
    <b v="0"/>
    <x v="2"/>
    <n v="1"/>
    <x v="0"/>
    <n v="0.2"/>
    <x v="0"/>
  </r>
  <r>
    <n v="58"/>
    <x v="2"/>
    <n v="1"/>
    <n v="0"/>
    <n v="1"/>
    <n v="12"/>
    <s v="Afternoon"/>
    <b v="0"/>
    <x v="2"/>
    <n v="1"/>
    <x v="0"/>
    <n v="0.22"/>
    <x v="0"/>
  </r>
  <r>
    <n v="59"/>
    <x v="2"/>
    <n v="1"/>
    <n v="0"/>
    <n v="1"/>
    <n v="13"/>
    <s v="Afternoon"/>
    <b v="0"/>
    <x v="2"/>
    <n v="1"/>
    <x v="0"/>
    <n v="0.24"/>
    <x v="0"/>
  </r>
  <r>
    <n v="60"/>
    <x v="2"/>
    <n v="1"/>
    <n v="0"/>
    <n v="1"/>
    <n v="14"/>
    <s v="Afternoon"/>
    <b v="0"/>
    <x v="2"/>
    <n v="1"/>
    <x v="0"/>
    <n v="0.26"/>
    <x v="1"/>
  </r>
  <r>
    <n v="61"/>
    <x v="2"/>
    <n v="1"/>
    <n v="0"/>
    <n v="1"/>
    <n v="15"/>
    <s v="Afternoon"/>
    <b v="0"/>
    <x v="2"/>
    <n v="1"/>
    <x v="0"/>
    <n v="0.26"/>
    <x v="1"/>
  </r>
  <r>
    <n v="62"/>
    <x v="2"/>
    <n v="1"/>
    <n v="0"/>
    <n v="1"/>
    <n v="16"/>
    <s v="Afternoon"/>
    <b v="0"/>
    <x v="2"/>
    <n v="1"/>
    <x v="0"/>
    <n v="0.26"/>
    <x v="1"/>
  </r>
  <r>
    <n v="63"/>
    <x v="2"/>
    <n v="1"/>
    <n v="0"/>
    <n v="1"/>
    <n v="17"/>
    <s v="Evening"/>
    <b v="0"/>
    <x v="2"/>
    <n v="1"/>
    <x v="0"/>
    <n v="0.24"/>
    <x v="0"/>
  </r>
  <r>
    <n v="64"/>
    <x v="2"/>
    <n v="1"/>
    <n v="0"/>
    <n v="1"/>
    <n v="18"/>
    <s v="Evening"/>
    <b v="0"/>
    <x v="2"/>
    <n v="1"/>
    <x v="0"/>
    <n v="0.24"/>
    <x v="0"/>
  </r>
  <r>
    <n v="65"/>
    <x v="2"/>
    <n v="1"/>
    <n v="0"/>
    <n v="1"/>
    <n v="19"/>
    <s v="Evening"/>
    <b v="0"/>
    <x v="2"/>
    <n v="1"/>
    <x v="0"/>
    <n v="0.2"/>
    <x v="0"/>
  </r>
  <r>
    <n v="66"/>
    <x v="2"/>
    <n v="1"/>
    <n v="0"/>
    <n v="1"/>
    <n v="20"/>
    <s v="Evening"/>
    <b v="0"/>
    <x v="2"/>
    <n v="1"/>
    <x v="0"/>
    <n v="0.2"/>
    <x v="0"/>
  </r>
  <r>
    <n v="67"/>
    <x v="2"/>
    <n v="1"/>
    <n v="0"/>
    <n v="1"/>
    <n v="21"/>
    <s v="Night"/>
    <b v="0"/>
    <x v="2"/>
    <n v="1"/>
    <x v="0"/>
    <n v="0.18"/>
    <x v="0"/>
  </r>
  <r>
    <n v="68"/>
    <x v="2"/>
    <n v="1"/>
    <n v="0"/>
    <n v="1"/>
    <n v="22"/>
    <s v="Night"/>
    <b v="0"/>
    <x v="2"/>
    <n v="1"/>
    <x v="0"/>
    <n v="0.14000000000000001"/>
    <x v="3"/>
  </r>
  <r>
    <n v="69"/>
    <x v="2"/>
    <n v="1"/>
    <n v="0"/>
    <n v="1"/>
    <n v="23"/>
    <s v="Night"/>
    <b v="0"/>
    <x v="2"/>
    <n v="1"/>
    <x v="0"/>
    <n v="0.18"/>
    <x v="0"/>
  </r>
  <r>
    <n v="70"/>
    <x v="3"/>
    <n v="1"/>
    <n v="0"/>
    <n v="1"/>
    <n v="0"/>
    <s v="Night"/>
    <b v="0"/>
    <x v="3"/>
    <n v="1"/>
    <x v="0"/>
    <n v="0.16"/>
    <x v="0"/>
  </r>
  <r>
    <n v="71"/>
    <x v="3"/>
    <n v="1"/>
    <n v="0"/>
    <n v="1"/>
    <n v="1"/>
    <s v="Night"/>
    <b v="0"/>
    <x v="3"/>
    <n v="1"/>
    <x v="0"/>
    <n v="0.16"/>
    <x v="0"/>
  </r>
  <r>
    <n v="72"/>
    <x v="3"/>
    <n v="1"/>
    <n v="0"/>
    <n v="1"/>
    <n v="2"/>
    <s v="Night"/>
    <b v="0"/>
    <x v="3"/>
    <n v="1"/>
    <x v="0"/>
    <n v="0.14000000000000001"/>
    <x v="3"/>
  </r>
  <r>
    <n v="73"/>
    <x v="3"/>
    <n v="1"/>
    <n v="0"/>
    <n v="1"/>
    <n v="4"/>
    <s v="Early Morning"/>
    <b v="0"/>
    <x v="3"/>
    <n v="1"/>
    <x v="0"/>
    <n v="0.14000000000000001"/>
    <x v="3"/>
  </r>
  <r>
    <n v="74"/>
    <x v="3"/>
    <n v="1"/>
    <n v="0"/>
    <n v="1"/>
    <n v="5"/>
    <s v="Early Morning"/>
    <b v="0"/>
    <x v="3"/>
    <n v="1"/>
    <x v="0"/>
    <n v="0.12"/>
    <x v="3"/>
  </r>
  <r>
    <n v="75"/>
    <x v="3"/>
    <n v="1"/>
    <n v="0"/>
    <n v="1"/>
    <n v="6"/>
    <s v="Early Morning"/>
    <b v="0"/>
    <x v="3"/>
    <n v="1"/>
    <x v="0"/>
    <n v="0.12"/>
    <x v="3"/>
  </r>
  <r>
    <n v="76"/>
    <x v="3"/>
    <n v="1"/>
    <n v="0"/>
    <n v="1"/>
    <n v="7"/>
    <s v="Morning"/>
    <b v="0"/>
    <x v="3"/>
    <n v="1"/>
    <x v="0"/>
    <n v="0.12"/>
    <x v="3"/>
  </r>
  <r>
    <n v="77"/>
    <x v="3"/>
    <n v="1"/>
    <n v="0"/>
    <n v="1"/>
    <n v="8"/>
    <s v="Morning"/>
    <b v="0"/>
    <x v="3"/>
    <n v="1"/>
    <x v="0"/>
    <n v="0.14000000000000001"/>
    <x v="3"/>
  </r>
  <r>
    <n v="78"/>
    <x v="3"/>
    <n v="1"/>
    <n v="0"/>
    <n v="1"/>
    <n v="9"/>
    <s v="Morning"/>
    <b v="0"/>
    <x v="3"/>
    <n v="1"/>
    <x v="0"/>
    <n v="0.16"/>
    <x v="0"/>
  </r>
  <r>
    <n v="79"/>
    <x v="3"/>
    <n v="1"/>
    <n v="0"/>
    <n v="1"/>
    <n v="10"/>
    <s v="Morning"/>
    <b v="0"/>
    <x v="3"/>
    <n v="2"/>
    <x v="1"/>
    <n v="0.16"/>
    <x v="0"/>
  </r>
  <r>
    <n v="80"/>
    <x v="3"/>
    <n v="1"/>
    <n v="0"/>
    <n v="1"/>
    <n v="11"/>
    <s v="Afternoon"/>
    <b v="0"/>
    <x v="3"/>
    <n v="1"/>
    <x v="0"/>
    <n v="0.22"/>
    <x v="0"/>
  </r>
  <r>
    <n v="81"/>
    <x v="3"/>
    <n v="1"/>
    <n v="0"/>
    <n v="1"/>
    <n v="12"/>
    <s v="Afternoon"/>
    <b v="0"/>
    <x v="3"/>
    <n v="1"/>
    <x v="0"/>
    <n v="0.22"/>
    <x v="0"/>
  </r>
  <r>
    <n v="82"/>
    <x v="3"/>
    <n v="1"/>
    <n v="0"/>
    <n v="1"/>
    <n v="13"/>
    <s v="Afternoon"/>
    <b v="0"/>
    <x v="3"/>
    <n v="1"/>
    <x v="0"/>
    <n v="0.24"/>
    <x v="0"/>
  </r>
  <r>
    <n v="83"/>
    <x v="3"/>
    <n v="1"/>
    <n v="0"/>
    <n v="1"/>
    <n v="14"/>
    <s v="Afternoon"/>
    <b v="0"/>
    <x v="3"/>
    <n v="1"/>
    <x v="0"/>
    <n v="0.26"/>
    <x v="1"/>
  </r>
  <r>
    <n v="84"/>
    <x v="3"/>
    <n v="1"/>
    <n v="0"/>
    <n v="1"/>
    <n v="15"/>
    <s v="Afternoon"/>
    <b v="0"/>
    <x v="3"/>
    <n v="1"/>
    <x v="0"/>
    <n v="0.28000000000000003"/>
    <x v="1"/>
  </r>
  <r>
    <n v="85"/>
    <x v="3"/>
    <n v="1"/>
    <n v="0"/>
    <n v="1"/>
    <n v="16"/>
    <s v="Afternoon"/>
    <b v="0"/>
    <x v="3"/>
    <n v="1"/>
    <x v="0"/>
    <n v="0.3"/>
    <x v="1"/>
  </r>
  <r>
    <n v="86"/>
    <x v="3"/>
    <n v="1"/>
    <n v="0"/>
    <n v="1"/>
    <n v="17"/>
    <s v="Evening"/>
    <b v="0"/>
    <x v="3"/>
    <n v="1"/>
    <x v="0"/>
    <n v="0.28000000000000003"/>
    <x v="1"/>
  </r>
  <r>
    <n v="87"/>
    <x v="3"/>
    <n v="1"/>
    <n v="0"/>
    <n v="1"/>
    <n v="18"/>
    <s v="Evening"/>
    <b v="0"/>
    <x v="3"/>
    <n v="1"/>
    <x v="0"/>
    <n v="0.26"/>
    <x v="1"/>
  </r>
  <r>
    <n v="88"/>
    <x v="3"/>
    <n v="1"/>
    <n v="0"/>
    <n v="1"/>
    <n v="19"/>
    <s v="Evening"/>
    <b v="0"/>
    <x v="3"/>
    <n v="1"/>
    <x v="0"/>
    <n v="0.24"/>
    <x v="0"/>
  </r>
  <r>
    <n v="89"/>
    <x v="3"/>
    <n v="1"/>
    <n v="0"/>
    <n v="1"/>
    <n v="20"/>
    <s v="Evening"/>
    <b v="0"/>
    <x v="3"/>
    <n v="1"/>
    <x v="0"/>
    <n v="0.24"/>
    <x v="0"/>
  </r>
  <r>
    <n v="90"/>
    <x v="3"/>
    <n v="1"/>
    <n v="0"/>
    <n v="1"/>
    <n v="21"/>
    <s v="Night"/>
    <b v="0"/>
    <x v="3"/>
    <n v="1"/>
    <x v="0"/>
    <n v="0.22"/>
    <x v="0"/>
  </r>
  <r>
    <n v="91"/>
    <x v="3"/>
    <n v="1"/>
    <n v="0"/>
    <n v="1"/>
    <n v="22"/>
    <s v="Night"/>
    <b v="0"/>
    <x v="3"/>
    <n v="1"/>
    <x v="0"/>
    <n v="0.22"/>
    <x v="0"/>
  </r>
  <r>
    <n v="92"/>
    <x v="3"/>
    <n v="1"/>
    <n v="0"/>
    <n v="1"/>
    <n v="23"/>
    <s v="Night"/>
    <b v="0"/>
    <x v="3"/>
    <n v="1"/>
    <x v="0"/>
    <n v="0.2"/>
    <x v="0"/>
  </r>
  <r>
    <n v="93"/>
    <x v="4"/>
    <n v="1"/>
    <n v="0"/>
    <n v="1"/>
    <n v="0"/>
    <s v="Night"/>
    <b v="0"/>
    <x v="4"/>
    <n v="1"/>
    <x v="0"/>
    <n v="0.2"/>
    <x v="0"/>
  </r>
  <r>
    <n v="94"/>
    <x v="4"/>
    <n v="1"/>
    <n v="0"/>
    <n v="1"/>
    <n v="1"/>
    <s v="Night"/>
    <b v="0"/>
    <x v="4"/>
    <n v="1"/>
    <x v="0"/>
    <n v="0.16"/>
    <x v="0"/>
  </r>
  <r>
    <n v="95"/>
    <x v="4"/>
    <n v="1"/>
    <n v="0"/>
    <n v="1"/>
    <n v="2"/>
    <s v="Night"/>
    <b v="0"/>
    <x v="4"/>
    <n v="1"/>
    <x v="0"/>
    <n v="0.16"/>
    <x v="0"/>
  </r>
  <r>
    <n v="96"/>
    <x v="4"/>
    <n v="1"/>
    <n v="0"/>
    <n v="1"/>
    <n v="4"/>
    <s v="Early Morning"/>
    <b v="0"/>
    <x v="4"/>
    <n v="1"/>
    <x v="0"/>
    <n v="0.24"/>
    <x v="0"/>
  </r>
  <r>
    <n v="97"/>
    <x v="4"/>
    <n v="1"/>
    <n v="0"/>
    <n v="1"/>
    <n v="5"/>
    <s v="Early Morning"/>
    <b v="0"/>
    <x v="4"/>
    <n v="1"/>
    <x v="0"/>
    <n v="0.22"/>
    <x v="0"/>
  </r>
  <r>
    <n v="98"/>
    <x v="4"/>
    <n v="1"/>
    <n v="0"/>
    <n v="1"/>
    <n v="6"/>
    <s v="Early Morning"/>
    <b v="0"/>
    <x v="4"/>
    <n v="1"/>
    <x v="0"/>
    <n v="0.2"/>
    <x v="0"/>
  </r>
  <r>
    <n v="99"/>
    <x v="4"/>
    <n v="1"/>
    <n v="0"/>
    <n v="1"/>
    <n v="7"/>
    <s v="Morning"/>
    <b v="0"/>
    <x v="4"/>
    <n v="1"/>
    <x v="0"/>
    <n v="0.18"/>
    <x v="0"/>
  </r>
  <r>
    <n v="100"/>
    <x v="4"/>
    <n v="1"/>
    <n v="0"/>
    <n v="1"/>
    <n v="8"/>
    <s v="Morning"/>
    <b v="0"/>
    <x v="4"/>
    <n v="1"/>
    <x v="0"/>
    <n v="0.2"/>
    <x v="0"/>
  </r>
  <r>
    <n v="101"/>
    <x v="4"/>
    <n v="1"/>
    <n v="0"/>
    <n v="1"/>
    <n v="9"/>
    <s v="Morning"/>
    <b v="0"/>
    <x v="4"/>
    <n v="1"/>
    <x v="0"/>
    <n v="0.22"/>
    <x v="0"/>
  </r>
  <r>
    <n v="102"/>
    <x v="4"/>
    <n v="1"/>
    <n v="0"/>
    <n v="1"/>
    <n v="10"/>
    <s v="Morning"/>
    <b v="0"/>
    <x v="4"/>
    <n v="1"/>
    <x v="0"/>
    <n v="0.22"/>
    <x v="0"/>
  </r>
  <r>
    <n v="103"/>
    <x v="4"/>
    <n v="1"/>
    <n v="0"/>
    <n v="1"/>
    <n v="11"/>
    <s v="Afternoon"/>
    <b v="0"/>
    <x v="4"/>
    <n v="1"/>
    <x v="0"/>
    <n v="0.26"/>
    <x v="1"/>
  </r>
  <r>
    <n v="104"/>
    <x v="4"/>
    <n v="1"/>
    <n v="0"/>
    <n v="1"/>
    <n v="12"/>
    <s v="Afternoon"/>
    <b v="0"/>
    <x v="4"/>
    <n v="1"/>
    <x v="0"/>
    <n v="0.26"/>
    <x v="1"/>
  </r>
  <r>
    <n v="105"/>
    <x v="4"/>
    <n v="1"/>
    <n v="0"/>
    <n v="1"/>
    <n v="13"/>
    <s v="Afternoon"/>
    <b v="0"/>
    <x v="4"/>
    <n v="1"/>
    <x v="0"/>
    <n v="0.28000000000000003"/>
    <x v="1"/>
  </r>
  <r>
    <n v="106"/>
    <x v="4"/>
    <n v="1"/>
    <n v="0"/>
    <n v="1"/>
    <n v="14"/>
    <s v="Afternoon"/>
    <b v="0"/>
    <x v="4"/>
    <n v="1"/>
    <x v="0"/>
    <n v="0.3"/>
    <x v="1"/>
  </r>
  <r>
    <n v="107"/>
    <x v="4"/>
    <n v="1"/>
    <n v="0"/>
    <n v="1"/>
    <n v="15"/>
    <s v="Afternoon"/>
    <b v="0"/>
    <x v="4"/>
    <n v="1"/>
    <x v="0"/>
    <n v="0.3"/>
    <x v="1"/>
  </r>
  <r>
    <n v="108"/>
    <x v="4"/>
    <n v="1"/>
    <n v="0"/>
    <n v="1"/>
    <n v="16"/>
    <s v="Afternoon"/>
    <b v="0"/>
    <x v="4"/>
    <n v="1"/>
    <x v="0"/>
    <n v="0.3"/>
    <x v="1"/>
  </r>
  <r>
    <n v="109"/>
    <x v="4"/>
    <n v="1"/>
    <n v="0"/>
    <n v="1"/>
    <n v="17"/>
    <s v="Evening"/>
    <b v="0"/>
    <x v="4"/>
    <n v="1"/>
    <x v="0"/>
    <n v="0.24"/>
    <x v="0"/>
  </r>
  <r>
    <n v="110"/>
    <x v="4"/>
    <n v="1"/>
    <n v="0"/>
    <n v="1"/>
    <n v="18"/>
    <s v="Evening"/>
    <b v="0"/>
    <x v="4"/>
    <n v="1"/>
    <x v="0"/>
    <n v="0.24"/>
    <x v="0"/>
  </r>
  <r>
    <n v="111"/>
    <x v="4"/>
    <n v="1"/>
    <n v="0"/>
    <n v="1"/>
    <n v="19"/>
    <s v="Evening"/>
    <b v="0"/>
    <x v="4"/>
    <n v="1"/>
    <x v="0"/>
    <n v="0.24"/>
    <x v="0"/>
  </r>
  <r>
    <n v="112"/>
    <x v="4"/>
    <n v="1"/>
    <n v="0"/>
    <n v="1"/>
    <n v="20"/>
    <s v="Evening"/>
    <b v="0"/>
    <x v="4"/>
    <n v="1"/>
    <x v="0"/>
    <n v="0.22"/>
    <x v="0"/>
  </r>
  <r>
    <n v="113"/>
    <x v="4"/>
    <n v="1"/>
    <n v="0"/>
    <n v="1"/>
    <n v="21"/>
    <s v="Night"/>
    <b v="0"/>
    <x v="4"/>
    <n v="1"/>
    <x v="0"/>
    <n v="0.2"/>
    <x v="0"/>
  </r>
  <r>
    <n v="114"/>
    <x v="4"/>
    <n v="1"/>
    <n v="0"/>
    <n v="1"/>
    <n v="22"/>
    <s v="Night"/>
    <b v="0"/>
    <x v="4"/>
    <n v="1"/>
    <x v="0"/>
    <n v="0.18"/>
    <x v="0"/>
  </r>
  <r>
    <n v="115"/>
    <x v="4"/>
    <n v="1"/>
    <n v="0"/>
    <n v="1"/>
    <n v="23"/>
    <s v="Night"/>
    <b v="0"/>
    <x v="4"/>
    <n v="1"/>
    <x v="0"/>
    <n v="0.2"/>
    <x v="0"/>
  </r>
  <r>
    <n v="116"/>
    <x v="5"/>
    <n v="1"/>
    <n v="0"/>
    <n v="1"/>
    <n v="0"/>
    <s v="Night"/>
    <b v="0"/>
    <x v="5"/>
    <n v="1"/>
    <x v="0"/>
    <n v="0.18"/>
    <x v="0"/>
  </r>
  <r>
    <n v="117"/>
    <x v="5"/>
    <n v="1"/>
    <n v="0"/>
    <n v="1"/>
    <n v="1"/>
    <s v="Night"/>
    <b v="0"/>
    <x v="5"/>
    <n v="1"/>
    <x v="0"/>
    <n v="0.16"/>
    <x v="0"/>
  </r>
  <r>
    <n v="118"/>
    <x v="5"/>
    <n v="1"/>
    <n v="0"/>
    <n v="1"/>
    <n v="2"/>
    <s v="Night"/>
    <b v="0"/>
    <x v="5"/>
    <n v="1"/>
    <x v="0"/>
    <n v="0.16"/>
    <x v="0"/>
  </r>
  <r>
    <n v="119"/>
    <x v="5"/>
    <n v="1"/>
    <n v="0"/>
    <n v="1"/>
    <n v="4"/>
    <s v="Early Morning"/>
    <b v="0"/>
    <x v="5"/>
    <n v="2"/>
    <x v="1"/>
    <n v="0.16"/>
    <x v="0"/>
  </r>
  <r>
    <n v="120"/>
    <x v="5"/>
    <n v="1"/>
    <n v="0"/>
    <n v="1"/>
    <n v="5"/>
    <s v="Early Morning"/>
    <b v="0"/>
    <x v="5"/>
    <n v="2"/>
    <x v="1"/>
    <n v="0.14000000000000001"/>
    <x v="3"/>
  </r>
  <r>
    <n v="121"/>
    <x v="5"/>
    <n v="1"/>
    <n v="0"/>
    <n v="1"/>
    <n v="6"/>
    <s v="Early Morning"/>
    <b v="0"/>
    <x v="5"/>
    <n v="2"/>
    <x v="1"/>
    <n v="0.14000000000000001"/>
    <x v="3"/>
  </r>
  <r>
    <n v="122"/>
    <x v="5"/>
    <n v="1"/>
    <n v="0"/>
    <n v="1"/>
    <n v="7"/>
    <s v="Morning"/>
    <b v="0"/>
    <x v="5"/>
    <n v="2"/>
    <x v="1"/>
    <n v="0.16"/>
    <x v="0"/>
  </r>
  <r>
    <n v="123"/>
    <x v="5"/>
    <n v="1"/>
    <n v="0"/>
    <n v="1"/>
    <n v="8"/>
    <s v="Morning"/>
    <b v="0"/>
    <x v="5"/>
    <n v="1"/>
    <x v="0"/>
    <n v="0.16"/>
    <x v="0"/>
  </r>
  <r>
    <n v="124"/>
    <x v="5"/>
    <n v="1"/>
    <n v="0"/>
    <n v="1"/>
    <n v="9"/>
    <s v="Morning"/>
    <b v="0"/>
    <x v="5"/>
    <n v="2"/>
    <x v="1"/>
    <n v="0.18"/>
    <x v="0"/>
  </r>
  <r>
    <n v="125"/>
    <x v="5"/>
    <n v="1"/>
    <n v="0"/>
    <n v="1"/>
    <n v="10"/>
    <s v="Morning"/>
    <b v="0"/>
    <x v="5"/>
    <n v="1"/>
    <x v="0"/>
    <n v="0.2"/>
    <x v="0"/>
  </r>
  <r>
    <n v="126"/>
    <x v="5"/>
    <n v="1"/>
    <n v="0"/>
    <n v="1"/>
    <n v="11"/>
    <s v="Afternoon"/>
    <b v="0"/>
    <x v="5"/>
    <n v="1"/>
    <x v="0"/>
    <n v="0.22"/>
    <x v="0"/>
  </r>
  <r>
    <n v="127"/>
    <x v="5"/>
    <n v="1"/>
    <n v="0"/>
    <n v="1"/>
    <n v="12"/>
    <s v="Afternoon"/>
    <b v="0"/>
    <x v="5"/>
    <n v="1"/>
    <x v="0"/>
    <n v="0.26"/>
    <x v="1"/>
  </r>
  <r>
    <n v="128"/>
    <x v="5"/>
    <n v="1"/>
    <n v="0"/>
    <n v="1"/>
    <n v="13"/>
    <s v="Afternoon"/>
    <b v="0"/>
    <x v="5"/>
    <n v="1"/>
    <x v="0"/>
    <n v="0.26"/>
    <x v="1"/>
  </r>
  <r>
    <n v="129"/>
    <x v="5"/>
    <n v="1"/>
    <n v="0"/>
    <n v="1"/>
    <n v="14"/>
    <s v="Afternoon"/>
    <b v="0"/>
    <x v="5"/>
    <n v="1"/>
    <x v="0"/>
    <n v="0.28000000000000003"/>
    <x v="1"/>
  </r>
  <r>
    <n v="130"/>
    <x v="5"/>
    <n v="1"/>
    <n v="0"/>
    <n v="1"/>
    <n v="15"/>
    <s v="Afternoon"/>
    <b v="0"/>
    <x v="5"/>
    <n v="1"/>
    <x v="0"/>
    <n v="0.28000000000000003"/>
    <x v="1"/>
  </r>
  <r>
    <n v="131"/>
    <x v="5"/>
    <n v="1"/>
    <n v="0"/>
    <n v="1"/>
    <n v="16"/>
    <s v="Afternoon"/>
    <b v="0"/>
    <x v="5"/>
    <n v="1"/>
    <x v="0"/>
    <n v="0.26"/>
    <x v="1"/>
  </r>
  <r>
    <n v="132"/>
    <x v="5"/>
    <n v="1"/>
    <n v="0"/>
    <n v="1"/>
    <n v="17"/>
    <s v="Evening"/>
    <b v="0"/>
    <x v="5"/>
    <n v="1"/>
    <x v="0"/>
    <n v="0.22"/>
    <x v="0"/>
  </r>
  <r>
    <n v="133"/>
    <x v="5"/>
    <n v="1"/>
    <n v="0"/>
    <n v="1"/>
    <n v="18"/>
    <s v="Evening"/>
    <b v="0"/>
    <x v="5"/>
    <n v="1"/>
    <x v="0"/>
    <n v="0.22"/>
    <x v="0"/>
  </r>
  <r>
    <n v="134"/>
    <x v="5"/>
    <n v="1"/>
    <n v="0"/>
    <n v="1"/>
    <n v="19"/>
    <s v="Evening"/>
    <b v="0"/>
    <x v="5"/>
    <n v="1"/>
    <x v="0"/>
    <n v="0.22"/>
    <x v="0"/>
  </r>
  <r>
    <n v="135"/>
    <x v="5"/>
    <n v="1"/>
    <n v="0"/>
    <n v="1"/>
    <n v="20"/>
    <s v="Evening"/>
    <b v="0"/>
    <x v="5"/>
    <n v="1"/>
    <x v="0"/>
    <n v="0.2"/>
    <x v="0"/>
  </r>
  <r>
    <n v="136"/>
    <x v="5"/>
    <n v="1"/>
    <n v="0"/>
    <n v="1"/>
    <n v="21"/>
    <s v="Night"/>
    <b v="0"/>
    <x v="5"/>
    <n v="2"/>
    <x v="1"/>
    <n v="0.22"/>
    <x v="0"/>
  </r>
  <r>
    <n v="137"/>
    <x v="5"/>
    <n v="1"/>
    <n v="0"/>
    <n v="1"/>
    <n v="22"/>
    <s v="Night"/>
    <b v="0"/>
    <x v="5"/>
    <n v="2"/>
    <x v="1"/>
    <n v="0.22"/>
    <x v="0"/>
  </r>
  <r>
    <n v="138"/>
    <x v="5"/>
    <n v="1"/>
    <n v="0"/>
    <n v="1"/>
    <n v="23"/>
    <s v="Night"/>
    <b v="0"/>
    <x v="5"/>
    <n v="2"/>
    <x v="1"/>
    <n v="0.2"/>
    <x v="0"/>
  </r>
  <r>
    <n v="139"/>
    <x v="6"/>
    <n v="1"/>
    <n v="0"/>
    <n v="1"/>
    <n v="0"/>
    <s v="Night"/>
    <b v="0"/>
    <x v="6"/>
    <n v="2"/>
    <x v="1"/>
    <n v="0.2"/>
    <x v="0"/>
  </r>
  <r>
    <n v="140"/>
    <x v="6"/>
    <n v="1"/>
    <n v="0"/>
    <n v="1"/>
    <n v="1"/>
    <s v="Night"/>
    <b v="0"/>
    <x v="6"/>
    <n v="2"/>
    <x v="1"/>
    <n v="0.2"/>
    <x v="0"/>
  </r>
  <r>
    <n v="141"/>
    <x v="6"/>
    <n v="1"/>
    <n v="0"/>
    <n v="1"/>
    <n v="2"/>
    <s v="Night"/>
    <b v="0"/>
    <x v="6"/>
    <n v="2"/>
    <x v="1"/>
    <n v="0.2"/>
    <x v="0"/>
  </r>
  <r>
    <n v="142"/>
    <x v="6"/>
    <n v="1"/>
    <n v="0"/>
    <n v="1"/>
    <n v="4"/>
    <s v="Early Morning"/>
    <b v="0"/>
    <x v="6"/>
    <n v="2"/>
    <x v="1"/>
    <n v="0.2"/>
    <x v="0"/>
  </r>
  <r>
    <n v="143"/>
    <x v="6"/>
    <n v="1"/>
    <n v="0"/>
    <n v="1"/>
    <n v="5"/>
    <s v="Early Morning"/>
    <b v="0"/>
    <x v="6"/>
    <n v="3"/>
    <x v="2"/>
    <n v="0.22"/>
    <x v="0"/>
  </r>
  <r>
    <n v="144"/>
    <x v="6"/>
    <n v="1"/>
    <n v="0"/>
    <n v="1"/>
    <n v="6"/>
    <s v="Early Morning"/>
    <b v="0"/>
    <x v="6"/>
    <n v="2"/>
    <x v="1"/>
    <n v="0.2"/>
    <x v="0"/>
  </r>
  <r>
    <n v="145"/>
    <x v="6"/>
    <n v="1"/>
    <n v="0"/>
    <n v="1"/>
    <n v="7"/>
    <s v="Morning"/>
    <b v="0"/>
    <x v="6"/>
    <n v="1"/>
    <x v="0"/>
    <n v="0.2"/>
    <x v="0"/>
  </r>
  <r>
    <n v="146"/>
    <x v="6"/>
    <n v="1"/>
    <n v="0"/>
    <n v="1"/>
    <n v="8"/>
    <s v="Morning"/>
    <b v="0"/>
    <x v="6"/>
    <n v="1"/>
    <x v="0"/>
    <n v="0.2"/>
    <x v="0"/>
  </r>
  <r>
    <n v="147"/>
    <x v="6"/>
    <n v="1"/>
    <n v="0"/>
    <n v="1"/>
    <n v="9"/>
    <s v="Morning"/>
    <b v="0"/>
    <x v="6"/>
    <n v="1"/>
    <x v="0"/>
    <n v="0.2"/>
    <x v="0"/>
  </r>
  <r>
    <n v="148"/>
    <x v="6"/>
    <n v="1"/>
    <n v="0"/>
    <n v="1"/>
    <n v="10"/>
    <s v="Morning"/>
    <b v="0"/>
    <x v="6"/>
    <n v="1"/>
    <x v="0"/>
    <n v="0.22"/>
    <x v="0"/>
  </r>
  <r>
    <n v="149"/>
    <x v="6"/>
    <n v="1"/>
    <n v="0"/>
    <n v="1"/>
    <n v="11"/>
    <s v="Afternoon"/>
    <b v="0"/>
    <x v="6"/>
    <n v="2"/>
    <x v="1"/>
    <n v="0.2"/>
    <x v="0"/>
  </r>
  <r>
    <n v="150"/>
    <x v="6"/>
    <n v="1"/>
    <n v="0"/>
    <n v="1"/>
    <n v="12"/>
    <s v="Afternoon"/>
    <b v="0"/>
    <x v="6"/>
    <n v="2"/>
    <x v="1"/>
    <n v="0.2"/>
    <x v="0"/>
  </r>
  <r>
    <n v="151"/>
    <x v="6"/>
    <n v="1"/>
    <n v="0"/>
    <n v="1"/>
    <n v="13"/>
    <s v="Afternoon"/>
    <b v="0"/>
    <x v="6"/>
    <n v="2"/>
    <x v="1"/>
    <n v="0.2"/>
    <x v="0"/>
  </r>
  <r>
    <n v="152"/>
    <x v="6"/>
    <n v="1"/>
    <n v="0"/>
    <n v="1"/>
    <n v="14"/>
    <s v="Afternoon"/>
    <b v="0"/>
    <x v="6"/>
    <n v="2"/>
    <x v="1"/>
    <n v="0.2"/>
    <x v="0"/>
  </r>
  <r>
    <n v="153"/>
    <x v="6"/>
    <n v="1"/>
    <n v="0"/>
    <n v="1"/>
    <n v="15"/>
    <s v="Afternoon"/>
    <b v="0"/>
    <x v="6"/>
    <n v="2"/>
    <x v="1"/>
    <n v="0.2"/>
    <x v="0"/>
  </r>
  <r>
    <n v="154"/>
    <x v="6"/>
    <n v="1"/>
    <n v="0"/>
    <n v="1"/>
    <n v="16"/>
    <s v="Afternoon"/>
    <b v="0"/>
    <x v="6"/>
    <n v="2"/>
    <x v="1"/>
    <n v="0.2"/>
    <x v="0"/>
  </r>
  <r>
    <n v="155"/>
    <x v="6"/>
    <n v="1"/>
    <n v="0"/>
    <n v="1"/>
    <n v="17"/>
    <s v="Evening"/>
    <b v="0"/>
    <x v="6"/>
    <n v="2"/>
    <x v="1"/>
    <n v="0.2"/>
    <x v="0"/>
  </r>
  <r>
    <n v="156"/>
    <x v="6"/>
    <n v="1"/>
    <n v="0"/>
    <n v="1"/>
    <n v="18"/>
    <s v="Evening"/>
    <b v="0"/>
    <x v="6"/>
    <n v="1"/>
    <x v="0"/>
    <n v="0.2"/>
    <x v="0"/>
  </r>
  <r>
    <n v="157"/>
    <x v="6"/>
    <n v="1"/>
    <n v="0"/>
    <n v="1"/>
    <n v="19"/>
    <s v="Evening"/>
    <b v="0"/>
    <x v="6"/>
    <n v="1"/>
    <x v="0"/>
    <n v="0.16"/>
    <x v="0"/>
  </r>
  <r>
    <n v="158"/>
    <x v="6"/>
    <n v="1"/>
    <n v="0"/>
    <n v="1"/>
    <n v="20"/>
    <s v="Evening"/>
    <b v="0"/>
    <x v="6"/>
    <n v="1"/>
    <x v="0"/>
    <n v="0.18"/>
    <x v="0"/>
  </r>
  <r>
    <n v="159"/>
    <x v="6"/>
    <n v="1"/>
    <n v="0"/>
    <n v="1"/>
    <n v="21"/>
    <s v="Night"/>
    <b v="0"/>
    <x v="6"/>
    <n v="1"/>
    <x v="0"/>
    <n v="0.18"/>
    <x v="0"/>
  </r>
  <r>
    <n v="160"/>
    <x v="6"/>
    <n v="1"/>
    <n v="0"/>
    <n v="1"/>
    <n v="22"/>
    <s v="Night"/>
    <b v="0"/>
    <x v="6"/>
    <n v="2"/>
    <x v="1"/>
    <n v="0.18"/>
    <x v="0"/>
  </r>
  <r>
    <n v="161"/>
    <x v="6"/>
    <n v="1"/>
    <n v="0"/>
    <n v="1"/>
    <n v="23"/>
    <s v="Night"/>
    <b v="0"/>
    <x v="6"/>
    <n v="2"/>
    <x v="1"/>
    <n v="0.18"/>
    <x v="0"/>
  </r>
  <r>
    <n v="162"/>
    <x v="7"/>
    <n v="1"/>
    <n v="0"/>
    <n v="1"/>
    <n v="0"/>
    <s v="Night"/>
    <b v="0"/>
    <x v="0"/>
    <n v="2"/>
    <x v="1"/>
    <n v="0.18"/>
    <x v="0"/>
  </r>
  <r>
    <n v="163"/>
    <x v="7"/>
    <n v="1"/>
    <n v="0"/>
    <n v="1"/>
    <n v="1"/>
    <s v="Night"/>
    <b v="0"/>
    <x v="0"/>
    <n v="2"/>
    <x v="1"/>
    <n v="0.18"/>
    <x v="0"/>
  </r>
  <r>
    <n v="164"/>
    <x v="7"/>
    <n v="1"/>
    <n v="0"/>
    <n v="1"/>
    <n v="2"/>
    <s v="Night"/>
    <b v="0"/>
    <x v="0"/>
    <n v="2"/>
    <x v="1"/>
    <n v="0.18"/>
    <x v="0"/>
  </r>
  <r>
    <n v="165"/>
    <x v="7"/>
    <n v="1"/>
    <n v="0"/>
    <n v="1"/>
    <n v="3"/>
    <s v="Night"/>
    <b v="0"/>
    <x v="0"/>
    <n v="3"/>
    <x v="2"/>
    <n v="0.18"/>
    <x v="0"/>
  </r>
  <r>
    <n v="166"/>
    <x v="7"/>
    <n v="1"/>
    <n v="0"/>
    <n v="1"/>
    <n v="4"/>
    <s v="Early Morning"/>
    <b v="0"/>
    <x v="0"/>
    <n v="3"/>
    <x v="2"/>
    <n v="0.18"/>
    <x v="0"/>
  </r>
  <r>
    <n v="167"/>
    <x v="7"/>
    <n v="1"/>
    <n v="0"/>
    <n v="1"/>
    <n v="5"/>
    <s v="Early Morning"/>
    <b v="0"/>
    <x v="0"/>
    <n v="2"/>
    <x v="1"/>
    <n v="0.16"/>
    <x v="0"/>
  </r>
  <r>
    <n v="168"/>
    <x v="7"/>
    <n v="1"/>
    <n v="0"/>
    <n v="1"/>
    <n v="6"/>
    <s v="Early Morning"/>
    <b v="0"/>
    <x v="0"/>
    <n v="2"/>
    <x v="1"/>
    <n v="0.16"/>
    <x v="0"/>
  </r>
  <r>
    <n v="169"/>
    <x v="7"/>
    <n v="1"/>
    <n v="0"/>
    <n v="1"/>
    <n v="7"/>
    <s v="Morning"/>
    <b v="0"/>
    <x v="0"/>
    <n v="2"/>
    <x v="1"/>
    <n v="0.16"/>
    <x v="0"/>
  </r>
  <r>
    <n v="170"/>
    <x v="7"/>
    <n v="1"/>
    <n v="0"/>
    <n v="1"/>
    <n v="8"/>
    <s v="Morning"/>
    <b v="0"/>
    <x v="0"/>
    <n v="3"/>
    <x v="2"/>
    <n v="0.16"/>
    <x v="0"/>
  </r>
  <r>
    <n v="171"/>
    <x v="7"/>
    <n v="1"/>
    <n v="0"/>
    <n v="1"/>
    <n v="9"/>
    <s v="Morning"/>
    <b v="0"/>
    <x v="0"/>
    <n v="3"/>
    <x v="2"/>
    <n v="0.16"/>
    <x v="0"/>
  </r>
  <r>
    <n v="172"/>
    <x v="7"/>
    <n v="1"/>
    <n v="0"/>
    <n v="1"/>
    <n v="10"/>
    <s v="Morning"/>
    <b v="0"/>
    <x v="0"/>
    <n v="2"/>
    <x v="1"/>
    <n v="0.18"/>
    <x v="0"/>
  </r>
  <r>
    <n v="173"/>
    <x v="7"/>
    <n v="1"/>
    <n v="0"/>
    <n v="1"/>
    <n v="11"/>
    <s v="Afternoon"/>
    <b v="0"/>
    <x v="0"/>
    <n v="2"/>
    <x v="1"/>
    <n v="0.2"/>
    <x v="0"/>
  </r>
  <r>
    <n v="174"/>
    <x v="7"/>
    <n v="1"/>
    <n v="0"/>
    <n v="1"/>
    <n v="12"/>
    <s v="Afternoon"/>
    <b v="0"/>
    <x v="0"/>
    <n v="2"/>
    <x v="1"/>
    <n v="0.2"/>
    <x v="0"/>
  </r>
  <r>
    <n v="175"/>
    <x v="7"/>
    <n v="1"/>
    <n v="0"/>
    <n v="1"/>
    <n v="13"/>
    <s v="Afternoon"/>
    <b v="0"/>
    <x v="0"/>
    <n v="1"/>
    <x v="0"/>
    <n v="0.2"/>
    <x v="0"/>
  </r>
  <r>
    <n v="176"/>
    <x v="7"/>
    <n v="1"/>
    <n v="0"/>
    <n v="1"/>
    <n v="14"/>
    <s v="Afternoon"/>
    <b v="0"/>
    <x v="0"/>
    <n v="1"/>
    <x v="0"/>
    <n v="0.2"/>
    <x v="0"/>
  </r>
  <r>
    <n v="177"/>
    <x v="7"/>
    <n v="1"/>
    <n v="0"/>
    <n v="1"/>
    <n v="15"/>
    <s v="Afternoon"/>
    <b v="0"/>
    <x v="0"/>
    <n v="1"/>
    <x v="0"/>
    <n v="0.2"/>
    <x v="0"/>
  </r>
  <r>
    <n v="178"/>
    <x v="7"/>
    <n v="1"/>
    <n v="0"/>
    <n v="1"/>
    <n v="16"/>
    <s v="Afternoon"/>
    <b v="0"/>
    <x v="0"/>
    <n v="1"/>
    <x v="0"/>
    <n v="0.18"/>
    <x v="0"/>
  </r>
  <r>
    <n v="179"/>
    <x v="7"/>
    <n v="1"/>
    <n v="0"/>
    <n v="1"/>
    <n v="17"/>
    <s v="Evening"/>
    <b v="0"/>
    <x v="0"/>
    <n v="1"/>
    <x v="0"/>
    <n v="0.16"/>
    <x v="0"/>
  </r>
  <r>
    <n v="180"/>
    <x v="7"/>
    <n v="1"/>
    <n v="0"/>
    <n v="1"/>
    <n v="18"/>
    <s v="Evening"/>
    <b v="0"/>
    <x v="0"/>
    <n v="1"/>
    <x v="0"/>
    <n v="0.14000000000000001"/>
    <x v="3"/>
  </r>
  <r>
    <n v="181"/>
    <x v="7"/>
    <n v="1"/>
    <n v="0"/>
    <n v="1"/>
    <n v="19"/>
    <s v="Evening"/>
    <b v="0"/>
    <x v="0"/>
    <n v="1"/>
    <x v="0"/>
    <n v="0.14000000000000001"/>
    <x v="3"/>
  </r>
  <r>
    <n v="182"/>
    <x v="7"/>
    <n v="1"/>
    <n v="0"/>
    <n v="1"/>
    <n v="20"/>
    <s v="Evening"/>
    <b v="0"/>
    <x v="0"/>
    <n v="1"/>
    <x v="0"/>
    <n v="0.12"/>
    <x v="3"/>
  </r>
  <r>
    <n v="183"/>
    <x v="7"/>
    <n v="1"/>
    <n v="0"/>
    <n v="1"/>
    <n v="21"/>
    <s v="Night"/>
    <b v="0"/>
    <x v="0"/>
    <n v="1"/>
    <x v="0"/>
    <n v="0.12"/>
    <x v="3"/>
  </r>
  <r>
    <n v="184"/>
    <x v="7"/>
    <n v="1"/>
    <n v="0"/>
    <n v="1"/>
    <n v="22"/>
    <s v="Night"/>
    <b v="0"/>
    <x v="0"/>
    <n v="1"/>
    <x v="0"/>
    <n v="0.12"/>
    <x v="3"/>
  </r>
  <r>
    <n v="185"/>
    <x v="7"/>
    <n v="1"/>
    <n v="0"/>
    <n v="1"/>
    <n v="23"/>
    <s v="Night"/>
    <b v="0"/>
    <x v="0"/>
    <n v="1"/>
    <x v="0"/>
    <n v="0.1"/>
    <x v="3"/>
  </r>
  <r>
    <n v="186"/>
    <x v="8"/>
    <n v="1"/>
    <n v="0"/>
    <n v="1"/>
    <n v="0"/>
    <s v="Night"/>
    <b v="0"/>
    <x v="1"/>
    <n v="1"/>
    <x v="0"/>
    <n v="0.1"/>
    <x v="3"/>
  </r>
  <r>
    <n v="187"/>
    <x v="8"/>
    <n v="1"/>
    <n v="0"/>
    <n v="1"/>
    <n v="1"/>
    <s v="Night"/>
    <b v="0"/>
    <x v="1"/>
    <n v="1"/>
    <x v="0"/>
    <n v="0.1"/>
    <x v="3"/>
  </r>
  <r>
    <n v="188"/>
    <x v="8"/>
    <n v="1"/>
    <n v="0"/>
    <n v="1"/>
    <n v="2"/>
    <s v="Night"/>
    <b v="0"/>
    <x v="1"/>
    <n v="1"/>
    <x v="0"/>
    <n v="0.1"/>
    <x v="3"/>
  </r>
  <r>
    <n v="189"/>
    <x v="8"/>
    <n v="1"/>
    <n v="0"/>
    <n v="1"/>
    <n v="3"/>
    <s v="Night"/>
    <b v="0"/>
    <x v="1"/>
    <n v="1"/>
    <x v="0"/>
    <n v="0.1"/>
    <x v="3"/>
  </r>
  <r>
    <n v="190"/>
    <x v="8"/>
    <n v="1"/>
    <n v="0"/>
    <n v="1"/>
    <n v="4"/>
    <s v="Early Morning"/>
    <b v="0"/>
    <x v="1"/>
    <n v="1"/>
    <x v="0"/>
    <n v="0.08"/>
    <x v="3"/>
  </r>
  <r>
    <n v="191"/>
    <x v="8"/>
    <n v="1"/>
    <n v="0"/>
    <n v="1"/>
    <n v="5"/>
    <s v="Early Morning"/>
    <b v="0"/>
    <x v="1"/>
    <n v="1"/>
    <x v="0"/>
    <n v="0.08"/>
    <x v="3"/>
  </r>
  <r>
    <n v="192"/>
    <x v="8"/>
    <n v="1"/>
    <n v="0"/>
    <n v="1"/>
    <n v="6"/>
    <s v="Early Morning"/>
    <b v="0"/>
    <x v="1"/>
    <n v="1"/>
    <x v="0"/>
    <n v="0.1"/>
    <x v="3"/>
  </r>
  <r>
    <n v="193"/>
    <x v="8"/>
    <n v="1"/>
    <n v="0"/>
    <n v="1"/>
    <n v="7"/>
    <s v="Morning"/>
    <b v="0"/>
    <x v="1"/>
    <n v="1"/>
    <x v="0"/>
    <n v="0.08"/>
    <x v="3"/>
  </r>
  <r>
    <n v="194"/>
    <x v="8"/>
    <n v="1"/>
    <n v="0"/>
    <n v="1"/>
    <n v="8"/>
    <s v="Morning"/>
    <b v="0"/>
    <x v="1"/>
    <n v="1"/>
    <x v="0"/>
    <n v="0.1"/>
    <x v="3"/>
  </r>
  <r>
    <n v="195"/>
    <x v="8"/>
    <n v="1"/>
    <n v="0"/>
    <n v="1"/>
    <n v="9"/>
    <s v="Morning"/>
    <b v="0"/>
    <x v="1"/>
    <n v="1"/>
    <x v="0"/>
    <n v="0.12"/>
    <x v="3"/>
  </r>
  <r>
    <n v="196"/>
    <x v="8"/>
    <n v="1"/>
    <n v="0"/>
    <n v="1"/>
    <n v="10"/>
    <s v="Morning"/>
    <b v="0"/>
    <x v="1"/>
    <n v="1"/>
    <x v="0"/>
    <n v="0.14000000000000001"/>
    <x v="3"/>
  </r>
  <r>
    <n v="197"/>
    <x v="8"/>
    <n v="1"/>
    <n v="0"/>
    <n v="1"/>
    <n v="11"/>
    <s v="Afternoon"/>
    <b v="0"/>
    <x v="1"/>
    <n v="1"/>
    <x v="0"/>
    <n v="0.16"/>
    <x v="0"/>
  </r>
  <r>
    <n v="198"/>
    <x v="8"/>
    <n v="1"/>
    <n v="0"/>
    <n v="1"/>
    <n v="12"/>
    <s v="Afternoon"/>
    <b v="0"/>
    <x v="1"/>
    <n v="1"/>
    <x v="0"/>
    <n v="0.18"/>
    <x v="0"/>
  </r>
  <r>
    <n v="199"/>
    <x v="8"/>
    <n v="1"/>
    <n v="0"/>
    <n v="1"/>
    <n v="13"/>
    <s v="Afternoon"/>
    <b v="0"/>
    <x v="1"/>
    <n v="1"/>
    <x v="0"/>
    <n v="0.2"/>
    <x v="0"/>
  </r>
  <r>
    <n v="200"/>
    <x v="8"/>
    <n v="1"/>
    <n v="0"/>
    <n v="1"/>
    <n v="14"/>
    <s v="Afternoon"/>
    <b v="0"/>
    <x v="1"/>
    <n v="1"/>
    <x v="0"/>
    <n v="0.22"/>
    <x v="0"/>
  </r>
  <r>
    <n v="201"/>
    <x v="8"/>
    <n v="1"/>
    <n v="0"/>
    <n v="1"/>
    <n v="15"/>
    <s v="Afternoon"/>
    <b v="0"/>
    <x v="1"/>
    <n v="1"/>
    <x v="0"/>
    <n v="0.22"/>
    <x v="0"/>
  </r>
  <r>
    <n v="202"/>
    <x v="8"/>
    <n v="1"/>
    <n v="0"/>
    <n v="1"/>
    <n v="16"/>
    <s v="Afternoon"/>
    <b v="0"/>
    <x v="1"/>
    <n v="1"/>
    <x v="0"/>
    <n v="0.2"/>
    <x v="0"/>
  </r>
  <r>
    <n v="203"/>
    <x v="8"/>
    <n v="1"/>
    <n v="0"/>
    <n v="1"/>
    <n v="17"/>
    <s v="Evening"/>
    <b v="0"/>
    <x v="1"/>
    <n v="1"/>
    <x v="0"/>
    <n v="0.18"/>
    <x v="0"/>
  </r>
  <r>
    <n v="204"/>
    <x v="8"/>
    <n v="1"/>
    <n v="0"/>
    <n v="1"/>
    <n v="18"/>
    <s v="Evening"/>
    <b v="0"/>
    <x v="1"/>
    <n v="1"/>
    <x v="0"/>
    <n v="0.16"/>
    <x v="0"/>
  </r>
  <r>
    <n v="205"/>
    <x v="8"/>
    <n v="1"/>
    <n v="0"/>
    <n v="1"/>
    <n v="19"/>
    <s v="Evening"/>
    <b v="0"/>
    <x v="1"/>
    <n v="1"/>
    <x v="0"/>
    <n v="0.16"/>
    <x v="0"/>
  </r>
  <r>
    <n v="206"/>
    <x v="8"/>
    <n v="1"/>
    <n v="0"/>
    <n v="1"/>
    <n v="20"/>
    <s v="Evening"/>
    <b v="0"/>
    <x v="1"/>
    <n v="1"/>
    <x v="0"/>
    <n v="0.14000000000000001"/>
    <x v="3"/>
  </r>
  <r>
    <n v="207"/>
    <x v="8"/>
    <n v="1"/>
    <n v="0"/>
    <n v="1"/>
    <n v="21"/>
    <s v="Night"/>
    <b v="0"/>
    <x v="1"/>
    <n v="1"/>
    <x v="0"/>
    <n v="0.14000000000000001"/>
    <x v="3"/>
  </r>
  <r>
    <n v="208"/>
    <x v="8"/>
    <n v="1"/>
    <n v="0"/>
    <n v="1"/>
    <n v="22"/>
    <s v="Night"/>
    <b v="0"/>
    <x v="1"/>
    <n v="1"/>
    <x v="0"/>
    <n v="0.14000000000000001"/>
    <x v="3"/>
  </r>
  <r>
    <n v="209"/>
    <x v="8"/>
    <n v="1"/>
    <n v="0"/>
    <n v="1"/>
    <n v="23"/>
    <s v="Night"/>
    <b v="0"/>
    <x v="1"/>
    <n v="1"/>
    <x v="0"/>
    <n v="0.12"/>
    <x v="3"/>
  </r>
  <r>
    <n v="210"/>
    <x v="9"/>
    <n v="1"/>
    <n v="0"/>
    <n v="1"/>
    <n v="0"/>
    <s v="Night"/>
    <b v="0"/>
    <x v="2"/>
    <n v="1"/>
    <x v="0"/>
    <n v="0.12"/>
    <x v="3"/>
  </r>
  <r>
    <n v="211"/>
    <x v="9"/>
    <n v="1"/>
    <n v="0"/>
    <n v="1"/>
    <n v="1"/>
    <s v="Night"/>
    <b v="0"/>
    <x v="2"/>
    <n v="1"/>
    <x v="0"/>
    <n v="0.12"/>
    <x v="3"/>
  </r>
  <r>
    <n v="212"/>
    <x v="9"/>
    <n v="1"/>
    <n v="0"/>
    <n v="1"/>
    <n v="2"/>
    <s v="Night"/>
    <b v="0"/>
    <x v="2"/>
    <n v="1"/>
    <x v="0"/>
    <n v="0.12"/>
    <x v="3"/>
  </r>
  <r>
    <n v="213"/>
    <x v="9"/>
    <n v="1"/>
    <n v="0"/>
    <n v="1"/>
    <n v="3"/>
    <s v="Night"/>
    <b v="0"/>
    <x v="2"/>
    <n v="1"/>
    <x v="0"/>
    <n v="0.12"/>
    <x v="3"/>
  </r>
  <r>
    <n v="214"/>
    <x v="9"/>
    <n v="1"/>
    <n v="0"/>
    <n v="1"/>
    <n v="4"/>
    <s v="Early Morning"/>
    <b v="0"/>
    <x v="2"/>
    <n v="1"/>
    <x v="0"/>
    <n v="0.1"/>
    <x v="3"/>
  </r>
  <r>
    <n v="215"/>
    <x v="9"/>
    <n v="1"/>
    <n v="0"/>
    <n v="1"/>
    <n v="5"/>
    <s v="Early Morning"/>
    <b v="0"/>
    <x v="2"/>
    <n v="1"/>
    <x v="0"/>
    <n v="0.1"/>
    <x v="3"/>
  </r>
  <r>
    <n v="216"/>
    <x v="9"/>
    <n v="1"/>
    <n v="0"/>
    <n v="1"/>
    <n v="6"/>
    <s v="Early Morning"/>
    <b v="0"/>
    <x v="2"/>
    <n v="1"/>
    <x v="0"/>
    <n v="0.12"/>
    <x v="3"/>
  </r>
  <r>
    <n v="217"/>
    <x v="9"/>
    <n v="1"/>
    <n v="0"/>
    <n v="1"/>
    <n v="7"/>
    <s v="Morning"/>
    <b v="0"/>
    <x v="2"/>
    <n v="1"/>
    <x v="0"/>
    <n v="0.12"/>
    <x v="3"/>
  </r>
  <r>
    <n v="218"/>
    <x v="9"/>
    <n v="1"/>
    <n v="0"/>
    <n v="1"/>
    <n v="8"/>
    <s v="Morning"/>
    <b v="0"/>
    <x v="2"/>
    <n v="2"/>
    <x v="1"/>
    <n v="0.12"/>
    <x v="3"/>
  </r>
  <r>
    <n v="219"/>
    <x v="9"/>
    <n v="1"/>
    <n v="0"/>
    <n v="1"/>
    <n v="9"/>
    <s v="Morning"/>
    <b v="0"/>
    <x v="2"/>
    <n v="2"/>
    <x v="1"/>
    <n v="0.14000000000000001"/>
    <x v="3"/>
  </r>
  <r>
    <n v="220"/>
    <x v="9"/>
    <n v="1"/>
    <n v="0"/>
    <n v="1"/>
    <n v="10"/>
    <s v="Morning"/>
    <b v="0"/>
    <x v="2"/>
    <n v="2"/>
    <x v="1"/>
    <n v="0.14000000000000001"/>
    <x v="3"/>
  </r>
  <r>
    <n v="221"/>
    <x v="9"/>
    <n v="1"/>
    <n v="0"/>
    <n v="1"/>
    <n v="11"/>
    <s v="Afternoon"/>
    <b v="0"/>
    <x v="2"/>
    <n v="2"/>
    <x v="1"/>
    <n v="0.16"/>
    <x v="0"/>
  </r>
  <r>
    <n v="222"/>
    <x v="9"/>
    <n v="1"/>
    <n v="0"/>
    <n v="1"/>
    <n v="12"/>
    <s v="Afternoon"/>
    <b v="0"/>
    <x v="2"/>
    <n v="2"/>
    <x v="1"/>
    <n v="0.2"/>
    <x v="0"/>
  </r>
  <r>
    <n v="223"/>
    <x v="9"/>
    <n v="1"/>
    <n v="0"/>
    <n v="1"/>
    <n v="13"/>
    <s v="Afternoon"/>
    <b v="0"/>
    <x v="2"/>
    <n v="2"/>
    <x v="1"/>
    <n v="0.2"/>
    <x v="0"/>
  </r>
  <r>
    <n v="224"/>
    <x v="9"/>
    <n v="1"/>
    <n v="0"/>
    <n v="1"/>
    <n v="14"/>
    <s v="Afternoon"/>
    <b v="0"/>
    <x v="2"/>
    <n v="2"/>
    <x v="1"/>
    <n v="0.2"/>
    <x v="0"/>
  </r>
  <r>
    <n v="225"/>
    <x v="9"/>
    <n v="1"/>
    <n v="0"/>
    <n v="1"/>
    <n v="15"/>
    <s v="Afternoon"/>
    <b v="0"/>
    <x v="2"/>
    <n v="2"/>
    <x v="1"/>
    <n v="0.2"/>
    <x v="0"/>
  </r>
  <r>
    <n v="226"/>
    <x v="9"/>
    <n v="1"/>
    <n v="0"/>
    <n v="1"/>
    <n v="16"/>
    <s v="Afternoon"/>
    <b v="0"/>
    <x v="2"/>
    <n v="1"/>
    <x v="0"/>
    <n v="0.2"/>
    <x v="0"/>
  </r>
  <r>
    <n v="227"/>
    <x v="9"/>
    <n v="1"/>
    <n v="0"/>
    <n v="1"/>
    <n v="17"/>
    <s v="Evening"/>
    <b v="0"/>
    <x v="2"/>
    <n v="1"/>
    <x v="0"/>
    <n v="0.2"/>
    <x v="0"/>
  </r>
  <r>
    <n v="228"/>
    <x v="9"/>
    <n v="1"/>
    <n v="0"/>
    <n v="1"/>
    <n v="18"/>
    <s v="Evening"/>
    <b v="0"/>
    <x v="2"/>
    <n v="1"/>
    <x v="0"/>
    <n v="0.2"/>
    <x v="0"/>
  </r>
  <r>
    <n v="229"/>
    <x v="9"/>
    <n v="1"/>
    <n v="0"/>
    <n v="1"/>
    <n v="19"/>
    <s v="Evening"/>
    <b v="0"/>
    <x v="2"/>
    <n v="1"/>
    <x v="0"/>
    <n v="0.16"/>
    <x v="0"/>
  </r>
  <r>
    <n v="230"/>
    <x v="9"/>
    <n v="1"/>
    <n v="0"/>
    <n v="1"/>
    <n v="20"/>
    <s v="Evening"/>
    <b v="0"/>
    <x v="2"/>
    <n v="1"/>
    <x v="0"/>
    <n v="0.16"/>
    <x v="0"/>
  </r>
  <r>
    <n v="231"/>
    <x v="9"/>
    <n v="1"/>
    <n v="0"/>
    <n v="1"/>
    <n v="21"/>
    <s v="Night"/>
    <b v="0"/>
    <x v="2"/>
    <n v="1"/>
    <x v="0"/>
    <n v="0.14000000000000001"/>
    <x v="3"/>
  </r>
  <r>
    <n v="232"/>
    <x v="9"/>
    <n v="1"/>
    <n v="0"/>
    <n v="1"/>
    <n v="22"/>
    <s v="Night"/>
    <b v="0"/>
    <x v="2"/>
    <n v="1"/>
    <x v="0"/>
    <n v="0.14000000000000001"/>
    <x v="3"/>
  </r>
  <r>
    <n v="233"/>
    <x v="9"/>
    <n v="1"/>
    <n v="0"/>
    <n v="1"/>
    <n v="23"/>
    <s v="Night"/>
    <b v="0"/>
    <x v="2"/>
    <n v="1"/>
    <x v="0"/>
    <n v="0.14000000000000001"/>
    <x v="3"/>
  </r>
  <r>
    <n v="234"/>
    <x v="10"/>
    <n v="1"/>
    <n v="0"/>
    <n v="1"/>
    <n v="0"/>
    <s v="Night"/>
    <b v="0"/>
    <x v="3"/>
    <n v="1"/>
    <x v="0"/>
    <n v="0.14000000000000001"/>
    <x v="3"/>
  </r>
  <r>
    <n v="235"/>
    <x v="10"/>
    <n v="1"/>
    <n v="0"/>
    <n v="1"/>
    <n v="1"/>
    <s v="Night"/>
    <b v="0"/>
    <x v="3"/>
    <n v="1"/>
    <x v="0"/>
    <n v="0.14000000000000001"/>
    <x v="3"/>
  </r>
  <r>
    <n v="236"/>
    <x v="10"/>
    <n v="1"/>
    <n v="0"/>
    <n v="1"/>
    <n v="2"/>
    <s v="Night"/>
    <b v="0"/>
    <x v="3"/>
    <n v="2"/>
    <x v="1"/>
    <n v="0.16"/>
    <x v="0"/>
  </r>
  <r>
    <n v="237"/>
    <x v="10"/>
    <n v="1"/>
    <n v="0"/>
    <n v="1"/>
    <n v="5"/>
    <s v="Early Morning"/>
    <b v="0"/>
    <x v="3"/>
    <n v="2"/>
    <x v="1"/>
    <n v="0.16"/>
    <x v="0"/>
  </r>
  <r>
    <n v="238"/>
    <x v="10"/>
    <n v="1"/>
    <n v="0"/>
    <n v="1"/>
    <n v="6"/>
    <s v="Early Morning"/>
    <b v="0"/>
    <x v="3"/>
    <n v="2"/>
    <x v="1"/>
    <n v="0.16"/>
    <x v="0"/>
  </r>
  <r>
    <n v="239"/>
    <x v="10"/>
    <n v="1"/>
    <n v="0"/>
    <n v="1"/>
    <n v="7"/>
    <s v="Morning"/>
    <b v="0"/>
    <x v="3"/>
    <n v="2"/>
    <x v="1"/>
    <n v="0.16"/>
    <x v="0"/>
  </r>
  <r>
    <n v="240"/>
    <x v="10"/>
    <n v="1"/>
    <n v="0"/>
    <n v="1"/>
    <n v="8"/>
    <s v="Morning"/>
    <b v="0"/>
    <x v="3"/>
    <n v="2"/>
    <x v="1"/>
    <n v="0.18"/>
    <x v="0"/>
  </r>
  <r>
    <n v="241"/>
    <x v="10"/>
    <n v="1"/>
    <n v="0"/>
    <n v="1"/>
    <n v="9"/>
    <s v="Morning"/>
    <b v="0"/>
    <x v="3"/>
    <n v="2"/>
    <x v="1"/>
    <n v="0.18"/>
    <x v="0"/>
  </r>
  <r>
    <n v="242"/>
    <x v="10"/>
    <n v="1"/>
    <n v="0"/>
    <n v="1"/>
    <n v="10"/>
    <s v="Morning"/>
    <b v="0"/>
    <x v="3"/>
    <n v="2"/>
    <x v="1"/>
    <n v="0.2"/>
    <x v="0"/>
  </r>
  <r>
    <n v="243"/>
    <x v="10"/>
    <n v="1"/>
    <n v="0"/>
    <n v="1"/>
    <n v="11"/>
    <s v="Afternoon"/>
    <b v="0"/>
    <x v="3"/>
    <n v="2"/>
    <x v="1"/>
    <n v="0.2"/>
    <x v="0"/>
  </r>
  <r>
    <n v="244"/>
    <x v="10"/>
    <n v="1"/>
    <n v="0"/>
    <n v="1"/>
    <n v="12"/>
    <s v="Afternoon"/>
    <b v="0"/>
    <x v="3"/>
    <n v="2"/>
    <x v="1"/>
    <n v="0.2"/>
    <x v="0"/>
  </r>
  <r>
    <n v="245"/>
    <x v="10"/>
    <n v="1"/>
    <n v="0"/>
    <n v="1"/>
    <n v="13"/>
    <s v="Afternoon"/>
    <b v="0"/>
    <x v="3"/>
    <n v="2"/>
    <x v="1"/>
    <n v="0.2"/>
    <x v="0"/>
  </r>
  <r>
    <n v="246"/>
    <x v="10"/>
    <n v="1"/>
    <n v="0"/>
    <n v="1"/>
    <n v="14"/>
    <s v="Afternoon"/>
    <b v="0"/>
    <x v="3"/>
    <n v="2"/>
    <x v="1"/>
    <n v="0.2"/>
    <x v="0"/>
  </r>
  <r>
    <n v="247"/>
    <x v="10"/>
    <n v="1"/>
    <n v="0"/>
    <n v="1"/>
    <n v="15"/>
    <s v="Afternoon"/>
    <b v="0"/>
    <x v="3"/>
    <n v="2"/>
    <x v="1"/>
    <n v="0.16"/>
    <x v="0"/>
  </r>
  <r>
    <n v="248"/>
    <x v="10"/>
    <n v="1"/>
    <n v="0"/>
    <n v="1"/>
    <n v="16"/>
    <s v="Afternoon"/>
    <b v="0"/>
    <x v="3"/>
    <n v="2"/>
    <x v="1"/>
    <n v="0.16"/>
    <x v="0"/>
  </r>
  <r>
    <n v="249"/>
    <x v="10"/>
    <n v="1"/>
    <n v="0"/>
    <n v="1"/>
    <n v="17"/>
    <s v="Evening"/>
    <b v="0"/>
    <x v="3"/>
    <n v="2"/>
    <x v="1"/>
    <n v="0.16"/>
    <x v="0"/>
  </r>
  <r>
    <n v="250"/>
    <x v="10"/>
    <n v="1"/>
    <n v="0"/>
    <n v="1"/>
    <n v="18"/>
    <s v="Evening"/>
    <b v="0"/>
    <x v="3"/>
    <n v="3"/>
    <x v="2"/>
    <n v="0.16"/>
    <x v="0"/>
  </r>
  <r>
    <n v="251"/>
    <x v="10"/>
    <n v="1"/>
    <n v="0"/>
    <n v="1"/>
    <n v="19"/>
    <s v="Evening"/>
    <b v="0"/>
    <x v="3"/>
    <n v="3"/>
    <x v="2"/>
    <n v="0.16"/>
    <x v="0"/>
  </r>
  <r>
    <n v="252"/>
    <x v="10"/>
    <n v="1"/>
    <n v="0"/>
    <n v="1"/>
    <n v="20"/>
    <s v="Evening"/>
    <b v="0"/>
    <x v="3"/>
    <n v="3"/>
    <x v="2"/>
    <n v="0.16"/>
    <x v="0"/>
  </r>
  <r>
    <n v="253"/>
    <x v="10"/>
    <n v="1"/>
    <n v="0"/>
    <n v="1"/>
    <n v="21"/>
    <s v="Night"/>
    <b v="0"/>
    <x v="3"/>
    <n v="3"/>
    <x v="2"/>
    <n v="0.16"/>
    <x v="0"/>
  </r>
  <r>
    <n v="254"/>
    <x v="10"/>
    <n v="1"/>
    <n v="0"/>
    <n v="1"/>
    <n v="22"/>
    <s v="Night"/>
    <b v="0"/>
    <x v="3"/>
    <n v="3"/>
    <x v="2"/>
    <n v="0.16"/>
    <x v="0"/>
  </r>
  <r>
    <n v="255"/>
    <x v="10"/>
    <n v="1"/>
    <n v="0"/>
    <n v="1"/>
    <n v="23"/>
    <s v="Night"/>
    <b v="0"/>
    <x v="3"/>
    <n v="3"/>
    <x v="2"/>
    <n v="0.16"/>
    <x v="0"/>
  </r>
  <r>
    <n v="256"/>
    <x v="11"/>
    <n v="1"/>
    <n v="0"/>
    <n v="1"/>
    <n v="0"/>
    <s v="Night"/>
    <b v="0"/>
    <x v="4"/>
    <n v="2"/>
    <x v="1"/>
    <n v="0.16"/>
    <x v="0"/>
  </r>
  <r>
    <n v="257"/>
    <x v="11"/>
    <n v="1"/>
    <n v="0"/>
    <n v="1"/>
    <n v="1"/>
    <s v="Night"/>
    <b v="0"/>
    <x v="4"/>
    <n v="2"/>
    <x v="1"/>
    <n v="0.16"/>
    <x v="0"/>
  </r>
  <r>
    <n v="258"/>
    <x v="11"/>
    <n v="1"/>
    <n v="0"/>
    <n v="1"/>
    <n v="2"/>
    <s v="Night"/>
    <b v="0"/>
    <x v="4"/>
    <n v="1"/>
    <x v="0"/>
    <n v="0.14000000000000001"/>
    <x v="3"/>
  </r>
  <r>
    <n v="259"/>
    <x v="11"/>
    <n v="1"/>
    <n v="0"/>
    <n v="1"/>
    <n v="5"/>
    <s v="Early Morning"/>
    <b v="0"/>
    <x v="4"/>
    <n v="1"/>
    <x v="0"/>
    <n v="0.14000000000000001"/>
    <x v="3"/>
  </r>
  <r>
    <n v="260"/>
    <x v="11"/>
    <n v="1"/>
    <n v="0"/>
    <n v="1"/>
    <n v="6"/>
    <s v="Early Morning"/>
    <b v="0"/>
    <x v="4"/>
    <n v="1"/>
    <x v="0"/>
    <n v="0.12"/>
    <x v="3"/>
  </r>
  <r>
    <n v="261"/>
    <x v="11"/>
    <n v="1"/>
    <n v="0"/>
    <n v="1"/>
    <n v="7"/>
    <s v="Morning"/>
    <b v="0"/>
    <x v="4"/>
    <n v="1"/>
    <x v="0"/>
    <n v="0.14000000000000001"/>
    <x v="3"/>
  </r>
  <r>
    <n v="262"/>
    <x v="11"/>
    <n v="1"/>
    <n v="0"/>
    <n v="1"/>
    <n v="8"/>
    <s v="Morning"/>
    <b v="0"/>
    <x v="4"/>
    <n v="1"/>
    <x v="0"/>
    <n v="0.16"/>
    <x v="0"/>
  </r>
  <r>
    <n v="263"/>
    <x v="11"/>
    <n v="1"/>
    <n v="0"/>
    <n v="1"/>
    <n v="9"/>
    <s v="Morning"/>
    <b v="0"/>
    <x v="4"/>
    <n v="1"/>
    <x v="0"/>
    <n v="0.16"/>
    <x v="0"/>
  </r>
  <r>
    <n v="264"/>
    <x v="11"/>
    <n v="1"/>
    <n v="0"/>
    <n v="1"/>
    <n v="10"/>
    <s v="Morning"/>
    <b v="0"/>
    <x v="4"/>
    <n v="1"/>
    <x v="0"/>
    <n v="0.18"/>
    <x v="0"/>
  </r>
  <r>
    <n v="265"/>
    <x v="11"/>
    <n v="1"/>
    <n v="0"/>
    <n v="1"/>
    <n v="11"/>
    <s v="Afternoon"/>
    <b v="0"/>
    <x v="4"/>
    <n v="1"/>
    <x v="0"/>
    <n v="0.2"/>
    <x v="0"/>
  </r>
  <r>
    <n v="266"/>
    <x v="11"/>
    <n v="1"/>
    <n v="0"/>
    <n v="1"/>
    <n v="12"/>
    <s v="Afternoon"/>
    <b v="0"/>
    <x v="4"/>
    <n v="1"/>
    <x v="0"/>
    <n v="0.2"/>
    <x v="0"/>
  </r>
  <r>
    <n v="267"/>
    <x v="11"/>
    <n v="1"/>
    <n v="0"/>
    <n v="1"/>
    <n v="13"/>
    <s v="Afternoon"/>
    <b v="0"/>
    <x v="4"/>
    <n v="1"/>
    <x v="0"/>
    <n v="0.22"/>
    <x v="0"/>
  </r>
  <r>
    <n v="268"/>
    <x v="11"/>
    <n v="1"/>
    <n v="0"/>
    <n v="1"/>
    <n v="14"/>
    <s v="Afternoon"/>
    <b v="0"/>
    <x v="4"/>
    <n v="1"/>
    <x v="0"/>
    <n v="0.2"/>
    <x v="0"/>
  </r>
  <r>
    <n v="269"/>
    <x v="11"/>
    <n v="1"/>
    <n v="0"/>
    <n v="1"/>
    <n v="15"/>
    <s v="Afternoon"/>
    <b v="0"/>
    <x v="4"/>
    <n v="1"/>
    <x v="0"/>
    <n v="0.2"/>
    <x v="0"/>
  </r>
  <r>
    <n v="270"/>
    <x v="11"/>
    <n v="1"/>
    <n v="0"/>
    <n v="1"/>
    <n v="16"/>
    <s v="Afternoon"/>
    <b v="0"/>
    <x v="4"/>
    <n v="1"/>
    <x v="0"/>
    <n v="0.22"/>
    <x v="0"/>
  </r>
  <r>
    <n v="271"/>
    <x v="11"/>
    <n v="1"/>
    <n v="0"/>
    <n v="1"/>
    <n v="17"/>
    <s v="Evening"/>
    <b v="0"/>
    <x v="4"/>
    <n v="1"/>
    <x v="0"/>
    <n v="0.2"/>
    <x v="0"/>
  </r>
  <r>
    <n v="272"/>
    <x v="11"/>
    <n v="1"/>
    <n v="0"/>
    <n v="1"/>
    <n v="18"/>
    <s v="Evening"/>
    <b v="0"/>
    <x v="4"/>
    <n v="1"/>
    <x v="0"/>
    <n v="0.2"/>
    <x v="0"/>
  </r>
  <r>
    <n v="273"/>
    <x v="11"/>
    <n v="1"/>
    <n v="0"/>
    <n v="1"/>
    <n v="19"/>
    <s v="Evening"/>
    <b v="0"/>
    <x v="4"/>
    <n v="1"/>
    <x v="0"/>
    <n v="0.18"/>
    <x v="0"/>
  </r>
  <r>
    <n v="274"/>
    <x v="11"/>
    <n v="1"/>
    <n v="0"/>
    <n v="1"/>
    <n v="20"/>
    <s v="Evening"/>
    <b v="0"/>
    <x v="4"/>
    <n v="1"/>
    <x v="0"/>
    <n v="0.16"/>
    <x v="0"/>
  </r>
  <r>
    <n v="275"/>
    <x v="11"/>
    <n v="1"/>
    <n v="0"/>
    <n v="1"/>
    <n v="21"/>
    <s v="Night"/>
    <b v="0"/>
    <x v="4"/>
    <n v="1"/>
    <x v="0"/>
    <n v="0.16"/>
    <x v="0"/>
  </r>
  <r>
    <n v="276"/>
    <x v="11"/>
    <n v="1"/>
    <n v="0"/>
    <n v="1"/>
    <n v="22"/>
    <s v="Night"/>
    <b v="0"/>
    <x v="4"/>
    <n v="1"/>
    <x v="0"/>
    <n v="0.16"/>
    <x v="0"/>
  </r>
  <r>
    <n v="277"/>
    <x v="11"/>
    <n v="1"/>
    <n v="0"/>
    <n v="1"/>
    <n v="23"/>
    <s v="Night"/>
    <b v="0"/>
    <x v="4"/>
    <n v="1"/>
    <x v="0"/>
    <n v="0.14000000000000001"/>
    <x v="3"/>
  </r>
  <r>
    <n v="278"/>
    <x v="12"/>
    <n v="1"/>
    <n v="0"/>
    <n v="1"/>
    <n v="0"/>
    <s v="Night"/>
    <b v="0"/>
    <x v="5"/>
    <n v="1"/>
    <x v="0"/>
    <n v="0.14000000000000001"/>
    <x v="3"/>
  </r>
  <r>
    <n v="279"/>
    <x v="12"/>
    <n v="1"/>
    <n v="0"/>
    <n v="1"/>
    <n v="1"/>
    <s v="Night"/>
    <b v="0"/>
    <x v="5"/>
    <n v="1"/>
    <x v="0"/>
    <n v="0.14000000000000001"/>
    <x v="3"/>
  </r>
  <r>
    <n v="280"/>
    <x v="12"/>
    <n v="1"/>
    <n v="0"/>
    <n v="1"/>
    <n v="2"/>
    <s v="Night"/>
    <b v="0"/>
    <x v="5"/>
    <n v="1"/>
    <x v="0"/>
    <n v="0.14000000000000001"/>
    <x v="3"/>
  </r>
  <r>
    <n v="281"/>
    <x v="12"/>
    <n v="1"/>
    <n v="0"/>
    <n v="1"/>
    <n v="3"/>
    <s v="Night"/>
    <b v="0"/>
    <x v="5"/>
    <n v="1"/>
    <x v="0"/>
    <n v="0.14000000000000001"/>
    <x v="3"/>
  </r>
  <r>
    <n v="282"/>
    <x v="12"/>
    <n v="1"/>
    <n v="0"/>
    <n v="1"/>
    <n v="4"/>
    <s v="Early Morning"/>
    <b v="0"/>
    <x v="5"/>
    <n v="1"/>
    <x v="0"/>
    <n v="0.14000000000000001"/>
    <x v="3"/>
  </r>
  <r>
    <n v="283"/>
    <x v="12"/>
    <n v="1"/>
    <n v="0"/>
    <n v="1"/>
    <n v="5"/>
    <s v="Early Morning"/>
    <b v="0"/>
    <x v="5"/>
    <n v="1"/>
    <x v="0"/>
    <n v="0.14000000000000001"/>
    <x v="3"/>
  </r>
  <r>
    <n v="284"/>
    <x v="12"/>
    <n v="1"/>
    <n v="0"/>
    <n v="1"/>
    <n v="6"/>
    <s v="Early Morning"/>
    <b v="0"/>
    <x v="5"/>
    <n v="1"/>
    <x v="0"/>
    <n v="0.12"/>
    <x v="3"/>
  </r>
  <r>
    <n v="285"/>
    <x v="12"/>
    <n v="1"/>
    <n v="0"/>
    <n v="1"/>
    <n v="7"/>
    <s v="Morning"/>
    <b v="0"/>
    <x v="5"/>
    <n v="1"/>
    <x v="0"/>
    <n v="0.12"/>
    <x v="3"/>
  </r>
  <r>
    <n v="286"/>
    <x v="12"/>
    <n v="1"/>
    <n v="0"/>
    <n v="1"/>
    <n v="8"/>
    <s v="Morning"/>
    <b v="0"/>
    <x v="5"/>
    <n v="1"/>
    <x v="0"/>
    <n v="0.14000000000000001"/>
    <x v="3"/>
  </r>
  <r>
    <n v="287"/>
    <x v="12"/>
    <n v="1"/>
    <n v="0"/>
    <n v="1"/>
    <n v="9"/>
    <s v="Morning"/>
    <b v="0"/>
    <x v="5"/>
    <n v="1"/>
    <x v="0"/>
    <n v="0.14000000000000001"/>
    <x v="3"/>
  </r>
  <r>
    <n v="288"/>
    <x v="12"/>
    <n v="1"/>
    <n v="0"/>
    <n v="1"/>
    <n v="10"/>
    <s v="Morning"/>
    <b v="0"/>
    <x v="5"/>
    <n v="2"/>
    <x v="1"/>
    <n v="0.16"/>
    <x v="0"/>
  </r>
  <r>
    <n v="289"/>
    <x v="12"/>
    <n v="1"/>
    <n v="0"/>
    <n v="1"/>
    <n v="11"/>
    <s v="Afternoon"/>
    <b v="0"/>
    <x v="5"/>
    <n v="2"/>
    <x v="1"/>
    <n v="0.2"/>
    <x v="0"/>
  </r>
  <r>
    <n v="290"/>
    <x v="12"/>
    <n v="1"/>
    <n v="0"/>
    <n v="1"/>
    <n v="12"/>
    <s v="Afternoon"/>
    <b v="0"/>
    <x v="5"/>
    <n v="1"/>
    <x v="0"/>
    <n v="0.2"/>
    <x v="0"/>
  </r>
  <r>
    <n v="291"/>
    <x v="12"/>
    <n v="1"/>
    <n v="0"/>
    <n v="1"/>
    <n v="13"/>
    <s v="Afternoon"/>
    <b v="0"/>
    <x v="5"/>
    <n v="1"/>
    <x v="0"/>
    <n v="0.22"/>
    <x v="0"/>
  </r>
  <r>
    <n v="292"/>
    <x v="12"/>
    <n v="1"/>
    <n v="0"/>
    <n v="1"/>
    <n v="14"/>
    <s v="Afternoon"/>
    <b v="0"/>
    <x v="5"/>
    <n v="1"/>
    <x v="0"/>
    <n v="0.22"/>
    <x v="0"/>
  </r>
  <r>
    <n v="293"/>
    <x v="12"/>
    <n v="1"/>
    <n v="0"/>
    <n v="1"/>
    <n v="15"/>
    <s v="Afternoon"/>
    <b v="0"/>
    <x v="5"/>
    <n v="1"/>
    <x v="0"/>
    <n v="0.24"/>
    <x v="0"/>
  </r>
  <r>
    <n v="294"/>
    <x v="12"/>
    <n v="1"/>
    <n v="0"/>
    <n v="1"/>
    <n v="16"/>
    <s v="Afternoon"/>
    <b v="0"/>
    <x v="5"/>
    <n v="1"/>
    <x v="0"/>
    <n v="0.24"/>
    <x v="0"/>
  </r>
  <r>
    <n v="295"/>
    <x v="12"/>
    <n v="1"/>
    <n v="0"/>
    <n v="1"/>
    <n v="17"/>
    <s v="Evening"/>
    <b v="0"/>
    <x v="5"/>
    <n v="1"/>
    <x v="0"/>
    <n v="0.2"/>
    <x v="0"/>
  </r>
  <r>
    <n v="296"/>
    <x v="12"/>
    <n v="1"/>
    <n v="0"/>
    <n v="1"/>
    <n v="18"/>
    <s v="Evening"/>
    <b v="0"/>
    <x v="5"/>
    <n v="1"/>
    <x v="0"/>
    <n v="0.2"/>
    <x v="0"/>
  </r>
  <r>
    <n v="297"/>
    <x v="12"/>
    <n v="1"/>
    <n v="0"/>
    <n v="1"/>
    <n v="19"/>
    <s v="Evening"/>
    <b v="0"/>
    <x v="5"/>
    <n v="1"/>
    <x v="0"/>
    <n v="0.16"/>
    <x v="0"/>
  </r>
  <r>
    <n v="298"/>
    <x v="12"/>
    <n v="1"/>
    <n v="0"/>
    <n v="1"/>
    <n v="20"/>
    <s v="Evening"/>
    <b v="0"/>
    <x v="5"/>
    <n v="1"/>
    <x v="0"/>
    <n v="0.16"/>
    <x v="0"/>
  </r>
  <r>
    <n v="299"/>
    <x v="12"/>
    <n v="1"/>
    <n v="0"/>
    <n v="1"/>
    <n v="21"/>
    <s v="Night"/>
    <b v="0"/>
    <x v="5"/>
    <n v="1"/>
    <x v="0"/>
    <n v="0.14000000000000001"/>
    <x v="3"/>
  </r>
  <r>
    <n v="300"/>
    <x v="12"/>
    <n v="1"/>
    <n v="0"/>
    <n v="1"/>
    <n v="22"/>
    <s v="Night"/>
    <b v="0"/>
    <x v="5"/>
    <n v="1"/>
    <x v="0"/>
    <n v="0.14000000000000001"/>
    <x v="3"/>
  </r>
  <r>
    <n v="301"/>
    <x v="12"/>
    <n v="1"/>
    <n v="0"/>
    <n v="1"/>
    <n v="23"/>
    <s v="Night"/>
    <b v="0"/>
    <x v="5"/>
    <n v="1"/>
    <x v="0"/>
    <n v="0.12"/>
    <x v="3"/>
  </r>
  <r>
    <n v="302"/>
    <x v="13"/>
    <n v="1"/>
    <n v="0"/>
    <n v="1"/>
    <n v="0"/>
    <s v="Night"/>
    <b v="0"/>
    <x v="6"/>
    <n v="1"/>
    <x v="0"/>
    <n v="0.12"/>
    <x v="3"/>
  </r>
  <r>
    <n v="303"/>
    <x v="13"/>
    <n v="1"/>
    <n v="0"/>
    <n v="1"/>
    <n v="1"/>
    <s v="Night"/>
    <b v="0"/>
    <x v="6"/>
    <n v="1"/>
    <x v="0"/>
    <n v="0.1"/>
    <x v="3"/>
  </r>
  <r>
    <n v="304"/>
    <x v="13"/>
    <n v="1"/>
    <n v="0"/>
    <n v="1"/>
    <n v="2"/>
    <s v="Night"/>
    <b v="0"/>
    <x v="6"/>
    <n v="1"/>
    <x v="0"/>
    <n v="0.1"/>
    <x v="3"/>
  </r>
  <r>
    <n v="305"/>
    <x v="13"/>
    <n v="1"/>
    <n v="0"/>
    <n v="1"/>
    <n v="3"/>
    <s v="Night"/>
    <b v="0"/>
    <x v="6"/>
    <n v="1"/>
    <x v="0"/>
    <n v="0.1"/>
    <x v="3"/>
  </r>
  <r>
    <n v="306"/>
    <x v="13"/>
    <n v="1"/>
    <n v="0"/>
    <n v="1"/>
    <n v="5"/>
    <s v="Early Morning"/>
    <b v="0"/>
    <x v="6"/>
    <n v="1"/>
    <x v="0"/>
    <n v="0.1"/>
    <x v="3"/>
  </r>
  <r>
    <n v="307"/>
    <x v="13"/>
    <n v="1"/>
    <n v="0"/>
    <n v="1"/>
    <n v="6"/>
    <s v="Early Morning"/>
    <b v="0"/>
    <x v="6"/>
    <n v="1"/>
    <x v="0"/>
    <n v="0.1"/>
    <x v="3"/>
  </r>
  <r>
    <n v="308"/>
    <x v="13"/>
    <n v="1"/>
    <n v="0"/>
    <n v="1"/>
    <n v="7"/>
    <s v="Morning"/>
    <b v="0"/>
    <x v="6"/>
    <n v="1"/>
    <x v="0"/>
    <n v="0.1"/>
    <x v="3"/>
  </r>
  <r>
    <n v="309"/>
    <x v="13"/>
    <n v="1"/>
    <n v="0"/>
    <n v="1"/>
    <n v="8"/>
    <s v="Morning"/>
    <b v="0"/>
    <x v="6"/>
    <n v="1"/>
    <x v="0"/>
    <n v="0.12"/>
    <x v="3"/>
  </r>
  <r>
    <n v="310"/>
    <x v="13"/>
    <n v="1"/>
    <n v="0"/>
    <n v="1"/>
    <n v="9"/>
    <s v="Morning"/>
    <b v="0"/>
    <x v="6"/>
    <n v="1"/>
    <x v="0"/>
    <n v="0.14000000000000001"/>
    <x v="3"/>
  </r>
  <r>
    <n v="311"/>
    <x v="13"/>
    <n v="1"/>
    <n v="0"/>
    <n v="1"/>
    <n v="10"/>
    <s v="Morning"/>
    <b v="0"/>
    <x v="6"/>
    <n v="1"/>
    <x v="0"/>
    <n v="0.18"/>
    <x v="0"/>
  </r>
  <r>
    <n v="312"/>
    <x v="13"/>
    <n v="1"/>
    <n v="0"/>
    <n v="1"/>
    <n v="11"/>
    <s v="Afternoon"/>
    <b v="0"/>
    <x v="6"/>
    <n v="1"/>
    <x v="0"/>
    <n v="0.18"/>
    <x v="0"/>
  </r>
  <r>
    <n v="313"/>
    <x v="13"/>
    <n v="1"/>
    <n v="0"/>
    <n v="1"/>
    <n v="12"/>
    <s v="Afternoon"/>
    <b v="0"/>
    <x v="6"/>
    <n v="1"/>
    <x v="0"/>
    <n v="0.2"/>
    <x v="0"/>
  </r>
  <r>
    <n v="314"/>
    <x v="13"/>
    <n v="1"/>
    <n v="0"/>
    <n v="1"/>
    <n v="13"/>
    <s v="Afternoon"/>
    <b v="0"/>
    <x v="6"/>
    <n v="1"/>
    <x v="0"/>
    <n v="0.22"/>
    <x v="0"/>
  </r>
  <r>
    <n v="315"/>
    <x v="13"/>
    <n v="1"/>
    <n v="0"/>
    <n v="1"/>
    <n v="14"/>
    <s v="Afternoon"/>
    <b v="0"/>
    <x v="6"/>
    <n v="1"/>
    <x v="0"/>
    <n v="0.22"/>
    <x v="0"/>
  </r>
  <r>
    <n v="316"/>
    <x v="13"/>
    <n v="1"/>
    <n v="0"/>
    <n v="1"/>
    <n v="15"/>
    <s v="Afternoon"/>
    <b v="0"/>
    <x v="6"/>
    <n v="1"/>
    <x v="0"/>
    <n v="0.24"/>
    <x v="0"/>
  </r>
  <r>
    <n v="317"/>
    <x v="13"/>
    <n v="1"/>
    <n v="0"/>
    <n v="1"/>
    <n v="16"/>
    <s v="Afternoon"/>
    <b v="0"/>
    <x v="6"/>
    <n v="1"/>
    <x v="0"/>
    <n v="0.22"/>
    <x v="0"/>
  </r>
  <r>
    <n v="318"/>
    <x v="13"/>
    <n v="1"/>
    <n v="0"/>
    <n v="1"/>
    <n v="17"/>
    <s v="Evening"/>
    <b v="0"/>
    <x v="6"/>
    <n v="1"/>
    <x v="0"/>
    <n v="0.22"/>
    <x v="0"/>
  </r>
  <r>
    <n v="319"/>
    <x v="13"/>
    <n v="1"/>
    <n v="0"/>
    <n v="1"/>
    <n v="18"/>
    <s v="Evening"/>
    <b v="0"/>
    <x v="6"/>
    <n v="1"/>
    <x v="0"/>
    <n v="0.2"/>
    <x v="0"/>
  </r>
  <r>
    <n v="320"/>
    <x v="13"/>
    <n v="1"/>
    <n v="0"/>
    <n v="1"/>
    <n v="19"/>
    <s v="Evening"/>
    <b v="0"/>
    <x v="6"/>
    <n v="1"/>
    <x v="0"/>
    <n v="0.16"/>
    <x v="0"/>
  </r>
  <r>
    <n v="321"/>
    <x v="13"/>
    <n v="1"/>
    <n v="0"/>
    <n v="1"/>
    <n v="20"/>
    <s v="Evening"/>
    <b v="0"/>
    <x v="6"/>
    <n v="1"/>
    <x v="0"/>
    <n v="0.18"/>
    <x v="0"/>
  </r>
  <r>
    <n v="322"/>
    <x v="13"/>
    <n v="1"/>
    <n v="0"/>
    <n v="1"/>
    <n v="21"/>
    <s v="Night"/>
    <b v="0"/>
    <x v="6"/>
    <n v="1"/>
    <x v="0"/>
    <n v="0.16"/>
    <x v="0"/>
  </r>
  <r>
    <n v="323"/>
    <x v="13"/>
    <n v="1"/>
    <n v="0"/>
    <n v="1"/>
    <n v="22"/>
    <s v="Night"/>
    <b v="0"/>
    <x v="6"/>
    <n v="2"/>
    <x v="1"/>
    <n v="0.16"/>
    <x v="0"/>
  </r>
  <r>
    <n v="324"/>
    <x v="13"/>
    <n v="1"/>
    <n v="0"/>
    <n v="1"/>
    <n v="23"/>
    <s v="Night"/>
    <b v="0"/>
    <x v="6"/>
    <n v="2"/>
    <x v="1"/>
    <n v="0.18"/>
    <x v="0"/>
  </r>
  <r>
    <n v="325"/>
    <x v="14"/>
    <n v="1"/>
    <n v="0"/>
    <n v="1"/>
    <n v="0"/>
    <s v="Night"/>
    <b v="0"/>
    <x v="0"/>
    <n v="1"/>
    <x v="0"/>
    <n v="0.18"/>
    <x v="0"/>
  </r>
  <r>
    <n v="326"/>
    <x v="14"/>
    <n v="1"/>
    <n v="0"/>
    <n v="1"/>
    <n v="1"/>
    <s v="Night"/>
    <b v="0"/>
    <x v="0"/>
    <n v="2"/>
    <x v="1"/>
    <n v="0.16"/>
    <x v="0"/>
  </r>
  <r>
    <n v="327"/>
    <x v="14"/>
    <n v="1"/>
    <n v="0"/>
    <n v="1"/>
    <n v="2"/>
    <s v="Night"/>
    <b v="0"/>
    <x v="0"/>
    <n v="2"/>
    <x v="1"/>
    <n v="0.16"/>
    <x v="0"/>
  </r>
  <r>
    <n v="328"/>
    <x v="14"/>
    <n v="1"/>
    <n v="0"/>
    <n v="1"/>
    <n v="3"/>
    <s v="Night"/>
    <b v="0"/>
    <x v="0"/>
    <n v="2"/>
    <x v="1"/>
    <n v="0.16"/>
    <x v="0"/>
  </r>
  <r>
    <n v="329"/>
    <x v="14"/>
    <n v="1"/>
    <n v="0"/>
    <n v="1"/>
    <n v="4"/>
    <s v="Early Morning"/>
    <b v="0"/>
    <x v="0"/>
    <n v="2"/>
    <x v="1"/>
    <n v="0.16"/>
    <x v="0"/>
  </r>
  <r>
    <n v="330"/>
    <x v="14"/>
    <n v="1"/>
    <n v="0"/>
    <n v="1"/>
    <n v="5"/>
    <s v="Early Morning"/>
    <b v="0"/>
    <x v="0"/>
    <n v="1"/>
    <x v="0"/>
    <n v="0.16"/>
    <x v="0"/>
  </r>
  <r>
    <n v="331"/>
    <x v="14"/>
    <n v="1"/>
    <n v="0"/>
    <n v="1"/>
    <n v="6"/>
    <s v="Early Morning"/>
    <b v="0"/>
    <x v="0"/>
    <n v="1"/>
    <x v="0"/>
    <n v="0.14000000000000001"/>
    <x v="3"/>
  </r>
  <r>
    <n v="332"/>
    <x v="14"/>
    <n v="1"/>
    <n v="0"/>
    <n v="1"/>
    <n v="7"/>
    <s v="Morning"/>
    <b v="0"/>
    <x v="0"/>
    <n v="1"/>
    <x v="0"/>
    <n v="0.14000000000000001"/>
    <x v="3"/>
  </r>
  <r>
    <n v="333"/>
    <x v="14"/>
    <n v="1"/>
    <n v="0"/>
    <n v="1"/>
    <n v="8"/>
    <s v="Morning"/>
    <b v="0"/>
    <x v="0"/>
    <n v="1"/>
    <x v="0"/>
    <n v="0.14000000000000001"/>
    <x v="3"/>
  </r>
  <r>
    <n v="334"/>
    <x v="14"/>
    <n v="1"/>
    <n v="0"/>
    <n v="1"/>
    <n v="9"/>
    <s v="Morning"/>
    <b v="0"/>
    <x v="0"/>
    <n v="1"/>
    <x v="0"/>
    <n v="0.16"/>
    <x v="0"/>
  </r>
  <r>
    <n v="335"/>
    <x v="14"/>
    <n v="1"/>
    <n v="0"/>
    <n v="1"/>
    <n v="10"/>
    <s v="Morning"/>
    <b v="0"/>
    <x v="0"/>
    <n v="1"/>
    <x v="0"/>
    <n v="0.18"/>
    <x v="0"/>
  </r>
  <r>
    <n v="336"/>
    <x v="14"/>
    <n v="1"/>
    <n v="0"/>
    <n v="1"/>
    <n v="11"/>
    <s v="Afternoon"/>
    <b v="0"/>
    <x v="0"/>
    <n v="1"/>
    <x v="0"/>
    <n v="0.2"/>
    <x v="0"/>
  </r>
  <r>
    <n v="337"/>
    <x v="14"/>
    <n v="1"/>
    <n v="0"/>
    <n v="1"/>
    <n v="12"/>
    <s v="Afternoon"/>
    <b v="0"/>
    <x v="0"/>
    <n v="1"/>
    <x v="0"/>
    <n v="0.24"/>
    <x v="0"/>
  </r>
  <r>
    <n v="338"/>
    <x v="14"/>
    <n v="1"/>
    <n v="0"/>
    <n v="1"/>
    <n v="13"/>
    <s v="Afternoon"/>
    <b v="0"/>
    <x v="0"/>
    <n v="1"/>
    <x v="0"/>
    <n v="0.28000000000000003"/>
    <x v="1"/>
  </r>
  <r>
    <n v="339"/>
    <x v="14"/>
    <n v="1"/>
    <n v="0"/>
    <n v="1"/>
    <n v="14"/>
    <s v="Afternoon"/>
    <b v="0"/>
    <x v="0"/>
    <n v="1"/>
    <x v="0"/>
    <n v="0.3"/>
    <x v="1"/>
  </r>
  <r>
    <n v="340"/>
    <x v="14"/>
    <n v="1"/>
    <n v="0"/>
    <n v="1"/>
    <n v="15"/>
    <s v="Afternoon"/>
    <b v="0"/>
    <x v="0"/>
    <n v="2"/>
    <x v="1"/>
    <n v="0.32"/>
    <x v="1"/>
  </r>
  <r>
    <n v="341"/>
    <x v="14"/>
    <n v="1"/>
    <n v="0"/>
    <n v="1"/>
    <n v="16"/>
    <s v="Afternoon"/>
    <b v="0"/>
    <x v="0"/>
    <n v="2"/>
    <x v="1"/>
    <n v="0.34"/>
    <x v="2"/>
  </r>
  <r>
    <n v="342"/>
    <x v="14"/>
    <n v="1"/>
    <n v="0"/>
    <n v="1"/>
    <n v="17"/>
    <s v="Evening"/>
    <b v="0"/>
    <x v="0"/>
    <n v="2"/>
    <x v="1"/>
    <n v="0.32"/>
    <x v="1"/>
  </r>
  <r>
    <n v="343"/>
    <x v="14"/>
    <n v="1"/>
    <n v="0"/>
    <n v="1"/>
    <n v="18"/>
    <s v="Evening"/>
    <b v="0"/>
    <x v="0"/>
    <n v="2"/>
    <x v="1"/>
    <n v="0.3"/>
    <x v="1"/>
  </r>
  <r>
    <n v="344"/>
    <x v="14"/>
    <n v="1"/>
    <n v="0"/>
    <n v="1"/>
    <n v="19"/>
    <s v="Evening"/>
    <b v="0"/>
    <x v="0"/>
    <n v="2"/>
    <x v="1"/>
    <n v="0.32"/>
    <x v="1"/>
  </r>
  <r>
    <n v="345"/>
    <x v="14"/>
    <n v="1"/>
    <n v="0"/>
    <n v="1"/>
    <n v="20"/>
    <s v="Evening"/>
    <b v="0"/>
    <x v="0"/>
    <n v="2"/>
    <x v="1"/>
    <n v="0.32"/>
    <x v="1"/>
  </r>
  <r>
    <n v="346"/>
    <x v="14"/>
    <n v="1"/>
    <n v="0"/>
    <n v="1"/>
    <n v="21"/>
    <s v="Night"/>
    <b v="0"/>
    <x v="0"/>
    <n v="2"/>
    <x v="1"/>
    <n v="0.32"/>
    <x v="1"/>
  </r>
  <r>
    <n v="347"/>
    <x v="14"/>
    <n v="1"/>
    <n v="0"/>
    <n v="1"/>
    <n v="22"/>
    <s v="Night"/>
    <b v="0"/>
    <x v="0"/>
    <n v="2"/>
    <x v="1"/>
    <n v="0.3"/>
    <x v="1"/>
  </r>
  <r>
    <n v="348"/>
    <x v="14"/>
    <n v="1"/>
    <n v="0"/>
    <n v="1"/>
    <n v="23"/>
    <s v="Night"/>
    <b v="0"/>
    <x v="0"/>
    <n v="1"/>
    <x v="0"/>
    <n v="0.3"/>
    <x v="1"/>
  </r>
  <r>
    <n v="349"/>
    <x v="15"/>
    <n v="1"/>
    <n v="0"/>
    <n v="1"/>
    <n v="0"/>
    <s v="Night"/>
    <b v="0"/>
    <x v="1"/>
    <n v="1"/>
    <x v="0"/>
    <n v="0.26"/>
    <x v="1"/>
  </r>
  <r>
    <n v="350"/>
    <x v="15"/>
    <n v="1"/>
    <n v="0"/>
    <n v="1"/>
    <n v="1"/>
    <s v="Night"/>
    <b v="0"/>
    <x v="1"/>
    <n v="1"/>
    <x v="0"/>
    <n v="0.26"/>
    <x v="1"/>
  </r>
  <r>
    <n v="351"/>
    <x v="15"/>
    <n v="1"/>
    <n v="0"/>
    <n v="1"/>
    <n v="2"/>
    <s v="Night"/>
    <b v="0"/>
    <x v="1"/>
    <n v="1"/>
    <x v="0"/>
    <n v="0.26"/>
    <x v="1"/>
  </r>
  <r>
    <n v="352"/>
    <x v="15"/>
    <n v="1"/>
    <n v="0"/>
    <n v="1"/>
    <n v="3"/>
    <s v="Night"/>
    <b v="0"/>
    <x v="1"/>
    <n v="1"/>
    <x v="0"/>
    <n v="0.22"/>
    <x v="0"/>
  </r>
  <r>
    <n v="353"/>
    <x v="15"/>
    <n v="1"/>
    <n v="0"/>
    <n v="1"/>
    <n v="4"/>
    <s v="Early Morning"/>
    <b v="0"/>
    <x v="1"/>
    <n v="1"/>
    <x v="0"/>
    <n v="0.26"/>
    <x v="1"/>
  </r>
  <r>
    <n v="354"/>
    <x v="15"/>
    <n v="1"/>
    <n v="0"/>
    <n v="1"/>
    <n v="5"/>
    <s v="Early Morning"/>
    <b v="0"/>
    <x v="1"/>
    <n v="2"/>
    <x v="1"/>
    <n v="0.26"/>
    <x v="1"/>
  </r>
  <r>
    <n v="355"/>
    <x v="15"/>
    <n v="1"/>
    <n v="0"/>
    <n v="1"/>
    <n v="6"/>
    <s v="Early Morning"/>
    <b v="0"/>
    <x v="1"/>
    <n v="2"/>
    <x v="1"/>
    <n v="0.26"/>
    <x v="1"/>
  </r>
  <r>
    <n v="356"/>
    <x v="15"/>
    <n v="1"/>
    <n v="0"/>
    <n v="1"/>
    <n v="7"/>
    <s v="Morning"/>
    <b v="0"/>
    <x v="1"/>
    <n v="2"/>
    <x v="1"/>
    <n v="0.24"/>
    <x v="0"/>
  </r>
  <r>
    <n v="357"/>
    <x v="15"/>
    <n v="1"/>
    <n v="0"/>
    <n v="1"/>
    <n v="8"/>
    <s v="Morning"/>
    <b v="0"/>
    <x v="1"/>
    <n v="1"/>
    <x v="0"/>
    <n v="0.22"/>
    <x v="0"/>
  </r>
  <r>
    <n v="358"/>
    <x v="15"/>
    <n v="1"/>
    <n v="0"/>
    <n v="1"/>
    <n v="9"/>
    <s v="Morning"/>
    <b v="0"/>
    <x v="1"/>
    <n v="1"/>
    <x v="0"/>
    <n v="0.22"/>
    <x v="0"/>
  </r>
  <r>
    <n v="359"/>
    <x v="15"/>
    <n v="1"/>
    <n v="0"/>
    <n v="1"/>
    <n v="10"/>
    <s v="Morning"/>
    <b v="0"/>
    <x v="1"/>
    <n v="1"/>
    <x v="0"/>
    <n v="0.22"/>
    <x v="0"/>
  </r>
  <r>
    <n v="360"/>
    <x v="15"/>
    <n v="1"/>
    <n v="0"/>
    <n v="1"/>
    <n v="11"/>
    <s v="Afternoon"/>
    <b v="0"/>
    <x v="1"/>
    <n v="1"/>
    <x v="0"/>
    <n v="0.24"/>
    <x v="0"/>
  </r>
  <r>
    <n v="361"/>
    <x v="15"/>
    <n v="1"/>
    <n v="0"/>
    <n v="1"/>
    <n v="12"/>
    <s v="Afternoon"/>
    <b v="0"/>
    <x v="1"/>
    <n v="1"/>
    <x v="0"/>
    <n v="0.24"/>
    <x v="0"/>
  </r>
  <r>
    <n v="362"/>
    <x v="15"/>
    <n v="1"/>
    <n v="0"/>
    <n v="1"/>
    <n v="13"/>
    <s v="Afternoon"/>
    <b v="0"/>
    <x v="1"/>
    <n v="1"/>
    <x v="0"/>
    <n v="0.26"/>
    <x v="1"/>
  </r>
  <r>
    <n v="363"/>
    <x v="15"/>
    <n v="1"/>
    <n v="0"/>
    <n v="1"/>
    <n v="14"/>
    <s v="Afternoon"/>
    <b v="0"/>
    <x v="1"/>
    <n v="1"/>
    <x v="0"/>
    <n v="0.28000000000000003"/>
    <x v="1"/>
  </r>
  <r>
    <n v="364"/>
    <x v="15"/>
    <n v="1"/>
    <n v="0"/>
    <n v="1"/>
    <n v="15"/>
    <s v="Afternoon"/>
    <b v="0"/>
    <x v="1"/>
    <n v="1"/>
    <x v="0"/>
    <n v="0.26"/>
    <x v="1"/>
  </r>
  <r>
    <n v="365"/>
    <x v="15"/>
    <n v="1"/>
    <n v="0"/>
    <n v="1"/>
    <n v="16"/>
    <s v="Afternoon"/>
    <b v="0"/>
    <x v="1"/>
    <n v="1"/>
    <x v="0"/>
    <n v="0.24"/>
    <x v="0"/>
  </r>
  <r>
    <n v="366"/>
    <x v="15"/>
    <n v="1"/>
    <n v="0"/>
    <n v="1"/>
    <n v="17"/>
    <s v="Evening"/>
    <b v="0"/>
    <x v="1"/>
    <n v="1"/>
    <x v="0"/>
    <n v="0.22"/>
    <x v="0"/>
  </r>
  <r>
    <n v="367"/>
    <x v="15"/>
    <n v="1"/>
    <n v="0"/>
    <n v="1"/>
    <n v="18"/>
    <s v="Evening"/>
    <b v="0"/>
    <x v="1"/>
    <n v="1"/>
    <x v="0"/>
    <n v="0.2"/>
    <x v="0"/>
  </r>
  <r>
    <n v="368"/>
    <x v="15"/>
    <n v="1"/>
    <n v="0"/>
    <n v="1"/>
    <n v="19"/>
    <s v="Evening"/>
    <b v="0"/>
    <x v="1"/>
    <n v="1"/>
    <x v="0"/>
    <n v="0.18"/>
    <x v="0"/>
  </r>
  <r>
    <n v="369"/>
    <x v="15"/>
    <n v="1"/>
    <n v="0"/>
    <n v="1"/>
    <n v="20"/>
    <s v="Evening"/>
    <b v="0"/>
    <x v="1"/>
    <n v="1"/>
    <x v="0"/>
    <n v="0.18"/>
    <x v="0"/>
  </r>
  <r>
    <n v="370"/>
    <x v="15"/>
    <n v="1"/>
    <n v="0"/>
    <n v="1"/>
    <n v="21"/>
    <s v="Night"/>
    <b v="0"/>
    <x v="1"/>
    <n v="1"/>
    <x v="0"/>
    <n v="0.18"/>
    <x v="0"/>
  </r>
  <r>
    <n v="371"/>
    <x v="15"/>
    <n v="1"/>
    <n v="0"/>
    <n v="1"/>
    <n v="22"/>
    <s v="Night"/>
    <b v="0"/>
    <x v="1"/>
    <n v="2"/>
    <x v="1"/>
    <n v="0.2"/>
    <x v="0"/>
  </r>
  <r>
    <n v="372"/>
    <x v="15"/>
    <n v="1"/>
    <n v="0"/>
    <n v="1"/>
    <n v="23"/>
    <s v="Night"/>
    <b v="0"/>
    <x v="1"/>
    <n v="2"/>
    <x v="1"/>
    <n v="0.2"/>
    <x v="0"/>
  </r>
  <r>
    <n v="373"/>
    <x v="16"/>
    <n v="1"/>
    <n v="0"/>
    <n v="1"/>
    <n v="0"/>
    <s v="Night"/>
    <b v="1"/>
    <x v="2"/>
    <n v="2"/>
    <x v="1"/>
    <n v="0.2"/>
    <x v="0"/>
  </r>
  <r>
    <n v="374"/>
    <x v="16"/>
    <n v="1"/>
    <n v="0"/>
    <n v="1"/>
    <n v="1"/>
    <s v="Night"/>
    <b v="1"/>
    <x v="2"/>
    <n v="2"/>
    <x v="1"/>
    <n v="0.2"/>
    <x v="0"/>
  </r>
  <r>
    <n v="375"/>
    <x v="16"/>
    <n v="1"/>
    <n v="0"/>
    <n v="1"/>
    <n v="2"/>
    <s v="Night"/>
    <b v="1"/>
    <x v="2"/>
    <n v="2"/>
    <x v="1"/>
    <n v="0.18"/>
    <x v="0"/>
  </r>
  <r>
    <n v="376"/>
    <x v="16"/>
    <n v="1"/>
    <n v="0"/>
    <n v="1"/>
    <n v="3"/>
    <s v="Night"/>
    <b v="1"/>
    <x v="2"/>
    <n v="2"/>
    <x v="1"/>
    <n v="0.18"/>
    <x v="0"/>
  </r>
  <r>
    <n v="377"/>
    <x v="16"/>
    <n v="1"/>
    <n v="0"/>
    <n v="1"/>
    <n v="4"/>
    <s v="Early Morning"/>
    <b v="1"/>
    <x v="2"/>
    <n v="2"/>
    <x v="1"/>
    <n v="0.18"/>
    <x v="0"/>
  </r>
  <r>
    <n v="378"/>
    <x v="16"/>
    <n v="1"/>
    <n v="0"/>
    <n v="1"/>
    <n v="5"/>
    <s v="Early Morning"/>
    <b v="1"/>
    <x v="2"/>
    <n v="2"/>
    <x v="1"/>
    <n v="0.18"/>
    <x v="0"/>
  </r>
  <r>
    <n v="379"/>
    <x v="16"/>
    <n v="1"/>
    <n v="0"/>
    <n v="1"/>
    <n v="6"/>
    <s v="Early Morning"/>
    <b v="1"/>
    <x v="2"/>
    <n v="2"/>
    <x v="1"/>
    <n v="0.18"/>
    <x v="0"/>
  </r>
  <r>
    <n v="380"/>
    <x v="16"/>
    <n v="1"/>
    <n v="0"/>
    <n v="1"/>
    <n v="7"/>
    <s v="Morning"/>
    <b v="1"/>
    <x v="2"/>
    <n v="2"/>
    <x v="1"/>
    <n v="0.16"/>
    <x v="0"/>
  </r>
  <r>
    <n v="381"/>
    <x v="16"/>
    <n v="1"/>
    <n v="0"/>
    <n v="1"/>
    <n v="8"/>
    <s v="Morning"/>
    <b v="1"/>
    <x v="2"/>
    <n v="2"/>
    <x v="1"/>
    <n v="0.16"/>
    <x v="0"/>
  </r>
  <r>
    <n v="382"/>
    <x v="16"/>
    <n v="1"/>
    <n v="0"/>
    <n v="1"/>
    <n v="9"/>
    <s v="Morning"/>
    <b v="1"/>
    <x v="2"/>
    <n v="2"/>
    <x v="1"/>
    <n v="0.16"/>
    <x v="0"/>
  </r>
  <r>
    <n v="383"/>
    <x v="16"/>
    <n v="1"/>
    <n v="0"/>
    <n v="1"/>
    <n v="10"/>
    <s v="Morning"/>
    <b v="1"/>
    <x v="2"/>
    <n v="2"/>
    <x v="1"/>
    <n v="0.16"/>
    <x v="0"/>
  </r>
  <r>
    <n v="384"/>
    <x v="16"/>
    <n v="1"/>
    <n v="0"/>
    <n v="1"/>
    <n v="11"/>
    <s v="Afternoon"/>
    <b v="1"/>
    <x v="2"/>
    <n v="2"/>
    <x v="1"/>
    <n v="0.16"/>
    <x v="0"/>
  </r>
  <r>
    <n v="385"/>
    <x v="16"/>
    <n v="1"/>
    <n v="0"/>
    <n v="1"/>
    <n v="12"/>
    <s v="Afternoon"/>
    <b v="1"/>
    <x v="2"/>
    <n v="2"/>
    <x v="1"/>
    <n v="0.18"/>
    <x v="0"/>
  </r>
  <r>
    <n v="386"/>
    <x v="16"/>
    <n v="1"/>
    <n v="0"/>
    <n v="1"/>
    <n v="13"/>
    <s v="Afternoon"/>
    <b v="1"/>
    <x v="2"/>
    <n v="2"/>
    <x v="1"/>
    <n v="0.18"/>
    <x v="0"/>
  </r>
  <r>
    <n v="387"/>
    <x v="16"/>
    <n v="1"/>
    <n v="0"/>
    <n v="1"/>
    <n v="14"/>
    <s v="Afternoon"/>
    <b v="1"/>
    <x v="2"/>
    <n v="2"/>
    <x v="1"/>
    <n v="0.18"/>
    <x v="0"/>
  </r>
  <r>
    <n v="388"/>
    <x v="16"/>
    <n v="1"/>
    <n v="0"/>
    <n v="1"/>
    <n v="15"/>
    <s v="Afternoon"/>
    <b v="1"/>
    <x v="2"/>
    <n v="2"/>
    <x v="1"/>
    <n v="0.2"/>
    <x v="0"/>
  </r>
  <r>
    <n v="389"/>
    <x v="16"/>
    <n v="1"/>
    <n v="0"/>
    <n v="1"/>
    <n v="16"/>
    <s v="Afternoon"/>
    <b v="1"/>
    <x v="2"/>
    <n v="2"/>
    <x v="1"/>
    <n v="0.2"/>
    <x v="0"/>
  </r>
  <r>
    <n v="390"/>
    <x v="16"/>
    <n v="1"/>
    <n v="0"/>
    <n v="1"/>
    <n v="17"/>
    <s v="Evening"/>
    <b v="1"/>
    <x v="2"/>
    <n v="1"/>
    <x v="0"/>
    <n v="0.2"/>
    <x v="0"/>
  </r>
  <r>
    <n v="391"/>
    <x v="16"/>
    <n v="1"/>
    <n v="0"/>
    <n v="1"/>
    <n v="18"/>
    <s v="Evening"/>
    <b v="1"/>
    <x v="2"/>
    <n v="2"/>
    <x v="1"/>
    <n v="0.18"/>
    <x v="0"/>
  </r>
  <r>
    <n v="392"/>
    <x v="16"/>
    <n v="1"/>
    <n v="0"/>
    <n v="1"/>
    <n v="19"/>
    <s v="Evening"/>
    <b v="1"/>
    <x v="2"/>
    <n v="3"/>
    <x v="2"/>
    <n v="0.18"/>
    <x v="0"/>
  </r>
  <r>
    <n v="393"/>
    <x v="16"/>
    <n v="1"/>
    <n v="0"/>
    <n v="1"/>
    <n v="20"/>
    <s v="Evening"/>
    <b v="1"/>
    <x v="2"/>
    <n v="3"/>
    <x v="2"/>
    <n v="0.16"/>
    <x v="0"/>
  </r>
  <r>
    <n v="394"/>
    <x v="16"/>
    <n v="1"/>
    <n v="0"/>
    <n v="1"/>
    <n v="21"/>
    <s v="Night"/>
    <b v="1"/>
    <x v="2"/>
    <n v="3"/>
    <x v="2"/>
    <n v="0.16"/>
    <x v="0"/>
  </r>
  <r>
    <n v="395"/>
    <x v="16"/>
    <n v="1"/>
    <n v="0"/>
    <n v="1"/>
    <n v="22"/>
    <s v="Night"/>
    <b v="1"/>
    <x v="2"/>
    <n v="3"/>
    <x v="2"/>
    <n v="0.14000000000000001"/>
    <x v="3"/>
  </r>
  <r>
    <n v="396"/>
    <x v="16"/>
    <n v="1"/>
    <n v="0"/>
    <n v="1"/>
    <n v="23"/>
    <s v="Night"/>
    <b v="1"/>
    <x v="2"/>
    <n v="3"/>
    <x v="2"/>
    <n v="0.16"/>
    <x v="0"/>
  </r>
  <r>
    <n v="397"/>
    <x v="17"/>
    <n v="1"/>
    <n v="0"/>
    <n v="1"/>
    <n v="12"/>
    <s v="Afternoon"/>
    <b v="0"/>
    <x v="3"/>
    <n v="2"/>
    <x v="1"/>
    <n v="0.2"/>
    <x v="0"/>
  </r>
  <r>
    <n v="398"/>
    <x v="17"/>
    <n v="1"/>
    <n v="0"/>
    <n v="1"/>
    <n v="13"/>
    <s v="Afternoon"/>
    <b v="0"/>
    <x v="3"/>
    <n v="2"/>
    <x v="1"/>
    <n v="0.2"/>
    <x v="0"/>
  </r>
  <r>
    <n v="399"/>
    <x v="17"/>
    <n v="1"/>
    <n v="0"/>
    <n v="1"/>
    <n v="14"/>
    <s v="Afternoon"/>
    <b v="0"/>
    <x v="3"/>
    <n v="2"/>
    <x v="1"/>
    <n v="0.22"/>
    <x v="0"/>
  </r>
  <r>
    <n v="400"/>
    <x v="17"/>
    <n v="1"/>
    <n v="0"/>
    <n v="1"/>
    <n v="15"/>
    <s v="Afternoon"/>
    <b v="0"/>
    <x v="3"/>
    <n v="2"/>
    <x v="1"/>
    <n v="0.22"/>
    <x v="0"/>
  </r>
  <r>
    <n v="401"/>
    <x v="17"/>
    <n v="1"/>
    <n v="0"/>
    <n v="1"/>
    <n v="16"/>
    <s v="Afternoon"/>
    <b v="0"/>
    <x v="3"/>
    <n v="2"/>
    <x v="1"/>
    <n v="0.22"/>
    <x v="0"/>
  </r>
  <r>
    <n v="402"/>
    <x v="17"/>
    <n v="1"/>
    <n v="0"/>
    <n v="1"/>
    <n v="17"/>
    <s v="Evening"/>
    <b v="0"/>
    <x v="3"/>
    <n v="2"/>
    <x v="1"/>
    <n v="0.22"/>
    <x v="0"/>
  </r>
  <r>
    <n v="403"/>
    <x v="17"/>
    <n v="1"/>
    <n v="0"/>
    <n v="1"/>
    <n v="18"/>
    <s v="Evening"/>
    <b v="0"/>
    <x v="3"/>
    <n v="2"/>
    <x v="1"/>
    <n v="0.22"/>
    <x v="0"/>
  </r>
  <r>
    <n v="404"/>
    <x v="17"/>
    <n v="1"/>
    <n v="0"/>
    <n v="1"/>
    <n v="19"/>
    <s v="Evening"/>
    <b v="0"/>
    <x v="3"/>
    <n v="2"/>
    <x v="1"/>
    <n v="0.22"/>
    <x v="0"/>
  </r>
  <r>
    <n v="405"/>
    <x v="17"/>
    <n v="1"/>
    <n v="0"/>
    <n v="1"/>
    <n v="20"/>
    <s v="Evening"/>
    <b v="0"/>
    <x v="3"/>
    <n v="2"/>
    <x v="1"/>
    <n v="0.22"/>
    <x v="0"/>
  </r>
  <r>
    <n v="406"/>
    <x v="17"/>
    <n v="1"/>
    <n v="0"/>
    <n v="1"/>
    <n v="21"/>
    <s v="Night"/>
    <b v="0"/>
    <x v="3"/>
    <n v="2"/>
    <x v="1"/>
    <n v="0.22"/>
    <x v="0"/>
  </r>
  <r>
    <n v="407"/>
    <x v="17"/>
    <n v="1"/>
    <n v="0"/>
    <n v="1"/>
    <n v="22"/>
    <s v="Night"/>
    <b v="0"/>
    <x v="3"/>
    <n v="2"/>
    <x v="1"/>
    <n v="0.22"/>
    <x v="0"/>
  </r>
  <r>
    <n v="408"/>
    <x v="17"/>
    <n v="1"/>
    <n v="0"/>
    <n v="1"/>
    <n v="23"/>
    <s v="Night"/>
    <b v="0"/>
    <x v="3"/>
    <n v="2"/>
    <x v="1"/>
    <n v="0.22"/>
    <x v="0"/>
  </r>
  <r>
    <n v="409"/>
    <x v="18"/>
    <n v="1"/>
    <n v="0"/>
    <n v="1"/>
    <n v="0"/>
    <s v="Night"/>
    <b v="0"/>
    <x v="4"/>
    <n v="2"/>
    <x v="1"/>
    <n v="0.22"/>
    <x v="0"/>
  </r>
  <r>
    <n v="410"/>
    <x v="18"/>
    <n v="1"/>
    <n v="0"/>
    <n v="1"/>
    <n v="1"/>
    <s v="Night"/>
    <b v="0"/>
    <x v="4"/>
    <n v="3"/>
    <x v="2"/>
    <n v="0.22"/>
    <x v="0"/>
  </r>
  <r>
    <n v="411"/>
    <x v="18"/>
    <n v="1"/>
    <n v="0"/>
    <n v="1"/>
    <n v="2"/>
    <s v="Night"/>
    <b v="0"/>
    <x v="4"/>
    <n v="3"/>
    <x v="2"/>
    <n v="0.22"/>
    <x v="0"/>
  </r>
  <r>
    <n v="412"/>
    <x v="18"/>
    <n v="1"/>
    <n v="0"/>
    <n v="1"/>
    <n v="4"/>
    <s v="Early Morning"/>
    <b v="0"/>
    <x v="4"/>
    <n v="3"/>
    <x v="2"/>
    <n v="0.22"/>
    <x v="0"/>
  </r>
  <r>
    <n v="413"/>
    <x v="18"/>
    <n v="1"/>
    <n v="0"/>
    <n v="1"/>
    <n v="5"/>
    <s v="Early Morning"/>
    <b v="0"/>
    <x v="4"/>
    <n v="2"/>
    <x v="1"/>
    <n v="0.22"/>
    <x v="0"/>
  </r>
  <r>
    <n v="414"/>
    <x v="18"/>
    <n v="1"/>
    <n v="0"/>
    <n v="1"/>
    <n v="6"/>
    <s v="Early Morning"/>
    <b v="0"/>
    <x v="4"/>
    <n v="2"/>
    <x v="1"/>
    <n v="0.22"/>
    <x v="0"/>
  </r>
  <r>
    <n v="415"/>
    <x v="18"/>
    <n v="1"/>
    <n v="0"/>
    <n v="1"/>
    <n v="7"/>
    <s v="Morning"/>
    <b v="0"/>
    <x v="4"/>
    <n v="2"/>
    <x v="1"/>
    <n v="0.24"/>
    <x v="0"/>
  </r>
  <r>
    <n v="416"/>
    <x v="18"/>
    <n v="1"/>
    <n v="0"/>
    <n v="1"/>
    <n v="8"/>
    <s v="Morning"/>
    <b v="0"/>
    <x v="4"/>
    <n v="2"/>
    <x v="1"/>
    <n v="0.24"/>
    <x v="0"/>
  </r>
  <r>
    <n v="417"/>
    <x v="18"/>
    <n v="1"/>
    <n v="0"/>
    <n v="1"/>
    <n v="9"/>
    <s v="Morning"/>
    <b v="0"/>
    <x v="4"/>
    <n v="2"/>
    <x v="1"/>
    <n v="0.24"/>
    <x v="0"/>
  </r>
  <r>
    <n v="418"/>
    <x v="18"/>
    <n v="1"/>
    <n v="0"/>
    <n v="1"/>
    <n v="10"/>
    <s v="Morning"/>
    <b v="0"/>
    <x v="4"/>
    <n v="2"/>
    <x v="1"/>
    <n v="0.26"/>
    <x v="1"/>
  </r>
  <r>
    <n v="419"/>
    <x v="18"/>
    <n v="1"/>
    <n v="0"/>
    <n v="1"/>
    <n v="11"/>
    <s v="Afternoon"/>
    <b v="0"/>
    <x v="4"/>
    <n v="2"/>
    <x v="1"/>
    <n v="0.28000000000000003"/>
    <x v="1"/>
  </r>
  <r>
    <n v="420"/>
    <x v="18"/>
    <n v="1"/>
    <n v="0"/>
    <n v="1"/>
    <n v="12"/>
    <s v="Afternoon"/>
    <b v="0"/>
    <x v="4"/>
    <n v="2"/>
    <x v="1"/>
    <n v="0.3"/>
    <x v="1"/>
  </r>
  <r>
    <n v="421"/>
    <x v="18"/>
    <n v="1"/>
    <n v="0"/>
    <n v="1"/>
    <n v="13"/>
    <s v="Afternoon"/>
    <b v="0"/>
    <x v="4"/>
    <n v="1"/>
    <x v="0"/>
    <n v="0.4"/>
    <x v="2"/>
  </r>
  <r>
    <n v="422"/>
    <x v="18"/>
    <n v="1"/>
    <n v="0"/>
    <n v="1"/>
    <n v="14"/>
    <s v="Afternoon"/>
    <b v="0"/>
    <x v="4"/>
    <n v="1"/>
    <x v="0"/>
    <n v="0.4"/>
    <x v="2"/>
  </r>
  <r>
    <n v="423"/>
    <x v="18"/>
    <n v="1"/>
    <n v="0"/>
    <n v="1"/>
    <n v="15"/>
    <s v="Afternoon"/>
    <b v="0"/>
    <x v="4"/>
    <n v="1"/>
    <x v="0"/>
    <n v="0.4"/>
    <x v="2"/>
  </r>
  <r>
    <n v="424"/>
    <x v="18"/>
    <n v="1"/>
    <n v="0"/>
    <n v="1"/>
    <n v="16"/>
    <s v="Afternoon"/>
    <b v="0"/>
    <x v="4"/>
    <n v="1"/>
    <x v="0"/>
    <n v="0.38"/>
    <x v="2"/>
  </r>
  <r>
    <n v="425"/>
    <x v="18"/>
    <n v="1"/>
    <n v="0"/>
    <n v="1"/>
    <n v="17"/>
    <s v="Evening"/>
    <b v="0"/>
    <x v="4"/>
    <n v="1"/>
    <x v="0"/>
    <n v="0.36"/>
    <x v="2"/>
  </r>
  <r>
    <n v="426"/>
    <x v="18"/>
    <n v="1"/>
    <n v="0"/>
    <n v="1"/>
    <n v="18"/>
    <s v="Evening"/>
    <b v="0"/>
    <x v="4"/>
    <n v="1"/>
    <x v="0"/>
    <n v="0.34"/>
    <x v="2"/>
  </r>
  <r>
    <n v="427"/>
    <x v="18"/>
    <n v="1"/>
    <n v="0"/>
    <n v="1"/>
    <n v="19"/>
    <s v="Evening"/>
    <b v="0"/>
    <x v="4"/>
    <n v="1"/>
    <x v="0"/>
    <n v="0.32"/>
    <x v="1"/>
  </r>
  <r>
    <n v="428"/>
    <x v="18"/>
    <n v="1"/>
    <n v="0"/>
    <n v="1"/>
    <n v="20"/>
    <s v="Evening"/>
    <b v="0"/>
    <x v="4"/>
    <n v="1"/>
    <x v="0"/>
    <n v="0.32"/>
    <x v="1"/>
  </r>
  <r>
    <n v="429"/>
    <x v="18"/>
    <n v="1"/>
    <n v="0"/>
    <n v="1"/>
    <n v="21"/>
    <s v="Night"/>
    <b v="0"/>
    <x v="4"/>
    <n v="1"/>
    <x v="0"/>
    <n v="0.32"/>
    <x v="1"/>
  </r>
  <r>
    <n v="430"/>
    <x v="18"/>
    <n v="1"/>
    <n v="0"/>
    <n v="1"/>
    <n v="22"/>
    <s v="Night"/>
    <b v="0"/>
    <x v="4"/>
    <n v="1"/>
    <x v="0"/>
    <n v="0.3"/>
    <x v="1"/>
  </r>
  <r>
    <n v="431"/>
    <x v="18"/>
    <n v="1"/>
    <n v="0"/>
    <n v="1"/>
    <n v="23"/>
    <s v="Night"/>
    <b v="0"/>
    <x v="4"/>
    <n v="1"/>
    <x v="0"/>
    <n v="0.3"/>
    <x v="1"/>
  </r>
  <r>
    <n v="432"/>
    <x v="19"/>
    <n v="1"/>
    <n v="0"/>
    <n v="1"/>
    <n v="0"/>
    <s v="Night"/>
    <b v="0"/>
    <x v="5"/>
    <n v="1"/>
    <x v="0"/>
    <n v="0.26"/>
    <x v="1"/>
  </r>
  <r>
    <n v="433"/>
    <x v="19"/>
    <n v="1"/>
    <n v="0"/>
    <n v="1"/>
    <n v="1"/>
    <s v="Night"/>
    <b v="0"/>
    <x v="5"/>
    <n v="1"/>
    <x v="0"/>
    <n v="0.26"/>
    <x v="1"/>
  </r>
  <r>
    <n v="434"/>
    <x v="19"/>
    <n v="1"/>
    <n v="0"/>
    <n v="1"/>
    <n v="2"/>
    <s v="Night"/>
    <b v="0"/>
    <x v="5"/>
    <n v="1"/>
    <x v="0"/>
    <n v="0.26"/>
    <x v="1"/>
  </r>
  <r>
    <n v="435"/>
    <x v="19"/>
    <n v="1"/>
    <n v="0"/>
    <n v="1"/>
    <n v="3"/>
    <s v="Night"/>
    <b v="0"/>
    <x v="5"/>
    <n v="1"/>
    <x v="0"/>
    <n v="0.26"/>
    <x v="1"/>
  </r>
  <r>
    <n v="436"/>
    <x v="19"/>
    <n v="1"/>
    <n v="0"/>
    <n v="1"/>
    <n v="4"/>
    <s v="Early Morning"/>
    <b v="0"/>
    <x v="5"/>
    <n v="1"/>
    <x v="0"/>
    <n v="0.26"/>
    <x v="1"/>
  </r>
  <r>
    <n v="437"/>
    <x v="19"/>
    <n v="1"/>
    <n v="0"/>
    <n v="1"/>
    <n v="5"/>
    <s v="Early Morning"/>
    <b v="0"/>
    <x v="5"/>
    <n v="1"/>
    <x v="0"/>
    <n v="0.24"/>
    <x v="0"/>
  </r>
  <r>
    <n v="438"/>
    <x v="19"/>
    <n v="1"/>
    <n v="0"/>
    <n v="1"/>
    <n v="6"/>
    <s v="Early Morning"/>
    <b v="0"/>
    <x v="5"/>
    <n v="1"/>
    <x v="0"/>
    <n v="0.22"/>
    <x v="0"/>
  </r>
  <r>
    <n v="439"/>
    <x v="19"/>
    <n v="1"/>
    <n v="0"/>
    <n v="1"/>
    <n v="7"/>
    <s v="Morning"/>
    <b v="0"/>
    <x v="5"/>
    <n v="1"/>
    <x v="0"/>
    <n v="0.22"/>
    <x v="0"/>
  </r>
  <r>
    <n v="440"/>
    <x v="19"/>
    <n v="1"/>
    <n v="0"/>
    <n v="1"/>
    <n v="8"/>
    <s v="Morning"/>
    <b v="0"/>
    <x v="5"/>
    <n v="1"/>
    <x v="0"/>
    <n v="0.22"/>
    <x v="0"/>
  </r>
  <r>
    <n v="441"/>
    <x v="19"/>
    <n v="1"/>
    <n v="0"/>
    <n v="1"/>
    <n v="9"/>
    <s v="Morning"/>
    <b v="0"/>
    <x v="5"/>
    <n v="2"/>
    <x v="1"/>
    <n v="0.24"/>
    <x v="0"/>
  </r>
  <r>
    <n v="442"/>
    <x v="19"/>
    <n v="1"/>
    <n v="0"/>
    <n v="1"/>
    <n v="10"/>
    <s v="Morning"/>
    <b v="0"/>
    <x v="5"/>
    <n v="1"/>
    <x v="0"/>
    <n v="0.26"/>
    <x v="1"/>
  </r>
  <r>
    <n v="443"/>
    <x v="19"/>
    <n v="1"/>
    <n v="0"/>
    <n v="1"/>
    <n v="11"/>
    <s v="Afternoon"/>
    <b v="0"/>
    <x v="5"/>
    <n v="2"/>
    <x v="1"/>
    <n v="0.28000000000000003"/>
    <x v="1"/>
  </r>
  <r>
    <n v="444"/>
    <x v="19"/>
    <n v="1"/>
    <n v="0"/>
    <n v="1"/>
    <n v="12"/>
    <s v="Afternoon"/>
    <b v="0"/>
    <x v="5"/>
    <n v="2"/>
    <x v="1"/>
    <n v="0.3"/>
    <x v="1"/>
  </r>
  <r>
    <n v="445"/>
    <x v="19"/>
    <n v="1"/>
    <n v="0"/>
    <n v="1"/>
    <n v="13"/>
    <s v="Afternoon"/>
    <b v="0"/>
    <x v="5"/>
    <n v="2"/>
    <x v="1"/>
    <n v="0.28000000000000003"/>
    <x v="1"/>
  </r>
  <r>
    <n v="446"/>
    <x v="19"/>
    <n v="1"/>
    <n v="0"/>
    <n v="1"/>
    <n v="14"/>
    <s v="Afternoon"/>
    <b v="0"/>
    <x v="5"/>
    <n v="2"/>
    <x v="1"/>
    <n v="0.3"/>
    <x v="1"/>
  </r>
  <r>
    <n v="447"/>
    <x v="19"/>
    <n v="1"/>
    <n v="0"/>
    <n v="1"/>
    <n v="15"/>
    <s v="Afternoon"/>
    <b v="0"/>
    <x v="5"/>
    <n v="2"/>
    <x v="1"/>
    <n v="0.32"/>
    <x v="1"/>
  </r>
  <r>
    <n v="448"/>
    <x v="19"/>
    <n v="1"/>
    <n v="0"/>
    <n v="1"/>
    <n v="16"/>
    <s v="Afternoon"/>
    <b v="0"/>
    <x v="5"/>
    <n v="2"/>
    <x v="1"/>
    <n v="0.3"/>
    <x v="1"/>
  </r>
  <r>
    <n v="449"/>
    <x v="19"/>
    <n v="1"/>
    <n v="0"/>
    <n v="1"/>
    <n v="17"/>
    <s v="Evening"/>
    <b v="0"/>
    <x v="5"/>
    <n v="2"/>
    <x v="1"/>
    <n v="0.3"/>
    <x v="1"/>
  </r>
  <r>
    <n v="450"/>
    <x v="19"/>
    <n v="1"/>
    <n v="0"/>
    <n v="1"/>
    <n v="18"/>
    <s v="Evening"/>
    <b v="0"/>
    <x v="5"/>
    <n v="2"/>
    <x v="1"/>
    <n v="0.26"/>
    <x v="1"/>
  </r>
  <r>
    <n v="451"/>
    <x v="19"/>
    <n v="1"/>
    <n v="0"/>
    <n v="1"/>
    <n v="19"/>
    <s v="Evening"/>
    <b v="0"/>
    <x v="5"/>
    <n v="1"/>
    <x v="0"/>
    <n v="0.26"/>
    <x v="1"/>
  </r>
  <r>
    <n v="452"/>
    <x v="19"/>
    <n v="1"/>
    <n v="0"/>
    <n v="1"/>
    <n v="20"/>
    <s v="Evening"/>
    <b v="0"/>
    <x v="5"/>
    <n v="2"/>
    <x v="1"/>
    <n v="0.26"/>
    <x v="1"/>
  </r>
  <r>
    <n v="453"/>
    <x v="19"/>
    <n v="1"/>
    <n v="0"/>
    <n v="1"/>
    <n v="21"/>
    <s v="Night"/>
    <b v="0"/>
    <x v="5"/>
    <n v="2"/>
    <x v="1"/>
    <n v="0.24"/>
    <x v="0"/>
  </r>
  <r>
    <n v="454"/>
    <x v="19"/>
    <n v="1"/>
    <n v="0"/>
    <n v="1"/>
    <n v="22"/>
    <s v="Night"/>
    <b v="0"/>
    <x v="5"/>
    <n v="2"/>
    <x v="1"/>
    <n v="0.24"/>
    <x v="0"/>
  </r>
  <r>
    <n v="455"/>
    <x v="19"/>
    <n v="1"/>
    <n v="0"/>
    <n v="1"/>
    <n v="23"/>
    <s v="Night"/>
    <b v="0"/>
    <x v="5"/>
    <n v="2"/>
    <x v="1"/>
    <n v="0.24"/>
    <x v="0"/>
  </r>
  <r>
    <n v="456"/>
    <x v="20"/>
    <n v="1"/>
    <n v="0"/>
    <n v="1"/>
    <n v="0"/>
    <s v="Night"/>
    <b v="0"/>
    <x v="6"/>
    <n v="2"/>
    <x v="1"/>
    <n v="0.24"/>
    <x v="0"/>
  </r>
  <r>
    <n v="457"/>
    <x v="20"/>
    <n v="1"/>
    <n v="0"/>
    <n v="1"/>
    <n v="1"/>
    <s v="Night"/>
    <b v="0"/>
    <x v="6"/>
    <n v="2"/>
    <x v="1"/>
    <n v="0.24"/>
    <x v="0"/>
  </r>
  <r>
    <n v="458"/>
    <x v="20"/>
    <n v="1"/>
    <n v="0"/>
    <n v="1"/>
    <n v="2"/>
    <s v="Night"/>
    <b v="0"/>
    <x v="6"/>
    <n v="3"/>
    <x v="2"/>
    <n v="0.24"/>
    <x v="0"/>
  </r>
  <r>
    <n v="459"/>
    <x v="20"/>
    <n v="1"/>
    <n v="0"/>
    <n v="1"/>
    <n v="3"/>
    <s v="Night"/>
    <b v="0"/>
    <x v="6"/>
    <n v="3"/>
    <x v="2"/>
    <n v="0.22"/>
    <x v="0"/>
  </r>
  <r>
    <n v="460"/>
    <x v="20"/>
    <n v="1"/>
    <n v="0"/>
    <n v="1"/>
    <n v="4"/>
    <s v="Early Morning"/>
    <b v="0"/>
    <x v="6"/>
    <n v="2"/>
    <x v="1"/>
    <n v="0.22"/>
    <x v="0"/>
  </r>
  <r>
    <n v="461"/>
    <x v="20"/>
    <n v="1"/>
    <n v="0"/>
    <n v="1"/>
    <n v="5"/>
    <s v="Early Morning"/>
    <b v="0"/>
    <x v="6"/>
    <n v="1"/>
    <x v="0"/>
    <n v="0.24"/>
    <x v="0"/>
  </r>
  <r>
    <n v="462"/>
    <x v="20"/>
    <n v="1"/>
    <n v="0"/>
    <n v="1"/>
    <n v="6"/>
    <s v="Early Morning"/>
    <b v="0"/>
    <x v="6"/>
    <n v="1"/>
    <x v="0"/>
    <n v="0.22"/>
    <x v="0"/>
  </r>
  <r>
    <n v="463"/>
    <x v="20"/>
    <n v="1"/>
    <n v="0"/>
    <n v="1"/>
    <n v="7"/>
    <s v="Morning"/>
    <b v="0"/>
    <x v="6"/>
    <n v="1"/>
    <x v="0"/>
    <n v="0.2"/>
    <x v="0"/>
  </r>
  <r>
    <n v="464"/>
    <x v="20"/>
    <n v="1"/>
    <n v="0"/>
    <n v="1"/>
    <n v="8"/>
    <s v="Morning"/>
    <b v="0"/>
    <x v="6"/>
    <n v="1"/>
    <x v="0"/>
    <n v="0.2"/>
    <x v="0"/>
  </r>
  <r>
    <n v="465"/>
    <x v="20"/>
    <n v="1"/>
    <n v="0"/>
    <n v="1"/>
    <n v="9"/>
    <s v="Morning"/>
    <b v="0"/>
    <x v="6"/>
    <n v="1"/>
    <x v="0"/>
    <n v="0.2"/>
    <x v="0"/>
  </r>
  <r>
    <n v="466"/>
    <x v="20"/>
    <n v="1"/>
    <n v="0"/>
    <n v="1"/>
    <n v="10"/>
    <s v="Morning"/>
    <b v="0"/>
    <x v="6"/>
    <n v="1"/>
    <x v="0"/>
    <n v="0.2"/>
    <x v="0"/>
  </r>
  <r>
    <n v="467"/>
    <x v="20"/>
    <n v="1"/>
    <n v="0"/>
    <n v="1"/>
    <n v="11"/>
    <s v="Afternoon"/>
    <b v="0"/>
    <x v="6"/>
    <n v="1"/>
    <x v="0"/>
    <n v="0.22"/>
    <x v="0"/>
  </r>
  <r>
    <n v="468"/>
    <x v="20"/>
    <n v="1"/>
    <n v="0"/>
    <n v="1"/>
    <n v="12"/>
    <s v="Afternoon"/>
    <b v="0"/>
    <x v="6"/>
    <n v="1"/>
    <x v="0"/>
    <n v="0.22"/>
    <x v="0"/>
  </r>
  <r>
    <n v="469"/>
    <x v="20"/>
    <n v="1"/>
    <n v="0"/>
    <n v="1"/>
    <n v="13"/>
    <s v="Afternoon"/>
    <b v="0"/>
    <x v="6"/>
    <n v="1"/>
    <x v="0"/>
    <n v="0.2"/>
    <x v="0"/>
  </r>
  <r>
    <n v="470"/>
    <x v="20"/>
    <n v="1"/>
    <n v="0"/>
    <n v="1"/>
    <n v="14"/>
    <s v="Afternoon"/>
    <b v="0"/>
    <x v="6"/>
    <n v="1"/>
    <x v="0"/>
    <n v="0.2"/>
    <x v="0"/>
  </r>
  <r>
    <n v="471"/>
    <x v="20"/>
    <n v="1"/>
    <n v="0"/>
    <n v="1"/>
    <n v="15"/>
    <s v="Afternoon"/>
    <b v="0"/>
    <x v="6"/>
    <n v="1"/>
    <x v="0"/>
    <n v="0.16"/>
    <x v="0"/>
  </r>
  <r>
    <n v="472"/>
    <x v="20"/>
    <n v="1"/>
    <n v="0"/>
    <n v="1"/>
    <n v="16"/>
    <s v="Afternoon"/>
    <b v="0"/>
    <x v="6"/>
    <n v="1"/>
    <x v="0"/>
    <n v="0.16"/>
    <x v="0"/>
  </r>
  <r>
    <n v="473"/>
    <x v="20"/>
    <n v="1"/>
    <n v="0"/>
    <n v="1"/>
    <n v="17"/>
    <s v="Evening"/>
    <b v="0"/>
    <x v="6"/>
    <n v="1"/>
    <x v="0"/>
    <n v="0.14000000000000001"/>
    <x v="3"/>
  </r>
  <r>
    <n v="474"/>
    <x v="20"/>
    <n v="1"/>
    <n v="0"/>
    <n v="1"/>
    <n v="18"/>
    <s v="Evening"/>
    <b v="0"/>
    <x v="6"/>
    <n v="1"/>
    <x v="0"/>
    <n v="0.12"/>
    <x v="3"/>
  </r>
  <r>
    <n v="475"/>
    <x v="20"/>
    <n v="1"/>
    <n v="0"/>
    <n v="1"/>
    <n v="19"/>
    <s v="Evening"/>
    <b v="0"/>
    <x v="6"/>
    <n v="1"/>
    <x v="0"/>
    <n v="0.12"/>
    <x v="3"/>
  </r>
  <r>
    <n v="476"/>
    <x v="20"/>
    <n v="1"/>
    <n v="0"/>
    <n v="1"/>
    <n v="20"/>
    <s v="Evening"/>
    <b v="0"/>
    <x v="6"/>
    <n v="1"/>
    <x v="0"/>
    <n v="0.1"/>
    <x v="3"/>
  </r>
  <r>
    <n v="477"/>
    <x v="20"/>
    <n v="1"/>
    <n v="0"/>
    <n v="1"/>
    <n v="21"/>
    <s v="Night"/>
    <b v="0"/>
    <x v="6"/>
    <n v="1"/>
    <x v="0"/>
    <n v="0.08"/>
    <x v="3"/>
  </r>
  <r>
    <n v="478"/>
    <x v="20"/>
    <n v="1"/>
    <n v="0"/>
    <n v="1"/>
    <n v="22"/>
    <s v="Night"/>
    <b v="0"/>
    <x v="6"/>
    <n v="1"/>
    <x v="0"/>
    <n v="0.06"/>
    <x v="3"/>
  </r>
  <r>
    <n v="479"/>
    <x v="20"/>
    <n v="1"/>
    <n v="0"/>
    <n v="1"/>
    <n v="23"/>
    <s v="Night"/>
    <b v="0"/>
    <x v="6"/>
    <n v="1"/>
    <x v="0"/>
    <n v="0.06"/>
    <x v="3"/>
  </r>
  <r>
    <n v="480"/>
    <x v="21"/>
    <n v="1"/>
    <n v="0"/>
    <n v="1"/>
    <n v="0"/>
    <s v="Night"/>
    <b v="0"/>
    <x v="0"/>
    <n v="1"/>
    <x v="0"/>
    <n v="0.04"/>
    <x v="3"/>
  </r>
  <r>
    <n v="481"/>
    <x v="21"/>
    <n v="1"/>
    <n v="0"/>
    <n v="1"/>
    <n v="1"/>
    <s v="Night"/>
    <b v="0"/>
    <x v="0"/>
    <n v="2"/>
    <x v="1"/>
    <n v="0.04"/>
    <x v="3"/>
  </r>
  <r>
    <n v="482"/>
    <x v="21"/>
    <n v="1"/>
    <n v="0"/>
    <n v="1"/>
    <n v="2"/>
    <s v="Night"/>
    <b v="0"/>
    <x v="0"/>
    <n v="2"/>
    <x v="1"/>
    <n v="0.04"/>
    <x v="3"/>
  </r>
  <r>
    <n v="483"/>
    <x v="21"/>
    <n v="1"/>
    <n v="0"/>
    <n v="1"/>
    <n v="3"/>
    <s v="Night"/>
    <b v="0"/>
    <x v="0"/>
    <n v="2"/>
    <x v="1"/>
    <n v="0.04"/>
    <x v="3"/>
  </r>
  <r>
    <n v="484"/>
    <x v="21"/>
    <n v="1"/>
    <n v="0"/>
    <n v="1"/>
    <n v="4"/>
    <s v="Early Morning"/>
    <b v="0"/>
    <x v="0"/>
    <n v="2"/>
    <x v="1"/>
    <n v="0.02"/>
    <x v="3"/>
  </r>
  <r>
    <n v="485"/>
    <x v="21"/>
    <n v="1"/>
    <n v="0"/>
    <n v="1"/>
    <n v="6"/>
    <s v="Early Morning"/>
    <b v="0"/>
    <x v="0"/>
    <n v="2"/>
    <x v="1"/>
    <n v="0.02"/>
    <x v="3"/>
  </r>
  <r>
    <n v="486"/>
    <x v="21"/>
    <n v="1"/>
    <n v="0"/>
    <n v="1"/>
    <n v="7"/>
    <s v="Morning"/>
    <b v="0"/>
    <x v="0"/>
    <n v="1"/>
    <x v="0"/>
    <n v="0.02"/>
    <x v="3"/>
  </r>
  <r>
    <n v="487"/>
    <x v="21"/>
    <n v="1"/>
    <n v="0"/>
    <n v="1"/>
    <n v="8"/>
    <s v="Morning"/>
    <b v="0"/>
    <x v="0"/>
    <n v="1"/>
    <x v="0"/>
    <n v="0.02"/>
    <x v="3"/>
  </r>
  <r>
    <n v="488"/>
    <x v="21"/>
    <n v="1"/>
    <n v="0"/>
    <n v="1"/>
    <n v="9"/>
    <s v="Morning"/>
    <b v="0"/>
    <x v="0"/>
    <n v="1"/>
    <x v="0"/>
    <n v="0.04"/>
    <x v="3"/>
  </r>
  <r>
    <n v="489"/>
    <x v="21"/>
    <n v="1"/>
    <n v="0"/>
    <n v="1"/>
    <n v="10"/>
    <s v="Morning"/>
    <b v="0"/>
    <x v="0"/>
    <n v="2"/>
    <x v="1"/>
    <n v="0.04"/>
    <x v="3"/>
  </r>
  <r>
    <n v="490"/>
    <x v="21"/>
    <n v="1"/>
    <n v="0"/>
    <n v="1"/>
    <n v="11"/>
    <s v="Afternoon"/>
    <b v="0"/>
    <x v="0"/>
    <n v="2"/>
    <x v="1"/>
    <n v="0.06"/>
    <x v="3"/>
  </r>
  <r>
    <n v="491"/>
    <x v="21"/>
    <n v="1"/>
    <n v="0"/>
    <n v="1"/>
    <n v="12"/>
    <s v="Afternoon"/>
    <b v="0"/>
    <x v="0"/>
    <n v="2"/>
    <x v="1"/>
    <n v="0.06"/>
    <x v="3"/>
  </r>
  <r>
    <n v="492"/>
    <x v="21"/>
    <n v="1"/>
    <n v="0"/>
    <n v="1"/>
    <n v="13"/>
    <s v="Afternoon"/>
    <b v="0"/>
    <x v="0"/>
    <n v="1"/>
    <x v="0"/>
    <n v="0.08"/>
    <x v="3"/>
  </r>
  <r>
    <n v="493"/>
    <x v="21"/>
    <n v="1"/>
    <n v="0"/>
    <n v="1"/>
    <n v="14"/>
    <s v="Afternoon"/>
    <b v="0"/>
    <x v="0"/>
    <n v="1"/>
    <x v="0"/>
    <n v="0.1"/>
    <x v="3"/>
  </r>
  <r>
    <n v="494"/>
    <x v="21"/>
    <n v="1"/>
    <n v="0"/>
    <n v="1"/>
    <n v="15"/>
    <s v="Afternoon"/>
    <b v="0"/>
    <x v="0"/>
    <n v="1"/>
    <x v="0"/>
    <n v="0.12"/>
    <x v="3"/>
  </r>
  <r>
    <n v="495"/>
    <x v="21"/>
    <n v="1"/>
    <n v="0"/>
    <n v="1"/>
    <n v="16"/>
    <s v="Afternoon"/>
    <b v="0"/>
    <x v="0"/>
    <n v="1"/>
    <x v="0"/>
    <n v="0.12"/>
    <x v="3"/>
  </r>
  <r>
    <n v="496"/>
    <x v="21"/>
    <n v="1"/>
    <n v="0"/>
    <n v="1"/>
    <n v="17"/>
    <s v="Evening"/>
    <b v="0"/>
    <x v="0"/>
    <n v="1"/>
    <x v="0"/>
    <n v="0.12"/>
    <x v="3"/>
  </r>
  <r>
    <n v="497"/>
    <x v="21"/>
    <n v="1"/>
    <n v="0"/>
    <n v="1"/>
    <n v="18"/>
    <s v="Evening"/>
    <b v="0"/>
    <x v="0"/>
    <n v="1"/>
    <x v="0"/>
    <n v="0.08"/>
    <x v="3"/>
  </r>
  <r>
    <n v="498"/>
    <x v="21"/>
    <n v="1"/>
    <n v="0"/>
    <n v="1"/>
    <n v="19"/>
    <s v="Evening"/>
    <b v="0"/>
    <x v="0"/>
    <n v="1"/>
    <x v="0"/>
    <n v="0.08"/>
    <x v="3"/>
  </r>
  <r>
    <n v="499"/>
    <x v="21"/>
    <n v="1"/>
    <n v="0"/>
    <n v="1"/>
    <n v="20"/>
    <s v="Evening"/>
    <b v="0"/>
    <x v="0"/>
    <n v="1"/>
    <x v="0"/>
    <n v="0.06"/>
    <x v="3"/>
  </r>
  <r>
    <n v="500"/>
    <x v="21"/>
    <n v="1"/>
    <n v="0"/>
    <n v="1"/>
    <n v="21"/>
    <s v="Night"/>
    <b v="0"/>
    <x v="0"/>
    <n v="1"/>
    <x v="0"/>
    <n v="0.06"/>
    <x v="3"/>
  </r>
  <r>
    <n v="501"/>
    <x v="21"/>
    <n v="1"/>
    <n v="0"/>
    <n v="1"/>
    <n v="22"/>
    <s v="Night"/>
    <b v="0"/>
    <x v="0"/>
    <n v="1"/>
    <x v="0"/>
    <n v="0.06"/>
    <x v="3"/>
  </r>
  <r>
    <n v="502"/>
    <x v="21"/>
    <n v="1"/>
    <n v="0"/>
    <n v="1"/>
    <n v="23"/>
    <s v="Night"/>
    <b v="0"/>
    <x v="0"/>
    <n v="1"/>
    <x v="0"/>
    <n v="0.04"/>
    <x v="3"/>
  </r>
  <r>
    <n v="503"/>
    <x v="22"/>
    <n v="1"/>
    <n v="0"/>
    <n v="1"/>
    <n v="0"/>
    <s v="Night"/>
    <b v="0"/>
    <x v="1"/>
    <n v="1"/>
    <x v="0"/>
    <n v="0.04"/>
    <x v="3"/>
  </r>
  <r>
    <n v="504"/>
    <x v="22"/>
    <n v="1"/>
    <n v="0"/>
    <n v="1"/>
    <n v="1"/>
    <s v="Night"/>
    <b v="0"/>
    <x v="1"/>
    <n v="1"/>
    <x v="0"/>
    <n v="0.04"/>
    <x v="3"/>
  </r>
  <r>
    <n v="505"/>
    <x v="22"/>
    <n v="1"/>
    <n v="0"/>
    <n v="1"/>
    <n v="2"/>
    <s v="Night"/>
    <b v="0"/>
    <x v="1"/>
    <n v="1"/>
    <x v="0"/>
    <n v="0.02"/>
    <x v="3"/>
  </r>
  <r>
    <n v="506"/>
    <x v="22"/>
    <n v="1"/>
    <n v="0"/>
    <n v="1"/>
    <n v="3"/>
    <s v="Night"/>
    <b v="0"/>
    <x v="1"/>
    <n v="1"/>
    <x v="0"/>
    <n v="0.02"/>
    <x v="3"/>
  </r>
  <r>
    <n v="507"/>
    <x v="22"/>
    <n v="1"/>
    <n v="0"/>
    <n v="1"/>
    <n v="5"/>
    <s v="Early Morning"/>
    <b v="0"/>
    <x v="1"/>
    <n v="2"/>
    <x v="1"/>
    <n v="0.04"/>
    <x v="3"/>
  </r>
  <r>
    <n v="508"/>
    <x v="22"/>
    <n v="1"/>
    <n v="0"/>
    <n v="1"/>
    <n v="6"/>
    <s v="Early Morning"/>
    <b v="0"/>
    <x v="1"/>
    <n v="2"/>
    <x v="1"/>
    <n v="0.04"/>
    <x v="3"/>
  </r>
  <r>
    <n v="509"/>
    <x v="22"/>
    <n v="1"/>
    <n v="0"/>
    <n v="1"/>
    <n v="7"/>
    <s v="Morning"/>
    <b v="0"/>
    <x v="1"/>
    <n v="1"/>
    <x v="0"/>
    <n v="0.08"/>
    <x v="3"/>
  </r>
  <r>
    <n v="510"/>
    <x v="22"/>
    <n v="1"/>
    <n v="0"/>
    <n v="1"/>
    <n v="8"/>
    <s v="Morning"/>
    <b v="0"/>
    <x v="1"/>
    <n v="1"/>
    <x v="0"/>
    <n v="0.06"/>
    <x v="3"/>
  </r>
  <r>
    <n v="511"/>
    <x v="22"/>
    <n v="1"/>
    <n v="0"/>
    <n v="1"/>
    <n v="9"/>
    <s v="Morning"/>
    <b v="0"/>
    <x v="1"/>
    <n v="1"/>
    <x v="0"/>
    <n v="0.1"/>
    <x v="3"/>
  </r>
  <r>
    <n v="512"/>
    <x v="22"/>
    <n v="1"/>
    <n v="0"/>
    <n v="1"/>
    <n v="10"/>
    <s v="Morning"/>
    <b v="0"/>
    <x v="1"/>
    <n v="1"/>
    <x v="0"/>
    <n v="0.14000000000000001"/>
    <x v="3"/>
  </r>
  <r>
    <n v="513"/>
    <x v="22"/>
    <n v="1"/>
    <n v="0"/>
    <n v="1"/>
    <n v="11"/>
    <s v="Afternoon"/>
    <b v="0"/>
    <x v="1"/>
    <n v="1"/>
    <x v="0"/>
    <n v="0.14000000000000001"/>
    <x v="3"/>
  </r>
  <r>
    <n v="514"/>
    <x v="22"/>
    <n v="1"/>
    <n v="0"/>
    <n v="1"/>
    <n v="12"/>
    <s v="Afternoon"/>
    <b v="0"/>
    <x v="1"/>
    <n v="1"/>
    <x v="0"/>
    <n v="0.16"/>
    <x v="0"/>
  </r>
  <r>
    <n v="515"/>
    <x v="22"/>
    <n v="1"/>
    <n v="0"/>
    <n v="1"/>
    <n v="13"/>
    <s v="Afternoon"/>
    <b v="0"/>
    <x v="1"/>
    <n v="1"/>
    <x v="0"/>
    <n v="0.14000000000000001"/>
    <x v="3"/>
  </r>
  <r>
    <n v="516"/>
    <x v="22"/>
    <n v="1"/>
    <n v="0"/>
    <n v="1"/>
    <n v="14"/>
    <s v="Afternoon"/>
    <b v="0"/>
    <x v="1"/>
    <n v="1"/>
    <x v="0"/>
    <n v="0.16"/>
    <x v="0"/>
  </r>
  <r>
    <n v="517"/>
    <x v="22"/>
    <n v="1"/>
    <n v="0"/>
    <n v="1"/>
    <n v="15"/>
    <s v="Afternoon"/>
    <b v="0"/>
    <x v="1"/>
    <n v="1"/>
    <x v="0"/>
    <n v="0.16"/>
    <x v="0"/>
  </r>
  <r>
    <n v="518"/>
    <x v="22"/>
    <n v="1"/>
    <n v="0"/>
    <n v="1"/>
    <n v="16"/>
    <s v="Afternoon"/>
    <b v="0"/>
    <x v="1"/>
    <n v="1"/>
    <x v="0"/>
    <n v="0.16"/>
    <x v="0"/>
  </r>
  <r>
    <n v="519"/>
    <x v="22"/>
    <n v="1"/>
    <n v="0"/>
    <n v="1"/>
    <n v="17"/>
    <s v="Evening"/>
    <b v="0"/>
    <x v="1"/>
    <n v="1"/>
    <x v="0"/>
    <n v="0.14000000000000001"/>
    <x v="3"/>
  </r>
  <r>
    <n v="520"/>
    <x v="22"/>
    <n v="1"/>
    <n v="0"/>
    <n v="1"/>
    <n v="18"/>
    <s v="Evening"/>
    <b v="0"/>
    <x v="1"/>
    <n v="1"/>
    <x v="0"/>
    <n v="0.12"/>
    <x v="3"/>
  </r>
  <r>
    <n v="521"/>
    <x v="22"/>
    <n v="1"/>
    <n v="0"/>
    <n v="1"/>
    <n v="19"/>
    <s v="Evening"/>
    <b v="0"/>
    <x v="1"/>
    <n v="1"/>
    <x v="0"/>
    <n v="0.12"/>
    <x v="3"/>
  </r>
  <r>
    <n v="522"/>
    <x v="22"/>
    <n v="1"/>
    <n v="0"/>
    <n v="1"/>
    <n v="20"/>
    <s v="Evening"/>
    <b v="0"/>
    <x v="1"/>
    <n v="1"/>
    <x v="0"/>
    <n v="0.1"/>
    <x v="3"/>
  </r>
  <r>
    <n v="523"/>
    <x v="22"/>
    <n v="1"/>
    <n v="0"/>
    <n v="1"/>
    <n v="21"/>
    <s v="Night"/>
    <b v="0"/>
    <x v="1"/>
    <n v="1"/>
    <x v="0"/>
    <n v="0.1"/>
    <x v="3"/>
  </r>
  <r>
    <n v="524"/>
    <x v="22"/>
    <n v="1"/>
    <n v="0"/>
    <n v="1"/>
    <n v="22"/>
    <s v="Night"/>
    <b v="0"/>
    <x v="1"/>
    <n v="1"/>
    <x v="0"/>
    <n v="0.08"/>
    <x v="3"/>
  </r>
  <r>
    <n v="525"/>
    <x v="22"/>
    <n v="1"/>
    <n v="0"/>
    <n v="1"/>
    <n v="23"/>
    <s v="Night"/>
    <b v="0"/>
    <x v="1"/>
    <n v="1"/>
    <x v="0"/>
    <n v="0.06"/>
    <x v="3"/>
  </r>
  <r>
    <n v="526"/>
    <x v="23"/>
    <n v="1"/>
    <n v="0"/>
    <n v="1"/>
    <n v="0"/>
    <s v="Night"/>
    <b v="0"/>
    <x v="2"/>
    <n v="1"/>
    <x v="0"/>
    <n v="0.06"/>
    <x v="3"/>
  </r>
  <r>
    <n v="527"/>
    <x v="23"/>
    <n v="1"/>
    <n v="0"/>
    <n v="1"/>
    <n v="1"/>
    <s v="Night"/>
    <b v="0"/>
    <x v="2"/>
    <n v="1"/>
    <x v="0"/>
    <n v="0.04"/>
    <x v="3"/>
  </r>
  <r>
    <n v="528"/>
    <x v="23"/>
    <n v="1"/>
    <n v="0"/>
    <n v="1"/>
    <n v="3"/>
    <s v="Night"/>
    <b v="0"/>
    <x v="2"/>
    <n v="1"/>
    <x v="0"/>
    <n v="0.04"/>
    <x v="3"/>
  </r>
  <r>
    <n v="529"/>
    <x v="23"/>
    <n v="1"/>
    <n v="0"/>
    <n v="1"/>
    <n v="4"/>
    <s v="Early Morning"/>
    <b v="0"/>
    <x v="2"/>
    <n v="1"/>
    <x v="0"/>
    <n v="0.02"/>
    <x v="3"/>
  </r>
  <r>
    <n v="530"/>
    <x v="23"/>
    <n v="1"/>
    <n v="0"/>
    <n v="1"/>
    <n v="5"/>
    <s v="Early Morning"/>
    <b v="0"/>
    <x v="2"/>
    <n v="1"/>
    <x v="0"/>
    <n v="0.02"/>
    <x v="3"/>
  </r>
  <r>
    <n v="531"/>
    <x v="23"/>
    <n v="1"/>
    <n v="0"/>
    <n v="1"/>
    <n v="6"/>
    <s v="Early Morning"/>
    <b v="0"/>
    <x v="2"/>
    <n v="1"/>
    <x v="0"/>
    <n v="0.02"/>
    <x v="3"/>
  </r>
  <r>
    <n v="532"/>
    <x v="23"/>
    <n v="1"/>
    <n v="0"/>
    <n v="1"/>
    <n v="7"/>
    <s v="Morning"/>
    <b v="0"/>
    <x v="2"/>
    <n v="1"/>
    <x v="0"/>
    <n v="0.02"/>
    <x v="3"/>
  </r>
  <r>
    <n v="533"/>
    <x v="23"/>
    <n v="1"/>
    <n v="0"/>
    <n v="1"/>
    <n v="8"/>
    <s v="Morning"/>
    <b v="0"/>
    <x v="2"/>
    <n v="1"/>
    <x v="0"/>
    <n v="0.04"/>
    <x v="3"/>
  </r>
  <r>
    <n v="534"/>
    <x v="23"/>
    <n v="1"/>
    <n v="0"/>
    <n v="1"/>
    <n v="9"/>
    <s v="Morning"/>
    <b v="0"/>
    <x v="2"/>
    <n v="1"/>
    <x v="0"/>
    <n v="0.06"/>
    <x v="3"/>
  </r>
  <r>
    <n v="535"/>
    <x v="23"/>
    <n v="1"/>
    <n v="0"/>
    <n v="1"/>
    <n v="10"/>
    <s v="Morning"/>
    <b v="0"/>
    <x v="2"/>
    <n v="1"/>
    <x v="0"/>
    <n v="0.1"/>
    <x v="3"/>
  </r>
  <r>
    <n v="536"/>
    <x v="23"/>
    <n v="1"/>
    <n v="0"/>
    <n v="1"/>
    <n v="11"/>
    <s v="Afternoon"/>
    <b v="0"/>
    <x v="2"/>
    <n v="1"/>
    <x v="0"/>
    <n v="0.1"/>
    <x v="3"/>
  </r>
  <r>
    <n v="537"/>
    <x v="23"/>
    <n v="1"/>
    <n v="0"/>
    <n v="1"/>
    <n v="12"/>
    <s v="Afternoon"/>
    <b v="0"/>
    <x v="2"/>
    <n v="2"/>
    <x v="1"/>
    <n v="0.12"/>
    <x v="3"/>
  </r>
  <r>
    <n v="538"/>
    <x v="23"/>
    <n v="1"/>
    <n v="0"/>
    <n v="1"/>
    <n v="13"/>
    <s v="Afternoon"/>
    <b v="0"/>
    <x v="2"/>
    <n v="2"/>
    <x v="1"/>
    <n v="0.14000000000000001"/>
    <x v="3"/>
  </r>
  <r>
    <n v="539"/>
    <x v="23"/>
    <n v="1"/>
    <n v="0"/>
    <n v="1"/>
    <n v="14"/>
    <s v="Afternoon"/>
    <b v="0"/>
    <x v="2"/>
    <n v="2"/>
    <x v="1"/>
    <n v="0.14000000000000001"/>
    <x v="3"/>
  </r>
  <r>
    <n v="540"/>
    <x v="23"/>
    <n v="1"/>
    <n v="0"/>
    <n v="1"/>
    <n v="15"/>
    <s v="Afternoon"/>
    <b v="0"/>
    <x v="2"/>
    <n v="1"/>
    <x v="0"/>
    <n v="0.16"/>
    <x v="0"/>
  </r>
  <r>
    <n v="541"/>
    <x v="23"/>
    <n v="1"/>
    <n v="0"/>
    <n v="1"/>
    <n v="16"/>
    <s v="Afternoon"/>
    <b v="0"/>
    <x v="2"/>
    <n v="1"/>
    <x v="0"/>
    <n v="0.16"/>
    <x v="0"/>
  </r>
  <r>
    <n v="542"/>
    <x v="23"/>
    <n v="1"/>
    <n v="0"/>
    <n v="1"/>
    <n v="17"/>
    <s v="Evening"/>
    <b v="0"/>
    <x v="2"/>
    <n v="1"/>
    <x v="0"/>
    <n v="0.14000000000000001"/>
    <x v="3"/>
  </r>
  <r>
    <n v="543"/>
    <x v="23"/>
    <n v="1"/>
    <n v="0"/>
    <n v="1"/>
    <n v="18"/>
    <s v="Evening"/>
    <b v="0"/>
    <x v="2"/>
    <n v="1"/>
    <x v="0"/>
    <n v="0.14000000000000001"/>
    <x v="3"/>
  </r>
  <r>
    <n v="544"/>
    <x v="23"/>
    <n v="1"/>
    <n v="0"/>
    <n v="1"/>
    <n v="19"/>
    <s v="Evening"/>
    <b v="0"/>
    <x v="2"/>
    <n v="1"/>
    <x v="0"/>
    <n v="0.14000000000000001"/>
    <x v="3"/>
  </r>
  <r>
    <n v="545"/>
    <x v="23"/>
    <n v="1"/>
    <n v="0"/>
    <n v="1"/>
    <n v="20"/>
    <s v="Evening"/>
    <b v="0"/>
    <x v="2"/>
    <n v="1"/>
    <x v="0"/>
    <n v="0.14000000000000001"/>
    <x v="3"/>
  </r>
  <r>
    <n v="546"/>
    <x v="23"/>
    <n v="1"/>
    <n v="0"/>
    <n v="1"/>
    <n v="21"/>
    <s v="Night"/>
    <b v="0"/>
    <x v="2"/>
    <n v="1"/>
    <x v="0"/>
    <n v="0.14000000000000001"/>
    <x v="3"/>
  </r>
  <r>
    <n v="547"/>
    <x v="23"/>
    <n v="1"/>
    <n v="0"/>
    <n v="1"/>
    <n v="22"/>
    <s v="Night"/>
    <b v="0"/>
    <x v="2"/>
    <n v="2"/>
    <x v="1"/>
    <n v="0.14000000000000001"/>
    <x v="3"/>
  </r>
  <r>
    <n v="548"/>
    <x v="23"/>
    <n v="1"/>
    <n v="0"/>
    <n v="1"/>
    <n v="23"/>
    <s v="Night"/>
    <b v="0"/>
    <x v="2"/>
    <n v="2"/>
    <x v="1"/>
    <n v="0.16"/>
    <x v="0"/>
  </r>
  <r>
    <n v="549"/>
    <x v="24"/>
    <n v="1"/>
    <n v="0"/>
    <n v="1"/>
    <n v="0"/>
    <s v="Night"/>
    <b v="0"/>
    <x v="3"/>
    <n v="2"/>
    <x v="1"/>
    <n v="0.16"/>
    <x v="0"/>
  </r>
  <r>
    <n v="550"/>
    <x v="24"/>
    <n v="1"/>
    <n v="0"/>
    <n v="1"/>
    <n v="1"/>
    <s v="Night"/>
    <b v="0"/>
    <x v="3"/>
    <n v="2"/>
    <x v="1"/>
    <n v="0.16"/>
    <x v="0"/>
  </r>
  <r>
    <n v="551"/>
    <x v="24"/>
    <n v="1"/>
    <n v="0"/>
    <n v="1"/>
    <n v="2"/>
    <s v="Night"/>
    <b v="0"/>
    <x v="3"/>
    <n v="1"/>
    <x v="0"/>
    <n v="0.16"/>
    <x v="0"/>
  </r>
  <r>
    <n v="552"/>
    <x v="24"/>
    <n v="1"/>
    <n v="0"/>
    <n v="1"/>
    <n v="4"/>
    <s v="Early Morning"/>
    <b v="0"/>
    <x v="3"/>
    <n v="1"/>
    <x v="0"/>
    <n v="0.14000000000000001"/>
    <x v="3"/>
  </r>
  <r>
    <n v="553"/>
    <x v="24"/>
    <n v="1"/>
    <n v="0"/>
    <n v="1"/>
    <n v="5"/>
    <s v="Early Morning"/>
    <b v="0"/>
    <x v="3"/>
    <n v="1"/>
    <x v="0"/>
    <n v="0.14000000000000001"/>
    <x v="3"/>
  </r>
  <r>
    <n v="554"/>
    <x v="24"/>
    <n v="1"/>
    <n v="0"/>
    <n v="1"/>
    <n v="6"/>
    <s v="Early Morning"/>
    <b v="0"/>
    <x v="3"/>
    <n v="1"/>
    <x v="0"/>
    <n v="0.16"/>
    <x v="0"/>
  </r>
  <r>
    <n v="555"/>
    <x v="24"/>
    <n v="1"/>
    <n v="0"/>
    <n v="1"/>
    <n v="7"/>
    <s v="Morning"/>
    <b v="0"/>
    <x v="3"/>
    <n v="1"/>
    <x v="0"/>
    <n v="0.16"/>
    <x v="0"/>
  </r>
  <r>
    <n v="556"/>
    <x v="24"/>
    <n v="1"/>
    <n v="0"/>
    <n v="1"/>
    <n v="8"/>
    <s v="Morning"/>
    <b v="0"/>
    <x v="3"/>
    <n v="2"/>
    <x v="1"/>
    <n v="0.16"/>
    <x v="0"/>
  </r>
  <r>
    <n v="557"/>
    <x v="24"/>
    <n v="1"/>
    <n v="0"/>
    <n v="1"/>
    <n v="9"/>
    <s v="Morning"/>
    <b v="0"/>
    <x v="3"/>
    <n v="2"/>
    <x v="1"/>
    <n v="0.2"/>
    <x v="0"/>
  </r>
  <r>
    <n v="558"/>
    <x v="24"/>
    <n v="1"/>
    <n v="0"/>
    <n v="1"/>
    <n v="10"/>
    <s v="Morning"/>
    <b v="0"/>
    <x v="3"/>
    <n v="2"/>
    <x v="1"/>
    <n v="0.22"/>
    <x v="0"/>
  </r>
  <r>
    <n v="559"/>
    <x v="24"/>
    <n v="1"/>
    <n v="0"/>
    <n v="1"/>
    <n v="11"/>
    <s v="Afternoon"/>
    <b v="0"/>
    <x v="3"/>
    <n v="2"/>
    <x v="1"/>
    <n v="0.24"/>
    <x v="0"/>
  </r>
  <r>
    <n v="560"/>
    <x v="24"/>
    <n v="1"/>
    <n v="0"/>
    <n v="1"/>
    <n v="12"/>
    <s v="Afternoon"/>
    <b v="0"/>
    <x v="3"/>
    <n v="2"/>
    <x v="1"/>
    <n v="0.26"/>
    <x v="1"/>
  </r>
  <r>
    <n v="561"/>
    <x v="24"/>
    <n v="1"/>
    <n v="0"/>
    <n v="1"/>
    <n v="13"/>
    <s v="Afternoon"/>
    <b v="0"/>
    <x v="3"/>
    <n v="2"/>
    <x v="1"/>
    <n v="0.26"/>
    <x v="1"/>
  </r>
  <r>
    <n v="562"/>
    <x v="24"/>
    <n v="1"/>
    <n v="0"/>
    <n v="1"/>
    <n v="14"/>
    <s v="Afternoon"/>
    <b v="0"/>
    <x v="3"/>
    <n v="2"/>
    <x v="1"/>
    <n v="0.3"/>
    <x v="1"/>
  </r>
  <r>
    <n v="563"/>
    <x v="24"/>
    <n v="1"/>
    <n v="0"/>
    <n v="1"/>
    <n v="15"/>
    <s v="Afternoon"/>
    <b v="0"/>
    <x v="3"/>
    <n v="2"/>
    <x v="1"/>
    <n v="0.32"/>
    <x v="1"/>
  </r>
  <r>
    <n v="564"/>
    <x v="24"/>
    <n v="1"/>
    <n v="0"/>
    <n v="1"/>
    <n v="16"/>
    <s v="Afternoon"/>
    <b v="0"/>
    <x v="3"/>
    <n v="2"/>
    <x v="1"/>
    <n v="0.32"/>
    <x v="1"/>
  </r>
  <r>
    <n v="565"/>
    <x v="24"/>
    <n v="1"/>
    <n v="0"/>
    <n v="1"/>
    <n v="17"/>
    <s v="Evening"/>
    <b v="0"/>
    <x v="3"/>
    <n v="1"/>
    <x v="0"/>
    <n v="0.3"/>
    <x v="1"/>
  </r>
  <r>
    <n v="566"/>
    <x v="24"/>
    <n v="1"/>
    <n v="0"/>
    <n v="1"/>
    <n v="18"/>
    <s v="Evening"/>
    <b v="0"/>
    <x v="3"/>
    <n v="2"/>
    <x v="1"/>
    <n v="0.3"/>
    <x v="1"/>
  </r>
  <r>
    <n v="567"/>
    <x v="24"/>
    <n v="1"/>
    <n v="0"/>
    <n v="1"/>
    <n v="19"/>
    <s v="Evening"/>
    <b v="0"/>
    <x v="3"/>
    <n v="2"/>
    <x v="1"/>
    <n v="0.26"/>
    <x v="1"/>
  </r>
  <r>
    <n v="568"/>
    <x v="24"/>
    <n v="1"/>
    <n v="0"/>
    <n v="1"/>
    <n v="20"/>
    <s v="Evening"/>
    <b v="0"/>
    <x v="3"/>
    <n v="1"/>
    <x v="0"/>
    <n v="0.24"/>
    <x v="0"/>
  </r>
  <r>
    <n v="569"/>
    <x v="24"/>
    <n v="1"/>
    <n v="0"/>
    <n v="1"/>
    <n v="21"/>
    <s v="Night"/>
    <b v="0"/>
    <x v="3"/>
    <n v="1"/>
    <x v="0"/>
    <n v="0.24"/>
    <x v="0"/>
  </r>
  <r>
    <n v="570"/>
    <x v="24"/>
    <n v="1"/>
    <n v="0"/>
    <n v="1"/>
    <n v="22"/>
    <s v="Night"/>
    <b v="0"/>
    <x v="3"/>
    <n v="1"/>
    <x v="0"/>
    <n v="0.22"/>
    <x v="0"/>
  </r>
  <r>
    <n v="571"/>
    <x v="24"/>
    <n v="1"/>
    <n v="0"/>
    <n v="1"/>
    <n v="23"/>
    <s v="Night"/>
    <b v="0"/>
    <x v="3"/>
    <n v="2"/>
    <x v="1"/>
    <n v="0.22"/>
    <x v="0"/>
  </r>
  <r>
    <n v="572"/>
    <x v="25"/>
    <n v="1"/>
    <n v="0"/>
    <n v="1"/>
    <n v="0"/>
    <s v="Night"/>
    <b v="0"/>
    <x v="4"/>
    <n v="2"/>
    <x v="1"/>
    <n v="0.22"/>
    <x v="0"/>
  </r>
  <r>
    <n v="573"/>
    <x v="25"/>
    <n v="1"/>
    <n v="0"/>
    <n v="1"/>
    <n v="1"/>
    <s v="Night"/>
    <b v="0"/>
    <x v="4"/>
    <n v="2"/>
    <x v="1"/>
    <n v="0.24"/>
    <x v="0"/>
  </r>
  <r>
    <n v="574"/>
    <x v="25"/>
    <n v="1"/>
    <n v="0"/>
    <n v="1"/>
    <n v="2"/>
    <s v="Night"/>
    <b v="0"/>
    <x v="4"/>
    <n v="3"/>
    <x v="2"/>
    <n v="0.22"/>
    <x v="0"/>
  </r>
  <r>
    <n v="575"/>
    <x v="25"/>
    <n v="1"/>
    <n v="0"/>
    <n v="1"/>
    <n v="5"/>
    <s v="Early Morning"/>
    <b v="0"/>
    <x v="4"/>
    <n v="3"/>
    <x v="2"/>
    <n v="0.2"/>
    <x v="0"/>
  </r>
  <r>
    <n v="576"/>
    <x v="25"/>
    <n v="1"/>
    <n v="0"/>
    <n v="1"/>
    <n v="6"/>
    <s v="Early Morning"/>
    <b v="0"/>
    <x v="4"/>
    <n v="3"/>
    <x v="2"/>
    <n v="0.2"/>
    <x v="0"/>
  </r>
  <r>
    <n v="577"/>
    <x v="25"/>
    <n v="1"/>
    <n v="0"/>
    <n v="1"/>
    <n v="7"/>
    <s v="Morning"/>
    <b v="0"/>
    <x v="4"/>
    <n v="3"/>
    <x v="2"/>
    <n v="0.22"/>
    <x v="0"/>
  </r>
  <r>
    <n v="578"/>
    <x v="25"/>
    <n v="1"/>
    <n v="0"/>
    <n v="1"/>
    <n v="8"/>
    <s v="Morning"/>
    <b v="0"/>
    <x v="4"/>
    <n v="3"/>
    <x v="2"/>
    <n v="0.22"/>
    <x v="0"/>
  </r>
  <r>
    <n v="579"/>
    <x v="25"/>
    <n v="1"/>
    <n v="0"/>
    <n v="1"/>
    <n v="9"/>
    <s v="Morning"/>
    <b v="0"/>
    <x v="4"/>
    <n v="3"/>
    <x v="2"/>
    <n v="0.22"/>
    <x v="0"/>
  </r>
  <r>
    <n v="580"/>
    <x v="25"/>
    <n v="1"/>
    <n v="0"/>
    <n v="1"/>
    <n v="10"/>
    <s v="Morning"/>
    <b v="0"/>
    <x v="4"/>
    <n v="3"/>
    <x v="2"/>
    <n v="0.22"/>
    <x v="0"/>
  </r>
  <r>
    <n v="581"/>
    <x v="25"/>
    <n v="1"/>
    <n v="0"/>
    <n v="1"/>
    <n v="11"/>
    <s v="Afternoon"/>
    <b v="0"/>
    <x v="4"/>
    <n v="3"/>
    <x v="2"/>
    <n v="0.22"/>
    <x v="0"/>
  </r>
  <r>
    <n v="582"/>
    <x v="25"/>
    <n v="1"/>
    <n v="0"/>
    <n v="1"/>
    <n v="12"/>
    <s v="Afternoon"/>
    <b v="0"/>
    <x v="4"/>
    <n v="3"/>
    <x v="2"/>
    <n v="0.22"/>
    <x v="0"/>
  </r>
  <r>
    <n v="583"/>
    <x v="25"/>
    <n v="1"/>
    <n v="0"/>
    <n v="1"/>
    <n v="13"/>
    <s v="Afternoon"/>
    <b v="0"/>
    <x v="4"/>
    <n v="3"/>
    <x v="2"/>
    <n v="0.22"/>
    <x v="0"/>
  </r>
  <r>
    <n v="584"/>
    <x v="25"/>
    <n v="1"/>
    <n v="0"/>
    <n v="1"/>
    <n v="14"/>
    <s v="Afternoon"/>
    <b v="0"/>
    <x v="4"/>
    <n v="3"/>
    <x v="2"/>
    <n v="0.22"/>
    <x v="0"/>
  </r>
  <r>
    <n v="585"/>
    <x v="25"/>
    <n v="1"/>
    <n v="0"/>
    <n v="1"/>
    <n v="15"/>
    <s v="Afternoon"/>
    <b v="0"/>
    <x v="4"/>
    <n v="3"/>
    <x v="2"/>
    <n v="0.22"/>
    <x v="0"/>
  </r>
  <r>
    <n v="586"/>
    <x v="25"/>
    <n v="1"/>
    <n v="0"/>
    <n v="1"/>
    <n v="16"/>
    <s v="Afternoon"/>
    <b v="0"/>
    <x v="4"/>
    <n v="4"/>
    <x v="3"/>
    <n v="0.22"/>
    <x v="0"/>
  </r>
  <r>
    <n v="587"/>
    <x v="25"/>
    <n v="1"/>
    <n v="0"/>
    <n v="1"/>
    <n v="17"/>
    <s v="Evening"/>
    <b v="0"/>
    <x v="4"/>
    <n v="3"/>
    <x v="2"/>
    <n v="0.2"/>
    <x v="0"/>
  </r>
  <r>
    <n v="588"/>
    <x v="26"/>
    <n v="1"/>
    <n v="0"/>
    <n v="1"/>
    <n v="16"/>
    <s v="Afternoon"/>
    <b v="0"/>
    <x v="5"/>
    <n v="1"/>
    <x v="0"/>
    <n v="0.22"/>
    <x v="0"/>
  </r>
  <r>
    <n v="589"/>
    <x v="26"/>
    <n v="1"/>
    <n v="0"/>
    <n v="1"/>
    <n v="17"/>
    <s v="Evening"/>
    <b v="0"/>
    <x v="5"/>
    <n v="1"/>
    <x v="0"/>
    <n v="0.22"/>
    <x v="0"/>
  </r>
  <r>
    <n v="590"/>
    <x v="26"/>
    <n v="1"/>
    <n v="0"/>
    <n v="1"/>
    <n v="18"/>
    <s v="Evening"/>
    <b v="0"/>
    <x v="5"/>
    <n v="1"/>
    <x v="0"/>
    <n v="0.2"/>
    <x v="0"/>
  </r>
  <r>
    <n v="591"/>
    <x v="26"/>
    <n v="1"/>
    <n v="0"/>
    <n v="1"/>
    <n v="19"/>
    <s v="Evening"/>
    <b v="0"/>
    <x v="5"/>
    <n v="1"/>
    <x v="0"/>
    <n v="0.2"/>
    <x v="0"/>
  </r>
  <r>
    <n v="592"/>
    <x v="26"/>
    <n v="1"/>
    <n v="0"/>
    <n v="1"/>
    <n v="20"/>
    <s v="Evening"/>
    <b v="0"/>
    <x v="5"/>
    <n v="1"/>
    <x v="0"/>
    <n v="0.18"/>
    <x v="0"/>
  </r>
  <r>
    <n v="593"/>
    <x v="26"/>
    <n v="1"/>
    <n v="0"/>
    <n v="1"/>
    <n v="21"/>
    <s v="Night"/>
    <b v="0"/>
    <x v="5"/>
    <n v="1"/>
    <x v="0"/>
    <n v="0.18"/>
    <x v="0"/>
  </r>
  <r>
    <n v="594"/>
    <x v="26"/>
    <n v="1"/>
    <n v="0"/>
    <n v="1"/>
    <n v="22"/>
    <s v="Night"/>
    <b v="0"/>
    <x v="5"/>
    <n v="1"/>
    <x v="0"/>
    <n v="0.18"/>
    <x v="0"/>
  </r>
  <r>
    <n v="595"/>
    <x v="26"/>
    <n v="1"/>
    <n v="0"/>
    <n v="1"/>
    <n v="23"/>
    <s v="Night"/>
    <b v="0"/>
    <x v="5"/>
    <n v="1"/>
    <x v="0"/>
    <n v="0.18"/>
    <x v="0"/>
  </r>
  <r>
    <n v="596"/>
    <x v="27"/>
    <n v="1"/>
    <n v="0"/>
    <n v="1"/>
    <n v="0"/>
    <s v="Night"/>
    <b v="0"/>
    <x v="6"/>
    <n v="2"/>
    <x v="1"/>
    <n v="0.2"/>
    <x v="0"/>
  </r>
  <r>
    <n v="597"/>
    <x v="27"/>
    <n v="1"/>
    <n v="0"/>
    <n v="1"/>
    <n v="1"/>
    <s v="Night"/>
    <b v="0"/>
    <x v="6"/>
    <n v="2"/>
    <x v="1"/>
    <n v="0.2"/>
    <x v="0"/>
  </r>
  <r>
    <n v="598"/>
    <x v="27"/>
    <n v="1"/>
    <n v="0"/>
    <n v="1"/>
    <n v="2"/>
    <s v="Night"/>
    <b v="0"/>
    <x v="6"/>
    <n v="2"/>
    <x v="1"/>
    <n v="0.2"/>
    <x v="0"/>
  </r>
  <r>
    <n v="599"/>
    <x v="27"/>
    <n v="1"/>
    <n v="0"/>
    <n v="1"/>
    <n v="3"/>
    <s v="Night"/>
    <b v="0"/>
    <x v="6"/>
    <n v="2"/>
    <x v="1"/>
    <n v="0.2"/>
    <x v="0"/>
  </r>
  <r>
    <n v="600"/>
    <x v="27"/>
    <n v="1"/>
    <n v="0"/>
    <n v="1"/>
    <n v="5"/>
    <s v="Early Morning"/>
    <b v="0"/>
    <x v="6"/>
    <n v="2"/>
    <x v="1"/>
    <n v="0.18"/>
    <x v="0"/>
  </r>
  <r>
    <n v="601"/>
    <x v="27"/>
    <n v="1"/>
    <n v="0"/>
    <n v="1"/>
    <n v="6"/>
    <s v="Early Morning"/>
    <b v="0"/>
    <x v="6"/>
    <n v="2"/>
    <x v="1"/>
    <n v="0.18"/>
    <x v="0"/>
  </r>
  <r>
    <n v="602"/>
    <x v="27"/>
    <n v="1"/>
    <n v="0"/>
    <n v="1"/>
    <n v="7"/>
    <s v="Morning"/>
    <b v="0"/>
    <x v="6"/>
    <n v="2"/>
    <x v="1"/>
    <n v="0.16"/>
    <x v="0"/>
  </r>
  <r>
    <n v="603"/>
    <x v="27"/>
    <n v="1"/>
    <n v="0"/>
    <n v="1"/>
    <n v="8"/>
    <s v="Morning"/>
    <b v="0"/>
    <x v="6"/>
    <n v="2"/>
    <x v="1"/>
    <n v="0.16"/>
    <x v="0"/>
  </r>
  <r>
    <n v="604"/>
    <x v="27"/>
    <n v="1"/>
    <n v="0"/>
    <n v="1"/>
    <n v="9"/>
    <s v="Morning"/>
    <b v="0"/>
    <x v="6"/>
    <n v="3"/>
    <x v="2"/>
    <n v="0.18"/>
    <x v="0"/>
  </r>
  <r>
    <n v="605"/>
    <x v="27"/>
    <n v="1"/>
    <n v="0"/>
    <n v="1"/>
    <n v="10"/>
    <s v="Morning"/>
    <b v="0"/>
    <x v="6"/>
    <n v="3"/>
    <x v="2"/>
    <n v="0.18"/>
    <x v="0"/>
  </r>
  <r>
    <n v="606"/>
    <x v="27"/>
    <n v="1"/>
    <n v="0"/>
    <n v="1"/>
    <n v="11"/>
    <s v="Afternoon"/>
    <b v="0"/>
    <x v="6"/>
    <n v="3"/>
    <x v="2"/>
    <n v="0.18"/>
    <x v="0"/>
  </r>
  <r>
    <n v="607"/>
    <x v="27"/>
    <n v="1"/>
    <n v="0"/>
    <n v="1"/>
    <n v="12"/>
    <s v="Afternoon"/>
    <b v="0"/>
    <x v="6"/>
    <n v="3"/>
    <x v="2"/>
    <n v="0.18"/>
    <x v="0"/>
  </r>
  <r>
    <n v="608"/>
    <x v="27"/>
    <n v="1"/>
    <n v="0"/>
    <n v="1"/>
    <n v="13"/>
    <s v="Afternoon"/>
    <b v="0"/>
    <x v="6"/>
    <n v="3"/>
    <x v="2"/>
    <n v="0.18"/>
    <x v="0"/>
  </r>
  <r>
    <n v="609"/>
    <x v="27"/>
    <n v="1"/>
    <n v="0"/>
    <n v="1"/>
    <n v="14"/>
    <s v="Afternoon"/>
    <b v="0"/>
    <x v="6"/>
    <n v="3"/>
    <x v="2"/>
    <n v="0.22"/>
    <x v="0"/>
  </r>
  <r>
    <n v="610"/>
    <x v="27"/>
    <n v="1"/>
    <n v="0"/>
    <n v="1"/>
    <n v="15"/>
    <s v="Afternoon"/>
    <b v="0"/>
    <x v="6"/>
    <n v="2"/>
    <x v="1"/>
    <n v="0.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5CA7F-9106-4D71-94AB-4FAD46A9AD64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2:B117" firstHeaderRow="1" firstDataRow="1" firstDataCol="1"/>
  <pivotFields count="13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numFmtId="2" showAll="0"/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emperature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6FF65-6E8C-46D4-8CE7-2E4067846FF5}" name="PivotTable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9:B108" firstHeaderRow="1" firstDataRow="1" firstDataCol="1"/>
  <pivotFields count="13">
    <pivotField showAll="0"/>
    <pivotField axis="axisRow" numFmtId="16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Temp" fld="11" subtotal="max" baseField="1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C6210-6095-4BED-A274-630434A8DEC8}" name="PivotTable1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s">
  <location ref="H23:M32" firstHeaderRow="1" firstDataRow="2" firstDataCol="1"/>
  <pivotFields count="10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axis="axisCol" dataField="1" showAll="0">
      <items count="5">
        <item x="0"/>
        <item x="1"/>
        <item x="2"/>
        <item x="3"/>
        <item t="default"/>
      </items>
    </pivotField>
    <pivotField numFmtId="2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Weather_Situations" fld="8" subtotal="count" baseField="7" baseItem="0"/>
  </dataFields>
  <formats count="20">
    <format dxfId="98">
      <pivotArea type="all" dataOnly="0" outline="0" fieldPosition="0"/>
    </format>
    <format dxfId="99">
      <pivotArea outline="0" collapsedLevelsAreSubtotals="1" fieldPosition="0"/>
    </format>
    <format dxfId="100">
      <pivotArea type="origin" dataOnly="0" labelOnly="1" outline="0" fieldPosition="0"/>
    </format>
    <format dxfId="101">
      <pivotArea field="8" type="button" dataOnly="0" labelOnly="1" outline="0" axis="axisCol" fieldPosition="0"/>
    </format>
    <format dxfId="102">
      <pivotArea type="topRight" dataOnly="0" labelOnly="1" outline="0" fieldPosition="0"/>
    </format>
    <format dxfId="103">
      <pivotArea field="7" type="button" dataOnly="0" labelOnly="1" outline="0" axis="axisRow" fieldPosition="0"/>
    </format>
    <format dxfId="104">
      <pivotArea dataOnly="0" labelOnly="1" fieldPosition="0">
        <references count="1">
          <reference field="7" count="0"/>
        </references>
      </pivotArea>
    </format>
    <format dxfId="105">
      <pivotArea dataOnly="0" labelOnly="1" grandRow="1" outline="0" fieldPosition="0"/>
    </format>
    <format dxfId="106">
      <pivotArea dataOnly="0" labelOnly="1" fieldPosition="0">
        <references count="1">
          <reference field="8" count="0"/>
        </references>
      </pivotArea>
    </format>
    <format dxfId="107">
      <pivotArea dataOnly="0" labelOnly="1" grandCol="1" outline="0" fieldPosition="0"/>
    </format>
    <format dxfId="108">
      <pivotArea type="all" dataOnly="0" outline="0" fieldPosition="0"/>
    </format>
    <format dxfId="109">
      <pivotArea outline="0" collapsedLevelsAreSubtotals="1" fieldPosition="0"/>
    </format>
    <format dxfId="110">
      <pivotArea type="origin" dataOnly="0" labelOnly="1" outline="0" fieldPosition="0"/>
    </format>
    <format dxfId="111">
      <pivotArea field="8" type="button" dataOnly="0" labelOnly="1" outline="0" axis="axisCol" fieldPosition="0"/>
    </format>
    <format dxfId="112">
      <pivotArea type="topRight" dataOnly="0" labelOnly="1" outline="0" fieldPosition="0"/>
    </format>
    <format dxfId="113">
      <pivotArea field="7" type="button" dataOnly="0" labelOnly="1" outline="0" axis="axisRow" fieldPosition="0"/>
    </format>
    <format dxfId="114">
      <pivotArea dataOnly="0" labelOnly="1" fieldPosition="0">
        <references count="1">
          <reference field="7" count="0"/>
        </references>
      </pivotArea>
    </format>
    <format dxfId="115">
      <pivotArea dataOnly="0" labelOnly="1" grandRow="1" outline="0" fieldPosition="0"/>
    </format>
    <format dxfId="116">
      <pivotArea dataOnly="0" labelOnly="1" fieldPosition="0">
        <references count="1">
          <reference field="8" count="0"/>
        </references>
      </pivotArea>
    </format>
    <format dxfId="1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79FEF-5013-4D07-AE39-6687C77AED37}" name="PivotTable1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Days" colHeaderCaption="Weather">
  <location ref="A3:F12" firstHeaderRow="1" firstDataRow="2" firstDataCol="1"/>
  <pivotFields count="10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axis="axisCol" dataField="1" showAll="0">
      <items count="5">
        <item x="0"/>
        <item x="1"/>
        <item x="2"/>
        <item x="3"/>
        <item t="default"/>
      </items>
    </pivotField>
    <pivotField numFmtId="2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eather_Situation" fld="8" subtotal="count" baseField="7" baseItem="0"/>
  </dataFields>
  <formats count="40">
    <format dxfId="118">
      <pivotArea type="all" dataOnly="0" outline="0" fieldPosition="0"/>
    </format>
    <format dxfId="119">
      <pivotArea outline="0" collapsedLevelsAreSubtotals="1" fieldPosition="0"/>
    </format>
    <format dxfId="120">
      <pivotArea field="7" type="button" dataOnly="0" labelOnly="1" outline="0" axis="axisRow" fieldPosition="0"/>
    </format>
    <format dxfId="121">
      <pivotArea dataOnly="0" labelOnly="1" fieldPosition="0">
        <references count="1">
          <reference field="7" count="0"/>
        </references>
      </pivotArea>
    </format>
    <format dxfId="122">
      <pivotArea dataOnly="0" labelOnly="1" grandRow="1" outline="0" fieldPosition="0"/>
    </format>
    <format dxfId="123">
      <pivotArea dataOnly="0" labelOnly="1" outline="0" axis="axisValues" fieldPosition="0"/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field="7" type="button" dataOnly="0" labelOnly="1" outline="0" axis="axisRow" fieldPosition="0"/>
    </format>
    <format dxfId="127">
      <pivotArea dataOnly="0" labelOnly="1" fieldPosition="0">
        <references count="1">
          <reference field="7" count="0"/>
        </references>
      </pivotArea>
    </format>
    <format dxfId="128">
      <pivotArea dataOnly="0" labelOnly="1" grandRow="1" outline="0" fieldPosition="0"/>
    </format>
    <format dxfId="129">
      <pivotArea dataOnly="0" labelOnly="1" outline="0" axis="axisValues" fieldPosition="0"/>
    </format>
    <format dxfId="130">
      <pivotArea type="all" dataOnly="0" outline="0" fieldPosition="0"/>
    </format>
    <format dxfId="131">
      <pivotArea outline="0" collapsedLevelsAreSubtotals="1" fieldPosition="0"/>
    </format>
    <format dxfId="132">
      <pivotArea field="7" type="button" dataOnly="0" labelOnly="1" outline="0" axis="axisRow" fieldPosition="0"/>
    </format>
    <format dxfId="133">
      <pivotArea dataOnly="0" labelOnly="1" fieldPosition="0">
        <references count="1">
          <reference field="7" count="0"/>
        </references>
      </pivotArea>
    </format>
    <format dxfId="134">
      <pivotArea dataOnly="0" labelOnly="1" grandRow="1" outline="0" fieldPosition="0"/>
    </format>
    <format dxfId="135">
      <pivotArea dataOnly="0" labelOnly="1" outline="0" axis="axisValues" fieldPosition="0"/>
    </format>
    <format dxfId="136">
      <pivotArea type="all" dataOnly="0" outline="0" fieldPosition="0"/>
    </format>
    <format dxfId="137">
      <pivotArea outline="0" collapsedLevelsAreSubtotals="1" fieldPosition="0"/>
    </format>
    <format dxfId="138">
      <pivotArea field="7" type="button" dataOnly="0" labelOnly="1" outline="0" axis="axisRow" fieldPosition="0"/>
    </format>
    <format dxfId="139">
      <pivotArea dataOnly="0" labelOnly="1" fieldPosition="0">
        <references count="1">
          <reference field="7" count="0"/>
        </references>
      </pivotArea>
    </format>
    <format dxfId="140">
      <pivotArea dataOnly="0" labelOnly="1" grandRow="1" outline="0" fieldPosition="0"/>
    </format>
    <format dxfId="141">
      <pivotArea dataOnly="0" labelOnly="1" outline="0" axis="axisValues" fieldPosition="0"/>
    </format>
    <format dxfId="142">
      <pivotArea type="all" dataOnly="0" outline="0" fieldPosition="0"/>
    </format>
    <format dxfId="143">
      <pivotArea outline="0" collapsedLevelsAreSubtotals="1" fieldPosition="0"/>
    </format>
    <format dxfId="144">
      <pivotArea field="7" type="button" dataOnly="0" labelOnly="1" outline="0" axis="axisRow" fieldPosition="0"/>
    </format>
    <format dxfId="145">
      <pivotArea dataOnly="0" labelOnly="1" fieldPosition="0">
        <references count="1">
          <reference field="7" count="0"/>
        </references>
      </pivotArea>
    </format>
    <format dxfId="146">
      <pivotArea dataOnly="0" labelOnly="1" grandRow="1" outline="0" fieldPosition="0"/>
    </format>
    <format dxfId="147">
      <pivotArea dataOnly="0" labelOnly="1" outline="0" axis="axisValues" fieldPosition="0"/>
    </format>
    <format dxfId="148">
      <pivotArea type="all" dataOnly="0" outline="0" fieldPosition="0"/>
    </format>
    <format dxfId="149">
      <pivotArea outline="0" collapsedLevelsAreSubtotals="1" fieldPosition="0"/>
    </format>
    <format dxfId="150">
      <pivotArea type="origin" dataOnly="0" labelOnly="1" outline="0" fieldPosition="0"/>
    </format>
    <format dxfId="151">
      <pivotArea field="8" type="button" dataOnly="0" labelOnly="1" outline="0" axis="axisCol" fieldPosition="0"/>
    </format>
    <format dxfId="152">
      <pivotArea type="topRight" dataOnly="0" labelOnly="1" outline="0" fieldPosition="0"/>
    </format>
    <format dxfId="153">
      <pivotArea field="7" type="button" dataOnly="0" labelOnly="1" outline="0" axis="axisRow" fieldPosition="0"/>
    </format>
    <format dxfId="154">
      <pivotArea dataOnly="0" labelOnly="1" fieldPosition="0">
        <references count="1">
          <reference field="7" count="0"/>
        </references>
      </pivotArea>
    </format>
    <format dxfId="155">
      <pivotArea dataOnly="0" labelOnly="1" grandRow="1" outline="0" fieldPosition="0"/>
    </format>
    <format dxfId="156">
      <pivotArea dataOnly="0" labelOnly="1" fieldPosition="0">
        <references count="1">
          <reference field="8" count="0"/>
        </references>
      </pivotArea>
    </format>
    <format dxfId="15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CD571-EFDC-44CB-8CDA-FC8CC396FEE6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4:C47" firstHeaderRow="0" firstDataRow="1" firstDataCol="1"/>
  <pivotFields count="10">
    <pivotField showAll="0"/>
    <pivotField numFmtId="164"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dataField="1" showAll="0"/>
    <pivotField numFmtId="2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eather_Situation" fld="8" subtotal="average" baseField="6" baseItem="0"/>
    <dataField name="Count of holiday" fld="6" subtotal="count" baseField="6" baseItem="0"/>
  </dataFields>
  <formats count="2">
    <format dxfId="158">
      <pivotArea collapsedLevelsAreSubtotals="1" fieldPosition="0">
        <references count="1">
          <reference field="6" count="1">
            <x v="0"/>
          </reference>
        </references>
      </pivotArea>
    </format>
    <format dxfId="159">
      <pivotArea collapsedLevelsAreSubtotals="1" fieldPosition="0">
        <references count="1">
          <reference field="6" count="1">
            <x v="1"/>
          </reference>
        </references>
      </pivotArea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3BCB6-64B1-40AF-9282-05C70115369D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ys" colHeaderCaption="Weather">
  <location ref="A65:F74" firstHeaderRow="1" firstDataRow="2" firstDataCol="1"/>
  <pivotFields count="13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axis="axisCol" dataField="1" showAll="0">
      <items count="5">
        <item x="0"/>
        <item x="3"/>
        <item x="1"/>
        <item x="2"/>
        <item t="default"/>
      </items>
    </pivotField>
    <pivotField numFmtId="2"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Daywise" fld="10" subtotal="count" baseField="0" baseItem="0"/>
  </dataFields>
  <formats count="30">
    <format dxfId="93">
      <pivotArea type="all" dataOnly="0" outline="0" fieldPosition="0"/>
    </format>
    <format dxfId="92">
      <pivotArea outline="0" collapsedLevelsAreSubtotals="1" fieldPosition="0"/>
    </format>
    <format dxfId="91">
      <pivotArea type="origin" dataOnly="0" labelOnly="1" outline="0" fieldPosition="0"/>
    </format>
    <format dxfId="90">
      <pivotArea field="10" type="button" dataOnly="0" labelOnly="1" outline="0" axis="axisCol" fieldPosition="0"/>
    </format>
    <format dxfId="89">
      <pivotArea type="topRight" dataOnly="0" labelOnly="1" outline="0" fieldPosition="0"/>
    </format>
    <format dxfId="88">
      <pivotArea field="8" type="button" dataOnly="0" labelOnly="1" outline="0" axis="axisRow" fieldPosition="0"/>
    </format>
    <format dxfId="87">
      <pivotArea dataOnly="0" labelOnly="1" fieldPosition="0">
        <references count="1">
          <reference field="8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1">
          <reference field="10" count="0"/>
        </references>
      </pivotArea>
    </format>
    <format dxfId="84">
      <pivotArea dataOnly="0" labelOnly="1" grandCol="1" outline="0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10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8" type="button" dataOnly="0" labelOnly="1" outline="0" axis="axisRow" fieldPosition="0"/>
    </format>
    <format dxfId="77">
      <pivotArea dataOnly="0" labelOnly="1" fieldPosition="0">
        <references count="1">
          <reference field="8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10" count="0"/>
        </references>
      </pivotArea>
    </format>
    <format dxfId="7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10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8" type="button" dataOnly="0" labelOnly="1" outline="0" axis="axisRow" fieldPosition="0"/>
    </format>
    <format dxfId="7">
      <pivotArea dataOnly="0" labelOnly="1" fieldPosition="0">
        <references count="1">
          <reference field="8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0" count="0"/>
        </references>
      </pivotArea>
    </format>
    <format dxfId="4">
      <pivotArea dataOnly="0" labelOnly="1" grandCol="1" outline="0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0A057-0217-4A74-B753-A5E46D4F6A85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1" firstHeaderRow="1" firstDataRow="1" firstDataCol="1"/>
  <pivotFields count="10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dataField="1" numFmtId="2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emperature" fld="9" subtotal="average" baseField="7" baseItem="0" numFmtId="2"/>
  </dataFields>
  <formats count="18">
    <format dxfId="160">
      <pivotArea type="all" dataOnly="0" outline="0" fieldPosition="0"/>
    </format>
    <format dxfId="161">
      <pivotArea outline="0" collapsedLevelsAreSubtotals="1" fieldPosition="0"/>
    </format>
    <format dxfId="162">
      <pivotArea field="7" type="button" dataOnly="0" labelOnly="1" outline="0" axis="axisRow" fieldPosition="0"/>
    </format>
    <format dxfId="163">
      <pivotArea dataOnly="0" labelOnly="1" fieldPosition="0">
        <references count="1">
          <reference field="7" count="0"/>
        </references>
      </pivotArea>
    </format>
    <format dxfId="164">
      <pivotArea dataOnly="0" labelOnly="1" grandRow="1" outline="0" fieldPosition="0"/>
    </format>
    <format dxfId="165">
      <pivotArea dataOnly="0" labelOnly="1" outline="0" axis="axisValues" fieldPosition="0"/>
    </format>
    <format dxfId="166">
      <pivotArea type="all" dataOnly="0" outline="0" fieldPosition="0"/>
    </format>
    <format dxfId="167">
      <pivotArea outline="0" collapsedLevelsAreSubtotals="1" fieldPosition="0"/>
    </format>
    <format dxfId="168">
      <pivotArea field="7" type="button" dataOnly="0" labelOnly="1" outline="0" axis="axisRow" fieldPosition="0"/>
    </format>
    <format dxfId="169">
      <pivotArea dataOnly="0" labelOnly="1" fieldPosition="0">
        <references count="1">
          <reference field="7" count="0"/>
        </references>
      </pivotArea>
    </format>
    <format dxfId="170">
      <pivotArea dataOnly="0" labelOnly="1" grandRow="1" outline="0" fieldPosition="0"/>
    </format>
    <format dxfId="171">
      <pivotArea dataOnly="0" labelOnly="1" outline="0" axis="axisValues" fieldPosition="0"/>
    </format>
    <format dxfId="172">
      <pivotArea type="all" dataOnly="0" outline="0" fieldPosition="0"/>
    </format>
    <format dxfId="173">
      <pivotArea outline="0" collapsedLevelsAreSubtotals="1" fieldPosition="0"/>
    </format>
    <format dxfId="174">
      <pivotArea field="7" type="button" dataOnly="0" labelOnly="1" outline="0" axis="axisRow" fieldPosition="0"/>
    </format>
    <format dxfId="175">
      <pivotArea dataOnly="0" labelOnly="1" fieldPosition="0">
        <references count="1">
          <reference field="7" count="0"/>
        </references>
      </pivotArea>
    </format>
    <format dxfId="176">
      <pivotArea dataOnly="0" labelOnly="1" grandRow="1" outline="0" fieldPosition="0"/>
    </format>
    <format dxfId="1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68E87-7F16-46CB-A552-9DFCB04A86FF}" name="Table1" displayName="Table1" ref="A1:J611" totalsRowShown="0" headerRowDxfId="203" dataDxfId="202">
  <autoFilter ref="A1:J611" xr:uid="{6E068E87-7F16-46CB-A552-9DFCB04A86FF}"/>
  <tableColumns count="10">
    <tableColumn id="1" xr3:uid="{3053F305-8592-41BF-BF8C-7923F81E6FF8}" name="Instant" dataDxfId="201"/>
    <tableColumn id="2" xr3:uid="{23EF120D-4F5F-4C75-8023-2E6A673E3EE5}" name="Date" dataDxfId="200"/>
    <tableColumn id="3" xr3:uid="{C037D245-F1C9-4244-A922-5689ED7496C6}" name="season" dataDxfId="199"/>
    <tableColumn id="4" xr3:uid="{54D3A98F-D075-4283-B501-338D240CC2D4}" name="Year" dataDxfId="198"/>
    <tableColumn id="5" xr3:uid="{F263313A-A4C1-4010-A212-45D999F3A977}" name="Month" dataDxfId="197"/>
    <tableColumn id="6" xr3:uid="{0C28E901-6F0D-41A2-B6D9-198A29D9B2D5}" name="Hour" dataDxfId="196"/>
    <tableColumn id="7" xr3:uid="{E19D23FB-ED8D-4B15-9CDC-3B1185F043AC}" name="holiday" dataDxfId="195"/>
    <tableColumn id="8" xr3:uid="{F9BCB600-1485-4761-A81F-D2B0D205C821}" name="weekday" dataDxfId="194"/>
    <tableColumn id="9" xr3:uid="{4EF8C0B0-FA57-4ACA-AA0C-C2864973BFAE}" name="weathersit" dataDxfId="193"/>
    <tableColumn id="10" xr3:uid="{7CC01237-A636-4B7F-A15A-DCD613890757}" name="temp" dataDxfId="19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D483A8-2152-4914-990B-44C17407544E}" name="Table13" displayName="Table13" ref="A1:M611" totalsRowShown="0" headerRowDxfId="191" dataDxfId="190" headerRowBorderDxfId="188" tableBorderDxfId="189" totalsRowBorderDxfId="187">
  <autoFilter ref="A1:M611" xr:uid="{CCD483A8-2152-4914-990B-44C17407544E}"/>
  <tableColumns count="13">
    <tableColumn id="1" xr3:uid="{0B90C78C-F02A-4501-91B1-10F31B11E66D}" name="Instant" dataDxfId="186"/>
    <tableColumn id="2" xr3:uid="{70EF1C6C-FB92-4978-8FCA-8FCF53438AF3}" name="Date" dataDxfId="185"/>
    <tableColumn id="3" xr3:uid="{4CFD1A21-79CE-4532-A3C1-B6F238C80D0B}" name="Season" dataDxfId="184"/>
    <tableColumn id="4" xr3:uid="{B99179DA-6B8F-4A39-8C01-946FCEE9D275}" name="yr" dataDxfId="183"/>
    <tableColumn id="5" xr3:uid="{0B475619-812B-4EDA-B89C-468A67F42BE3}" name="mnth" dataDxfId="182"/>
    <tableColumn id="6" xr3:uid="{44B24234-82EB-425D-8E3D-51746D72FABD}" name="hr" dataDxfId="181"/>
    <tableColumn id="11" xr3:uid="{752B88B1-07B0-44F5-A521-779E5B05343B}" name="time of day" dataDxfId="97">
      <calculatedColumnFormula array="1">_xlfn.IFS(F2&lt;4,"Night",F2&lt;=6,"Early Morning",F2&lt;11,"Morning",F2&lt;12,"Afternoon",F2&lt;=16,"Afternoon",F2&lt;=20,"Evening",F2&gt;=21,"Night")</calculatedColumnFormula>
    </tableColumn>
    <tableColumn id="7" xr3:uid="{68860C94-AFC5-4B0B-BC1C-682A27847660}" name="holiday" dataDxfId="180"/>
    <tableColumn id="8" xr3:uid="{6F2F2225-DE7A-4066-BC96-AF53890A0C18}" name="weekday" dataDxfId="179"/>
    <tableColumn id="9" xr3:uid="{43E9B752-39AF-4EB0-AE40-725993E57059}" name="Weather_Situation" dataDxfId="178"/>
    <tableColumn id="12" xr3:uid="{3C764F31-87DA-4180-ACFA-0F56B8739C83}" name="Weather" dataDxfId="94">
      <calculatedColumnFormula array="1">_xlfn.IFS(J2=1,"Clear",J2=2,"Mist/Cloudy",J2=3,"Rain",J2=4,"Heavy Rain/Thunderstorm")</calculatedColumnFormula>
    </tableColumn>
    <tableColumn id="13" xr3:uid="{5ADC94E7-ED14-4BF6-8AEE-0A9C2C7ECDE7}" name="Temp" dataDxfId="96"/>
    <tableColumn id="10" xr3:uid="{1667B774-37CF-403E-AE95-557BDA84D309}" name="Temperature" dataDxfId="95">
      <calculatedColumnFormula array="1">_xlfn.IFS(L2&lt;0.15,"Cold",L2&lt;0.25,"Mild",L2&lt;=0.32,"Warm",L2&gt;=0.33,"Hot")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2A928D-E284-4074-A6BB-6DFA4F84BF55}" name="Table3" displayName="Table3" ref="A1:E47" totalsRowShown="0">
  <autoFilter ref="A1:E47" xr:uid="{032A928D-E284-4074-A6BB-6DFA4F84BF55}"/>
  <tableColumns count="5">
    <tableColumn id="1" xr3:uid="{BB97B251-C893-4461-8C29-722068301E06}" name="Date" dataDxfId="3"/>
    <tableColumn id="2" xr3:uid="{AC88A5E7-FC84-4101-B3B5-B7EB4CAB60F2}" name="Temp"/>
    <tableColumn id="3" xr3:uid="{83E9E065-648E-4841-B09F-746FE37CD739}" name="Forecast(Temp)" dataDxfId="2">
      <calculatedColumnFormula>_xlfn.FORECAST.ETS(A2,$B$2:$B$29,$A$2:$A$29,1,1)</calculatedColumnFormula>
    </tableColumn>
    <tableColumn id="4" xr3:uid="{E74B6DF3-FF43-428C-8990-A75C516EC972}" name="Lower Confidence Bound(Temp)" dataDxfId="1">
      <calculatedColumnFormula>C2-_xlfn.FORECAST.ETS.CONFINT(A2,$B$2:$B$29,$A$2:$A$29,0.95,1,1)</calculatedColumnFormula>
    </tableColumn>
    <tableColumn id="5" xr3:uid="{7320DEB1-F686-4744-85D1-07CA6790E048}" name="Upper Confidence Bound(Temp)" dataDxfId="0">
      <calculatedColumnFormula>C2+_xlfn.FORECAST.ETS.CONFINT(A2,$B$2:$B$29,$A$2:$A$29,0.95,1,1)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08T12:08:58.58" personId="{5F54A3B0-C44A-4AB3-A15B-99B695953707}" id="{4940B70E-EB47-4A0B-BEE9-1EF3C39D42EE}">
    <text>This datashet is incomplete if we check the 2 and 3, so dataset 1 and 2 should be combined so that we can merge 3 with that.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1"/>
  <sheetViews>
    <sheetView workbookViewId="0">
      <selection activeCell="H13" sqref="H13"/>
    </sheetView>
  </sheetViews>
  <sheetFormatPr defaultRowHeight="14.4" x14ac:dyDescent="0.3"/>
  <cols>
    <col min="1" max="1" width="8.77734375" bestFit="1" customWidth="1"/>
    <col min="2" max="2" width="10.109375" bestFit="1" customWidth="1"/>
    <col min="3" max="3" width="8.6640625" bestFit="1" customWidth="1"/>
    <col min="4" max="4" width="6.77734375" bestFit="1" customWidth="1"/>
    <col min="5" max="5" width="8.5546875" bestFit="1" customWidth="1"/>
    <col min="6" max="6" width="7.109375" bestFit="1" customWidth="1"/>
    <col min="8" max="8" width="10.33203125" bestFit="1" customWidth="1"/>
    <col min="9" max="9" width="11.77734375" bestFit="1" customWidth="1"/>
    <col min="10" max="10" width="7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3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3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3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x14ac:dyDescent="0.3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3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3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3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3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3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3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3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3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3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3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3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3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3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3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3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3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3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3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3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3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3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3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3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3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3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3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3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3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3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3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3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3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3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3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3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3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3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3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3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3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3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3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3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3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3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3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3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3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3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3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3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3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3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3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3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3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3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3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3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3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3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3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3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3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3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3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3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3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3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3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3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3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3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3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3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3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3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3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3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3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3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3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3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3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3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3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3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3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3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3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3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3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3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3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3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3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3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3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3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3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3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3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3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3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3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3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3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3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3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3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3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3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3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3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3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3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3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3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3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3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3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3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3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3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3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3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3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3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3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3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3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3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3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3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3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3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3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3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3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3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3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3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3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3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3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3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3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3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3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3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3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3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3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3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3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3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3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3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3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3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3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3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3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3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3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3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3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3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3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3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3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3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3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3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3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3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3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3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3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3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3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3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3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3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3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3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3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3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3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3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3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3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3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3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3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3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3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3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3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3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3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3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3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3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3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3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3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3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3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3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3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3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3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3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3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3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3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3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3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3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3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3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3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3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3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3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3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3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3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3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3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3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3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3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3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3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3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3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3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3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3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3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3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3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3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3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3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3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3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3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3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3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3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3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3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3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3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3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3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3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3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3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3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3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3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3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3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3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3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3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3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3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3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3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3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3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3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3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3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3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3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3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3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3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3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3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3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3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3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3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3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3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3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3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3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3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3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3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3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3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3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3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3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3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3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3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3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3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3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3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3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3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3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3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3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3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3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3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3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3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3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3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3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3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3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3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3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3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3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3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3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3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3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3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3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3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3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3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3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3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3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3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3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3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3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3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3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3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3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3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3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3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3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3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3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3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3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3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3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3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3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3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3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3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3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3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3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3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3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3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3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3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3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3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3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3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3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3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3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3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3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3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3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3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3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3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3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3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3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3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3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3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3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3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3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3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3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3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3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3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3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3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3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3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3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3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3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3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3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3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3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3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3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3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3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3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3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3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3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3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3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3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3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3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3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3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3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3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3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3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3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3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3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3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3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3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3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3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3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3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3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3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3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3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3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3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3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3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3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3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3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3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3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3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3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3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3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3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3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3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3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3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3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3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3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3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3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3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3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3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3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3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3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3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3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3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3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3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3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3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3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3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3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3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3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3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3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3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3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3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3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3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3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3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3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3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3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3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3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3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3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3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3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3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3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3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3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3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3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3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3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3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3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3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3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3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3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3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3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3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3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3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3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3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3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3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3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3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3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3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3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3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3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3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3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3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3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3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3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3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3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3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3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3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3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3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3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3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3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3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3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3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3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3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3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3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3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3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3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3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3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3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3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3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3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3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3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3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3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3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3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3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3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3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3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3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3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3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3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3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3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3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3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3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3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3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3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3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3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3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3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3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3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3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3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3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3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3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3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3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3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3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3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3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3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A15C-A3F3-44F9-8F25-4FF215BAC6CD}">
  <dimension ref="A1:M611"/>
  <sheetViews>
    <sheetView topLeftCell="A2" workbookViewId="0">
      <selection activeCell="B611" sqref="A1:M611"/>
    </sheetView>
  </sheetViews>
  <sheetFormatPr defaultRowHeight="14.4" x14ac:dyDescent="0.3"/>
  <cols>
    <col min="2" max="2" width="10.109375" bestFit="1" customWidth="1"/>
  </cols>
  <sheetData>
    <row r="1" spans="1:13" x14ac:dyDescent="0.3">
      <c r="A1" s="3" t="s">
        <v>0</v>
      </c>
      <c r="B1" s="4" t="s">
        <v>1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6</v>
      </c>
      <c r="I1" s="4" t="s">
        <v>7</v>
      </c>
      <c r="J1" s="4" t="s">
        <v>15</v>
      </c>
      <c r="K1" s="5" t="s">
        <v>16</v>
      </c>
      <c r="L1" s="16" t="s">
        <v>18</v>
      </c>
      <c r="M1" s="5" t="s">
        <v>17</v>
      </c>
    </row>
    <row r="2" spans="1:13" x14ac:dyDescent="0.3">
      <c r="A2" s="6">
        <v>1</v>
      </c>
      <c r="B2" s="7">
        <v>40544</v>
      </c>
      <c r="C2" s="8">
        <v>1</v>
      </c>
      <c r="D2" s="8">
        <v>0</v>
      </c>
      <c r="E2" s="8">
        <v>1</v>
      </c>
      <c r="F2" s="8">
        <v>0</v>
      </c>
      <c r="G2" s="8" t="str" cm="1">
        <f t="array" ref="G2">_xlfn.IFS(F2&lt;4,"Night",F2&lt;=6,"Early Morning",F2&lt;11,"Morning",F2&lt;12,"Afternoon",F2&lt;=16,"Afternoon",F2&lt;=20,"Evening",F2&gt;=21,"Night")</f>
        <v>Night</v>
      </c>
      <c r="H2" s="8" t="b">
        <v>0</v>
      </c>
      <c r="I2" s="8">
        <v>6</v>
      </c>
      <c r="J2" s="8">
        <v>1</v>
      </c>
      <c r="K2" s="9" t="str" cm="1">
        <f t="array" ref="K2">_xlfn.IFS(J2=1,"Clear",J2=2,"Mist/Cloudy",J2=3,"Rain",J2=4,"Heavy Rain/Thunderstorm")</f>
        <v>Clear</v>
      </c>
      <c r="L2" s="10">
        <v>0.24</v>
      </c>
      <c r="M2" s="43" t="str" cm="1">
        <f t="array" ref="M2">_xlfn.IFS(L2&lt;0.15,"Cold",L2&lt;0.25,"Mild",L2&lt;=0.32,"Warm",L2&gt;=0.33,"Hot")</f>
        <v>Mild</v>
      </c>
    </row>
    <row r="3" spans="1:13" x14ac:dyDescent="0.3">
      <c r="A3" s="6">
        <v>2</v>
      </c>
      <c r="B3" s="7">
        <v>40544</v>
      </c>
      <c r="C3" s="8">
        <v>1</v>
      </c>
      <c r="D3" s="8">
        <v>0</v>
      </c>
      <c r="E3" s="8">
        <v>1</v>
      </c>
      <c r="F3" s="8">
        <v>1</v>
      </c>
      <c r="G3" s="8" t="str" cm="1">
        <f t="array" ref="G3">_xlfn.IFS(F3&lt;4,"Night",F3&lt;=6,"Early Morning",F3&lt;11,"Morning",F3&lt;12,"Afternoon",F3&lt;=16,"Afternoon",F3&lt;=20,"Evening",F3&gt;=21,"Night")</f>
        <v>Night</v>
      </c>
      <c r="H3" s="8" t="b">
        <v>0</v>
      </c>
      <c r="I3" s="8">
        <v>6</v>
      </c>
      <c r="J3" s="8">
        <v>1</v>
      </c>
      <c r="K3" s="9" t="str" cm="1">
        <f t="array" ref="K3">_xlfn.IFS(J3=1,"Clear",J3=2,"Mist/Cloudy",J3=3,"Rain",J3=4,"Heavy Rain/Thunderstorm")</f>
        <v>Clear</v>
      </c>
      <c r="L3" s="10">
        <v>0.22</v>
      </c>
      <c r="M3" s="42" t="str" cm="1">
        <f t="array" ref="M3">_xlfn.IFS(L3&lt;0.15,"Cold",L3&lt;0.25,"Mild",L3&lt;=0.32,"Warm",L3&gt;=0.33,"Hot")</f>
        <v>Mild</v>
      </c>
    </row>
    <row r="4" spans="1:13" x14ac:dyDescent="0.3">
      <c r="A4" s="6">
        <v>3</v>
      </c>
      <c r="B4" s="7">
        <v>40544</v>
      </c>
      <c r="C4" s="8">
        <v>1</v>
      </c>
      <c r="D4" s="8">
        <v>0</v>
      </c>
      <c r="E4" s="8">
        <v>1</v>
      </c>
      <c r="F4" s="8">
        <v>2</v>
      </c>
      <c r="G4" s="8" t="str" cm="1">
        <f t="array" ref="G4">_xlfn.IFS(F4&lt;4,"Night",F4&lt;=6,"Early Morning",F4&lt;11,"Morning",F4&lt;12,"Afternoon",F4&lt;=16,"Afternoon",F4&lt;=20,"Evening",F4&gt;=21,"Night")</f>
        <v>Night</v>
      </c>
      <c r="H4" s="8" t="b">
        <v>0</v>
      </c>
      <c r="I4" s="8">
        <v>6</v>
      </c>
      <c r="J4" s="8">
        <v>1</v>
      </c>
      <c r="K4" s="9" t="str" cm="1">
        <f t="array" ref="K4">_xlfn.IFS(J4=1,"Clear",J4=2,"Mist/Cloudy",J4=3,"Rain",J4=4,"Heavy Rain/Thunderstorm")</f>
        <v>Clear</v>
      </c>
      <c r="L4" s="10">
        <v>0.22</v>
      </c>
      <c r="M4" s="42" t="str" cm="1">
        <f t="array" ref="M4">_xlfn.IFS(L4&lt;0.15,"Cold",L4&lt;0.25,"Mild",L4&lt;=0.32,"Warm",L4&gt;=0.33,"Hot")</f>
        <v>Mild</v>
      </c>
    </row>
    <row r="5" spans="1:13" x14ac:dyDescent="0.3">
      <c r="A5" s="6">
        <v>4</v>
      </c>
      <c r="B5" s="7">
        <v>40544</v>
      </c>
      <c r="C5" s="8">
        <v>1</v>
      </c>
      <c r="D5" s="8">
        <v>0</v>
      </c>
      <c r="E5" s="8">
        <v>1</v>
      </c>
      <c r="F5" s="8">
        <v>3</v>
      </c>
      <c r="G5" s="8" t="str" cm="1">
        <f t="array" ref="G5">_xlfn.IFS(F5&lt;4,"Night",F5&lt;=6,"Early Morning",F5&lt;11,"Morning",F5&lt;12,"Afternoon",F5&lt;=16,"Afternoon",F5&lt;=20,"Evening",F5&gt;=21,"Night")</f>
        <v>Night</v>
      </c>
      <c r="H5" s="8" t="b">
        <v>0</v>
      </c>
      <c r="I5" s="8">
        <v>6</v>
      </c>
      <c r="J5" s="8">
        <v>1</v>
      </c>
      <c r="K5" s="9" t="str" cm="1">
        <f t="array" ref="K5">_xlfn.IFS(J5=1,"Clear",J5=2,"Mist/Cloudy",J5=3,"Rain",J5=4,"Heavy Rain/Thunderstorm")</f>
        <v>Clear</v>
      </c>
      <c r="L5" s="10">
        <v>0.24</v>
      </c>
      <c r="M5" s="42" t="str" cm="1">
        <f t="array" ref="M5">_xlfn.IFS(L5&lt;0.15,"Cold",L5&lt;0.25,"Mild",L5&lt;=0.32,"Warm",L5&gt;=0.33,"Hot")</f>
        <v>Mild</v>
      </c>
    </row>
    <row r="6" spans="1:13" x14ac:dyDescent="0.3">
      <c r="A6" s="6">
        <v>5</v>
      </c>
      <c r="B6" s="7">
        <v>40544</v>
      </c>
      <c r="C6" s="8">
        <v>1</v>
      </c>
      <c r="D6" s="8">
        <v>0</v>
      </c>
      <c r="E6" s="8">
        <v>1</v>
      </c>
      <c r="F6" s="8">
        <v>4</v>
      </c>
      <c r="G6" s="8" t="str" cm="1">
        <f t="array" ref="G6">_xlfn.IFS(F6&lt;4,"Night",F6&lt;=6,"Early Morning",F6&lt;11,"Morning",F6&lt;12,"Afternoon",F6&lt;=16,"Afternoon",F6&lt;=20,"Evening",F6&gt;=21,"Night")</f>
        <v>Early Morning</v>
      </c>
      <c r="H6" s="8" t="b">
        <v>0</v>
      </c>
      <c r="I6" s="8">
        <v>6</v>
      </c>
      <c r="J6" s="8">
        <v>1</v>
      </c>
      <c r="K6" s="9" t="str" cm="1">
        <f t="array" ref="K6">_xlfn.IFS(J6=1,"Clear",J6=2,"Mist/Cloudy",J6=3,"Rain",J6=4,"Heavy Rain/Thunderstorm")</f>
        <v>Clear</v>
      </c>
      <c r="L6" s="10">
        <v>0.24</v>
      </c>
      <c r="M6" s="42" t="str" cm="1">
        <f t="array" ref="M6">_xlfn.IFS(L6&lt;0.15,"Cold",L6&lt;0.25,"Mild",L6&lt;=0.32,"Warm",L6&gt;=0.33,"Hot")</f>
        <v>Mild</v>
      </c>
    </row>
    <row r="7" spans="1:13" x14ac:dyDescent="0.3">
      <c r="A7" s="6">
        <v>6</v>
      </c>
      <c r="B7" s="7">
        <v>40544</v>
      </c>
      <c r="C7" s="8">
        <v>1</v>
      </c>
      <c r="D7" s="8">
        <v>0</v>
      </c>
      <c r="E7" s="8">
        <v>1</v>
      </c>
      <c r="F7" s="8">
        <v>5</v>
      </c>
      <c r="G7" s="8" t="str" cm="1">
        <f t="array" ref="G7">_xlfn.IFS(F7&lt;4,"Night",F7&lt;=6,"Early Morning",F7&lt;11,"Morning",F7&lt;12,"Afternoon",F7&lt;=16,"Afternoon",F7&lt;=20,"Evening",F7&gt;=21,"Night")</f>
        <v>Early Morning</v>
      </c>
      <c r="H7" s="8" t="b">
        <v>0</v>
      </c>
      <c r="I7" s="8">
        <v>6</v>
      </c>
      <c r="J7" s="8">
        <v>2</v>
      </c>
      <c r="K7" s="9" t="str" cm="1">
        <f t="array" ref="K7">_xlfn.IFS(J7=1,"Clear",J7=2,"Mist/Cloudy",J7=3,"Rain",J7=4,"Heavy Rain/Thunderstorm")</f>
        <v>Mist/Cloudy</v>
      </c>
      <c r="L7" s="10">
        <v>0.24</v>
      </c>
      <c r="M7" s="42" t="str" cm="1">
        <f t="array" ref="M7">_xlfn.IFS(L7&lt;0.15,"Cold",L7&lt;0.25,"Mild",L7&lt;=0.32,"Warm",L7&gt;=0.33,"Hot")</f>
        <v>Mild</v>
      </c>
    </row>
    <row r="8" spans="1:13" x14ac:dyDescent="0.3">
      <c r="A8" s="6">
        <v>7</v>
      </c>
      <c r="B8" s="7">
        <v>40544</v>
      </c>
      <c r="C8" s="8">
        <v>1</v>
      </c>
      <c r="D8" s="8">
        <v>0</v>
      </c>
      <c r="E8" s="8">
        <v>1</v>
      </c>
      <c r="F8" s="8">
        <v>6</v>
      </c>
      <c r="G8" s="8" t="str" cm="1">
        <f t="array" ref="G8">_xlfn.IFS(F8&lt;4,"Night",F8&lt;=6,"Early Morning",F8&lt;11,"Morning",F8&lt;12,"Afternoon",F8&lt;=16,"Afternoon",F8&lt;=20,"Evening",F8&gt;=21,"Night")</f>
        <v>Early Morning</v>
      </c>
      <c r="H8" s="8" t="b">
        <v>0</v>
      </c>
      <c r="I8" s="8">
        <v>6</v>
      </c>
      <c r="J8" s="8">
        <v>1</v>
      </c>
      <c r="K8" s="9" t="str" cm="1">
        <f t="array" ref="K8">_xlfn.IFS(J8=1,"Clear",J8=2,"Mist/Cloudy",J8=3,"Rain",J8=4,"Heavy Rain/Thunderstorm")</f>
        <v>Clear</v>
      </c>
      <c r="L8" s="10">
        <v>0.22</v>
      </c>
      <c r="M8" s="42" t="str" cm="1">
        <f t="array" ref="M8">_xlfn.IFS(L8&lt;0.15,"Cold",L8&lt;0.25,"Mild",L8&lt;=0.32,"Warm",L8&gt;=0.33,"Hot")</f>
        <v>Mild</v>
      </c>
    </row>
    <row r="9" spans="1:13" x14ac:dyDescent="0.3">
      <c r="A9" s="6">
        <v>8</v>
      </c>
      <c r="B9" s="7">
        <v>40544</v>
      </c>
      <c r="C9" s="8">
        <v>1</v>
      </c>
      <c r="D9" s="8">
        <v>0</v>
      </c>
      <c r="E9" s="8">
        <v>1</v>
      </c>
      <c r="F9" s="8">
        <v>7</v>
      </c>
      <c r="G9" s="8" t="str" cm="1">
        <f t="array" ref="G9">_xlfn.IFS(F9&lt;4,"Night",F9&lt;=6,"Early Morning",F9&lt;11,"Morning",F9&lt;12,"Afternoon",F9&lt;=16,"Afternoon",F9&lt;=20,"Evening",F9&gt;=21,"Night")</f>
        <v>Morning</v>
      </c>
      <c r="H9" s="8" t="b">
        <v>0</v>
      </c>
      <c r="I9" s="8">
        <v>6</v>
      </c>
      <c r="J9" s="8">
        <v>1</v>
      </c>
      <c r="K9" s="9" t="str" cm="1">
        <f t="array" ref="K9">_xlfn.IFS(J9=1,"Clear",J9=2,"Mist/Cloudy",J9=3,"Rain",J9=4,"Heavy Rain/Thunderstorm")</f>
        <v>Clear</v>
      </c>
      <c r="L9" s="10">
        <v>0.2</v>
      </c>
      <c r="M9" s="42" t="str" cm="1">
        <f t="array" ref="M9">_xlfn.IFS(L9&lt;0.15,"Cold",L9&lt;0.25,"Mild",L9&lt;=0.32,"Warm",L9&gt;=0.33,"Hot")</f>
        <v>Mild</v>
      </c>
    </row>
    <row r="10" spans="1:13" x14ac:dyDescent="0.3">
      <c r="A10" s="6">
        <v>9</v>
      </c>
      <c r="B10" s="7">
        <v>40544</v>
      </c>
      <c r="C10" s="8">
        <v>1</v>
      </c>
      <c r="D10" s="8">
        <v>0</v>
      </c>
      <c r="E10" s="8">
        <v>1</v>
      </c>
      <c r="F10" s="8">
        <v>8</v>
      </c>
      <c r="G10" s="8" t="str" cm="1">
        <f t="array" ref="G10">_xlfn.IFS(F10&lt;4,"Night",F10&lt;=6,"Early Morning",F10&lt;11,"Morning",F10&lt;12,"Afternoon",F10&lt;=16,"Afternoon",F10&lt;=20,"Evening",F10&gt;=21,"Night")</f>
        <v>Morning</v>
      </c>
      <c r="H10" s="8" t="b">
        <v>0</v>
      </c>
      <c r="I10" s="8">
        <v>6</v>
      </c>
      <c r="J10" s="8">
        <v>1</v>
      </c>
      <c r="K10" s="9" t="str" cm="1">
        <f t="array" ref="K10">_xlfn.IFS(J10=1,"Clear",J10=2,"Mist/Cloudy",J10=3,"Rain",J10=4,"Heavy Rain/Thunderstorm")</f>
        <v>Clear</v>
      </c>
      <c r="L10" s="10">
        <v>0.24</v>
      </c>
      <c r="M10" s="42" t="str" cm="1">
        <f t="array" ref="M10">_xlfn.IFS(L10&lt;0.15,"Cold",L10&lt;0.25,"Mild",L10&lt;=0.32,"Warm",L10&gt;=0.33,"Hot")</f>
        <v>Mild</v>
      </c>
    </row>
    <row r="11" spans="1:13" x14ac:dyDescent="0.3">
      <c r="A11" s="6">
        <v>10</v>
      </c>
      <c r="B11" s="7">
        <v>40544</v>
      </c>
      <c r="C11" s="8">
        <v>1</v>
      </c>
      <c r="D11" s="8">
        <v>0</v>
      </c>
      <c r="E11" s="8">
        <v>1</v>
      </c>
      <c r="F11" s="8">
        <v>9</v>
      </c>
      <c r="G11" s="8" t="str" cm="1">
        <f t="array" ref="G11">_xlfn.IFS(F11&lt;4,"Night",F11&lt;=6,"Early Morning",F11&lt;11,"Morning",F11&lt;12,"Afternoon",F11&lt;=16,"Afternoon",F11&lt;=20,"Evening",F11&gt;=21,"Night")</f>
        <v>Morning</v>
      </c>
      <c r="H11" s="8" t="b">
        <v>0</v>
      </c>
      <c r="I11" s="8">
        <v>6</v>
      </c>
      <c r="J11" s="8">
        <v>1</v>
      </c>
      <c r="K11" s="9" t="str" cm="1">
        <f t="array" ref="K11">_xlfn.IFS(J11=1,"Clear",J11=2,"Mist/Cloudy",J11=3,"Rain",J11=4,"Heavy Rain/Thunderstorm")</f>
        <v>Clear</v>
      </c>
      <c r="L11" s="10">
        <v>0.32</v>
      </c>
      <c r="M11" s="42" t="str" cm="1">
        <f t="array" ref="M11">_xlfn.IFS(L11&lt;0.15,"Cold",L11&lt;0.25,"Mild",L11&lt;=0.32,"Warm",L11&gt;=0.33,"Hot")</f>
        <v>Warm</v>
      </c>
    </row>
    <row r="12" spans="1:13" x14ac:dyDescent="0.3">
      <c r="A12" s="6">
        <v>11</v>
      </c>
      <c r="B12" s="7">
        <v>40544</v>
      </c>
      <c r="C12" s="8">
        <v>1</v>
      </c>
      <c r="D12" s="8">
        <v>0</v>
      </c>
      <c r="E12" s="8">
        <v>1</v>
      </c>
      <c r="F12" s="8">
        <v>10</v>
      </c>
      <c r="G12" s="8" t="str" cm="1">
        <f t="array" ref="G12">_xlfn.IFS(F12&lt;4,"Night",F12&lt;=6,"Early Morning",F12&lt;11,"Morning",F12&lt;12,"Afternoon",F12&lt;=16,"Afternoon",F12&lt;=20,"Evening",F12&gt;=21,"Night")</f>
        <v>Morning</v>
      </c>
      <c r="H12" s="8" t="b">
        <v>0</v>
      </c>
      <c r="I12" s="8">
        <v>6</v>
      </c>
      <c r="J12" s="8">
        <v>1</v>
      </c>
      <c r="K12" s="9" t="str" cm="1">
        <f t="array" ref="K12">_xlfn.IFS(J12=1,"Clear",J12=2,"Mist/Cloudy",J12=3,"Rain",J12=4,"Heavy Rain/Thunderstorm")</f>
        <v>Clear</v>
      </c>
      <c r="L12" s="10">
        <v>0.38</v>
      </c>
      <c r="M12" s="42" t="str" cm="1">
        <f t="array" ref="M12">_xlfn.IFS(L12&lt;0.15,"Cold",L12&lt;0.25,"Mild",L12&lt;=0.32,"Warm",L12&gt;=0.33,"Hot")</f>
        <v>Hot</v>
      </c>
    </row>
    <row r="13" spans="1:13" x14ac:dyDescent="0.3">
      <c r="A13" s="6">
        <v>12</v>
      </c>
      <c r="B13" s="7">
        <v>40544</v>
      </c>
      <c r="C13" s="8">
        <v>1</v>
      </c>
      <c r="D13" s="8">
        <v>0</v>
      </c>
      <c r="E13" s="8">
        <v>1</v>
      </c>
      <c r="F13" s="8">
        <v>11</v>
      </c>
      <c r="G13" s="8" t="str" cm="1">
        <f t="array" ref="G13">_xlfn.IFS(F13&lt;4,"Night",F13&lt;=6,"Early Morning",F13&lt;11,"Morning",F13&lt;12,"Afternoon",F13&lt;=16,"Afternoon",F13&lt;=20,"Evening",F13&gt;=21,"Night")</f>
        <v>Afternoon</v>
      </c>
      <c r="H13" s="8" t="b">
        <v>0</v>
      </c>
      <c r="I13" s="8">
        <v>6</v>
      </c>
      <c r="J13" s="8">
        <v>1</v>
      </c>
      <c r="K13" s="9" t="str" cm="1">
        <f t="array" ref="K13">_xlfn.IFS(J13=1,"Clear",J13=2,"Mist/Cloudy",J13=3,"Rain",J13=4,"Heavy Rain/Thunderstorm")</f>
        <v>Clear</v>
      </c>
      <c r="L13" s="10">
        <v>0.36</v>
      </c>
      <c r="M13" s="42" t="str" cm="1">
        <f t="array" ref="M13">_xlfn.IFS(L13&lt;0.15,"Cold",L13&lt;0.25,"Mild",L13&lt;=0.32,"Warm",L13&gt;=0.33,"Hot")</f>
        <v>Hot</v>
      </c>
    </row>
    <row r="14" spans="1:13" x14ac:dyDescent="0.3">
      <c r="A14" s="6">
        <v>13</v>
      </c>
      <c r="B14" s="7">
        <v>40544</v>
      </c>
      <c r="C14" s="8">
        <v>1</v>
      </c>
      <c r="D14" s="8">
        <v>0</v>
      </c>
      <c r="E14" s="8">
        <v>1</v>
      </c>
      <c r="F14" s="8">
        <v>12</v>
      </c>
      <c r="G14" s="8" t="str" cm="1">
        <f t="array" ref="G14">_xlfn.IFS(F14&lt;4,"Night",F14&lt;=6,"Early Morning",F14&lt;11,"Morning",F14&lt;12,"Afternoon",F14&lt;=16,"Afternoon",F14&lt;=20,"Evening",F14&gt;=21,"Night")</f>
        <v>Afternoon</v>
      </c>
      <c r="H14" s="8" t="b">
        <v>0</v>
      </c>
      <c r="I14" s="8">
        <v>6</v>
      </c>
      <c r="J14" s="8">
        <v>1</v>
      </c>
      <c r="K14" s="9" t="str" cm="1">
        <f t="array" ref="K14">_xlfn.IFS(J14=1,"Clear",J14=2,"Mist/Cloudy",J14=3,"Rain",J14=4,"Heavy Rain/Thunderstorm")</f>
        <v>Clear</v>
      </c>
      <c r="L14" s="10">
        <v>0.42</v>
      </c>
      <c r="M14" s="42" t="str" cm="1">
        <f t="array" ref="M14">_xlfn.IFS(L14&lt;0.15,"Cold",L14&lt;0.25,"Mild",L14&lt;=0.32,"Warm",L14&gt;=0.33,"Hot")</f>
        <v>Hot</v>
      </c>
    </row>
    <row r="15" spans="1:13" x14ac:dyDescent="0.3">
      <c r="A15" s="6">
        <v>14</v>
      </c>
      <c r="B15" s="7">
        <v>40544</v>
      </c>
      <c r="C15" s="8">
        <v>1</v>
      </c>
      <c r="D15" s="8">
        <v>0</v>
      </c>
      <c r="E15" s="8">
        <v>1</v>
      </c>
      <c r="F15" s="8">
        <v>13</v>
      </c>
      <c r="G15" s="8" t="str" cm="1">
        <f t="array" ref="G15">_xlfn.IFS(F15&lt;4,"Night",F15&lt;=6,"Early Morning",F15&lt;11,"Morning",F15&lt;12,"Afternoon",F15&lt;=16,"Afternoon",F15&lt;=20,"Evening",F15&gt;=21,"Night")</f>
        <v>Afternoon</v>
      </c>
      <c r="H15" s="8" t="b">
        <v>0</v>
      </c>
      <c r="I15" s="8">
        <v>6</v>
      </c>
      <c r="J15" s="8">
        <v>2</v>
      </c>
      <c r="K15" s="9" t="str" cm="1">
        <f t="array" ref="K15">_xlfn.IFS(J15=1,"Clear",J15=2,"Mist/Cloudy",J15=3,"Rain",J15=4,"Heavy Rain/Thunderstorm")</f>
        <v>Mist/Cloudy</v>
      </c>
      <c r="L15" s="10">
        <v>0.46</v>
      </c>
      <c r="M15" s="42" t="str" cm="1">
        <f t="array" ref="M15">_xlfn.IFS(L15&lt;0.15,"Cold",L15&lt;0.25,"Mild",L15&lt;=0.32,"Warm",L15&gt;=0.33,"Hot")</f>
        <v>Hot</v>
      </c>
    </row>
    <row r="16" spans="1:13" x14ac:dyDescent="0.3">
      <c r="A16" s="6">
        <v>15</v>
      </c>
      <c r="B16" s="7">
        <v>40544</v>
      </c>
      <c r="C16" s="8">
        <v>1</v>
      </c>
      <c r="D16" s="8">
        <v>0</v>
      </c>
      <c r="E16" s="8">
        <v>1</v>
      </c>
      <c r="F16" s="8">
        <v>14</v>
      </c>
      <c r="G16" s="8" t="str" cm="1">
        <f t="array" ref="G16">_xlfn.IFS(F16&lt;4,"Night",F16&lt;=6,"Early Morning",F16&lt;11,"Morning",F16&lt;12,"Afternoon",F16&lt;=16,"Afternoon",F16&lt;=20,"Evening",F16&gt;=21,"Night")</f>
        <v>Afternoon</v>
      </c>
      <c r="H16" s="8" t="b">
        <v>0</v>
      </c>
      <c r="I16" s="8">
        <v>6</v>
      </c>
      <c r="J16" s="8">
        <v>2</v>
      </c>
      <c r="K16" s="9" t="str" cm="1">
        <f t="array" ref="K16">_xlfn.IFS(J16=1,"Clear",J16=2,"Mist/Cloudy",J16=3,"Rain",J16=4,"Heavy Rain/Thunderstorm")</f>
        <v>Mist/Cloudy</v>
      </c>
      <c r="L16" s="10">
        <v>0.46</v>
      </c>
      <c r="M16" s="42" t="str" cm="1">
        <f t="array" ref="M16">_xlfn.IFS(L16&lt;0.15,"Cold",L16&lt;0.25,"Mild",L16&lt;=0.32,"Warm",L16&gt;=0.33,"Hot")</f>
        <v>Hot</v>
      </c>
    </row>
    <row r="17" spans="1:13" x14ac:dyDescent="0.3">
      <c r="A17" s="6">
        <v>16</v>
      </c>
      <c r="B17" s="7">
        <v>40544</v>
      </c>
      <c r="C17" s="8">
        <v>1</v>
      </c>
      <c r="D17" s="8">
        <v>0</v>
      </c>
      <c r="E17" s="8">
        <v>1</v>
      </c>
      <c r="F17" s="8">
        <v>15</v>
      </c>
      <c r="G17" s="8" t="str" cm="1">
        <f t="array" ref="G17">_xlfn.IFS(F17&lt;4,"Night",F17&lt;=6,"Early Morning",F17&lt;11,"Morning",F17&lt;12,"Afternoon",F17&lt;=16,"Afternoon",F17&lt;=20,"Evening",F17&gt;=21,"Night")</f>
        <v>Afternoon</v>
      </c>
      <c r="H17" s="8" t="b">
        <v>0</v>
      </c>
      <c r="I17" s="8">
        <v>6</v>
      </c>
      <c r="J17" s="8">
        <v>2</v>
      </c>
      <c r="K17" s="9" t="str" cm="1">
        <f t="array" ref="K17">_xlfn.IFS(J17=1,"Clear",J17=2,"Mist/Cloudy",J17=3,"Rain",J17=4,"Heavy Rain/Thunderstorm")</f>
        <v>Mist/Cloudy</v>
      </c>
      <c r="L17" s="10">
        <v>0.44</v>
      </c>
      <c r="M17" s="42" t="str" cm="1">
        <f t="array" ref="M17">_xlfn.IFS(L17&lt;0.15,"Cold",L17&lt;0.25,"Mild",L17&lt;=0.32,"Warm",L17&gt;=0.33,"Hot")</f>
        <v>Hot</v>
      </c>
    </row>
    <row r="18" spans="1:13" x14ac:dyDescent="0.3">
      <c r="A18" s="6">
        <v>17</v>
      </c>
      <c r="B18" s="7">
        <v>40544</v>
      </c>
      <c r="C18" s="8">
        <v>1</v>
      </c>
      <c r="D18" s="8">
        <v>0</v>
      </c>
      <c r="E18" s="8">
        <v>1</v>
      </c>
      <c r="F18" s="8">
        <v>16</v>
      </c>
      <c r="G18" s="8" t="str" cm="1">
        <f t="array" ref="G18">_xlfn.IFS(F18&lt;4,"Night",F18&lt;=6,"Early Morning",F18&lt;11,"Morning",F18&lt;12,"Afternoon",F18&lt;=16,"Afternoon",F18&lt;=20,"Evening",F18&gt;=21,"Night")</f>
        <v>Afternoon</v>
      </c>
      <c r="H18" s="8" t="b">
        <v>0</v>
      </c>
      <c r="I18" s="8">
        <v>6</v>
      </c>
      <c r="J18" s="8">
        <v>2</v>
      </c>
      <c r="K18" s="9" t="str" cm="1">
        <f t="array" ref="K18">_xlfn.IFS(J18=1,"Clear",J18=2,"Mist/Cloudy",J18=3,"Rain",J18=4,"Heavy Rain/Thunderstorm")</f>
        <v>Mist/Cloudy</v>
      </c>
      <c r="L18" s="10">
        <v>0.42</v>
      </c>
      <c r="M18" s="42" t="str" cm="1">
        <f t="array" ref="M18">_xlfn.IFS(L18&lt;0.15,"Cold",L18&lt;0.25,"Mild",L18&lt;=0.32,"Warm",L18&gt;=0.33,"Hot")</f>
        <v>Hot</v>
      </c>
    </row>
    <row r="19" spans="1:13" x14ac:dyDescent="0.3">
      <c r="A19" s="6">
        <v>18</v>
      </c>
      <c r="B19" s="7">
        <v>40544</v>
      </c>
      <c r="C19" s="8">
        <v>1</v>
      </c>
      <c r="D19" s="8">
        <v>0</v>
      </c>
      <c r="E19" s="8">
        <v>1</v>
      </c>
      <c r="F19" s="8">
        <v>17</v>
      </c>
      <c r="G19" s="8" t="str" cm="1">
        <f t="array" ref="G19">_xlfn.IFS(F19&lt;4,"Night",F19&lt;=6,"Early Morning",F19&lt;11,"Morning",F19&lt;12,"Afternoon",F19&lt;=16,"Afternoon",F19&lt;=20,"Evening",F19&gt;=21,"Night")</f>
        <v>Evening</v>
      </c>
      <c r="H19" s="8" t="b">
        <v>0</v>
      </c>
      <c r="I19" s="8">
        <v>6</v>
      </c>
      <c r="J19" s="8">
        <v>2</v>
      </c>
      <c r="K19" s="9" t="str" cm="1">
        <f t="array" ref="K19">_xlfn.IFS(J19=1,"Clear",J19=2,"Mist/Cloudy",J19=3,"Rain",J19=4,"Heavy Rain/Thunderstorm")</f>
        <v>Mist/Cloudy</v>
      </c>
      <c r="L19" s="10">
        <v>0.44</v>
      </c>
      <c r="M19" s="42" t="str" cm="1">
        <f t="array" ref="M19">_xlfn.IFS(L19&lt;0.15,"Cold",L19&lt;0.25,"Mild",L19&lt;=0.32,"Warm",L19&gt;=0.33,"Hot")</f>
        <v>Hot</v>
      </c>
    </row>
    <row r="20" spans="1:13" x14ac:dyDescent="0.3">
      <c r="A20" s="6">
        <v>19</v>
      </c>
      <c r="B20" s="7">
        <v>40544</v>
      </c>
      <c r="C20" s="8">
        <v>1</v>
      </c>
      <c r="D20" s="8">
        <v>0</v>
      </c>
      <c r="E20" s="8">
        <v>1</v>
      </c>
      <c r="F20" s="8">
        <v>18</v>
      </c>
      <c r="G20" s="8" t="str" cm="1">
        <f t="array" ref="G20">_xlfn.IFS(F20&lt;4,"Night",F20&lt;=6,"Early Morning",F20&lt;11,"Morning",F20&lt;12,"Afternoon",F20&lt;=16,"Afternoon",F20&lt;=20,"Evening",F20&gt;=21,"Night")</f>
        <v>Evening</v>
      </c>
      <c r="H20" s="8" t="b">
        <v>0</v>
      </c>
      <c r="I20" s="8">
        <v>6</v>
      </c>
      <c r="J20" s="8">
        <v>3</v>
      </c>
      <c r="K20" s="9" t="str" cm="1">
        <f t="array" ref="K20">_xlfn.IFS(J20=1,"Clear",J20=2,"Mist/Cloudy",J20=3,"Rain",J20=4,"Heavy Rain/Thunderstorm")</f>
        <v>Rain</v>
      </c>
      <c r="L20" s="10">
        <v>0.42</v>
      </c>
      <c r="M20" s="42" t="str" cm="1">
        <f t="array" ref="M20">_xlfn.IFS(L20&lt;0.15,"Cold",L20&lt;0.25,"Mild",L20&lt;=0.32,"Warm",L20&gt;=0.33,"Hot")</f>
        <v>Hot</v>
      </c>
    </row>
    <row r="21" spans="1:13" x14ac:dyDescent="0.3">
      <c r="A21" s="6">
        <v>20</v>
      </c>
      <c r="B21" s="7">
        <v>40544</v>
      </c>
      <c r="C21" s="8">
        <v>1</v>
      </c>
      <c r="D21" s="8">
        <v>0</v>
      </c>
      <c r="E21" s="8">
        <v>1</v>
      </c>
      <c r="F21" s="8">
        <v>19</v>
      </c>
      <c r="G21" s="8" t="str" cm="1">
        <f t="array" ref="G21">_xlfn.IFS(F21&lt;4,"Night",F21&lt;=6,"Early Morning",F21&lt;11,"Morning",F21&lt;12,"Afternoon",F21&lt;=16,"Afternoon",F21&lt;=20,"Evening",F21&gt;=21,"Night")</f>
        <v>Evening</v>
      </c>
      <c r="H21" s="8" t="b">
        <v>0</v>
      </c>
      <c r="I21" s="8">
        <v>6</v>
      </c>
      <c r="J21" s="8">
        <v>3</v>
      </c>
      <c r="K21" s="9" t="str" cm="1">
        <f t="array" ref="K21">_xlfn.IFS(J21=1,"Clear",J21=2,"Mist/Cloudy",J21=3,"Rain",J21=4,"Heavy Rain/Thunderstorm")</f>
        <v>Rain</v>
      </c>
      <c r="L21" s="10">
        <v>0.42</v>
      </c>
      <c r="M21" s="42" t="str" cm="1">
        <f t="array" ref="M21">_xlfn.IFS(L21&lt;0.15,"Cold",L21&lt;0.25,"Mild",L21&lt;=0.32,"Warm",L21&gt;=0.33,"Hot")</f>
        <v>Hot</v>
      </c>
    </row>
    <row r="22" spans="1:13" x14ac:dyDescent="0.3">
      <c r="A22" s="6">
        <v>21</v>
      </c>
      <c r="B22" s="7">
        <v>40544</v>
      </c>
      <c r="C22" s="8">
        <v>1</v>
      </c>
      <c r="D22" s="8">
        <v>0</v>
      </c>
      <c r="E22" s="8">
        <v>1</v>
      </c>
      <c r="F22" s="8">
        <v>20</v>
      </c>
      <c r="G22" s="8" t="str" cm="1">
        <f t="array" ref="G22">_xlfn.IFS(F22&lt;4,"Night",F22&lt;=6,"Early Morning",F22&lt;11,"Morning",F22&lt;12,"Afternoon",F22&lt;=16,"Afternoon",F22&lt;=20,"Evening",F22&gt;=21,"Night")</f>
        <v>Evening</v>
      </c>
      <c r="H22" s="8" t="b">
        <v>0</v>
      </c>
      <c r="I22" s="8">
        <v>6</v>
      </c>
      <c r="J22" s="8">
        <v>2</v>
      </c>
      <c r="K22" s="9" t="str" cm="1">
        <f t="array" ref="K22">_xlfn.IFS(J22=1,"Clear",J22=2,"Mist/Cloudy",J22=3,"Rain",J22=4,"Heavy Rain/Thunderstorm")</f>
        <v>Mist/Cloudy</v>
      </c>
      <c r="L22" s="10">
        <v>0.4</v>
      </c>
      <c r="M22" s="42" t="str" cm="1">
        <f t="array" ref="M22">_xlfn.IFS(L22&lt;0.15,"Cold",L22&lt;0.25,"Mild",L22&lt;=0.32,"Warm",L22&gt;=0.33,"Hot")</f>
        <v>Hot</v>
      </c>
    </row>
    <row r="23" spans="1:13" x14ac:dyDescent="0.3">
      <c r="A23" s="6">
        <v>22</v>
      </c>
      <c r="B23" s="7">
        <v>40544</v>
      </c>
      <c r="C23" s="8">
        <v>1</v>
      </c>
      <c r="D23" s="8">
        <v>0</v>
      </c>
      <c r="E23" s="8">
        <v>1</v>
      </c>
      <c r="F23" s="8">
        <v>21</v>
      </c>
      <c r="G23" s="8" t="str" cm="1">
        <f t="array" ref="G23">_xlfn.IFS(F23&lt;4,"Night",F23&lt;=6,"Early Morning",F23&lt;11,"Morning",F23&lt;12,"Afternoon",F23&lt;=16,"Afternoon",F23&lt;=20,"Evening",F23&gt;=21,"Night")</f>
        <v>Night</v>
      </c>
      <c r="H23" s="8" t="b">
        <v>0</v>
      </c>
      <c r="I23" s="8">
        <v>6</v>
      </c>
      <c r="J23" s="8">
        <v>2</v>
      </c>
      <c r="K23" s="9" t="str" cm="1">
        <f t="array" ref="K23">_xlfn.IFS(J23=1,"Clear",J23=2,"Mist/Cloudy",J23=3,"Rain",J23=4,"Heavy Rain/Thunderstorm")</f>
        <v>Mist/Cloudy</v>
      </c>
      <c r="L23" s="10">
        <v>0.4</v>
      </c>
      <c r="M23" s="42" t="str" cm="1">
        <f t="array" ref="M23">_xlfn.IFS(L23&lt;0.15,"Cold",L23&lt;0.25,"Mild",L23&lt;=0.32,"Warm",L23&gt;=0.33,"Hot")</f>
        <v>Hot</v>
      </c>
    </row>
    <row r="24" spans="1:13" x14ac:dyDescent="0.3">
      <c r="A24" s="6">
        <v>23</v>
      </c>
      <c r="B24" s="7">
        <v>40544</v>
      </c>
      <c r="C24" s="8">
        <v>1</v>
      </c>
      <c r="D24" s="8">
        <v>0</v>
      </c>
      <c r="E24" s="8">
        <v>1</v>
      </c>
      <c r="F24" s="8">
        <v>22</v>
      </c>
      <c r="G24" s="8" t="str" cm="1">
        <f t="array" ref="G24">_xlfn.IFS(F24&lt;4,"Night",F24&lt;=6,"Early Morning",F24&lt;11,"Morning",F24&lt;12,"Afternoon",F24&lt;=16,"Afternoon",F24&lt;=20,"Evening",F24&gt;=21,"Night")</f>
        <v>Night</v>
      </c>
      <c r="H24" s="8" t="b">
        <v>0</v>
      </c>
      <c r="I24" s="8">
        <v>6</v>
      </c>
      <c r="J24" s="8">
        <v>2</v>
      </c>
      <c r="K24" s="9" t="str" cm="1">
        <f t="array" ref="K24">_xlfn.IFS(J24=1,"Clear",J24=2,"Mist/Cloudy",J24=3,"Rain",J24=4,"Heavy Rain/Thunderstorm")</f>
        <v>Mist/Cloudy</v>
      </c>
      <c r="L24" s="10">
        <v>0.4</v>
      </c>
      <c r="M24" s="42" t="str" cm="1">
        <f t="array" ref="M24">_xlfn.IFS(L24&lt;0.15,"Cold",L24&lt;0.25,"Mild",L24&lt;=0.32,"Warm",L24&gt;=0.33,"Hot")</f>
        <v>Hot</v>
      </c>
    </row>
    <row r="25" spans="1:13" x14ac:dyDescent="0.3">
      <c r="A25" s="6">
        <v>24</v>
      </c>
      <c r="B25" s="7">
        <v>40544</v>
      </c>
      <c r="C25" s="8">
        <v>1</v>
      </c>
      <c r="D25" s="8">
        <v>0</v>
      </c>
      <c r="E25" s="8">
        <v>1</v>
      </c>
      <c r="F25" s="8">
        <v>23</v>
      </c>
      <c r="G25" s="8" t="str" cm="1">
        <f t="array" ref="G25">_xlfn.IFS(F25&lt;4,"Night",F25&lt;=6,"Early Morning",F25&lt;11,"Morning",F25&lt;12,"Afternoon",F25&lt;=16,"Afternoon",F25&lt;=20,"Evening",F25&gt;=21,"Night")</f>
        <v>Night</v>
      </c>
      <c r="H25" s="8" t="b">
        <v>0</v>
      </c>
      <c r="I25" s="8">
        <v>6</v>
      </c>
      <c r="J25" s="8">
        <v>2</v>
      </c>
      <c r="K25" s="9" t="str" cm="1">
        <f t="array" ref="K25">_xlfn.IFS(J25=1,"Clear",J25=2,"Mist/Cloudy",J25=3,"Rain",J25=4,"Heavy Rain/Thunderstorm")</f>
        <v>Mist/Cloudy</v>
      </c>
      <c r="L25" s="10">
        <v>0.46</v>
      </c>
      <c r="M25" s="42" t="str" cm="1">
        <f t="array" ref="M25">_xlfn.IFS(L25&lt;0.15,"Cold",L25&lt;0.25,"Mild",L25&lt;=0.32,"Warm",L25&gt;=0.33,"Hot")</f>
        <v>Hot</v>
      </c>
    </row>
    <row r="26" spans="1:13" x14ac:dyDescent="0.3">
      <c r="A26" s="6">
        <v>25</v>
      </c>
      <c r="B26" s="7">
        <v>40545</v>
      </c>
      <c r="C26" s="8">
        <v>1</v>
      </c>
      <c r="D26" s="8">
        <v>0</v>
      </c>
      <c r="E26" s="8">
        <v>1</v>
      </c>
      <c r="F26" s="8">
        <v>0</v>
      </c>
      <c r="G26" s="8" t="str" cm="1">
        <f t="array" ref="G26">_xlfn.IFS(F26&lt;4,"Night",F26&lt;=6,"Early Morning",F26&lt;11,"Morning",F26&lt;12,"Afternoon",F26&lt;=16,"Afternoon",F26&lt;=20,"Evening",F26&gt;=21,"Night")</f>
        <v>Night</v>
      </c>
      <c r="H26" s="8" t="b">
        <v>0</v>
      </c>
      <c r="I26" s="8">
        <v>0</v>
      </c>
      <c r="J26" s="8">
        <v>2</v>
      </c>
      <c r="K26" s="9" t="str" cm="1">
        <f t="array" ref="K26">_xlfn.IFS(J26=1,"Clear",J26=2,"Mist/Cloudy",J26=3,"Rain",J26=4,"Heavy Rain/Thunderstorm")</f>
        <v>Mist/Cloudy</v>
      </c>
      <c r="L26" s="10">
        <v>0.46</v>
      </c>
      <c r="M26" s="42" t="str" cm="1">
        <f t="array" ref="M26">_xlfn.IFS(L26&lt;0.15,"Cold",L26&lt;0.25,"Mild",L26&lt;=0.32,"Warm",L26&gt;=0.33,"Hot")</f>
        <v>Hot</v>
      </c>
    </row>
    <row r="27" spans="1:13" x14ac:dyDescent="0.3">
      <c r="A27" s="6">
        <v>26</v>
      </c>
      <c r="B27" s="7">
        <v>40545</v>
      </c>
      <c r="C27" s="8">
        <v>1</v>
      </c>
      <c r="D27" s="8">
        <v>0</v>
      </c>
      <c r="E27" s="8">
        <v>1</v>
      </c>
      <c r="F27" s="8">
        <v>1</v>
      </c>
      <c r="G27" s="8" t="str" cm="1">
        <f t="array" ref="G27">_xlfn.IFS(F27&lt;4,"Night",F27&lt;=6,"Early Morning",F27&lt;11,"Morning",F27&lt;12,"Afternoon",F27&lt;=16,"Afternoon",F27&lt;=20,"Evening",F27&gt;=21,"Night")</f>
        <v>Night</v>
      </c>
      <c r="H27" s="8" t="b">
        <v>0</v>
      </c>
      <c r="I27" s="8">
        <v>0</v>
      </c>
      <c r="J27" s="8">
        <v>2</v>
      </c>
      <c r="K27" s="9" t="str" cm="1">
        <f t="array" ref="K27">_xlfn.IFS(J27=1,"Clear",J27=2,"Mist/Cloudy",J27=3,"Rain",J27=4,"Heavy Rain/Thunderstorm")</f>
        <v>Mist/Cloudy</v>
      </c>
      <c r="L27" s="10">
        <v>0.44</v>
      </c>
      <c r="M27" s="42" t="str" cm="1">
        <f t="array" ref="M27">_xlfn.IFS(L27&lt;0.15,"Cold",L27&lt;0.25,"Mild",L27&lt;=0.32,"Warm",L27&gt;=0.33,"Hot")</f>
        <v>Hot</v>
      </c>
    </row>
    <row r="28" spans="1:13" x14ac:dyDescent="0.3">
      <c r="A28" s="6">
        <v>27</v>
      </c>
      <c r="B28" s="7">
        <v>40545</v>
      </c>
      <c r="C28" s="8">
        <v>1</v>
      </c>
      <c r="D28" s="8">
        <v>0</v>
      </c>
      <c r="E28" s="8">
        <v>1</v>
      </c>
      <c r="F28" s="8">
        <v>2</v>
      </c>
      <c r="G28" s="8" t="str" cm="1">
        <f t="array" ref="G28">_xlfn.IFS(F28&lt;4,"Night",F28&lt;=6,"Early Morning",F28&lt;11,"Morning",F28&lt;12,"Afternoon",F28&lt;=16,"Afternoon",F28&lt;=20,"Evening",F28&gt;=21,"Night")</f>
        <v>Night</v>
      </c>
      <c r="H28" s="8" t="b">
        <v>0</v>
      </c>
      <c r="I28" s="8">
        <v>0</v>
      </c>
      <c r="J28" s="8">
        <v>2</v>
      </c>
      <c r="K28" s="9" t="str" cm="1">
        <f t="array" ref="K28">_xlfn.IFS(J28=1,"Clear",J28=2,"Mist/Cloudy",J28=3,"Rain",J28=4,"Heavy Rain/Thunderstorm")</f>
        <v>Mist/Cloudy</v>
      </c>
      <c r="L28" s="10">
        <v>0.42</v>
      </c>
      <c r="M28" s="42" t="str" cm="1">
        <f t="array" ref="M28">_xlfn.IFS(L28&lt;0.15,"Cold",L28&lt;0.25,"Mild",L28&lt;=0.32,"Warm",L28&gt;=0.33,"Hot")</f>
        <v>Hot</v>
      </c>
    </row>
    <row r="29" spans="1:13" x14ac:dyDescent="0.3">
      <c r="A29" s="6">
        <v>28</v>
      </c>
      <c r="B29" s="7">
        <v>40545</v>
      </c>
      <c r="C29" s="8">
        <v>1</v>
      </c>
      <c r="D29" s="8">
        <v>0</v>
      </c>
      <c r="E29" s="8">
        <v>1</v>
      </c>
      <c r="F29" s="8">
        <v>3</v>
      </c>
      <c r="G29" s="8" t="str" cm="1">
        <f t="array" ref="G29">_xlfn.IFS(F29&lt;4,"Night",F29&lt;=6,"Early Morning",F29&lt;11,"Morning",F29&lt;12,"Afternoon",F29&lt;=16,"Afternoon",F29&lt;=20,"Evening",F29&gt;=21,"Night")</f>
        <v>Night</v>
      </c>
      <c r="H29" s="8" t="b">
        <v>0</v>
      </c>
      <c r="I29" s="8">
        <v>0</v>
      </c>
      <c r="J29" s="8">
        <v>2</v>
      </c>
      <c r="K29" s="9" t="str" cm="1">
        <f t="array" ref="K29">_xlfn.IFS(J29=1,"Clear",J29=2,"Mist/Cloudy",J29=3,"Rain",J29=4,"Heavy Rain/Thunderstorm")</f>
        <v>Mist/Cloudy</v>
      </c>
      <c r="L29" s="10">
        <v>0.46</v>
      </c>
      <c r="M29" s="42" t="str" cm="1">
        <f t="array" ref="M29">_xlfn.IFS(L29&lt;0.15,"Cold",L29&lt;0.25,"Mild",L29&lt;=0.32,"Warm",L29&gt;=0.33,"Hot")</f>
        <v>Hot</v>
      </c>
    </row>
    <row r="30" spans="1:13" x14ac:dyDescent="0.3">
      <c r="A30" s="6">
        <v>29</v>
      </c>
      <c r="B30" s="7">
        <v>40545</v>
      </c>
      <c r="C30" s="8">
        <v>1</v>
      </c>
      <c r="D30" s="8">
        <v>0</v>
      </c>
      <c r="E30" s="8">
        <v>1</v>
      </c>
      <c r="F30" s="8">
        <v>4</v>
      </c>
      <c r="G30" s="8" t="str" cm="1">
        <f t="array" ref="G30">_xlfn.IFS(F30&lt;4,"Night",F30&lt;=6,"Early Morning",F30&lt;11,"Morning",F30&lt;12,"Afternoon",F30&lt;=16,"Afternoon",F30&lt;=20,"Evening",F30&gt;=21,"Night")</f>
        <v>Early Morning</v>
      </c>
      <c r="H30" s="8" t="b">
        <v>0</v>
      </c>
      <c r="I30" s="8">
        <v>0</v>
      </c>
      <c r="J30" s="8">
        <v>2</v>
      </c>
      <c r="K30" s="9" t="str" cm="1">
        <f t="array" ref="K30">_xlfn.IFS(J30=1,"Clear",J30=2,"Mist/Cloudy",J30=3,"Rain",J30=4,"Heavy Rain/Thunderstorm")</f>
        <v>Mist/Cloudy</v>
      </c>
      <c r="L30" s="10">
        <v>0.46</v>
      </c>
      <c r="M30" s="42" t="str" cm="1">
        <f t="array" ref="M30">_xlfn.IFS(L30&lt;0.15,"Cold",L30&lt;0.25,"Mild",L30&lt;=0.32,"Warm",L30&gt;=0.33,"Hot")</f>
        <v>Hot</v>
      </c>
    </row>
    <row r="31" spans="1:13" x14ac:dyDescent="0.3">
      <c r="A31" s="6">
        <v>30</v>
      </c>
      <c r="B31" s="7">
        <v>40545</v>
      </c>
      <c r="C31" s="8">
        <v>1</v>
      </c>
      <c r="D31" s="8">
        <v>0</v>
      </c>
      <c r="E31" s="8">
        <v>1</v>
      </c>
      <c r="F31" s="8">
        <v>6</v>
      </c>
      <c r="G31" s="8" t="str" cm="1">
        <f t="array" ref="G31">_xlfn.IFS(F31&lt;4,"Night",F31&lt;=6,"Early Morning",F31&lt;11,"Morning",F31&lt;12,"Afternoon",F31&lt;=16,"Afternoon",F31&lt;=20,"Evening",F31&gt;=21,"Night")</f>
        <v>Early Morning</v>
      </c>
      <c r="H31" s="8" t="b">
        <v>0</v>
      </c>
      <c r="I31" s="8">
        <v>0</v>
      </c>
      <c r="J31" s="8">
        <v>3</v>
      </c>
      <c r="K31" s="9" t="str" cm="1">
        <f t="array" ref="K31">_xlfn.IFS(J31=1,"Clear",J31=2,"Mist/Cloudy",J31=3,"Rain",J31=4,"Heavy Rain/Thunderstorm")</f>
        <v>Rain</v>
      </c>
      <c r="L31" s="10">
        <v>0.42</v>
      </c>
      <c r="M31" s="42" t="str" cm="1">
        <f t="array" ref="M31">_xlfn.IFS(L31&lt;0.15,"Cold",L31&lt;0.25,"Mild",L31&lt;=0.32,"Warm",L31&gt;=0.33,"Hot")</f>
        <v>Hot</v>
      </c>
    </row>
    <row r="32" spans="1:13" x14ac:dyDescent="0.3">
      <c r="A32" s="6">
        <v>31</v>
      </c>
      <c r="B32" s="7">
        <v>40545</v>
      </c>
      <c r="C32" s="8">
        <v>1</v>
      </c>
      <c r="D32" s="8">
        <v>0</v>
      </c>
      <c r="E32" s="8">
        <v>1</v>
      </c>
      <c r="F32" s="8">
        <v>7</v>
      </c>
      <c r="G32" s="8" t="str" cm="1">
        <f t="array" ref="G32">_xlfn.IFS(F32&lt;4,"Night",F32&lt;=6,"Early Morning",F32&lt;11,"Morning",F32&lt;12,"Afternoon",F32&lt;=16,"Afternoon",F32&lt;=20,"Evening",F32&gt;=21,"Night")</f>
        <v>Morning</v>
      </c>
      <c r="H32" s="8" t="b">
        <v>0</v>
      </c>
      <c r="I32" s="8">
        <v>0</v>
      </c>
      <c r="J32" s="8">
        <v>2</v>
      </c>
      <c r="K32" s="9" t="str" cm="1">
        <f t="array" ref="K32">_xlfn.IFS(J32=1,"Clear",J32=2,"Mist/Cloudy",J32=3,"Rain",J32=4,"Heavy Rain/Thunderstorm")</f>
        <v>Mist/Cloudy</v>
      </c>
      <c r="L32" s="10">
        <v>0.4</v>
      </c>
      <c r="M32" s="42" t="str" cm="1">
        <f t="array" ref="M32">_xlfn.IFS(L32&lt;0.15,"Cold",L32&lt;0.25,"Mild",L32&lt;=0.32,"Warm",L32&gt;=0.33,"Hot")</f>
        <v>Hot</v>
      </c>
    </row>
    <row r="33" spans="1:13" x14ac:dyDescent="0.3">
      <c r="A33" s="6">
        <v>32</v>
      </c>
      <c r="B33" s="7">
        <v>40545</v>
      </c>
      <c r="C33" s="8">
        <v>1</v>
      </c>
      <c r="D33" s="8">
        <v>0</v>
      </c>
      <c r="E33" s="8">
        <v>1</v>
      </c>
      <c r="F33" s="8">
        <v>8</v>
      </c>
      <c r="G33" s="8" t="str" cm="1">
        <f t="array" ref="G33">_xlfn.IFS(F33&lt;4,"Night",F33&lt;=6,"Early Morning",F33&lt;11,"Morning",F33&lt;12,"Afternoon",F33&lt;=16,"Afternoon",F33&lt;=20,"Evening",F33&gt;=21,"Night")</f>
        <v>Morning</v>
      </c>
      <c r="H33" s="8" t="b">
        <v>0</v>
      </c>
      <c r="I33" s="8">
        <v>0</v>
      </c>
      <c r="J33" s="8">
        <v>3</v>
      </c>
      <c r="K33" s="9" t="str" cm="1">
        <f t="array" ref="K33">_xlfn.IFS(J33=1,"Clear",J33=2,"Mist/Cloudy",J33=3,"Rain",J33=4,"Heavy Rain/Thunderstorm")</f>
        <v>Rain</v>
      </c>
      <c r="L33" s="10">
        <v>0.4</v>
      </c>
      <c r="M33" s="42" t="str" cm="1">
        <f t="array" ref="M33">_xlfn.IFS(L33&lt;0.15,"Cold",L33&lt;0.25,"Mild",L33&lt;=0.32,"Warm",L33&gt;=0.33,"Hot")</f>
        <v>Hot</v>
      </c>
    </row>
    <row r="34" spans="1:13" x14ac:dyDescent="0.3">
      <c r="A34" s="6">
        <v>33</v>
      </c>
      <c r="B34" s="7">
        <v>40545</v>
      </c>
      <c r="C34" s="8">
        <v>1</v>
      </c>
      <c r="D34" s="8">
        <v>0</v>
      </c>
      <c r="E34" s="8">
        <v>1</v>
      </c>
      <c r="F34" s="8">
        <v>9</v>
      </c>
      <c r="G34" s="8" t="str" cm="1">
        <f t="array" ref="G34">_xlfn.IFS(F34&lt;4,"Night",F34&lt;=6,"Early Morning",F34&lt;11,"Morning",F34&lt;12,"Afternoon",F34&lt;=16,"Afternoon",F34&lt;=20,"Evening",F34&gt;=21,"Night")</f>
        <v>Morning</v>
      </c>
      <c r="H34" s="8" t="b">
        <v>0</v>
      </c>
      <c r="I34" s="8">
        <v>0</v>
      </c>
      <c r="J34" s="8">
        <v>2</v>
      </c>
      <c r="K34" s="9" t="str" cm="1">
        <f t="array" ref="K34">_xlfn.IFS(J34=1,"Clear",J34=2,"Mist/Cloudy",J34=3,"Rain",J34=4,"Heavy Rain/Thunderstorm")</f>
        <v>Mist/Cloudy</v>
      </c>
      <c r="L34" s="10">
        <v>0.38</v>
      </c>
      <c r="M34" s="42" t="str" cm="1">
        <f t="array" ref="M34">_xlfn.IFS(L34&lt;0.15,"Cold",L34&lt;0.25,"Mild",L34&lt;=0.32,"Warm",L34&gt;=0.33,"Hot")</f>
        <v>Hot</v>
      </c>
    </row>
    <row r="35" spans="1:13" x14ac:dyDescent="0.3">
      <c r="A35" s="6">
        <v>34</v>
      </c>
      <c r="B35" s="7">
        <v>40545</v>
      </c>
      <c r="C35" s="8">
        <v>1</v>
      </c>
      <c r="D35" s="8">
        <v>0</v>
      </c>
      <c r="E35" s="8">
        <v>1</v>
      </c>
      <c r="F35" s="8">
        <v>10</v>
      </c>
      <c r="G35" s="8" t="str" cm="1">
        <f t="array" ref="G35">_xlfn.IFS(F35&lt;4,"Night",F35&lt;=6,"Early Morning",F35&lt;11,"Morning",F35&lt;12,"Afternoon",F35&lt;=16,"Afternoon",F35&lt;=20,"Evening",F35&gt;=21,"Night")</f>
        <v>Morning</v>
      </c>
      <c r="H35" s="8" t="b">
        <v>0</v>
      </c>
      <c r="I35" s="8">
        <v>0</v>
      </c>
      <c r="J35" s="8">
        <v>2</v>
      </c>
      <c r="K35" s="9" t="str" cm="1">
        <f t="array" ref="K35">_xlfn.IFS(J35=1,"Clear",J35=2,"Mist/Cloudy",J35=3,"Rain",J35=4,"Heavy Rain/Thunderstorm")</f>
        <v>Mist/Cloudy</v>
      </c>
      <c r="L35" s="10">
        <v>0.36</v>
      </c>
      <c r="M35" s="42" t="str" cm="1">
        <f t="array" ref="M35">_xlfn.IFS(L35&lt;0.15,"Cold",L35&lt;0.25,"Mild",L35&lt;=0.32,"Warm",L35&gt;=0.33,"Hot")</f>
        <v>Hot</v>
      </c>
    </row>
    <row r="36" spans="1:13" x14ac:dyDescent="0.3">
      <c r="A36" s="6">
        <v>35</v>
      </c>
      <c r="B36" s="7">
        <v>40545</v>
      </c>
      <c r="C36" s="8">
        <v>1</v>
      </c>
      <c r="D36" s="8">
        <v>0</v>
      </c>
      <c r="E36" s="8">
        <v>1</v>
      </c>
      <c r="F36" s="8">
        <v>11</v>
      </c>
      <c r="G36" s="8" t="str" cm="1">
        <f t="array" ref="G36">_xlfn.IFS(F36&lt;4,"Night",F36&lt;=6,"Early Morning",F36&lt;11,"Morning",F36&lt;12,"Afternoon",F36&lt;=16,"Afternoon",F36&lt;=20,"Evening",F36&gt;=21,"Night")</f>
        <v>Afternoon</v>
      </c>
      <c r="H36" s="8" t="b">
        <v>0</v>
      </c>
      <c r="I36" s="8">
        <v>0</v>
      </c>
      <c r="J36" s="8">
        <v>2</v>
      </c>
      <c r="K36" s="9" t="str" cm="1">
        <f t="array" ref="K36">_xlfn.IFS(J36=1,"Clear",J36=2,"Mist/Cloudy",J36=3,"Rain",J36=4,"Heavy Rain/Thunderstorm")</f>
        <v>Mist/Cloudy</v>
      </c>
      <c r="L36" s="10">
        <v>0.36</v>
      </c>
      <c r="M36" s="42" t="str" cm="1">
        <f t="array" ref="M36">_xlfn.IFS(L36&lt;0.15,"Cold",L36&lt;0.25,"Mild",L36&lt;=0.32,"Warm",L36&gt;=0.33,"Hot")</f>
        <v>Hot</v>
      </c>
    </row>
    <row r="37" spans="1:13" x14ac:dyDescent="0.3">
      <c r="A37" s="6">
        <v>36</v>
      </c>
      <c r="B37" s="7">
        <v>40545</v>
      </c>
      <c r="C37" s="8">
        <v>1</v>
      </c>
      <c r="D37" s="8">
        <v>0</v>
      </c>
      <c r="E37" s="8">
        <v>1</v>
      </c>
      <c r="F37" s="8">
        <v>12</v>
      </c>
      <c r="G37" s="8" t="str" cm="1">
        <f t="array" ref="G37">_xlfn.IFS(F37&lt;4,"Night",F37&lt;=6,"Early Morning",F37&lt;11,"Morning",F37&lt;12,"Afternoon",F37&lt;=16,"Afternoon",F37&lt;=20,"Evening",F37&gt;=21,"Night")</f>
        <v>Afternoon</v>
      </c>
      <c r="H37" s="8" t="b">
        <v>0</v>
      </c>
      <c r="I37" s="8">
        <v>0</v>
      </c>
      <c r="J37" s="8">
        <v>2</v>
      </c>
      <c r="K37" s="9" t="str" cm="1">
        <f t="array" ref="K37">_xlfn.IFS(J37=1,"Clear",J37=2,"Mist/Cloudy",J37=3,"Rain",J37=4,"Heavy Rain/Thunderstorm")</f>
        <v>Mist/Cloudy</v>
      </c>
      <c r="L37" s="10">
        <v>0.36</v>
      </c>
      <c r="M37" s="42" t="str" cm="1">
        <f t="array" ref="M37">_xlfn.IFS(L37&lt;0.15,"Cold",L37&lt;0.25,"Mild",L37&lt;=0.32,"Warm",L37&gt;=0.33,"Hot")</f>
        <v>Hot</v>
      </c>
    </row>
    <row r="38" spans="1:13" x14ac:dyDescent="0.3">
      <c r="A38" s="6">
        <v>37</v>
      </c>
      <c r="B38" s="7">
        <v>40545</v>
      </c>
      <c r="C38" s="8">
        <v>1</v>
      </c>
      <c r="D38" s="8">
        <v>0</v>
      </c>
      <c r="E38" s="8">
        <v>1</v>
      </c>
      <c r="F38" s="8">
        <v>13</v>
      </c>
      <c r="G38" s="8" t="str" cm="1">
        <f t="array" ref="G38">_xlfn.IFS(F38&lt;4,"Night",F38&lt;=6,"Early Morning",F38&lt;11,"Morning",F38&lt;12,"Afternoon",F38&lt;=16,"Afternoon",F38&lt;=20,"Evening",F38&gt;=21,"Night")</f>
        <v>Afternoon</v>
      </c>
      <c r="H38" s="8" t="b">
        <v>0</v>
      </c>
      <c r="I38" s="8">
        <v>0</v>
      </c>
      <c r="J38" s="8">
        <v>2</v>
      </c>
      <c r="K38" s="9" t="str" cm="1">
        <f t="array" ref="K38">_xlfn.IFS(J38=1,"Clear",J38=2,"Mist/Cloudy",J38=3,"Rain",J38=4,"Heavy Rain/Thunderstorm")</f>
        <v>Mist/Cloudy</v>
      </c>
      <c r="L38" s="10">
        <v>0.36</v>
      </c>
      <c r="M38" s="42" t="str" cm="1">
        <f t="array" ref="M38">_xlfn.IFS(L38&lt;0.15,"Cold",L38&lt;0.25,"Mild",L38&lt;=0.32,"Warm",L38&gt;=0.33,"Hot")</f>
        <v>Hot</v>
      </c>
    </row>
    <row r="39" spans="1:13" x14ac:dyDescent="0.3">
      <c r="A39" s="6">
        <v>38</v>
      </c>
      <c r="B39" s="7">
        <v>40545</v>
      </c>
      <c r="C39" s="8">
        <v>1</v>
      </c>
      <c r="D39" s="8">
        <v>0</v>
      </c>
      <c r="E39" s="8">
        <v>1</v>
      </c>
      <c r="F39" s="8">
        <v>14</v>
      </c>
      <c r="G39" s="8" t="str" cm="1">
        <f t="array" ref="G39">_xlfn.IFS(F39&lt;4,"Night",F39&lt;=6,"Early Morning",F39&lt;11,"Morning",F39&lt;12,"Afternoon",F39&lt;=16,"Afternoon",F39&lt;=20,"Evening",F39&gt;=21,"Night")</f>
        <v>Afternoon</v>
      </c>
      <c r="H39" s="8" t="b">
        <v>0</v>
      </c>
      <c r="I39" s="8">
        <v>0</v>
      </c>
      <c r="J39" s="8">
        <v>3</v>
      </c>
      <c r="K39" s="9" t="str" cm="1">
        <f t="array" ref="K39">_xlfn.IFS(J39=1,"Clear",J39=2,"Mist/Cloudy",J39=3,"Rain",J39=4,"Heavy Rain/Thunderstorm")</f>
        <v>Rain</v>
      </c>
      <c r="L39" s="10">
        <v>0.36</v>
      </c>
      <c r="M39" s="42" t="str" cm="1">
        <f t="array" ref="M39">_xlfn.IFS(L39&lt;0.15,"Cold",L39&lt;0.25,"Mild",L39&lt;=0.32,"Warm",L39&gt;=0.33,"Hot")</f>
        <v>Hot</v>
      </c>
    </row>
    <row r="40" spans="1:13" x14ac:dyDescent="0.3">
      <c r="A40" s="6">
        <v>39</v>
      </c>
      <c r="B40" s="7">
        <v>40545</v>
      </c>
      <c r="C40" s="8">
        <v>1</v>
      </c>
      <c r="D40" s="8">
        <v>0</v>
      </c>
      <c r="E40" s="8">
        <v>1</v>
      </c>
      <c r="F40" s="8">
        <v>15</v>
      </c>
      <c r="G40" s="8" t="str" cm="1">
        <f t="array" ref="G40">_xlfn.IFS(F40&lt;4,"Night",F40&lt;=6,"Early Morning",F40&lt;11,"Morning",F40&lt;12,"Afternoon",F40&lt;=16,"Afternoon",F40&lt;=20,"Evening",F40&gt;=21,"Night")</f>
        <v>Afternoon</v>
      </c>
      <c r="H40" s="8" t="b">
        <v>0</v>
      </c>
      <c r="I40" s="8">
        <v>0</v>
      </c>
      <c r="J40" s="8">
        <v>3</v>
      </c>
      <c r="K40" s="9" t="str" cm="1">
        <f t="array" ref="K40">_xlfn.IFS(J40=1,"Clear",J40=2,"Mist/Cloudy",J40=3,"Rain",J40=4,"Heavy Rain/Thunderstorm")</f>
        <v>Rain</v>
      </c>
      <c r="L40" s="10">
        <v>0.34</v>
      </c>
      <c r="M40" s="42" t="str" cm="1">
        <f t="array" ref="M40">_xlfn.IFS(L40&lt;0.15,"Cold",L40&lt;0.25,"Mild",L40&lt;=0.32,"Warm",L40&gt;=0.33,"Hot")</f>
        <v>Hot</v>
      </c>
    </row>
    <row r="41" spans="1:13" x14ac:dyDescent="0.3">
      <c r="A41" s="6">
        <v>40</v>
      </c>
      <c r="B41" s="7">
        <v>40545</v>
      </c>
      <c r="C41" s="8">
        <v>1</v>
      </c>
      <c r="D41" s="8">
        <v>0</v>
      </c>
      <c r="E41" s="8">
        <v>1</v>
      </c>
      <c r="F41" s="8">
        <v>16</v>
      </c>
      <c r="G41" s="8" t="str" cm="1">
        <f t="array" ref="G41">_xlfn.IFS(F41&lt;4,"Night",F41&lt;=6,"Early Morning",F41&lt;11,"Morning",F41&lt;12,"Afternoon",F41&lt;=16,"Afternoon",F41&lt;=20,"Evening",F41&gt;=21,"Night")</f>
        <v>Afternoon</v>
      </c>
      <c r="H41" s="8" t="b">
        <v>0</v>
      </c>
      <c r="I41" s="8">
        <v>0</v>
      </c>
      <c r="J41" s="8">
        <v>3</v>
      </c>
      <c r="K41" s="9" t="str" cm="1">
        <f t="array" ref="K41">_xlfn.IFS(J41=1,"Clear",J41=2,"Mist/Cloudy",J41=3,"Rain",J41=4,"Heavy Rain/Thunderstorm")</f>
        <v>Rain</v>
      </c>
      <c r="L41" s="10">
        <v>0.34</v>
      </c>
      <c r="M41" s="42" t="str" cm="1">
        <f t="array" ref="M41">_xlfn.IFS(L41&lt;0.15,"Cold",L41&lt;0.25,"Mild",L41&lt;=0.32,"Warm",L41&gt;=0.33,"Hot")</f>
        <v>Hot</v>
      </c>
    </row>
    <row r="42" spans="1:13" x14ac:dyDescent="0.3">
      <c r="A42" s="6">
        <v>41</v>
      </c>
      <c r="B42" s="7">
        <v>40545</v>
      </c>
      <c r="C42" s="8">
        <v>1</v>
      </c>
      <c r="D42" s="8">
        <v>0</v>
      </c>
      <c r="E42" s="8">
        <v>1</v>
      </c>
      <c r="F42" s="8">
        <v>17</v>
      </c>
      <c r="G42" s="8" t="str" cm="1">
        <f t="array" ref="G42">_xlfn.IFS(F42&lt;4,"Night",F42&lt;=6,"Early Morning",F42&lt;11,"Morning",F42&lt;12,"Afternoon",F42&lt;=16,"Afternoon",F42&lt;=20,"Evening",F42&gt;=21,"Night")</f>
        <v>Evening</v>
      </c>
      <c r="H42" s="8" t="b">
        <v>0</v>
      </c>
      <c r="I42" s="8">
        <v>0</v>
      </c>
      <c r="J42" s="8">
        <v>1</v>
      </c>
      <c r="K42" s="9" t="str" cm="1">
        <f t="array" ref="K42">_xlfn.IFS(J42=1,"Clear",J42=2,"Mist/Cloudy",J42=3,"Rain",J42=4,"Heavy Rain/Thunderstorm")</f>
        <v>Clear</v>
      </c>
      <c r="L42" s="10">
        <v>0.34</v>
      </c>
      <c r="M42" s="42" t="str" cm="1">
        <f t="array" ref="M42">_xlfn.IFS(L42&lt;0.15,"Cold",L42&lt;0.25,"Mild",L42&lt;=0.32,"Warm",L42&gt;=0.33,"Hot")</f>
        <v>Hot</v>
      </c>
    </row>
    <row r="43" spans="1:13" x14ac:dyDescent="0.3">
      <c r="A43" s="6">
        <v>42</v>
      </c>
      <c r="B43" s="7">
        <v>40545</v>
      </c>
      <c r="C43" s="8">
        <v>1</v>
      </c>
      <c r="D43" s="8">
        <v>0</v>
      </c>
      <c r="E43" s="8">
        <v>1</v>
      </c>
      <c r="F43" s="8">
        <v>18</v>
      </c>
      <c r="G43" s="8" t="str" cm="1">
        <f t="array" ref="G43">_xlfn.IFS(F43&lt;4,"Night",F43&lt;=6,"Early Morning",F43&lt;11,"Morning",F43&lt;12,"Afternoon",F43&lt;=16,"Afternoon",F43&lt;=20,"Evening",F43&gt;=21,"Night")</f>
        <v>Evening</v>
      </c>
      <c r="H43" s="8" t="b">
        <v>0</v>
      </c>
      <c r="I43" s="8">
        <v>0</v>
      </c>
      <c r="J43" s="8">
        <v>2</v>
      </c>
      <c r="K43" s="9" t="str" cm="1">
        <f t="array" ref="K43">_xlfn.IFS(J43=1,"Clear",J43=2,"Mist/Cloudy",J43=3,"Rain",J43=4,"Heavy Rain/Thunderstorm")</f>
        <v>Mist/Cloudy</v>
      </c>
      <c r="L43" s="10">
        <v>0.36</v>
      </c>
      <c r="M43" s="42" t="str" cm="1">
        <f t="array" ref="M43">_xlfn.IFS(L43&lt;0.15,"Cold",L43&lt;0.25,"Mild",L43&lt;=0.32,"Warm",L43&gt;=0.33,"Hot")</f>
        <v>Hot</v>
      </c>
    </row>
    <row r="44" spans="1:13" x14ac:dyDescent="0.3">
      <c r="A44" s="6">
        <v>43</v>
      </c>
      <c r="B44" s="7">
        <v>40545</v>
      </c>
      <c r="C44" s="8">
        <v>1</v>
      </c>
      <c r="D44" s="8">
        <v>0</v>
      </c>
      <c r="E44" s="8">
        <v>1</v>
      </c>
      <c r="F44" s="8">
        <v>19</v>
      </c>
      <c r="G44" s="8" t="str" cm="1">
        <f t="array" ref="G44">_xlfn.IFS(F44&lt;4,"Night",F44&lt;=6,"Early Morning",F44&lt;11,"Morning",F44&lt;12,"Afternoon",F44&lt;=16,"Afternoon",F44&lt;=20,"Evening",F44&gt;=21,"Night")</f>
        <v>Evening</v>
      </c>
      <c r="H44" s="8" t="b">
        <v>0</v>
      </c>
      <c r="I44" s="8">
        <v>0</v>
      </c>
      <c r="J44" s="8">
        <v>1</v>
      </c>
      <c r="K44" s="9" t="str" cm="1">
        <f t="array" ref="K44">_xlfn.IFS(J44=1,"Clear",J44=2,"Mist/Cloudy",J44=3,"Rain",J44=4,"Heavy Rain/Thunderstorm")</f>
        <v>Clear</v>
      </c>
      <c r="L44" s="10">
        <v>0.32</v>
      </c>
      <c r="M44" s="42" t="str" cm="1">
        <f t="array" ref="M44">_xlfn.IFS(L44&lt;0.15,"Cold",L44&lt;0.25,"Mild",L44&lt;=0.32,"Warm",L44&gt;=0.33,"Hot")</f>
        <v>Warm</v>
      </c>
    </row>
    <row r="45" spans="1:13" x14ac:dyDescent="0.3">
      <c r="A45" s="6">
        <v>44</v>
      </c>
      <c r="B45" s="7">
        <v>40545</v>
      </c>
      <c r="C45" s="8">
        <v>1</v>
      </c>
      <c r="D45" s="8">
        <v>0</v>
      </c>
      <c r="E45" s="8">
        <v>1</v>
      </c>
      <c r="F45" s="8">
        <v>20</v>
      </c>
      <c r="G45" s="8" t="str" cm="1">
        <f t="array" ref="G45">_xlfn.IFS(F45&lt;4,"Night",F45&lt;=6,"Early Morning",F45&lt;11,"Morning",F45&lt;12,"Afternoon",F45&lt;=16,"Afternoon",F45&lt;=20,"Evening",F45&gt;=21,"Night")</f>
        <v>Evening</v>
      </c>
      <c r="H45" s="8" t="b">
        <v>0</v>
      </c>
      <c r="I45" s="8">
        <v>0</v>
      </c>
      <c r="J45" s="8">
        <v>1</v>
      </c>
      <c r="K45" s="9" t="str" cm="1">
        <f t="array" ref="K45">_xlfn.IFS(J45=1,"Clear",J45=2,"Mist/Cloudy",J45=3,"Rain",J45=4,"Heavy Rain/Thunderstorm")</f>
        <v>Clear</v>
      </c>
      <c r="L45" s="10">
        <v>0.3</v>
      </c>
      <c r="M45" s="42" t="str" cm="1">
        <f t="array" ref="M45">_xlfn.IFS(L45&lt;0.15,"Cold",L45&lt;0.25,"Mild",L45&lt;=0.32,"Warm",L45&gt;=0.33,"Hot")</f>
        <v>Warm</v>
      </c>
    </row>
    <row r="46" spans="1:13" x14ac:dyDescent="0.3">
      <c r="A46" s="6">
        <v>45</v>
      </c>
      <c r="B46" s="7">
        <v>40545</v>
      </c>
      <c r="C46" s="8">
        <v>1</v>
      </c>
      <c r="D46" s="8">
        <v>0</v>
      </c>
      <c r="E46" s="8">
        <v>1</v>
      </c>
      <c r="F46" s="8">
        <v>21</v>
      </c>
      <c r="G46" s="8" t="str" cm="1">
        <f t="array" ref="G46">_xlfn.IFS(F46&lt;4,"Night",F46&lt;=6,"Early Morning",F46&lt;11,"Morning",F46&lt;12,"Afternoon",F46&lt;=16,"Afternoon",F46&lt;=20,"Evening",F46&gt;=21,"Night")</f>
        <v>Night</v>
      </c>
      <c r="H46" s="8" t="b">
        <v>0</v>
      </c>
      <c r="I46" s="8">
        <v>0</v>
      </c>
      <c r="J46" s="8">
        <v>1</v>
      </c>
      <c r="K46" s="9" t="str" cm="1">
        <f t="array" ref="K46">_xlfn.IFS(J46=1,"Clear",J46=2,"Mist/Cloudy",J46=3,"Rain",J46=4,"Heavy Rain/Thunderstorm")</f>
        <v>Clear</v>
      </c>
      <c r="L46" s="10">
        <v>0.26</v>
      </c>
      <c r="M46" s="42" t="str" cm="1">
        <f t="array" ref="M46">_xlfn.IFS(L46&lt;0.15,"Cold",L46&lt;0.25,"Mild",L46&lt;=0.32,"Warm",L46&gt;=0.33,"Hot")</f>
        <v>Warm</v>
      </c>
    </row>
    <row r="47" spans="1:13" x14ac:dyDescent="0.3">
      <c r="A47" s="6">
        <v>46</v>
      </c>
      <c r="B47" s="7">
        <v>40545</v>
      </c>
      <c r="C47" s="8">
        <v>1</v>
      </c>
      <c r="D47" s="8">
        <v>0</v>
      </c>
      <c r="E47" s="8">
        <v>1</v>
      </c>
      <c r="F47" s="8">
        <v>22</v>
      </c>
      <c r="G47" s="8" t="str" cm="1">
        <f t="array" ref="G47">_xlfn.IFS(F47&lt;4,"Night",F47&lt;=6,"Early Morning",F47&lt;11,"Morning",F47&lt;12,"Afternoon",F47&lt;=16,"Afternoon",F47&lt;=20,"Evening",F47&gt;=21,"Night")</f>
        <v>Night</v>
      </c>
      <c r="H47" s="8" t="b">
        <v>0</v>
      </c>
      <c r="I47" s="8">
        <v>0</v>
      </c>
      <c r="J47" s="8">
        <v>1</v>
      </c>
      <c r="K47" s="9" t="str" cm="1">
        <f t="array" ref="K47">_xlfn.IFS(J47=1,"Clear",J47=2,"Mist/Cloudy",J47=3,"Rain",J47=4,"Heavy Rain/Thunderstorm")</f>
        <v>Clear</v>
      </c>
      <c r="L47" s="10">
        <v>0.24</v>
      </c>
      <c r="M47" s="42" t="str" cm="1">
        <f t="array" ref="M47">_xlfn.IFS(L47&lt;0.15,"Cold",L47&lt;0.25,"Mild",L47&lt;=0.32,"Warm",L47&gt;=0.33,"Hot")</f>
        <v>Mild</v>
      </c>
    </row>
    <row r="48" spans="1:13" x14ac:dyDescent="0.3">
      <c r="A48" s="6">
        <v>47</v>
      </c>
      <c r="B48" s="7">
        <v>40545</v>
      </c>
      <c r="C48" s="8">
        <v>1</v>
      </c>
      <c r="D48" s="8">
        <v>0</v>
      </c>
      <c r="E48" s="8">
        <v>1</v>
      </c>
      <c r="F48" s="8">
        <v>23</v>
      </c>
      <c r="G48" s="8" t="str" cm="1">
        <f t="array" ref="G48">_xlfn.IFS(F48&lt;4,"Night",F48&lt;=6,"Early Morning",F48&lt;11,"Morning",F48&lt;12,"Afternoon",F48&lt;=16,"Afternoon",F48&lt;=20,"Evening",F48&gt;=21,"Night")</f>
        <v>Night</v>
      </c>
      <c r="H48" s="8" t="b">
        <v>0</v>
      </c>
      <c r="I48" s="8">
        <v>0</v>
      </c>
      <c r="J48" s="8">
        <v>1</v>
      </c>
      <c r="K48" s="9" t="str" cm="1">
        <f t="array" ref="K48">_xlfn.IFS(J48=1,"Clear",J48=2,"Mist/Cloudy",J48=3,"Rain",J48=4,"Heavy Rain/Thunderstorm")</f>
        <v>Clear</v>
      </c>
      <c r="L48" s="10">
        <v>0.22</v>
      </c>
      <c r="M48" s="42" t="str" cm="1">
        <f t="array" ref="M48">_xlfn.IFS(L48&lt;0.15,"Cold",L48&lt;0.25,"Mild",L48&lt;=0.32,"Warm",L48&gt;=0.33,"Hot")</f>
        <v>Mild</v>
      </c>
    </row>
    <row r="49" spans="1:13" x14ac:dyDescent="0.3">
      <c r="A49" s="6">
        <v>48</v>
      </c>
      <c r="B49" s="7">
        <v>40546</v>
      </c>
      <c r="C49" s="8">
        <v>1</v>
      </c>
      <c r="D49" s="8">
        <v>0</v>
      </c>
      <c r="E49" s="8">
        <v>1</v>
      </c>
      <c r="F49" s="8">
        <v>0</v>
      </c>
      <c r="G49" s="8" t="str" cm="1">
        <f t="array" ref="G49">_xlfn.IFS(F49&lt;4,"Night",F49&lt;=6,"Early Morning",F49&lt;11,"Morning",F49&lt;12,"Afternoon",F49&lt;=16,"Afternoon",F49&lt;=20,"Evening",F49&gt;=21,"Night")</f>
        <v>Night</v>
      </c>
      <c r="H49" s="8" t="b">
        <v>0</v>
      </c>
      <c r="I49" s="8">
        <v>1</v>
      </c>
      <c r="J49" s="8">
        <v>1</v>
      </c>
      <c r="K49" s="9" t="str" cm="1">
        <f t="array" ref="K49">_xlfn.IFS(J49=1,"Clear",J49=2,"Mist/Cloudy",J49=3,"Rain",J49=4,"Heavy Rain/Thunderstorm")</f>
        <v>Clear</v>
      </c>
      <c r="L49" s="10">
        <v>0.22</v>
      </c>
      <c r="M49" s="42" t="str" cm="1">
        <f t="array" ref="M49">_xlfn.IFS(L49&lt;0.15,"Cold",L49&lt;0.25,"Mild",L49&lt;=0.32,"Warm",L49&gt;=0.33,"Hot")</f>
        <v>Mild</v>
      </c>
    </row>
    <row r="50" spans="1:13" x14ac:dyDescent="0.3">
      <c r="A50" s="6">
        <v>49</v>
      </c>
      <c r="B50" s="7">
        <v>40546</v>
      </c>
      <c r="C50" s="8">
        <v>1</v>
      </c>
      <c r="D50" s="8">
        <v>0</v>
      </c>
      <c r="E50" s="8">
        <v>1</v>
      </c>
      <c r="F50" s="8">
        <v>1</v>
      </c>
      <c r="G50" s="8" t="str" cm="1">
        <f t="array" ref="G50">_xlfn.IFS(F50&lt;4,"Night",F50&lt;=6,"Early Morning",F50&lt;11,"Morning",F50&lt;12,"Afternoon",F50&lt;=16,"Afternoon",F50&lt;=20,"Evening",F50&gt;=21,"Night")</f>
        <v>Night</v>
      </c>
      <c r="H50" s="8" t="b">
        <v>0</v>
      </c>
      <c r="I50" s="8">
        <v>1</v>
      </c>
      <c r="J50" s="8">
        <v>1</v>
      </c>
      <c r="K50" s="9" t="str" cm="1">
        <f t="array" ref="K50">_xlfn.IFS(J50=1,"Clear",J50=2,"Mist/Cloudy",J50=3,"Rain",J50=4,"Heavy Rain/Thunderstorm")</f>
        <v>Clear</v>
      </c>
      <c r="L50" s="10">
        <v>0.2</v>
      </c>
      <c r="M50" s="42" t="str" cm="1">
        <f t="array" ref="M50">_xlfn.IFS(L50&lt;0.15,"Cold",L50&lt;0.25,"Mild",L50&lt;=0.32,"Warm",L50&gt;=0.33,"Hot")</f>
        <v>Mild</v>
      </c>
    </row>
    <row r="51" spans="1:13" x14ac:dyDescent="0.3">
      <c r="A51" s="6">
        <v>50</v>
      </c>
      <c r="B51" s="7">
        <v>40546</v>
      </c>
      <c r="C51" s="8">
        <v>1</v>
      </c>
      <c r="D51" s="8">
        <v>0</v>
      </c>
      <c r="E51" s="8">
        <v>1</v>
      </c>
      <c r="F51" s="8">
        <v>4</v>
      </c>
      <c r="G51" s="8" t="str" cm="1">
        <f t="array" ref="G51">_xlfn.IFS(F51&lt;4,"Night",F51&lt;=6,"Early Morning",F51&lt;11,"Morning",F51&lt;12,"Afternoon",F51&lt;=16,"Afternoon",F51&lt;=20,"Evening",F51&gt;=21,"Night")</f>
        <v>Early Morning</v>
      </c>
      <c r="H51" s="8" t="b">
        <v>0</v>
      </c>
      <c r="I51" s="8">
        <v>1</v>
      </c>
      <c r="J51" s="8">
        <v>1</v>
      </c>
      <c r="K51" s="9" t="str" cm="1">
        <f t="array" ref="K51">_xlfn.IFS(J51=1,"Clear",J51=2,"Mist/Cloudy",J51=3,"Rain",J51=4,"Heavy Rain/Thunderstorm")</f>
        <v>Clear</v>
      </c>
      <c r="L51" s="10">
        <v>0.16</v>
      </c>
      <c r="M51" s="42" t="str" cm="1">
        <f t="array" ref="M51">_xlfn.IFS(L51&lt;0.15,"Cold",L51&lt;0.25,"Mild",L51&lt;=0.32,"Warm",L51&gt;=0.33,"Hot")</f>
        <v>Mild</v>
      </c>
    </row>
    <row r="52" spans="1:13" x14ac:dyDescent="0.3">
      <c r="A52" s="6">
        <v>51</v>
      </c>
      <c r="B52" s="7">
        <v>40546</v>
      </c>
      <c r="C52" s="8">
        <v>1</v>
      </c>
      <c r="D52" s="8">
        <v>0</v>
      </c>
      <c r="E52" s="8">
        <v>1</v>
      </c>
      <c r="F52" s="8">
        <v>5</v>
      </c>
      <c r="G52" s="8" t="str" cm="1">
        <f t="array" ref="G52">_xlfn.IFS(F52&lt;4,"Night",F52&lt;=6,"Early Morning",F52&lt;11,"Morning",F52&lt;12,"Afternoon",F52&lt;=16,"Afternoon",F52&lt;=20,"Evening",F52&gt;=21,"Night")</f>
        <v>Early Morning</v>
      </c>
      <c r="H52" s="8" t="b">
        <v>0</v>
      </c>
      <c r="I52" s="8">
        <v>1</v>
      </c>
      <c r="J52" s="8">
        <v>1</v>
      </c>
      <c r="K52" s="9" t="str" cm="1">
        <f t="array" ref="K52">_xlfn.IFS(J52=1,"Clear",J52=2,"Mist/Cloudy",J52=3,"Rain",J52=4,"Heavy Rain/Thunderstorm")</f>
        <v>Clear</v>
      </c>
      <c r="L52" s="10">
        <v>0.16</v>
      </c>
      <c r="M52" s="42" t="str" cm="1">
        <f t="array" ref="M52">_xlfn.IFS(L52&lt;0.15,"Cold",L52&lt;0.25,"Mild",L52&lt;=0.32,"Warm",L52&gt;=0.33,"Hot")</f>
        <v>Mild</v>
      </c>
    </row>
    <row r="53" spans="1:13" x14ac:dyDescent="0.3">
      <c r="A53" s="6">
        <v>52</v>
      </c>
      <c r="B53" s="7">
        <v>40546</v>
      </c>
      <c r="C53" s="8">
        <v>1</v>
      </c>
      <c r="D53" s="8">
        <v>0</v>
      </c>
      <c r="E53" s="8">
        <v>1</v>
      </c>
      <c r="F53" s="8">
        <v>6</v>
      </c>
      <c r="G53" s="8" t="str" cm="1">
        <f t="array" ref="G53">_xlfn.IFS(F53&lt;4,"Night",F53&lt;=6,"Early Morning",F53&lt;11,"Morning",F53&lt;12,"Afternoon",F53&lt;=16,"Afternoon",F53&lt;=20,"Evening",F53&gt;=21,"Night")</f>
        <v>Early Morning</v>
      </c>
      <c r="H53" s="8" t="b">
        <v>0</v>
      </c>
      <c r="I53" s="8">
        <v>1</v>
      </c>
      <c r="J53" s="8">
        <v>1</v>
      </c>
      <c r="K53" s="9" t="str" cm="1">
        <f t="array" ref="K53">_xlfn.IFS(J53=1,"Clear",J53=2,"Mist/Cloudy",J53=3,"Rain",J53=4,"Heavy Rain/Thunderstorm")</f>
        <v>Clear</v>
      </c>
      <c r="L53" s="10">
        <v>0.14000000000000001</v>
      </c>
      <c r="M53" s="42" t="str" cm="1">
        <f t="array" ref="M53">_xlfn.IFS(L53&lt;0.15,"Cold",L53&lt;0.25,"Mild",L53&lt;=0.32,"Warm",L53&gt;=0.33,"Hot")</f>
        <v>Cold</v>
      </c>
    </row>
    <row r="54" spans="1:13" x14ac:dyDescent="0.3">
      <c r="A54" s="6">
        <v>53</v>
      </c>
      <c r="B54" s="7">
        <v>40546</v>
      </c>
      <c r="C54" s="8">
        <v>1</v>
      </c>
      <c r="D54" s="8">
        <v>0</v>
      </c>
      <c r="E54" s="8">
        <v>1</v>
      </c>
      <c r="F54" s="8">
        <v>7</v>
      </c>
      <c r="G54" s="8" t="str" cm="1">
        <f t="array" ref="G54">_xlfn.IFS(F54&lt;4,"Night",F54&lt;=6,"Early Morning",F54&lt;11,"Morning",F54&lt;12,"Afternoon",F54&lt;=16,"Afternoon",F54&lt;=20,"Evening",F54&gt;=21,"Night")</f>
        <v>Morning</v>
      </c>
      <c r="H54" s="8" t="b">
        <v>0</v>
      </c>
      <c r="I54" s="8">
        <v>1</v>
      </c>
      <c r="J54" s="8">
        <v>1</v>
      </c>
      <c r="K54" s="9" t="str" cm="1">
        <f t="array" ref="K54">_xlfn.IFS(J54=1,"Clear",J54=2,"Mist/Cloudy",J54=3,"Rain",J54=4,"Heavy Rain/Thunderstorm")</f>
        <v>Clear</v>
      </c>
      <c r="L54" s="10">
        <v>0.14000000000000001</v>
      </c>
      <c r="M54" s="42" t="str" cm="1">
        <f t="array" ref="M54">_xlfn.IFS(L54&lt;0.15,"Cold",L54&lt;0.25,"Mild",L54&lt;=0.32,"Warm",L54&gt;=0.33,"Hot")</f>
        <v>Cold</v>
      </c>
    </row>
    <row r="55" spans="1:13" x14ac:dyDescent="0.3">
      <c r="A55" s="6">
        <v>54</v>
      </c>
      <c r="B55" s="7">
        <v>40546</v>
      </c>
      <c r="C55" s="8">
        <v>1</v>
      </c>
      <c r="D55" s="8">
        <v>0</v>
      </c>
      <c r="E55" s="8">
        <v>1</v>
      </c>
      <c r="F55" s="8">
        <v>8</v>
      </c>
      <c r="G55" s="8" t="str" cm="1">
        <f t="array" ref="G55">_xlfn.IFS(F55&lt;4,"Night",F55&lt;=6,"Early Morning",F55&lt;11,"Morning",F55&lt;12,"Afternoon",F55&lt;=16,"Afternoon",F55&lt;=20,"Evening",F55&gt;=21,"Night")</f>
        <v>Morning</v>
      </c>
      <c r="H55" s="8" t="b">
        <v>0</v>
      </c>
      <c r="I55" s="8">
        <v>1</v>
      </c>
      <c r="J55" s="8">
        <v>1</v>
      </c>
      <c r="K55" s="9" t="str" cm="1">
        <f t="array" ref="K55">_xlfn.IFS(J55=1,"Clear",J55=2,"Mist/Cloudy",J55=3,"Rain",J55=4,"Heavy Rain/Thunderstorm")</f>
        <v>Clear</v>
      </c>
      <c r="L55" s="10">
        <v>0.14000000000000001</v>
      </c>
      <c r="M55" s="42" t="str" cm="1">
        <f t="array" ref="M55">_xlfn.IFS(L55&lt;0.15,"Cold",L55&lt;0.25,"Mild",L55&lt;=0.32,"Warm",L55&gt;=0.33,"Hot")</f>
        <v>Cold</v>
      </c>
    </row>
    <row r="56" spans="1:13" x14ac:dyDescent="0.3">
      <c r="A56" s="6">
        <v>55</v>
      </c>
      <c r="B56" s="7">
        <v>40546</v>
      </c>
      <c r="C56" s="8">
        <v>1</v>
      </c>
      <c r="D56" s="8">
        <v>0</v>
      </c>
      <c r="E56" s="8">
        <v>1</v>
      </c>
      <c r="F56" s="8">
        <v>9</v>
      </c>
      <c r="G56" s="8" t="str" cm="1">
        <f t="array" ref="G56">_xlfn.IFS(F56&lt;4,"Night",F56&lt;=6,"Early Morning",F56&lt;11,"Morning",F56&lt;12,"Afternoon",F56&lt;=16,"Afternoon",F56&lt;=20,"Evening",F56&gt;=21,"Night")</f>
        <v>Morning</v>
      </c>
      <c r="H56" s="8" t="b">
        <v>0</v>
      </c>
      <c r="I56" s="8">
        <v>1</v>
      </c>
      <c r="J56" s="8">
        <v>1</v>
      </c>
      <c r="K56" s="9" t="str" cm="1">
        <f t="array" ref="K56">_xlfn.IFS(J56=1,"Clear",J56=2,"Mist/Cloudy",J56=3,"Rain",J56=4,"Heavy Rain/Thunderstorm")</f>
        <v>Clear</v>
      </c>
      <c r="L56" s="10">
        <v>0.16</v>
      </c>
      <c r="M56" s="42" t="str" cm="1">
        <f t="array" ref="M56">_xlfn.IFS(L56&lt;0.15,"Cold",L56&lt;0.25,"Mild",L56&lt;=0.32,"Warm",L56&gt;=0.33,"Hot")</f>
        <v>Mild</v>
      </c>
    </row>
    <row r="57" spans="1:13" x14ac:dyDescent="0.3">
      <c r="A57" s="6">
        <v>56</v>
      </c>
      <c r="B57" s="7">
        <v>40546</v>
      </c>
      <c r="C57" s="8">
        <v>1</v>
      </c>
      <c r="D57" s="8">
        <v>0</v>
      </c>
      <c r="E57" s="8">
        <v>1</v>
      </c>
      <c r="F57" s="8">
        <v>10</v>
      </c>
      <c r="G57" s="8" t="str" cm="1">
        <f t="array" ref="G57">_xlfn.IFS(F57&lt;4,"Night",F57&lt;=6,"Early Morning",F57&lt;11,"Morning",F57&lt;12,"Afternoon",F57&lt;=16,"Afternoon",F57&lt;=20,"Evening",F57&gt;=21,"Night")</f>
        <v>Morning</v>
      </c>
      <c r="H57" s="8" t="b">
        <v>0</v>
      </c>
      <c r="I57" s="8">
        <v>1</v>
      </c>
      <c r="J57" s="8">
        <v>1</v>
      </c>
      <c r="K57" s="9" t="str" cm="1">
        <f t="array" ref="K57">_xlfn.IFS(J57=1,"Clear",J57=2,"Mist/Cloudy",J57=3,"Rain",J57=4,"Heavy Rain/Thunderstorm")</f>
        <v>Clear</v>
      </c>
      <c r="L57" s="10">
        <v>0.18</v>
      </c>
      <c r="M57" s="42" t="str" cm="1">
        <f t="array" ref="M57">_xlfn.IFS(L57&lt;0.15,"Cold",L57&lt;0.25,"Mild",L57&lt;=0.32,"Warm",L57&gt;=0.33,"Hot")</f>
        <v>Mild</v>
      </c>
    </row>
    <row r="58" spans="1:13" x14ac:dyDescent="0.3">
      <c r="A58" s="6">
        <v>57</v>
      </c>
      <c r="B58" s="7">
        <v>40546</v>
      </c>
      <c r="C58" s="8">
        <v>1</v>
      </c>
      <c r="D58" s="8">
        <v>0</v>
      </c>
      <c r="E58" s="8">
        <v>1</v>
      </c>
      <c r="F58" s="8">
        <v>11</v>
      </c>
      <c r="G58" s="8" t="str" cm="1">
        <f t="array" ref="G58">_xlfn.IFS(F58&lt;4,"Night",F58&lt;=6,"Early Morning",F58&lt;11,"Morning",F58&lt;12,"Afternoon",F58&lt;=16,"Afternoon",F58&lt;=20,"Evening",F58&gt;=21,"Night")</f>
        <v>Afternoon</v>
      </c>
      <c r="H58" s="8" t="b">
        <v>0</v>
      </c>
      <c r="I58" s="8">
        <v>1</v>
      </c>
      <c r="J58" s="8">
        <v>1</v>
      </c>
      <c r="K58" s="9" t="str" cm="1">
        <f t="array" ref="K58">_xlfn.IFS(J58=1,"Clear",J58=2,"Mist/Cloudy",J58=3,"Rain",J58=4,"Heavy Rain/Thunderstorm")</f>
        <v>Clear</v>
      </c>
      <c r="L58" s="10">
        <v>0.2</v>
      </c>
      <c r="M58" s="42" t="str" cm="1">
        <f t="array" ref="M58">_xlfn.IFS(L58&lt;0.15,"Cold",L58&lt;0.25,"Mild",L58&lt;=0.32,"Warm",L58&gt;=0.33,"Hot")</f>
        <v>Mild</v>
      </c>
    </row>
    <row r="59" spans="1:13" x14ac:dyDescent="0.3">
      <c r="A59" s="6">
        <v>58</v>
      </c>
      <c r="B59" s="7">
        <v>40546</v>
      </c>
      <c r="C59" s="8">
        <v>1</v>
      </c>
      <c r="D59" s="8">
        <v>0</v>
      </c>
      <c r="E59" s="8">
        <v>1</v>
      </c>
      <c r="F59" s="8">
        <v>12</v>
      </c>
      <c r="G59" s="8" t="str" cm="1">
        <f t="array" ref="G59">_xlfn.IFS(F59&lt;4,"Night",F59&lt;=6,"Early Morning",F59&lt;11,"Morning",F59&lt;12,"Afternoon",F59&lt;=16,"Afternoon",F59&lt;=20,"Evening",F59&gt;=21,"Night")</f>
        <v>Afternoon</v>
      </c>
      <c r="H59" s="8" t="b">
        <v>0</v>
      </c>
      <c r="I59" s="8">
        <v>1</v>
      </c>
      <c r="J59" s="8">
        <v>1</v>
      </c>
      <c r="K59" s="9" t="str" cm="1">
        <f t="array" ref="K59">_xlfn.IFS(J59=1,"Clear",J59=2,"Mist/Cloudy",J59=3,"Rain",J59=4,"Heavy Rain/Thunderstorm")</f>
        <v>Clear</v>
      </c>
      <c r="L59" s="10">
        <v>0.22</v>
      </c>
      <c r="M59" s="42" t="str" cm="1">
        <f t="array" ref="M59">_xlfn.IFS(L59&lt;0.15,"Cold",L59&lt;0.25,"Mild",L59&lt;=0.32,"Warm",L59&gt;=0.33,"Hot")</f>
        <v>Mild</v>
      </c>
    </row>
    <row r="60" spans="1:13" x14ac:dyDescent="0.3">
      <c r="A60" s="6">
        <v>59</v>
      </c>
      <c r="B60" s="7">
        <v>40546</v>
      </c>
      <c r="C60" s="8">
        <v>1</v>
      </c>
      <c r="D60" s="8">
        <v>0</v>
      </c>
      <c r="E60" s="8">
        <v>1</v>
      </c>
      <c r="F60" s="8">
        <v>13</v>
      </c>
      <c r="G60" s="8" t="str" cm="1">
        <f t="array" ref="G60">_xlfn.IFS(F60&lt;4,"Night",F60&lt;=6,"Early Morning",F60&lt;11,"Morning",F60&lt;12,"Afternoon",F60&lt;=16,"Afternoon",F60&lt;=20,"Evening",F60&gt;=21,"Night")</f>
        <v>Afternoon</v>
      </c>
      <c r="H60" s="8" t="b">
        <v>0</v>
      </c>
      <c r="I60" s="8">
        <v>1</v>
      </c>
      <c r="J60" s="8">
        <v>1</v>
      </c>
      <c r="K60" s="9" t="str" cm="1">
        <f t="array" ref="K60">_xlfn.IFS(J60=1,"Clear",J60=2,"Mist/Cloudy",J60=3,"Rain",J60=4,"Heavy Rain/Thunderstorm")</f>
        <v>Clear</v>
      </c>
      <c r="L60" s="10">
        <v>0.24</v>
      </c>
      <c r="M60" s="42" t="str" cm="1">
        <f t="array" ref="M60">_xlfn.IFS(L60&lt;0.15,"Cold",L60&lt;0.25,"Mild",L60&lt;=0.32,"Warm",L60&gt;=0.33,"Hot")</f>
        <v>Mild</v>
      </c>
    </row>
    <row r="61" spans="1:13" x14ac:dyDescent="0.3">
      <c r="A61" s="6">
        <v>60</v>
      </c>
      <c r="B61" s="7">
        <v>40546</v>
      </c>
      <c r="C61" s="8">
        <v>1</v>
      </c>
      <c r="D61" s="8">
        <v>0</v>
      </c>
      <c r="E61" s="8">
        <v>1</v>
      </c>
      <c r="F61" s="8">
        <v>14</v>
      </c>
      <c r="G61" s="8" t="str" cm="1">
        <f t="array" ref="G61">_xlfn.IFS(F61&lt;4,"Night",F61&lt;=6,"Early Morning",F61&lt;11,"Morning",F61&lt;12,"Afternoon",F61&lt;=16,"Afternoon",F61&lt;=20,"Evening",F61&gt;=21,"Night")</f>
        <v>Afternoon</v>
      </c>
      <c r="H61" s="8" t="b">
        <v>0</v>
      </c>
      <c r="I61" s="8">
        <v>1</v>
      </c>
      <c r="J61" s="8">
        <v>1</v>
      </c>
      <c r="K61" s="9" t="str" cm="1">
        <f t="array" ref="K61">_xlfn.IFS(J61=1,"Clear",J61=2,"Mist/Cloudy",J61=3,"Rain",J61=4,"Heavy Rain/Thunderstorm")</f>
        <v>Clear</v>
      </c>
      <c r="L61" s="10">
        <v>0.26</v>
      </c>
      <c r="M61" s="42" t="str" cm="1">
        <f t="array" ref="M61">_xlfn.IFS(L61&lt;0.15,"Cold",L61&lt;0.25,"Mild",L61&lt;=0.32,"Warm",L61&gt;=0.33,"Hot")</f>
        <v>Warm</v>
      </c>
    </row>
    <row r="62" spans="1:13" x14ac:dyDescent="0.3">
      <c r="A62" s="6">
        <v>61</v>
      </c>
      <c r="B62" s="7">
        <v>40546</v>
      </c>
      <c r="C62" s="8">
        <v>1</v>
      </c>
      <c r="D62" s="8">
        <v>0</v>
      </c>
      <c r="E62" s="8">
        <v>1</v>
      </c>
      <c r="F62" s="8">
        <v>15</v>
      </c>
      <c r="G62" s="8" t="str" cm="1">
        <f t="array" ref="G62">_xlfn.IFS(F62&lt;4,"Night",F62&lt;=6,"Early Morning",F62&lt;11,"Morning",F62&lt;12,"Afternoon",F62&lt;=16,"Afternoon",F62&lt;=20,"Evening",F62&gt;=21,"Night")</f>
        <v>Afternoon</v>
      </c>
      <c r="H62" s="8" t="b">
        <v>0</v>
      </c>
      <c r="I62" s="8">
        <v>1</v>
      </c>
      <c r="J62" s="8">
        <v>1</v>
      </c>
      <c r="K62" s="9" t="str" cm="1">
        <f t="array" ref="K62">_xlfn.IFS(J62=1,"Clear",J62=2,"Mist/Cloudy",J62=3,"Rain",J62=4,"Heavy Rain/Thunderstorm")</f>
        <v>Clear</v>
      </c>
      <c r="L62" s="10">
        <v>0.26</v>
      </c>
      <c r="M62" s="42" t="str" cm="1">
        <f t="array" ref="M62">_xlfn.IFS(L62&lt;0.15,"Cold",L62&lt;0.25,"Mild",L62&lt;=0.32,"Warm",L62&gt;=0.33,"Hot")</f>
        <v>Warm</v>
      </c>
    </row>
    <row r="63" spans="1:13" x14ac:dyDescent="0.3">
      <c r="A63" s="6">
        <v>62</v>
      </c>
      <c r="B63" s="7">
        <v>40546</v>
      </c>
      <c r="C63" s="8">
        <v>1</v>
      </c>
      <c r="D63" s="8">
        <v>0</v>
      </c>
      <c r="E63" s="8">
        <v>1</v>
      </c>
      <c r="F63" s="8">
        <v>16</v>
      </c>
      <c r="G63" s="8" t="str" cm="1">
        <f t="array" ref="G63">_xlfn.IFS(F63&lt;4,"Night",F63&lt;=6,"Early Morning",F63&lt;11,"Morning",F63&lt;12,"Afternoon",F63&lt;=16,"Afternoon",F63&lt;=20,"Evening",F63&gt;=21,"Night")</f>
        <v>Afternoon</v>
      </c>
      <c r="H63" s="8" t="b">
        <v>0</v>
      </c>
      <c r="I63" s="8">
        <v>1</v>
      </c>
      <c r="J63" s="8">
        <v>1</v>
      </c>
      <c r="K63" s="9" t="str" cm="1">
        <f t="array" ref="K63">_xlfn.IFS(J63=1,"Clear",J63=2,"Mist/Cloudy",J63=3,"Rain",J63=4,"Heavy Rain/Thunderstorm")</f>
        <v>Clear</v>
      </c>
      <c r="L63" s="10">
        <v>0.26</v>
      </c>
      <c r="M63" s="42" t="str" cm="1">
        <f t="array" ref="M63">_xlfn.IFS(L63&lt;0.15,"Cold",L63&lt;0.25,"Mild",L63&lt;=0.32,"Warm",L63&gt;=0.33,"Hot")</f>
        <v>Warm</v>
      </c>
    </row>
    <row r="64" spans="1:13" x14ac:dyDescent="0.3">
      <c r="A64" s="6">
        <v>63</v>
      </c>
      <c r="B64" s="7">
        <v>40546</v>
      </c>
      <c r="C64" s="8">
        <v>1</v>
      </c>
      <c r="D64" s="8">
        <v>0</v>
      </c>
      <c r="E64" s="8">
        <v>1</v>
      </c>
      <c r="F64" s="8">
        <v>17</v>
      </c>
      <c r="G64" s="8" t="str" cm="1">
        <f t="array" ref="G64">_xlfn.IFS(F64&lt;4,"Night",F64&lt;=6,"Early Morning",F64&lt;11,"Morning",F64&lt;12,"Afternoon",F64&lt;=16,"Afternoon",F64&lt;=20,"Evening",F64&gt;=21,"Night")</f>
        <v>Evening</v>
      </c>
      <c r="H64" s="8" t="b">
        <v>0</v>
      </c>
      <c r="I64" s="8">
        <v>1</v>
      </c>
      <c r="J64" s="8">
        <v>1</v>
      </c>
      <c r="K64" s="9" t="str" cm="1">
        <f t="array" ref="K64">_xlfn.IFS(J64=1,"Clear",J64=2,"Mist/Cloudy",J64=3,"Rain",J64=4,"Heavy Rain/Thunderstorm")</f>
        <v>Clear</v>
      </c>
      <c r="L64" s="10">
        <v>0.24</v>
      </c>
      <c r="M64" s="42" t="str" cm="1">
        <f t="array" ref="M64">_xlfn.IFS(L64&lt;0.15,"Cold",L64&lt;0.25,"Mild",L64&lt;=0.32,"Warm",L64&gt;=0.33,"Hot")</f>
        <v>Mild</v>
      </c>
    </row>
    <row r="65" spans="1:13" x14ac:dyDescent="0.3">
      <c r="A65" s="6">
        <v>64</v>
      </c>
      <c r="B65" s="7">
        <v>40546</v>
      </c>
      <c r="C65" s="8">
        <v>1</v>
      </c>
      <c r="D65" s="8">
        <v>0</v>
      </c>
      <c r="E65" s="8">
        <v>1</v>
      </c>
      <c r="F65" s="8">
        <v>18</v>
      </c>
      <c r="G65" s="8" t="str" cm="1">
        <f t="array" ref="G65">_xlfn.IFS(F65&lt;4,"Night",F65&lt;=6,"Early Morning",F65&lt;11,"Morning",F65&lt;12,"Afternoon",F65&lt;=16,"Afternoon",F65&lt;=20,"Evening",F65&gt;=21,"Night")</f>
        <v>Evening</v>
      </c>
      <c r="H65" s="8" t="b">
        <v>0</v>
      </c>
      <c r="I65" s="8">
        <v>1</v>
      </c>
      <c r="J65" s="8">
        <v>1</v>
      </c>
      <c r="K65" s="9" t="str" cm="1">
        <f t="array" ref="K65">_xlfn.IFS(J65=1,"Clear",J65=2,"Mist/Cloudy",J65=3,"Rain",J65=4,"Heavy Rain/Thunderstorm")</f>
        <v>Clear</v>
      </c>
      <c r="L65" s="10">
        <v>0.24</v>
      </c>
      <c r="M65" s="42" t="str" cm="1">
        <f t="array" ref="M65">_xlfn.IFS(L65&lt;0.15,"Cold",L65&lt;0.25,"Mild",L65&lt;=0.32,"Warm",L65&gt;=0.33,"Hot")</f>
        <v>Mild</v>
      </c>
    </row>
    <row r="66" spans="1:13" x14ac:dyDescent="0.3">
      <c r="A66" s="6">
        <v>65</v>
      </c>
      <c r="B66" s="7">
        <v>40546</v>
      </c>
      <c r="C66" s="8">
        <v>1</v>
      </c>
      <c r="D66" s="8">
        <v>0</v>
      </c>
      <c r="E66" s="8">
        <v>1</v>
      </c>
      <c r="F66" s="8">
        <v>19</v>
      </c>
      <c r="G66" s="8" t="str" cm="1">
        <f t="array" ref="G66">_xlfn.IFS(F66&lt;4,"Night",F66&lt;=6,"Early Morning",F66&lt;11,"Morning",F66&lt;12,"Afternoon",F66&lt;=16,"Afternoon",F66&lt;=20,"Evening",F66&gt;=21,"Night")</f>
        <v>Evening</v>
      </c>
      <c r="H66" s="8" t="b">
        <v>0</v>
      </c>
      <c r="I66" s="8">
        <v>1</v>
      </c>
      <c r="J66" s="8">
        <v>1</v>
      </c>
      <c r="K66" s="9" t="str" cm="1">
        <f t="array" ref="K66">_xlfn.IFS(J66=1,"Clear",J66=2,"Mist/Cloudy",J66=3,"Rain",J66=4,"Heavy Rain/Thunderstorm")</f>
        <v>Clear</v>
      </c>
      <c r="L66" s="10">
        <v>0.2</v>
      </c>
      <c r="M66" s="42" t="str" cm="1">
        <f t="array" ref="M66">_xlfn.IFS(L66&lt;0.15,"Cold",L66&lt;0.25,"Mild",L66&lt;=0.32,"Warm",L66&gt;=0.33,"Hot")</f>
        <v>Mild</v>
      </c>
    </row>
    <row r="67" spans="1:13" x14ac:dyDescent="0.3">
      <c r="A67" s="6">
        <v>66</v>
      </c>
      <c r="B67" s="7">
        <v>40546</v>
      </c>
      <c r="C67" s="8">
        <v>1</v>
      </c>
      <c r="D67" s="8">
        <v>0</v>
      </c>
      <c r="E67" s="8">
        <v>1</v>
      </c>
      <c r="F67" s="8">
        <v>20</v>
      </c>
      <c r="G67" s="8" t="str" cm="1">
        <f t="array" ref="G67">_xlfn.IFS(F67&lt;4,"Night",F67&lt;=6,"Early Morning",F67&lt;11,"Morning",F67&lt;12,"Afternoon",F67&lt;=16,"Afternoon",F67&lt;=20,"Evening",F67&gt;=21,"Night")</f>
        <v>Evening</v>
      </c>
      <c r="H67" s="8" t="b">
        <v>0</v>
      </c>
      <c r="I67" s="8">
        <v>1</v>
      </c>
      <c r="J67" s="8">
        <v>1</v>
      </c>
      <c r="K67" s="9" t="str" cm="1">
        <f t="array" ref="K67">_xlfn.IFS(J67=1,"Clear",J67=2,"Mist/Cloudy",J67=3,"Rain",J67=4,"Heavy Rain/Thunderstorm")</f>
        <v>Clear</v>
      </c>
      <c r="L67" s="10">
        <v>0.2</v>
      </c>
      <c r="M67" s="42" t="str" cm="1">
        <f t="array" ref="M67">_xlfn.IFS(L67&lt;0.15,"Cold",L67&lt;0.25,"Mild",L67&lt;=0.32,"Warm",L67&gt;=0.33,"Hot")</f>
        <v>Mild</v>
      </c>
    </row>
    <row r="68" spans="1:13" x14ac:dyDescent="0.3">
      <c r="A68" s="6">
        <v>67</v>
      </c>
      <c r="B68" s="7">
        <v>40546</v>
      </c>
      <c r="C68" s="8">
        <v>1</v>
      </c>
      <c r="D68" s="8">
        <v>0</v>
      </c>
      <c r="E68" s="8">
        <v>1</v>
      </c>
      <c r="F68" s="8">
        <v>21</v>
      </c>
      <c r="G68" s="8" t="str" cm="1">
        <f t="array" ref="G68">_xlfn.IFS(F68&lt;4,"Night",F68&lt;=6,"Early Morning",F68&lt;11,"Morning",F68&lt;12,"Afternoon",F68&lt;=16,"Afternoon",F68&lt;=20,"Evening",F68&gt;=21,"Night")</f>
        <v>Night</v>
      </c>
      <c r="H68" s="8" t="b">
        <v>0</v>
      </c>
      <c r="I68" s="8">
        <v>1</v>
      </c>
      <c r="J68" s="8">
        <v>1</v>
      </c>
      <c r="K68" s="9" t="str" cm="1">
        <f t="array" ref="K68">_xlfn.IFS(J68=1,"Clear",J68=2,"Mist/Cloudy",J68=3,"Rain",J68=4,"Heavy Rain/Thunderstorm")</f>
        <v>Clear</v>
      </c>
      <c r="L68" s="10">
        <v>0.18</v>
      </c>
      <c r="M68" s="42" t="str" cm="1">
        <f t="array" ref="M68">_xlfn.IFS(L68&lt;0.15,"Cold",L68&lt;0.25,"Mild",L68&lt;=0.32,"Warm",L68&gt;=0.33,"Hot")</f>
        <v>Mild</v>
      </c>
    </row>
    <row r="69" spans="1:13" x14ac:dyDescent="0.3">
      <c r="A69" s="6">
        <v>68</v>
      </c>
      <c r="B69" s="7">
        <v>40546</v>
      </c>
      <c r="C69" s="8">
        <v>1</v>
      </c>
      <c r="D69" s="8">
        <v>0</v>
      </c>
      <c r="E69" s="8">
        <v>1</v>
      </c>
      <c r="F69" s="8">
        <v>22</v>
      </c>
      <c r="G69" s="8" t="str" cm="1">
        <f t="array" ref="G69">_xlfn.IFS(F69&lt;4,"Night",F69&lt;=6,"Early Morning",F69&lt;11,"Morning",F69&lt;12,"Afternoon",F69&lt;=16,"Afternoon",F69&lt;=20,"Evening",F69&gt;=21,"Night")</f>
        <v>Night</v>
      </c>
      <c r="H69" s="8" t="b">
        <v>0</v>
      </c>
      <c r="I69" s="8">
        <v>1</v>
      </c>
      <c r="J69" s="8">
        <v>1</v>
      </c>
      <c r="K69" s="9" t="str" cm="1">
        <f t="array" ref="K69">_xlfn.IFS(J69=1,"Clear",J69=2,"Mist/Cloudy",J69=3,"Rain",J69=4,"Heavy Rain/Thunderstorm")</f>
        <v>Clear</v>
      </c>
      <c r="L69" s="10">
        <v>0.14000000000000001</v>
      </c>
      <c r="M69" s="42" t="str" cm="1">
        <f t="array" ref="M69">_xlfn.IFS(L69&lt;0.15,"Cold",L69&lt;0.25,"Mild",L69&lt;=0.32,"Warm",L69&gt;=0.33,"Hot")</f>
        <v>Cold</v>
      </c>
    </row>
    <row r="70" spans="1:13" x14ac:dyDescent="0.3">
      <c r="A70" s="6">
        <v>69</v>
      </c>
      <c r="B70" s="7">
        <v>40546</v>
      </c>
      <c r="C70" s="8">
        <v>1</v>
      </c>
      <c r="D70" s="8">
        <v>0</v>
      </c>
      <c r="E70" s="8">
        <v>1</v>
      </c>
      <c r="F70" s="8">
        <v>23</v>
      </c>
      <c r="G70" s="8" t="str" cm="1">
        <f t="array" ref="G70">_xlfn.IFS(F70&lt;4,"Night",F70&lt;=6,"Early Morning",F70&lt;11,"Morning",F70&lt;12,"Afternoon",F70&lt;=16,"Afternoon",F70&lt;=20,"Evening",F70&gt;=21,"Night")</f>
        <v>Night</v>
      </c>
      <c r="H70" s="8" t="b">
        <v>0</v>
      </c>
      <c r="I70" s="8">
        <v>1</v>
      </c>
      <c r="J70" s="8">
        <v>1</v>
      </c>
      <c r="K70" s="9" t="str" cm="1">
        <f t="array" ref="K70">_xlfn.IFS(J70=1,"Clear",J70=2,"Mist/Cloudy",J70=3,"Rain",J70=4,"Heavy Rain/Thunderstorm")</f>
        <v>Clear</v>
      </c>
      <c r="L70" s="10">
        <v>0.18</v>
      </c>
      <c r="M70" s="42" t="str" cm="1">
        <f t="array" ref="M70">_xlfn.IFS(L70&lt;0.15,"Cold",L70&lt;0.25,"Mild",L70&lt;=0.32,"Warm",L70&gt;=0.33,"Hot")</f>
        <v>Mild</v>
      </c>
    </row>
    <row r="71" spans="1:13" x14ac:dyDescent="0.3">
      <c r="A71" s="6">
        <v>70</v>
      </c>
      <c r="B71" s="7">
        <v>40547</v>
      </c>
      <c r="C71" s="8">
        <v>1</v>
      </c>
      <c r="D71" s="8">
        <v>0</v>
      </c>
      <c r="E71" s="8">
        <v>1</v>
      </c>
      <c r="F71" s="8">
        <v>0</v>
      </c>
      <c r="G71" s="8" t="str" cm="1">
        <f t="array" ref="G71">_xlfn.IFS(F71&lt;4,"Night",F71&lt;=6,"Early Morning",F71&lt;11,"Morning",F71&lt;12,"Afternoon",F71&lt;=16,"Afternoon",F71&lt;=20,"Evening",F71&gt;=21,"Night")</f>
        <v>Night</v>
      </c>
      <c r="H71" s="8" t="b">
        <v>0</v>
      </c>
      <c r="I71" s="8">
        <v>2</v>
      </c>
      <c r="J71" s="8">
        <v>1</v>
      </c>
      <c r="K71" s="9" t="str" cm="1">
        <f t="array" ref="K71">_xlfn.IFS(J71=1,"Clear",J71=2,"Mist/Cloudy",J71=3,"Rain",J71=4,"Heavy Rain/Thunderstorm")</f>
        <v>Clear</v>
      </c>
      <c r="L71" s="10">
        <v>0.16</v>
      </c>
      <c r="M71" s="42" t="str" cm="1">
        <f t="array" ref="M71">_xlfn.IFS(L71&lt;0.15,"Cold",L71&lt;0.25,"Mild",L71&lt;=0.32,"Warm",L71&gt;=0.33,"Hot")</f>
        <v>Mild</v>
      </c>
    </row>
    <row r="72" spans="1:13" x14ac:dyDescent="0.3">
      <c r="A72" s="6">
        <v>71</v>
      </c>
      <c r="B72" s="7">
        <v>40547</v>
      </c>
      <c r="C72" s="8">
        <v>1</v>
      </c>
      <c r="D72" s="8">
        <v>0</v>
      </c>
      <c r="E72" s="8">
        <v>1</v>
      </c>
      <c r="F72" s="8">
        <v>1</v>
      </c>
      <c r="G72" s="8" t="str" cm="1">
        <f t="array" ref="G72">_xlfn.IFS(F72&lt;4,"Night",F72&lt;=6,"Early Morning",F72&lt;11,"Morning",F72&lt;12,"Afternoon",F72&lt;=16,"Afternoon",F72&lt;=20,"Evening",F72&gt;=21,"Night")</f>
        <v>Night</v>
      </c>
      <c r="H72" s="8" t="b">
        <v>0</v>
      </c>
      <c r="I72" s="8">
        <v>2</v>
      </c>
      <c r="J72" s="8">
        <v>1</v>
      </c>
      <c r="K72" s="9" t="str" cm="1">
        <f t="array" ref="K72">_xlfn.IFS(J72=1,"Clear",J72=2,"Mist/Cloudy",J72=3,"Rain",J72=4,"Heavy Rain/Thunderstorm")</f>
        <v>Clear</v>
      </c>
      <c r="L72" s="10">
        <v>0.16</v>
      </c>
      <c r="M72" s="42" t="str" cm="1">
        <f t="array" ref="M72">_xlfn.IFS(L72&lt;0.15,"Cold",L72&lt;0.25,"Mild",L72&lt;=0.32,"Warm",L72&gt;=0.33,"Hot")</f>
        <v>Mild</v>
      </c>
    </row>
    <row r="73" spans="1:13" x14ac:dyDescent="0.3">
      <c r="A73" s="6">
        <v>72</v>
      </c>
      <c r="B73" s="7">
        <v>40547</v>
      </c>
      <c r="C73" s="8">
        <v>1</v>
      </c>
      <c r="D73" s="8">
        <v>0</v>
      </c>
      <c r="E73" s="8">
        <v>1</v>
      </c>
      <c r="F73" s="8">
        <v>2</v>
      </c>
      <c r="G73" s="8" t="str" cm="1">
        <f t="array" ref="G73">_xlfn.IFS(F73&lt;4,"Night",F73&lt;=6,"Early Morning",F73&lt;11,"Morning",F73&lt;12,"Afternoon",F73&lt;=16,"Afternoon",F73&lt;=20,"Evening",F73&gt;=21,"Night")</f>
        <v>Night</v>
      </c>
      <c r="H73" s="8" t="b">
        <v>0</v>
      </c>
      <c r="I73" s="8">
        <v>2</v>
      </c>
      <c r="J73" s="8">
        <v>1</v>
      </c>
      <c r="K73" s="9" t="str" cm="1">
        <f t="array" ref="K73">_xlfn.IFS(J73=1,"Clear",J73=2,"Mist/Cloudy",J73=3,"Rain",J73=4,"Heavy Rain/Thunderstorm")</f>
        <v>Clear</v>
      </c>
      <c r="L73" s="10">
        <v>0.14000000000000001</v>
      </c>
      <c r="M73" s="42" t="str" cm="1">
        <f t="array" ref="M73">_xlfn.IFS(L73&lt;0.15,"Cold",L73&lt;0.25,"Mild",L73&lt;=0.32,"Warm",L73&gt;=0.33,"Hot")</f>
        <v>Cold</v>
      </c>
    </row>
    <row r="74" spans="1:13" x14ac:dyDescent="0.3">
      <c r="A74" s="6">
        <v>73</v>
      </c>
      <c r="B74" s="7">
        <v>40547</v>
      </c>
      <c r="C74" s="8">
        <v>1</v>
      </c>
      <c r="D74" s="8">
        <v>0</v>
      </c>
      <c r="E74" s="8">
        <v>1</v>
      </c>
      <c r="F74" s="8">
        <v>4</v>
      </c>
      <c r="G74" s="8" t="str" cm="1">
        <f t="array" ref="G74">_xlfn.IFS(F74&lt;4,"Night",F74&lt;=6,"Early Morning",F74&lt;11,"Morning",F74&lt;12,"Afternoon",F74&lt;=16,"Afternoon",F74&lt;=20,"Evening",F74&gt;=21,"Night")</f>
        <v>Early Morning</v>
      </c>
      <c r="H74" s="8" t="b">
        <v>0</v>
      </c>
      <c r="I74" s="8">
        <v>2</v>
      </c>
      <c r="J74" s="8">
        <v>1</v>
      </c>
      <c r="K74" s="9" t="str" cm="1">
        <f t="array" ref="K74">_xlfn.IFS(J74=1,"Clear",J74=2,"Mist/Cloudy",J74=3,"Rain",J74=4,"Heavy Rain/Thunderstorm")</f>
        <v>Clear</v>
      </c>
      <c r="L74" s="10">
        <v>0.14000000000000001</v>
      </c>
      <c r="M74" s="42" t="str" cm="1">
        <f t="array" ref="M74">_xlfn.IFS(L74&lt;0.15,"Cold",L74&lt;0.25,"Mild",L74&lt;=0.32,"Warm",L74&gt;=0.33,"Hot")</f>
        <v>Cold</v>
      </c>
    </row>
    <row r="75" spans="1:13" x14ac:dyDescent="0.3">
      <c r="A75" s="6">
        <v>74</v>
      </c>
      <c r="B75" s="7">
        <v>40547</v>
      </c>
      <c r="C75" s="8">
        <v>1</v>
      </c>
      <c r="D75" s="8">
        <v>0</v>
      </c>
      <c r="E75" s="8">
        <v>1</v>
      </c>
      <c r="F75" s="8">
        <v>5</v>
      </c>
      <c r="G75" s="8" t="str" cm="1">
        <f t="array" ref="G75">_xlfn.IFS(F75&lt;4,"Night",F75&lt;=6,"Early Morning",F75&lt;11,"Morning",F75&lt;12,"Afternoon",F75&lt;=16,"Afternoon",F75&lt;=20,"Evening",F75&gt;=21,"Night")</f>
        <v>Early Morning</v>
      </c>
      <c r="H75" s="8" t="b">
        <v>0</v>
      </c>
      <c r="I75" s="8">
        <v>2</v>
      </c>
      <c r="J75" s="8">
        <v>1</v>
      </c>
      <c r="K75" s="9" t="str" cm="1">
        <f t="array" ref="K75">_xlfn.IFS(J75=1,"Clear",J75=2,"Mist/Cloudy",J75=3,"Rain",J75=4,"Heavy Rain/Thunderstorm")</f>
        <v>Clear</v>
      </c>
      <c r="L75" s="10">
        <v>0.12</v>
      </c>
      <c r="M75" s="42" t="str" cm="1">
        <f t="array" ref="M75">_xlfn.IFS(L75&lt;0.15,"Cold",L75&lt;0.25,"Mild",L75&lt;=0.32,"Warm",L75&gt;=0.33,"Hot")</f>
        <v>Cold</v>
      </c>
    </row>
    <row r="76" spans="1:13" x14ac:dyDescent="0.3">
      <c r="A76" s="6">
        <v>75</v>
      </c>
      <c r="B76" s="7">
        <v>40547</v>
      </c>
      <c r="C76" s="8">
        <v>1</v>
      </c>
      <c r="D76" s="8">
        <v>0</v>
      </c>
      <c r="E76" s="8">
        <v>1</v>
      </c>
      <c r="F76" s="8">
        <v>6</v>
      </c>
      <c r="G76" s="8" t="str" cm="1">
        <f t="array" ref="G76">_xlfn.IFS(F76&lt;4,"Night",F76&lt;=6,"Early Morning",F76&lt;11,"Morning",F76&lt;12,"Afternoon",F76&lt;=16,"Afternoon",F76&lt;=20,"Evening",F76&gt;=21,"Night")</f>
        <v>Early Morning</v>
      </c>
      <c r="H76" s="8" t="b">
        <v>0</v>
      </c>
      <c r="I76" s="8">
        <v>2</v>
      </c>
      <c r="J76" s="8">
        <v>1</v>
      </c>
      <c r="K76" s="9" t="str" cm="1">
        <f t="array" ref="K76">_xlfn.IFS(J76=1,"Clear",J76=2,"Mist/Cloudy",J76=3,"Rain",J76=4,"Heavy Rain/Thunderstorm")</f>
        <v>Clear</v>
      </c>
      <c r="L76" s="10">
        <v>0.12</v>
      </c>
      <c r="M76" s="42" t="str" cm="1">
        <f t="array" ref="M76">_xlfn.IFS(L76&lt;0.15,"Cold",L76&lt;0.25,"Mild",L76&lt;=0.32,"Warm",L76&gt;=0.33,"Hot")</f>
        <v>Cold</v>
      </c>
    </row>
    <row r="77" spans="1:13" x14ac:dyDescent="0.3">
      <c r="A77" s="6">
        <v>76</v>
      </c>
      <c r="B77" s="7">
        <v>40547</v>
      </c>
      <c r="C77" s="8">
        <v>1</v>
      </c>
      <c r="D77" s="8">
        <v>0</v>
      </c>
      <c r="E77" s="8">
        <v>1</v>
      </c>
      <c r="F77" s="8">
        <v>7</v>
      </c>
      <c r="G77" s="8" t="str" cm="1">
        <f t="array" ref="G77">_xlfn.IFS(F77&lt;4,"Night",F77&lt;=6,"Early Morning",F77&lt;11,"Morning",F77&lt;12,"Afternoon",F77&lt;=16,"Afternoon",F77&lt;=20,"Evening",F77&gt;=21,"Night")</f>
        <v>Morning</v>
      </c>
      <c r="H77" s="8" t="b">
        <v>0</v>
      </c>
      <c r="I77" s="8">
        <v>2</v>
      </c>
      <c r="J77" s="8">
        <v>1</v>
      </c>
      <c r="K77" s="9" t="str" cm="1">
        <f t="array" ref="K77">_xlfn.IFS(J77=1,"Clear",J77=2,"Mist/Cloudy",J77=3,"Rain",J77=4,"Heavy Rain/Thunderstorm")</f>
        <v>Clear</v>
      </c>
      <c r="L77" s="10">
        <v>0.12</v>
      </c>
      <c r="M77" s="42" t="str" cm="1">
        <f t="array" ref="M77">_xlfn.IFS(L77&lt;0.15,"Cold",L77&lt;0.25,"Mild",L77&lt;=0.32,"Warm",L77&gt;=0.33,"Hot")</f>
        <v>Cold</v>
      </c>
    </row>
    <row r="78" spans="1:13" x14ac:dyDescent="0.3">
      <c r="A78" s="6">
        <v>77</v>
      </c>
      <c r="B78" s="7">
        <v>40547</v>
      </c>
      <c r="C78" s="8">
        <v>1</v>
      </c>
      <c r="D78" s="8">
        <v>0</v>
      </c>
      <c r="E78" s="8">
        <v>1</v>
      </c>
      <c r="F78" s="8">
        <v>8</v>
      </c>
      <c r="G78" s="8" t="str" cm="1">
        <f t="array" ref="G78">_xlfn.IFS(F78&lt;4,"Night",F78&lt;=6,"Early Morning",F78&lt;11,"Morning",F78&lt;12,"Afternoon",F78&lt;=16,"Afternoon",F78&lt;=20,"Evening",F78&gt;=21,"Night")</f>
        <v>Morning</v>
      </c>
      <c r="H78" s="8" t="b">
        <v>0</v>
      </c>
      <c r="I78" s="8">
        <v>2</v>
      </c>
      <c r="J78" s="8">
        <v>1</v>
      </c>
      <c r="K78" s="9" t="str" cm="1">
        <f t="array" ref="K78">_xlfn.IFS(J78=1,"Clear",J78=2,"Mist/Cloudy",J78=3,"Rain",J78=4,"Heavy Rain/Thunderstorm")</f>
        <v>Clear</v>
      </c>
      <c r="L78" s="10">
        <v>0.14000000000000001</v>
      </c>
      <c r="M78" s="42" t="str" cm="1">
        <f t="array" ref="M78">_xlfn.IFS(L78&lt;0.15,"Cold",L78&lt;0.25,"Mild",L78&lt;=0.32,"Warm",L78&gt;=0.33,"Hot")</f>
        <v>Cold</v>
      </c>
    </row>
    <row r="79" spans="1:13" x14ac:dyDescent="0.3">
      <c r="A79" s="6">
        <v>78</v>
      </c>
      <c r="B79" s="7">
        <v>40547</v>
      </c>
      <c r="C79" s="8">
        <v>1</v>
      </c>
      <c r="D79" s="8">
        <v>0</v>
      </c>
      <c r="E79" s="8">
        <v>1</v>
      </c>
      <c r="F79" s="8">
        <v>9</v>
      </c>
      <c r="G79" s="8" t="str" cm="1">
        <f t="array" ref="G79">_xlfn.IFS(F79&lt;4,"Night",F79&lt;=6,"Early Morning",F79&lt;11,"Morning",F79&lt;12,"Afternoon",F79&lt;=16,"Afternoon",F79&lt;=20,"Evening",F79&gt;=21,"Night")</f>
        <v>Morning</v>
      </c>
      <c r="H79" s="8" t="b">
        <v>0</v>
      </c>
      <c r="I79" s="8">
        <v>2</v>
      </c>
      <c r="J79" s="8">
        <v>1</v>
      </c>
      <c r="K79" s="9" t="str" cm="1">
        <f t="array" ref="K79">_xlfn.IFS(J79=1,"Clear",J79=2,"Mist/Cloudy",J79=3,"Rain",J79=4,"Heavy Rain/Thunderstorm")</f>
        <v>Clear</v>
      </c>
      <c r="L79" s="10">
        <v>0.16</v>
      </c>
      <c r="M79" s="42" t="str" cm="1">
        <f t="array" ref="M79">_xlfn.IFS(L79&lt;0.15,"Cold",L79&lt;0.25,"Mild",L79&lt;=0.32,"Warm",L79&gt;=0.33,"Hot")</f>
        <v>Mild</v>
      </c>
    </row>
    <row r="80" spans="1:13" x14ac:dyDescent="0.3">
      <c r="A80" s="6">
        <v>79</v>
      </c>
      <c r="B80" s="7">
        <v>40547</v>
      </c>
      <c r="C80" s="8">
        <v>1</v>
      </c>
      <c r="D80" s="8">
        <v>0</v>
      </c>
      <c r="E80" s="8">
        <v>1</v>
      </c>
      <c r="F80" s="8">
        <v>10</v>
      </c>
      <c r="G80" s="8" t="str" cm="1">
        <f t="array" ref="G80">_xlfn.IFS(F80&lt;4,"Night",F80&lt;=6,"Early Morning",F80&lt;11,"Morning",F80&lt;12,"Afternoon",F80&lt;=16,"Afternoon",F80&lt;=20,"Evening",F80&gt;=21,"Night")</f>
        <v>Morning</v>
      </c>
      <c r="H80" s="8" t="b">
        <v>0</v>
      </c>
      <c r="I80" s="8">
        <v>2</v>
      </c>
      <c r="J80" s="8">
        <v>2</v>
      </c>
      <c r="K80" s="9" t="str" cm="1">
        <f t="array" ref="K80">_xlfn.IFS(J80=1,"Clear",J80=2,"Mist/Cloudy",J80=3,"Rain",J80=4,"Heavy Rain/Thunderstorm")</f>
        <v>Mist/Cloudy</v>
      </c>
      <c r="L80" s="10">
        <v>0.16</v>
      </c>
      <c r="M80" s="42" t="str" cm="1">
        <f t="array" ref="M80">_xlfn.IFS(L80&lt;0.15,"Cold",L80&lt;0.25,"Mild",L80&lt;=0.32,"Warm",L80&gt;=0.33,"Hot")</f>
        <v>Mild</v>
      </c>
    </row>
    <row r="81" spans="1:13" x14ac:dyDescent="0.3">
      <c r="A81" s="6">
        <v>80</v>
      </c>
      <c r="B81" s="7">
        <v>40547</v>
      </c>
      <c r="C81" s="8">
        <v>1</v>
      </c>
      <c r="D81" s="8">
        <v>0</v>
      </c>
      <c r="E81" s="8">
        <v>1</v>
      </c>
      <c r="F81" s="8">
        <v>11</v>
      </c>
      <c r="G81" s="8" t="str" cm="1">
        <f t="array" ref="G81">_xlfn.IFS(F81&lt;4,"Night",F81&lt;=6,"Early Morning",F81&lt;11,"Morning",F81&lt;12,"Afternoon",F81&lt;=16,"Afternoon",F81&lt;=20,"Evening",F81&gt;=21,"Night")</f>
        <v>Afternoon</v>
      </c>
      <c r="H81" s="8" t="b">
        <v>0</v>
      </c>
      <c r="I81" s="8">
        <v>2</v>
      </c>
      <c r="J81" s="8">
        <v>1</v>
      </c>
      <c r="K81" s="9" t="str" cm="1">
        <f t="array" ref="K81">_xlfn.IFS(J81=1,"Clear",J81=2,"Mist/Cloudy",J81=3,"Rain",J81=4,"Heavy Rain/Thunderstorm")</f>
        <v>Clear</v>
      </c>
      <c r="L81" s="10">
        <v>0.22</v>
      </c>
      <c r="M81" s="42" t="str" cm="1">
        <f t="array" ref="M81">_xlfn.IFS(L81&lt;0.15,"Cold",L81&lt;0.25,"Mild",L81&lt;=0.32,"Warm",L81&gt;=0.33,"Hot")</f>
        <v>Mild</v>
      </c>
    </row>
    <row r="82" spans="1:13" x14ac:dyDescent="0.3">
      <c r="A82" s="6">
        <v>81</v>
      </c>
      <c r="B82" s="7">
        <v>40547</v>
      </c>
      <c r="C82" s="8">
        <v>1</v>
      </c>
      <c r="D82" s="8">
        <v>0</v>
      </c>
      <c r="E82" s="8">
        <v>1</v>
      </c>
      <c r="F82" s="8">
        <v>12</v>
      </c>
      <c r="G82" s="8" t="str" cm="1">
        <f t="array" ref="G82">_xlfn.IFS(F82&lt;4,"Night",F82&lt;=6,"Early Morning",F82&lt;11,"Morning",F82&lt;12,"Afternoon",F82&lt;=16,"Afternoon",F82&lt;=20,"Evening",F82&gt;=21,"Night")</f>
        <v>Afternoon</v>
      </c>
      <c r="H82" s="8" t="b">
        <v>0</v>
      </c>
      <c r="I82" s="8">
        <v>2</v>
      </c>
      <c r="J82" s="8">
        <v>1</v>
      </c>
      <c r="K82" s="9" t="str" cm="1">
        <f t="array" ref="K82">_xlfn.IFS(J82=1,"Clear",J82=2,"Mist/Cloudy",J82=3,"Rain",J82=4,"Heavy Rain/Thunderstorm")</f>
        <v>Clear</v>
      </c>
      <c r="L82" s="10">
        <v>0.22</v>
      </c>
      <c r="M82" s="42" t="str" cm="1">
        <f t="array" ref="M82">_xlfn.IFS(L82&lt;0.15,"Cold",L82&lt;0.25,"Mild",L82&lt;=0.32,"Warm",L82&gt;=0.33,"Hot")</f>
        <v>Mild</v>
      </c>
    </row>
    <row r="83" spans="1:13" x14ac:dyDescent="0.3">
      <c r="A83" s="6">
        <v>82</v>
      </c>
      <c r="B83" s="7">
        <v>40547</v>
      </c>
      <c r="C83" s="8">
        <v>1</v>
      </c>
      <c r="D83" s="8">
        <v>0</v>
      </c>
      <c r="E83" s="8">
        <v>1</v>
      </c>
      <c r="F83" s="8">
        <v>13</v>
      </c>
      <c r="G83" s="8" t="str" cm="1">
        <f t="array" ref="G83">_xlfn.IFS(F83&lt;4,"Night",F83&lt;=6,"Early Morning",F83&lt;11,"Morning",F83&lt;12,"Afternoon",F83&lt;=16,"Afternoon",F83&lt;=20,"Evening",F83&gt;=21,"Night")</f>
        <v>Afternoon</v>
      </c>
      <c r="H83" s="8" t="b">
        <v>0</v>
      </c>
      <c r="I83" s="8">
        <v>2</v>
      </c>
      <c r="J83" s="8">
        <v>1</v>
      </c>
      <c r="K83" s="9" t="str" cm="1">
        <f t="array" ref="K83">_xlfn.IFS(J83=1,"Clear",J83=2,"Mist/Cloudy",J83=3,"Rain",J83=4,"Heavy Rain/Thunderstorm")</f>
        <v>Clear</v>
      </c>
      <c r="L83" s="10">
        <v>0.24</v>
      </c>
      <c r="M83" s="42" t="str" cm="1">
        <f t="array" ref="M83">_xlfn.IFS(L83&lt;0.15,"Cold",L83&lt;0.25,"Mild",L83&lt;=0.32,"Warm",L83&gt;=0.33,"Hot")</f>
        <v>Mild</v>
      </c>
    </row>
    <row r="84" spans="1:13" x14ac:dyDescent="0.3">
      <c r="A84" s="6">
        <v>83</v>
      </c>
      <c r="B84" s="7">
        <v>40547</v>
      </c>
      <c r="C84" s="8">
        <v>1</v>
      </c>
      <c r="D84" s="8">
        <v>0</v>
      </c>
      <c r="E84" s="8">
        <v>1</v>
      </c>
      <c r="F84" s="8">
        <v>14</v>
      </c>
      <c r="G84" s="8" t="str" cm="1">
        <f t="array" ref="G84">_xlfn.IFS(F84&lt;4,"Night",F84&lt;=6,"Early Morning",F84&lt;11,"Morning",F84&lt;12,"Afternoon",F84&lt;=16,"Afternoon",F84&lt;=20,"Evening",F84&gt;=21,"Night")</f>
        <v>Afternoon</v>
      </c>
      <c r="H84" s="8" t="b">
        <v>0</v>
      </c>
      <c r="I84" s="8">
        <v>2</v>
      </c>
      <c r="J84" s="8">
        <v>1</v>
      </c>
      <c r="K84" s="9" t="str" cm="1">
        <f t="array" ref="K84">_xlfn.IFS(J84=1,"Clear",J84=2,"Mist/Cloudy",J84=3,"Rain",J84=4,"Heavy Rain/Thunderstorm")</f>
        <v>Clear</v>
      </c>
      <c r="L84" s="10">
        <v>0.26</v>
      </c>
      <c r="M84" s="42" t="str" cm="1">
        <f t="array" ref="M84">_xlfn.IFS(L84&lt;0.15,"Cold",L84&lt;0.25,"Mild",L84&lt;=0.32,"Warm",L84&gt;=0.33,"Hot")</f>
        <v>Warm</v>
      </c>
    </row>
    <row r="85" spans="1:13" x14ac:dyDescent="0.3">
      <c r="A85" s="6">
        <v>84</v>
      </c>
      <c r="B85" s="7">
        <v>40547</v>
      </c>
      <c r="C85" s="8">
        <v>1</v>
      </c>
      <c r="D85" s="8">
        <v>0</v>
      </c>
      <c r="E85" s="8">
        <v>1</v>
      </c>
      <c r="F85" s="8">
        <v>15</v>
      </c>
      <c r="G85" s="8" t="str" cm="1">
        <f t="array" ref="G85">_xlfn.IFS(F85&lt;4,"Night",F85&lt;=6,"Early Morning",F85&lt;11,"Morning",F85&lt;12,"Afternoon",F85&lt;=16,"Afternoon",F85&lt;=20,"Evening",F85&gt;=21,"Night")</f>
        <v>Afternoon</v>
      </c>
      <c r="H85" s="8" t="b">
        <v>0</v>
      </c>
      <c r="I85" s="8">
        <v>2</v>
      </c>
      <c r="J85" s="8">
        <v>1</v>
      </c>
      <c r="K85" s="9" t="str" cm="1">
        <f t="array" ref="K85">_xlfn.IFS(J85=1,"Clear",J85=2,"Mist/Cloudy",J85=3,"Rain",J85=4,"Heavy Rain/Thunderstorm")</f>
        <v>Clear</v>
      </c>
      <c r="L85" s="10">
        <v>0.28000000000000003</v>
      </c>
      <c r="M85" s="42" t="str" cm="1">
        <f t="array" ref="M85">_xlfn.IFS(L85&lt;0.15,"Cold",L85&lt;0.25,"Mild",L85&lt;=0.32,"Warm",L85&gt;=0.33,"Hot")</f>
        <v>Warm</v>
      </c>
    </row>
    <row r="86" spans="1:13" x14ac:dyDescent="0.3">
      <c r="A86" s="6">
        <v>85</v>
      </c>
      <c r="B86" s="7">
        <v>40547</v>
      </c>
      <c r="C86" s="8">
        <v>1</v>
      </c>
      <c r="D86" s="8">
        <v>0</v>
      </c>
      <c r="E86" s="8">
        <v>1</v>
      </c>
      <c r="F86" s="8">
        <v>16</v>
      </c>
      <c r="G86" s="8" t="str" cm="1">
        <f t="array" ref="G86">_xlfn.IFS(F86&lt;4,"Night",F86&lt;=6,"Early Morning",F86&lt;11,"Morning",F86&lt;12,"Afternoon",F86&lt;=16,"Afternoon",F86&lt;=20,"Evening",F86&gt;=21,"Night")</f>
        <v>Afternoon</v>
      </c>
      <c r="H86" s="8" t="b">
        <v>0</v>
      </c>
      <c r="I86" s="8">
        <v>2</v>
      </c>
      <c r="J86" s="8">
        <v>1</v>
      </c>
      <c r="K86" s="9" t="str" cm="1">
        <f t="array" ref="K86">_xlfn.IFS(J86=1,"Clear",J86=2,"Mist/Cloudy",J86=3,"Rain",J86=4,"Heavy Rain/Thunderstorm")</f>
        <v>Clear</v>
      </c>
      <c r="L86" s="10">
        <v>0.3</v>
      </c>
      <c r="M86" s="42" t="str" cm="1">
        <f t="array" ref="M86">_xlfn.IFS(L86&lt;0.15,"Cold",L86&lt;0.25,"Mild",L86&lt;=0.32,"Warm",L86&gt;=0.33,"Hot")</f>
        <v>Warm</v>
      </c>
    </row>
    <row r="87" spans="1:13" x14ac:dyDescent="0.3">
      <c r="A87" s="6">
        <v>86</v>
      </c>
      <c r="B87" s="7">
        <v>40547</v>
      </c>
      <c r="C87" s="8">
        <v>1</v>
      </c>
      <c r="D87" s="8">
        <v>0</v>
      </c>
      <c r="E87" s="8">
        <v>1</v>
      </c>
      <c r="F87" s="8">
        <v>17</v>
      </c>
      <c r="G87" s="8" t="str" cm="1">
        <f t="array" ref="G87">_xlfn.IFS(F87&lt;4,"Night",F87&lt;=6,"Early Morning",F87&lt;11,"Morning",F87&lt;12,"Afternoon",F87&lt;=16,"Afternoon",F87&lt;=20,"Evening",F87&gt;=21,"Night")</f>
        <v>Evening</v>
      </c>
      <c r="H87" s="8" t="b">
        <v>0</v>
      </c>
      <c r="I87" s="8">
        <v>2</v>
      </c>
      <c r="J87" s="8">
        <v>1</v>
      </c>
      <c r="K87" s="9" t="str" cm="1">
        <f t="array" ref="K87">_xlfn.IFS(J87=1,"Clear",J87=2,"Mist/Cloudy",J87=3,"Rain",J87=4,"Heavy Rain/Thunderstorm")</f>
        <v>Clear</v>
      </c>
      <c r="L87" s="10">
        <v>0.28000000000000003</v>
      </c>
      <c r="M87" s="42" t="str" cm="1">
        <f t="array" ref="M87">_xlfn.IFS(L87&lt;0.15,"Cold",L87&lt;0.25,"Mild",L87&lt;=0.32,"Warm",L87&gt;=0.33,"Hot")</f>
        <v>Warm</v>
      </c>
    </row>
    <row r="88" spans="1:13" x14ac:dyDescent="0.3">
      <c r="A88" s="6">
        <v>87</v>
      </c>
      <c r="B88" s="7">
        <v>40547</v>
      </c>
      <c r="C88" s="8">
        <v>1</v>
      </c>
      <c r="D88" s="8">
        <v>0</v>
      </c>
      <c r="E88" s="8">
        <v>1</v>
      </c>
      <c r="F88" s="8">
        <v>18</v>
      </c>
      <c r="G88" s="8" t="str" cm="1">
        <f t="array" ref="G88">_xlfn.IFS(F88&lt;4,"Night",F88&lt;=6,"Early Morning",F88&lt;11,"Morning",F88&lt;12,"Afternoon",F88&lt;=16,"Afternoon",F88&lt;=20,"Evening",F88&gt;=21,"Night")</f>
        <v>Evening</v>
      </c>
      <c r="H88" s="8" t="b">
        <v>0</v>
      </c>
      <c r="I88" s="8">
        <v>2</v>
      </c>
      <c r="J88" s="8">
        <v>1</v>
      </c>
      <c r="K88" s="9" t="str" cm="1">
        <f t="array" ref="K88">_xlfn.IFS(J88=1,"Clear",J88=2,"Mist/Cloudy",J88=3,"Rain",J88=4,"Heavy Rain/Thunderstorm")</f>
        <v>Clear</v>
      </c>
      <c r="L88" s="10">
        <v>0.26</v>
      </c>
      <c r="M88" s="42" t="str" cm="1">
        <f t="array" ref="M88">_xlfn.IFS(L88&lt;0.15,"Cold",L88&lt;0.25,"Mild",L88&lt;=0.32,"Warm",L88&gt;=0.33,"Hot")</f>
        <v>Warm</v>
      </c>
    </row>
    <row r="89" spans="1:13" x14ac:dyDescent="0.3">
      <c r="A89" s="6">
        <v>88</v>
      </c>
      <c r="B89" s="7">
        <v>40547</v>
      </c>
      <c r="C89" s="8">
        <v>1</v>
      </c>
      <c r="D89" s="8">
        <v>0</v>
      </c>
      <c r="E89" s="8">
        <v>1</v>
      </c>
      <c r="F89" s="8">
        <v>19</v>
      </c>
      <c r="G89" s="8" t="str" cm="1">
        <f t="array" ref="G89">_xlfn.IFS(F89&lt;4,"Night",F89&lt;=6,"Early Morning",F89&lt;11,"Morning",F89&lt;12,"Afternoon",F89&lt;=16,"Afternoon",F89&lt;=20,"Evening",F89&gt;=21,"Night")</f>
        <v>Evening</v>
      </c>
      <c r="H89" s="8" t="b">
        <v>0</v>
      </c>
      <c r="I89" s="8">
        <v>2</v>
      </c>
      <c r="J89" s="8">
        <v>1</v>
      </c>
      <c r="K89" s="9" t="str" cm="1">
        <f t="array" ref="K89">_xlfn.IFS(J89=1,"Clear",J89=2,"Mist/Cloudy",J89=3,"Rain",J89=4,"Heavy Rain/Thunderstorm")</f>
        <v>Clear</v>
      </c>
      <c r="L89" s="10">
        <v>0.24</v>
      </c>
      <c r="M89" s="42" t="str" cm="1">
        <f t="array" ref="M89">_xlfn.IFS(L89&lt;0.15,"Cold",L89&lt;0.25,"Mild",L89&lt;=0.32,"Warm",L89&gt;=0.33,"Hot")</f>
        <v>Mild</v>
      </c>
    </row>
    <row r="90" spans="1:13" x14ac:dyDescent="0.3">
      <c r="A90" s="6">
        <v>89</v>
      </c>
      <c r="B90" s="7">
        <v>40547</v>
      </c>
      <c r="C90" s="8">
        <v>1</v>
      </c>
      <c r="D90" s="8">
        <v>0</v>
      </c>
      <c r="E90" s="8">
        <v>1</v>
      </c>
      <c r="F90" s="8">
        <v>20</v>
      </c>
      <c r="G90" s="8" t="str" cm="1">
        <f t="array" ref="G90">_xlfn.IFS(F90&lt;4,"Night",F90&lt;=6,"Early Morning",F90&lt;11,"Morning",F90&lt;12,"Afternoon",F90&lt;=16,"Afternoon",F90&lt;=20,"Evening",F90&gt;=21,"Night")</f>
        <v>Evening</v>
      </c>
      <c r="H90" s="8" t="b">
        <v>0</v>
      </c>
      <c r="I90" s="8">
        <v>2</v>
      </c>
      <c r="J90" s="8">
        <v>1</v>
      </c>
      <c r="K90" s="9" t="str" cm="1">
        <f t="array" ref="K90">_xlfn.IFS(J90=1,"Clear",J90=2,"Mist/Cloudy",J90=3,"Rain",J90=4,"Heavy Rain/Thunderstorm")</f>
        <v>Clear</v>
      </c>
      <c r="L90" s="10">
        <v>0.24</v>
      </c>
      <c r="M90" s="42" t="str" cm="1">
        <f t="array" ref="M90">_xlfn.IFS(L90&lt;0.15,"Cold",L90&lt;0.25,"Mild",L90&lt;=0.32,"Warm",L90&gt;=0.33,"Hot")</f>
        <v>Mild</v>
      </c>
    </row>
    <row r="91" spans="1:13" x14ac:dyDescent="0.3">
      <c r="A91" s="6">
        <v>90</v>
      </c>
      <c r="B91" s="7">
        <v>40547</v>
      </c>
      <c r="C91" s="8">
        <v>1</v>
      </c>
      <c r="D91" s="8">
        <v>0</v>
      </c>
      <c r="E91" s="8">
        <v>1</v>
      </c>
      <c r="F91" s="8">
        <v>21</v>
      </c>
      <c r="G91" s="8" t="str" cm="1">
        <f t="array" ref="G91">_xlfn.IFS(F91&lt;4,"Night",F91&lt;=6,"Early Morning",F91&lt;11,"Morning",F91&lt;12,"Afternoon",F91&lt;=16,"Afternoon",F91&lt;=20,"Evening",F91&gt;=21,"Night")</f>
        <v>Night</v>
      </c>
      <c r="H91" s="8" t="b">
        <v>0</v>
      </c>
      <c r="I91" s="8">
        <v>2</v>
      </c>
      <c r="J91" s="8">
        <v>1</v>
      </c>
      <c r="K91" s="9" t="str" cm="1">
        <f t="array" ref="K91">_xlfn.IFS(J91=1,"Clear",J91=2,"Mist/Cloudy",J91=3,"Rain",J91=4,"Heavy Rain/Thunderstorm")</f>
        <v>Clear</v>
      </c>
      <c r="L91" s="10">
        <v>0.22</v>
      </c>
      <c r="M91" s="42" t="str" cm="1">
        <f t="array" ref="M91">_xlfn.IFS(L91&lt;0.15,"Cold",L91&lt;0.25,"Mild",L91&lt;=0.32,"Warm",L91&gt;=0.33,"Hot")</f>
        <v>Mild</v>
      </c>
    </row>
    <row r="92" spans="1:13" x14ac:dyDescent="0.3">
      <c r="A92" s="6">
        <v>91</v>
      </c>
      <c r="B92" s="7">
        <v>40547</v>
      </c>
      <c r="C92" s="8">
        <v>1</v>
      </c>
      <c r="D92" s="8">
        <v>0</v>
      </c>
      <c r="E92" s="8">
        <v>1</v>
      </c>
      <c r="F92" s="8">
        <v>22</v>
      </c>
      <c r="G92" s="8" t="str" cm="1">
        <f t="array" ref="G92">_xlfn.IFS(F92&lt;4,"Night",F92&lt;=6,"Early Morning",F92&lt;11,"Morning",F92&lt;12,"Afternoon",F92&lt;=16,"Afternoon",F92&lt;=20,"Evening",F92&gt;=21,"Night")</f>
        <v>Night</v>
      </c>
      <c r="H92" s="8" t="b">
        <v>0</v>
      </c>
      <c r="I92" s="8">
        <v>2</v>
      </c>
      <c r="J92" s="8">
        <v>1</v>
      </c>
      <c r="K92" s="9" t="str" cm="1">
        <f t="array" ref="K92">_xlfn.IFS(J92=1,"Clear",J92=2,"Mist/Cloudy",J92=3,"Rain",J92=4,"Heavy Rain/Thunderstorm")</f>
        <v>Clear</v>
      </c>
      <c r="L92" s="10">
        <v>0.22</v>
      </c>
      <c r="M92" s="42" t="str" cm="1">
        <f t="array" ref="M92">_xlfn.IFS(L92&lt;0.15,"Cold",L92&lt;0.25,"Mild",L92&lt;=0.32,"Warm",L92&gt;=0.33,"Hot")</f>
        <v>Mild</v>
      </c>
    </row>
    <row r="93" spans="1:13" x14ac:dyDescent="0.3">
      <c r="A93" s="6">
        <v>92</v>
      </c>
      <c r="B93" s="7">
        <v>40547</v>
      </c>
      <c r="C93" s="8">
        <v>1</v>
      </c>
      <c r="D93" s="8">
        <v>0</v>
      </c>
      <c r="E93" s="8">
        <v>1</v>
      </c>
      <c r="F93" s="8">
        <v>23</v>
      </c>
      <c r="G93" s="8" t="str" cm="1">
        <f t="array" ref="G93">_xlfn.IFS(F93&lt;4,"Night",F93&lt;=6,"Early Morning",F93&lt;11,"Morning",F93&lt;12,"Afternoon",F93&lt;=16,"Afternoon",F93&lt;=20,"Evening",F93&gt;=21,"Night")</f>
        <v>Night</v>
      </c>
      <c r="H93" s="8" t="b">
        <v>0</v>
      </c>
      <c r="I93" s="8">
        <v>2</v>
      </c>
      <c r="J93" s="8">
        <v>1</v>
      </c>
      <c r="K93" s="9" t="str" cm="1">
        <f t="array" ref="K93">_xlfn.IFS(J93=1,"Clear",J93=2,"Mist/Cloudy",J93=3,"Rain",J93=4,"Heavy Rain/Thunderstorm")</f>
        <v>Clear</v>
      </c>
      <c r="L93" s="10">
        <v>0.2</v>
      </c>
      <c r="M93" s="42" t="str" cm="1">
        <f t="array" ref="M93">_xlfn.IFS(L93&lt;0.15,"Cold",L93&lt;0.25,"Mild",L93&lt;=0.32,"Warm",L93&gt;=0.33,"Hot")</f>
        <v>Mild</v>
      </c>
    </row>
    <row r="94" spans="1:13" x14ac:dyDescent="0.3">
      <c r="A94" s="6">
        <v>93</v>
      </c>
      <c r="B94" s="7">
        <v>40548</v>
      </c>
      <c r="C94" s="8">
        <v>1</v>
      </c>
      <c r="D94" s="8">
        <v>0</v>
      </c>
      <c r="E94" s="8">
        <v>1</v>
      </c>
      <c r="F94" s="8">
        <v>0</v>
      </c>
      <c r="G94" s="8" t="str" cm="1">
        <f t="array" ref="G94">_xlfn.IFS(F94&lt;4,"Night",F94&lt;=6,"Early Morning",F94&lt;11,"Morning",F94&lt;12,"Afternoon",F94&lt;=16,"Afternoon",F94&lt;=20,"Evening",F94&gt;=21,"Night")</f>
        <v>Night</v>
      </c>
      <c r="H94" s="8" t="b">
        <v>0</v>
      </c>
      <c r="I94" s="8">
        <v>3</v>
      </c>
      <c r="J94" s="8">
        <v>1</v>
      </c>
      <c r="K94" s="9" t="str" cm="1">
        <f t="array" ref="K94">_xlfn.IFS(J94=1,"Clear",J94=2,"Mist/Cloudy",J94=3,"Rain",J94=4,"Heavy Rain/Thunderstorm")</f>
        <v>Clear</v>
      </c>
      <c r="L94" s="10">
        <v>0.2</v>
      </c>
      <c r="M94" s="42" t="str" cm="1">
        <f t="array" ref="M94">_xlfn.IFS(L94&lt;0.15,"Cold",L94&lt;0.25,"Mild",L94&lt;=0.32,"Warm",L94&gt;=0.33,"Hot")</f>
        <v>Mild</v>
      </c>
    </row>
    <row r="95" spans="1:13" x14ac:dyDescent="0.3">
      <c r="A95" s="6">
        <v>94</v>
      </c>
      <c r="B95" s="7">
        <v>40548</v>
      </c>
      <c r="C95" s="8">
        <v>1</v>
      </c>
      <c r="D95" s="8">
        <v>0</v>
      </c>
      <c r="E95" s="8">
        <v>1</v>
      </c>
      <c r="F95" s="8">
        <v>1</v>
      </c>
      <c r="G95" s="8" t="str" cm="1">
        <f t="array" ref="G95">_xlfn.IFS(F95&lt;4,"Night",F95&lt;=6,"Early Morning",F95&lt;11,"Morning",F95&lt;12,"Afternoon",F95&lt;=16,"Afternoon",F95&lt;=20,"Evening",F95&gt;=21,"Night")</f>
        <v>Night</v>
      </c>
      <c r="H95" s="8" t="b">
        <v>0</v>
      </c>
      <c r="I95" s="8">
        <v>3</v>
      </c>
      <c r="J95" s="8">
        <v>1</v>
      </c>
      <c r="K95" s="9" t="str" cm="1">
        <f t="array" ref="K95">_xlfn.IFS(J95=1,"Clear",J95=2,"Mist/Cloudy",J95=3,"Rain",J95=4,"Heavy Rain/Thunderstorm")</f>
        <v>Clear</v>
      </c>
      <c r="L95" s="10">
        <v>0.16</v>
      </c>
      <c r="M95" s="42" t="str" cm="1">
        <f t="array" ref="M95">_xlfn.IFS(L95&lt;0.15,"Cold",L95&lt;0.25,"Mild",L95&lt;=0.32,"Warm",L95&gt;=0.33,"Hot")</f>
        <v>Mild</v>
      </c>
    </row>
    <row r="96" spans="1:13" x14ac:dyDescent="0.3">
      <c r="A96" s="6">
        <v>95</v>
      </c>
      <c r="B96" s="7">
        <v>40548</v>
      </c>
      <c r="C96" s="8">
        <v>1</v>
      </c>
      <c r="D96" s="8">
        <v>0</v>
      </c>
      <c r="E96" s="8">
        <v>1</v>
      </c>
      <c r="F96" s="8">
        <v>2</v>
      </c>
      <c r="G96" s="8" t="str" cm="1">
        <f t="array" ref="G96">_xlfn.IFS(F96&lt;4,"Night",F96&lt;=6,"Early Morning",F96&lt;11,"Morning",F96&lt;12,"Afternoon",F96&lt;=16,"Afternoon",F96&lt;=20,"Evening",F96&gt;=21,"Night")</f>
        <v>Night</v>
      </c>
      <c r="H96" s="8" t="b">
        <v>0</v>
      </c>
      <c r="I96" s="8">
        <v>3</v>
      </c>
      <c r="J96" s="8">
        <v>1</v>
      </c>
      <c r="K96" s="9" t="str" cm="1">
        <f t="array" ref="K96">_xlfn.IFS(J96=1,"Clear",J96=2,"Mist/Cloudy",J96=3,"Rain",J96=4,"Heavy Rain/Thunderstorm")</f>
        <v>Clear</v>
      </c>
      <c r="L96" s="10">
        <v>0.16</v>
      </c>
      <c r="M96" s="42" t="str" cm="1">
        <f t="array" ref="M96">_xlfn.IFS(L96&lt;0.15,"Cold",L96&lt;0.25,"Mild",L96&lt;=0.32,"Warm",L96&gt;=0.33,"Hot")</f>
        <v>Mild</v>
      </c>
    </row>
    <row r="97" spans="1:13" x14ac:dyDescent="0.3">
      <c r="A97" s="6">
        <v>96</v>
      </c>
      <c r="B97" s="7">
        <v>40548</v>
      </c>
      <c r="C97" s="8">
        <v>1</v>
      </c>
      <c r="D97" s="8">
        <v>0</v>
      </c>
      <c r="E97" s="8">
        <v>1</v>
      </c>
      <c r="F97" s="8">
        <v>4</v>
      </c>
      <c r="G97" s="8" t="str" cm="1">
        <f t="array" ref="G97">_xlfn.IFS(F97&lt;4,"Night",F97&lt;=6,"Early Morning",F97&lt;11,"Morning",F97&lt;12,"Afternoon",F97&lt;=16,"Afternoon",F97&lt;=20,"Evening",F97&gt;=21,"Night")</f>
        <v>Early Morning</v>
      </c>
      <c r="H97" s="8" t="b">
        <v>0</v>
      </c>
      <c r="I97" s="8">
        <v>3</v>
      </c>
      <c r="J97" s="8">
        <v>1</v>
      </c>
      <c r="K97" s="9" t="str" cm="1">
        <f t="array" ref="K97">_xlfn.IFS(J97=1,"Clear",J97=2,"Mist/Cloudy",J97=3,"Rain",J97=4,"Heavy Rain/Thunderstorm")</f>
        <v>Clear</v>
      </c>
      <c r="L97" s="10">
        <v>0.24</v>
      </c>
      <c r="M97" s="42" t="str" cm="1">
        <f t="array" ref="M97">_xlfn.IFS(L97&lt;0.15,"Cold",L97&lt;0.25,"Mild",L97&lt;=0.32,"Warm",L97&gt;=0.33,"Hot")</f>
        <v>Mild</v>
      </c>
    </row>
    <row r="98" spans="1:13" x14ac:dyDescent="0.3">
      <c r="A98" s="6">
        <v>97</v>
      </c>
      <c r="B98" s="7">
        <v>40548</v>
      </c>
      <c r="C98" s="8">
        <v>1</v>
      </c>
      <c r="D98" s="8">
        <v>0</v>
      </c>
      <c r="E98" s="8">
        <v>1</v>
      </c>
      <c r="F98" s="8">
        <v>5</v>
      </c>
      <c r="G98" s="8" t="str" cm="1">
        <f t="array" ref="G98">_xlfn.IFS(F98&lt;4,"Night",F98&lt;=6,"Early Morning",F98&lt;11,"Morning",F98&lt;12,"Afternoon",F98&lt;=16,"Afternoon",F98&lt;=20,"Evening",F98&gt;=21,"Night")</f>
        <v>Early Morning</v>
      </c>
      <c r="H98" s="8" t="b">
        <v>0</v>
      </c>
      <c r="I98" s="8">
        <v>3</v>
      </c>
      <c r="J98" s="8">
        <v>1</v>
      </c>
      <c r="K98" s="9" t="str" cm="1">
        <f t="array" ref="K98">_xlfn.IFS(J98=1,"Clear",J98=2,"Mist/Cloudy",J98=3,"Rain",J98=4,"Heavy Rain/Thunderstorm")</f>
        <v>Clear</v>
      </c>
      <c r="L98" s="10">
        <v>0.22</v>
      </c>
      <c r="M98" s="42" t="str" cm="1">
        <f t="array" ref="M98">_xlfn.IFS(L98&lt;0.15,"Cold",L98&lt;0.25,"Mild",L98&lt;=0.32,"Warm",L98&gt;=0.33,"Hot")</f>
        <v>Mild</v>
      </c>
    </row>
    <row r="99" spans="1:13" x14ac:dyDescent="0.3">
      <c r="A99" s="6">
        <v>98</v>
      </c>
      <c r="B99" s="7">
        <v>40548</v>
      </c>
      <c r="C99" s="8">
        <v>1</v>
      </c>
      <c r="D99" s="8">
        <v>0</v>
      </c>
      <c r="E99" s="8">
        <v>1</v>
      </c>
      <c r="F99" s="8">
        <v>6</v>
      </c>
      <c r="G99" s="8" t="str" cm="1">
        <f t="array" ref="G99">_xlfn.IFS(F99&lt;4,"Night",F99&lt;=6,"Early Morning",F99&lt;11,"Morning",F99&lt;12,"Afternoon",F99&lt;=16,"Afternoon",F99&lt;=20,"Evening",F99&gt;=21,"Night")</f>
        <v>Early Morning</v>
      </c>
      <c r="H99" s="8" t="b">
        <v>0</v>
      </c>
      <c r="I99" s="8">
        <v>3</v>
      </c>
      <c r="J99" s="8">
        <v>1</v>
      </c>
      <c r="K99" s="9" t="str" cm="1">
        <f t="array" ref="K99">_xlfn.IFS(J99=1,"Clear",J99=2,"Mist/Cloudy",J99=3,"Rain",J99=4,"Heavy Rain/Thunderstorm")</f>
        <v>Clear</v>
      </c>
      <c r="L99" s="10">
        <v>0.2</v>
      </c>
      <c r="M99" s="42" t="str" cm="1">
        <f t="array" ref="M99">_xlfn.IFS(L99&lt;0.15,"Cold",L99&lt;0.25,"Mild",L99&lt;=0.32,"Warm",L99&gt;=0.33,"Hot")</f>
        <v>Mild</v>
      </c>
    </row>
    <row r="100" spans="1:13" x14ac:dyDescent="0.3">
      <c r="A100" s="6">
        <v>99</v>
      </c>
      <c r="B100" s="7">
        <v>40548</v>
      </c>
      <c r="C100" s="8">
        <v>1</v>
      </c>
      <c r="D100" s="8">
        <v>0</v>
      </c>
      <c r="E100" s="8">
        <v>1</v>
      </c>
      <c r="F100" s="8">
        <v>7</v>
      </c>
      <c r="G100" s="8" t="str" cm="1">
        <f t="array" ref="G100">_xlfn.IFS(F100&lt;4,"Night",F100&lt;=6,"Early Morning",F100&lt;11,"Morning",F100&lt;12,"Afternoon",F100&lt;=16,"Afternoon",F100&lt;=20,"Evening",F100&gt;=21,"Night")</f>
        <v>Morning</v>
      </c>
      <c r="H100" s="8" t="b">
        <v>0</v>
      </c>
      <c r="I100" s="8">
        <v>3</v>
      </c>
      <c r="J100" s="8">
        <v>1</v>
      </c>
      <c r="K100" s="9" t="str" cm="1">
        <f t="array" ref="K100">_xlfn.IFS(J100=1,"Clear",J100=2,"Mist/Cloudy",J100=3,"Rain",J100=4,"Heavy Rain/Thunderstorm")</f>
        <v>Clear</v>
      </c>
      <c r="L100" s="10">
        <v>0.18</v>
      </c>
      <c r="M100" s="42" t="str" cm="1">
        <f t="array" ref="M100">_xlfn.IFS(L100&lt;0.15,"Cold",L100&lt;0.25,"Mild",L100&lt;=0.32,"Warm",L100&gt;=0.33,"Hot")</f>
        <v>Mild</v>
      </c>
    </row>
    <row r="101" spans="1:13" x14ac:dyDescent="0.3">
      <c r="A101" s="6">
        <v>100</v>
      </c>
      <c r="B101" s="7">
        <v>40548</v>
      </c>
      <c r="C101" s="8">
        <v>1</v>
      </c>
      <c r="D101" s="8">
        <v>0</v>
      </c>
      <c r="E101" s="8">
        <v>1</v>
      </c>
      <c r="F101" s="8">
        <v>8</v>
      </c>
      <c r="G101" s="8" t="str" cm="1">
        <f t="array" ref="G101">_xlfn.IFS(F101&lt;4,"Night",F101&lt;=6,"Early Morning",F101&lt;11,"Morning",F101&lt;12,"Afternoon",F101&lt;=16,"Afternoon",F101&lt;=20,"Evening",F101&gt;=21,"Night")</f>
        <v>Morning</v>
      </c>
      <c r="H101" s="8" t="b">
        <v>0</v>
      </c>
      <c r="I101" s="8">
        <v>3</v>
      </c>
      <c r="J101" s="8">
        <v>1</v>
      </c>
      <c r="K101" s="9" t="str" cm="1">
        <f t="array" ref="K101">_xlfn.IFS(J101=1,"Clear",J101=2,"Mist/Cloudy",J101=3,"Rain",J101=4,"Heavy Rain/Thunderstorm")</f>
        <v>Clear</v>
      </c>
      <c r="L101" s="10">
        <v>0.2</v>
      </c>
      <c r="M101" s="42" t="str" cm="1">
        <f t="array" ref="M101">_xlfn.IFS(L101&lt;0.15,"Cold",L101&lt;0.25,"Mild",L101&lt;=0.32,"Warm",L101&gt;=0.33,"Hot")</f>
        <v>Mild</v>
      </c>
    </row>
    <row r="102" spans="1:13" x14ac:dyDescent="0.3">
      <c r="A102" s="6">
        <v>101</v>
      </c>
      <c r="B102" s="7">
        <v>40548</v>
      </c>
      <c r="C102" s="8">
        <v>1</v>
      </c>
      <c r="D102" s="8">
        <v>0</v>
      </c>
      <c r="E102" s="8">
        <v>1</v>
      </c>
      <c r="F102" s="8">
        <v>9</v>
      </c>
      <c r="G102" s="8" t="str" cm="1">
        <f t="array" ref="G102">_xlfn.IFS(F102&lt;4,"Night",F102&lt;=6,"Early Morning",F102&lt;11,"Morning",F102&lt;12,"Afternoon",F102&lt;=16,"Afternoon",F102&lt;=20,"Evening",F102&gt;=21,"Night")</f>
        <v>Morning</v>
      </c>
      <c r="H102" s="8" t="b">
        <v>0</v>
      </c>
      <c r="I102" s="8">
        <v>3</v>
      </c>
      <c r="J102" s="8">
        <v>1</v>
      </c>
      <c r="K102" s="9" t="str" cm="1">
        <f t="array" ref="K102">_xlfn.IFS(J102=1,"Clear",J102=2,"Mist/Cloudy",J102=3,"Rain",J102=4,"Heavy Rain/Thunderstorm")</f>
        <v>Clear</v>
      </c>
      <c r="L102" s="10">
        <v>0.22</v>
      </c>
      <c r="M102" s="42" t="str" cm="1">
        <f t="array" ref="M102">_xlfn.IFS(L102&lt;0.15,"Cold",L102&lt;0.25,"Mild",L102&lt;=0.32,"Warm",L102&gt;=0.33,"Hot")</f>
        <v>Mild</v>
      </c>
    </row>
    <row r="103" spans="1:13" x14ac:dyDescent="0.3">
      <c r="A103" s="6">
        <v>102</v>
      </c>
      <c r="B103" s="7">
        <v>40548</v>
      </c>
      <c r="C103" s="8">
        <v>1</v>
      </c>
      <c r="D103" s="8">
        <v>0</v>
      </c>
      <c r="E103" s="8">
        <v>1</v>
      </c>
      <c r="F103" s="8">
        <v>10</v>
      </c>
      <c r="G103" s="8" t="str" cm="1">
        <f t="array" ref="G103">_xlfn.IFS(F103&lt;4,"Night",F103&lt;=6,"Early Morning",F103&lt;11,"Morning",F103&lt;12,"Afternoon",F103&lt;=16,"Afternoon",F103&lt;=20,"Evening",F103&gt;=21,"Night")</f>
        <v>Morning</v>
      </c>
      <c r="H103" s="8" t="b">
        <v>0</v>
      </c>
      <c r="I103" s="8">
        <v>3</v>
      </c>
      <c r="J103" s="8">
        <v>1</v>
      </c>
      <c r="K103" s="9" t="str" cm="1">
        <f t="array" ref="K103">_xlfn.IFS(J103=1,"Clear",J103=2,"Mist/Cloudy",J103=3,"Rain",J103=4,"Heavy Rain/Thunderstorm")</f>
        <v>Clear</v>
      </c>
      <c r="L103" s="10">
        <v>0.22</v>
      </c>
      <c r="M103" s="42" t="str" cm="1">
        <f t="array" ref="M103">_xlfn.IFS(L103&lt;0.15,"Cold",L103&lt;0.25,"Mild",L103&lt;=0.32,"Warm",L103&gt;=0.33,"Hot")</f>
        <v>Mild</v>
      </c>
    </row>
    <row r="104" spans="1:13" x14ac:dyDescent="0.3">
      <c r="A104" s="6">
        <v>103</v>
      </c>
      <c r="B104" s="7">
        <v>40548</v>
      </c>
      <c r="C104" s="8">
        <v>1</v>
      </c>
      <c r="D104" s="8">
        <v>0</v>
      </c>
      <c r="E104" s="8">
        <v>1</v>
      </c>
      <c r="F104" s="8">
        <v>11</v>
      </c>
      <c r="G104" s="8" t="str" cm="1">
        <f t="array" ref="G104">_xlfn.IFS(F104&lt;4,"Night",F104&lt;=6,"Early Morning",F104&lt;11,"Morning",F104&lt;12,"Afternoon",F104&lt;=16,"Afternoon",F104&lt;=20,"Evening",F104&gt;=21,"Night")</f>
        <v>Afternoon</v>
      </c>
      <c r="H104" s="8" t="b">
        <v>0</v>
      </c>
      <c r="I104" s="8">
        <v>3</v>
      </c>
      <c r="J104" s="8">
        <v>1</v>
      </c>
      <c r="K104" s="9" t="str" cm="1">
        <f t="array" ref="K104">_xlfn.IFS(J104=1,"Clear",J104=2,"Mist/Cloudy",J104=3,"Rain",J104=4,"Heavy Rain/Thunderstorm")</f>
        <v>Clear</v>
      </c>
      <c r="L104" s="10">
        <v>0.26</v>
      </c>
      <c r="M104" s="42" t="str" cm="1">
        <f t="array" ref="M104">_xlfn.IFS(L104&lt;0.15,"Cold",L104&lt;0.25,"Mild",L104&lt;=0.32,"Warm",L104&gt;=0.33,"Hot")</f>
        <v>Warm</v>
      </c>
    </row>
    <row r="105" spans="1:13" x14ac:dyDescent="0.3">
      <c r="A105" s="6">
        <v>104</v>
      </c>
      <c r="B105" s="7">
        <v>40548</v>
      </c>
      <c r="C105" s="8">
        <v>1</v>
      </c>
      <c r="D105" s="8">
        <v>0</v>
      </c>
      <c r="E105" s="8">
        <v>1</v>
      </c>
      <c r="F105" s="8">
        <v>12</v>
      </c>
      <c r="G105" s="8" t="str" cm="1">
        <f t="array" ref="G105">_xlfn.IFS(F105&lt;4,"Night",F105&lt;=6,"Early Morning",F105&lt;11,"Morning",F105&lt;12,"Afternoon",F105&lt;=16,"Afternoon",F105&lt;=20,"Evening",F105&gt;=21,"Night")</f>
        <v>Afternoon</v>
      </c>
      <c r="H105" s="8" t="b">
        <v>0</v>
      </c>
      <c r="I105" s="8">
        <v>3</v>
      </c>
      <c r="J105" s="8">
        <v>1</v>
      </c>
      <c r="K105" s="9" t="str" cm="1">
        <f t="array" ref="K105">_xlfn.IFS(J105=1,"Clear",J105=2,"Mist/Cloudy",J105=3,"Rain",J105=4,"Heavy Rain/Thunderstorm")</f>
        <v>Clear</v>
      </c>
      <c r="L105" s="10">
        <v>0.26</v>
      </c>
      <c r="M105" s="42" t="str" cm="1">
        <f t="array" ref="M105">_xlfn.IFS(L105&lt;0.15,"Cold",L105&lt;0.25,"Mild",L105&lt;=0.32,"Warm",L105&gt;=0.33,"Hot")</f>
        <v>Warm</v>
      </c>
    </row>
    <row r="106" spans="1:13" x14ac:dyDescent="0.3">
      <c r="A106" s="6">
        <v>105</v>
      </c>
      <c r="B106" s="7">
        <v>40548</v>
      </c>
      <c r="C106" s="8">
        <v>1</v>
      </c>
      <c r="D106" s="8">
        <v>0</v>
      </c>
      <c r="E106" s="8">
        <v>1</v>
      </c>
      <c r="F106" s="8">
        <v>13</v>
      </c>
      <c r="G106" s="8" t="str" cm="1">
        <f t="array" ref="G106">_xlfn.IFS(F106&lt;4,"Night",F106&lt;=6,"Early Morning",F106&lt;11,"Morning",F106&lt;12,"Afternoon",F106&lt;=16,"Afternoon",F106&lt;=20,"Evening",F106&gt;=21,"Night")</f>
        <v>Afternoon</v>
      </c>
      <c r="H106" s="8" t="b">
        <v>0</v>
      </c>
      <c r="I106" s="8">
        <v>3</v>
      </c>
      <c r="J106" s="8">
        <v>1</v>
      </c>
      <c r="K106" s="9" t="str" cm="1">
        <f t="array" ref="K106">_xlfn.IFS(J106=1,"Clear",J106=2,"Mist/Cloudy",J106=3,"Rain",J106=4,"Heavy Rain/Thunderstorm")</f>
        <v>Clear</v>
      </c>
      <c r="L106" s="10">
        <v>0.28000000000000003</v>
      </c>
      <c r="M106" s="42" t="str" cm="1">
        <f t="array" ref="M106">_xlfn.IFS(L106&lt;0.15,"Cold",L106&lt;0.25,"Mild",L106&lt;=0.32,"Warm",L106&gt;=0.33,"Hot")</f>
        <v>Warm</v>
      </c>
    </row>
    <row r="107" spans="1:13" x14ac:dyDescent="0.3">
      <c r="A107" s="6">
        <v>106</v>
      </c>
      <c r="B107" s="7">
        <v>40548</v>
      </c>
      <c r="C107" s="8">
        <v>1</v>
      </c>
      <c r="D107" s="8">
        <v>0</v>
      </c>
      <c r="E107" s="8">
        <v>1</v>
      </c>
      <c r="F107" s="8">
        <v>14</v>
      </c>
      <c r="G107" s="8" t="str" cm="1">
        <f t="array" ref="G107">_xlfn.IFS(F107&lt;4,"Night",F107&lt;=6,"Early Morning",F107&lt;11,"Morning",F107&lt;12,"Afternoon",F107&lt;=16,"Afternoon",F107&lt;=20,"Evening",F107&gt;=21,"Night")</f>
        <v>Afternoon</v>
      </c>
      <c r="H107" s="8" t="b">
        <v>0</v>
      </c>
      <c r="I107" s="8">
        <v>3</v>
      </c>
      <c r="J107" s="8">
        <v>1</v>
      </c>
      <c r="K107" s="9" t="str" cm="1">
        <f t="array" ref="K107">_xlfn.IFS(J107=1,"Clear",J107=2,"Mist/Cloudy",J107=3,"Rain",J107=4,"Heavy Rain/Thunderstorm")</f>
        <v>Clear</v>
      </c>
      <c r="L107" s="10">
        <v>0.3</v>
      </c>
      <c r="M107" s="42" t="str" cm="1">
        <f t="array" ref="M107">_xlfn.IFS(L107&lt;0.15,"Cold",L107&lt;0.25,"Mild",L107&lt;=0.32,"Warm",L107&gt;=0.33,"Hot")</f>
        <v>Warm</v>
      </c>
    </row>
    <row r="108" spans="1:13" x14ac:dyDescent="0.3">
      <c r="A108" s="6">
        <v>107</v>
      </c>
      <c r="B108" s="7">
        <v>40548</v>
      </c>
      <c r="C108" s="8">
        <v>1</v>
      </c>
      <c r="D108" s="8">
        <v>0</v>
      </c>
      <c r="E108" s="8">
        <v>1</v>
      </c>
      <c r="F108" s="8">
        <v>15</v>
      </c>
      <c r="G108" s="8" t="str" cm="1">
        <f t="array" ref="G108">_xlfn.IFS(F108&lt;4,"Night",F108&lt;=6,"Early Morning",F108&lt;11,"Morning",F108&lt;12,"Afternoon",F108&lt;=16,"Afternoon",F108&lt;=20,"Evening",F108&gt;=21,"Night")</f>
        <v>Afternoon</v>
      </c>
      <c r="H108" s="8" t="b">
        <v>0</v>
      </c>
      <c r="I108" s="8">
        <v>3</v>
      </c>
      <c r="J108" s="8">
        <v>1</v>
      </c>
      <c r="K108" s="9" t="str" cm="1">
        <f t="array" ref="K108">_xlfn.IFS(J108=1,"Clear",J108=2,"Mist/Cloudy",J108=3,"Rain",J108=4,"Heavy Rain/Thunderstorm")</f>
        <v>Clear</v>
      </c>
      <c r="L108" s="10">
        <v>0.3</v>
      </c>
      <c r="M108" s="42" t="str" cm="1">
        <f t="array" ref="M108">_xlfn.IFS(L108&lt;0.15,"Cold",L108&lt;0.25,"Mild",L108&lt;=0.32,"Warm",L108&gt;=0.33,"Hot")</f>
        <v>Warm</v>
      </c>
    </row>
    <row r="109" spans="1:13" x14ac:dyDescent="0.3">
      <c r="A109" s="6">
        <v>108</v>
      </c>
      <c r="B109" s="7">
        <v>40548</v>
      </c>
      <c r="C109" s="8">
        <v>1</v>
      </c>
      <c r="D109" s="8">
        <v>0</v>
      </c>
      <c r="E109" s="8">
        <v>1</v>
      </c>
      <c r="F109" s="8">
        <v>16</v>
      </c>
      <c r="G109" s="8" t="str" cm="1">
        <f t="array" ref="G109">_xlfn.IFS(F109&lt;4,"Night",F109&lt;=6,"Early Morning",F109&lt;11,"Morning",F109&lt;12,"Afternoon",F109&lt;=16,"Afternoon",F109&lt;=20,"Evening",F109&gt;=21,"Night")</f>
        <v>Afternoon</v>
      </c>
      <c r="H109" s="8" t="b">
        <v>0</v>
      </c>
      <c r="I109" s="8">
        <v>3</v>
      </c>
      <c r="J109" s="8">
        <v>1</v>
      </c>
      <c r="K109" s="9" t="str" cm="1">
        <f t="array" ref="K109">_xlfn.IFS(J109=1,"Clear",J109=2,"Mist/Cloudy",J109=3,"Rain",J109=4,"Heavy Rain/Thunderstorm")</f>
        <v>Clear</v>
      </c>
      <c r="L109" s="10">
        <v>0.3</v>
      </c>
      <c r="M109" s="42" t="str" cm="1">
        <f t="array" ref="M109">_xlfn.IFS(L109&lt;0.15,"Cold",L109&lt;0.25,"Mild",L109&lt;=0.32,"Warm",L109&gt;=0.33,"Hot")</f>
        <v>Warm</v>
      </c>
    </row>
    <row r="110" spans="1:13" x14ac:dyDescent="0.3">
      <c r="A110" s="6">
        <v>109</v>
      </c>
      <c r="B110" s="7">
        <v>40548</v>
      </c>
      <c r="C110" s="8">
        <v>1</v>
      </c>
      <c r="D110" s="8">
        <v>0</v>
      </c>
      <c r="E110" s="8">
        <v>1</v>
      </c>
      <c r="F110" s="8">
        <v>17</v>
      </c>
      <c r="G110" s="8" t="str" cm="1">
        <f t="array" ref="G110">_xlfn.IFS(F110&lt;4,"Night",F110&lt;=6,"Early Morning",F110&lt;11,"Morning",F110&lt;12,"Afternoon",F110&lt;=16,"Afternoon",F110&lt;=20,"Evening",F110&gt;=21,"Night")</f>
        <v>Evening</v>
      </c>
      <c r="H110" s="8" t="b">
        <v>0</v>
      </c>
      <c r="I110" s="8">
        <v>3</v>
      </c>
      <c r="J110" s="8">
        <v>1</v>
      </c>
      <c r="K110" s="9" t="str" cm="1">
        <f t="array" ref="K110">_xlfn.IFS(J110=1,"Clear",J110=2,"Mist/Cloudy",J110=3,"Rain",J110=4,"Heavy Rain/Thunderstorm")</f>
        <v>Clear</v>
      </c>
      <c r="L110" s="10">
        <v>0.24</v>
      </c>
      <c r="M110" s="42" t="str" cm="1">
        <f t="array" ref="M110">_xlfn.IFS(L110&lt;0.15,"Cold",L110&lt;0.25,"Mild",L110&lt;=0.32,"Warm",L110&gt;=0.33,"Hot")</f>
        <v>Mild</v>
      </c>
    </row>
    <row r="111" spans="1:13" x14ac:dyDescent="0.3">
      <c r="A111" s="6">
        <v>110</v>
      </c>
      <c r="B111" s="7">
        <v>40548</v>
      </c>
      <c r="C111" s="8">
        <v>1</v>
      </c>
      <c r="D111" s="8">
        <v>0</v>
      </c>
      <c r="E111" s="8">
        <v>1</v>
      </c>
      <c r="F111" s="8">
        <v>18</v>
      </c>
      <c r="G111" s="8" t="str" cm="1">
        <f t="array" ref="G111">_xlfn.IFS(F111&lt;4,"Night",F111&lt;=6,"Early Morning",F111&lt;11,"Morning",F111&lt;12,"Afternoon",F111&lt;=16,"Afternoon",F111&lt;=20,"Evening",F111&gt;=21,"Night")</f>
        <v>Evening</v>
      </c>
      <c r="H111" s="8" t="b">
        <v>0</v>
      </c>
      <c r="I111" s="8">
        <v>3</v>
      </c>
      <c r="J111" s="8">
        <v>1</v>
      </c>
      <c r="K111" s="9" t="str" cm="1">
        <f t="array" ref="K111">_xlfn.IFS(J111=1,"Clear",J111=2,"Mist/Cloudy",J111=3,"Rain",J111=4,"Heavy Rain/Thunderstorm")</f>
        <v>Clear</v>
      </c>
      <c r="L111" s="10">
        <v>0.24</v>
      </c>
      <c r="M111" s="42" t="str" cm="1">
        <f t="array" ref="M111">_xlfn.IFS(L111&lt;0.15,"Cold",L111&lt;0.25,"Mild",L111&lt;=0.32,"Warm",L111&gt;=0.33,"Hot")</f>
        <v>Mild</v>
      </c>
    </row>
    <row r="112" spans="1:13" x14ac:dyDescent="0.3">
      <c r="A112" s="6">
        <v>111</v>
      </c>
      <c r="B112" s="7">
        <v>40548</v>
      </c>
      <c r="C112" s="8">
        <v>1</v>
      </c>
      <c r="D112" s="8">
        <v>0</v>
      </c>
      <c r="E112" s="8">
        <v>1</v>
      </c>
      <c r="F112" s="8">
        <v>19</v>
      </c>
      <c r="G112" s="8" t="str" cm="1">
        <f t="array" ref="G112">_xlfn.IFS(F112&lt;4,"Night",F112&lt;=6,"Early Morning",F112&lt;11,"Morning",F112&lt;12,"Afternoon",F112&lt;=16,"Afternoon",F112&lt;=20,"Evening",F112&gt;=21,"Night")</f>
        <v>Evening</v>
      </c>
      <c r="H112" s="8" t="b">
        <v>0</v>
      </c>
      <c r="I112" s="8">
        <v>3</v>
      </c>
      <c r="J112" s="8">
        <v>1</v>
      </c>
      <c r="K112" s="9" t="str" cm="1">
        <f t="array" ref="K112">_xlfn.IFS(J112=1,"Clear",J112=2,"Mist/Cloudy",J112=3,"Rain",J112=4,"Heavy Rain/Thunderstorm")</f>
        <v>Clear</v>
      </c>
      <c r="L112" s="10">
        <v>0.24</v>
      </c>
      <c r="M112" s="42" t="str" cm="1">
        <f t="array" ref="M112">_xlfn.IFS(L112&lt;0.15,"Cold",L112&lt;0.25,"Mild",L112&lt;=0.32,"Warm",L112&gt;=0.33,"Hot")</f>
        <v>Mild</v>
      </c>
    </row>
    <row r="113" spans="1:13" x14ac:dyDescent="0.3">
      <c r="A113" s="6">
        <v>112</v>
      </c>
      <c r="B113" s="7">
        <v>40548</v>
      </c>
      <c r="C113" s="8">
        <v>1</v>
      </c>
      <c r="D113" s="8">
        <v>0</v>
      </c>
      <c r="E113" s="8">
        <v>1</v>
      </c>
      <c r="F113" s="8">
        <v>20</v>
      </c>
      <c r="G113" s="8" t="str" cm="1">
        <f t="array" ref="G113">_xlfn.IFS(F113&lt;4,"Night",F113&lt;=6,"Early Morning",F113&lt;11,"Morning",F113&lt;12,"Afternoon",F113&lt;=16,"Afternoon",F113&lt;=20,"Evening",F113&gt;=21,"Night")</f>
        <v>Evening</v>
      </c>
      <c r="H113" s="8" t="b">
        <v>0</v>
      </c>
      <c r="I113" s="8">
        <v>3</v>
      </c>
      <c r="J113" s="8">
        <v>1</v>
      </c>
      <c r="K113" s="9" t="str" cm="1">
        <f t="array" ref="K113">_xlfn.IFS(J113=1,"Clear",J113=2,"Mist/Cloudy",J113=3,"Rain",J113=4,"Heavy Rain/Thunderstorm")</f>
        <v>Clear</v>
      </c>
      <c r="L113" s="10">
        <v>0.22</v>
      </c>
      <c r="M113" s="42" t="str" cm="1">
        <f t="array" ref="M113">_xlfn.IFS(L113&lt;0.15,"Cold",L113&lt;0.25,"Mild",L113&lt;=0.32,"Warm",L113&gt;=0.33,"Hot")</f>
        <v>Mild</v>
      </c>
    </row>
    <row r="114" spans="1:13" x14ac:dyDescent="0.3">
      <c r="A114" s="6">
        <v>113</v>
      </c>
      <c r="B114" s="7">
        <v>40548</v>
      </c>
      <c r="C114" s="8">
        <v>1</v>
      </c>
      <c r="D114" s="8">
        <v>0</v>
      </c>
      <c r="E114" s="8">
        <v>1</v>
      </c>
      <c r="F114" s="8">
        <v>21</v>
      </c>
      <c r="G114" s="8" t="str" cm="1">
        <f t="array" ref="G114">_xlfn.IFS(F114&lt;4,"Night",F114&lt;=6,"Early Morning",F114&lt;11,"Morning",F114&lt;12,"Afternoon",F114&lt;=16,"Afternoon",F114&lt;=20,"Evening",F114&gt;=21,"Night")</f>
        <v>Night</v>
      </c>
      <c r="H114" s="8" t="b">
        <v>0</v>
      </c>
      <c r="I114" s="8">
        <v>3</v>
      </c>
      <c r="J114" s="8">
        <v>1</v>
      </c>
      <c r="K114" s="9" t="str" cm="1">
        <f t="array" ref="K114">_xlfn.IFS(J114=1,"Clear",J114=2,"Mist/Cloudy",J114=3,"Rain",J114=4,"Heavy Rain/Thunderstorm")</f>
        <v>Clear</v>
      </c>
      <c r="L114" s="10">
        <v>0.2</v>
      </c>
      <c r="M114" s="42" t="str" cm="1">
        <f t="array" ref="M114">_xlfn.IFS(L114&lt;0.15,"Cold",L114&lt;0.25,"Mild",L114&lt;=0.32,"Warm",L114&gt;=0.33,"Hot")</f>
        <v>Mild</v>
      </c>
    </row>
    <row r="115" spans="1:13" x14ac:dyDescent="0.3">
      <c r="A115" s="6">
        <v>114</v>
      </c>
      <c r="B115" s="7">
        <v>40548</v>
      </c>
      <c r="C115" s="8">
        <v>1</v>
      </c>
      <c r="D115" s="8">
        <v>0</v>
      </c>
      <c r="E115" s="8">
        <v>1</v>
      </c>
      <c r="F115" s="8">
        <v>22</v>
      </c>
      <c r="G115" s="8" t="str" cm="1">
        <f t="array" ref="G115">_xlfn.IFS(F115&lt;4,"Night",F115&lt;=6,"Early Morning",F115&lt;11,"Morning",F115&lt;12,"Afternoon",F115&lt;=16,"Afternoon",F115&lt;=20,"Evening",F115&gt;=21,"Night")</f>
        <v>Night</v>
      </c>
      <c r="H115" s="8" t="b">
        <v>0</v>
      </c>
      <c r="I115" s="8">
        <v>3</v>
      </c>
      <c r="J115" s="8">
        <v>1</v>
      </c>
      <c r="K115" s="9" t="str" cm="1">
        <f t="array" ref="K115">_xlfn.IFS(J115=1,"Clear",J115=2,"Mist/Cloudy",J115=3,"Rain",J115=4,"Heavy Rain/Thunderstorm")</f>
        <v>Clear</v>
      </c>
      <c r="L115" s="10">
        <v>0.18</v>
      </c>
      <c r="M115" s="42" t="str" cm="1">
        <f t="array" ref="M115">_xlfn.IFS(L115&lt;0.15,"Cold",L115&lt;0.25,"Mild",L115&lt;=0.32,"Warm",L115&gt;=0.33,"Hot")</f>
        <v>Mild</v>
      </c>
    </row>
    <row r="116" spans="1:13" x14ac:dyDescent="0.3">
      <c r="A116" s="6">
        <v>115</v>
      </c>
      <c r="B116" s="7">
        <v>40548</v>
      </c>
      <c r="C116" s="8">
        <v>1</v>
      </c>
      <c r="D116" s="8">
        <v>0</v>
      </c>
      <c r="E116" s="8">
        <v>1</v>
      </c>
      <c r="F116" s="8">
        <v>23</v>
      </c>
      <c r="G116" s="8" t="str" cm="1">
        <f t="array" ref="G116">_xlfn.IFS(F116&lt;4,"Night",F116&lt;=6,"Early Morning",F116&lt;11,"Morning",F116&lt;12,"Afternoon",F116&lt;=16,"Afternoon",F116&lt;=20,"Evening",F116&gt;=21,"Night")</f>
        <v>Night</v>
      </c>
      <c r="H116" s="8" t="b">
        <v>0</v>
      </c>
      <c r="I116" s="8">
        <v>3</v>
      </c>
      <c r="J116" s="8">
        <v>1</v>
      </c>
      <c r="K116" s="9" t="str" cm="1">
        <f t="array" ref="K116">_xlfn.IFS(J116=1,"Clear",J116=2,"Mist/Cloudy",J116=3,"Rain",J116=4,"Heavy Rain/Thunderstorm")</f>
        <v>Clear</v>
      </c>
      <c r="L116" s="10">
        <v>0.2</v>
      </c>
      <c r="M116" s="42" t="str" cm="1">
        <f t="array" ref="M116">_xlfn.IFS(L116&lt;0.15,"Cold",L116&lt;0.25,"Mild",L116&lt;=0.32,"Warm",L116&gt;=0.33,"Hot")</f>
        <v>Mild</v>
      </c>
    </row>
    <row r="117" spans="1:13" x14ac:dyDescent="0.3">
      <c r="A117" s="6">
        <v>116</v>
      </c>
      <c r="B117" s="7">
        <v>40549</v>
      </c>
      <c r="C117" s="8">
        <v>1</v>
      </c>
      <c r="D117" s="8">
        <v>0</v>
      </c>
      <c r="E117" s="8">
        <v>1</v>
      </c>
      <c r="F117" s="8">
        <v>0</v>
      </c>
      <c r="G117" s="8" t="str" cm="1">
        <f t="array" ref="G117">_xlfn.IFS(F117&lt;4,"Night",F117&lt;=6,"Early Morning",F117&lt;11,"Morning",F117&lt;12,"Afternoon",F117&lt;=16,"Afternoon",F117&lt;=20,"Evening",F117&gt;=21,"Night")</f>
        <v>Night</v>
      </c>
      <c r="H117" s="8" t="b">
        <v>0</v>
      </c>
      <c r="I117" s="8">
        <v>4</v>
      </c>
      <c r="J117" s="8">
        <v>1</v>
      </c>
      <c r="K117" s="9" t="str" cm="1">
        <f t="array" ref="K117">_xlfn.IFS(J117=1,"Clear",J117=2,"Mist/Cloudy",J117=3,"Rain",J117=4,"Heavy Rain/Thunderstorm")</f>
        <v>Clear</v>
      </c>
      <c r="L117" s="10">
        <v>0.18</v>
      </c>
      <c r="M117" s="42" t="str" cm="1">
        <f t="array" ref="M117">_xlfn.IFS(L117&lt;0.15,"Cold",L117&lt;0.25,"Mild",L117&lt;=0.32,"Warm",L117&gt;=0.33,"Hot")</f>
        <v>Mild</v>
      </c>
    </row>
    <row r="118" spans="1:13" x14ac:dyDescent="0.3">
      <c r="A118" s="6">
        <v>117</v>
      </c>
      <c r="B118" s="7">
        <v>40549</v>
      </c>
      <c r="C118" s="8">
        <v>1</v>
      </c>
      <c r="D118" s="8">
        <v>0</v>
      </c>
      <c r="E118" s="8">
        <v>1</v>
      </c>
      <c r="F118" s="8">
        <v>1</v>
      </c>
      <c r="G118" s="8" t="str" cm="1">
        <f t="array" ref="G118">_xlfn.IFS(F118&lt;4,"Night",F118&lt;=6,"Early Morning",F118&lt;11,"Morning",F118&lt;12,"Afternoon",F118&lt;=16,"Afternoon",F118&lt;=20,"Evening",F118&gt;=21,"Night")</f>
        <v>Night</v>
      </c>
      <c r="H118" s="8" t="b">
        <v>0</v>
      </c>
      <c r="I118" s="8">
        <v>4</v>
      </c>
      <c r="J118" s="8">
        <v>1</v>
      </c>
      <c r="K118" s="9" t="str" cm="1">
        <f t="array" ref="K118">_xlfn.IFS(J118=1,"Clear",J118=2,"Mist/Cloudy",J118=3,"Rain",J118=4,"Heavy Rain/Thunderstorm")</f>
        <v>Clear</v>
      </c>
      <c r="L118" s="10">
        <v>0.16</v>
      </c>
      <c r="M118" s="42" t="str" cm="1">
        <f t="array" ref="M118">_xlfn.IFS(L118&lt;0.15,"Cold",L118&lt;0.25,"Mild",L118&lt;=0.32,"Warm",L118&gt;=0.33,"Hot")</f>
        <v>Mild</v>
      </c>
    </row>
    <row r="119" spans="1:13" x14ac:dyDescent="0.3">
      <c r="A119" s="6">
        <v>118</v>
      </c>
      <c r="B119" s="7">
        <v>40549</v>
      </c>
      <c r="C119" s="8">
        <v>1</v>
      </c>
      <c r="D119" s="8">
        <v>0</v>
      </c>
      <c r="E119" s="8">
        <v>1</v>
      </c>
      <c r="F119" s="8">
        <v>2</v>
      </c>
      <c r="G119" s="8" t="str" cm="1">
        <f t="array" ref="G119">_xlfn.IFS(F119&lt;4,"Night",F119&lt;=6,"Early Morning",F119&lt;11,"Morning",F119&lt;12,"Afternoon",F119&lt;=16,"Afternoon",F119&lt;=20,"Evening",F119&gt;=21,"Night")</f>
        <v>Night</v>
      </c>
      <c r="H119" s="8" t="b">
        <v>0</v>
      </c>
      <c r="I119" s="8">
        <v>4</v>
      </c>
      <c r="J119" s="8">
        <v>1</v>
      </c>
      <c r="K119" s="9" t="str" cm="1">
        <f t="array" ref="K119">_xlfn.IFS(J119=1,"Clear",J119=2,"Mist/Cloudy",J119=3,"Rain",J119=4,"Heavy Rain/Thunderstorm")</f>
        <v>Clear</v>
      </c>
      <c r="L119" s="10">
        <v>0.16</v>
      </c>
      <c r="M119" s="42" t="str" cm="1">
        <f t="array" ref="M119">_xlfn.IFS(L119&lt;0.15,"Cold",L119&lt;0.25,"Mild",L119&lt;=0.32,"Warm",L119&gt;=0.33,"Hot")</f>
        <v>Mild</v>
      </c>
    </row>
    <row r="120" spans="1:13" x14ac:dyDescent="0.3">
      <c r="A120" s="6">
        <v>119</v>
      </c>
      <c r="B120" s="7">
        <v>40549</v>
      </c>
      <c r="C120" s="8">
        <v>1</v>
      </c>
      <c r="D120" s="8">
        <v>0</v>
      </c>
      <c r="E120" s="8">
        <v>1</v>
      </c>
      <c r="F120" s="8">
        <v>4</v>
      </c>
      <c r="G120" s="8" t="str" cm="1">
        <f t="array" ref="G120">_xlfn.IFS(F120&lt;4,"Night",F120&lt;=6,"Early Morning",F120&lt;11,"Morning",F120&lt;12,"Afternoon",F120&lt;=16,"Afternoon",F120&lt;=20,"Evening",F120&gt;=21,"Night")</f>
        <v>Early Morning</v>
      </c>
      <c r="H120" s="8" t="b">
        <v>0</v>
      </c>
      <c r="I120" s="8">
        <v>4</v>
      </c>
      <c r="J120" s="8">
        <v>2</v>
      </c>
      <c r="K120" s="9" t="str" cm="1">
        <f t="array" ref="K120">_xlfn.IFS(J120=1,"Clear",J120=2,"Mist/Cloudy",J120=3,"Rain",J120=4,"Heavy Rain/Thunderstorm")</f>
        <v>Mist/Cloudy</v>
      </c>
      <c r="L120" s="10">
        <v>0.16</v>
      </c>
      <c r="M120" s="42" t="str" cm="1">
        <f t="array" ref="M120">_xlfn.IFS(L120&lt;0.15,"Cold",L120&lt;0.25,"Mild",L120&lt;=0.32,"Warm",L120&gt;=0.33,"Hot")</f>
        <v>Mild</v>
      </c>
    </row>
    <row r="121" spans="1:13" x14ac:dyDescent="0.3">
      <c r="A121" s="6">
        <v>120</v>
      </c>
      <c r="B121" s="7">
        <v>40549</v>
      </c>
      <c r="C121" s="8">
        <v>1</v>
      </c>
      <c r="D121" s="8">
        <v>0</v>
      </c>
      <c r="E121" s="8">
        <v>1</v>
      </c>
      <c r="F121" s="8">
        <v>5</v>
      </c>
      <c r="G121" s="8" t="str" cm="1">
        <f t="array" ref="G121">_xlfn.IFS(F121&lt;4,"Night",F121&lt;=6,"Early Morning",F121&lt;11,"Morning",F121&lt;12,"Afternoon",F121&lt;=16,"Afternoon",F121&lt;=20,"Evening",F121&gt;=21,"Night")</f>
        <v>Early Morning</v>
      </c>
      <c r="H121" s="8" t="b">
        <v>0</v>
      </c>
      <c r="I121" s="8">
        <v>4</v>
      </c>
      <c r="J121" s="8">
        <v>2</v>
      </c>
      <c r="K121" s="9" t="str" cm="1">
        <f t="array" ref="K121">_xlfn.IFS(J121=1,"Clear",J121=2,"Mist/Cloudy",J121=3,"Rain",J121=4,"Heavy Rain/Thunderstorm")</f>
        <v>Mist/Cloudy</v>
      </c>
      <c r="L121" s="10">
        <v>0.14000000000000001</v>
      </c>
      <c r="M121" s="42" t="str" cm="1">
        <f t="array" ref="M121">_xlfn.IFS(L121&lt;0.15,"Cold",L121&lt;0.25,"Mild",L121&lt;=0.32,"Warm",L121&gt;=0.33,"Hot")</f>
        <v>Cold</v>
      </c>
    </row>
    <row r="122" spans="1:13" x14ac:dyDescent="0.3">
      <c r="A122" s="6">
        <v>121</v>
      </c>
      <c r="B122" s="7">
        <v>40549</v>
      </c>
      <c r="C122" s="8">
        <v>1</v>
      </c>
      <c r="D122" s="8">
        <v>0</v>
      </c>
      <c r="E122" s="8">
        <v>1</v>
      </c>
      <c r="F122" s="8">
        <v>6</v>
      </c>
      <c r="G122" s="8" t="str" cm="1">
        <f t="array" ref="G122">_xlfn.IFS(F122&lt;4,"Night",F122&lt;=6,"Early Morning",F122&lt;11,"Morning",F122&lt;12,"Afternoon",F122&lt;=16,"Afternoon",F122&lt;=20,"Evening",F122&gt;=21,"Night")</f>
        <v>Early Morning</v>
      </c>
      <c r="H122" s="8" t="b">
        <v>0</v>
      </c>
      <c r="I122" s="8">
        <v>4</v>
      </c>
      <c r="J122" s="8">
        <v>2</v>
      </c>
      <c r="K122" s="9" t="str" cm="1">
        <f t="array" ref="K122">_xlfn.IFS(J122=1,"Clear",J122=2,"Mist/Cloudy",J122=3,"Rain",J122=4,"Heavy Rain/Thunderstorm")</f>
        <v>Mist/Cloudy</v>
      </c>
      <c r="L122" s="10">
        <v>0.14000000000000001</v>
      </c>
      <c r="M122" s="42" t="str" cm="1">
        <f t="array" ref="M122">_xlfn.IFS(L122&lt;0.15,"Cold",L122&lt;0.25,"Mild",L122&lt;=0.32,"Warm",L122&gt;=0.33,"Hot")</f>
        <v>Cold</v>
      </c>
    </row>
    <row r="123" spans="1:13" x14ac:dyDescent="0.3">
      <c r="A123" s="6">
        <v>122</v>
      </c>
      <c r="B123" s="7">
        <v>40549</v>
      </c>
      <c r="C123" s="8">
        <v>1</v>
      </c>
      <c r="D123" s="8">
        <v>0</v>
      </c>
      <c r="E123" s="8">
        <v>1</v>
      </c>
      <c r="F123" s="8">
        <v>7</v>
      </c>
      <c r="G123" s="8" t="str" cm="1">
        <f t="array" ref="G123">_xlfn.IFS(F123&lt;4,"Night",F123&lt;=6,"Early Morning",F123&lt;11,"Morning",F123&lt;12,"Afternoon",F123&lt;=16,"Afternoon",F123&lt;=20,"Evening",F123&gt;=21,"Night")</f>
        <v>Morning</v>
      </c>
      <c r="H123" s="8" t="b">
        <v>0</v>
      </c>
      <c r="I123" s="8">
        <v>4</v>
      </c>
      <c r="J123" s="8">
        <v>2</v>
      </c>
      <c r="K123" s="9" t="str" cm="1">
        <f t="array" ref="K123">_xlfn.IFS(J123=1,"Clear",J123=2,"Mist/Cloudy",J123=3,"Rain",J123=4,"Heavy Rain/Thunderstorm")</f>
        <v>Mist/Cloudy</v>
      </c>
      <c r="L123" s="10">
        <v>0.16</v>
      </c>
      <c r="M123" s="42" t="str" cm="1">
        <f t="array" ref="M123">_xlfn.IFS(L123&lt;0.15,"Cold",L123&lt;0.25,"Mild",L123&lt;=0.32,"Warm",L123&gt;=0.33,"Hot")</f>
        <v>Mild</v>
      </c>
    </row>
    <row r="124" spans="1:13" x14ac:dyDescent="0.3">
      <c r="A124" s="6">
        <v>123</v>
      </c>
      <c r="B124" s="7">
        <v>40549</v>
      </c>
      <c r="C124" s="8">
        <v>1</v>
      </c>
      <c r="D124" s="8">
        <v>0</v>
      </c>
      <c r="E124" s="8">
        <v>1</v>
      </c>
      <c r="F124" s="8">
        <v>8</v>
      </c>
      <c r="G124" s="8" t="str" cm="1">
        <f t="array" ref="G124">_xlfn.IFS(F124&lt;4,"Night",F124&lt;=6,"Early Morning",F124&lt;11,"Morning",F124&lt;12,"Afternoon",F124&lt;=16,"Afternoon",F124&lt;=20,"Evening",F124&gt;=21,"Night")</f>
        <v>Morning</v>
      </c>
      <c r="H124" s="8" t="b">
        <v>0</v>
      </c>
      <c r="I124" s="8">
        <v>4</v>
      </c>
      <c r="J124" s="8">
        <v>1</v>
      </c>
      <c r="K124" s="9" t="str" cm="1">
        <f t="array" ref="K124">_xlfn.IFS(J124=1,"Clear",J124=2,"Mist/Cloudy",J124=3,"Rain",J124=4,"Heavy Rain/Thunderstorm")</f>
        <v>Clear</v>
      </c>
      <c r="L124" s="10">
        <v>0.16</v>
      </c>
      <c r="M124" s="42" t="str" cm="1">
        <f t="array" ref="M124">_xlfn.IFS(L124&lt;0.15,"Cold",L124&lt;0.25,"Mild",L124&lt;=0.32,"Warm",L124&gt;=0.33,"Hot")</f>
        <v>Mild</v>
      </c>
    </row>
    <row r="125" spans="1:13" x14ac:dyDescent="0.3">
      <c r="A125" s="6">
        <v>124</v>
      </c>
      <c r="B125" s="7">
        <v>40549</v>
      </c>
      <c r="C125" s="8">
        <v>1</v>
      </c>
      <c r="D125" s="8">
        <v>0</v>
      </c>
      <c r="E125" s="8">
        <v>1</v>
      </c>
      <c r="F125" s="8">
        <v>9</v>
      </c>
      <c r="G125" s="8" t="str" cm="1">
        <f t="array" ref="G125">_xlfn.IFS(F125&lt;4,"Night",F125&lt;=6,"Early Morning",F125&lt;11,"Morning",F125&lt;12,"Afternoon",F125&lt;=16,"Afternoon",F125&lt;=20,"Evening",F125&gt;=21,"Night")</f>
        <v>Morning</v>
      </c>
      <c r="H125" s="8" t="b">
        <v>0</v>
      </c>
      <c r="I125" s="8">
        <v>4</v>
      </c>
      <c r="J125" s="8">
        <v>2</v>
      </c>
      <c r="K125" s="9" t="str" cm="1">
        <f t="array" ref="K125">_xlfn.IFS(J125=1,"Clear",J125=2,"Mist/Cloudy",J125=3,"Rain",J125=4,"Heavy Rain/Thunderstorm")</f>
        <v>Mist/Cloudy</v>
      </c>
      <c r="L125" s="10">
        <v>0.18</v>
      </c>
      <c r="M125" s="42" t="str" cm="1">
        <f t="array" ref="M125">_xlfn.IFS(L125&lt;0.15,"Cold",L125&lt;0.25,"Mild",L125&lt;=0.32,"Warm",L125&gt;=0.33,"Hot")</f>
        <v>Mild</v>
      </c>
    </row>
    <row r="126" spans="1:13" x14ac:dyDescent="0.3">
      <c r="A126" s="6">
        <v>125</v>
      </c>
      <c r="B126" s="7">
        <v>40549</v>
      </c>
      <c r="C126" s="8">
        <v>1</v>
      </c>
      <c r="D126" s="8">
        <v>0</v>
      </c>
      <c r="E126" s="8">
        <v>1</v>
      </c>
      <c r="F126" s="8">
        <v>10</v>
      </c>
      <c r="G126" s="8" t="str" cm="1">
        <f t="array" ref="G126">_xlfn.IFS(F126&lt;4,"Night",F126&lt;=6,"Early Morning",F126&lt;11,"Morning",F126&lt;12,"Afternoon",F126&lt;=16,"Afternoon",F126&lt;=20,"Evening",F126&gt;=21,"Night")</f>
        <v>Morning</v>
      </c>
      <c r="H126" s="8" t="b">
        <v>0</v>
      </c>
      <c r="I126" s="8">
        <v>4</v>
      </c>
      <c r="J126" s="8">
        <v>1</v>
      </c>
      <c r="K126" s="9" t="str" cm="1">
        <f t="array" ref="K126">_xlfn.IFS(J126=1,"Clear",J126=2,"Mist/Cloudy",J126=3,"Rain",J126=4,"Heavy Rain/Thunderstorm")</f>
        <v>Clear</v>
      </c>
      <c r="L126" s="10">
        <v>0.2</v>
      </c>
      <c r="M126" s="42" t="str" cm="1">
        <f t="array" ref="M126">_xlfn.IFS(L126&lt;0.15,"Cold",L126&lt;0.25,"Mild",L126&lt;=0.32,"Warm",L126&gt;=0.33,"Hot")</f>
        <v>Mild</v>
      </c>
    </row>
    <row r="127" spans="1:13" x14ac:dyDescent="0.3">
      <c r="A127" s="6">
        <v>126</v>
      </c>
      <c r="B127" s="7">
        <v>40549</v>
      </c>
      <c r="C127" s="8">
        <v>1</v>
      </c>
      <c r="D127" s="8">
        <v>0</v>
      </c>
      <c r="E127" s="8">
        <v>1</v>
      </c>
      <c r="F127" s="8">
        <v>11</v>
      </c>
      <c r="G127" s="8" t="str" cm="1">
        <f t="array" ref="G127">_xlfn.IFS(F127&lt;4,"Night",F127&lt;=6,"Early Morning",F127&lt;11,"Morning",F127&lt;12,"Afternoon",F127&lt;=16,"Afternoon",F127&lt;=20,"Evening",F127&gt;=21,"Night")</f>
        <v>Afternoon</v>
      </c>
      <c r="H127" s="8" t="b">
        <v>0</v>
      </c>
      <c r="I127" s="8">
        <v>4</v>
      </c>
      <c r="J127" s="8">
        <v>1</v>
      </c>
      <c r="K127" s="9" t="str" cm="1">
        <f t="array" ref="K127">_xlfn.IFS(J127=1,"Clear",J127=2,"Mist/Cloudy",J127=3,"Rain",J127=4,"Heavy Rain/Thunderstorm")</f>
        <v>Clear</v>
      </c>
      <c r="L127" s="10">
        <v>0.22</v>
      </c>
      <c r="M127" s="42" t="str" cm="1">
        <f t="array" ref="M127">_xlfn.IFS(L127&lt;0.15,"Cold",L127&lt;0.25,"Mild",L127&lt;=0.32,"Warm",L127&gt;=0.33,"Hot")</f>
        <v>Mild</v>
      </c>
    </row>
    <row r="128" spans="1:13" x14ac:dyDescent="0.3">
      <c r="A128" s="6">
        <v>127</v>
      </c>
      <c r="B128" s="7">
        <v>40549</v>
      </c>
      <c r="C128" s="8">
        <v>1</v>
      </c>
      <c r="D128" s="8">
        <v>0</v>
      </c>
      <c r="E128" s="8">
        <v>1</v>
      </c>
      <c r="F128" s="8">
        <v>12</v>
      </c>
      <c r="G128" s="8" t="str" cm="1">
        <f t="array" ref="G128">_xlfn.IFS(F128&lt;4,"Night",F128&lt;=6,"Early Morning",F128&lt;11,"Morning",F128&lt;12,"Afternoon",F128&lt;=16,"Afternoon",F128&lt;=20,"Evening",F128&gt;=21,"Night")</f>
        <v>Afternoon</v>
      </c>
      <c r="H128" s="8" t="b">
        <v>0</v>
      </c>
      <c r="I128" s="8">
        <v>4</v>
      </c>
      <c r="J128" s="8">
        <v>1</v>
      </c>
      <c r="K128" s="9" t="str" cm="1">
        <f t="array" ref="K128">_xlfn.IFS(J128=1,"Clear",J128=2,"Mist/Cloudy",J128=3,"Rain",J128=4,"Heavy Rain/Thunderstorm")</f>
        <v>Clear</v>
      </c>
      <c r="L128" s="10">
        <v>0.26</v>
      </c>
      <c r="M128" s="42" t="str" cm="1">
        <f t="array" ref="M128">_xlfn.IFS(L128&lt;0.15,"Cold",L128&lt;0.25,"Mild",L128&lt;=0.32,"Warm",L128&gt;=0.33,"Hot")</f>
        <v>Warm</v>
      </c>
    </row>
    <row r="129" spans="1:13" x14ac:dyDescent="0.3">
      <c r="A129" s="6">
        <v>128</v>
      </c>
      <c r="B129" s="7">
        <v>40549</v>
      </c>
      <c r="C129" s="8">
        <v>1</v>
      </c>
      <c r="D129" s="8">
        <v>0</v>
      </c>
      <c r="E129" s="8">
        <v>1</v>
      </c>
      <c r="F129" s="8">
        <v>13</v>
      </c>
      <c r="G129" s="8" t="str" cm="1">
        <f t="array" ref="G129">_xlfn.IFS(F129&lt;4,"Night",F129&lt;=6,"Early Morning",F129&lt;11,"Morning",F129&lt;12,"Afternoon",F129&lt;=16,"Afternoon",F129&lt;=20,"Evening",F129&gt;=21,"Night")</f>
        <v>Afternoon</v>
      </c>
      <c r="H129" s="8" t="b">
        <v>0</v>
      </c>
      <c r="I129" s="8">
        <v>4</v>
      </c>
      <c r="J129" s="8">
        <v>1</v>
      </c>
      <c r="K129" s="9" t="str" cm="1">
        <f t="array" ref="K129">_xlfn.IFS(J129=1,"Clear",J129=2,"Mist/Cloudy",J129=3,"Rain",J129=4,"Heavy Rain/Thunderstorm")</f>
        <v>Clear</v>
      </c>
      <c r="L129" s="10">
        <v>0.26</v>
      </c>
      <c r="M129" s="42" t="str" cm="1">
        <f t="array" ref="M129">_xlfn.IFS(L129&lt;0.15,"Cold",L129&lt;0.25,"Mild",L129&lt;=0.32,"Warm",L129&gt;=0.33,"Hot")</f>
        <v>Warm</v>
      </c>
    </row>
    <row r="130" spans="1:13" x14ac:dyDescent="0.3">
      <c r="A130" s="6">
        <v>129</v>
      </c>
      <c r="B130" s="7">
        <v>40549</v>
      </c>
      <c r="C130" s="8">
        <v>1</v>
      </c>
      <c r="D130" s="8">
        <v>0</v>
      </c>
      <c r="E130" s="8">
        <v>1</v>
      </c>
      <c r="F130" s="8">
        <v>14</v>
      </c>
      <c r="G130" s="8" t="str" cm="1">
        <f t="array" ref="G130">_xlfn.IFS(F130&lt;4,"Night",F130&lt;=6,"Early Morning",F130&lt;11,"Morning",F130&lt;12,"Afternoon",F130&lt;=16,"Afternoon",F130&lt;=20,"Evening",F130&gt;=21,"Night")</f>
        <v>Afternoon</v>
      </c>
      <c r="H130" s="8" t="b">
        <v>0</v>
      </c>
      <c r="I130" s="8">
        <v>4</v>
      </c>
      <c r="J130" s="8">
        <v>1</v>
      </c>
      <c r="K130" s="9" t="str" cm="1">
        <f t="array" ref="K130">_xlfn.IFS(J130=1,"Clear",J130=2,"Mist/Cloudy",J130=3,"Rain",J130=4,"Heavy Rain/Thunderstorm")</f>
        <v>Clear</v>
      </c>
      <c r="L130" s="10">
        <v>0.28000000000000003</v>
      </c>
      <c r="M130" s="42" t="str" cm="1">
        <f t="array" ref="M130">_xlfn.IFS(L130&lt;0.15,"Cold",L130&lt;0.25,"Mild",L130&lt;=0.32,"Warm",L130&gt;=0.33,"Hot")</f>
        <v>Warm</v>
      </c>
    </row>
    <row r="131" spans="1:13" x14ac:dyDescent="0.3">
      <c r="A131" s="6">
        <v>130</v>
      </c>
      <c r="B131" s="7">
        <v>40549</v>
      </c>
      <c r="C131" s="8">
        <v>1</v>
      </c>
      <c r="D131" s="8">
        <v>0</v>
      </c>
      <c r="E131" s="8">
        <v>1</v>
      </c>
      <c r="F131" s="8">
        <v>15</v>
      </c>
      <c r="G131" s="8" t="str" cm="1">
        <f t="array" ref="G131">_xlfn.IFS(F131&lt;4,"Night",F131&lt;=6,"Early Morning",F131&lt;11,"Morning",F131&lt;12,"Afternoon",F131&lt;=16,"Afternoon",F131&lt;=20,"Evening",F131&gt;=21,"Night")</f>
        <v>Afternoon</v>
      </c>
      <c r="H131" s="8" t="b">
        <v>0</v>
      </c>
      <c r="I131" s="8">
        <v>4</v>
      </c>
      <c r="J131" s="8">
        <v>1</v>
      </c>
      <c r="K131" s="9" t="str" cm="1">
        <f t="array" ref="K131">_xlfn.IFS(J131=1,"Clear",J131=2,"Mist/Cloudy",J131=3,"Rain",J131=4,"Heavy Rain/Thunderstorm")</f>
        <v>Clear</v>
      </c>
      <c r="L131" s="10">
        <v>0.28000000000000003</v>
      </c>
      <c r="M131" s="42" t="str" cm="1">
        <f t="array" ref="M131">_xlfn.IFS(L131&lt;0.15,"Cold",L131&lt;0.25,"Mild",L131&lt;=0.32,"Warm",L131&gt;=0.33,"Hot")</f>
        <v>Warm</v>
      </c>
    </row>
    <row r="132" spans="1:13" x14ac:dyDescent="0.3">
      <c r="A132" s="6">
        <v>131</v>
      </c>
      <c r="B132" s="7">
        <v>40549</v>
      </c>
      <c r="C132" s="8">
        <v>1</v>
      </c>
      <c r="D132" s="8">
        <v>0</v>
      </c>
      <c r="E132" s="8">
        <v>1</v>
      </c>
      <c r="F132" s="8">
        <v>16</v>
      </c>
      <c r="G132" s="8" t="str" cm="1">
        <f t="array" ref="G132">_xlfn.IFS(F132&lt;4,"Night",F132&lt;=6,"Early Morning",F132&lt;11,"Morning",F132&lt;12,"Afternoon",F132&lt;=16,"Afternoon",F132&lt;=20,"Evening",F132&gt;=21,"Night")</f>
        <v>Afternoon</v>
      </c>
      <c r="H132" s="8" t="b">
        <v>0</v>
      </c>
      <c r="I132" s="8">
        <v>4</v>
      </c>
      <c r="J132" s="8">
        <v>1</v>
      </c>
      <c r="K132" s="9" t="str" cm="1">
        <f t="array" ref="K132">_xlfn.IFS(J132=1,"Clear",J132=2,"Mist/Cloudy",J132=3,"Rain",J132=4,"Heavy Rain/Thunderstorm")</f>
        <v>Clear</v>
      </c>
      <c r="L132" s="10">
        <v>0.26</v>
      </c>
      <c r="M132" s="42" t="str" cm="1">
        <f t="array" ref="M132">_xlfn.IFS(L132&lt;0.15,"Cold",L132&lt;0.25,"Mild",L132&lt;=0.32,"Warm",L132&gt;=0.33,"Hot")</f>
        <v>Warm</v>
      </c>
    </row>
    <row r="133" spans="1:13" x14ac:dyDescent="0.3">
      <c r="A133" s="6">
        <v>132</v>
      </c>
      <c r="B133" s="7">
        <v>40549</v>
      </c>
      <c r="C133" s="8">
        <v>1</v>
      </c>
      <c r="D133" s="8">
        <v>0</v>
      </c>
      <c r="E133" s="8">
        <v>1</v>
      </c>
      <c r="F133" s="8">
        <v>17</v>
      </c>
      <c r="G133" s="8" t="str" cm="1">
        <f t="array" ref="G133">_xlfn.IFS(F133&lt;4,"Night",F133&lt;=6,"Early Morning",F133&lt;11,"Morning",F133&lt;12,"Afternoon",F133&lt;=16,"Afternoon",F133&lt;=20,"Evening",F133&gt;=21,"Night")</f>
        <v>Evening</v>
      </c>
      <c r="H133" s="8" t="b">
        <v>0</v>
      </c>
      <c r="I133" s="8">
        <v>4</v>
      </c>
      <c r="J133" s="8">
        <v>1</v>
      </c>
      <c r="K133" s="9" t="str" cm="1">
        <f t="array" ref="K133">_xlfn.IFS(J133=1,"Clear",J133=2,"Mist/Cloudy",J133=3,"Rain",J133=4,"Heavy Rain/Thunderstorm")</f>
        <v>Clear</v>
      </c>
      <c r="L133" s="10">
        <v>0.22</v>
      </c>
      <c r="M133" s="42" t="str" cm="1">
        <f t="array" ref="M133">_xlfn.IFS(L133&lt;0.15,"Cold",L133&lt;0.25,"Mild",L133&lt;=0.32,"Warm",L133&gt;=0.33,"Hot")</f>
        <v>Mild</v>
      </c>
    </row>
    <row r="134" spans="1:13" x14ac:dyDescent="0.3">
      <c r="A134" s="6">
        <v>133</v>
      </c>
      <c r="B134" s="7">
        <v>40549</v>
      </c>
      <c r="C134" s="8">
        <v>1</v>
      </c>
      <c r="D134" s="8">
        <v>0</v>
      </c>
      <c r="E134" s="8">
        <v>1</v>
      </c>
      <c r="F134" s="8">
        <v>18</v>
      </c>
      <c r="G134" s="8" t="str" cm="1">
        <f t="array" ref="G134">_xlfn.IFS(F134&lt;4,"Night",F134&lt;=6,"Early Morning",F134&lt;11,"Morning",F134&lt;12,"Afternoon",F134&lt;=16,"Afternoon",F134&lt;=20,"Evening",F134&gt;=21,"Night")</f>
        <v>Evening</v>
      </c>
      <c r="H134" s="8" t="b">
        <v>0</v>
      </c>
      <c r="I134" s="8">
        <v>4</v>
      </c>
      <c r="J134" s="8">
        <v>1</v>
      </c>
      <c r="K134" s="9" t="str" cm="1">
        <f t="array" ref="K134">_xlfn.IFS(J134=1,"Clear",J134=2,"Mist/Cloudy",J134=3,"Rain",J134=4,"Heavy Rain/Thunderstorm")</f>
        <v>Clear</v>
      </c>
      <c r="L134" s="10">
        <v>0.22</v>
      </c>
      <c r="M134" s="42" t="str" cm="1">
        <f t="array" ref="M134">_xlfn.IFS(L134&lt;0.15,"Cold",L134&lt;0.25,"Mild",L134&lt;=0.32,"Warm",L134&gt;=0.33,"Hot")</f>
        <v>Mild</v>
      </c>
    </row>
    <row r="135" spans="1:13" x14ac:dyDescent="0.3">
      <c r="A135" s="6">
        <v>134</v>
      </c>
      <c r="B135" s="7">
        <v>40549</v>
      </c>
      <c r="C135" s="8">
        <v>1</v>
      </c>
      <c r="D135" s="8">
        <v>0</v>
      </c>
      <c r="E135" s="8">
        <v>1</v>
      </c>
      <c r="F135" s="8">
        <v>19</v>
      </c>
      <c r="G135" s="8" t="str" cm="1">
        <f t="array" ref="G135">_xlfn.IFS(F135&lt;4,"Night",F135&lt;=6,"Early Morning",F135&lt;11,"Morning",F135&lt;12,"Afternoon",F135&lt;=16,"Afternoon",F135&lt;=20,"Evening",F135&gt;=21,"Night")</f>
        <v>Evening</v>
      </c>
      <c r="H135" s="8" t="b">
        <v>0</v>
      </c>
      <c r="I135" s="8">
        <v>4</v>
      </c>
      <c r="J135" s="8">
        <v>1</v>
      </c>
      <c r="K135" s="9" t="str" cm="1">
        <f t="array" ref="K135">_xlfn.IFS(J135=1,"Clear",J135=2,"Mist/Cloudy",J135=3,"Rain",J135=4,"Heavy Rain/Thunderstorm")</f>
        <v>Clear</v>
      </c>
      <c r="L135" s="10">
        <v>0.22</v>
      </c>
      <c r="M135" s="42" t="str" cm="1">
        <f t="array" ref="M135">_xlfn.IFS(L135&lt;0.15,"Cold",L135&lt;0.25,"Mild",L135&lt;=0.32,"Warm",L135&gt;=0.33,"Hot")</f>
        <v>Mild</v>
      </c>
    </row>
    <row r="136" spans="1:13" x14ac:dyDescent="0.3">
      <c r="A136" s="6">
        <v>135</v>
      </c>
      <c r="B136" s="7">
        <v>40549</v>
      </c>
      <c r="C136" s="8">
        <v>1</v>
      </c>
      <c r="D136" s="8">
        <v>0</v>
      </c>
      <c r="E136" s="8">
        <v>1</v>
      </c>
      <c r="F136" s="8">
        <v>20</v>
      </c>
      <c r="G136" s="8" t="str" cm="1">
        <f t="array" ref="G136">_xlfn.IFS(F136&lt;4,"Night",F136&lt;=6,"Early Morning",F136&lt;11,"Morning",F136&lt;12,"Afternoon",F136&lt;=16,"Afternoon",F136&lt;=20,"Evening",F136&gt;=21,"Night")</f>
        <v>Evening</v>
      </c>
      <c r="H136" s="8" t="b">
        <v>0</v>
      </c>
      <c r="I136" s="8">
        <v>4</v>
      </c>
      <c r="J136" s="8">
        <v>1</v>
      </c>
      <c r="K136" s="9" t="str" cm="1">
        <f t="array" ref="K136">_xlfn.IFS(J136=1,"Clear",J136=2,"Mist/Cloudy",J136=3,"Rain",J136=4,"Heavy Rain/Thunderstorm")</f>
        <v>Clear</v>
      </c>
      <c r="L136" s="10">
        <v>0.2</v>
      </c>
      <c r="M136" s="42" t="str" cm="1">
        <f t="array" ref="M136">_xlfn.IFS(L136&lt;0.15,"Cold",L136&lt;0.25,"Mild",L136&lt;=0.32,"Warm",L136&gt;=0.33,"Hot")</f>
        <v>Mild</v>
      </c>
    </row>
    <row r="137" spans="1:13" x14ac:dyDescent="0.3">
      <c r="A137" s="6">
        <v>136</v>
      </c>
      <c r="B137" s="7">
        <v>40549</v>
      </c>
      <c r="C137" s="8">
        <v>1</v>
      </c>
      <c r="D137" s="8">
        <v>0</v>
      </c>
      <c r="E137" s="8">
        <v>1</v>
      </c>
      <c r="F137" s="8">
        <v>21</v>
      </c>
      <c r="G137" s="8" t="str" cm="1">
        <f t="array" ref="G137">_xlfn.IFS(F137&lt;4,"Night",F137&lt;=6,"Early Morning",F137&lt;11,"Morning",F137&lt;12,"Afternoon",F137&lt;=16,"Afternoon",F137&lt;=20,"Evening",F137&gt;=21,"Night")</f>
        <v>Night</v>
      </c>
      <c r="H137" s="8" t="b">
        <v>0</v>
      </c>
      <c r="I137" s="8">
        <v>4</v>
      </c>
      <c r="J137" s="8">
        <v>2</v>
      </c>
      <c r="K137" s="9" t="str" cm="1">
        <f t="array" ref="K137">_xlfn.IFS(J137=1,"Clear",J137=2,"Mist/Cloudy",J137=3,"Rain",J137=4,"Heavy Rain/Thunderstorm")</f>
        <v>Mist/Cloudy</v>
      </c>
      <c r="L137" s="10">
        <v>0.22</v>
      </c>
      <c r="M137" s="42" t="str" cm="1">
        <f t="array" ref="M137">_xlfn.IFS(L137&lt;0.15,"Cold",L137&lt;0.25,"Mild",L137&lt;=0.32,"Warm",L137&gt;=0.33,"Hot")</f>
        <v>Mild</v>
      </c>
    </row>
    <row r="138" spans="1:13" x14ac:dyDescent="0.3">
      <c r="A138" s="6">
        <v>137</v>
      </c>
      <c r="B138" s="7">
        <v>40549</v>
      </c>
      <c r="C138" s="8">
        <v>1</v>
      </c>
      <c r="D138" s="8">
        <v>0</v>
      </c>
      <c r="E138" s="8">
        <v>1</v>
      </c>
      <c r="F138" s="8">
        <v>22</v>
      </c>
      <c r="G138" s="8" t="str" cm="1">
        <f t="array" ref="G138">_xlfn.IFS(F138&lt;4,"Night",F138&lt;=6,"Early Morning",F138&lt;11,"Morning",F138&lt;12,"Afternoon",F138&lt;=16,"Afternoon",F138&lt;=20,"Evening",F138&gt;=21,"Night")</f>
        <v>Night</v>
      </c>
      <c r="H138" s="8" t="b">
        <v>0</v>
      </c>
      <c r="I138" s="8">
        <v>4</v>
      </c>
      <c r="J138" s="8">
        <v>2</v>
      </c>
      <c r="K138" s="9" t="str" cm="1">
        <f t="array" ref="K138">_xlfn.IFS(J138=1,"Clear",J138=2,"Mist/Cloudy",J138=3,"Rain",J138=4,"Heavy Rain/Thunderstorm")</f>
        <v>Mist/Cloudy</v>
      </c>
      <c r="L138" s="10">
        <v>0.22</v>
      </c>
      <c r="M138" s="42" t="str" cm="1">
        <f t="array" ref="M138">_xlfn.IFS(L138&lt;0.15,"Cold",L138&lt;0.25,"Mild",L138&lt;=0.32,"Warm",L138&gt;=0.33,"Hot")</f>
        <v>Mild</v>
      </c>
    </row>
    <row r="139" spans="1:13" x14ac:dyDescent="0.3">
      <c r="A139" s="6">
        <v>138</v>
      </c>
      <c r="B139" s="7">
        <v>40549</v>
      </c>
      <c r="C139" s="8">
        <v>1</v>
      </c>
      <c r="D139" s="8">
        <v>0</v>
      </c>
      <c r="E139" s="8">
        <v>1</v>
      </c>
      <c r="F139" s="8">
        <v>23</v>
      </c>
      <c r="G139" s="8" t="str" cm="1">
        <f t="array" ref="G139">_xlfn.IFS(F139&lt;4,"Night",F139&lt;=6,"Early Morning",F139&lt;11,"Morning",F139&lt;12,"Afternoon",F139&lt;=16,"Afternoon",F139&lt;=20,"Evening",F139&gt;=21,"Night")</f>
        <v>Night</v>
      </c>
      <c r="H139" s="8" t="b">
        <v>0</v>
      </c>
      <c r="I139" s="8">
        <v>4</v>
      </c>
      <c r="J139" s="8">
        <v>2</v>
      </c>
      <c r="K139" s="9" t="str" cm="1">
        <f t="array" ref="K139">_xlfn.IFS(J139=1,"Clear",J139=2,"Mist/Cloudy",J139=3,"Rain",J139=4,"Heavy Rain/Thunderstorm")</f>
        <v>Mist/Cloudy</v>
      </c>
      <c r="L139" s="10">
        <v>0.2</v>
      </c>
      <c r="M139" s="42" t="str" cm="1">
        <f t="array" ref="M139">_xlfn.IFS(L139&lt;0.15,"Cold",L139&lt;0.25,"Mild",L139&lt;=0.32,"Warm",L139&gt;=0.33,"Hot")</f>
        <v>Mild</v>
      </c>
    </row>
    <row r="140" spans="1:13" x14ac:dyDescent="0.3">
      <c r="A140" s="6">
        <v>139</v>
      </c>
      <c r="B140" s="7">
        <v>40550</v>
      </c>
      <c r="C140" s="8">
        <v>1</v>
      </c>
      <c r="D140" s="8">
        <v>0</v>
      </c>
      <c r="E140" s="8">
        <v>1</v>
      </c>
      <c r="F140" s="8">
        <v>0</v>
      </c>
      <c r="G140" s="8" t="str" cm="1">
        <f t="array" ref="G140">_xlfn.IFS(F140&lt;4,"Night",F140&lt;=6,"Early Morning",F140&lt;11,"Morning",F140&lt;12,"Afternoon",F140&lt;=16,"Afternoon",F140&lt;=20,"Evening",F140&gt;=21,"Night")</f>
        <v>Night</v>
      </c>
      <c r="H140" s="8" t="b">
        <v>0</v>
      </c>
      <c r="I140" s="8">
        <v>5</v>
      </c>
      <c r="J140" s="8">
        <v>2</v>
      </c>
      <c r="K140" s="9" t="str" cm="1">
        <f t="array" ref="K140">_xlfn.IFS(J140=1,"Clear",J140=2,"Mist/Cloudy",J140=3,"Rain",J140=4,"Heavy Rain/Thunderstorm")</f>
        <v>Mist/Cloudy</v>
      </c>
      <c r="L140" s="10">
        <v>0.2</v>
      </c>
      <c r="M140" s="42" t="str" cm="1">
        <f t="array" ref="M140">_xlfn.IFS(L140&lt;0.15,"Cold",L140&lt;0.25,"Mild",L140&lt;=0.32,"Warm",L140&gt;=0.33,"Hot")</f>
        <v>Mild</v>
      </c>
    </row>
    <row r="141" spans="1:13" x14ac:dyDescent="0.3">
      <c r="A141" s="6">
        <v>140</v>
      </c>
      <c r="B141" s="7">
        <v>40550</v>
      </c>
      <c r="C141" s="8">
        <v>1</v>
      </c>
      <c r="D141" s="8">
        <v>0</v>
      </c>
      <c r="E141" s="8">
        <v>1</v>
      </c>
      <c r="F141" s="8">
        <v>1</v>
      </c>
      <c r="G141" s="8" t="str" cm="1">
        <f t="array" ref="G141">_xlfn.IFS(F141&lt;4,"Night",F141&lt;=6,"Early Morning",F141&lt;11,"Morning",F141&lt;12,"Afternoon",F141&lt;=16,"Afternoon",F141&lt;=20,"Evening",F141&gt;=21,"Night")</f>
        <v>Night</v>
      </c>
      <c r="H141" s="8" t="b">
        <v>0</v>
      </c>
      <c r="I141" s="8">
        <v>5</v>
      </c>
      <c r="J141" s="8">
        <v>2</v>
      </c>
      <c r="K141" s="9" t="str" cm="1">
        <f t="array" ref="K141">_xlfn.IFS(J141=1,"Clear",J141=2,"Mist/Cloudy",J141=3,"Rain",J141=4,"Heavy Rain/Thunderstorm")</f>
        <v>Mist/Cloudy</v>
      </c>
      <c r="L141" s="10">
        <v>0.2</v>
      </c>
      <c r="M141" s="42" t="str" cm="1">
        <f t="array" ref="M141">_xlfn.IFS(L141&lt;0.15,"Cold",L141&lt;0.25,"Mild",L141&lt;=0.32,"Warm",L141&gt;=0.33,"Hot")</f>
        <v>Mild</v>
      </c>
    </row>
    <row r="142" spans="1:13" x14ac:dyDescent="0.3">
      <c r="A142" s="6">
        <v>141</v>
      </c>
      <c r="B142" s="7">
        <v>40550</v>
      </c>
      <c r="C142" s="8">
        <v>1</v>
      </c>
      <c r="D142" s="8">
        <v>0</v>
      </c>
      <c r="E142" s="8">
        <v>1</v>
      </c>
      <c r="F142" s="8">
        <v>2</v>
      </c>
      <c r="G142" s="8" t="str" cm="1">
        <f t="array" ref="G142">_xlfn.IFS(F142&lt;4,"Night",F142&lt;=6,"Early Morning",F142&lt;11,"Morning",F142&lt;12,"Afternoon",F142&lt;=16,"Afternoon",F142&lt;=20,"Evening",F142&gt;=21,"Night")</f>
        <v>Night</v>
      </c>
      <c r="H142" s="8" t="b">
        <v>0</v>
      </c>
      <c r="I142" s="8">
        <v>5</v>
      </c>
      <c r="J142" s="8">
        <v>2</v>
      </c>
      <c r="K142" s="9" t="str" cm="1">
        <f t="array" ref="K142">_xlfn.IFS(J142=1,"Clear",J142=2,"Mist/Cloudy",J142=3,"Rain",J142=4,"Heavy Rain/Thunderstorm")</f>
        <v>Mist/Cloudy</v>
      </c>
      <c r="L142" s="10">
        <v>0.2</v>
      </c>
      <c r="M142" s="42" t="str" cm="1">
        <f t="array" ref="M142">_xlfn.IFS(L142&lt;0.15,"Cold",L142&lt;0.25,"Mild",L142&lt;=0.32,"Warm",L142&gt;=0.33,"Hot")</f>
        <v>Mild</v>
      </c>
    </row>
    <row r="143" spans="1:13" x14ac:dyDescent="0.3">
      <c r="A143" s="6">
        <v>142</v>
      </c>
      <c r="B143" s="7">
        <v>40550</v>
      </c>
      <c r="C143" s="8">
        <v>1</v>
      </c>
      <c r="D143" s="8">
        <v>0</v>
      </c>
      <c r="E143" s="8">
        <v>1</v>
      </c>
      <c r="F143" s="8">
        <v>4</v>
      </c>
      <c r="G143" s="8" t="str" cm="1">
        <f t="array" ref="G143">_xlfn.IFS(F143&lt;4,"Night",F143&lt;=6,"Early Morning",F143&lt;11,"Morning",F143&lt;12,"Afternoon",F143&lt;=16,"Afternoon",F143&lt;=20,"Evening",F143&gt;=21,"Night")</f>
        <v>Early Morning</v>
      </c>
      <c r="H143" s="8" t="b">
        <v>0</v>
      </c>
      <c r="I143" s="8">
        <v>5</v>
      </c>
      <c r="J143" s="8">
        <v>2</v>
      </c>
      <c r="K143" s="9" t="str" cm="1">
        <f t="array" ref="K143">_xlfn.IFS(J143=1,"Clear",J143=2,"Mist/Cloudy",J143=3,"Rain",J143=4,"Heavy Rain/Thunderstorm")</f>
        <v>Mist/Cloudy</v>
      </c>
      <c r="L143" s="10">
        <v>0.2</v>
      </c>
      <c r="M143" s="42" t="str" cm="1">
        <f t="array" ref="M143">_xlfn.IFS(L143&lt;0.15,"Cold",L143&lt;0.25,"Mild",L143&lt;=0.32,"Warm",L143&gt;=0.33,"Hot")</f>
        <v>Mild</v>
      </c>
    </row>
    <row r="144" spans="1:13" x14ac:dyDescent="0.3">
      <c r="A144" s="6">
        <v>143</v>
      </c>
      <c r="B144" s="7">
        <v>40550</v>
      </c>
      <c r="C144" s="8">
        <v>1</v>
      </c>
      <c r="D144" s="8">
        <v>0</v>
      </c>
      <c r="E144" s="8">
        <v>1</v>
      </c>
      <c r="F144" s="8">
        <v>5</v>
      </c>
      <c r="G144" s="8" t="str" cm="1">
        <f t="array" ref="G144">_xlfn.IFS(F144&lt;4,"Night",F144&lt;=6,"Early Morning",F144&lt;11,"Morning",F144&lt;12,"Afternoon",F144&lt;=16,"Afternoon",F144&lt;=20,"Evening",F144&gt;=21,"Night")</f>
        <v>Early Morning</v>
      </c>
      <c r="H144" s="8" t="b">
        <v>0</v>
      </c>
      <c r="I144" s="8">
        <v>5</v>
      </c>
      <c r="J144" s="8">
        <v>3</v>
      </c>
      <c r="K144" s="9" t="str" cm="1">
        <f t="array" ref="K144">_xlfn.IFS(J144=1,"Clear",J144=2,"Mist/Cloudy",J144=3,"Rain",J144=4,"Heavy Rain/Thunderstorm")</f>
        <v>Rain</v>
      </c>
      <c r="L144" s="10">
        <v>0.22</v>
      </c>
      <c r="M144" s="42" t="str" cm="1">
        <f t="array" ref="M144">_xlfn.IFS(L144&lt;0.15,"Cold",L144&lt;0.25,"Mild",L144&lt;=0.32,"Warm",L144&gt;=0.33,"Hot")</f>
        <v>Mild</v>
      </c>
    </row>
    <row r="145" spans="1:13" x14ac:dyDescent="0.3">
      <c r="A145" s="6">
        <v>144</v>
      </c>
      <c r="B145" s="7">
        <v>40550</v>
      </c>
      <c r="C145" s="8">
        <v>1</v>
      </c>
      <c r="D145" s="8">
        <v>0</v>
      </c>
      <c r="E145" s="8">
        <v>1</v>
      </c>
      <c r="F145" s="8">
        <v>6</v>
      </c>
      <c r="G145" s="8" t="str" cm="1">
        <f t="array" ref="G145">_xlfn.IFS(F145&lt;4,"Night",F145&lt;=6,"Early Morning",F145&lt;11,"Morning",F145&lt;12,"Afternoon",F145&lt;=16,"Afternoon",F145&lt;=20,"Evening",F145&gt;=21,"Night")</f>
        <v>Early Morning</v>
      </c>
      <c r="H145" s="8" t="b">
        <v>0</v>
      </c>
      <c r="I145" s="8">
        <v>5</v>
      </c>
      <c r="J145" s="8">
        <v>2</v>
      </c>
      <c r="K145" s="9" t="str" cm="1">
        <f t="array" ref="K145">_xlfn.IFS(J145=1,"Clear",J145=2,"Mist/Cloudy",J145=3,"Rain",J145=4,"Heavy Rain/Thunderstorm")</f>
        <v>Mist/Cloudy</v>
      </c>
      <c r="L145" s="10">
        <v>0.2</v>
      </c>
      <c r="M145" s="42" t="str" cm="1">
        <f t="array" ref="M145">_xlfn.IFS(L145&lt;0.15,"Cold",L145&lt;0.25,"Mild",L145&lt;=0.32,"Warm",L145&gt;=0.33,"Hot")</f>
        <v>Mild</v>
      </c>
    </row>
    <row r="146" spans="1:13" x14ac:dyDescent="0.3">
      <c r="A146" s="6">
        <v>145</v>
      </c>
      <c r="B146" s="7">
        <v>40550</v>
      </c>
      <c r="C146" s="8">
        <v>1</v>
      </c>
      <c r="D146" s="8">
        <v>0</v>
      </c>
      <c r="E146" s="8">
        <v>1</v>
      </c>
      <c r="F146" s="8">
        <v>7</v>
      </c>
      <c r="G146" s="8" t="str" cm="1">
        <f t="array" ref="G146">_xlfn.IFS(F146&lt;4,"Night",F146&lt;=6,"Early Morning",F146&lt;11,"Morning",F146&lt;12,"Afternoon",F146&lt;=16,"Afternoon",F146&lt;=20,"Evening",F146&gt;=21,"Night")</f>
        <v>Morning</v>
      </c>
      <c r="H146" s="8" t="b">
        <v>0</v>
      </c>
      <c r="I146" s="8">
        <v>5</v>
      </c>
      <c r="J146" s="8">
        <v>1</v>
      </c>
      <c r="K146" s="9" t="str" cm="1">
        <f t="array" ref="K146">_xlfn.IFS(J146=1,"Clear",J146=2,"Mist/Cloudy",J146=3,"Rain",J146=4,"Heavy Rain/Thunderstorm")</f>
        <v>Clear</v>
      </c>
      <c r="L146" s="10">
        <v>0.2</v>
      </c>
      <c r="M146" s="42" t="str" cm="1">
        <f t="array" ref="M146">_xlfn.IFS(L146&lt;0.15,"Cold",L146&lt;0.25,"Mild",L146&lt;=0.32,"Warm",L146&gt;=0.33,"Hot")</f>
        <v>Mild</v>
      </c>
    </row>
    <row r="147" spans="1:13" x14ac:dyDescent="0.3">
      <c r="A147" s="6">
        <v>146</v>
      </c>
      <c r="B147" s="7">
        <v>40550</v>
      </c>
      <c r="C147" s="8">
        <v>1</v>
      </c>
      <c r="D147" s="8">
        <v>0</v>
      </c>
      <c r="E147" s="8">
        <v>1</v>
      </c>
      <c r="F147" s="8">
        <v>8</v>
      </c>
      <c r="G147" s="8" t="str" cm="1">
        <f t="array" ref="G147">_xlfn.IFS(F147&lt;4,"Night",F147&lt;=6,"Early Morning",F147&lt;11,"Morning",F147&lt;12,"Afternoon",F147&lt;=16,"Afternoon",F147&lt;=20,"Evening",F147&gt;=21,"Night")</f>
        <v>Morning</v>
      </c>
      <c r="H147" s="8" t="b">
        <v>0</v>
      </c>
      <c r="I147" s="8">
        <v>5</v>
      </c>
      <c r="J147" s="8">
        <v>1</v>
      </c>
      <c r="K147" s="9" t="str" cm="1">
        <f t="array" ref="K147">_xlfn.IFS(J147=1,"Clear",J147=2,"Mist/Cloudy",J147=3,"Rain",J147=4,"Heavy Rain/Thunderstorm")</f>
        <v>Clear</v>
      </c>
      <c r="L147" s="10">
        <v>0.2</v>
      </c>
      <c r="M147" s="42" t="str" cm="1">
        <f t="array" ref="M147">_xlfn.IFS(L147&lt;0.15,"Cold",L147&lt;0.25,"Mild",L147&lt;=0.32,"Warm",L147&gt;=0.33,"Hot")</f>
        <v>Mild</v>
      </c>
    </row>
    <row r="148" spans="1:13" x14ac:dyDescent="0.3">
      <c r="A148" s="6">
        <v>147</v>
      </c>
      <c r="B148" s="7">
        <v>40550</v>
      </c>
      <c r="C148" s="8">
        <v>1</v>
      </c>
      <c r="D148" s="8">
        <v>0</v>
      </c>
      <c r="E148" s="8">
        <v>1</v>
      </c>
      <c r="F148" s="8">
        <v>9</v>
      </c>
      <c r="G148" s="8" t="str" cm="1">
        <f t="array" ref="G148">_xlfn.IFS(F148&lt;4,"Night",F148&lt;=6,"Early Morning",F148&lt;11,"Morning",F148&lt;12,"Afternoon",F148&lt;=16,"Afternoon",F148&lt;=20,"Evening",F148&gt;=21,"Night")</f>
        <v>Morning</v>
      </c>
      <c r="H148" s="8" t="b">
        <v>0</v>
      </c>
      <c r="I148" s="8">
        <v>5</v>
      </c>
      <c r="J148" s="8">
        <v>1</v>
      </c>
      <c r="K148" s="9" t="str" cm="1">
        <f t="array" ref="K148">_xlfn.IFS(J148=1,"Clear",J148=2,"Mist/Cloudy",J148=3,"Rain",J148=4,"Heavy Rain/Thunderstorm")</f>
        <v>Clear</v>
      </c>
      <c r="L148" s="10">
        <v>0.2</v>
      </c>
      <c r="M148" s="42" t="str" cm="1">
        <f t="array" ref="M148">_xlfn.IFS(L148&lt;0.15,"Cold",L148&lt;0.25,"Mild",L148&lt;=0.32,"Warm",L148&gt;=0.33,"Hot")</f>
        <v>Mild</v>
      </c>
    </row>
    <row r="149" spans="1:13" x14ac:dyDescent="0.3">
      <c r="A149" s="6">
        <v>148</v>
      </c>
      <c r="B149" s="7">
        <v>40550</v>
      </c>
      <c r="C149" s="8">
        <v>1</v>
      </c>
      <c r="D149" s="8">
        <v>0</v>
      </c>
      <c r="E149" s="8">
        <v>1</v>
      </c>
      <c r="F149" s="8">
        <v>10</v>
      </c>
      <c r="G149" s="8" t="str" cm="1">
        <f t="array" ref="G149">_xlfn.IFS(F149&lt;4,"Night",F149&lt;=6,"Early Morning",F149&lt;11,"Morning",F149&lt;12,"Afternoon",F149&lt;=16,"Afternoon",F149&lt;=20,"Evening",F149&gt;=21,"Night")</f>
        <v>Morning</v>
      </c>
      <c r="H149" s="8" t="b">
        <v>0</v>
      </c>
      <c r="I149" s="8">
        <v>5</v>
      </c>
      <c r="J149" s="8">
        <v>1</v>
      </c>
      <c r="K149" s="9" t="str" cm="1">
        <f t="array" ref="K149">_xlfn.IFS(J149=1,"Clear",J149=2,"Mist/Cloudy",J149=3,"Rain",J149=4,"Heavy Rain/Thunderstorm")</f>
        <v>Clear</v>
      </c>
      <c r="L149" s="10">
        <v>0.22</v>
      </c>
      <c r="M149" s="42" t="str" cm="1">
        <f t="array" ref="M149">_xlfn.IFS(L149&lt;0.15,"Cold",L149&lt;0.25,"Mild",L149&lt;=0.32,"Warm",L149&gt;=0.33,"Hot")</f>
        <v>Mild</v>
      </c>
    </row>
    <row r="150" spans="1:13" x14ac:dyDescent="0.3">
      <c r="A150" s="6">
        <v>149</v>
      </c>
      <c r="B150" s="7">
        <v>40550</v>
      </c>
      <c r="C150" s="8">
        <v>1</v>
      </c>
      <c r="D150" s="8">
        <v>0</v>
      </c>
      <c r="E150" s="8">
        <v>1</v>
      </c>
      <c r="F150" s="8">
        <v>11</v>
      </c>
      <c r="G150" s="8" t="str" cm="1">
        <f t="array" ref="G150">_xlfn.IFS(F150&lt;4,"Night",F150&lt;=6,"Early Morning",F150&lt;11,"Morning",F150&lt;12,"Afternoon",F150&lt;=16,"Afternoon",F150&lt;=20,"Evening",F150&gt;=21,"Night")</f>
        <v>Afternoon</v>
      </c>
      <c r="H150" s="8" t="b">
        <v>0</v>
      </c>
      <c r="I150" s="8">
        <v>5</v>
      </c>
      <c r="J150" s="8">
        <v>2</v>
      </c>
      <c r="K150" s="9" t="str" cm="1">
        <f t="array" ref="K150">_xlfn.IFS(J150=1,"Clear",J150=2,"Mist/Cloudy",J150=3,"Rain",J150=4,"Heavy Rain/Thunderstorm")</f>
        <v>Mist/Cloudy</v>
      </c>
      <c r="L150" s="10">
        <v>0.2</v>
      </c>
      <c r="M150" s="42" t="str" cm="1">
        <f t="array" ref="M150">_xlfn.IFS(L150&lt;0.15,"Cold",L150&lt;0.25,"Mild",L150&lt;=0.32,"Warm",L150&gt;=0.33,"Hot")</f>
        <v>Mild</v>
      </c>
    </row>
    <row r="151" spans="1:13" x14ac:dyDescent="0.3">
      <c r="A151" s="6">
        <v>150</v>
      </c>
      <c r="B151" s="7">
        <v>40550</v>
      </c>
      <c r="C151" s="8">
        <v>1</v>
      </c>
      <c r="D151" s="8">
        <v>0</v>
      </c>
      <c r="E151" s="8">
        <v>1</v>
      </c>
      <c r="F151" s="8">
        <v>12</v>
      </c>
      <c r="G151" s="8" t="str" cm="1">
        <f t="array" ref="G151">_xlfn.IFS(F151&lt;4,"Night",F151&lt;=6,"Early Morning",F151&lt;11,"Morning",F151&lt;12,"Afternoon",F151&lt;=16,"Afternoon",F151&lt;=20,"Evening",F151&gt;=21,"Night")</f>
        <v>Afternoon</v>
      </c>
      <c r="H151" s="8" t="b">
        <v>0</v>
      </c>
      <c r="I151" s="8">
        <v>5</v>
      </c>
      <c r="J151" s="8">
        <v>2</v>
      </c>
      <c r="K151" s="9" t="str" cm="1">
        <f t="array" ref="K151">_xlfn.IFS(J151=1,"Clear",J151=2,"Mist/Cloudy",J151=3,"Rain",J151=4,"Heavy Rain/Thunderstorm")</f>
        <v>Mist/Cloudy</v>
      </c>
      <c r="L151" s="10">
        <v>0.2</v>
      </c>
      <c r="M151" s="42" t="str" cm="1">
        <f t="array" ref="M151">_xlfn.IFS(L151&lt;0.15,"Cold",L151&lt;0.25,"Mild",L151&lt;=0.32,"Warm",L151&gt;=0.33,"Hot")</f>
        <v>Mild</v>
      </c>
    </row>
    <row r="152" spans="1:13" x14ac:dyDescent="0.3">
      <c r="A152" s="6">
        <v>151</v>
      </c>
      <c r="B152" s="7">
        <v>40550</v>
      </c>
      <c r="C152" s="8">
        <v>1</v>
      </c>
      <c r="D152" s="8">
        <v>0</v>
      </c>
      <c r="E152" s="8">
        <v>1</v>
      </c>
      <c r="F152" s="8">
        <v>13</v>
      </c>
      <c r="G152" s="8" t="str" cm="1">
        <f t="array" ref="G152">_xlfn.IFS(F152&lt;4,"Night",F152&lt;=6,"Early Morning",F152&lt;11,"Morning",F152&lt;12,"Afternoon",F152&lt;=16,"Afternoon",F152&lt;=20,"Evening",F152&gt;=21,"Night")</f>
        <v>Afternoon</v>
      </c>
      <c r="H152" s="8" t="b">
        <v>0</v>
      </c>
      <c r="I152" s="8">
        <v>5</v>
      </c>
      <c r="J152" s="8">
        <v>2</v>
      </c>
      <c r="K152" s="9" t="str" cm="1">
        <f t="array" ref="K152">_xlfn.IFS(J152=1,"Clear",J152=2,"Mist/Cloudy",J152=3,"Rain",J152=4,"Heavy Rain/Thunderstorm")</f>
        <v>Mist/Cloudy</v>
      </c>
      <c r="L152" s="10">
        <v>0.2</v>
      </c>
      <c r="M152" s="42" t="str" cm="1">
        <f t="array" ref="M152">_xlfn.IFS(L152&lt;0.15,"Cold",L152&lt;0.25,"Mild",L152&lt;=0.32,"Warm",L152&gt;=0.33,"Hot")</f>
        <v>Mild</v>
      </c>
    </row>
    <row r="153" spans="1:13" x14ac:dyDescent="0.3">
      <c r="A153" s="6">
        <v>152</v>
      </c>
      <c r="B153" s="7">
        <v>40550</v>
      </c>
      <c r="C153" s="8">
        <v>1</v>
      </c>
      <c r="D153" s="8">
        <v>0</v>
      </c>
      <c r="E153" s="8">
        <v>1</v>
      </c>
      <c r="F153" s="8">
        <v>14</v>
      </c>
      <c r="G153" s="8" t="str" cm="1">
        <f t="array" ref="G153">_xlfn.IFS(F153&lt;4,"Night",F153&lt;=6,"Early Morning",F153&lt;11,"Morning",F153&lt;12,"Afternoon",F153&lt;=16,"Afternoon",F153&lt;=20,"Evening",F153&gt;=21,"Night")</f>
        <v>Afternoon</v>
      </c>
      <c r="H153" s="8" t="b">
        <v>0</v>
      </c>
      <c r="I153" s="8">
        <v>5</v>
      </c>
      <c r="J153" s="8">
        <v>2</v>
      </c>
      <c r="K153" s="9" t="str" cm="1">
        <f t="array" ref="K153">_xlfn.IFS(J153=1,"Clear",J153=2,"Mist/Cloudy",J153=3,"Rain",J153=4,"Heavy Rain/Thunderstorm")</f>
        <v>Mist/Cloudy</v>
      </c>
      <c r="L153" s="10">
        <v>0.2</v>
      </c>
      <c r="M153" s="42" t="str" cm="1">
        <f t="array" ref="M153">_xlfn.IFS(L153&lt;0.15,"Cold",L153&lt;0.25,"Mild",L153&lt;=0.32,"Warm",L153&gt;=0.33,"Hot")</f>
        <v>Mild</v>
      </c>
    </row>
    <row r="154" spans="1:13" x14ac:dyDescent="0.3">
      <c r="A154" s="6">
        <v>153</v>
      </c>
      <c r="B154" s="7">
        <v>40550</v>
      </c>
      <c r="C154" s="8">
        <v>1</v>
      </c>
      <c r="D154" s="8">
        <v>0</v>
      </c>
      <c r="E154" s="8">
        <v>1</v>
      </c>
      <c r="F154" s="8">
        <v>15</v>
      </c>
      <c r="G154" s="8" t="str" cm="1">
        <f t="array" ref="G154">_xlfn.IFS(F154&lt;4,"Night",F154&lt;=6,"Early Morning",F154&lt;11,"Morning",F154&lt;12,"Afternoon",F154&lt;=16,"Afternoon",F154&lt;=20,"Evening",F154&gt;=21,"Night")</f>
        <v>Afternoon</v>
      </c>
      <c r="H154" s="8" t="b">
        <v>0</v>
      </c>
      <c r="I154" s="8">
        <v>5</v>
      </c>
      <c r="J154" s="8">
        <v>2</v>
      </c>
      <c r="K154" s="9" t="str" cm="1">
        <f t="array" ref="K154">_xlfn.IFS(J154=1,"Clear",J154=2,"Mist/Cloudy",J154=3,"Rain",J154=4,"Heavy Rain/Thunderstorm")</f>
        <v>Mist/Cloudy</v>
      </c>
      <c r="L154" s="10">
        <v>0.2</v>
      </c>
      <c r="M154" s="42" t="str" cm="1">
        <f t="array" ref="M154">_xlfn.IFS(L154&lt;0.15,"Cold",L154&lt;0.25,"Mild",L154&lt;=0.32,"Warm",L154&gt;=0.33,"Hot")</f>
        <v>Mild</v>
      </c>
    </row>
    <row r="155" spans="1:13" x14ac:dyDescent="0.3">
      <c r="A155" s="6">
        <v>154</v>
      </c>
      <c r="B155" s="7">
        <v>40550</v>
      </c>
      <c r="C155" s="8">
        <v>1</v>
      </c>
      <c r="D155" s="8">
        <v>0</v>
      </c>
      <c r="E155" s="8">
        <v>1</v>
      </c>
      <c r="F155" s="8">
        <v>16</v>
      </c>
      <c r="G155" s="8" t="str" cm="1">
        <f t="array" ref="G155">_xlfn.IFS(F155&lt;4,"Night",F155&lt;=6,"Early Morning",F155&lt;11,"Morning",F155&lt;12,"Afternoon",F155&lt;=16,"Afternoon",F155&lt;=20,"Evening",F155&gt;=21,"Night")</f>
        <v>Afternoon</v>
      </c>
      <c r="H155" s="8" t="b">
        <v>0</v>
      </c>
      <c r="I155" s="8">
        <v>5</v>
      </c>
      <c r="J155" s="8">
        <v>2</v>
      </c>
      <c r="K155" s="9" t="str" cm="1">
        <f t="array" ref="K155">_xlfn.IFS(J155=1,"Clear",J155=2,"Mist/Cloudy",J155=3,"Rain",J155=4,"Heavy Rain/Thunderstorm")</f>
        <v>Mist/Cloudy</v>
      </c>
      <c r="L155" s="10">
        <v>0.2</v>
      </c>
      <c r="M155" s="42" t="str" cm="1">
        <f t="array" ref="M155">_xlfn.IFS(L155&lt;0.15,"Cold",L155&lt;0.25,"Mild",L155&lt;=0.32,"Warm",L155&gt;=0.33,"Hot")</f>
        <v>Mild</v>
      </c>
    </row>
    <row r="156" spans="1:13" x14ac:dyDescent="0.3">
      <c r="A156" s="6">
        <v>155</v>
      </c>
      <c r="B156" s="7">
        <v>40550</v>
      </c>
      <c r="C156" s="8">
        <v>1</v>
      </c>
      <c r="D156" s="8">
        <v>0</v>
      </c>
      <c r="E156" s="8">
        <v>1</v>
      </c>
      <c r="F156" s="8">
        <v>17</v>
      </c>
      <c r="G156" s="8" t="str" cm="1">
        <f t="array" ref="G156">_xlfn.IFS(F156&lt;4,"Night",F156&lt;=6,"Early Morning",F156&lt;11,"Morning",F156&lt;12,"Afternoon",F156&lt;=16,"Afternoon",F156&lt;=20,"Evening",F156&gt;=21,"Night")</f>
        <v>Evening</v>
      </c>
      <c r="H156" s="8" t="b">
        <v>0</v>
      </c>
      <c r="I156" s="8">
        <v>5</v>
      </c>
      <c r="J156" s="8">
        <v>2</v>
      </c>
      <c r="K156" s="9" t="str" cm="1">
        <f t="array" ref="K156">_xlfn.IFS(J156=1,"Clear",J156=2,"Mist/Cloudy",J156=3,"Rain",J156=4,"Heavy Rain/Thunderstorm")</f>
        <v>Mist/Cloudy</v>
      </c>
      <c r="L156" s="10">
        <v>0.2</v>
      </c>
      <c r="M156" s="42" t="str" cm="1">
        <f t="array" ref="M156">_xlfn.IFS(L156&lt;0.15,"Cold",L156&lt;0.25,"Mild",L156&lt;=0.32,"Warm",L156&gt;=0.33,"Hot")</f>
        <v>Mild</v>
      </c>
    </row>
    <row r="157" spans="1:13" x14ac:dyDescent="0.3">
      <c r="A157" s="6">
        <v>156</v>
      </c>
      <c r="B157" s="7">
        <v>40550</v>
      </c>
      <c r="C157" s="8">
        <v>1</v>
      </c>
      <c r="D157" s="8">
        <v>0</v>
      </c>
      <c r="E157" s="8">
        <v>1</v>
      </c>
      <c r="F157" s="8">
        <v>18</v>
      </c>
      <c r="G157" s="8" t="str" cm="1">
        <f t="array" ref="G157">_xlfn.IFS(F157&lt;4,"Night",F157&lt;=6,"Early Morning",F157&lt;11,"Morning",F157&lt;12,"Afternoon",F157&lt;=16,"Afternoon",F157&lt;=20,"Evening",F157&gt;=21,"Night")</f>
        <v>Evening</v>
      </c>
      <c r="H157" s="8" t="b">
        <v>0</v>
      </c>
      <c r="I157" s="8">
        <v>5</v>
      </c>
      <c r="J157" s="8">
        <v>1</v>
      </c>
      <c r="K157" s="9" t="str" cm="1">
        <f t="array" ref="K157">_xlfn.IFS(J157=1,"Clear",J157=2,"Mist/Cloudy",J157=3,"Rain",J157=4,"Heavy Rain/Thunderstorm")</f>
        <v>Clear</v>
      </c>
      <c r="L157" s="10">
        <v>0.2</v>
      </c>
      <c r="M157" s="42" t="str" cm="1">
        <f t="array" ref="M157">_xlfn.IFS(L157&lt;0.15,"Cold",L157&lt;0.25,"Mild",L157&lt;=0.32,"Warm",L157&gt;=0.33,"Hot")</f>
        <v>Mild</v>
      </c>
    </row>
    <row r="158" spans="1:13" x14ac:dyDescent="0.3">
      <c r="A158" s="6">
        <v>157</v>
      </c>
      <c r="B158" s="7">
        <v>40550</v>
      </c>
      <c r="C158" s="8">
        <v>1</v>
      </c>
      <c r="D158" s="8">
        <v>0</v>
      </c>
      <c r="E158" s="8">
        <v>1</v>
      </c>
      <c r="F158" s="8">
        <v>19</v>
      </c>
      <c r="G158" s="8" t="str" cm="1">
        <f t="array" ref="G158">_xlfn.IFS(F158&lt;4,"Night",F158&lt;=6,"Early Morning",F158&lt;11,"Morning",F158&lt;12,"Afternoon",F158&lt;=16,"Afternoon",F158&lt;=20,"Evening",F158&gt;=21,"Night")</f>
        <v>Evening</v>
      </c>
      <c r="H158" s="8" t="b">
        <v>0</v>
      </c>
      <c r="I158" s="8">
        <v>5</v>
      </c>
      <c r="J158" s="8">
        <v>1</v>
      </c>
      <c r="K158" s="9" t="str" cm="1">
        <f t="array" ref="K158">_xlfn.IFS(J158=1,"Clear",J158=2,"Mist/Cloudy",J158=3,"Rain",J158=4,"Heavy Rain/Thunderstorm")</f>
        <v>Clear</v>
      </c>
      <c r="L158" s="10">
        <v>0.16</v>
      </c>
      <c r="M158" s="42" t="str" cm="1">
        <f t="array" ref="M158">_xlfn.IFS(L158&lt;0.15,"Cold",L158&lt;0.25,"Mild",L158&lt;=0.32,"Warm",L158&gt;=0.33,"Hot")</f>
        <v>Mild</v>
      </c>
    </row>
    <row r="159" spans="1:13" x14ac:dyDescent="0.3">
      <c r="A159" s="6">
        <v>158</v>
      </c>
      <c r="B159" s="7">
        <v>40550</v>
      </c>
      <c r="C159" s="8">
        <v>1</v>
      </c>
      <c r="D159" s="8">
        <v>0</v>
      </c>
      <c r="E159" s="8">
        <v>1</v>
      </c>
      <c r="F159" s="8">
        <v>20</v>
      </c>
      <c r="G159" s="8" t="str" cm="1">
        <f t="array" ref="G159">_xlfn.IFS(F159&lt;4,"Night",F159&lt;=6,"Early Morning",F159&lt;11,"Morning",F159&lt;12,"Afternoon",F159&lt;=16,"Afternoon",F159&lt;=20,"Evening",F159&gt;=21,"Night")</f>
        <v>Evening</v>
      </c>
      <c r="H159" s="8" t="b">
        <v>0</v>
      </c>
      <c r="I159" s="8">
        <v>5</v>
      </c>
      <c r="J159" s="8">
        <v>1</v>
      </c>
      <c r="K159" s="9" t="str" cm="1">
        <f t="array" ref="K159">_xlfn.IFS(J159=1,"Clear",J159=2,"Mist/Cloudy",J159=3,"Rain",J159=4,"Heavy Rain/Thunderstorm")</f>
        <v>Clear</v>
      </c>
      <c r="L159" s="10">
        <v>0.18</v>
      </c>
      <c r="M159" s="42" t="str" cm="1">
        <f t="array" ref="M159">_xlfn.IFS(L159&lt;0.15,"Cold",L159&lt;0.25,"Mild",L159&lt;=0.32,"Warm",L159&gt;=0.33,"Hot")</f>
        <v>Mild</v>
      </c>
    </row>
    <row r="160" spans="1:13" x14ac:dyDescent="0.3">
      <c r="A160" s="6">
        <v>159</v>
      </c>
      <c r="B160" s="7">
        <v>40550</v>
      </c>
      <c r="C160" s="8">
        <v>1</v>
      </c>
      <c r="D160" s="8">
        <v>0</v>
      </c>
      <c r="E160" s="8">
        <v>1</v>
      </c>
      <c r="F160" s="8">
        <v>21</v>
      </c>
      <c r="G160" s="8" t="str" cm="1">
        <f t="array" ref="G160">_xlfn.IFS(F160&lt;4,"Night",F160&lt;=6,"Early Morning",F160&lt;11,"Morning",F160&lt;12,"Afternoon",F160&lt;=16,"Afternoon",F160&lt;=20,"Evening",F160&gt;=21,"Night")</f>
        <v>Night</v>
      </c>
      <c r="H160" s="8" t="b">
        <v>0</v>
      </c>
      <c r="I160" s="8">
        <v>5</v>
      </c>
      <c r="J160" s="8">
        <v>1</v>
      </c>
      <c r="K160" s="9" t="str" cm="1">
        <f t="array" ref="K160">_xlfn.IFS(J160=1,"Clear",J160=2,"Mist/Cloudy",J160=3,"Rain",J160=4,"Heavy Rain/Thunderstorm")</f>
        <v>Clear</v>
      </c>
      <c r="L160" s="10">
        <v>0.18</v>
      </c>
      <c r="M160" s="42" t="str" cm="1">
        <f t="array" ref="M160">_xlfn.IFS(L160&lt;0.15,"Cold",L160&lt;0.25,"Mild",L160&lt;=0.32,"Warm",L160&gt;=0.33,"Hot")</f>
        <v>Mild</v>
      </c>
    </row>
    <row r="161" spans="1:13" x14ac:dyDescent="0.3">
      <c r="A161" s="6">
        <v>160</v>
      </c>
      <c r="B161" s="7">
        <v>40550</v>
      </c>
      <c r="C161" s="8">
        <v>1</v>
      </c>
      <c r="D161" s="8">
        <v>0</v>
      </c>
      <c r="E161" s="8">
        <v>1</v>
      </c>
      <c r="F161" s="8">
        <v>22</v>
      </c>
      <c r="G161" s="8" t="str" cm="1">
        <f t="array" ref="G161">_xlfn.IFS(F161&lt;4,"Night",F161&lt;=6,"Early Morning",F161&lt;11,"Morning",F161&lt;12,"Afternoon",F161&lt;=16,"Afternoon",F161&lt;=20,"Evening",F161&gt;=21,"Night")</f>
        <v>Night</v>
      </c>
      <c r="H161" s="8" t="b">
        <v>0</v>
      </c>
      <c r="I161" s="8">
        <v>5</v>
      </c>
      <c r="J161" s="8">
        <v>2</v>
      </c>
      <c r="K161" s="9" t="str" cm="1">
        <f t="array" ref="K161">_xlfn.IFS(J161=1,"Clear",J161=2,"Mist/Cloudy",J161=3,"Rain",J161=4,"Heavy Rain/Thunderstorm")</f>
        <v>Mist/Cloudy</v>
      </c>
      <c r="L161" s="10">
        <v>0.18</v>
      </c>
      <c r="M161" s="42" t="str" cm="1">
        <f t="array" ref="M161">_xlfn.IFS(L161&lt;0.15,"Cold",L161&lt;0.25,"Mild",L161&lt;=0.32,"Warm",L161&gt;=0.33,"Hot")</f>
        <v>Mild</v>
      </c>
    </row>
    <row r="162" spans="1:13" x14ac:dyDescent="0.3">
      <c r="A162" s="6">
        <v>161</v>
      </c>
      <c r="B162" s="7">
        <v>40550</v>
      </c>
      <c r="C162" s="8">
        <v>1</v>
      </c>
      <c r="D162" s="8">
        <v>0</v>
      </c>
      <c r="E162" s="8">
        <v>1</v>
      </c>
      <c r="F162" s="8">
        <v>23</v>
      </c>
      <c r="G162" s="8" t="str" cm="1">
        <f t="array" ref="G162">_xlfn.IFS(F162&lt;4,"Night",F162&lt;=6,"Early Morning",F162&lt;11,"Morning",F162&lt;12,"Afternoon",F162&lt;=16,"Afternoon",F162&lt;=20,"Evening",F162&gt;=21,"Night")</f>
        <v>Night</v>
      </c>
      <c r="H162" s="8" t="b">
        <v>0</v>
      </c>
      <c r="I162" s="8">
        <v>5</v>
      </c>
      <c r="J162" s="8">
        <v>2</v>
      </c>
      <c r="K162" s="9" t="str" cm="1">
        <f t="array" ref="K162">_xlfn.IFS(J162=1,"Clear",J162=2,"Mist/Cloudy",J162=3,"Rain",J162=4,"Heavy Rain/Thunderstorm")</f>
        <v>Mist/Cloudy</v>
      </c>
      <c r="L162" s="10">
        <v>0.18</v>
      </c>
      <c r="M162" s="42" t="str" cm="1">
        <f t="array" ref="M162">_xlfn.IFS(L162&lt;0.15,"Cold",L162&lt;0.25,"Mild",L162&lt;=0.32,"Warm",L162&gt;=0.33,"Hot")</f>
        <v>Mild</v>
      </c>
    </row>
    <row r="163" spans="1:13" x14ac:dyDescent="0.3">
      <c r="A163" s="6">
        <v>162</v>
      </c>
      <c r="B163" s="7">
        <v>40551</v>
      </c>
      <c r="C163" s="8">
        <v>1</v>
      </c>
      <c r="D163" s="8">
        <v>0</v>
      </c>
      <c r="E163" s="8">
        <v>1</v>
      </c>
      <c r="F163" s="8">
        <v>0</v>
      </c>
      <c r="G163" s="8" t="str" cm="1">
        <f t="array" ref="G163">_xlfn.IFS(F163&lt;4,"Night",F163&lt;=6,"Early Morning",F163&lt;11,"Morning",F163&lt;12,"Afternoon",F163&lt;=16,"Afternoon",F163&lt;=20,"Evening",F163&gt;=21,"Night")</f>
        <v>Night</v>
      </c>
      <c r="H163" s="8" t="b">
        <v>0</v>
      </c>
      <c r="I163" s="8">
        <v>6</v>
      </c>
      <c r="J163" s="8">
        <v>2</v>
      </c>
      <c r="K163" s="9" t="str" cm="1">
        <f t="array" ref="K163">_xlfn.IFS(J163=1,"Clear",J163=2,"Mist/Cloudy",J163=3,"Rain",J163=4,"Heavy Rain/Thunderstorm")</f>
        <v>Mist/Cloudy</v>
      </c>
      <c r="L163" s="10">
        <v>0.18</v>
      </c>
      <c r="M163" s="42" t="str" cm="1">
        <f t="array" ref="M163">_xlfn.IFS(L163&lt;0.15,"Cold",L163&lt;0.25,"Mild",L163&lt;=0.32,"Warm",L163&gt;=0.33,"Hot")</f>
        <v>Mild</v>
      </c>
    </row>
    <row r="164" spans="1:13" x14ac:dyDescent="0.3">
      <c r="A164" s="6">
        <v>163</v>
      </c>
      <c r="B164" s="7">
        <v>40551</v>
      </c>
      <c r="C164" s="8">
        <v>1</v>
      </c>
      <c r="D164" s="8">
        <v>0</v>
      </c>
      <c r="E164" s="8">
        <v>1</v>
      </c>
      <c r="F164" s="8">
        <v>1</v>
      </c>
      <c r="G164" s="8" t="str" cm="1">
        <f t="array" ref="G164">_xlfn.IFS(F164&lt;4,"Night",F164&lt;=6,"Early Morning",F164&lt;11,"Morning",F164&lt;12,"Afternoon",F164&lt;=16,"Afternoon",F164&lt;=20,"Evening",F164&gt;=21,"Night")</f>
        <v>Night</v>
      </c>
      <c r="H164" s="8" t="b">
        <v>0</v>
      </c>
      <c r="I164" s="8">
        <v>6</v>
      </c>
      <c r="J164" s="8">
        <v>2</v>
      </c>
      <c r="K164" s="9" t="str" cm="1">
        <f t="array" ref="K164">_xlfn.IFS(J164=1,"Clear",J164=2,"Mist/Cloudy",J164=3,"Rain",J164=4,"Heavy Rain/Thunderstorm")</f>
        <v>Mist/Cloudy</v>
      </c>
      <c r="L164" s="10">
        <v>0.18</v>
      </c>
      <c r="M164" s="42" t="str" cm="1">
        <f t="array" ref="M164">_xlfn.IFS(L164&lt;0.15,"Cold",L164&lt;0.25,"Mild",L164&lt;=0.32,"Warm",L164&gt;=0.33,"Hot")</f>
        <v>Mild</v>
      </c>
    </row>
    <row r="165" spans="1:13" x14ac:dyDescent="0.3">
      <c r="A165" s="6">
        <v>164</v>
      </c>
      <c r="B165" s="7">
        <v>40551</v>
      </c>
      <c r="C165" s="8">
        <v>1</v>
      </c>
      <c r="D165" s="8">
        <v>0</v>
      </c>
      <c r="E165" s="8">
        <v>1</v>
      </c>
      <c r="F165" s="8">
        <v>2</v>
      </c>
      <c r="G165" s="8" t="str" cm="1">
        <f t="array" ref="G165">_xlfn.IFS(F165&lt;4,"Night",F165&lt;=6,"Early Morning",F165&lt;11,"Morning",F165&lt;12,"Afternoon",F165&lt;=16,"Afternoon",F165&lt;=20,"Evening",F165&gt;=21,"Night")</f>
        <v>Night</v>
      </c>
      <c r="H165" s="8" t="b">
        <v>0</v>
      </c>
      <c r="I165" s="8">
        <v>6</v>
      </c>
      <c r="J165" s="8">
        <v>2</v>
      </c>
      <c r="K165" s="9" t="str" cm="1">
        <f t="array" ref="K165">_xlfn.IFS(J165=1,"Clear",J165=2,"Mist/Cloudy",J165=3,"Rain",J165=4,"Heavy Rain/Thunderstorm")</f>
        <v>Mist/Cloudy</v>
      </c>
      <c r="L165" s="10">
        <v>0.18</v>
      </c>
      <c r="M165" s="42" t="str" cm="1">
        <f t="array" ref="M165">_xlfn.IFS(L165&lt;0.15,"Cold",L165&lt;0.25,"Mild",L165&lt;=0.32,"Warm",L165&gt;=0.33,"Hot")</f>
        <v>Mild</v>
      </c>
    </row>
    <row r="166" spans="1:13" x14ac:dyDescent="0.3">
      <c r="A166" s="6">
        <v>165</v>
      </c>
      <c r="B166" s="7">
        <v>40551</v>
      </c>
      <c r="C166" s="8">
        <v>1</v>
      </c>
      <c r="D166" s="8">
        <v>0</v>
      </c>
      <c r="E166" s="8">
        <v>1</v>
      </c>
      <c r="F166" s="8">
        <v>3</v>
      </c>
      <c r="G166" s="8" t="str" cm="1">
        <f t="array" ref="G166">_xlfn.IFS(F166&lt;4,"Night",F166&lt;=6,"Early Morning",F166&lt;11,"Morning",F166&lt;12,"Afternoon",F166&lt;=16,"Afternoon",F166&lt;=20,"Evening",F166&gt;=21,"Night")</f>
        <v>Night</v>
      </c>
      <c r="H166" s="8" t="b">
        <v>0</v>
      </c>
      <c r="I166" s="8">
        <v>6</v>
      </c>
      <c r="J166" s="8">
        <v>3</v>
      </c>
      <c r="K166" s="9" t="str" cm="1">
        <f t="array" ref="K166">_xlfn.IFS(J166=1,"Clear",J166=2,"Mist/Cloudy",J166=3,"Rain",J166=4,"Heavy Rain/Thunderstorm")</f>
        <v>Rain</v>
      </c>
      <c r="L166" s="10">
        <v>0.18</v>
      </c>
      <c r="M166" s="42" t="str" cm="1">
        <f t="array" ref="M166">_xlfn.IFS(L166&lt;0.15,"Cold",L166&lt;0.25,"Mild",L166&lt;=0.32,"Warm",L166&gt;=0.33,"Hot")</f>
        <v>Mild</v>
      </c>
    </row>
    <row r="167" spans="1:13" x14ac:dyDescent="0.3">
      <c r="A167" s="6">
        <v>166</v>
      </c>
      <c r="B167" s="7">
        <v>40551</v>
      </c>
      <c r="C167" s="8">
        <v>1</v>
      </c>
      <c r="D167" s="8">
        <v>0</v>
      </c>
      <c r="E167" s="8">
        <v>1</v>
      </c>
      <c r="F167" s="8">
        <v>4</v>
      </c>
      <c r="G167" s="8" t="str" cm="1">
        <f t="array" ref="G167">_xlfn.IFS(F167&lt;4,"Night",F167&lt;=6,"Early Morning",F167&lt;11,"Morning",F167&lt;12,"Afternoon",F167&lt;=16,"Afternoon",F167&lt;=20,"Evening",F167&gt;=21,"Night")</f>
        <v>Early Morning</v>
      </c>
      <c r="H167" s="8" t="b">
        <v>0</v>
      </c>
      <c r="I167" s="8">
        <v>6</v>
      </c>
      <c r="J167" s="8">
        <v>3</v>
      </c>
      <c r="K167" s="9" t="str" cm="1">
        <f t="array" ref="K167">_xlfn.IFS(J167=1,"Clear",J167=2,"Mist/Cloudy",J167=3,"Rain",J167=4,"Heavy Rain/Thunderstorm")</f>
        <v>Rain</v>
      </c>
      <c r="L167" s="10">
        <v>0.18</v>
      </c>
      <c r="M167" s="42" t="str" cm="1">
        <f t="array" ref="M167">_xlfn.IFS(L167&lt;0.15,"Cold",L167&lt;0.25,"Mild",L167&lt;=0.32,"Warm",L167&gt;=0.33,"Hot")</f>
        <v>Mild</v>
      </c>
    </row>
    <row r="168" spans="1:13" x14ac:dyDescent="0.3">
      <c r="A168" s="6">
        <v>167</v>
      </c>
      <c r="B168" s="7">
        <v>40551</v>
      </c>
      <c r="C168" s="8">
        <v>1</v>
      </c>
      <c r="D168" s="8">
        <v>0</v>
      </c>
      <c r="E168" s="8">
        <v>1</v>
      </c>
      <c r="F168" s="8">
        <v>5</v>
      </c>
      <c r="G168" s="8" t="str" cm="1">
        <f t="array" ref="G168">_xlfn.IFS(F168&lt;4,"Night",F168&lt;=6,"Early Morning",F168&lt;11,"Morning",F168&lt;12,"Afternoon",F168&lt;=16,"Afternoon",F168&lt;=20,"Evening",F168&gt;=21,"Night")</f>
        <v>Early Morning</v>
      </c>
      <c r="H168" s="8" t="b">
        <v>0</v>
      </c>
      <c r="I168" s="8">
        <v>6</v>
      </c>
      <c r="J168" s="8">
        <v>2</v>
      </c>
      <c r="K168" s="9" t="str" cm="1">
        <f t="array" ref="K168">_xlfn.IFS(J168=1,"Clear",J168=2,"Mist/Cloudy",J168=3,"Rain",J168=4,"Heavy Rain/Thunderstorm")</f>
        <v>Mist/Cloudy</v>
      </c>
      <c r="L168" s="10">
        <v>0.16</v>
      </c>
      <c r="M168" s="42" t="str" cm="1">
        <f t="array" ref="M168">_xlfn.IFS(L168&lt;0.15,"Cold",L168&lt;0.25,"Mild",L168&lt;=0.32,"Warm",L168&gt;=0.33,"Hot")</f>
        <v>Mild</v>
      </c>
    </row>
    <row r="169" spans="1:13" x14ac:dyDescent="0.3">
      <c r="A169" s="6">
        <v>168</v>
      </c>
      <c r="B169" s="7">
        <v>40551</v>
      </c>
      <c r="C169" s="8">
        <v>1</v>
      </c>
      <c r="D169" s="8">
        <v>0</v>
      </c>
      <c r="E169" s="8">
        <v>1</v>
      </c>
      <c r="F169" s="8">
        <v>6</v>
      </c>
      <c r="G169" s="8" t="str" cm="1">
        <f t="array" ref="G169">_xlfn.IFS(F169&lt;4,"Night",F169&lt;=6,"Early Morning",F169&lt;11,"Morning",F169&lt;12,"Afternoon",F169&lt;=16,"Afternoon",F169&lt;=20,"Evening",F169&gt;=21,"Night")</f>
        <v>Early Morning</v>
      </c>
      <c r="H169" s="8" t="b">
        <v>0</v>
      </c>
      <c r="I169" s="8">
        <v>6</v>
      </c>
      <c r="J169" s="8">
        <v>2</v>
      </c>
      <c r="K169" s="9" t="str" cm="1">
        <f t="array" ref="K169">_xlfn.IFS(J169=1,"Clear",J169=2,"Mist/Cloudy",J169=3,"Rain",J169=4,"Heavy Rain/Thunderstorm")</f>
        <v>Mist/Cloudy</v>
      </c>
      <c r="L169" s="10">
        <v>0.16</v>
      </c>
      <c r="M169" s="42" t="str" cm="1">
        <f t="array" ref="M169">_xlfn.IFS(L169&lt;0.15,"Cold",L169&lt;0.25,"Mild",L169&lt;=0.32,"Warm",L169&gt;=0.33,"Hot")</f>
        <v>Mild</v>
      </c>
    </row>
    <row r="170" spans="1:13" x14ac:dyDescent="0.3">
      <c r="A170" s="6">
        <v>169</v>
      </c>
      <c r="B170" s="7">
        <v>40551</v>
      </c>
      <c r="C170" s="8">
        <v>1</v>
      </c>
      <c r="D170" s="8">
        <v>0</v>
      </c>
      <c r="E170" s="8">
        <v>1</v>
      </c>
      <c r="F170" s="8">
        <v>7</v>
      </c>
      <c r="G170" s="8" t="str" cm="1">
        <f t="array" ref="G170">_xlfn.IFS(F170&lt;4,"Night",F170&lt;=6,"Early Morning",F170&lt;11,"Morning",F170&lt;12,"Afternoon",F170&lt;=16,"Afternoon",F170&lt;=20,"Evening",F170&gt;=21,"Night")</f>
        <v>Morning</v>
      </c>
      <c r="H170" s="8" t="b">
        <v>0</v>
      </c>
      <c r="I170" s="8">
        <v>6</v>
      </c>
      <c r="J170" s="8">
        <v>2</v>
      </c>
      <c r="K170" s="9" t="str" cm="1">
        <f t="array" ref="K170">_xlfn.IFS(J170=1,"Clear",J170=2,"Mist/Cloudy",J170=3,"Rain",J170=4,"Heavy Rain/Thunderstorm")</f>
        <v>Mist/Cloudy</v>
      </c>
      <c r="L170" s="10">
        <v>0.16</v>
      </c>
      <c r="M170" s="42" t="str" cm="1">
        <f t="array" ref="M170">_xlfn.IFS(L170&lt;0.15,"Cold",L170&lt;0.25,"Mild",L170&lt;=0.32,"Warm",L170&gt;=0.33,"Hot")</f>
        <v>Mild</v>
      </c>
    </row>
    <row r="171" spans="1:13" x14ac:dyDescent="0.3">
      <c r="A171" s="6">
        <v>170</v>
      </c>
      <c r="B171" s="7">
        <v>40551</v>
      </c>
      <c r="C171" s="8">
        <v>1</v>
      </c>
      <c r="D171" s="8">
        <v>0</v>
      </c>
      <c r="E171" s="8">
        <v>1</v>
      </c>
      <c r="F171" s="8">
        <v>8</v>
      </c>
      <c r="G171" s="8" t="str" cm="1">
        <f t="array" ref="G171">_xlfn.IFS(F171&lt;4,"Night",F171&lt;=6,"Early Morning",F171&lt;11,"Morning",F171&lt;12,"Afternoon",F171&lt;=16,"Afternoon",F171&lt;=20,"Evening",F171&gt;=21,"Night")</f>
        <v>Morning</v>
      </c>
      <c r="H171" s="8" t="b">
        <v>0</v>
      </c>
      <c r="I171" s="8">
        <v>6</v>
      </c>
      <c r="J171" s="8">
        <v>3</v>
      </c>
      <c r="K171" s="9" t="str" cm="1">
        <f t="array" ref="K171">_xlfn.IFS(J171=1,"Clear",J171=2,"Mist/Cloudy",J171=3,"Rain",J171=4,"Heavy Rain/Thunderstorm")</f>
        <v>Rain</v>
      </c>
      <c r="L171" s="10">
        <v>0.16</v>
      </c>
      <c r="M171" s="42" t="str" cm="1">
        <f t="array" ref="M171">_xlfn.IFS(L171&lt;0.15,"Cold",L171&lt;0.25,"Mild",L171&lt;=0.32,"Warm",L171&gt;=0.33,"Hot")</f>
        <v>Mild</v>
      </c>
    </row>
    <row r="172" spans="1:13" x14ac:dyDescent="0.3">
      <c r="A172" s="6">
        <v>171</v>
      </c>
      <c r="B172" s="7">
        <v>40551</v>
      </c>
      <c r="C172" s="8">
        <v>1</v>
      </c>
      <c r="D172" s="8">
        <v>0</v>
      </c>
      <c r="E172" s="8">
        <v>1</v>
      </c>
      <c r="F172" s="8">
        <v>9</v>
      </c>
      <c r="G172" s="8" t="str" cm="1">
        <f t="array" ref="G172">_xlfn.IFS(F172&lt;4,"Night",F172&lt;=6,"Early Morning",F172&lt;11,"Morning",F172&lt;12,"Afternoon",F172&lt;=16,"Afternoon",F172&lt;=20,"Evening",F172&gt;=21,"Night")</f>
        <v>Morning</v>
      </c>
      <c r="H172" s="8" t="b">
        <v>0</v>
      </c>
      <c r="I172" s="8">
        <v>6</v>
      </c>
      <c r="J172" s="8">
        <v>3</v>
      </c>
      <c r="K172" s="9" t="str" cm="1">
        <f t="array" ref="K172">_xlfn.IFS(J172=1,"Clear",J172=2,"Mist/Cloudy",J172=3,"Rain",J172=4,"Heavy Rain/Thunderstorm")</f>
        <v>Rain</v>
      </c>
      <c r="L172" s="10">
        <v>0.16</v>
      </c>
      <c r="M172" s="42" t="str" cm="1">
        <f t="array" ref="M172">_xlfn.IFS(L172&lt;0.15,"Cold",L172&lt;0.25,"Mild",L172&lt;=0.32,"Warm",L172&gt;=0.33,"Hot")</f>
        <v>Mild</v>
      </c>
    </row>
    <row r="173" spans="1:13" x14ac:dyDescent="0.3">
      <c r="A173" s="6">
        <v>172</v>
      </c>
      <c r="B173" s="7">
        <v>40551</v>
      </c>
      <c r="C173" s="8">
        <v>1</v>
      </c>
      <c r="D173" s="8">
        <v>0</v>
      </c>
      <c r="E173" s="8">
        <v>1</v>
      </c>
      <c r="F173" s="8">
        <v>10</v>
      </c>
      <c r="G173" s="8" t="str" cm="1">
        <f t="array" ref="G173">_xlfn.IFS(F173&lt;4,"Night",F173&lt;=6,"Early Morning",F173&lt;11,"Morning",F173&lt;12,"Afternoon",F173&lt;=16,"Afternoon",F173&lt;=20,"Evening",F173&gt;=21,"Night")</f>
        <v>Morning</v>
      </c>
      <c r="H173" s="8" t="b">
        <v>0</v>
      </c>
      <c r="I173" s="8">
        <v>6</v>
      </c>
      <c r="J173" s="8">
        <v>2</v>
      </c>
      <c r="K173" s="9" t="str" cm="1">
        <f t="array" ref="K173">_xlfn.IFS(J173=1,"Clear",J173=2,"Mist/Cloudy",J173=3,"Rain",J173=4,"Heavy Rain/Thunderstorm")</f>
        <v>Mist/Cloudy</v>
      </c>
      <c r="L173" s="10">
        <v>0.18</v>
      </c>
      <c r="M173" s="42" t="str" cm="1">
        <f t="array" ref="M173">_xlfn.IFS(L173&lt;0.15,"Cold",L173&lt;0.25,"Mild",L173&lt;=0.32,"Warm",L173&gt;=0.33,"Hot")</f>
        <v>Mild</v>
      </c>
    </row>
    <row r="174" spans="1:13" x14ac:dyDescent="0.3">
      <c r="A174" s="6">
        <v>173</v>
      </c>
      <c r="B174" s="7">
        <v>40551</v>
      </c>
      <c r="C174" s="8">
        <v>1</v>
      </c>
      <c r="D174" s="8">
        <v>0</v>
      </c>
      <c r="E174" s="8">
        <v>1</v>
      </c>
      <c r="F174" s="8">
        <v>11</v>
      </c>
      <c r="G174" s="8" t="str" cm="1">
        <f t="array" ref="G174">_xlfn.IFS(F174&lt;4,"Night",F174&lt;=6,"Early Morning",F174&lt;11,"Morning",F174&lt;12,"Afternoon",F174&lt;=16,"Afternoon",F174&lt;=20,"Evening",F174&gt;=21,"Night")</f>
        <v>Afternoon</v>
      </c>
      <c r="H174" s="8" t="b">
        <v>0</v>
      </c>
      <c r="I174" s="8">
        <v>6</v>
      </c>
      <c r="J174" s="8">
        <v>2</v>
      </c>
      <c r="K174" s="9" t="str" cm="1">
        <f t="array" ref="K174">_xlfn.IFS(J174=1,"Clear",J174=2,"Mist/Cloudy",J174=3,"Rain",J174=4,"Heavy Rain/Thunderstorm")</f>
        <v>Mist/Cloudy</v>
      </c>
      <c r="L174" s="10">
        <v>0.2</v>
      </c>
      <c r="M174" s="42" t="str" cm="1">
        <f t="array" ref="M174">_xlfn.IFS(L174&lt;0.15,"Cold",L174&lt;0.25,"Mild",L174&lt;=0.32,"Warm",L174&gt;=0.33,"Hot")</f>
        <v>Mild</v>
      </c>
    </row>
    <row r="175" spans="1:13" x14ac:dyDescent="0.3">
      <c r="A175" s="6">
        <v>174</v>
      </c>
      <c r="B175" s="7">
        <v>40551</v>
      </c>
      <c r="C175" s="8">
        <v>1</v>
      </c>
      <c r="D175" s="8">
        <v>0</v>
      </c>
      <c r="E175" s="8">
        <v>1</v>
      </c>
      <c r="F175" s="8">
        <v>12</v>
      </c>
      <c r="G175" s="8" t="str" cm="1">
        <f t="array" ref="G175">_xlfn.IFS(F175&lt;4,"Night",F175&lt;=6,"Early Morning",F175&lt;11,"Morning",F175&lt;12,"Afternoon",F175&lt;=16,"Afternoon",F175&lt;=20,"Evening",F175&gt;=21,"Night")</f>
        <v>Afternoon</v>
      </c>
      <c r="H175" s="8" t="b">
        <v>0</v>
      </c>
      <c r="I175" s="8">
        <v>6</v>
      </c>
      <c r="J175" s="8">
        <v>2</v>
      </c>
      <c r="K175" s="9" t="str" cm="1">
        <f t="array" ref="K175">_xlfn.IFS(J175=1,"Clear",J175=2,"Mist/Cloudy",J175=3,"Rain",J175=4,"Heavy Rain/Thunderstorm")</f>
        <v>Mist/Cloudy</v>
      </c>
      <c r="L175" s="10">
        <v>0.2</v>
      </c>
      <c r="M175" s="42" t="str" cm="1">
        <f t="array" ref="M175">_xlfn.IFS(L175&lt;0.15,"Cold",L175&lt;0.25,"Mild",L175&lt;=0.32,"Warm",L175&gt;=0.33,"Hot")</f>
        <v>Mild</v>
      </c>
    </row>
    <row r="176" spans="1:13" x14ac:dyDescent="0.3">
      <c r="A176" s="6">
        <v>175</v>
      </c>
      <c r="B176" s="7">
        <v>40551</v>
      </c>
      <c r="C176" s="8">
        <v>1</v>
      </c>
      <c r="D176" s="8">
        <v>0</v>
      </c>
      <c r="E176" s="8">
        <v>1</v>
      </c>
      <c r="F176" s="8">
        <v>13</v>
      </c>
      <c r="G176" s="8" t="str" cm="1">
        <f t="array" ref="G176">_xlfn.IFS(F176&lt;4,"Night",F176&lt;=6,"Early Morning",F176&lt;11,"Morning",F176&lt;12,"Afternoon",F176&lt;=16,"Afternoon",F176&lt;=20,"Evening",F176&gt;=21,"Night")</f>
        <v>Afternoon</v>
      </c>
      <c r="H176" s="8" t="b">
        <v>0</v>
      </c>
      <c r="I176" s="8">
        <v>6</v>
      </c>
      <c r="J176" s="8">
        <v>1</v>
      </c>
      <c r="K176" s="9" t="str" cm="1">
        <f t="array" ref="K176">_xlfn.IFS(J176=1,"Clear",J176=2,"Mist/Cloudy",J176=3,"Rain",J176=4,"Heavy Rain/Thunderstorm")</f>
        <v>Clear</v>
      </c>
      <c r="L176" s="10">
        <v>0.2</v>
      </c>
      <c r="M176" s="42" t="str" cm="1">
        <f t="array" ref="M176">_xlfn.IFS(L176&lt;0.15,"Cold",L176&lt;0.25,"Mild",L176&lt;=0.32,"Warm",L176&gt;=0.33,"Hot")</f>
        <v>Mild</v>
      </c>
    </row>
    <row r="177" spans="1:13" x14ac:dyDescent="0.3">
      <c r="A177" s="6">
        <v>176</v>
      </c>
      <c r="B177" s="7">
        <v>40551</v>
      </c>
      <c r="C177" s="8">
        <v>1</v>
      </c>
      <c r="D177" s="8">
        <v>0</v>
      </c>
      <c r="E177" s="8">
        <v>1</v>
      </c>
      <c r="F177" s="8">
        <v>14</v>
      </c>
      <c r="G177" s="8" t="str" cm="1">
        <f t="array" ref="G177">_xlfn.IFS(F177&lt;4,"Night",F177&lt;=6,"Early Morning",F177&lt;11,"Morning",F177&lt;12,"Afternoon",F177&lt;=16,"Afternoon",F177&lt;=20,"Evening",F177&gt;=21,"Night")</f>
        <v>Afternoon</v>
      </c>
      <c r="H177" s="8" t="b">
        <v>0</v>
      </c>
      <c r="I177" s="8">
        <v>6</v>
      </c>
      <c r="J177" s="8">
        <v>1</v>
      </c>
      <c r="K177" s="9" t="str" cm="1">
        <f t="array" ref="K177">_xlfn.IFS(J177=1,"Clear",J177=2,"Mist/Cloudy",J177=3,"Rain",J177=4,"Heavy Rain/Thunderstorm")</f>
        <v>Clear</v>
      </c>
      <c r="L177" s="10">
        <v>0.2</v>
      </c>
      <c r="M177" s="42" t="str" cm="1">
        <f t="array" ref="M177">_xlfn.IFS(L177&lt;0.15,"Cold",L177&lt;0.25,"Mild",L177&lt;=0.32,"Warm",L177&gt;=0.33,"Hot")</f>
        <v>Mild</v>
      </c>
    </row>
    <row r="178" spans="1:13" x14ac:dyDescent="0.3">
      <c r="A178" s="6">
        <v>177</v>
      </c>
      <c r="B178" s="7">
        <v>40551</v>
      </c>
      <c r="C178" s="8">
        <v>1</v>
      </c>
      <c r="D178" s="8">
        <v>0</v>
      </c>
      <c r="E178" s="8">
        <v>1</v>
      </c>
      <c r="F178" s="8">
        <v>15</v>
      </c>
      <c r="G178" s="8" t="str" cm="1">
        <f t="array" ref="G178">_xlfn.IFS(F178&lt;4,"Night",F178&lt;=6,"Early Morning",F178&lt;11,"Morning",F178&lt;12,"Afternoon",F178&lt;=16,"Afternoon",F178&lt;=20,"Evening",F178&gt;=21,"Night")</f>
        <v>Afternoon</v>
      </c>
      <c r="H178" s="8" t="b">
        <v>0</v>
      </c>
      <c r="I178" s="8">
        <v>6</v>
      </c>
      <c r="J178" s="8">
        <v>1</v>
      </c>
      <c r="K178" s="9" t="str" cm="1">
        <f t="array" ref="K178">_xlfn.IFS(J178=1,"Clear",J178=2,"Mist/Cloudy",J178=3,"Rain",J178=4,"Heavy Rain/Thunderstorm")</f>
        <v>Clear</v>
      </c>
      <c r="L178" s="10">
        <v>0.2</v>
      </c>
      <c r="M178" s="42" t="str" cm="1">
        <f t="array" ref="M178">_xlfn.IFS(L178&lt;0.15,"Cold",L178&lt;0.25,"Mild",L178&lt;=0.32,"Warm",L178&gt;=0.33,"Hot")</f>
        <v>Mild</v>
      </c>
    </row>
    <row r="179" spans="1:13" x14ac:dyDescent="0.3">
      <c r="A179" s="6">
        <v>178</v>
      </c>
      <c r="B179" s="7">
        <v>40551</v>
      </c>
      <c r="C179" s="8">
        <v>1</v>
      </c>
      <c r="D179" s="8">
        <v>0</v>
      </c>
      <c r="E179" s="8">
        <v>1</v>
      </c>
      <c r="F179" s="8">
        <v>16</v>
      </c>
      <c r="G179" s="8" t="str" cm="1">
        <f t="array" ref="G179">_xlfn.IFS(F179&lt;4,"Night",F179&lt;=6,"Early Morning",F179&lt;11,"Morning",F179&lt;12,"Afternoon",F179&lt;=16,"Afternoon",F179&lt;=20,"Evening",F179&gt;=21,"Night")</f>
        <v>Afternoon</v>
      </c>
      <c r="H179" s="8" t="b">
        <v>0</v>
      </c>
      <c r="I179" s="8">
        <v>6</v>
      </c>
      <c r="J179" s="8">
        <v>1</v>
      </c>
      <c r="K179" s="9" t="str" cm="1">
        <f t="array" ref="K179">_xlfn.IFS(J179=1,"Clear",J179=2,"Mist/Cloudy",J179=3,"Rain",J179=4,"Heavy Rain/Thunderstorm")</f>
        <v>Clear</v>
      </c>
      <c r="L179" s="10">
        <v>0.18</v>
      </c>
      <c r="M179" s="42" t="str" cm="1">
        <f t="array" ref="M179">_xlfn.IFS(L179&lt;0.15,"Cold",L179&lt;0.25,"Mild",L179&lt;=0.32,"Warm",L179&gt;=0.33,"Hot")</f>
        <v>Mild</v>
      </c>
    </row>
    <row r="180" spans="1:13" x14ac:dyDescent="0.3">
      <c r="A180" s="6">
        <v>179</v>
      </c>
      <c r="B180" s="7">
        <v>40551</v>
      </c>
      <c r="C180" s="8">
        <v>1</v>
      </c>
      <c r="D180" s="8">
        <v>0</v>
      </c>
      <c r="E180" s="8">
        <v>1</v>
      </c>
      <c r="F180" s="8">
        <v>17</v>
      </c>
      <c r="G180" s="8" t="str" cm="1">
        <f t="array" ref="G180">_xlfn.IFS(F180&lt;4,"Night",F180&lt;=6,"Early Morning",F180&lt;11,"Morning",F180&lt;12,"Afternoon",F180&lt;=16,"Afternoon",F180&lt;=20,"Evening",F180&gt;=21,"Night")</f>
        <v>Evening</v>
      </c>
      <c r="H180" s="8" t="b">
        <v>0</v>
      </c>
      <c r="I180" s="8">
        <v>6</v>
      </c>
      <c r="J180" s="8">
        <v>1</v>
      </c>
      <c r="K180" s="9" t="str" cm="1">
        <f t="array" ref="K180">_xlfn.IFS(J180=1,"Clear",J180=2,"Mist/Cloudy",J180=3,"Rain",J180=4,"Heavy Rain/Thunderstorm")</f>
        <v>Clear</v>
      </c>
      <c r="L180" s="10">
        <v>0.16</v>
      </c>
      <c r="M180" s="42" t="str" cm="1">
        <f t="array" ref="M180">_xlfn.IFS(L180&lt;0.15,"Cold",L180&lt;0.25,"Mild",L180&lt;=0.32,"Warm",L180&gt;=0.33,"Hot")</f>
        <v>Mild</v>
      </c>
    </row>
    <row r="181" spans="1:13" x14ac:dyDescent="0.3">
      <c r="A181" s="6">
        <v>180</v>
      </c>
      <c r="B181" s="7">
        <v>40551</v>
      </c>
      <c r="C181" s="8">
        <v>1</v>
      </c>
      <c r="D181" s="8">
        <v>0</v>
      </c>
      <c r="E181" s="8">
        <v>1</v>
      </c>
      <c r="F181" s="8">
        <v>18</v>
      </c>
      <c r="G181" s="8" t="str" cm="1">
        <f t="array" ref="G181">_xlfn.IFS(F181&lt;4,"Night",F181&lt;=6,"Early Morning",F181&lt;11,"Morning",F181&lt;12,"Afternoon",F181&lt;=16,"Afternoon",F181&lt;=20,"Evening",F181&gt;=21,"Night")</f>
        <v>Evening</v>
      </c>
      <c r="H181" s="8" t="b">
        <v>0</v>
      </c>
      <c r="I181" s="8">
        <v>6</v>
      </c>
      <c r="J181" s="8">
        <v>1</v>
      </c>
      <c r="K181" s="9" t="str" cm="1">
        <f t="array" ref="K181">_xlfn.IFS(J181=1,"Clear",J181=2,"Mist/Cloudy",J181=3,"Rain",J181=4,"Heavy Rain/Thunderstorm")</f>
        <v>Clear</v>
      </c>
      <c r="L181" s="10">
        <v>0.14000000000000001</v>
      </c>
      <c r="M181" s="42" t="str" cm="1">
        <f t="array" ref="M181">_xlfn.IFS(L181&lt;0.15,"Cold",L181&lt;0.25,"Mild",L181&lt;=0.32,"Warm",L181&gt;=0.33,"Hot")</f>
        <v>Cold</v>
      </c>
    </row>
    <row r="182" spans="1:13" x14ac:dyDescent="0.3">
      <c r="A182" s="6">
        <v>181</v>
      </c>
      <c r="B182" s="7">
        <v>40551</v>
      </c>
      <c r="C182" s="8">
        <v>1</v>
      </c>
      <c r="D182" s="8">
        <v>0</v>
      </c>
      <c r="E182" s="8">
        <v>1</v>
      </c>
      <c r="F182" s="8">
        <v>19</v>
      </c>
      <c r="G182" s="8" t="str" cm="1">
        <f t="array" ref="G182">_xlfn.IFS(F182&lt;4,"Night",F182&lt;=6,"Early Morning",F182&lt;11,"Morning",F182&lt;12,"Afternoon",F182&lt;=16,"Afternoon",F182&lt;=20,"Evening",F182&gt;=21,"Night")</f>
        <v>Evening</v>
      </c>
      <c r="H182" s="8" t="b">
        <v>0</v>
      </c>
      <c r="I182" s="8">
        <v>6</v>
      </c>
      <c r="J182" s="8">
        <v>1</v>
      </c>
      <c r="K182" s="9" t="str" cm="1">
        <f t="array" ref="K182">_xlfn.IFS(J182=1,"Clear",J182=2,"Mist/Cloudy",J182=3,"Rain",J182=4,"Heavy Rain/Thunderstorm")</f>
        <v>Clear</v>
      </c>
      <c r="L182" s="10">
        <v>0.14000000000000001</v>
      </c>
      <c r="M182" s="42" t="str" cm="1">
        <f t="array" ref="M182">_xlfn.IFS(L182&lt;0.15,"Cold",L182&lt;0.25,"Mild",L182&lt;=0.32,"Warm",L182&gt;=0.33,"Hot")</f>
        <v>Cold</v>
      </c>
    </row>
    <row r="183" spans="1:13" x14ac:dyDescent="0.3">
      <c r="A183" s="6">
        <v>182</v>
      </c>
      <c r="B183" s="7">
        <v>40551</v>
      </c>
      <c r="C183" s="8">
        <v>1</v>
      </c>
      <c r="D183" s="8">
        <v>0</v>
      </c>
      <c r="E183" s="8">
        <v>1</v>
      </c>
      <c r="F183" s="8">
        <v>20</v>
      </c>
      <c r="G183" s="8" t="str" cm="1">
        <f t="array" ref="G183">_xlfn.IFS(F183&lt;4,"Night",F183&lt;=6,"Early Morning",F183&lt;11,"Morning",F183&lt;12,"Afternoon",F183&lt;=16,"Afternoon",F183&lt;=20,"Evening",F183&gt;=21,"Night")</f>
        <v>Evening</v>
      </c>
      <c r="H183" s="8" t="b">
        <v>0</v>
      </c>
      <c r="I183" s="8">
        <v>6</v>
      </c>
      <c r="J183" s="8">
        <v>1</v>
      </c>
      <c r="K183" s="9" t="str" cm="1">
        <f t="array" ref="K183">_xlfn.IFS(J183=1,"Clear",J183=2,"Mist/Cloudy",J183=3,"Rain",J183=4,"Heavy Rain/Thunderstorm")</f>
        <v>Clear</v>
      </c>
      <c r="L183" s="10">
        <v>0.12</v>
      </c>
      <c r="M183" s="42" t="str" cm="1">
        <f t="array" ref="M183">_xlfn.IFS(L183&lt;0.15,"Cold",L183&lt;0.25,"Mild",L183&lt;=0.32,"Warm",L183&gt;=0.33,"Hot")</f>
        <v>Cold</v>
      </c>
    </row>
    <row r="184" spans="1:13" x14ac:dyDescent="0.3">
      <c r="A184" s="6">
        <v>183</v>
      </c>
      <c r="B184" s="7">
        <v>40551</v>
      </c>
      <c r="C184" s="8">
        <v>1</v>
      </c>
      <c r="D184" s="8">
        <v>0</v>
      </c>
      <c r="E184" s="8">
        <v>1</v>
      </c>
      <c r="F184" s="8">
        <v>21</v>
      </c>
      <c r="G184" s="8" t="str" cm="1">
        <f t="array" ref="G184">_xlfn.IFS(F184&lt;4,"Night",F184&lt;=6,"Early Morning",F184&lt;11,"Morning",F184&lt;12,"Afternoon",F184&lt;=16,"Afternoon",F184&lt;=20,"Evening",F184&gt;=21,"Night")</f>
        <v>Night</v>
      </c>
      <c r="H184" s="8" t="b">
        <v>0</v>
      </c>
      <c r="I184" s="8">
        <v>6</v>
      </c>
      <c r="J184" s="8">
        <v>1</v>
      </c>
      <c r="K184" s="9" t="str" cm="1">
        <f t="array" ref="K184">_xlfn.IFS(J184=1,"Clear",J184=2,"Mist/Cloudy",J184=3,"Rain",J184=4,"Heavy Rain/Thunderstorm")</f>
        <v>Clear</v>
      </c>
      <c r="L184" s="10">
        <v>0.12</v>
      </c>
      <c r="M184" s="42" t="str" cm="1">
        <f t="array" ref="M184">_xlfn.IFS(L184&lt;0.15,"Cold",L184&lt;0.25,"Mild",L184&lt;=0.32,"Warm",L184&gt;=0.33,"Hot")</f>
        <v>Cold</v>
      </c>
    </row>
    <row r="185" spans="1:13" x14ac:dyDescent="0.3">
      <c r="A185" s="6">
        <v>184</v>
      </c>
      <c r="B185" s="7">
        <v>40551</v>
      </c>
      <c r="C185" s="8">
        <v>1</v>
      </c>
      <c r="D185" s="8">
        <v>0</v>
      </c>
      <c r="E185" s="8">
        <v>1</v>
      </c>
      <c r="F185" s="8">
        <v>22</v>
      </c>
      <c r="G185" s="8" t="str" cm="1">
        <f t="array" ref="G185">_xlfn.IFS(F185&lt;4,"Night",F185&lt;=6,"Early Morning",F185&lt;11,"Morning",F185&lt;12,"Afternoon",F185&lt;=16,"Afternoon",F185&lt;=20,"Evening",F185&gt;=21,"Night")</f>
        <v>Night</v>
      </c>
      <c r="H185" s="8" t="b">
        <v>0</v>
      </c>
      <c r="I185" s="8">
        <v>6</v>
      </c>
      <c r="J185" s="8">
        <v>1</v>
      </c>
      <c r="K185" s="9" t="str" cm="1">
        <f t="array" ref="K185">_xlfn.IFS(J185=1,"Clear",J185=2,"Mist/Cloudy",J185=3,"Rain",J185=4,"Heavy Rain/Thunderstorm")</f>
        <v>Clear</v>
      </c>
      <c r="L185" s="10">
        <v>0.12</v>
      </c>
      <c r="M185" s="42" t="str" cm="1">
        <f t="array" ref="M185">_xlfn.IFS(L185&lt;0.15,"Cold",L185&lt;0.25,"Mild",L185&lt;=0.32,"Warm",L185&gt;=0.33,"Hot")</f>
        <v>Cold</v>
      </c>
    </row>
    <row r="186" spans="1:13" x14ac:dyDescent="0.3">
      <c r="A186" s="6">
        <v>185</v>
      </c>
      <c r="B186" s="7">
        <v>40551</v>
      </c>
      <c r="C186" s="8">
        <v>1</v>
      </c>
      <c r="D186" s="8">
        <v>0</v>
      </c>
      <c r="E186" s="8">
        <v>1</v>
      </c>
      <c r="F186" s="8">
        <v>23</v>
      </c>
      <c r="G186" s="8" t="str" cm="1">
        <f t="array" ref="G186">_xlfn.IFS(F186&lt;4,"Night",F186&lt;=6,"Early Morning",F186&lt;11,"Morning",F186&lt;12,"Afternoon",F186&lt;=16,"Afternoon",F186&lt;=20,"Evening",F186&gt;=21,"Night")</f>
        <v>Night</v>
      </c>
      <c r="H186" s="8" t="b">
        <v>0</v>
      </c>
      <c r="I186" s="8">
        <v>6</v>
      </c>
      <c r="J186" s="8">
        <v>1</v>
      </c>
      <c r="K186" s="9" t="str" cm="1">
        <f t="array" ref="K186">_xlfn.IFS(J186=1,"Clear",J186=2,"Mist/Cloudy",J186=3,"Rain",J186=4,"Heavy Rain/Thunderstorm")</f>
        <v>Clear</v>
      </c>
      <c r="L186" s="10">
        <v>0.1</v>
      </c>
      <c r="M186" s="42" t="str" cm="1">
        <f t="array" ref="M186">_xlfn.IFS(L186&lt;0.15,"Cold",L186&lt;0.25,"Mild",L186&lt;=0.32,"Warm",L186&gt;=0.33,"Hot")</f>
        <v>Cold</v>
      </c>
    </row>
    <row r="187" spans="1:13" x14ac:dyDescent="0.3">
      <c r="A187" s="6">
        <v>186</v>
      </c>
      <c r="B187" s="7">
        <v>40552</v>
      </c>
      <c r="C187" s="8">
        <v>1</v>
      </c>
      <c r="D187" s="8">
        <v>0</v>
      </c>
      <c r="E187" s="8">
        <v>1</v>
      </c>
      <c r="F187" s="8">
        <v>0</v>
      </c>
      <c r="G187" s="8" t="str" cm="1">
        <f t="array" ref="G187">_xlfn.IFS(F187&lt;4,"Night",F187&lt;=6,"Early Morning",F187&lt;11,"Morning",F187&lt;12,"Afternoon",F187&lt;=16,"Afternoon",F187&lt;=20,"Evening",F187&gt;=21,"Night")</f>
        <v>Night</v>
      </c>
      <c r="H187" s="8" t="b">
        <v>0</v>
      </c>
      <c r="I187" s="8">
        <v>0</v>
      </c>
      <c r="J187" s="8">
        <v>1</v>
      </c>
      <c r="K187" s="9" t="str" cm="1">
        <f t="array" ref="K187">_xlfn.IFS(J187=1,"Clear",J187=2,"Mist/Cloudy",J187=3,"Rain",J187=4,"Heavy Rain/Thunderstorm")</f>
        <v>Clear</v>
      </c>
      <c r="L187" s="10">
        <v>0.1</v>
      </c>
      <c r="M187" s="42" t="str" cm="1">
        <f t="array" ref="M187">_xlfn.IFS(L187&lt;0.15,"Cold",L187&lt;0.25,"Mild",L187&lt;=0.32,"Warm",L187&gt;=0.33,"Hot")</f>
        <v>Cold</v>
      </c>
    </row>
    <row r="188" spans="1:13" x14ac:dyDescent="0.3">
      <c r="A188" s="6">
        <v>187</v>
      </c>
      <c r="B188" s="7">
        <v>40552</v>
      </c>
      <c r="C188" s="8">
        <v>1</v>
      </c>
      <c r="D188" s="8">
        <v>0</v>
      </c>
      <c r="E188" s="8">
        <v>1</v>
      </c>
      <c r="F188" s="8">
        <v>1</v>
      </c>
      <c r="G188" s="8" t="str" cm="1">
        <f t="array" ref="G188">_xlfn.IFS(F188&lt;4,"Night",F188&lt;=6,"Early Morning",F188&lt;11,"Morning",F188&lt;12,"Afternoon",F188&lt;=16,"Afternoon",F188&lt;=20,"Evening",F188&gt;=21,"Night")</f>
        <v>Night</v>
      </c>
      <c r="H188" s="8" t="b">
        <v>0</v>
      </c>
      <c r="I188" s="8">
        <v>0</v>
      </c>
      <c r="J188" s="8">
        <v>1</v>
      </c>
      <c r="K188" s="9" t="str" cm="1">
        <f t="array" ref="K188">_xlfn.IFS(J188=1,"Clear",J188=2,"Mist/Cloudy",J188=3,"Rain",J188=4,"Heavy Rain/Thunderstorm")</f>
        <v>Clear</v>
      </c>
      <c r="L188" s="10">
        <v>0.1</v>
      </c>
      <c r="M188" s="42" t="str" cm="1">
        <f t="array" ref="M188">_xlfn.IFS(L188&lt;0.15,"Cold",L188&lt;0.25,"Mild",L188&lt;=0.32,"Warm",L188&gt;=0.33,"Hot")</f>
        <v>Cold</v>
      </c>
    </row>
    <row r="189" spans="1:13" x14ac:dyDescent="0.3">
      <c r="A189" s="6">
        <v>188</v>
      </c>
      <c r="B189" s="7">
        <v>40552</v>
      </c>
      <c r="C189" s="8">
        <v>1</v>
      </c>
      <c r="D189" s="8">
        <v>0</v>
      </c>
      <c r="E189" s="8">
        <v>1</v>
      </c>
      <c r="F189" s="8">
        <v>2</v>
      </c>
      <c r="G189" s="8" t="str" cm="1">
        <f t="array" ref="G189">_xlfn.IFS(F189&lt;4,"Night",F189&lt;=6,"Early Morning",F189&lt;11,"Morning",F189&lt;12,"Afternoon",F189&lt;=16,"Afternoon",F189&lt;=20,"Evening",F189&gt;=21,"Night")</f>
        <v>Night</v>
      </c>
      <c r="H189" s="8" t="b">
        <v>0</v>
      </c>
      <c r="I189" s="8">
        <v>0</v>
      </c>
      <c r="J189" s="8">
        <v>1</v>
      </c>
      <c r="K189" s="9" t="str" cm="1">
        <f t="array" ref="K189">_xlfn.IFS(J189=1,"Clear",J189=2,"Mist/Cloudy",J189=3,"Rain",J189=4,"Heavy Rain/Thunderstorm")</f>
        <v>Clear</v>
      </c>
      <c r="L189" s="10">
        <v>0.1</v>
      </c>
      <c r="M189" s="42" t="str" cm="1">
        <f t="array" ref="M189">_xlfn.IFS(L189&lt;0.15,"Cold",L189&lt;0.25,"Mild",L189&lt;=0.32,"Warm",L189&gt;=0.33,"Hot")</f>
        <v>Cold</v>
      </c>
    </row>
    <row r="190" spans="1:13" x14ac:dyDescent="0.3">
      <c r="A190" s="6">
        <v>189</v>
      </c>
      <c r="B190" s="7">
        <v>40552</v>
      </c>
      <c r="C190" s="8">
        <v>1</v>
      </c>
      <c r="D190" s="8">
        <v>0</v>
      </c>
      <c r="E190" s="8">
        <v>1</v>
      </c>
      <c r="F190" s="8">
        <v>3</v>
      </c>
      <c r="G190" s="8" t="str" cm="1">
        <f t="array" ref="G190">_xlfn.IFS(F190&lt;4,"Night",F190&lt;=6,"Early Morning",F190&lt;11,"Morning",F190&lt;12,"Afternoon",F190&lt;=16,"Afternoon",F190&lt;=20,"Evening",F190&gt;=21,"Night")</f>
        <v>Night</v>
      </c>
      <c r="H190" s="8" t="b">
        <v>0</v>
      </c>
      <c r="I190" s="8">
        <v>0</v>
      </c>
      <c r="J190" s="8">
        <v>1</v>
      </c>
      <c r="K190" s="9" t="str" cm="1">
        <f t="array" ref="K190">_xlfn.IFS(J190=1,"Clear",J190=2,"Mist/Cloudy",J190=3,"Rain",J190=4,"Heavy Rain/Thunderstorm")</f>
        <v>Clear</v>
      </c>
      <c r="L190" s="10">
        <v>0.1</v>
      </c>
      <c r="M190" s="42" t="str" cm="1">
        <f t="array" ref="M190">_xlfn.IFS(L190&lt;0.15,"Cold",L190&lt;0.25,"Mild",L190&lt;=0.32,"Warm",L190&gt;=0.33,"Hot")</f>
        <v>Cold</v>
      </c>
    </row>
    <row r="191" spans="1:13" x14ac:dyDescent="0.3">
      <c r="A191" s="6">
        <v>190</v>
      </c>
      <c r="B191" s="7">
        <v>40552</v>
      </c>
      <c r="C191" s="8">
        <v>1</v>
      </c>
      <c r="D191" s="8">
        <v>0</v>
      </c>
      <c r="E191" s="8">
        <v>1</v>
      </c>
      <c r="F191" s="8">
        <v>4</v>
      </c>
      <c r="G191" s="8" t="str" cm="1">
        <f t="array" ref="G191">_xlfn.IFS(F191&lt;4,"Night",F191&lt;=6,"Early Morning",F191&lt;11,"Morning",F191&lt;12,"Afternoon",F191&lt;=16,"Afternoon",F191&lt;=20,"Evening",F191&gt;=21,"Night")</f>
        <v>Early Morning</v>
      </c>
      <c r="H191" s="8" t="b">
        <v>0</v>
      </c>
      <c r="I191" s="8">
        <v>0</v>
      </c>
      <c r="J191" s="8">
        <v>1</v>
      </c>
      <c r="K191" s="9" t="str" cm="1">
        <f t="array" ref="K191">_xlfn.IFS(J191=1,"Clear",J191=2,"Mist/Cloudy",J191=3,"Rain",J191=4,"Heavy Rain/Thunderstorm")</f>
        <v>Clear</v>
      </c>
      <c r="L191" s="10">
        <v>0.08</v>
      </c>
      <c r="M191" s="42" t="str" cm="1">
        <f t="array" ref="M191">_xlfn.IFS(L191&lt;0.15,"Cold",L191&lt;0.25,"Mild",L191&lt;=0.32,"Warm",L191&gt;=0.33,"Hot")</f>
        <v>Cold</v>
      </c>
    </row>
    <row r="192" spans="1:13" x14ac:dyDescent="0.3">
      <c r="A192" s="6">
        <v>191</v>
      </c>
      <c r="B192" s="7">
        <v>40552</v>
      </c>
      <c r="C192" s="8">
        <v>1</v>
      </c>
      <c r="D192" s="8">
        <v>0</v>
      </c>
      <c r="E192" s="8">
        <v>1</v>
      </c>
      <c r="F192" s="8">
        <v>5</v>
      </c>
      <c r="G192" s="8" t="str" cm="1">
        <f t="array" ref="G192">_xlfn.IFS(F192&lt;4,"Night",F192&lt;=6,"Early Morning",F192&lt;11,"Morning",F192&lt;12,"Afternoon",F192&lt;=16,"Afternoon",F192&lt;=20,"Evening",F192&gt;=21,"Night")</f>
        <v>Early Morning</v>
      </c>
      <c r="H192" s="8" t="b">
        <v>0</v>
      </c>
      <c r="I192" s="8">
        <v>0</v>
      </c>
      <c r="J192" s="8">
        <v>1</v>
      </c>
      <c r="K192" s="9" t="str" cm="1">
        <f t="array" ref="K192">_xlfn.IFS(J192=1,"Clear",J192=2,"Mist/Cloudy",J192=3,"Rain",J192=4,"Heavy Rain/Thunderstorm")</f>
        <v>Clear</v>
      </c>
      <c r="L192" s="10">
        <v>0.08</v>
      </c>
      <c r="M192" s="42" t="str" cm="1">
        <f t="array" ref="M192">_xlfn.IFS(L192&lt;0.15,"Cold",L192&lt;0.25,"Mild",L192&lt;=0.32,"Warm",L192&gt;=0.33,"Hot")</f>
        <v>Cold</v>
      </c>
    </row>
    <row r="193" spans="1:13" x14ac:dyDescent="0.3">
      <c r="A193" s="6">
        <v>192</v>
      </c>
      <c r="B193" s="7">
        <v>40552</v>
      </c>
      <c r="C193" s="8">
        <v>1</v>
      </c>
      <c r="D193" s="8">
        <v>0</v>
      </c>
      <c r="E193" s="8">
        <v>1</v>
      </c>
      <c r="F193" s="8">
        <v>6</v>
      </c>
      <c r="G193" s="8" t="str" cm="1">
        <f t="array" ref="G193">_xlfn.IFS(F193&lt;4,"Night",F193&lt;=6,"Early Morning",F193&lt;11,"Morning",F193&lt;12,"Afternoon",F193&lt;=16,"Afternoon",F193&lt;=20,"Evening",F193&gt;=21,"Night")</f>
        <v>Early Morning</v>
      </c>
      <c r="H193" s="8" t="b">
        <v>0</v>
      </c>
      <c r="I193" s="8">
        <v>0</v>
      </c>
      <c r="J193" s="8">
        <v>1</v>
      </c>
      <c r="K193" s="9" t="str" cm="1">
        <f t="array" ref="K193">_xlfn.IFS(J193=1,"Clear",J193=2,"Mist/Cloudy",J193=3,"Rain",J193=4,"Heavy Rain/Thunderstorm")</f>
        <v>Clear</v>
      </c>
      <c r="L193" s="10">
        <v>0.1</v>
      </c>
      <c r="M193" s="42" t="str" cm="1">
        <f t="array" ref="M193">_xlfn.IFS(L193&lt;0.15,"Cold",L193&lt;0.25,"Mild",L193&lt;=0.32,"Warm",L193&gt;=0.33,"Hot")</f>
        <v>Cold</v>
      </c>
    </row>
    <row r="194" spans="1:13" x14ac:dyDescent="0.3">
      <c r="A194" s="6">
        <v>193</v>
      </c>
      <c r="B194" s="7">
        <v>40552</v>
      </c>
      <c r="C194" s="8">
        <v>1</v>
      </c>
      <c r="D194" s="8">
        <v>0</v>
      </c>
      <c r="E194" s="8">
        <v>1</v>
      </c>
      <c r="F194" s="8">
        <v>7</v>
      </c>
      <c r="G194" s="8" t="str" cm="1">
        <f t="array" ref="G194">_xlfn.IFS(F194&lt;4,"Night",F194&lt;=6,"Early Morning",F194&lt;11,"Morning",F194&lt;12,"Afternoon",F194&lt;=16,"Afternoon",F194&lt;=20,"Evening",F194&gt;=21,"Night")</f>
        <v>Morning</v>
      </c>
      <c r="H194" s="8" t="b">
        <v>0</v>
      </c>
      <c r="I194" s="8">
        <v>0</v>
      </c>
      <c r="J194" s="8">
        <v>1</v>
      </c>
      <c r="K194" s="9" t="str" cm="1">
        <f t="array" ref="K194">_xlfn.IFS(J194=1,"Clear",J194=2,"Mist/Cloudy",J194=3,"Rain",J194=4,"Heavy Rain/Thunderstorm")</f>
        <v>Clear</v>
      </c>
      <c r="L194" s="10">
        <v>0.08</v>
      </c>
      <c r="M194" s="42" t="str" cm="1">
        <f t="array" ref="M194">_xlfn.IFS(L194&lt;0.15,"Cold",L194&lt;0.25,"Mild",L194&lt;=0.32,"Warm",L194&gt;=0.33,"Hot")</f>
        <v>Cold</v>
      </c>
    </row>
    <row r="195" spans="1:13" x14ac:dyDescent="0.3">
      <c r="A195" s="6">
        <v>194</v>
      </c>
      <c r="B195" s="7">
        <v>40552</v>
      </c>
      <c r="C195" s="8">
        <v>1</v>
      </c>
      <c r="D195" s="8">
        <v>0</v>
      </c>
      <c r="E195" s="8">
        <v>1</v>
      </c>
      <c r="F195" s="8">
        <v>8</v>
      </c>
      <c r="G195" s="8" t="str" cm="1">
        <f t="array" ref="G195">_xlfn.IFS(F195&lt;4,"Night",F195&lt;=6,"Early Morning",F195&lt;11,"Morning",F195&lt;12,"Afternoon",F195&lt;=16,"Afternoon",F195&lt;=20,"Evening",F195&gt;=21,"Night")</f>
        <v>Morning</v>
      </c>
      <c r="H195" s="8" t="b">
        <v>0</v>
      </c>
      <c r="I195" s="8">
        <v>0</v>
      </c>
      <c r="J195" s="8">
        <v>1</v>
      </c>
      <c r="K195" s="9" t="str" cm="1">
        <f t="array" ref="K195">_xlfn.IFS(J195=1,"Clear",J195=2,"Mist/Cloudy",J195=3,"Rain",J195=4,"Heavy Rain/Thunderstorm")</f>
        <v>Clear</v>
      </c>
      <c r="L195" s="10">
        <v>0.1</v>
      </c>
      <c r="M195" s="42" t="str" cm="1">
        <f t="array" ref="M195">_xlfn.IFS(L195&lt;0.15,"Cold",L195&lt;0.25,"Mild",L195&lt;=0.32,"Warm",L195&gt;=0.33,"Hot")</f>
        <v>Cold</v>
      </c>
    </row>
    <row r="196" spans="1:13" x14ac:dyDescent="0.3">
      <c r="A196" s="6">
        <v>195</v>
      </c>
      <c r="B196" s="7">
        <v>40552</v>
      </c>
      <c r="C196" s="8">
        <v>1</v>
      </c>
      <c r="D196" s="8">
        <v>0</v>
      </c>
      <c r="E196" s="8">
        <v>1</v>
      </c>
      <c r="F196" s="8">
        <v>9</v>
      </c>
      <c r="G196" s="8" t="str" cm="1">
        <f t="array" ref="G196">_xlfn.IFS(F196&lt;4,"Night",F196&lt;=6,"Early Morning",F196&lt;11,"Morning",F196&lt;12,"Afternoon",F196&lt;=16,"Afternoon",F196&lt;=20,"Evening",F196&gt;=21,"Night")</f>
        <v>Morning</v>
      </c>
      <c r="H196" s="8" t="b">
        <v>0</v>
      </c>
      <c r="I196" s="8">
        <v>0</v>
      </c>
      <c r="J196" s="8">
        <v>1</v>
      </c>
      <c r="K196" s="9" t="str" cm="1">
        <f t="array" ref="K196">_xlfn.IFS(J196=1,"Clear",J196=2,"Mist/Cloudy",J196=3,"Rain",J196=4,"Heavy Rain/Thunderstorm")</f>
        <v>Clear</v>
      </c>
      <c r="L196" s="10">
        <v>0.12</v>
      </c>
      <c r="M196" s="42" t="str" cm="1">
        <f t="array" ref="M196">_xlfn.IFS(L196&lt;0.15,"Cold",L196&lt;0.25,"Mild",L196&lt;=0.32,"Warm",L196&gt;=0.33,"Hot")</f>
        <v>Cold</v>
      </c>
    </row>
    <row r="197" spans="1:13" x14ac:dyDescent="0.3">
      <c r="A197" s="6">
        <v>196</v>
      </c>
      <c r="B197" s="7">
        <v>40552</v>
      </c>
      <c r="C197" s="8">
        <v>1</v>
      </c>
      <c r="D197" s="8">
        <v>0</v>
      </c>
      <c r="E197" s="8">
        <v>1</v>
      </c>
      <c r="F197" s="8">
        <v>10</v>
      </c>
      <c r="G197" s="8" t="str" cm="1">
        <f t="array" ref="G197">_xlfn.IFS(F197&lt;4,"Night",F197&lt;=6,"Early Morning",F197&lt;11,"Morning",F197&lt;12,"Afternoon",F197&lt;=16,"Afternoon",F197&lt;=20,"Evening",F197&gt;=21,"Night")</f>
        <v>Morning</v>
      </c>
      <c r="H197" s="8" t="b">
        <v>0</v>
      </c>
      <c r="I197" s="8">
        <v>0</v>
      </c>
      <c r="J197" s="8">
        <v>1</v>
      </c>
      <c r="K197" s="9" t="str" cm="1">
        <f t="array" ref="K197">_xlfn.IFS(J197=1,"Clear",J197=2,"Mist/Cloudy",J197=3,"Rain",J197=4,"Heavy Rain/Thunderstorm")</f>
        <v>Clear</v>
      </c>
      <c r="L197" s="10">
        <v>0.14000000000000001</v>
      </c>
      <c r="M197" s="42" t="str" cm="1">
        <f t="array" ref="M197">_xlfn.IFS(L197&lt;0.15,"Cold",L197&lt;0.25,"Mild",L197&lt;=0.32,"Warm",L197&gt;=0.33,"Hot")</f>
        <v>Cold</v>
      </c>
    </row>
    <row r="198" spans="1:13" x14ac:dyDescent="0.3">
      <c r="A198" s="6">
        <v>197</v>
      </c>
      <c r="B198" s="7">
        <v>40552</v>
      </c>
      <c r="C198" s="8">
        <v>1</v>
      </c>
      <c r="D198" s="8">
        <v>0</v>
      </c>
      <c r="E198" s="8">
        <v>1</v>
      </c>
      <c r="F198" s="8">
        <v>11</v>
      </c>
      <c r="G198" s="8" t="str" cm="1">
        <f t="array" ref="G198">_xlfn.IFS(F198&lt;4,"Night",F198&lt;=6,"Early Morning",F198&lt;11,"Morning",F198&lt;12,"Afternoon",F198&lt;=16,"Afternoon",F198&lt;=20,"Evening",F198&gt;=21,"Night")</f>
        <v>Afternoon</v>
      </c>
      <c r="H198" s="8" t="b">
        <v>0</v>
      </c>
      <c r="I198" s="8">
        <v>0</v>
      </c>
      <c r="J198" s="8">
        <v>1</v>
      </c>
      <c r="K198" s="9" t="str" cm="1">
        <f t="array" ref="K198">_xlfn.IFS(J198=1,"Clear",J198=2,"Mist/Cloudy",J198=3,"Rain",J198=4,"Heavy Rain/Thunderstorm")</f>
        <v>Clear</v>
      </c>
      <c r="L198" s="10">
        <v>0.16</v>
      </c>
      <c r="M198" s="42" t="str" cm="1">
        <f t="array" ref="M198">_xlfn.IFS(L198&lt;0.15,"Cold",L198&lt;0.25,"Mild",L198&lt;=0.32,"Warm",L198&gt;=0.33,"Hot")</f>
        <v>Mild</v>
      </c>
    </row>
    <row r="199" spans="1:13" x14ac:dyDescent="0.3">
      <c r="A199" s="6">
        <v>198</v>
      </c>
      <c r="B199" s="7">
        <v>40552</v>
      </c>
      <c r="C199" s="8">
        <v>1</v>
      </c>
      <c r="D199" s="8">
        <v>0</v>
      </c>
      <c r="E199" s="8">
        <v>1</v>
      </c>
      <c r="F199" s="8">
        <v>12</v>
      </c>
      <c r="G199" s="8" t="str" cm="1">
        <f t="array" ref="G199">_xlfn.IFS(F199&lt;4,"Night",F199&lt;=6,"Early Morning",F199&lt;11,"Morning",F199&lt;12,"Afternoon",F199&lt;=16,"Afternoon",F199&lt;=20,"Evening",F199&gt;=21,"Night")</f>
        <v>Afternoon</v>
      </c>
      <c r="H199" s="8" t="b">
        <v>0</v>
      </c>
      <c r="I199" s="8">
        <v>0</v>
      </c>
      <c r="J199" s="8">
        <v>1</v>
      </c>
      <c r="K199" s="9" t="str" cm="1">
        <f t="array" ref="K199">_xlfn.IFS(J199=1,"Clear",J199=2,"Mist/Cloudy",J199=3,"Rain",J199=4,"Heavy Rain/Thunderstorm")</f>
        <v>Clear</v>
      </c>
      <c r="L199" s="10">
        <v>0.18</v>
      </c>
      <c r="M199" s="42" t="str" cm="1">
        <f t="array" ref="M199">_xlfn.IFS(L199&lt;0.15,"Cold",L199&lt;0.25,"Mild",L199&lt;=0.32,"Warm",L199&gt;=0.33,"Hot")</f>
        <v>Mild</v>
      </c>
    </row>
    <row r="200" spans="1:13" x14ac:dyDescent="0.3">
      <c r="A200" s="6">
        <v>199</v>
      </c>
      <c r="B200" s="7">
        <v>40552</v>
      </c>
      <c r="C200" s="8">
        <v>1</v>
      </c>
      <c r="D200" s="8">
        <v>0</v>
      </c>
      <c r="E200" s="8">
        <v>1</v>
      </c>
      <c r="F200" s="8">
        <v>13</v>
      </c>
      <c r="G200" s="8" t="str" cm="1">
        <f t="array" ref="G200">_xlfn.IFS(F200&lt;4,"Night",F200&lt;=6,"Early Morning",F200&lt;11,"Morning",F200&lt;12,"Afternoon",F200&lt;=16,"Afternoon",F200&lt;=20,"Evening",F200&gt;=21,"Night")</f>
        <v>Afternoon</v>
      </c>
      <c r="H200" s="8" t="b">
        <v>0</v>
      </c>
      <c r="I200" s="8">
        <v>0</v>
      </c>
      <c r="J200" s="8">
        <v>1</v>
      </c>
      <c r="K200" s="9" t="str" cm="1">
        <f t="array" ref="K200">_xlfn.IFS(J200=1,"Clear",J200=2,"Mist/Cloudy",J200=3,"Rain",J200=4,"Heavy Rain/Thunderstorm")</f>
        <v>Clear</v>
      </c>
      <c r="L200" s="10">
        <v>0.2</v>
      </c>
      <c r="M200" s="42" t="str" cm="1">
        <f t="array" ref="M200">_xlfn.IFS(L200&lt;0.15,"Cold",L200&lt;0.25,"Mild",L200&lt;=0.32,"Warm",L200&gt;=0.33,"Hot")</f>
        <v>Mild</v>
      </c>
    </row>
    <row r="201" spans="1:13" x14ac:dyDescent="0.3">
      <c r="A201" s="6">
        <v>200</v>
      </c>
      <c r="B201" s="7">
        <v>40552</v>
      </c>
      <c r="C201" s="8">
        <v>1</v>
      </c>
      <c r="D201" s="8">
        <v>0</v>
      </c>
      <c r="E201" s="8">
        <v>1</v>
      </c>
      <c r="F201" s="8">
        <v>14</v>
      </c>
      <c r="G201" s="8" t="str" cm="1">
        <f t="array" ref="G201">_xlfn.IFS(F201&lt;4,"Night",F201&lt;=6,"Early Morning",F201&lt;11,"Morning",F201&lt;12,"Afternoon",F201&lt;=16,"Afternoon",F201&lt;=20,"Evening",F201&gt;=21,"Night")</f>
        <v>Afternoon</v>
      </c>
      <c r="H201" s="8" t="b">
        <v>0</v>
      </c>
      <c r="I201" s="8">
        <v>0</v>
      </c>
      <c r="J201" s="8">
        <v>1</v>
      </c>
      <c r="K201" s="9" t="str" cm="1">
        <f t="array" ref="K201">_xlfn.IFS(J201=1,"Clear",J201=2,"Mist/Cloudy",J201=3,"Rain",J201=4,"Heavy Rain/Thunderstorm")</f>
        <v>Clear</v>
      </c>
      <c r="L201" s="10">
        <v>0.22</v>
      </c>
      <c r="M201" s="42" t="str" cm="1">
        <f t="array" ref="M201">_xlfn.IFS(L201&lt;0.15,"Cold",L201&lt;0.25,"Mild",L201&lt;=0.32,"Warm",L201&gt;=0.33,"Hot")</f>
        <v>Mild</v>
      </c>
    </row>
    <row r="202" spans="1:13" x14ac:dyDescent="0.3">
      <c r="A202" s="6">
        <v>201</v>
      </c>
      <c r="B202" s="7">
        <v>40552</v>
      </c>
      <c r="C202" s="8">
        <v>1</v>
      </c>
      <c r="D202" s="8">
        <v>0</v>
      </c>
      <c r="E202" s="8">
        <v>1</v>
      </c>
      <c r="F202" s="8">
        <v>15</v>
      </c>
      <c r="G202" s="8" t="str" cm="1">
        <f t="array" ref="G202">_xlfn.IFS(F202&lt;4,"Night",F202&lt;=6,"Early Morning",F202&lt;11,"Morning",F202&lt;12,"Afternoon",F202&lt;=16,"Afternoon",F202&lt;=20,"Evening",F202&gt;=21,"Night")</f>
        <v>Afternoon</v>
      </c>
      <c r="H202" s="8" t="b">
        <v>0</v>
      </c>
      <c r="I202" s="8">
        <v>0</v>
      </c>
      <c r="J202" s="8">
        <v>1</v>
      </c>
      <c r="K202" s="9" t="str" cm="1">
        <f t="array" ref="K202">_xlfn.IFS(J202=1,"Clear",J202=2,"Mist/Cloudy",J202=3,"Rain",J202=4,"Heavy Rain/Thunderstorm")</f>
        <v>Clear</v>
      </c>
      <c r="L202" s="10">
        <v>0.22</v>
      </c>
      <c r="M202" s="42" t="str" cm="1">
        <f t="array" ref="M202">_xlfn.IFS(L202&lt;0.15,"Cold",L202&lt;0.25,"Mild",L202&lt;=0.32,"Warm",L202&gt;=0.33,"Hot")</f>
        <v>Mild</v>
      </c>
    </row>
    <row r="203" spans="1:13" x14ac:dyDescent="0.3">
      <c r="A203" s="6">
        <v>202</v>
      </c>
      <c r="B203" s="7">
        <v>40552</v>
      </c>
      <c r="C203" s="8">
        <v>1</v>
      </c>
      <c r="D203" s="8">
        <v>0</v>
      </c>
      <c r="E203" s="8">
        <v>1</v>
      </c>
      <c r="F203" s="8">
        <v>16</v>
      </c>
      <c r="G203" s="8" t="str" cm="1">
        <f t="array" ref="G203">_xlfn.IFS(F203&lt;4,"Night",F203&lt;=6,"Early Morning",F203&lt;11,"Morning",F203&lt;12,"Afternoon",F203&lt;=16,"Afternoon",F203&lt;=20,"Evening",F203&gt;=21,"Night")</f>
        <v>Afternoon</v>
      </c>
      <c r="H203" s="8" t="b">
        <v>0</v>
      </c>
      <c r="I203" s="8">
        <v>0</v>
      </c>
      <c r="J203" s="8">
        <v>1</v>
      </c>
      <c r="K203" s="9" t="str" cm="1">
        <f t="array" ref="K203">_xlfn.IFS(J203=1,"Clear",J203=2,"Mist/Cloudy",J203=3,"Rain",J203=4,"Heavy Rain/Thunderstorm")</f>
        <v>Clear</v>
      </c>
      <c r="L203" s="10">
        <v>0.2</v>
      </c>
      <c r="M203" s="42" t="str" cm="1">
        <f t="array" ref="M203">_xlfn.IFS(L203&lt;0.15,"Cold",L203&lt;0.25,"Mild",L203&lt;=0.32,"Warm",L203&gt;=0.33,"Hot")</f>
        <v>Mild</v>
      </c>
    </row>
    <row r="204" spans="1:13" x14ac:dyDescent="0.3">
      <c r="A204" s="6">
        <v>203</v>
      </c>
      <c r="B204" s="7">
        <v>40552</v>
      </c>
      <c r="C204" s="8">
        <v>1</v>
      </c>
      <c r="D204" s="8">
        <v>0</v>
      </c>
      <c r="E204" s="8">
        <v>1</v>
      </c>
      <c r="F204" s="8">
        <v>17</v>
      </c>
      <c r="G204" s="8" t="str" cm="1">
        <f t="array" ref="G204">_xlfn.IFS(F204&lt;4,"Night",F204&lt;=6,"Early Morning",F204&lt;11,"Morning",F204&lt;12,"Afternoon",F204&lt;=16,"Afternoon",F204&lt;=20,"Evening",F204&gt;=21,"Night")</f>
        <v>Evening</v>
      </c>
      <c r="H204" s="8" t="b">
        <v>0</v>
      </c>
      <c r="I204" s="8">
        <v>0</v>
      </c>
      <c r="J204" s="8">
        <v>1</v>
      </c>
      <c r="K204" s="9" t="str" cm="1">
        <f t="array" ref="K204">_xlfn.IFS(J204=1,"Clear",J204=2,"Mist/Cloudy",J204=3,"Rain",J204=4,"Heavy Rain/Thunderstorm")</f>
        <v>Clear</v>
      </c>
      <c r="L204" s="10">
        <v>0.18</v>
      </c>
      <c r="M204" s="42" t="str" cm="1">
        <f t="array" ref="M204">_xlfn.IFS(L204&lt;0.15,"Cold",L204&lt;0.25,"Mild",L204&lt;=0.32,"Warm",L204&gt;=0.33,"Hot")</f>
        <v>Mild</v>
      </c>
    </row>
    <row r="205" spans="1:13" x14ac:dyDescent="0.3">
      <c r="A205" s="6">
        <v>204</v>
      </c>
      <c r="B205" s="7">
        <v>40552</v>
      </c>
      <c r="C205" s="8">
        <v>1</v>
      </c>
      <c r="D205" s="8">
        <v>0</v>
      </c>
      <c r="E205" s="8">
        <v>1</v>
      </c>
      <c r="F205" s="8">
        <v>18</v>
      </c>
      <c r="G205" s="8" t="str" cm="1">
        <f t="array" ref="G205">_xlfn.IFS(F205&lt;4,"Night",F205&lt;=6,"Early Morning",F205&lt;11,"Morning",F205&lt;12,"Afternoon",F205&lt;=16,"Afternoon",F205&lt;=20,"Evening",F205&gt;=21,"Night")</f>
        <v>Evening</v>
      </c>
      <c r="H205" s="8" t="b">
        <v>0</v>
      </c>
      <c r="I205" s="8">
        <v>0</v>
      </c>
      <c r="J205" s="8">
        <v>1</v>
      </c>
      <c r="K205" s="9" t="str" cm="1">
        <f t="array" ref="K205">_xlfn.IFS(J205=1,"Clear",J205=2,"Mist/Cloudy",J205=3,"Rain",J205=4,"Heavy Rain/Thunderstorm")</f>
        <v>Clear</v>
      </c>
      <c r="L205" s="10">
        <v>0.16</v>
      </c>
      <c r="M205" s="42" t="str" cm="1">
        <f t="array" ref="M205">_xlfn.IFS(L205&lt;0.15,"Cold",L205&lt;0.25,"Mild",L205&lt;=0.32,"Warm",L205&gt;=0.33,"Hot")</f>
        <v>Mild</v>
      </c>
    </row>
    <row r="206" spans="1:13" x14ac:dyDescent="0.3">
      <c r="A206" s="6">
        <v>205</v>
      </c>
      <c r="B206" s="7">
        <v>40552</v>
      </c>
      <c r="C206" s="8">
        <v>1</v>
      </c>
      <c r="D206" s="8">
        <v>0</v>
      </c>
      <c r="E206" s="8">
        <v>1</v>
      </c>
      <c r="F206" s="8">
        <v>19</v>
      </c>
      <c r="G206" s="8" t="str" cm="1">
        <f t="array" ref="G206">_xlfn.IFS(F206&lt;4,"Night",F206&lt;=6,"Early Morning",F206&lt;11,"Morning",F206&lt;12,"Afternoon",F206&lt;=16,"Afternoon",F206&lt;=20,"Evening",F206&gt;=21,"Night")</f>
        <v>Evening</v>
      </c>
      <c r="H206" s="8" t="b">
        <v>0</v>
      </c>
      <c r="I206" s="8">
        <v>0</v>
      </c>
      <c r="J206" s="8">
        <v>1</v>
      </c>
      <c r="K206" s="9" t="str" cm="1">
        <f t="array" ref="K206">_xlfn.IFS(J206=1,"Clear",J206=2,"Mist/Cloudy",J206=3,"Rain",J206=4,"Heavy Rain/Thunderstorm")</f>
        <v>Clear</v>
      </c>
      <c r="L206" s="10">
        <v>0.16</v>
      </c>
      <c r="M206" s="42" t="str" cm="1">
        <f t="array" ref="M206">_xlfn.IFS(L206&lt;0.15,"Cold",L206&lt;0.25,"Mild",L206&lt;=0.32,"Warm",L206&gt;=0.33,"Hot")</f>
        <v>Mild</v>
      </c>
    </row>
    <row r="207" spans="1:13" x14ac:dyDescent="0.3">
      <c r="A207" s="6">
        <v>206</v>
      </c>
      <c r="B207" s="7">
        <v>40552</v>
      </c>
      <c r="C207" s="8">
        <v>1</v>
      </c>
      <c r="D207" s="8">
        <v>0</v>
      </c>
      <c r="E207" s="8">
        <v>1</v>
      </c>
      <c r="F207" s="8">
        <v>20</v>
      </c>
      <c r="G207" s="8" t="str" cm="1">
        <f t="array" ref="G207">_xlfn.IFS(F207&lt;4,"Night",F207&lt;=6,"Early Morning",F207&lt;11,"Morning",F207&lt;12,"Afternoon",F207&lt;=16,"Afternoon",F207&lt;=20,"Evening",F207&gt;=21,"Night")</f>
        <v>Evening</v>
      </c>
      <c r="H207" s="8" t="b">
        <v>0</v>
      </c>
      <c r="I207" s="8">
        <v>0</v>
      </c>
      <c r="J207" s="8">
        <v>1</v>
      </c>
      <c r="K207" s="9" t="str" cm="1">
        <f t="array" ref="K207">_xlfn.IFS(J207=1,"Clear",J207=2,"Mist/Cloudy",J207=3,"Rain",J207=4,"Heavy Rain/Thunderstorm")</f>
        <v>Clear</v>
      </c>
      <c r="L207" s="10">
        <v>0.14000000000000001</v>
      </c>
      <c r="M207" s="42" t="str" cm="1">
        <f t="array" ref="M207">_xlfn.IFS(L207&lt;0.15,"Cold",L207&lt;0.25,"Mild",L207&lt;=0.32,"Warm",L207&gt;=0.33,"Hot")</f>
        <v>Cold</v>
      </c>
    </row>
    <row r="208" spans="1:13" x14ac:dyDescent="0.3">
      <c r="A208" s="6">
        <v>207</v>
      </c>
      <c r="B208" s="7">
        <v>40552</v>
      </c>
      <c r="C208" s="8">
        <v>1</v>
      </c>
      <c r="D208" s="8">
        <v>0</v>
      </c>
      <c r="E208" s="8">
        <v>1</v>
      </c>
      <c r="F208" s="8">
        <v>21</v>
      </c>
      <c r="G208" s="8" t="str" cm="1">
        <f t="array" ref="G208">_xlfn.IFS(F208&lt;4,"Night",F208&lt;=6,"Early Morning",F208&lt;11,"Morning",F208&lt;12,"Afternoon",F208&lt;=16,"Afternoon",F208&lt;=20,"Evening",F208&gt;=21,"Night")</f>
        <v>Night</v>
      </c>
      <c r="H208" s="8" t="b">
        <v>0</v>
      </c>
      <c r="I208" s="8">
        <v>0</v>
      </c>
      <c r="J208" s="8">
        <v>1</v>
      </c>
      <c r="K208" s="9" t="str" cm="1">
        <f t="array" ref="K208">_xlfn.IFS(J208=1,"Clear",J208=2,"Mist/Cloudy",J208=3,"Rain",J208=4,"Heavy Rain/Thunderstorm")</f>
        <v>Clear</v>
      </c>
      <c r="L208" s="10">
        <v>0.14000000000000001</v>
      </c>
      <c r="M208" s="42" t="str" cm="1">
        <f t="array" ref="M208">_xlfn.IFS(L208&lt;0.15,"Cold",L208&lt;0.25,"Mild",L208&lt;=0.32,"Warm",L208&gt;=0.33,"Hot")</f>
        <v>Cold</v>
      </c>
    </row>
    <row r="209" spans="1:13" x14ac:dyDescent="0.3">
      <c r="A209" s="6">
        <v>208</v>
      </c>
      <c r="B209" s="7">
        <v>40552</v>
      </c>
      <c r="C209" s="8">
        <v>1</v>
      </c>
      <c r="D209" s="8">
        <v>0</v>
      </c>
      <c r="E209" s="8">
        <v>1</v>
      </c>
      <c r="F209" s="8">
        <v>22</v>
      </c>
      <c r="G209" s="8" t="str" cm="1">
        <f t="array" ref="G209">_xlfn.IFS(F209&lt;4,"Night",F209&lt;=6,"Early Morning",F209&lt;11,"Morning",F209&lt;12,"Afternoon",F209&lt;=16,"Afternoon",F209&lt;=20,"Evening",F209&gt;=21,"Night")</f>
        <v>Night</v>
      </c>
      <c r="H209" s="8" t="b">
        <v>0</v>
      </c>
      <c r="I209" s="8">
        <v>0</v>
      </c>
      <c r="J209" s="8">
        <v>1</v>
      </c>
      <c r="K209" s="9" t="str" cm="1">
        <f t="array" ref="K209">_xlfn.IFS(J209=1,"Clear",J209=2,"Mist/Cloudy",J209=3,"Rain",J209=4,"Heavy Rain/Thunderstorm")</f>
        <v>Clear</v>
      </c>
      <c r="L209" s="10">
        <v>0.14000000000000001</v>
      </c>
      <c r="M209" s="42" t="str" cm="1">
        <f t="array" ref="M209">_xlfn.IFS(L209&lt;0.15,"Cold",L209&lt;0.25,"Mild",L209&lt;=0.32,"Warm",L209&gt;=0.33,"Hot")</f>
        <v>Cold</v>
      </c>
    </row>
    <row r="210" spans="1:13" x14ac:dyDescent="0.3">
      <c r="A210" s="6">
        <v>209</v>
      </c>
      <c r="B210" s="7">
        <v>40552</v>
      </c>
      <c r="C210" s="8">
        <v>1</v>
      </c>
      <c r="D210" s="8">
        <v>0</v>
      </c>
      <c r="E210" s="8">
        <v>1</v>
      </c>
      <c r="F210" s="8">
        <v>23</v>
      </c>
      <c r="G210" s="8" t="str" cm="1">
        <f t="array" ref="G210">_xlfn.IFS(F210&lt;4,"Night",F210&lt;=6,"Early Morning",F210&lt;11,"Morning",F210&lt;12,"Afternoon",F210&lt;=16,"Afternoon",F210&lt;=20,"Evening",F210&gt;=21,"Night")</f>
        <v>Night</v>
      </c>
      <c r="H210" s="8" t="b">
        <v>0</v>
      </c>
      <c r="I210" s="8">
        <v>0</v>
      </c>
      <c r="J210" s="8">
        <v>1</v>
      </c>
      <c r="K210" s="9" t="str" cm="1">
        <f t="array" ref="K210">_xlfn.IFS(J210=1,"Clear",J210=2,"Mist/Cloudy",J210=3,"Rain",J210=4,"Heavy Rain/Thunderstorm")</f>
        <v>Clear</v>
      </c>
      <c r="L210" s="10">
        <v>0.12</v>
      </c>
      <c r="M210" s="42" t="str" cm="1">
        <f t="array" ref="M210">_xlfn.IFS(L210&lt;0.15,"Cold",L210&lt;0.25,"Mild",L210&lt;=0.32,"Warm",L210&gt;=0.33,"Hot")</f>
        <v>Cold</v>
      </c>
    </row>
    <row r="211" spans="1:13" x14ac:dyDescent="0.3">
      <c r="A211" s="6">
        <v>210</v>
      </c>
      <c r="B211" s="7">
        <v>40553</v>
      </c>
      <c r="C211" s="8">
        <v>1</v>
      </c>
      <c r="D211" s="8">
        <v>0</v>
      </c>
      <c r="E211" s="8">
        <v>1</v>
      </c>
      <c r="F211" s="8">
        <v>0</v>
      </c>
      <c r="G211" s="8" t="str" cm="1">
        <f t="array" ref="G211">_xlfn.IFS(F211&lt;4,"Night",F211&lt;=6,"Early Morning",F211&lt;11,"Morning",F211&lt;12,"Afternoon",F211&lt;=16,"Afternoon",F211&lt;=20,"Evening",F211&gt;=21,"Night")</f>
        <v>Night</v>
      </c>
      <c r="H211" s="8" t="b">
        <v>0</v>
      </c>
      <c r="I211" s="8">
        <v>1</v>
      </c>
      <c r="J211" s="8">
        <v>1</v>
      </c>
      <c r="K211" s="9" t="str" cm="1">
        <f t="array" ref="K211">_xlfn.IFS(J211=1,"Clear",J211=2,"Mist/Cloudy",J211=3,"Rain",J211=4,"Heavy Rain/Thunderstorm")</f>
        <v>Clear</v>
      </c>
      <c r="L211" s="10">
        <v>0.12</v>
      </c>
      <c r="M211" s="42" t="str" cm="1">
        <f t="array" ref="M211">_xlfn.IFS(L211&lt;0.15,"Cold",L211&lt;0.25,"Mild",L211&lt;=0.32,"Warm",L211&gt;=0.33,"Hot")</f>
        <v>Cold</v>
      </c>
    </row>
    <row r="212" spans="1:13" x14ac:dyDescent="0.3">
      <c r="A212" s="6">
        <v>211</v>
      </c>
      <c r="B212" s="7">
        <v>40553</v>
      </c>
      <c r="C212" s="8">
        <v>1</v>
      </c>
      <c r="D212" s="8">
        <v>0</v>
      </c>
      <c r="E212" s="8">
        <v>1</v>
      </c>
      <c r="F212" s="8">
        <v>1</v>
      </c>
      <c r="G212" s="8" t="str" cm="1">
        <f t="array" ref="G212">_xlfn.IFS(F212&lt;4,"Night",F212&lt;=6,"Early Morning",F212&lt;11,"Morning",F212&lt;12,"Afternoon",F212&lt;=16,"Afternoon",F212&lt;=20,"Evening",F212&gt;=21,"Night")</f>
        <v>Night</v>
      </c>
      <c r="H212" s="8" t="b">
        <v>0</v>
      </c>
      <c r="I212" s="8">
        <v>1</v>
      </c>
      <c r="J212" s="8">
        <v>1</v>
      </c>
      <c r="K212" s="9" t="str" cm="1">
        <f t="array" ref="K212">_xlfn.IFS(J212=1,"Clear",J212=2,"Mist/Cloudy",J212=3,"Rain",J212=4,"Heavy Rain/Thunderstorm")</f>
        <v>Clear</v>
      </c>
      <c r="L212" s="10">
        <v>0.12</v>
      </c>
      <c r="M212" s="42" t="str" cm="1">
        <f t="array" ref="M212">_xlfn.IFS(L212&lt;0.15,"Cold",L212&lt;0.25,"Mild",L212&lt;=0.32,"Warm",L212&gt;=0.33,"Hot")</f>
        <v>Cold</v>
      </c>
    </row>
    <row r="213" spans="1:13" x14ac:dyDescent="0.3">
      <c r="A213" s="6">
        <v>212</v>
      </c>
      <c r="B213" s="7">
        <v>40553</v>
      </c>
      <c r="C213" s="8">
        <v>1</v>
      </c>
      <c r="D213" s="8">
        <v>0</v>
      </c>
      <c r="E213" s="8">
        <v>1</v>
      </c>
      <c r="F213" s="8">
        <v>2</v>
      </c>
      <c r="G213" s="8" t="str" cm="1">
        <f t="array" ref="G213">_xlfn.IFS(F213&lt;4,"Night",F213&lt;=6,"Early Morning",F213&lt;11,"Morning",F213&lt;12,"Afternoon",F213&lt;=16,"Afternoon",F213&lt;=20,"Evening",F213&gt;=21,"Night")</f>
        <v>Night</v>
      </c>
      <c r="H213" s="8" t="b">
        <v>0</v>
      </c>
      <c r="I213" s="8">
        <v>1</v>
      </c>
      <c r="J213" s="8">
        <v>1</v>
      </c>
      <c r="K213" s="9" t="str" cm="1">
        <f t="array" ref="K213">_xlfn.IFS(J213=1,"Clear",J213=2,"Mist/Cloudy",J213=3,"Rain",J213=4,"Heavy Rain/Thunderstorm")</f>
        <v>Clear</v>
      </c>
      <c r="L213" s="10">
        <v>0.12</v>
      </c>
      <c r="M213" s="42" t="str" cm="1">
        <f t="array" ref="M213">_xlfn.IFS(L213&lt;0.15,"Cold",L213&lt;0.25,"Mild",L213&lt;=0.32,"Warm",L213&gt;=0.33,"Hot")</f>
        <v>Cold</v>
      </c>
    </row>
    <row r="214" spans="1:13" x14ac:dyDescent="0.3">
      <c r="A214" s="6">
        <v>213</v>
      </c>
      <c r="B214" s="7">
        <v>40553</v>
      </c>
      <c r="C214" s="8">
        <v>1</v>
      </c>
      <c r="D214" s="8">
        <v>0</v>
      </c>
      <c r="E214" s="8">
        <v>1</v>
      </c>
      <c r="F214" s="8">
        <v>3</v>
      </c>
      <c r="G214" s="8" t="str" cm="1">
        <f t="array" ref="G214">_xlfn.IFS(F214&lt;4,"Night",F214&lt;=6,"Early Morning",F214&lt;11,"Morning",F214&lt;12,"Afternoon",F214&lt;=16,"Afternoon",F214&lt;=20,"Evening",F214&gt;=21,"Night")</f>
        <v>Night</v>
      </c>
      <c r="H214" s="8" t="b">
        <v>0</v>
      </c>
      <c r="I214" s="8">
        <v>1</v>
      </c>
      <c r="J214" s="8">
        <v>1</v>
      </c>
      <c r="K214" s="9" t="str" cm="1">
        <f t="array" ref="K214">_xlfn.IFS(J214=1,"Clear",J214=2,"Mist/Cloudy",J214=3,"Rain",J214=4,"Heavy Rain/Thunderstorm")</f>
        <v>Clear</v>
      </c>
      <c r="L214" s="10">
        <v>0.12</v>
      </c>
      <c r="M214" s="42" t="str" cm="1">
        <f t="array" ref="M214">_xlfn.IFS(L214&lt;0.15,"Cold",L214&lt;0.25,"Mild",L214&lt;=0.32,"Warm",L214&gt;=0.33,"Hot")</f>
        <v>Cold</v>
      </c>
    </row>
    <row r="215" spans="1:13" x14ac:dyDescent="0.3">
      <c r="A215" s="6">
        <v>214</v>
      </c>
      <c r="B215" s="7">
        <v>40553</v>
      </c>
      <c r="C215" s="8">
        <v>1</v>
      </c>
      <c r="D215" s="8">
        <v>0</v>
      </c>
      <c r="E215" s="8">
        <v>1</v>
      </c>
      <c r="F215" s="8">
        <v>4</v>
      </c>
      <c r="G215" s="8" t="str" cm="1">
        <f t="array" ref="G215">_xlfn.IFS(F215&lt;4,"Night",F215&lt;=6,"Early Morning",F215&lt;11,"Morning",F215&lt;12,"Afternoon",F215&lt;=16,"Afternoon",F215&lt;=20,"Evening",F215&gt;=21,"Night")</f>
        <v>Early Morning</v>
      </c>
      <c r="H215" s="8" t="b">
        <v>0</v>
      </c>
      <c r="I215" s="8">
        <v>1</v>
      </c>
      <c r="J215" s="8">
        <v>1</v>
      </c>
      <c r="K215" s="9" t="str" cm="1">
        <f t="array" ref="K215">_xlfn.IFS(J215=1,"Clear",J215=2,"Mist/Cloudy",J215=3,"Rain",J215=4,"Heavy Rain/Thunderstorm")</f>
        <v>Clear</v>
      </c>
      <c r="L215" s="10">
        <v>0.1</v>
      </c>
      <c r="M215" s="42" t="str" cm="1">
        <f t="array" ref="M215">_xlfn.IFS(L215&lt;0.15,"Cold",L215&lt;0.25,"Mild",L215&lt;=0.32,"Warm",L215&gt;=0.33,"Hot")</f>
        <v>Cold</v>
      </c>
    </row>
    <row r="216" spans="1:13" x14ac:dyDescent="0.3">
      <c r="A216" s="6">
        <v>215</v>
      </c>
      <c r="B216" s="7">
        <v>40553</v>
      </c>
      <c r="C216" s="8">
        <v>1</v>
      </c>
      <c r="D216" s="8">
        <v>0</v>
      </c>
      <c r="E216" s="8">
        <v>1</v>
      </c>
      <c r="F216" s="8">
        <v>5</v>
      </c>
      <c r="G216" s="8" t="str" cm="1">
        <f t="array" ref="G216">_xlfn.IFS(F216&lt;4,"Night",F216&lt;=6,"Early Morning",F216&lt;11,"Morning",F216&lt;12,"Afternoon",F216&lt;=16,"Afternoon",F216&lt;=20,"Evening",F216&gt;=21,"Night")</f>
        <v>Early Morning</v>
      </c>
      <c r="H216" s="8" t="b">
        <v>0</v>
      </c>
      <c r="I216" s="8">
        <v>1</v>
      </c>
      <c r="J216" s="8">
        <v>1</v>
      </c>
      <c r="K216" s="9" t="str" cm="1">
        <f t="array" ref="K216">_xlfn.IFS(J216=1,"Clear",J216=2,"Mist/Cloudy",J216=3,"Rain",J216=4,"Heavy Rain/Thunderstorm")</f>
        <v>Clear</v>
      </c>
      <c r="L216" s="10">
        <v>0.1</v>
      </c>
      <c r="M216" s="42" t="str" cm="1">
        <f t="array" ref="M216">_xlfn.IFS(L216&lt;0.15,"Cold",L216&lt;0.25,"Mild",L216&lt;=0.32,"Warm",L216&gt;=0.33,"Hot")</f>
        <v>Cold</v>
      </c>
    </row>
    <row r="217" spans="1:13" x14ac:dyDescent="0.3">
      <c r="A217" s="6">
        <v>216</v>
      </c>
      <c r="B217" s="7">
        <v>40553</v>
      </c>
      <c r="C217" s="8">
        <v>1</v>
      </c>
      <c r="D217" s="8">
        <v>0</v>
      </c>
      <c r="E217" s="8">
        <v>1</v>
      </c>
      <c r="F217" s="8">
        <v>6</v>
      </c>
      <c r="G217" s="8" t="str" cm="1">
        <f t="array" ref="G217">_xlfn.IFS(F217&lt;4,"Night",F217&lt;=6,"Early Morning",F217&lt;11,"Morning",F217&lt;12,"Afternoon",F217&lt;=16,"Afternoon",F217&lt;=20,"Evening",F217&gt;=21,"Night")</f>
        <v>Early Morning</v>
      </c>
      <c r="H217" s="8" t="b">
        <v>0</v>
      </c>
      <c r="I217" s="8">
        <v>1</v>
      </c>
      <c r="J217" s="8">
        <v>1</v>
      </c>
      <c r="K217" s="9" t="str" cm="1">
        <f t="array" ref="K217">_xlfn.IFS(J217=1,"Clear",J217=2,"Mist/Cloudy",J217=3,"Rain",J217=4,"Heavy Rain/Thunderstorm")</f>
        <v>Clear</v>
      </c>
      <c r="L217" s="10">
        <v>0.12</v>
      </c>
      <c r="M217" s="42" t="str" cm="1">
        <f t="array" ref="M217">_xlfn.IFS(L217&lt;0.15,"Cold",L217&lt;0.25,"Mild",L217&lt;=0.32,"Warm",L217&gt;=0.33,"Hot")</f>
        <v>Cold</v>
      </c>
    </row>
    <row r="218" spans="1:13" x14ac:dyDescent="0.3">
      <c r="A218" s="6">
        <v>217</v>
      </c>
      <c r="B218" s="7">
        <v>40553</v>
      </c>
      <c r="C218" s="8">
        <v>1</v>
      </c>
      <c r="D218" s="8">
        <v>0</v>
      </c>
      <c r="E218" s="8">
        <v>1</v>
      </c>
      <c r="F218" s="8">
        <v>7</v>
      </c>
      <c r="G218" s="8" t="str" cm="1">
        <f t="array" ref="G218">_xlfn.IFS(F218&lt;4,"Night",F218&lt;=6,"Early Morning",F218&lt;11,"Morning",F218&lt;12,"Afternoon",F218&lt;=16,"Afternoon",F218&lt;=20,"Evening",F218&gt;=21,"Night")</f>
        <v>Morning</v>
      </c>
      <c r="H218" s="8" t="b">
        <v>0</v>
      </c>
      <c r="I218" s="8">
        <v>1</v>
      </c>
      <c r="J218" s="8">
        <v>1</v>
      </c>
      <c r="K218" s="9" t="str" cm="1">
        <f t="array" ref="K218">_xlfn.IFS(J218=1,"Clear",J218=2,"Mist/Cloudy",J218=3,"Rain",J218=4,"Heavy Rain/Thunderstorm")</f>
        <v>Clear</v>
      </c>
      <c r="L218" s="10">
        <v>0.12</v>
      </c>
      <c r="M218" s="42" t="str" cm="1">
        <f t="array" ref="M218">_xlfn.IFS(L218&lt;0.15,"Cold",L218&lt;0.25,"Mild",L218&lt;=0.32,"Warm",L218&gt;=0.33,"Hot")</f>
        <v>Cold</v>
      </c>
    </row>
    <row r="219" spans="1:13" x14ac:dyDescent="0.3">
      <c r="A219" s="6">
        <v>218</v>
      </c>
      <c r="B219" s="7">
        <v>40553</v>
      </c>
      <c r="C219" s="8">
        <v>1</v>
      </c>
      <c r="D219" s="8">
        <v>0</v>
      </c>
      <c r="E219" s="8">
        <v>1</v>
      </c>
      <c r="F219" s="8">
        <v>8</v>
      </c>
      <c r="G219" s="8" t="str" cm="1">
        <f t="array" ref="G219">_xlfn.IFS(F219&lt;4,"Night",F219&lt;=6,"Early Morning",F219&lt;11,"Morning",F219&lt;12,"Afternoon",F219&lt;=16,"Afternoon",F219&lt;=20,"Evening",F219&gt;=21,"Night")</f>
        <v>Morning</v>
      </c>
      <c r="H219" s="8" t="b">
        <v>0</v>
      </c>
      <c r="I219" s="8">
        <v>1</v>
      </c>
      <c r="J219" s="8">
        <v>2</v>
      </c>
      <c r="K219" s="9" t="str" cm="1">
        <f t="array" ref="K219">_xlfn.IFS(J219=1,"Clear",J219=2,"Mist/Cloudy",J219=3,"Rain",J219=4,"Heavy Rain/Thunderstorm")</f>
        <v>Mist/Cloudy</v>
      </c>
      <c r="L219" s="10">
        <v>0.12</v>
      </c>
      <c r="M219" s="42" t="str" cm="1">
        <f t="array" ref="M219">_xlfn.IFS(L219&lt;0.15,"Cold",L219&lt;0.25,"Mild",L219&lt;=0.32,"Warm",L219&gt;=0.33,"Hot")</f>
        <v>Cold</v>
      </c>
    </row>
    <row r="220" spans="1:13" x14ac:dyDescent="0.3">
      <c r="A220" s="6">
        <v>219</v>
      </c>
      <c r="B220" s="7">
        <v>40553</v>
      </c>
      <c r="C220" s="8">
        <v>1</v>
      </c>
      <c r="D220" s="8">
        <v>0</v>
      </c>
      <c r="E220" s="8">
        <v>1</v>
      </c>
      <c r="F220" s="8">
        <v>9</v>
      </c>
      <c r="G220" s="8" t="str" cm="1">
        <f t="array" ref="G220">_xlfn.IFS(F220&lt;4,"Night",F220&lt;=6,"Early Morning",F220&lt;11,"Morning",F220&lt;12,"Afternoon",F220&lt;=16,"Afternoon",F220&lt;=20,"Evening",F220&gt;=21,"Night")</f>
        <v>Morning</v>
      </c>
      <c r="H220" s="8" t="b">
        <v>0</v>
      </c>
      <c r="I220" s="8">
        <v>1</v>
      </c>
      <c r="J220" s="8">
        <v>2</v>
      </c>
      <c r="K220" s="9" t="str" cm="1">
        <f t="array" ref="K220">_xlfn.IFS(J220=1,"Clear",J220=2,"Mist/Cloudy",J220=3,"Rain",J220=4,"Heavy Rain/Thunderstorm")</f>
        <v>Mist/Cloudy</v>
      </c>
      <c r="L220" s="10">
        <v>0.14000000000000001</v>
      </c>
      <c r="M220" s="42" t="str" cm="1">
        <f t="array" ref="M220">_xlfn.IFS(L220&lt;0.15,"Cold",L220&lt;0.25,"Mild",L220&lt;=0.32,"Warm",L220&gt;=0.33,"Hot")</f>
        <v>Cold</v>
      </c>
    </row>
    <row r="221" spans="1:13" x14ac:dyDescent="0.3">
      <c r="A221" s="6">
        <v>220</v>
      </c>
      <c r="B221" s="7">
        <v>40553</v>
      </c>
      <c r="C221" s="8">
        <v>1</v>
      </c>
      <c r="D221" s="8">
        <v>0</v>
      </c>
      <c r="E221" s="8">
        <v>1</v>
      </c>
      <c r="F221" s="8">
        <v>10</v>
      </c>
      <c r="G221" s="8" t="str" cm="1">
        <f t="array" ref="G221">_xlfn.IFS(F221&lt;4,"Night",F221&lt;=6,"Early Morning",F221&lt;11,"Morning",F221&lt;12,"Afternoon",F221&lt;=16,"Afternoon",F221&lt;=20,"Evening",F221&gt;=21,"Night")</f>
        <v>Morning</v>
      </c>
      <c r="H221" s="8" t="b">
        <v>0</v>
      </c>
      <c r="I221" s="8">
        <v>1</v>
      </c>
      <c r="J221" s="8">
        <v>2</v>
      </c>
      <c r="K221" s="9" t="str" cm="1">
        <f t="array" ref="K221">_xlfn.IFS(J221=1,"Clear",J221=2,"Mist/Cloudy",J221=3,"Rain",J221=4,"Heavy Rain/Thunderstorm")</f>
        <v>Mist/Cloudy</v>
      </c>
      <c r="L221" s="10">
        <v>0.14000000000000001</v>
      </c>
      <c r="M221" s="42" t="str" cm="1">
        <f t="array" ref="M221">_xlfn.IFS(L221&lt;0.15,"Cold",L221&lt;0.25,"Mild",L221&lt;=0.32,"Warm",L221&gt;=0.33,"Hot")</f>
        <v>Cold</v>
      </c>
    </row>
    <row r="222" spans="1:13" x14ac:dyDescent="0.3">
      <c r="A222" s="6">
        <v>221</v>
      </c>
      <c r="B222" s="7">
        <v>40553</v>
      </c>
      <c r="C222" s="8">
        <v>1</v>
      </c>
      <c r="D222" s="8">
        <v>0</v>
      </c>
      <c r="E222" s="8">
        <v>1</v>
      </c>
      <c r="F222" s="8">
        <v>11</v>
      </c>
      <c r="G222" s="8" t="str" cm="1">
        <f t="array" ref="G222">_xlfn.IFS(F222&lt;4,"Night",F222&lt;=6,"Early Morning",F222&lt;11,"Morning",F222&lt;12,"Afternoon",F222&lt;=16,"Afternoon",F222&lt;=20,"Evening",F222&gt;=21,"Night")</f>
        <v>Afternoon</v>
      </c>
      <c r="H222" s="8" t="b">
        <v>0</v>
      </c>
      <c r="I222" s="8">
        <v>1</v>
      </c>
      <c r="J222" s="8">
        <v>2</v>
      </c>
      <c r="K222" s="9" t="str" cm="1">
        <f t="array" ref="K222">_xlfn.IFS(J222=1,"Clear",J222=2,"Mist/Cloudy",J222=3,"Rain",J222=4,"Heavy Rain/Thunderstorm")</f>
        <v>Mist/Cloudy</v>
      </c>
      <c r="L222" s="10">
        <v>0.16</v>
      </c>
      <c r="M222" s="42" t="str" cm="1">
        <f t="array" ref="M222">_xlfn.IFS(L222&lt;0.15,"Cold",L222&lt;0.25,"Mild",L222&lt;=0.32,"Warm",L222&gt;=0.33,"Hot")</f>
        <v>Mild</v>
      </c>
    </row>
    <row r="223" spans="1:13" x14ac:dyDescent="0.3">
      <c r="A223" s="6">
        <v>222</v>
      </c>
      <c r="B223" s="7">
        <v>40553</v>
      </c>
      <c r="C223" s="8">
        <v>1</v>
      </c>
      <c r="D223" s="8">
        <v>0</v>
      </c>
      <c r="E223" s="8">
        <v>1</v>
      </c>
      <c r="F223" s="8">
        <v>12</v>
      </c>
      <c r="G223" s="8" t="str" cm="1">
        <f t="array" ref="G223">_xlfn.IFS(F223&lt;4,"Night",F223&lt;=6,"Early Morning",F223&lt;11,"Morning",F223&lt;12,"Afternoon",F223&lt;=16,"Afternoon",F223&lt;=20,"Evening",F223&gt;=21,"Night")</f>
        <v>Afternoon</v>
      </c>
      <c r="H223" s="8" t="b">
        <v>0</v>
      </c>
      <c r="I223" s="8">
        <v>1</v>
      </c>
      <c r="J223" s="8">
        <v>2</v>
      </c>
      <c r="K223" s="9" t="str" cm="1">
        <f t="array" ref="K223">_xlfn.IFS(J223=1,"Clear",J223=2,"Mist/Cloudy",J223=3,"Rain",J223=4,"Heavy Rain/Thunderstorm")</f>
        <v>Mist/Cloudy</v>
      </c>
      <c r="L223" s="10">
        <v>0.2</v>
      </c>
      <c r="M223" s="42" t="str" cm="1">
        <f t="array" ref="M223">_xlfn.IFS(L223&lt;0.15,"Cold",L223&lt;0.25,"Mild",L223&lt;=0.32,"Warm",L223&gt;=0.33,"Hot")</f>
        <v>Mild</v>
      </c>
    </row>
    <row r="224" spans="1:13" x14ac:dyDescent="0.3">
      <c r="A224" s="6">
        <v>223</v>
      </c>
      <c r="B224" s="7">
        <v>40553</v>
      </c>
      <c r="C224" s="8">
        <v>1</v>
      </c>
      <c r="D224" s="8">
        <v>0</v>
      </c>
      <c r="E224" s="8">
        <v>1</v>
      </c>
      <c r="F224" s="8">
        <v>13</v>
      </c>
      <c r="G224" s="8" t="str" cm="1">
        <f t="array" ref="G224">_xlfn.IFS(F224&lt;4,"Night",F224&lt;=6,"Early Morning",F224&lt;11,"Morning",F224&lt;12,"Afternoon",F224&lt;=16,"Afternoon",F224&lt;=20,"Evening",F224&gt;=21,"Night")</f>
        <v>Afternoon</v>
      </c>
      <c r="H224" s="8" t="b">
        <v>0</v>
      </c>
      <c r="I224" s="8">
        <v>1</v>
      </c>
      <c r="J224" s="8">
        <v>2</v>
      </c>
      <c r="K224" s="9" t="str" cm="1">
        <f t="array" ref="K224">_xlfn.IFS(J224=1,"Clear",J224=2,"Mist/Cloudy",J224=3,"Rain",J224=4,"Heavy Rain/Thunderstorm")</f>
        <v>Mist/Cloudy</v>
      </c>
      <c r="L224" s="10">
        <v>0.2</v>
      </c>
      <c r="M224" s="42" t="str" cm="1">
        <f t="array" ref="M224">_xlfn.IFS(L224&lt;0.15,"Cold",L224&lt;0.25,"Mild",L224&lt;=0.32,"Warm",L224&gt;=0.33,"Hot")</f>
        <v>Mild</v>
      </c>
    </row>
    <row r="225" spans="1:13" x14ac:dyDescent="0.3">
      <c r="A225" s="6">
        <v>224</v>
      </c>
      <c r="B225" s="7">
        <v>40553</v>
      </c>
      <c r="C225" s="8">
        <v>1</v>
      </c>
      <c r="D225" s="8">
        <v>0</v>
      </c>
      <c r="E225" s="8">
        <v>1</v>
      </c>
      <c r="F225" s="8">
        <v>14</v>
      </c>
      <c r="G225" s="8" t="str" cm="1">
        <f t="array" ref="G225">_xlfn.IFS(F225&lt;4,"Night",F225&lt;=6,"Early Morning",F225&lt;11,"Morning",F225&lt;12,"Afternoon",F225&lt;=16,"Afternoon",F225&lt;=20,"Evening",F225&gt;=21,"Night")</f>
        <v>Afternoon</v>
      </c>
      <c r="H225" s="8" t="b">
        <v>0</v>
      </c>
      <c r="I225" s="8">
        <v>1</v>
      </c>
      <c r="J225" s="8">
        <v>2</v>
      </c>
      <c r="K225" s="9" t="str" cm="1">
        <f t="array" ref="K225">_xlfn.IFS(J225=1,"Clear",J225=2,"Mist/Cloudy",J225=3,"Rain",J225=4,"Heavy Rain/Thunderstorm")</f>
        <v>Mist/Cloudy</v>
      </c>
      <c r="L225" s="10">
        <v>0.2</v>
      </c>
      <c r="M225" s="42" t="str" cm="1">
        <f t="array" ref="M225">_xlfn.IFS(L225&lt;0.15,"Cold",L225&lt;0.25,"Mild",L225&lt;=0.32,"Warm",L225&gt;=0.33,"Hot")</f>
        <v>Mild</v>
      </c>
    </row>
    <row r="226" spans="1:13" x14ac:dyDescent="0.3">
      <c r="A226" s="6">
        <v>225</v>
      </c>
      <c r="B226" s="7">
        <v>40553</v>
      </c>
      <c r="C226" s="8">
        <v>1</v>
      </c>
      <c r="D226" s="8">
        <v>0</v>
      </c>
      <c r="E226" s="8">
        <v>1</v>
      </c>
      <c r="F226" s="8">
        <v>15</v>
      </c>
      <c r="G226" s="8" t="str" cm="1">
        <f t="array" ref="G226">_xlfn.IFS(F226&lt;4,"Night",F226&lt;=6,"Early Morning",F226&lt;11,"Morning",F226&lt;12,"Afternoon",F226&lt;=16,"Afternoon",F226&lt;=20,"Evening",F226&gt;=21,"Night")</f>
        <v>Afternoon</v>
      </c>
      <c r="H226" s="8" t="b">
        <v>0</v>
      </c>
      <c r="I226" s="8">
        <v>1</v>
      </c>
      <c r="J226" s="8">
        <v>2</v>
      </c>
      <c r="K226" s="9" t="str" cm="1">
        <f t="array" ref="K226">_xlfn.IFS(J226=1,"Clear",J226=2,"Mist/Cloudy",J226=3,"Rain",J226=4,"Heavy Rain/Thunderstorm")</f>
        <v>Mist/Cloudy</v>
      </c>
      <c r="L226" s="10">
        <v>0.2</v>
      </c>
      <c r="M226" s="42" t="str" cm="1">
        <f t="array" ref="M226">_xlfn.IFS(L226&lt;0.15,"Cold",L226&lt;0.25,"Mild",L226&lt;=0.32,"Warm",L226&gt;=0.33,"Hot")</f>
        <v>Mild</v>
      </c>
    </row>
    <row r="227" spans="1:13" x14ac:dyDescent="0.3">
      <c r="A227" s="6">
        <v>226</v>
      </c>
      <c r="B227" s="7">
        <v>40553</v>
      </c>
      <c r="C227" s="8">
        <v>1</v>
      </c>
      <c r="D227" s="8">
        <v>0</v>
      </c>
      <c r="E227" s="8">
        <v>1</v>
      </c>
      <c r="F227" s="8">
        <v>16</v>
      </c>
      <c r="G227" s="8" t="str" cm="1">
        <f t="array" ref="G227">_xlfn.IFS(F227&lt;4,"Night",F227&lt;=6,"Early Morning",F227&lt;11,"Morning",F227&lt;12,"Afternoon",F227&lt;=16,"Afternoon",F227&lt;=20,"Evening",F227&gt;=21,"Night")</f>
        <v>Afternoon</v>
      </c>
      <c r="H227" s="8" t="b">
        <v>0</v>
      </c>
      <c r="I227" s="8">
        <v>1</v>
      </c>
      <c r="J227" s="8">
        <v>1</v>
      </c>
      <c r="K227" s="9" t="str" cm="1">
        <f t="array" ref="K227">_xlfn.IFS(J227=1,"Clear",J227=2,"Mist/Cloudy",J227=3,"Rain",J227=4,"Heavy Rain/Thunderstorm")</f>
        <v>Clear</v>
      </c>
      <c r="L227" s="10">
        <v>0.2</v>
      </c>
      <c r="M227" s="42" t="str" cm="1">
        <f t="array" ref="M227">_xlfn.IFS(L227&lt;0.15,"Cold",L227&lt;0.25,"Mild",L227&lt;=0.32,"Warm",L227&gt;=0.33,"Hot")</f>
        <v>Mild</v>
      </c>
    </row>
    <row r="228" spans="1:13" x14ac:dyDescent="0.3">
      <c r="A228" s="6">
        <v>227</v>
      </c>
      <c r="B228" s="7">
        <v>40553</v>
      </c>
      <c r="C228" s="8">
        <v>1</v>
      </c>
      <c r="D228" s="8">
        <v>0</v>
      </c>
      <c r="E228" s="8">
        <v>1</v>
      </c>
      <c r="F228" s="8">
        <v>17</v>
      </c>
      <c r="G228" s="8" t="str" cm="1">
        <f t="array" ref="G228">_xlfn.IFS(F228&lt;4,"Night",F228&lt;=6,"Early Morning",F228&lt;11,"Morning",F228&lt;12,"Afternoon",F228&lt;=16,"Afternoon",F228&lt;=20,"Evening",F228&gt;=21,"Night")</f>
        <v>Evening</v>
      </c>
      <c r="H228" s="8" t="b">
        <v>0</v>
      </c>
      <c r="I228" s="8">
        <v>1</v>
      </c>
      <c r="J228" s="8">
        <v>1</v>
      </c>
      <c r="K228" s="9" t="str" cm="1">
        <f t="array" ref="K228">_xlfn.IFS(J228=1,"Clear",J228=2,"Mist/Cloudy",J228=3,"Rain",J228=4,"Heavy Rain/Thunderstorm")</f>
        <v>Clear</v>
      </c>
      <c r="L228" s="10">
        <v>0.2</v>
      </c>
      <c r="M228" s="42" t="str" cm="1">
        <f t="array" ref="M228">_xlfn.IFS(L228&lt;0.15,"Cold",L228&lt;0.25,"Mild",L228&lt;=0.32,"Warm",L228&gt;=0.33,"Hot")</f>
        <v>Mild</v>
      </c>
    </row>
    <row r="229" spans="1:13" x14ac:dyDescent="0.3">
      <c r="A229" s="6">
        <v>228</v>
      </c>
      <c r="B229" s="7">
        <v>40553</v>
      </c>
      <c r="C229" s="8">
        <v>1</v>
      </c>
      <c r="D229" s="8">
        <v>0</v>
      </c>
      <c r="E229" s="8">
        <v>1</v>
      </c>
      <c r="F229" s="8">
        <v>18</v>
      </c>
      <c r="G229" s="8" t="str" cm="1">
        <f t="array" ref="G229">_xlfn.IFS(F229&lt;4,"Night",F229&lt;=6,"Early Morning",F229&lt;11,"Morning",F229&lt;12,"Afternoon",F229&lt;=16,"Afternoon",F229&lt;=20,"Evening",F229&gt;=21,"Night")</f>
        <v>Evening</v>
      </c>
      <c r="H229" s="8" t="b">
        <v>0</v>
      </c>
      <c r="I229" s="8">
        <v>1</v>
      </c>
      <c r="J229" s="8">
        <v>1</v>
      </c>
      <c r="K229" s="9" t="str" cm="1">
        <f t="array" ref="K229">_xlfn.IFS(J229=1,"Clear",J229=2,"Mist/Cloudy",J229=3,"Rain",J229=4,"Heavy Rain/Thunderstorm")</f>
        <v>Clear</v>
      </c>
      <c r="L229" s="10">
        <v>0.2</v>
      </c>
      <c r="M229" s="42" t="str" cm="1">
        <f t="array" ref="M229">_xlfn.IFS(L229&lt;0.15,"Cold",L229&lt;0.25,"Mild",L229&lt;=0.32,"Warm",L229&gt;=0.33,"Hot")</f>
        <v>Mild</v>
      </c>
    </row>
    <row r="230" spans="1:13" x14ac:dyDescent="0.3">
      <c r="A230" s="6">
        <v>229</v>
      </c>
      <c r="B230" s="7">
        <v>40553</v>
      </c>
      <c r="C230" s="8">
        <v>1</v>
      </c>
      <c r="D230" s="8">
        <v>0</v>
      </c>
      <c r="E230" s="8">
        <v>1</v>
      </c>
      <c r="F230" s="8">
        <v>19</v>
      </c>
      <c r="G230" s="8" t="str" cm="1">
        <f t="array" ref="G230">_xlfn.IFS(F230&lt;4,"Night",F230&lt;=6,"Early Morning",F230&lt;11,"Morning",F230&lt;12,"Afternoon",F230&lt;=16,"Afternoon",F230&lt;=20,"Evening",F230&gt;=21,"Night")</f>
        <v>Evening</v>
      </c>
      <c r="H230" s="8" t="b">
        <v>0</v>
      </c>
      <c r="I230" s="8">
        <v>1</v>
      </c>
      <c r="J230" s="8">
        <v>1</v>
      </c>
      <c r="K230" s="9" t="str" cm="1">
        <f t="array" ref="K230">_xlfn.IFS(J230=1,"Clear",J230=2,"Mist/Cloudy",J230=3,"Rain",J230=4,"Heavy Rain/Thunderstorm")</f>
        <v>Clear</v>
      </c>
      <c r="L230" s="10">
        <v>0.16</v>
      </c>
      <c r="M230" s="42" t="str" cm="1">
        <f t="array" ref="M230">_xlfn.IFS(L230&lt;0.15,"Cold",L230&lt;0.25,"Mild",L230&lt;=0.32,"Warm",L230&gt;=0.33,"Hot")</f>
        <v>Mild</v>
      </c>
    </row>
    <row r="231" spans="1:13" x14ac:dyDescent="0.3">
      <c r="A231" s="6">
        <v>230</v>
      </c>
      <c r="B231" s="7">
        <v>40553</v>
      </c>
      <c r="C231" s="8">
        <v>1</v>
      </c>
      <c r="D231" s="8">
        <v>0</v>
      </c>
      <c r="E231" s="8">
        <v>1</v>
      </c>
      <c r="F231" s="8">
        <v>20</v>
      </c>
      <c r="G231" s="8" t="str" cm="1">
        <f t="array" ref="G231">_xlfn.IFS(F231&lt;4,"Night",F231&lt;=6,"Early Morning",F231&lt;11,"Morning",F231&lt;12,"Afternoon",F231&lt;=16,"Afternoon",F231&lt;=20,"Evening",F231&gt;=21,"Night")</f>
        <v>Evening</v>
      </c>
      <c r="H231" s="8" t="b">
        <v>0</v>
      </c>
      <c r="I231" s="8">
        <v>1</v>
      </c>
      <c r="J231" s="8">
        <v>1</v>
      </c>
      <c r="K231" s="9" t="str" cm="1">
        <f t="array" ref="K231">_xlfn.IFS(J231=1,"Clear",J231=2,"Mist/Cloudy",J231=3,"Rain",J231=4,"Heavy Rain/Thunderstorm")</f>
        <v>Clear</v>
      </c>
      <c r="L231" s="10">
        <v>0.16</v>
      </c>
      <c r="M231" s="42" t="str" cm="1">
        <f t="array" ref="M231">_xlfn.IFS(L231&lt;0.15,"Cold",L231&lt;0.25,"Mild",L231&lt;=0.32,"Warm",L231&gt;=0.33,"Hot")</f>
        <v>Mild</v>
      </c>
    </row>
    <row r="232" spans="1:13" x14ac:dyDescent="0.3">
      <c r="A232" s="6">
        <v>231</v>
      </c>
      <c r="B232" s="7">
        <v>40553</v>
      </c>
      <c r="C232" s="8">
        <v>1</v>
      </c>
      <c r="D232" s="8">
        <v>0</v>
      </c>
      <c r="E232" s="8">
        <v>1</v>
      </c>
      <c r="F232" s="8">
        <v>21</v>
      </c>
      <c r="G232" s="8" t="str" cm="1">
        <f t="array" ref="G232">_xlfn.IFS(F232&lt;4,"Night",F232&lt;=6,"Early Morning",F232&lt;11,"Morning",F232&lt;12,"Afternoon",F232&lt;=16,"Afternoon",F232&lt;=20,"Evening",F232&gt;=21,"Night")</f>
        <v>Night</v>
      </c>
      <c r="H232" s="8" t="b">
        <v>0</v>
      </c>
      <c r="I232" s="8">
        <v>1</v>
      </c>
      <c r="J232" s="8">
        <v>1</v>
      </c>
      <c r="K232" s="9" t="str" cm="1">
        <f t="array" ref="K232">_xlfn.IFS(J232=1,"Clear",J232=2,"Mist/Cloudy",J232=3,"Rain",J232=4,"Heavy Rain/Thunderstorm")</f>
        <v>Clear</v>
      </c>
      <c r="L232" s="10">
        <v>0.14000000000000001</v>
      </c>
      <c r="M232" s="42" t="str" cm="1">
        <f t="array" ref="M232">_xlfn.IFS(L232&lt;0.15,"Cold",L232&lt;0.25,"Mild",L232&lt;=0.32,"Warm",L232&gt;=0.33,"Hot")</f>
        <v>Cold</v>
      </c>
    </row>
    <row r="233" spans="1:13" x14ac:dyDescent="0.3">
      <c r="A233" s="6">
        <v>232</v>
      </c>
      <c r="B233" s="7">
        <v>40553</v>
      </c>
      <c r="C233" s="8">
        <v>1</v>
      </c>
      <c r="D233" s="8">
        <v>0</v>
      </c>
      <c r="E233" s="8">
        <v>1</v>
      </c>
      <c r="F233" s="8">
        <v>22</v>
      </c>
      <c r="G233" s="8" t="str" cm="1">
        <f t="array" ref="G233">_xlfn.IFS(F233&lt;4,"Night",F233&lt;=6,"Early Morning",F233&lt;11,"Morning",F233&lt;12,"Afternoon",F233&lt;=16,"Afternoon",F233&lt;=20,"Evening",F233&gt;=21,"Night")</f>
        <v>Night</v>
      </c>
      <c r="H233" s="8" t="b">
        <v>0</v>
      </c>
      <c r="I233" s="8">
        <v>1</v>
      </c>
      <c r="J233" s="8">
        <v>1</v>
      </c>
      <c r="K233" s="9" t="str" cm="1">
        <f t="array" ref="K233">_xlfn.IFS(J233=1,"Clear",J233=2,"Mist/Cloudy",J233=3,"Rain",J233=4,"Heavy Rain/Thunderstorm")</f>
        <v>Clear</v>
      </c>
      <c r="L233" s="10">
        <v>0.14000000000000001</v>
      </c>
      <c r="M233" s="42" t="str" cm="1">
        <f t="array" ref="M233">_xlfn.IFS(L233&lt;0.15,"Cold",L233&lt;0.25,"Mild",L233&lt;=0.32,"Warm",L233&gt;=0.33,"Hot")</f>
        <v>Cold</v>
      </c>
    </row>
    <row r="234" spans="1:13" x14ac:dyDescent="0.3">
      <c r="A234" s="6">
        <v>233</v>
      </c>
      <c r="B234" s="7">
        <v>40553</v>
      </c>
      <c r="C234" s="8">
        <v>1</v>
      </c>
      <c r="D234" s="8">
        <v>0</v>
      </c>
      <c r="E234" s="8">
        <v>1</v>
      </c>
      <c r="F234" s="8">
        <v>23</v>
      </c>
      <c r="G234" s="8" t="str" cm="1">
        <f t="array" ref="G234">_xlfn.IFS(F234&lt;4,"Night",F234&lt;=6,"Early Morning",F234&lt;11,"Morning",F234&lt;12,"Afternoon",F234&lt;=16,"Afternoon",F234&lt;=20,"Evening",F234&gt;=21,"Night")</f>
        <v>Night</v>
      </c>
      <c r="H234" s="8" t="b">
        <v>0</v>
      </c>
      <c r="I234" s="8">
        <v>1</v>
      </c>
      <c r="J234" s="8">
        <v>1</v>
      </c>
      <c r="K234" s="9" t="str" cm="1">
        <f t="array" ref="K234">_xlfn.IFS(J234=1,"Clear",J234=2,"Mist/Cloudy",J234=3,"Rain",J234=4,"Heavy Rain/Thunderstorm")</f>
        <v>Clear</v>
      </c>
      <c r="L234" s="10">
        <v>0.14000000000000001</v>
      </c>
      <c r="M234" s="42" t="str" cm="1">
        <f t="array" ref="M234">_xlfn.IFS(L234&lt;0.15,"Cold",L234&lt;0.25,"Mild",L234&lt;=0.32,"Warm",L234&gt;=0.33,"Hot")</f>
        <v>Cold</v>
      </c>
    </row>
    <row r="235" spans="1:13" x14ac:dyDescent="0.3">
      <c r="A235" s="6">
        <v>234</v>
      </c>
      <c r="B235" s="7">
        <v>40554</v>
      </c>
      <c r="C235" s="8">
        <v>1</v>
      </c>
      <c r="D235" s="8">
        <v>0</v>
      </c>
      <c r="E235" s="8">
        <v>1</v>
      </c>
      <c r="F235" s="8">
        <v>0</v>
      </c>
      <c r="G235" s="8" t="str" cm="1">
        <f t="array" ref="G235">_xlfn.IFS(F235&lt;4,"Night",F235&lt;=6,"Early Morning",F235&lt;11,"Morning",F235&lt;12,"Afternoon",F235&lt;=16,"Afternoon",F235&lt;=20,"Evening",F235&gt;=21,"Night")</f>
        <v>Night</v>
      </c>
      <c r="H235" s="8" t="b">
        <v>0</v>
      </c>
      <c r="I235" s="8">
        <v>2</v>
      </c>
      <c r="J235" s="8">
        <v>1</v>
      </c>
      <c r="K235" s="9" t="str" cm="1">
        <f t="array" ref="K235">_xlfn.IFS(J235=1,"Clear",J235=2,"Mist/Cloudy",J235=3,"Rain",J235=4,"Heavy Rain/Thunderstorm")</f>
        <v>Clear</v>
      </c>
      <c r="L235" s="10">
        <v>0.14000000000000001</v>
      </c>
      <c r="M235" s="42" t="str" cm="1">
        <f t="array" ref="M235">_xlfn.IFS(L235&lt;0.15,"Cold",L235&lt;0.25,"Mild",L235&lt;=0.32,"Warm",L235&gt;=0.33,"Hot")</f>
        <v>Cold</v>
      </c>
    </row>
    <row r="236" spans="1:13" x14ac:dyDescent="0.3">
      <c r="A236" s="6">
        <v>235</v>
      </c>
      <c r="B236" s="7">
        <v>40554</v>
      </c>
      <c r="C236" s="8">
        <v>1</v>
      </c>
      <c r="D236" s="8">
        <v>0</v>
      </c>
      <c r="E236" s="8">
        <v>1</v>
      </c>
      <c r="F236" s="8">
        <v>1</v>
      </c>
      <c r="G236" s="8" t="str" cm="1">
        <f t="array" ref="G236">_xlfn.IFS(F236&lt;4,"Night",F236&lt;=6,"Early Morning",F236&lt;11,"Morning",F236&lt;12,"Afternoon",F236&lt;=16,"Afternoon",F236&lt;=20,"Evening",F236&gt;=21,"Night")</f>
        <v>Night</v>
      </c>
      <c r="H236" s="8" t="b">
        <v>0</v>
      </c>
      <c r="I236" s="8">
        <v>2</v>
      </c>
      <c r="J236" s="8">
        <v>1</v>
      </c>
      <c r="K236" s="9" t="str" cm="1">
        <f t="array" ref="K236">_xlfn.IFS(J236=1,"Clear",J236=2,"Mist/Cloudy",J236=3,"Rain",J236=4,"Heavy Rain/Thunderstorm")</f>
        <v>Clear</v>
      </c>
      <c r="L236" s="10">
        <v>0.14000000000000001</v>
      </c>
      <c r="M236" s="42" t="str" cm="1">
        <f t="array" ref="M236">_xlfn.IFS(L236&lt;0.15,"Cold",L236&lt;0.25,"Mild",L236&lt;=0.32,"Warm",L236&gt;=0.33,"Hot")</f>
        <v>Cold</v>
      </c>
    </row>
    <row r="237" spans="1:13" x14ac:dyDescent="0.3">
      <c r="A237" s="6">
        <v>236</v>
      </c>
      <c r="B237" s="7">
        <v>40554</v>
      </c>
      <c r="C237" s="8">
        <v>1</v>
      </c>
      <c r="D237" s="8">
        <v>0</v>
      </c>
      <c r="E237" s="8">
        <v>1</v>
      </c>
      <c r="F237" s="8">
        <v>2</v>
      </c>
      <c r="G237" s="8" t="str" cm="1">
        <f t="array" ref="G237">_xlfn.IFS(F237&lt;4,"Night",F237&lt;=6,"Early Morning",F237&lt;11,"Morning",F237&lt;12,"Afternoon",F237&lt;=16,"Afternoon",F237&lt;=20,"Evening",F237&gt;=21,"Night")</f>
        <v>Night</v>
      </c>
      <c r="H237" s="8" t="b">
        <v>0</v>
      </c>
      <c r="I237" s="8">
        <v>2</v>
      </c>
      <c r="J237" s="8">
        <v>2</v>
      </c>
      <c r="K237" s="9" t="str" cm="1">
        <f t="array" ref="K237">_xlfn.IFS(J237=1,"Clear",J237=2,"Mist/Cloudy",J237=3,"Rain",J237=4,"Heavy Rain/Thunderstorm")</f>
        <v>Mist/Cloudy</v>
      </c>
      <c r="L237" s="10">
        <v>0.16</v>
      </c>
      <c r="M237" s="42" t="str" cm="1">
        <f t="array" ref="M237">_xlfn.IFS(L237&lt;0.15,"Cold",L237&lt;0.25,"Mild",L237&lt;=0.32,"Warm",L237&gt;=0.33,"Hot")</f>
        <v>Mild</v>
      </c>
    </row>
    <row r="238" spans="1:13" x14ac:dyDescent="0.3">
      <c r="A238" s="6">
        <v>237</v>
      </c>
      <c r="B238" s="7">
        <v>40554</v>
      </c>
      <c r="C238" s="8">
        <v>1</v>
      </c>
      <c r="D238" s="8">
        <v>0</v>
      </c>
      <c r="E238" s="8">
        <v>1</v>
      </c>
      <c r="F238" s="8">
        <v>5</v>
      </c>
      <c r="G238" s="8" t="str" cm="1">
        <f t="array" ref="G238">_xlfn.IFS(F238&lt;4,"Night",F238&lt;=6,"Early Morning",F238&lt;11,"Morning",F238&lt;12,"Afternoon",F238&lt;=16,"Afternoon",F238&lt;=20,"Evening",F238&gt;=21,"Night")</f>
        <v>Early Morning</v>
      </c>
      <c r="H238" s="8" t="b">
        <v>0</v>
      </c>
      <c r="I238" s="8">
        <v>2</v>
      </c>
      <c r="J238" s="8">
        <v>2</v>
      </c>
      <c r="K238" s="9" t="str" cm="1">
        <f t="array" ref="K238">_xlfn.IFS(J238=1,"Clear",J238=2,"Mist/Cloudy",J238=3,"Rain",J238=4,"Heavy Rain/Thunderstorm")</f>
        <v>Mist/Cloudy</v>
      </c>
      <c r="L238" s="10">
        <v>0.16</v>
      </c>
      <c r="M238" s="42" t="str" cm="1">
        <f t="array" ref="M238">_xlfn.IFS(L238&lt;0.15,"Cold",L238&lt;0.25,"Mild",L238&lt;=0.32,"Warm",L238&gt;=0.33,"Hot")</f>
        <v>Mild</v>
      </c>
    </row>
    <row r="239" spans="1:13" x14ac:dyDescent="0.3">
      <c r="A239" s="6">
        <v>238</v>
      </c>
      <c r="B239" s="7">
        <v>40554</v>
      </c>
      <c r="C239" s="8">
        <v>1</v>
      </c>
      <c r="D239" s="8">
        <v>0</v>
      </c>
      <c r="E239" s="8">
        <v>1</v>
      </c>
      <c r="F239" s="8">
        <v>6</v>
      </c>
      <c r="G239" s="8" t="str" cm="1">
        <f t="array" ref="G239">_xlfn.IFS(F239&lt;4,"Night",F239&lt;=6,"Early Morning",F239&lt;11,"Morning",F239&lt;12,"Afternoon",F239&lt;=16,"Afternoon",F239&lt;=20,"Evening",F239&gt;=21,"Night")</f>
        <v>Early Morning</v>
      </c>
      <c r="H239" s="8" t="b">
        <v>0</v>
      </c>
      <c r="I239" s="8">
        <v>2</v>
      </c>
      <c r="J239" s="8">
        <v>2</v>
      </c>
      <c r="K239" s="9" t="str" cm="1">
        <f t="array" ref="K239">_xlfn.IFS(J239=1,"Clear",J239=2,"Mist/Cloudy",J239=3,"Rain",J239=4,"Heavy Rain/Thunderstorm")</f>
        <v>Mist/Cloudy</v>
      </c>
      <c r="L239" s="10">
        <v>0.16</v>
      </c>
      <c r="M239" s="42" t="str" cm="1">
        <f t="array" ref="M239">_xlfn.IFS(L239&lt;0.15,"Cold",L239&lt;0.25,"Mild",L239&lt;=0.32,"Warm",L239&gt;=0.33,"Hot")</f>
        <v>Mild</v>
      </c>
    </row>
    <row r="240" spans="1:13" x14ac:dyDescent="0.3">
      <c r="A240" s="6">
        <v>239</v>
      </c>
      <c r="B240" s="7">
        <v>40554</v>
      </c>
      <c r="C240" s="8">
        <v>1</v>
      </c>
      <c r="D240" s="8">
        <v>0</v>
      </c>
      <c r="E240" s="8">
        <v>1</v>
      </c>
      <c r="F240" s="8">
        <v>7</v>
      </c>
      <c r="G240" s="8" t="str" cm="1">
        <f t="array" ref="G240">_xlfn.IFS(F240&lt;4,"Night",F240&lt;=6,"Early Morning",F240&lt;11,"Morning",F240&lt;12,"Afternoon",F240&lt;=16,"Afternoon",F240&lt;=20,"Evening",F240&gt;=21,"Night")</f>
        <v>Morning</v>
      </c>
      <c r="H240" s="8" t="b">
        <v>0</v>
      </c>
      <c r="I240" s="8">
        <v>2</v>
      </c>
      <c r="J240" s="8">
        <v>2</v>
      </c>
      <c r="K240" s="9" t="str" cm="1">
        <f t="array" ref="K240">_xlfn.IFS(J240=1,"Clear",J240=2,"Mist/Cloudy",J240=3,"Rain",J240=4,"Heavy Rain/Thunderstorm")</f>
        <v>Mist/Cloudy</v>
      </c>
      <c r="L240" s="10">
        <v>0.16</v>
      </c>
      <c r="M240" s="42" t="str" cm="1">
        <f t="array" ref="M240">_xlfn.IFS(L240&lt;0.15,"Cold",L240&lt;0.25,"Mild",L240&lt;=0.32,"Warm",L240&gt;=0.33,"Hot")</f>
        <v>Mild</v>
      </c>
    </row>
    <row r="241" spans="1:13" x14ac:dyDescent="0.3">
      <c r="A241" s="6">
        <v>240</v>
      </c>
      <c r="B241" s="7">
        <v>40554</v>
      </c>
      <c r="C241" s="8">
        <v>1</v>
      </c>
      <c r="D241" s="8">
        <v>0</v>
      </c>
      <c r="E241" s="8">
        <v>1</v>
      </c>
      <c r="F241" s="8">
        <v>8</v>
      </c>
      <c r="G241" s="8" t="str" cm="1">
        <f t="array" ref="G241">_xlfn.IFS(F241&lt;4,"Night",F241&lt;=6,"Early Morning",F241&lt;11,"Morning",F241&lt;12,"Afternoon",F241&lt;=16,"Afternoon",F241&lt;=20,"Evening",F241&gt;=21,"Night")</f>
        <v>Morning</v>
      </c>
      <c r="H241" s="8" t="b">
        <v>0</v>
      </c>
      <c r="I241" s="8">
        <v>2</v>
      </c>
      <c r="J241" s="8">
        <v>2</v>
      </c>
      <c r="K241" s="9" t="str" cm="1">
        <f t="array" ref="K241">_xlfn.IFS(J241=1,"Clear",J241=2,"Mist/Cloudy",J241=3,"Rain",J241=4,"Heavy Rain/Thunderstorm")</f>
        <v>Mist/Cloudy</v>
      </c>
      <c r="L241" s="10">
        <v>0.18</v>
      </c>
      <c r="M241" s="42" t="str" cm="1">
        <f t="array" ref="M241">_xlfn.IFS(L241&lt;0.15,"Cold",L241&lt;0.25,"Mild",L241&lt;=0.32,"Warm",L241&gt;=0.33,"Hot")</f>
        <v>Mild</v>
      </c>
    </row>
    <row r="242" spans="1:13" x14ac:dyDescent="0.3">
      <c r="A242" s="6">
        <v>241</v>
      </c>
      <c r="B242" s="7">
        <v>40554</v>
      </c>
      <c r="C242" s="8">
        <v>1</v>
      </c>
      <c r="D242" s="8">
        <v>0</v>
      </c>
      <c r="E242" s="8">
        <v>1</v>
      </c>
      <c r="F242" s="8">
        <v>9</v>
      </c>
      <c r="G242" s="8" t="str" cm="1">
        <f t="array" ref="G242">_xlfn.IFS(F242&lt;4,"Night",F242&lt;=6,"Early Morning",F242&lt;11,"Morning",F242&lt;12,"Afternoon",F242&lt;=16,"Afternoon",F242&lt;=20,"Evening",F242&gt;=21,"Night")</f>
        <v>Morning</v>
      </c>
      <c r="H242" s="8" t="b">
        <v>0</v>
      </c>
      <c r="I242" s="8">
        <v>2</v>
      </c>
      <c r="J242" s="8">
        <v>2</v>
      </c>
      <c r="K242" s="9" t="str" cm="1">
        <f t="array" ref="K242">_xlfn.IFS(J242=1,"Clear",J242=2,"Mist/Cloudy",J242=3,"Rain",J242=4,"Heavy Rain/Thunderstorm")</f>
        <v>Mist/Cloudy</v>
      </c>
      <c r="L242" s="10">
        <v>0.18</v>
      </c>
      <c r="M242" s="42" t="str" cm="1">
        <f t="array" ref="M242">_xlfn.IFS(L242&lt;0.15,"Cold",L242&lt;0.25,"Mild",L242&lt;=0.32,"Warm",L242&gt;=0.33,"Hot")</f>
        <v>Mild</v>
      </c>
    </row>
    <row r="243" spans="1:13" x14ac:dyDescent="0.3">
      <c r="A243" s="6">
        <v>242</v>
      </c>
      <c r="B243" s="7">
        <v>40554</v>
      </c>
      <c r="C243" s="8">
        <v>1</v>
      </c>
      <c r="D243" s="8">
        <v>0</v>
      </c>
      <c r="E243" s="8">
        <v>1</v>
      </c>
      <c r="F243" s="8">
        <v>10</v>
      </c>
      <c r="G243" s="8" t="str" cm="1">
        <f t="array" ref="G243">_xlfn.IFS(F243&lt;4,"Night",F243&lt;=6,"Early Morning",F243&lt;11,"Morning",F243&lt;12,"Afternoon",F243&lt;=16,"Afternoon",F243&lt;=20,"Evening",F243&gt;=21,"Night")</f>
        <v>Morning</v>
      </c>
      <c r="H243" s="8" t="b">
        <v>0</v>
      </c>
      <c r="I243" s="8">
        <v>2</v>
      </c>
      <c r="J243" s="8">
        <v>2</v>
      </c>
      <c r="K243" s="9" t="str" cm="1">
        <f t="array" ref="K243">_xlfn.IFS(J243=1,"Clear",J243=2,"Mist/Cloudy",J243=3,"Rain",J243=4,"Heavy Rain/Thunderstorm")</f>
        <v>Mist/Cloudy</v>
      </c>
      <c r="L243" s="10">
        <v>0.2</v>
      </c>
      <c r="M243" s="42" t="str" cm="1">
        <f t="array" ref="M243">_xlfn.IFS(L243&lt;0.15,"Cold",L243&lt;0.25,"Mild",L243&lt;=0.32,"Warm",L243&gt;=0.33,"Hot")</f>
        <v>Mild</v>
      </c>
    </row>
    <row r="244" spans="1:13" x14ac:dyDescent="0.3">
      <c r="A244" s="6">
        <v>243</v>
      </c>
      <c r="B244" s="7">
        <v>40554</v>
      </c>
      <c r="C244" s="8">
        <v>1</v>
      </c>
      <c r="D244" s="8">
        <v>0</v>
      </c>
      <c r="E244" s="8">
        <v>1</v>
      </c>
      <c r="F244" s="8">
        <v>11</v>
      </c>
      <c r="G244" s="8" t="str" cm="1">
        <f t="array" ref="G244">_xlfn.IFS(F244&lt;4,"Night",F244&lt;=6,"Early Morning",F244&lt;11,"Morning",F244&lt;12,"Afternoon",F244&lt;=16,"Afternoon",F244&lt;=20,"Evening",F244&gt;=21,"Night")</f>
        <v>Afternoon</v>
      </c>
      <c r="H244" s="8" t="b">
        <v>0</v>
      </c>
      <c r="I244" s="8">
        <v>2</v>
      </c>
      <c r="J244" s="8">
        <v>2</v>
      </c>
      <c r="K244" s="9" t="str" cm="1">
        <f t="array" ref="K244">_xlfn.IFS(J244=1,"Clear",J244=2,"Mist/Cloudy",J244=3,"Rain",J244=4,"Heavy Rain/Thunderstorm")</f>
        <v>Mist/Cloudy</v>
      </c>
      <c r="L244" s="10">
        <v>0.2</v>
      </c>
      <c r="M244" s="42" t="str" cm="1">
        <f t="array" ref="M244">_xlfn.IFS(L244&lt;0.15,"Cold",L244&lt;0.25,"Mild",L244&lt;=0.32,"Warm",L244&gt;=0.33,"Hot")</f>
        <v>Mild</v>
      </c>
    </row>
    <row r="245" spans="1:13" x14ac:dyDescent="0.3">
      <c r="A245" s="6">
        <v>244</v>
      </c>
      <c r="B245" s="7">
        <v>40554</v>
      </c>
      <c r="C245" s="8">
        <v>1</v>
      </c>
      <c r="D245" s="8">
        <v>0</v>
      </c>
      <c r="E245" s="8">
        <v>1</v>
      </c>
      <c r="F245" s="8">
        <v>12</v>
      </c>
      <c r="G245" s="8" t="str" cm="1">
        <f t="array" ref="G245">_xlfn.IFS(F245&lt;4,"Night",F245&lt;=6,"Early Morning",F245&lt;11,"Morning",F245&lt;12,"Afternoon",F245&lt;=16,"Afternoon",F245&lt;=20,"Evening",F245&gt;=21,"Night")</f>
        <v>Afternoon</v>
      </c>
      <c r="H245" s="8" t="b">
        <v>0</v>
      </c>
      <c r="I245" s="8">
        <v>2</v>
      </c>
      <c r="J245" s="8">
        <v>2</v>
      </c>
      <c r="K245" s="9" t="str" cm="1">
        <f t="array" ref="K245">_xlfn.IFS(J245=1,"Clear",J245=2,"Mist/Cloudy",J245=3,"Rain",J245=4,"Heavy Rain/Thunderstorm")</f>
        <v>Mist/Cloudy</v>
      </c>
      <c r="L245" s="10">
        <v>0.2</v>
      </c>
      <c r="M245" s="42" t="str" cm="1">
        <f t="array" ref="M245">_xlfn.IFS(L245&lt;0.15,"Cold",L245&lt;0.25,"Mild",L245&lt;=0.32,"Warm",L245&gt;=0.33,"Hot")</f>
        <v>Mild</v>
      </c>
    </row>
    <row r="246" spans="1:13" x14ac:dyDescent="0.3">
      <c r="A246" s="6">
        <v>245</v>
      </c>
      <c r="B246" s="7">
        <v>40554</v>
      </c>
      <c r="C246" s="8">
        <v>1</v>
      </c>
      <c r="D246" s="8">
        <v>0</v>
      </c>
      <c r="E246" s="8">
        <v>1</v>
      </c>
      <c r="F246" s="8">
        <v>13</v>
      </c>
      <c r="G246" s="8" t="str" cm="1">
        <f t="array" ref="G246">_xlfn.IFS(F246&lt;4,"Night",F246&lt;=6,"Early Morning",F246&lt;11,"Morning",F246&lt;12,"Afternoon",F246&lt;=16,"Afternoon",F246&lt;=20,"Evening",F246&gt;=21,"Night")</f>
        <v>Afternoon</v>
      </c>
      <c r="H246" s="8" t="b">
        <v>0</v>
      </c>
      <c r="I246" s="8">
        <v>2</v>
      </c>
      <c r="J246" s="8">
        <v>2</v>
      </c>
      <c r="K246" s="9" t="str" cm="1">
        <f t="array" ref="K246">_xlfn.IFS(J246=1,"Clear",J246=2,"Mist/Cloudy",J246=3,"Rain",J246=4,"Heavy Rain/Thunderstorm")</f>
        <v>Mist/Cloudy</v>
      </c>
      <c r="L246" s="10">
        <v>0.2</v>
      </c>
      <c r="M246" s="42" t="str" cm="1">
        <f t="array" ref="M246">_xlfn.IFS(L246&lt;0.15,"Cold",L246&lt;0.25,"Mild",L246&lt;=0.32,"Warm",L246&gt;=0.33,"Hot")</f>
        <v>Mild</v>
      </c>
    </row>
    <row r="247" spans="1:13" x14ac:dyDescent="0.3">
      <c r="A247" s="6">
        <v>246</v>
      </c>
      <c r="B247" s="7">
        <v>40554</v>
      </c>
      <c r="C247" s="8">
        <v>1</v>
      </c>
      <c r="D247" s="8">
        <v>0</v>
      </c>
      <c r="E247" s="8">
        <v>1</v>
      </c>
      <c r="F247" s="8">
        <v>14</v>
      </c>
      <c r="G247" s="8" t="str" cm="1">
        <f t="array" ref="G247">_xlfn.IFS(F247&lt;4,"Night",F247&lt;=6,"Early Morning",F247&lt;11,"Morning",F247&lt;12,"Afternoon",F247&lt;=16,"Afternoon",F247&lt;=20,"Evening",F247&gt;=21,"Night")</f>
        <v>Afternoon</v>
      </c>
      <c r="H247" s="8" t="b">
        <v>0</v>
      </c>
      <c r="I247" s="8">
        <v>2</v>
      </c>
      <c r="J247" s="8">
        <v>2</v>
      </c>
      <c r="K247" s="9" t="str" cm="1">
        <f t="array" ref="K247">_xlfn.IFS(J247=1,"Clear",J247=2,"Mist/Cloudy",J247=3,"Rain",J247=4,"Heavy Rain/Thunderstorm")</f>
        <v>Mist/Cloudy</v>
      </c>
      <c r="L247" s="10">
        <v>0.2</v>
      </c>
      <c r="M247" s="42" t="str" cm="1">
        <f t="array" ref="M247">_xlfn.IFS(L247&lt;0.15,"Cold",L247&lt;0.25,"Mild",L247&lt;=0.32,"Warm",L247&gt;=0.33,"Hot")</f>
        <v>Mild</v>
      </c>
    </row>
    <row r="248" spans="1:13" x14ac:dyDescent="0.3">
      <c r="A248" s="6">
        <v>247</v>
      </c>
      <c r="B248" s="7">
        <v>40554</v>
      </c>
      <c r="C248" s="8">
        <v>1</v>
      </c>
      <c r="D248" s="8">
        <v>0</v>
      </c>
      <c r="E248" s="8">
        <v>1</v>
      </c>
      <c r="F248" s="8">
        <v>15</v>
      </c>
      <c r="G248" s="8" t="str" cm="1">
        <f t="array" ref="G248">_xlfn.IFS(F248&lt;4,"Night",F248&lt;=6,"Early Morning",F248&lt;11,"Morning",F248&lt;12,"Afternoon",F248&lt;=16,"Afternoon",F248&lt;=20,"Evening",F248&gt;=21,"Night")</f>
        <v>Afternoon</v>
      </c>
      <c r="H248" s="8" t="b">
        <v>0</v>
      </c>
      <c r="I248" s="8">
        <v>2</v>
      </c>
      <c r="J248" s="8">
        <v>2</v>
      </c>
      <c r="K248" s="9" t="str" cm="1">
        <f t="array" ref="K248">_xlfn.IFS(J248=1,"Clear",J248=2,"Mist/Cloudy",J248=3,"Rain",J248=4,"Heavy Rain/Thunderstorm")</f>
        <v>Mist/Cloudy</v>
      </c>
      <c r="L248" s="10">
        <v>0.16</v>
      </c>
      <c r="M248" s="42" t="str" cm="1">
        <f t="array" ref="M248">_xlfn.IFS(L248&lt;0.15,"Cold",L248&lt;0.25,"Mild",L248&lt;=0.32,"Warm",L248&gt;=0.33,"Hot")</f>
        <v>Mild</v>
      </c>
    </row>
    <row r="249" spans="1:13" x14ac:dyDescent="0.3">
      <c r="A249" s="6">
        <v>248</v>
      </c>
      <c r="B249" s="7">
        <v>40554</v>
      </c>
      <c r="C249" s="8">
        <v>1</v>
      </c>
      <c r="D249" s="8">
        <v>0</v>
      </c>
      <c r="E249" s="8">
        <v>1</v>
      </c>
      <c r="F249" s="8">
        <v>16</v>
      </c>
      <c r="G249" s="8" t="str" cm="1">
        <f t="array" ref="G249">_xlfn.IFS(F249&lt;4,"Night",F249&lt;=6,"Early Morning",F249&lt;11,"Morning",F249&lt;12,"Afternoon",F249&lt;=16,"Afternoon",F249&lt;=20,"Evening",F249&gt;=21,"Night")</f>
        <v>Afternoon</v>
      </c>
      <c r="H249" s="8" t="b">
        <v>0</v>
      </c>
      <c r="I249" s="8">
        <v>2</v>
      </c>
      <c r="J249" s="8">
        <v>2</v>
      </c>
      <c r="K249" s="9" t="str" cm="1">
        <f t="array" ref="K249">_xlfn.IFS(J249=1,"Clear",J249=2,"Mist/Cloudy",J249=3,"Rain",J249=4,"Heavy Rain/Thunderstorm")</f>
        <v>Mist/Cloudy</v>
      </c>
      <c r="L249" s="10">
        <v>0.16</v>
      </c>
      <c r="M249" s="42" t="str" cm="1">
        <f t="array" ref="M249">_xlfn.IFS(L249&lt;0.15,"Cold",L249&lt;0.25,"Mild",L249&lt;=0.32,"Warm",L249&gt;=0.33,"Hot")</f>
        <v>Mild</v>
      </c>
    </row>
    <row r="250" spans="1:13" x14ac:dyDescent="0.3">
      <c r="A250" s="6">
        <v>249</v>
      </c>
      <c r="B250" s="7">
        <v>40554</v>
      </c>
      <c r="C250" s="8">
        <v>1</v>
      </c>
      <c r="D250" s="8">
        <v>0</v>
      </c>
      <c r="E250" s="8">
        <v>1</v>
      </c>
      <c r="F250" s="8">
        <v>17</v>
      </c>
      <c r="G250" s="8" t="str" cm="1">
        <f t="array" ref="G250">_xlfn.IFS(F250&lt;4,"Night",F250&lt;=6,"Early Morning",F250&lt;11,"Morning",F250&lt;12,"Afternoon",F250&lt;=16,"Afternoon",F250&lt;=20,"Evening",F250&gt;=21,"Night")</f>
        <v>Evening</v>
      </c>
      <c r="H250" s="8" t="b">
        <v>0</v>
      </c>
      <c r="I250" s="8">
        <v>2</v>
      </c>
      <c r="J250" s="8">
        <v>2</v>
      </c>
      <c r="K250" s="9" t="str" cm="1">
        <f t="array" ref="K250">_xlfn.IFS(J250=1,"Clear",J250=2,"Mist/Cloudy",J250=3,"Rain",J250=4,"Heavy Rain/Thunderstorm")</f>
        <v>Mist/Cloudy</v>
      </c>
      <c r="L250" s="10">
        <v>0.16</v>
      </c>
      <c r="M250" s="42" t="str" cm="1">
        <f t="array" ref="M250">_xlfn.IFS(L250&lt;0.15,"Cold",L250&lt;0.25,"Mild",L250&lt;=0.32,"Warm",L250&gt;=0.33,"Hot")</f>
        <v>Mild</v>
      </c>
    </row>
    <row r="251" spans="1:13" x14ac:dyDescent="0.3">
      <c r="A251" s="6">
        <v>250</v>
      </c>
      <c r="B251" s="7">
        <v>40554</v>
      </c>
      <c r="C251" s="8">
        <v>1</v>
      </c>
      <c r="D251" s="8">
        <v>0</v>
      </c>
      <c r="E251" s="8">
        <v>1</v>
      </c>
      <c r="F251" s="8">
        <v>18</v>
      </c>
      <c r="G251" s="8" t="str" cm="1">
        <f t="array" ref="G251">_xlfn.IFS(F251&lt;4,"Night",F251&lt;=6,"Early Morning",F251&lt;11,"Morning",F251&lt;12,"Afternoon",F251&lt;=16,"Afternoon",F251&lt;=20,"Evening",F251&gt;=21,"Night")</f>
        <v>Evening</v>
      </c>
      <c r="H251" s="8" t="b">
        <v>0</v>
      </c>
      <c r="I251" s="8">
        <v>2</v>
      </c>
      <c r="J251" s="8">
        <v>3</v>
      </c>
      <c r="K251" s="9" t="str" cm="1">
        <f t="array" ref="K251">_xlfn.IFS(J251=1,"Clear",J251=2,"Mist/Cloudy",J251=3,"Rain",J251=4,"Heavy Rain/Thunderstorm")</f>
        <v>Rain</v>
      </c>
      <c r="L251" s="10">
        <v>0.16</v>
      </c>
      <c r="M251" s="42" t="str" cm="1">
        <f t="array" ref="M251">_xlfn.IFS(L251&lt;0.15,"Cold",L251&lt;0.25,"Mild",L251&lt;=0.32,"Warm",L251&gt;=0.33,"Hot")</f>
        <v>Mild</v>
      </c>
    </row>
    <row r="252" spans="1:13" x14ac:dyDescent="0.3">
      <c r="A252" s="6">
        <v>251</v>
      </c>
      <c r="B252" s="7">
        <v>40554</v>
      </c>
      <c r="C252" s="8">
        <v>1</v>
      </c>
      <c r="D252" s="8">
        <v>0</v>
      </c>
      <c r="E252" s="8">
        <v>1</v>
      </c>
      <c r="F252" s="8">
        <v>19</v>
      </c>
      <c r="G252" s="8" t="str" cm="1">
        <f t="array" ref="G252">_xlfn.IFS(F252&lt;4,"Night",F252&lt;=6,"Early Morning",F252&lt;11,"Morning",F252&lt;12,"Afternoon",F252&lt;=16,"Afternoon",F252&lt;=20,"Evening",F252&gt;=21,"Night")</f>
        <v>Evening</v>
      </c>
      <c r="H252" s="8" t="b">
        <v>0</v>
      </c>
      <c r="I252" s="8">
        <v>2</v>
      </c>
      <c r="J252" s="8">
        <v>3</v>
      </c>
      <c r="K252" s="9" t="str" cm="1">
        <f t="array" ref="K252">_xlfn.IFS(J252=1,"Clear",J252=2,"Mist/Cloudy",J252=3,"Rain",J252=4,"Heavy Rain/Thunderstorm")</f>
        <v>Rain</v>
      </c>
      <c r="L252" s="10">
        <v>0.16</v>
      </c>
      <c r="M252" s="42" t="str" cm="1">
        <f t="array" ref="M252">_xlfn.IFS(L252&lt;0.15,"Cold",L252&lt;0.25,"Mild",L252&lt;=0.32,"Warm",L252&gt;=0.33,"Hot")</f>
        <v>Mild</v>
      </c>
    </row>
    <row r="253" spans="1:13" x14ac:dyDescent="0.3">
      <c r="A253" s="6">
        <v>252</v>
      </c>
      <c r="B253" s="7">
        <v>40554</v>
      </c>
      <c r="C253" s="8">
        <v>1</v>
      </c>
      <c r="D253" s="8">
        <v>0</v>
      </c>
      <c r="E253" s="8">
        <v>1</v>
      </c>
      <c r="F253" s="8">
        <v>20</v>
      </c>
      <c r="G253" s="8" t="str" cm="1">
        <f t="array" ref="G253">_xlfn.IFS(F253&lt;4,"Night",F253&lt;=6,"Early Morning",F253&lt;11,"Morning",F253&lt;12,"Afternoon",F253&lt;=16,"Afternoon",F253&lt;=20,"Evening",F253&gt;=21,"Night")</f>
        <v>Evening</v>
      </c>
      <c r="H253" s="8" t="b">
        <v>0</v>
      </c>
      <c r="I253" s="8">
        <v>2</v>
      </c>
      <c r="J253" s="8">
        <v>3</v>
      </c>
      <c r="K253" s="9" t="str" cm="1">
        <f t="array" ref="K253">_xlfn.IFS(J253=1,"Clear",J253=2,"Mist/Cloudy",J253=3,"Rain",J253=4,"Heavy Rain/Thunderstorm")</f>
        <v>Rain</v>
      </c>
      <c r="L253" s="10">
        <v>0.16</v>
      </c>
      <c r="M253" s="42" t="str" cm="1">
        <f t="array" ref="M253">_xlfn.IFS(L253&lt;0.15,"Cold",L253&lt;0.25,"Mild",L253&lt;=0.32,"Warm",L253&gt;=0.33,"Hot")</f>
        <v>Mild</v>
      </c>
    </row>
    <row r="254" spans="1:13" x14ac:dyDescent="0.3">
      <c r="A254" s="6">
        <v>253</v>
      </c>
      <c r="B254" s="7">
        <v>40554</v>
      </c>
      <c r="C254" s="8">
        <v>1</v>
      </c>
      <c r="D254" s="8">
        <v>0</v>
      </c>
      <c r="E254" s="8">
        <v>1</v>
      </c>
      <c r="F254" s="8">
        <v>21</v>
      </c>
      <c r="G254" s="8" t="str" cm="1">
        <f t="array" ref="G254">_xlfn.IFS(F254&lt;4,"Night",F254&lt;=6,"Early Morning",F254&lt;11,"Morning",F254&lt;12,"Afternoon",F254&lt;=16,"Afternoon",F254&lt;=20,"Evening",F254&gt;=21,"Night")</f>
        <v>Night</v>
      </c>
      <c r="H254" s="8" t="b">
        <v>0</v>
      </c>
      <c r="I254" s="8">
        <v>2</v>
      </c>
      <c r="J254" s="8">
        <v>3</v>
      </c>
      <c r="K254" s="9" t="str" cm="1">
        <f t="array" ref="K254">_xlfn.IFS(J254=1,"Clear",J254=2,"Mist/Cloudy",J254=3,"Rain",J254=4,"Heavy Rain/Thunderstorm")</f>
        <v>Rain</v>
      </c>
      <c r="L254" s="10">
        <v>0.16</v>
      </c>
      <c r="M254" s="42" t="str" cm="1">
        <f t="array" ref="M254">_xlfn.IFS(L254&lt;0.15,"Cold",L254&lt;0.25,"Mild",L254&lt;=0.32,"Warm",L254&gt;=0.33,"Hot")</f>
        <v>Mild</v>
      </c>
    </row>
    <row r="255" spans="1:13" x14ac:dyDescent="0.3">
      <c r="A255" s="6">
        <v>254</v>
      </c>
      <c r="B255" s="7">
        <v>40554</v>
      </c>
      <c r="C255" s="8">
        <v>1</v>
      </c>
      <c r="D255" s="8">
        <v>0</v>
      </c>
      <c r="E255" s="8">
        <v>1</v>
      </c>
      <c r="F255" s="8">
        <v>22</v>
      </c>
      <c r="G255" s="8" t="str" cm="1">
        <f t="array" ref="G255">_xlfn.IFS(F255&lt;4,"Night",F255&lt;=6,"Early Morning",F255&lt;11,"Morning",F255&lt;12,"Afternoon",F255&lt;=16,"Afternoon",F255&lt;=20,"Evening",F255&gt;=21,"Night")</f>
        <v>Night</v>
      </c>
      <c r="H255" s="8" t="b">
        <v>0</v>
      </c>
      <c r="I255" s="8">
        <v>2</v>
      </c>
      <c r="J255" s="8">
        <v>3</v>
      </c>
      <c r="K255" s="9" t="str" cm="1">
        <f t="array" ref="K255">_xlfn.IFS(J255=1,"Clear",J255=2,"Mist/Cloudy",J255=3,"Rain",J255=4,"Heavy Rain/Thunderstorm")</f>
        <v>Rain</v>
      </c>
      <c r="L255" s="10">
        <v>0.16</v>
      </c>
      <c r="M255" s="42" t="str" cm="1">
        <f t="array" ref="M255">_xlfn.IFS(L255&lt;0.15,"Cold",L255&lt;0.25,"Mild",L255&lt;=0.32,"Warm",L255&gt;=0.33,"Hot")</f>
        <v>Mild</v>
      </c>
    </row>
    <row r="256" spans="1:13" x14ac:dyDescent="0.3">
      <c r="A256" s="6">
        <v>255</v>
      </c>
      <c r="B256" s="7">
        <v>40554</v>
      </c>
      <c r="C256" s="8">
        <v>1</v>
      </c>
      <c r="D256" s="8">
        <v>0</v>
      </c>
      <c r="E256" s="8">
        <v>1</v>
      </c>
      <c r="F256" s="8">
        <v>23</v>
      </c>
      <c r="G256" s="8" t="str" cm="1">
        <f t="array" ref="G256">_xlfn.IFS(F256&lt;4,"Night",F256&lt;=6,"Early Morning",F256&lt;11,"Morning",F256&lt;12,"Afternoon",F256&lt;=16,"Afternoon",F256&lt;=20,"Evening",F256&gt;=21,"Night")</f>
        <v>Night</v>
      </c>
      <c r="H256" s="8" t="b">
        <v>0</v>
      </c>
      <c r="I256" s="8">
        <v>2</v>
      </c>
      <c r="J256" s="8">
        <v>3</v>
      </c>
      <c r="K256" s="9" t="str" cm="1">
        <f t="array" ref="K256">_xlfn.IFS(J256=1,"Clear",J256=2,"Mist/Cloudy",J256=3,"Rain",J256=4,"Heavy Rain/Thunderstorm")</f>
        <v>Rain</v>
      </c>
      <c r="L256" s="10">
        <v>0.16</v>
      </c>
      <c r="M256" s="42" t="str" cm="1">
        <f t="array" ref="M256">_xlfn.IFS(L256&lt;0.15,"Cold",L256&lt;0.25,"Mild",L256&lt;=0.32,"Warm",L256&gt;=0.33,"Hot")</f>
        <v>Mild</v>
      </c>
    </row>
    <row r="257" spans="1:13" x14ac:dyDescent="0.3">
      <c r="A257" s="6">
        <v>256</v>
      </c>
      <c r="B257" s="7">
        <v>40555</v>
      </c>
      <c r="C257" s="8">
        <v>1</v>
      </c>
      <c r="D257" s="8">
        <v>0</v>
      </c>
      <c r="E257" s="8">
        <v>1</v>
      </c>
      <c r="F257" s="8">
        <v>0</v>
      </c>
      <c r="G257" s="8" t="str" cm="1">
        <f t="array" ref="G257">_xlfn.IFS(F257&lt;4,"Night",F257&lt;=6,"Early Morning",F257&lt;11,"Morning",F257&lt;12,"Afternoon",F257&lt;=16,"Afternoon",F257&lt;=20,"Evening",F257&gt;=21,"Night")</f>
        <v>Night</v>
      </c>
      <c r="H257" s="8" t="b">
        <v>0</v>
      </c>
      <c r="I257" s="8">
        <v>3</v>
      </c>
      <c r="J257" s="8">
        <v>2</v>
      </c>
      <c r="K257" s="9" t="str" cm="1">
        <f t="array" ref="K257">_xlfn.IFS(J257=1,"Clear",J257=2,"Mist/Cloudy",J257=3,"Rain",J257=4,"Heavy Rain/Thunderstorm")</f>
        <v>Mist/Cloudy</v>
      </c>
      <c r="L257" s="10">
        <v>0.16</v>
      </c>
      <c r="M257" s="42" t="str" cm="1">
        <f t="array" ref="M257">_xlfn.IFS(L257&lt;0.15,"Cold",L257&lt;0.25,"Mild",L257&lt;=0.32,"Warm",L257&gt;=0.33,"Hot")</f>
        <v>Mild</v>
      </c>
    </row>
    <row r="258" spans="1:13" x14ac:dyDescent="0.3">
      <c r="A258" s="6">
        <v>257</v>
      </c>
      <c r="B258" s="7">
        <v>40555</v>
      </c>
      <c r="C258" s="8">
        <v>1</v>
      </c>
      <c r="D258" s="8">
        <v>0</v>
      </c>
      <c r="E258" s="8">
        <v>1</v>
      </c>
      <c r="F258" s="8">
        <v>1</v>
      </c>
      <c r="G258" s="8" t="str" cm="1">
        <f t="array" ref="G258">_xlfn.IFS(F258&lt;4,"Night",F258&lt;=6,"Early Morning",F258&lt;11,"Morning",F258&lt;12,"Afternoon",F258&lt;=16,"Afternoon",F258&lt;=20,"Evening",F258&gt;=21,"Night")</f>
        <v>Night</v>
      </c>
      <c r="H258" s="8" t="b">
        <v>0</v>
      </c>
      <c r="I258" s="8">
        <v>3</v>
      </c>
      <c r="J258" s="8">
        <v>2</v>
      </c>
      <c r="K258" s="9" t="str" cm="1">
        <f t="array" ref="K258">_xlfn.IFS(J258=1,"Clear",J258=2,"Mist/Cloudy",J258=3,"Rain",J258=4,"Heavy Rain/Thunderstorm")</f>
        <v>Mist/Cloudy</v>
      </c>
      <c r="L258" s="10">
        <v>0.16</v>
      </c>
      <c r="M258" s="42" t="str" cm="1">
        <f t="array" ref="M258">_xlfn.IFS(L258&lt;0.15,"Cold",L258&lt;0.25,"Mild",L258&lt;=0.32,"Warm",L258&gt;=0.33,"Hot")</f>
        <v>Mild</v>
      </c>
    </row>
    <row r="259" spans="1:13" x14ac:dyDescent="0.3">
      <c r="A259" s="6">
        <v>258</v>
      </c>
      <c r="B259" s="7">
        <v>40555</v>
      </c>
      <c r="C259" s="8">
        <v>1</v>
      </c>
      <c r="D259" s="8">
        <v>0</v>
      </c>
      <c r="E259" s="8">
        <v>1</v>
      </c>
      <c r="F259" s="8">
        <v>2</v>
      </c>
      <c r="G259" s="8" t="str" cm="1">
        <f t="array" ref="G259">_xlfn.IFS(F259&lt;4,"Night",F259&lt;=6,"Early Morning",F259&lt;11,"Morning",F259&lt;12,"Afternoon",F259&lt;=16,"Afternoon",F259&lt;=20,"Evening",F259&gt;=21,"Night")</f>
        <v>Night</v>
      </c>
      <c r="H259" s="8" t="b">
        <v>0</v>
      </c>
      <c r="I259" s="8">
        <v>3</v>
      </c>
      <c r="J259" s="8">
        <v>1</v>
      </c>
      <c r="K259" s="9" t="str" cm="1">
        <f t="array" ref="K259">_xlfn.IFS(J259=1,"Clear",J259=2,"Mist/Cloudy",J259=3,"Rain",J259=4,"Heavy Rain/Thunderstorm")</f>
        <v>Clear</v>
      </c>
      <c r="L259" s="10">
        <v>0.14000000000000001</v>
      </c>
      <c r="M259" s="42" t="str" cm="1">
        <f t="array" ref="M259">_xlfn.IFS(L259&lt;0.15,"Cold",L259&lt;0.25,"Mild",L259&lt;=0.32,"Warm",L259&gt;=0.33,"Hot")</f>
        <v>Cold</v>
      </c>
    </row>
    <row r="260" spans="1:13" x14ac:dyDescent="0.3">
      <c r="A260" s="6">
        <v>259</v>
      </c>
      <c r="B260" s="7">
        <v>40555</v>
      </c>
      <c r="C260" s="8">
        <v>1</v>
      </c>
      <c r="D260" s="8">
        <v>0</v>
      </c>
      <c r="E260" s="8">
        <v>1</v>
      </c>
      <c r="F260" s="8">
        <v>5</v>
      </c>
      <c r="G260" s="8" t="str" cm="1">
        <f t="array" ref="G260">_xlfn.IFS(F260&lt;4,"Night",F260&lt;=6,"Early Morning",F260&lt;11,"Morning",F260&lt;12,"Afternoon",F260&lt;=16,"Afternoon",F260&lt;=20,"Evening",F260&gt;=21,"Night")</f>
        <v>Early Morning</v>
      </c>
      <c r="H260" s="8" t="b">
        <v>0</v>
      </c>
      <c r="I260" s="8">
        <v>3</v>
      </c>
      <c r="J260" s="8">
        <v>1</v>
      </c>
      <c r="K260" s="9" t="str" cm="1">
        <f t="array" ref="K260">_xlfn.IFS(J260=1,"Clear",J260=2,"Mist/Cloudy",J260=3,"Rain",J260=4,"Heavy Rain/Thunderstorm")</f>
        <v>Clear</v>
      </c>
      <c r="L260" s="10">
        <v>0.14000000000000001</v>
      </c>
      <c r="M260" s="42" t="str" cm="1">
        <f t="array" ref="M260">_xlfn.IFS(L260&lt;0.15,"Cold",L260&lt;0.25,"Mild",L260&lt;=0.32,"Warm",L260&gt;=0.33,"Hot")</f>
        <v>Cold</v>
      </c>
    </row>
    <row r="261" spans="1:13" x14ac:dyDescent="0.3">
      <c r="A261" s="6">
        <v>260</v>
      </c>
      <c r="B261" s="7">
        <v>40555</v>
      </c>
      <c r="C261" s="8">
        <v>1</v>
      </c>
      <c r="D261" s="8">
        <v>0</v>
      </c>
      <c r="E261" s="8">
        <v>1</v>
      </c>
      <c r="F261" s="8">
        <v>6</v>
      </c>
      <c r="G261" s="8" t="str" cm="1">
        <f t="array" ref="G261">_xlfn.IFS(F261&lt;4,"Night",F261&lt;=6,"Early Morning",F261&lt;11,"Morning",F261&lt;12,"Afternoon",F261&lt;=16,"Afternoon",F261&lt;=20,"Evening",F261&gt;=21,"Night")</f>
        <v>Early Morning</v>
      </c>
      <c r="H261" s="8" t="b">
        <v>0</v>
      </c>
      <c r="I261" s="8">
        <v>3</v>
      </c>
      <c r="J261" s="8">
        <v>1</v>
      </c>
      <c r="K261" s="9" t="str" cm="1">
        <f t="array" ref="K261">_xlfn.IFS(J261=1,"Clear",J261=2,"Mist/Cloudy",J261=3,"Rain",J261=4,"Heavy Rain/Thunderstorm")</f>
        <v>Clear</v>
      </c>
      <c r="L261" s="10">
        <v>0.12</v>
      </c>
      <c r="M261" s="42" t="str" cm="1">
        <f t="array" ref="M261">_xlfn.IFS(L261&lt;0.15,"Cold",L261&lt;0.25,"Mild",L261&lt;=0.32,"Warm",L261&gt;=0.33,"Hot")</f>
        <v>Cold</v>
      </c>
    </row>
    <row r="262" spans="1:13" x14ac:dyDescent="0.3">
      <c r="A262" s="6">
        <v>261</v>
      </c>
      <c r="B262" s="7">
        <v>40555</v>
      </c>
      <c r="C262" s="8">
        <v>1</v>
      </c>
      <c r="D262" s="8">
        <v>0</v>
      </c>
      <c r="E262" s="8">
        <v>1</v>
      </c>
      <c r="F262" s="8">
        <v>7</v>
      </c>
      <c r="G262" s="8" t="str" cm="1">
        <f t="array" ref="G262">_xlfn.IFS(F262&lt;4,"Night",F262&lt;=6,"Early Morning",F262&lt;11,"Morning",F262&lt;12,"Afternoon",F262&lt;=16,"Afternoon",F262&lt;=20,"Evening",F262&gt;=21,"Night")</f>
        <v>Morning</v>
      </c>
      <c r="H262" s="8" t="b">
        <v>0</v>
      </c>
      <c r="I262" s="8">
        <v>3</v>
      </c>
      <c r="J262" s="8">
        <v>1</v>
      </c>
      <c r="K262" s="9" t="str" cm="1">
        <f t="array" ref="K262">_xlfn.IFS(J262=1,"Clear",J262=2,"Mist/Cloudy",J262=3,"Rain",J262=4,"Heavy Rain/Thunderstorm")</f>
        <v>Clear</v>
      </c>
      <c r="L262" s="10">
        <v>0.14000000000000001</v>
      </c>
      <c r="M262" s="42" t="str" cm="1">
        <f t="array" ref="M262">_xlfn.IFS(L262&lt;0.15,"Cold",L262&lt;0.25,"Mild",L262&lt;=0.32,"Warm",L262&gt;=0.33,"Hot")</f>
        <v>Cold</v>
      </c>
    </row>
    <row r="263" spans="1:13" x14ac:dyDescent="0.3">
      <c r="A263" s="6">
        <v>262</v>
      </c>
      <c r="B263" s="7">
        <v>40555</v>
      </c>
      <c r="C263" s="8">
        <v>1</v>
      </c>
      <c r="D263" s="8">
        <v>0</v>
      </c>
      <c r="E263" s="8">
        <v>1</v>
      </c>
      <c r="F263" s="8">
        <v>8</v>
      </c>
      <c r="G263" s="8" t="str" cm="1">
        <f t="array" ref="G263">_xlfn.IFS(F263&lt;4,"Night",F263&lt;=6,"Early Morning",F263&lt;11,"Morning",F263&lt;12,"Afternoon",F263&lt;=16,"Afternoon",F263&lt;=20,"Evening",F263&gt;=21,"Night")</f>
        <v>Morning</v>
      </c>
      <c r="H263" s="8" t="b">
        <v>0</v>
      </c>
      <c r="I263" s="8">
        <v>3</v>
      </c>
      <c r="J263" s="8">
        <v>1</v>
      </c>
      <c r="K263" s="9" t="str" cm="1">
        <f t="array" ref="K263">_xlfn.IFS(J263=1,"Clear",J263=2,"Mist/Cloudy",J263=3,"Rain",J263=4,"Heavy Rain/Thunderstorm")</f>
        <v>Clear</v>
      </c>
      <c r="L263" s="10">
        <v>0.16</v>
      </c>
      <c r="M263" s="42" t="str" cm="1">
        <f t="array" ref="M263">_xlfn.IFS(L263&lt;0.15,"Cold",L263&lt;0.25,"Mild",L263&lt;=0.32,"Warm",L263&gt;=0.33,"Hot")</f>
        <v>Mild</v>
      </c>
    </row>
    <row r="264" spans="1:13" x14ac:dyDescent="0.3">
      <c r="A264" s="6">
        <v>263</v>
      </c>
      <c r="B264" s="7">
        <v>40555</v>
      </c>
      <c r="C264" s="8">
        <v>1</v>
      </c>
      <c r="D264" s="8">
        <v>0</v>
      </c>
      <c r="E264" s="8">
        <v>1</v>
      </c>
      <c r="F264" s="8">
        <v>9</v>
      </c>
      <c r="G264" s="8" t="str" cm="1">
        <f t="array" ref="G264">_xlfn.IFS(F264&lt;4,"Night",F264&lt;=6,"Early Morning",F264&lt;11,"Morning",F264&lt;12,"Afternoon",F264&lt;=16,"Afternoon",F264&lt;=20,"Evening",F264&gt;=21,"Night")</f>
        <v>Morning</v>
      </c>
      <c r="H264" s="8" t="b">
        <v>0</v>
      </c>
      <c r="I264" s="8">
        <v>3</v>
      </c>
      <c r="J264" s="8">
        <v>1</v>
      </c>
      <c r="K264" s="9" t="str" cm="1">
        <f t="array" ref="K264">_xlfn.IFS(J264=1,"Clear",J264=2,"Mist/Cloudy",J264=3,"Rain",J264=4,"Heavy Rain/Thunderstorm")</f>
        <v>Clear</v>
      </c>
      <c r="L264" s="10">
        <v>0.16</v>
      </c>
      <c r="M264" s="42" t="str" cm="1">
        <f t="array" ref="M264">_xlfn.IFS(L264&lt;0.15,"Cold",L264&lt;0.25,"Mild",L264&lt;=0.32,"Warm",L264&gt;=0.33,"Hot")</f>
        <v>Mild</v>
      </c>
    </row>
    <row r="265" spans="1:13" x14ac:dyDescent="0.3">
      <c r="A265" s="6">
        <v>264</v>
      </c>
      <c r="B265" s="7">
        <v>40555</v>
      </c>
      <c r="C265" s="8">
        <v>1</v>
      </c>
      <c r="D265" s="8">
        <v>0</v>
      </c>
      <c r="E265" s="8">
        <v>1</v>
      </c>
      <c r="F265" s="8">
        <v>10</v>
      </c>
      <c r="G265" s="8" t="str" cm="1">
        <f t="array" ref="G265">_xlfn.IFS(F265&lt;4,"Night",F265&lt;=6,"Early Morning",F265&lt;11,"Morning",F265&lt;12,"Afternoon",F265&lt;=16,"Afternoon",F265&lt;=20,"Evening",F265&gt;=21,"Night")</f>
        <v>Morning</v>
      </c>
      <c r="H265" s="8" t="b">
        <v>0</v>
      </c>
      <c r="I265" s="8">
        <v>3</v>
      </c>
      <c r="J265" s="8">
        <v>1</v>
      </c>
      <c r="K265" s="9" t="str" cm="1">
        <f t="array" ref="K265">_xlfn.IFS(J265=1,"Clear",J265=2,"Mist/Cloudy",J265=3,"Rain",J265=4,"Heavy Rain/Thunderstorm")</f>
        <v>Clear</v>
      </c>
      <c r="L265" s="10">
        <v>0.18</v>
      </c>
      <c r="M265" s="42" t="str" cm="1">
        <f t="array" ref="M265">_xlfn.IFS(L265&lt;0.15,"Cold",L265&lt;0.25,"Mild",L265&lt;=0.32,"Warm",L265&gt;=0.33,"Hot")</f>
        <v>Mild</v>
      </c>
    </row>
    <row r="266" spans="1:13" x14ac:dyDescent="0.3">
      <c r="A266" s="6">
        <v>265</v>
      </c>
      <c r="B266" s="7">
        <v>40555</v>
      </c>
      <c r="C266" s="8">
        <v>1</v>
      </c>
      <c r="D266" s="8">
        <v>0</v>
      </c>
      <c r="E266" s="8">
        <v>1</v>
      </c>
      <c r="F266" s="8">
        <v>11</v>
      </c>
      <c r="G266" s="8" t="str" cm="1">
        <f t="array" ref="G266">_xlfn.IFS(F266&lt;4,"Night",F266&lt;=6,"Early Morning",F266&lt;11,"Morning",F266&lt;12,"Afternoon",F266&lt;=16,"Afternoon",F266&lt;=20,"Evening",F266&gt;=21,"Night")</f>
        <v>Afternoon</v>
      </c>
      <c r="H266" s="8" t="b">
        <v>0</v>
      </c>
      <c r="I266" s="8">
        <v>3</v>
      </c>
      <c r="J266" s="8">
        <v>1</v>
      </c>
      <c r="K266" s="9" t="str" cm="1">
        <f t="array" ref="K266">_xlfn.IFS(J266=1,"Clear",J266=2,"Mist/Cloudy",J266=3,"Rain",J266=4,"Heavy Rain/Thunderstorm")</f>
        <v>Clear</v>
      </c>
      <c r="L266" s="10">
        <v>0.2</v>
      </c>
      <c r="M266" s="42" t="str" cm="1">
        <f t="array" ref="M266">_xlfn.IFS(L266&lt;0.15,"Cold",L266&lt;0.25,"Mild",L266&lt;=0.32,"Warm",L266&gt;=0.33,"Hot")</f>
        <v>Mild</v>
      </c>
    </row>
    <row r="267" spans="1:13" x14ac:dyDescent="0.3">
      <c r="A267" s="6">
        <v>266</v>
      </c>
      <c r="B267" s="7">
        <v>40555</v>
      </c>
      <c r="C267" s="8">
        <v>1</v>
      </c>
      <c r="D267" s="8">
        <v>0</v>
      </c>
      <c r="E267" s="8">
        <v>1</v>
      </c>
      <c r="F267" s="8">
        <v>12</v>
      </c>
      <c r="G267" s="8" t="str" cm="1">
        <f t="array" ref="G267">_xlfn.IFS(F267&lt;4,"Night",F267&lt;=6,"Early Morning",F267&lt;11,"Morning",F267&lt;12,"Afternoon",F267&lt;=16,"Afternoon",F267&lt;=20,"Evening",F267&gt;=21,"Night")</f>
        <v>Afternoon</v>
      </c>
      <c r="H267" s="8" t="b">
        <v>0</v>
      </c>
      <c r="I267" s="8">
        <v>3</v>
      </c>
      <c r="J267" s="8">
        <v>1</v>
      </c>
      <c r="K267" s="9" t="str" cm="1">
        <f t="array" ref="K267">_xlfn.IFS(J267=1,"Clear",J267=2,"Mist/Cloudy",J267=3,"Rain",J267=4,"Heavy Rain/Thunderstorm")</f>
        <v>Clear</v>
      </c>
      <c r="L267" s="10">
        <v>0.2</v>
      </c>
      <c r="M267" s="42" t="str" cm="1">
        <f t="array" ref="M267">_xlfn.IFS(L267&lt;0.15,"Cold",L267&lt;0.25,"Mild",L267&lt;=0.32,"Warm",L267&gt;=0.33,"Hot")</f>
        <v>Mild</v>
      </c>
    </row>
    <row r="268" spans="1:13" x14ac:dyDescent="0.3">
      <c r="A268" s="6">
        <v>267</v>
      </c>
      <c r="B268" s="7">
        <v>40555</v>
      </c>
      <c r="C268" s="8">
        <v>1</v>
      </c>
      <c r="D268" s="8">
        <v>0</v>
      </c>
      <c r="E268" s="8">
        <v>1</v>
      </c>
      <c r="F268" s="8">
        <v>13</v>
      </c>
      <c r="G268" s="8" t="str" cm="1">
        <f t="array" ref="G268">_xlfn.IFS(F268&lt;4,"Night",F268&lt;=6,"Early Morning",F268&lt;11,"Morning",F268&lt;12,"Afternoon",F268&lt;=16,"Afternoon",F268&lt;=20,"Evening",F268&gt;=21,"Night")</f>
        <v>Afternoon</v>
      </c>
      <c r="H268" s="8" t="b">
        <v>0</v>
      </c>
      <c r="I268" s="8">
        <v>3</v>
      </c>
      <c r="J268" s="8">
        <v>1</v>
      </c>
      <c r="K268" s="9" t="str" cm="1">
        <f t="array" ref="K268">_xlfn.IFS(J268=1,"Clear",J268=2,"Mist/Cloudy",J268=3,"Rain",J268=4,"Heavy Rain/Thunderstorm")</f>
        <v>Clear</v>
      </c>
      <c r="L268" s="10">
        <v>0.22</v>
      </c>
      <c r="M268" s="42" t="str" cm="1">
        <f t="array" ref="M268">_xlfn.IFS(L268&lt;0.15,"Cold",L268&lt;0.25,"Mild",L268&lt;=0.32,"Warm",L268&gt;=0.33,"Hot")</f>
        <v>Mild</v>
      </c>
    </row>
    <row r="269" spans="1:13" x14ac:dyDescent="0.3">
      <c r="A269" s="6">
        <v>268</v>
      </c>
      <c r="B269" s="7">
        <v>40555</v>
      </c>
      <c r="C269" s="8">
        <v>1</v>
      </c>
      <c r="D269" s="8">
        <v>0</v>
      </c>
      <c r="E269" s="8">
        <v>1</v>
      </c>
      <c r="F269" s="8">
        <v>14</v>
      </c>
      <c r="G269" s="8" t="str" cm="1">
        <f t="array" ref="G269">_xlfn.IFS(F269&lt;4,"Night",F269&lt;=6,"Early Morning",F269&lt;11,"Morning",F269&lt;12,"Afternoon",F269&lt;=16,"Afternoon",F269&lt;=20,"Evening",F269&gt;=21,"Night")</f>
        <v>Afternoon</v>
      </c>
      <c r="H269" s="8" t="b">
        <v>0</v>
      </c>
      <c r="I269" s="8">
        <v>3</v>
      </c>
      <c r="J269" s="8">
        <v>1</v>
      </c>
      <c r="K269" s="9" t="str" cm="1">
        <f t="array" ref="K269">_xlfn.IFS(J269=1,"Clear",J269=2,"Mist/Cloudy",J269=3,"Rain",J269=4,"Heavy Rain/Thunderstorm")</f>
        <v>Clear</v>
      </c>
      <c r="L269" s="10">
        <v>0.2</v>
      </c>
      <c r="M269" s="42" t="str" cm="1">
        <f t="array" ref="M269">_xlfn.IFS(L269&lt;0.15,"Cold",L269&lt;0.25,"Mild",L269&lt;=0.32,"Warm",L269&gt;=0.33,"Hot")</f>
        <v>Mild</v>
      </c>
    </row>
    <row r="270" spans="1:13" x14ac:dyDescent="0.3">
      <c r="A270" s="6">
        <v>269</v>
      </c>
      <c r="B270" s="7">
        <v>40555</v>
      </c>
      <c r="C270" s="8">
        <v>1</v>
      </c>
      <c r="D270" s="8">
        <v>0</v>
      </c>
      <c r="E270" s="8">
        <v>1</v>
      </c>
      <c r="F270" s="8">
        <v>15</v>
      </c>
      <c r="G270" s="8" t="str" cm="1">
        <f t="array" ref="G270">_xlfn.IFS(F270&lt;4,"Night",F270&lt;=6,"Early Morning",F270&lt;11,"Morning",F270&lt;12,"Afternoon",F270&lt;=16,"Afternoon",F270&lt;=20,"Evening",F270&gt;=21,"Night")</f>
        <v>Afternoon</v>
      </c>
      <c r="H270" s="8" t="b">
        <v>0</v>
      </c>
      <c r="I270" s="8">
        <v>3</v>
      </c>
      <c r="J270" s="8">
        <v>1</v>
      </c>
      <c r="K270" s="9" t="str" cm="1">
        <f t="array" ref="K270">_xlfn.IFS(J270=1,"Clear",J270=2,"Mist/Cloudy",J270=3,"Rain",J270=4,"Heavy Rain/Thunderstorm")</f>
        <v>Clear</v>
      </c>
      <c r="L270" s="10">
        <v>0.2</v>
      </c>
      <c r="M270" s="42" t="str" cm="1">
        <f t="array" ref="M270">_xlfn.IFS(L270&lt;0.15,"Cold",L270&lt;0.25,"Mild",L270&lt;=0.32,"Warm",L270&gt;=0.33,"Hot")</f>
        <v>Mild</v>
      </c>
    </row>
    <row r="271" spans="1:13" x14ac:dyDescent="0.3">
      <c r="A271" s="6">
        <v>270</v>
      </c>
      <c r="B271" s="7">
        <v>40555</v>
      </c>
      <c r="C271" s="8">
        <v>1</v>
      </c>
      <c r="D271" s="8">
        <v>0</v>
      </c>
      <c r="E271" s="8">
        <v>1</v>
      </c>
      <c r="F271" s="8">
        <v>16</v>
      </c>
      <c r="G271" s="8" t="str" cm="1">
        <f t="array" ref="G271">_xlfn.IFS(F271&lt;4,"Night",F271&lt;=6,"Early Morning",F271&lt;11,"Morning",F271&lt;12,"Afternoon",F271&lt;=16,"Afternoon",F271&lt;=20,"Evening",F271&gt;=21,"Night")</f>
        <v>Afternoon</v>
      </c>
      <c r="H271" s="8" t="b">
        <v>0</v>
      </c>
      <c r="I271" s="8">
        <v>3</v>
      </c>
      <c r="J271" s="8">
        <v>1</v>
      </c>
      <c r="K271" s="9" t="str" cm="1">
        <f t="array" ref="K271">_xlfn.IFS(J271=1,"Clear",J271=2,"Mist/Cloudy",J271=3,"Rain",J271=4,"Heavy Rain/Thunderstorm")</f>
        <v>Clear</v>
      </c>
      <c r="L271" s="10">
        <v>0.22</v>
      </c>
      <c r="M271" s="42" t="str" cm="1">
        <f t="array" ref="M271">_xlfn.IFS(L271&lt;0.15,"Cold",L271&lt;0.25,"Mild",L271&lt;=0.32,"Warm",L271&gt;=0.33,"Hot")</f>
        <v>Mild</v>
      </c>
    </row>
    <row r="272" spans="1:13" x14ac:dyDescent="0.3">
      <c r="A272" s="6">
        <v>271</v>
      </c>
      <c r="B272" s="7">
        <v>40555</v>
      </c>
      <c r="C272" s="8">
        <v>1</v>
      </c>
      <c r="D272" s="8">
        <v>0</v>
      </c>
      <c r="E272" s="8">
        <v>1</v>
      </c>
      <c r="F272" s="8">
        <v>17</v>
      </c>
      <c r="G272" s="8" t="str" cm="1">
        <f t="array" ref="G272">_xlfn.IFS(F272&lt;4,"Night",F272&lt;=6,"Early Morning",F272&lt;11,"Morning",F272&lt;12,"Afternoon",F272&lt;=16,"Afternoon",F272&lt;=20,"Evening",F272&gt;=21,"Night")</f>
        <v>Evening</v>
      </c>
      <c r="H272" s="8" t="b">
        <v>0</v>
      </c>
      <c r="I272" s="8">
        <v>3</v>
      </c>
      <c r="J272" s="8">
        <v>1</v>
      </c>
      <c r="K272" s="9" t="str" cm="1">
        <f t="array" ref="K272">_xlfn.IFS(J272=1,"Clear",J272=2,"Mist/Cloudy",J272=3,"Rain",J272=4,"Heavy Rain/Thunderstorm")</f>
        <v>Clear</v>
      </c>
      <c r="L272" s="10">
        <v>0.2</v>
      </c>
      <c r="M272" s="42" t="str" cm="1">
        <f t="array" ref="M272">_xlfn.IFS(L272&lt;0.15,"Cold",L272&lt;0.25,"Mild",L272&lt;=0.32,"Warm",L272&gt;=0.33,"Hot")</f>
        <v>Mild</v>
      </c>
    </row>
    <row r="273" spans="1:13" x14ac:dyDescent="0.3">
      <c r="A273" s="6">
        <v>272</v>
      </c>
      <c r="B273" s="7">
        <v>40555</v>
      </c>
      <c r="C273" s="8">
        <v>1</v>
      </c>
      <c r="D273" s="8">
        <v>0</v>
      </c>
      <c r="E273" s="8">
        <v>1</v>
      </c>
      <c r="F273" s="8">
        <v>18</v>
      </c>
      <c r="G273" s="8" t="str" cm="1">
        <f t="array" ref="G273">_xlfn.IFS(F273&lt;4,"Night",F273&lt;=6,"Early Morning",F273&lt;11,"Morning",F273&lt;12,"Afternoon",F273&lt;=16,"Afternoon",F273&lt;=20,"Evening",F273&gt;=21,"Night")</f>
        <v>Evening</v>
      </c>
      <c r="H273" s="8" t="b">
        <v>0</v>
      </c>
      <c r="I273" s="8">
        <v>3</v>
      </c>
      <c r="J273" s="8">
        <v>1</v>
      </c>
      <c r="K273" s="9" t="str" cm="1">
        <f t="array" ref="K273">_xlfn.IFS(J273=1,"Clear",J273=2,"Mist/Cloudy",J273=3,"Rain",J273=4,"Heavy Rain/Thunderstorm")</f>
        <v>Clear</v>
      </c>
      <c r="L273" s="10">
        <v>0.2</v>
      </c>
      <c r="M273" s="42" t="str" cm="1">
        <f t="array" ref="M273">_xlfn.IFS(L273&lt;0.15,"Cold",L273&lt;0.25,"Mild",L273&lt;=0.32,"Warm",L273&gt;=0.33,"Hot")</f>
        <v>Mild</v>
      </c>
    </row>
    <row r="274" spans="1:13" x14ac:dyDescent="0.3">
      <c r="A274" s="6">
        <v>273</v>
      </c>
      <c r="B274" s="7">
        <v>40555</v>
      </c>
      <c r="C274" s="8">
        <v>1</v>
      </c>
      <c r="D274" s="8">
        <v>0</v>
      </c>
      <c r="E274" s="8">
        <v>1</v>
      </c>
      <c r="F274" s="8">
        <v>19</v>
      </c>
      <c r="G274" s="8" t="str" cm="1">
        <f t="array" ref="G274">_xlfn.IFS(F274&lt;4,"Night",F274&lt;=6,"Early Morning",F274&lt;11,"Morning",F274&lt;12,"Afternoon",F274&lt;=16,"Afternoon",F274&lt;=20,"Evening",F274&gt;=21,"Night")</f>
        <v>Evening</v>
      </c>
      <c r="H274" s="8" t="b">
        <v>0</v>
      </c>
      <c r="I274" s="8">
        <v>3</v>
      </c>
      <c r="J274" s="8">
        <v>1</v>
      </c>
      <c r="K274" s="9" t="str" cm="1">
        <f t="array" ref="K274">_xlfn.IFS(J274=1,"Clear",J274=2,"Mist/Cloudy",J274=3,"Rain",J274=4,"Heavy Rain/Thunderstorm")</f>
        <v>Clear</v>
      </c>
      <c r="L274" s="10">
        <v>0.18</v>
      </c>
      <c r="M274" s="42" t="str" cm="1">
        <f t="array" ref="M274">_xlfn.IFS(L274&lt;0.15,"Cold",L274&lt;0.25,"Mild",L274&lt;=0.32,"Warm",L274&gt;=0.33,"Hot")</f>
        <v>Mild</v>
      </c>
    </row>
    <row r="275" spans="1:13" x14ac:dyDescent="0.3">
      <c r="A275" s="6">
        <v>274</v>
      </c>
      <c r="B275" s="7">
        <v>40555</v>
      </c>
      <c r="C275" s="8">
        <v>1</v>
      </c>
      <c r="D275" s="8">
        <v>0</v>
      </c>
      <c r="E275" s="8">
        <v>1</v>
      </c>
      <c r="F275" s="8">
        <v>20</v>
      </c>
      <c r="G275" s="8" t="str" cm="1">
        <f t="array" ref="G275">_xlfn.IFS(F275&lt;4,"Night",F275&lt;=6,"Early Morning",F275&lt;11,"Morning",F275&lt;12,"Afternoon",F275&lt;=16,"Afternoon",F275&lt;=20,"Evening",F275&gt;=21,"Night")</f>
        <v>Evening</v>
      </c>
      <c r="H275" s="8" t="b">
        <v>0</v>
      </c>
      <c r="I275" s="8">
        <v>3</v>
      </c>
      <c r="J275" s="8">
        <v>1</v>
      </c>
      <c r="K275" s="9" t="str" cm="1">
        <f t="array" ref="K275">_xlfn.IFS(J275=1,"Clear",J275=2,"Mist/Cloudy",J275=3,"Rain",J275=4,"Heavy Rain/Thunderstorm")</f>
        <v>Clear</v>
      </c>
      <c r="L275" s="10">
        <v>0.16</v>
      </c>
      <c r="M275" s="42" t="str" cm="1">
        <f t="array" ref="M275">_xlfn.IFS(L275&lt;0.15,"Cold",L275&lt;0.25,"Mild",L275&lt;=0.32,"Warm",L275&gt;=0.33,"Hot")</f>
        <v>Mild</v>
      </c>
    </row>
    <row r="276" spans="1:13" x14ac:dyDescent="0.3">
      <c r="A276" s="6">
        <v>275</v>
      </c>
      <c r="B276" s="7">
        <v>40555</v>
      </c>
      <c r="C276" s="8">
        <v>1</v>
      </c>
      <c r="D276" s="8">
        <v>0</v>
      </c>
      <c r="E276" s="8">
        <v>1</v>
      </c>
      <c r="F276" s="8">
        <v>21</v>
      </c>
      <c r="G276" s="8" t="str" cm="1">
        <f t="array" ref="G276">_xlfn.IFS(F276&lt;4,"Night",F276&lt;=6,"Early Morning",F276&lt;11,"Morning",F276&lt;12,"Afternoon",F276&lt;=16,"Afternoon",F276&lt;=20,"Evening",F276&gt;=21,"Night")</f>
        <v>Night</v>
      </c>
      <c r="H276" s="8" t="b">
        <v>0</v>
      </c>
      <c r="I276" s="8">
        <v>3</v>
      </c>
      <c r="J276" s="8">
        <v>1</v>
      </c>
      <c r="K276" s="9" t="str" cm="1">
        <f t="array" ref="K276">_xlfn.IFS(J276=1,"Clear",J276=2,"Mist/Cloudy",J276=3,"Rain",J276=4,"Heavy Rain/Thunderstorm")</f>
        <v>Clear</v>
      </c>
      <c r="L276" s="10">
        <v>0.16</v>
      </c>
      <c r="M276" s="42" t="str" cm="1">
        <f t="array" ref="M276">_xlfn.IFS(L276&lt;0.15,"Cold",L276&lt;0.25,"Mild",L276&lt;=0.32,"Warm",L276&gt;=0.33,"Hot")</f>
        <v>Mild</v>
      </c>
    </row>
    <row r="277" spans="1:13" x14ac:dyDescent="0.3">
      <c r="A277" s="6">
        <v>276</v>
      </c>
      <c r="B277" s="7">
        <v>40555</v>
      </c>
      <c r="C277" s="8">
        <v>1</v>
      </c>
      <c r="D277" s="8">
        <v>0</v>
      </c>
      <c r="E277" s="8">
        <v>1</v>
      </c>
      <c r="F277" s="8">
        <v>22</v>
      </c>
      <c r="G277" s="8" t="str" cm="1">
        <f t="array" ref="G277">_xlfn.IFS(F277&lt;4,"Night",F277&lt;=6,"Early Morning",F277&lt;11,"Morning",F277&lt;12,"Afternoon",F277&lt;=16,"Afternoon",F277&lt;=20,"Evening",F277&gt;=21,"Night")</f>
        <v>Night</v>
      </c>
      <c r="H277" s="8" t="b">
        <v>0</v>
      </c>
      <c r="I277" s="8">
        <v>3</v>
      </c>
      <c r="J277" s="8">
        <v>1</v>
      </c>
      <c r="K277" s="9" t="str" cm="1">
        <f t="array" ref="K277">_xlfn.IFS(J277=1,"Clear",J277=2,"Mist/Cloudy",J277=3,"Rain",J277=4,"Heavy Rain/Thunderstorm")</f>
        <v>Clear</v>
      </c>
      <c r="L277" s="10">
        <v>0.16</v>
      </c>
      <c r="M277" s="42" t="str" cm="1">
        <f t="array" ref="M277">_xlfn.IFS(L277&lt;0.15,"Cold",L277&lt;0.25,"Mild",L277&lt;=0.32,"Warm",L277&gt;=0.33,"Hot")</f>
        <v>Mild</v>
      </c>
    </row>
    <row r="278" spans="1:13" x14ac:dyDescent="0.3">
      <c r="A278" s="6">
        <v>277</v>
      </c>
      <c r="B278" s="7">
        <v>40555</v>
      </c>
      <c r="C278" s="8">
        <v>1</v>
      </c>
      <c r="D278" s="8">
        <v>0</v>
      </c>
      <c r="E278" s="8">
        <v>1</v>
      </c>
      <c r="F278" s="8">
        <v>23</v>
      </c>
      <c r="G278" s="8" t="str" cm="1">
        <f t="array" ref="G278">_xlfn.IFS(F278&lt;4,"Night",F278&lt;=6,"Early Morning",F278&lt;11,"Morning",F278&lt;12,"Afternoon",F278&lt;=16,"Afternoon",F278&lt;=20,"Evening",F278&gt;=21,"Night")</f>
        <v>Night</v>
      </c>
      <c r="H278" s="8" t="b">
        <v>0</v>
      </c>
      <c r="I278" s="8">
        <v>3</v>
      </c>
      <c r="J278" s="8">
        <v>1</v>
      </c>
      <c r="K278" s="9" t="str" cm="1">
        <f t="array" ref="K278">_xlfn.IFS(J278=1,"Clear",J278=2,"Mist/Cloudy",J278=3,"Rain",J278=4,"Heavy Rain/Thunderstorm")</f>
        <v>Clear</v>
      </c>
      <c r="L278" s="10">
        <v>0.14000000000000001</v>
      </c>
      <c r="M278" s="42" t="str" cm="1">
        <f t="array" ref="M278">_xlfn.IFS(L278&lt;0.15,"Cold",L278&lt;0.25,"Mild",L278&lt;=0.32,"Warm",L278&gt;=0.33,"Hot")</f>
        <v>Cold</v>
      </c>
    </row>
    <row r="279" spans="1:13" x14ac:dyDescent="0.3">
      <c r="A279" s="6">
        <v>278</v>
      </c>
      <c r="B279" s="7">
        <v>40556</v>
      </c>
      <c r="C279" s="8">
        <v>1</v>
      </c>
      <c r="D279" s="8">
        <v>0</v>
      </c>
      <c r="E279" s="8">
        <v>1</v>
      </c>
      <c r="F279" s="8">
        <v>0</v>
      </c>
      <c r="G279" s="8" t="str" cm="1">
        <f t="array" ref="G279">_xlfn.IFS(F279&lt;4,"Night",F279&lt;=6,"Early Morning",F279&lt;11,"Morning",F279&lt;12,"Afternoon",F279&lt;=16,"Afternoon",F279&lt;=20,"Evening",F279&gt;=21,"Night")</f>
        <v>Night</v>
      </c>
      <c r="H279" s="8" t="b">
        <v>0</v>
      </c>
      <c r="I279" s="8">
        <v>4</v>
      </c>
      <c r="J279" s="8">
        <v>1</v>
      </c>
      <c r="K279" s="9" t="str" cm="1">
        <f t="array" ref="K279">_xlfn.IFS(J279=1,"Clear",J279=2,"Mist/Cloudy",J279=3,"Rain",J279=4,"Heavy Rain/Thunderstorm")</f>
        <v>Clear</v>
      </c>
      <c r="L279" s="10">
        <v>0.14000000000000001</v>
      </c>
      <c r="M279" s="42" t="str" cm="1">
        <f t="array" ref="M279">_xlfn.IFS(L279&lt;0.15,"Cold",L279&lt;0.25,"Mild",L279&lt;=0.32,"Warm",L279&gt;=0.33,"Hot")</f>
        <v>Cold</v>
      </c>
    </row>
    <row r="280" spans="1:13" x14ac:dyDescent="0.3">
      <c r="A280" s="6">
        <v>279</v>
      </c>
      <c r="B280" s="7">
        <v>40556</v>
      </c>
      <c r="C280" s="8">
        <v>1</v>
      </c>
      <c r="D280" s="8">
        <v>0</v>
      </c>
      <c r="E280" s="8">
        <v>1</v>
      </c>
      <c r="F280" s="8">
        <v>1</v>
      </c>
      <c r="G280" s="8" t="str" cm="1">
        <f t="array" ref="G280">_xlfn.IFS(F280&lt;4,"Night",F280&lt;=6,"Early Morning",F280&lt;11,"Morning",F280&lt;12,"Afternoon",F280&lt;=16,"Afternoon",F280&lt;=20,"Evening",F280&gt;=21,"Night")</f>
        <v>Night</v>
      </c>
      <c r="H280" s="8" t="b">
        <v>0</v>
      </c>
      <c r="I280" s="8">
        <v>4</v>
      </c>
      <c r="J280" s="8">
        <v>1</v>
      </c>
      <c r="K280" s="9" t="str" cm="1">
        <f t="array" ref="K280">_xlfn.IFS(J280=1,"Clear",J280=2,"Mist/Cloudy",J280=3,"Rain",J280=4,"Heavy Rain/Thunderstorm")</f>
        <v>Clear</v>
      </c>
      <c r="L280" s="10">
        <v>0.14000000000000001</v>
      </c>
      <c r="M280" s="42" t="str" cm="1">
        <f t="array" ref="M280">_xlfn.IFS(L280&lt;0.15,"Cold",L280&lt;0.25,"Mild",L280&lt;=0.32,"Warm",L280&gt;=0.33,"Hot")</f>
        <v>Cold</v>
      </c>
    </row>
    <row r="281" spans="1:13" x14ac:dyDescent="0.3">
      <c r="A281" s="6">
        <v>280</v>
      </c>
      <c r="B281" s="7">
        <v>40556</v>
      </c>
      <c r="C281" s="8">
        <v>1</v>
      </c>
      <c r="D281" s="8">
        <v>0</v>
      </c>
      <c r="E281" s="8">
        <v>1</v>
      </c>
      <c r="F281" s="8">
        <v>2</v>
      </c>
      <c r="G281" s="8" t="str" cm="1">
        <f t="array" ref="G281">_xlfn.IFS(F281&lt;4,"Night",F281&lt;=6,"Early Morning",F281&lt;11,"Morning",F281&lt;12,"Afternoon",F281&lt;=16,"Afternoon",F281&lt;=20,"Evening",F281&gt;=21,"Night")</f>
        <v>Night</v>
      </c>
      <c r="H281" s="8" t="b">
        <v>0</v>
      </c>
      <c r="I281" s="8">
        <v>4</v>
      </c>
      <c r="J281" s="8">
        <v>1</v>
      </c>
      <c r="K281" s="9" t="str" cm="1">
        <f t="array" ref="K281">_xlfn.IFS(J281=1,"Clear",J281=2,"Mist/Cloudy",J281=3,"Rain",J281=4,"Heavy Rain/Thunderstorm")</f>
        <v>Clear</v>
      </c>
      <c r="L281" s="10">
        <v>0.14000000000000001</v>
      </c>
      <c r="M281" s="42" t="str" cm="1">
        <f t="array" ref="M281">_xlfn.IFS(L281&lt;0.15,"Cold",L281&lt;0.25,"Mild",L281&lt;=0.32,"Warm",L281&gt;=0.33,"Hot")</f>
        <v>Cold</v>
      </c>
    </row>
    <row r="282" spans="1:13" x14ac:dyDescent="0.3">
      <c r="A282" s="6">
        <v>281</v>
      </c>
      <c r="B282" s="7">
        <v>40556</v>
      </c>
      <c r="C282" s="8">
        <v>1</v>
      </c>
      <c r="D282" s="8">
        <v>0</v>
      </c>
      <c r="E282" s="8">
        <v>1</v>
      </c>
      <c r="F282" s="8">
        <v>3</v>
      </c>
      <c r="G282" s="8" t="str" cm="1">
        <f t="array" ref="G282">_xlfn.IFS(F282&lt;4,"Night",F282&lt;=6,"Early Morning",F282&lt;11,"Morning",F282&lt;12,"Afternoon",F282&lt;=16,"Afternoon",F282&lt;=20,"Evening",F282&gt;=21,"Night")</f>
        <v>Night</v>
      </c>
      <c r="H282" s="8" t="b">
        <v>0</v>
      </c>
      <c r="I282" s="8">
        <v>4</v>
      </c>
      <c r="J282" s="8">
        <v>1</v>
      </c>
      <c r="K282" s="9" t="str" cm="1">
        <f t="array" ref="K282">_xlfn.IFS(J282=1,"Clear",J282=2,"Mist/Cloudy",J282=3,"Rain",J282=4,"Heavy Rain/Thunderstorm")</f>
        <v>Clear</v>
      </c>
      <c r="L282" s="10">
        <v>0.14000000000000001</v>
      </c>
      <c r="M282" s="42" t="str" cm="1">
        <f t="array" ref="M282">_xlfn.IFS(L282&lt;0.15,"Cold",L282&lt;0.25,"Mild",L282&lt;=0.32,"Warm",L282&gt;=0.33,"Hot")</f>
        <v>Cold</v>
      </c>
    </row>
    <row r="283" spans="1:13" x14ac:dyDescent="0.3">
      <c r="A283" s="6">
        <v>282</v>
      </c>
      <c r="B283" s="7">
        <v>40556</v>
      </c>
      <c r="C283" s="8">
        <v>1</v>
      </c>
      <c r="D283" s="8">
        <v>0</v>
      </c>
      <c r="E283" s="8">
        <v>1</v>
      </c>
      <c r="F283" s="8">
        <v>4</v>
      </c>
      <c r="G283" s="8" t="str" cm="1">
        <f t="array" ref="G283">_xlfn.IFS(F283&lt;4,"Night",F283&lt;=6,"Early Morning",F283&lt;11,"Morning",F283&lt;12,"Afternoon",F283&lt;=16,"Afternoon",F283&lt;=20,"Evening",F283&gt;=21,"Night")</f>
        <v>Early Morning</v>
      </c>
      <c r="H283" s="8" t="b">
        <v>0</v>
      </c>
      <c r="I283" s="8">
        <v>4</v>
      </c>
      <c r="J283" s="8">
        <v>1</v>
      </c>
      <c r="K283" s="9" t="str" cm="1">
        <f t="array" ref="K283">_xlfn.IFS(J283=1,"Clear",J283=2,"Mist/Cloudy",J283=3,"Rain",J283=4,"Heavy Rain/Thunderstorm")</f>
        <v>Clear</v>
      </c>
      <c r="L283" s="10">
        <v>0.14000000000000001</v>
      </c>
      <c r="M283" s="42" t="str" cm="1">
        <f t="array" ref="M283">_xlfn.IFS(L283&lt;0.15,"Cold",L283&lt;0.25,"Mild",L283&lt;=0.32,"Warm",L283&gt;=0.33,"Hot")</f>
        <v>Cold</v>
      </c>
    </row>
    <row r="284" spans="1:13" x14ac:dyDescent="0.3">
      <c r="A284" s="6">
        <v>283</v>
      </c>
      <c r="B284" s="7">
        <v>40556</v>
      </c>
      <c r="C284" s="8">
        <v>1</v>
      </c>
      <c r="D284" s="8">
        <v>0</v>
      </c>
      <c r="E284" s="8">
        <v>1</v>
      </c>
      <c r="F284" s="8">
        <v>5</v>
      </c>
      <c r="G284" s="8" t="str" cm="1">
        <f t="array" ref="G284">_xlfn.IFS(F284&lt;4,"Night",F284&lt;=6,"Early Morning",F284&lt;11,"Morning",F284&lt;12,"Afternoon",F284&lt;=16,"Afternoon",F284&lt;=20,"Evening",F284&gt;=21,"Night")</f>
        <v>Early Morning</v>
      </c>
      <c r="H284" s="8" t="b">
        <v>0</v>
      </c>
      <c r="I284" s="8">
        <v>4</v>
      </c>
      <c r="J284" s="8">
        <v>1</v>
      </c>
      <c r="K284" s="9" t="str" cm="1">
        <f t="array" ref="K284">_xlfn.IFS(J284=1,"Clear",J284=2,"Mist/Cloudy",J284=3,"Rain",J284=4,"Heavy Rain/Thunderstorm")</f>
        <v>Clear</v>
      </c>
      <c r="L284" s="10">
        <v>0.14000000000000001</v>
      </c>
      <c r="M284" s="42" t="str" cm="1">
        <f t="array" ref="M284">_xlfn.IFS(L284&lt;0.15,"Cold",L284&lt;0.25,"Mild",L284&lt;=0.32,"Warm",L284&gt;=0.33,"Hot")</f>
        <v>Cold</v>
      </c>
    </row>
    <row r="285" spans="1:13" x14ac:dyDescent="0.3">
      <c r="A285" s="6">
        <v>284</v>
      </c>
      <c r="B285" s="7">
        <v>40556</v>
      </c>
      <c r="C285" s="8">
        <v>1</v>
      </c>
      <c r="D285" s="8">
        <v>0</v>
      </c>
      <c r="E285" s="8">
        <v>1</v>
      </c>
      <c r="F285" s="8">
        <v>6</v>
      </c>
      <c r="G285" s="8" t="str" cm="1">
        <f t="array" ref="G285">_xlfn.IFS(F285&lt;4,"Night",F285&lt;=6,"Early Morning",F285&lt;11,"Morning",F285&lt;12,"Afternoon",F285&lt;=16,"Afternoon",F285&lt;=20,"Evening",F285&gt;=21,"Night")</f>
        <v>Early Morning</v>
      </c>
      <c r="H285" s="8" t="b">
        <v>0</v>
      </c>
      <c r="I285" s="8">
        <v>4</v>
      </c>
      <c r="J285" s="8">
        <v>1</v>
      </c>
      <c r="K285" s="9" t="str" cm="1">
        <f t="array" ref="K285">_xlfn.IFS(J285=1,"Clear",J285=2,"Mist/Cloudy",J285=3,"Rain",J285=4,"Heavy Rain/Thunderstorm")</f>
        <v>Clear</v>
      </c>
      <c r="L285" s="10">
        <v>0.12</v>
      </c>
      <c r="M285" s="42" t="str" cm="1">
        <f t="array" ref="M285">_xlfn.IFS(L285&lt;0.15,"Cold",L285&lt;0.25,"Mild",L285&lt;=0.32,"Warm",L285&gt;=0.33,"Hot")</f>
        <v>Cold</v>
      </c>
    </row>
    <row r="286" spans="1:13" x14ac:dyDescent="0.3">
      <c r="A286" s="6">
        <v>285</v>
      </c>
      <c r="B286" s="7">
        <v>40556</v>
      </c>
      <c r="C286" s="8">
        <v>1</v>
      </c>
      <c r="D286" s="8">
        <v>0</v>
      </c>
      <c r="E286" s="8">
        <v>1</v>
      </c>
      <c r="F286" s="8">
        <v>7</v>
      </c>
      <c r="G286" s="8" t="str" cm="1">
        <f t="array" ref="G286">_xlfn.IFS(F286&lt;4,"Night",F286&lt;=6,"Early Morning",F286&lt;11,"Morning",F286&lt;12,"Afternoon",F286&lt;=16,"Afternoon",F286&lt;=20,"Evening",F286&gt;=21,"Night")</f>
        <v>Morning</v>
      </c>
      <c r="H286" s="8" t="b">
        <v>0</v>
      </c>
      <c r="I286" s="8">
        <v>4</v>
      </c>
      <c r="J286" s="8">
        <v>1</v>
      </c>
      <c r="K286" s="9" t="str" cm="1">
        <f t="array" ref="K286">_xlfn.IFS(J286=1,"Clear",J286=2,"Mist/Cloudy",J286=3,"Rain",J286=4,"Heavy Rain/Thunderstorm")</f>
        <v>Clear</v>
      </c>
      <c r="L286" s="10">
        <v>0.12</v>
      </c>
      <c r="M286" s="42" t="str" cm="1">
        <f t="array" ref="M286">_xlfn.IFS(L286&lt;0.15,"Cold",L286&lt;0.25,"Mild",L286&lt;=0.32,"Warm",L286&gt;=0.33,"Hot")</f>
        <v>Cold</v>
      </c>
    </row>
    <row r="287" spans="1:13" x14ac:dyDescent="0.3">
      <c r="A287" s="6">
        <v>286</v>
      </c>
      <c r="B287" s="7">
        <v>40556</v>
      </c>
      <c r="C287" s="8">
        <v>1</v>
      </c>
      <c r="D287" s="8">
        <v>0</v>
      </c>
      <c r="E287" s="8">
        <v>1</v>
      </c>
      <c r="F287" s="8">
        <v>8</v>
      </c>
      <c r="G287" s="8" t="str" cm="1">
        <f t="array" ref="G287">_xlfn.IFS(F287&lt;4,"Night",F287&lt;=6,"Early Morning",F287&lt;11,"Morning",F287&lt;12,"Afternoon",F287&lt;=16,"Afternoon",F287&lt;=20,"Evening",F287&gt;=21,"Night")</f>
        <v>Morning</v>
      </c>
      <c r="H287" s="8" t="b">
        <v>0</v>
      </c>
      <c r="I287" s="8">
        <v>4</v>
      </c>
      <c r="J287" s="8">
        <v>1</v>
      </c>
      <c r="K287" s="9" t="str" cm="1">
        <f t="array" ref="K287">_xlfn.IFS(J287=1,"Clear",J287=2,"Mist/Cloudy",J287=3,"Rain",J287=4,"Heavy Rain/Thunderstorm")</f>
        <v>Clear</v>
      </c>
      <c r="L287" s="10">
        <v>0.14000000000000001</v>
      </c>
      <c r="M287" s="42" t="str" cm="1">
        <f t="array" ref="M287">_xlfn.IFS(L287&lt;0.15,"Cold",L287&lt;0.25,"Mild",L287&lt;=0.32,"Warm",L287&gt;=0.33,"Hot")</f>
        <v>Cold</v>
      </c>
    </row>
    <row r="288" spans="1:13" x14ac:dyDescent="0.3">
      <c r="A288" s="6">
        <v>287</v>
      </c>
      <c r="B288" s="7">
        <v>40556</v>
      </c>
      <c r="C288" s="8">
        <v>1</v>
      </c>
      <c r="D288" s="8">
        <v>0</v>
      </c>
      <c r="E288" s="8">
        <v>1</v>
      </c>
      <c r="F288" s="8">
        <v>9</v>
      </c>
      <c r="G288" s="8" t="str" cm="1">
        <f t="array" ref="G288">_xlfn.IFS(F288&lt;4,"Night",F288&lt;=6,"Early Morning",F288&lt;11,"Morning",F288&lt;12,"Afternoon",F288&lt;=16,"Afternoon",F288&lt;=20,"Evening",F288&gt;=21,"Night")</f>
        <v>Morning</v>
      </c>
      <c r="H288" s="8" t="b">
        <v>0</v>
      </c>
      <c r="I288" s="8">
        <v>4</v>
      </c>
      <c r="J288" s="8">
        <v>1</v>
      </c>
      <c r="K288" s="9" t="str" cm="1">
        <f t="array" ref="K288">_xlfn.IFS(J288=1,"Clear",J288=2,"Mist/Cloudy",J288=3,"Rain",J288=4,"Heavy Rain/Thunderstorm")</f>
        <v>Clear</v>
      </c>
      <c r="L288" s="10">
        <v>0.14000000000000001</v>
      </c>
      <c r="M288" s="42" t="str" cm="1">
        <f t="array" ref="M288">_xlfn.IFS(L288&lt;0.15,"Cold",L288&lt;0.25,"Mild",L288&lt;=0.32,"Warm",L288&gt;=0.33,"Hot")</f>
        <v>Cold</v>
      </c>
    </row>
    <row r="289" spans="1:13" x14ac:dyDescent="0.3">
      <c r="A289" s="6">
        <v>288</v>
      </c>
      <c r="B289" s="7">
        <v>40556</v>
      </c>
      <c r="C289" s="8">
        <v>1</v>
      </c>
      <c r="D289" s="8">
        <v>0</v>
      </c>
      <c r="E289" s="8">
        <v>1</v>
      </c>
      <c r="F289" s="8">
        <v>10</v>
      </c>
      <c r="G289" s="8" t="str" cm="1">
        <f t="array" ref="G289">_xlfn.IFS(F289&lt;4,"Night",F289&lt;=6,"Early Morning",F289&lt;11,"Morning",F289&lt;12,"Afternoon",F289&lt;=16,"Afternoon",F289&lt;=20,"Evening",F289&gt;=21,"Night")</f>
        <v>Morning</v>
      </c>
      <c r="H289" s="8" t="b">
        <v>0</v>
      </c>
      <c r="I289" s="8">
        <v>4</v>
      </c>
      <c r="J289" s="8">
        <v>2</v>
      </c>
      <c r="K289" s="9" t="str" cm="1">
        <f t="array" ref="K289">_xlfn.IFS(J289=1,"Clear",J289=2,"Mist/Cloudy",J289=3,"Rain",J289=4,"Heavy Rain/Thunderstorm")</f>
        <v>Mist/Cloudy</v>
      </c>
      <c r="L289" s="10">
        <v>0.16</v>
      </c>
      <c r="M289" s="42" t="str" cm="1">
        <f t="array" ref="M289">_xlfn.IFS(L289&lt;0.15,"Cold",L289&lt;0.25,"Mild",L289&lt;=0.32,"Warm",L289&gt;=0.33,"Hot")</f>
        <v>Mild</v>
      </c>
    </row>
    <row r="290" spans="1:13" x14ac:dyDescent="0.3">
      <c r="A290" s="6">
        <v>289</v>
      </c>
      <c r="B290" s="7">
        <v>40556</v>
      </c>
      <c r="C290" s="8">
        <v>1</v>
      </c>
      <c r="D290" s="8">
        <v>0</v>
      </c>
      <c r="E290" s="8">
        <v>1</v>
      </c>
      <c r="F290" s="8">
        <v>11</v>
      </c>
      <c r="G290" s="8" t="str" cm="1">
        <f t="array" ref="G290">_xlfn.IFS(F290&lt;4,"Night",F290&lt;=6,"Early Morning",F290&lt;11,"Morning",F290&lt;12,"Afternoon",F290&lt;=16,"Afternoon",F290&lt;=20,"Evening",F290&gt;=21,"Night")</f>
        <v>Afternoon</v>
      </c>
      <c r="H290" s="8" t="b">
        <v>0</v>
      </c>
      <c r="I290" s="8">
        <v>4</v>
      </c>
      <c r="J290" s="8">
        <v>2</v>
      </c>
      <c r="K290" s="9" t="str" cm="1">
        <f t="array" ref="K290">_xlfn.IFS(J290=1,"Clear",J290=2,"Mist/Cloudy",J290=3,"Rain",J290=4,"Heavy Rain/Thunderstorm")</f>
        <v>Mist/Cloudy</v>
      </c>
      <c r="L290" s="10">
        <v>0.2</v>
      </c>
      <c r="M290" s="42" t="str" cm="1">
        <f t="array" ref="M290">_xlfn.IFS(L290&lt;0.15,"Cold",L290&lt;0.25,"Mild",L290&lt;=0.32,"Warm",L290&gt;=0.33,"Hot")</f>
        <v>Mild</v>
      </c>
    </row>
    <row r="291" spans="1:13" x14ac:dyDescent="0.3">
      <c r="A291" s="6">
        <v>290</v>
      </c>
      <c r="B291" s="7">
        <v>40556</v>
      </c>
      <c r="C291" s="8">
        <v>1</v>
      </c>
      <c r="D291" s="8">
        <v>0</v>
      </c>
      <c r="E291" s="8">
        <v>1</v>
      </c>
      <c r="F291" s="8">
        <v>12</v>
      </c>
      <c r="G291" s="8" t="str" cm="1">
        <f t="array" ref="G291">_xlfn.IFS(F291&lt;4,"Night",F291&lt;=6,"Early Morning",F291&lt;11,"Morning",F291&lt;12,"Afternoon",F291&lt;=16,"Afternoon",F291&lt;=20,"Evening",F291&gt;=21,"Night")</f>
        <v>Afternoon</v>
      </c>
      <c r="H291" s="8" t="b">
        <v>0</v>
      </c>
      <c r="I291" s="8">
        <v>4</v>
      </c>
      <c r="J291" s="8">
        <v>1</v>
      </c>
      <c r="K291" s="9" t="str" cm="1">
        <f t="array" ref="K291">_xlfn.IFS(J291=1,"Clear",J291=2,"Mist/Cloudy",J291=3,"Rain",J291=4,"Heavy Rain/Thunderstorm")</f>
        <v>Clear</v>
      </c>
      <c r="L291" s="10">
        <v>0.2</v>
      </c>
      <c r="M291" s="42" t="str" cm="1">
        <f t="array" ref="M291">_xlfn.IFS(L291&lt;0.15,"Cold",L291&lt;0.25,"Mild",L291&lt;=0.32,"Warm",L291&gt;=0.33,"Hot")</f>
        <v>Mild</v>
      </c>
    </row>
    <row r="292" spans="1:13" x14ac:dyDescent="0.3">
      <c r="A292" s="6">
        <v>291</v>
      </c>
      <c r="B292" s="7">
        <v>40556</v>
      </c>
      <c r="C292" s="8">
        <v>1</v>
      </c>
      <c r="D292" s="8">
        <v>0</v>
      </c>
      <c r="E292" s="8">
        <v>1</v>
      </c>
      <c r="F292" s="8">
        <v>13</v>
      </c>
      <c r="G292" s="8" t="str" cm="1">
        <f t="array" ref="G292">_xlfn.IFS(F292&lt;4,"Night",F292&lt;=6,"Early Morning",F292&lt;11,"Morning",F292&lt;12,"Afternoon",F292&lt;=16,"Afternoon",F292&lt;=20,"Evening",F292&gt;=21,"Night")</f>
        <v>Afternoon</v>
      </c>
      <c r="H292" s="8" t="b">
        <v>0</v>
      </c>
      <c r="I292" s="8">
        <v>4</v>
      </c>
      <c r="J292" s="8">
        <v>1</v>
      </c>
      <c r="K292" s="9" t="str" cm="1">
        <f t="array" ref="K292">_xlfn.IFS(J292=1,"Clear",J292=2,"Mist/Cloudy",J292=3,"Rain",J292=4,"Heavy Rain/Thunderstorm")</f>
        <v>Clear</v>
      </c>
      <c r="L292" s="10">
        <v>0.22</v>
      </c>
      <c r="M292" s="42" t="str" cm="1">
        <f t="array" ref="M292">_xlfn.IFS(L292&lt;0.15,"Cold",L292&lt;0.25,"Mild",L292&lt;=0.32,"Warm",L292&gt;=0.33,"Hot")</f>
        <v>Mild</v>
      </c>
    </row>
    <row r="293" spans="1:13" x14ac:dyDescent="0.3">
      <c r="A293" s="6">
        <v>292</v>
      </c>
      <c r="B293" s="7">
        <v>40556</v>
      </c>
      <c r="C293" s="8">
        <v>1</v>
      </c>
      <c r="D293" s="8">
        <v>0</v>
      </c>
      <c r="E293" s="8">
        <v>1</v>
      </c>
      <c r="F293" s="8">
        <v>14</v>
      </c>
      <c r="G293" s="8" t="str" cm="1">
        <f t="array" ref="G293">_xlfn.IFS(F293&lt;4,"Night",F293&lt;=6,"Early Morning",F293&lt;11,"Morning",F293&lt;12,"Afternoon",F293&lt;=16,"Afternoon",F293&lt;=20,"Evening",F293&gt;=21,"Night")</f>
        <v>Afternoon</v>
      </c>
      <c r="H293" s="8" t="b">
        <v>0</v>
      </c>
      <c r="I293" s="8">
        <v>4</v>
      </c>
      <c r="J293" s="8">
        <v>1</v>
      </c>
      <c r="K293" s="9" t="str" cm="1">
        <f t="array" ref="K293">_xlfn.IFS(J293=1,"Clear",J293=2,"Mist/Cloudy",J293=3,"Rain",J293=4,"Heavy Rain/Thunderstorm")</f>
        <v>Clear</v>
      </c>
      <c r="L293" s="10">
        <v>0.22</v>
      </c>
      <c r="M293" s="42" t="str" cm="1">
        <f t="array" ref="M293">_xlfn.IFS(L293&lt;0.15,"Cold",L293&lt;0.25,"Mild",L293&lt;=0.32,"Warm",L293&gt;=0.33,"Hot")</f>
        <v>Mild</v>
      </c>
    </row>
    <row r="294" spans="1:13" x14ac:dyDescent="0.3">
      <c r="A294" s="6">
        <v>293</v>
      </c>
      <c r="B294" s="7">
        <v>40556</v>
      </c>
      <c r="C294" s="8">
        <v>1</v>
      </c>
      <c r="D294" s="8">
        <v>0</v>
      </c>
      <c r="E294" s="8">
        <v>1</v>
      </c>
      <c r="F294" s="8">
        <v>15</v>
      </c>
      <c r="G294" s="8" t="str" cm="1">
        <f t="array" ref="G294">_xlfn.IFS(F294&lt;4,"Night",F294&lt;=6,"Early Morning",F294&lt;11,"Morning",F294&lt;12,"Afternoon",F294&lt;=16,"Afternoon",F294&lt;=20,"Evening",F294&gt;=21,"Night")</f>
        <v>Afternoon</v>
      </c>
      <c r="H294" s="8" t="b">
        <v>0</v>
      </c>
      <c r="I294" s="8">
        <v>4</v>
      </c>
      <c r="J294" s="8">
        <v>1</v>
      </c>
      <c r="K294" s="9" t="str" cm="1">
        <f t="array" ref="K294">_xlfn.IFS(J294=1,"Clear",J294=2,"Mist/Cloudy",J294=3,"Rain",J294=4,"Heavy Rain/Thunderstorm")</f>
        <v>Clear</v>
      </c>
      <c r="L294" s="10">
        <v>0.24</v>
      </c>
      <c r="M294" s="42" t="str" cm="1">
        <f t="array" ref="M294">_xlfn.IFS(L294&lt;0.15,"Cold",L294&lt;0.25,"Mild",L294&lt;=0.32,"Warm",L294&gt;=0.33,"Hot")</f>
        <v>Mild</v>
      </c>
    </row>
    <row r="295" spans="1:13" x14ac:dyDescent="0.3">
      <c r="A295" s="6">
        <v>294</v>
      </c>
      <c r="B295" s="7">
        <v>40556</v>
      </c>
      <c r="C295" s="8">
        <v>1</v>
      </c>
      <c r="D295" s="8">
        <v>0</v>
      </c>
      <c r="E295" s="8">
        <v>1</v>
      </c>
      <c r="F295" s="8">
        <v>16</v>
      </c>
      <c r="G295" s="8" t="str" cm="1">
        <f t="array" ref="G295">_xlfn.IFS(F295&lt;4,"Night",F295&lt;=6,"Early Morning",F295&lt;11,"Morning",F295&lt;12,"Afternoon",F295&lt;=16,"Afternoon",F295&lt;=20,"Evening",F295&gt;=21,"Night")</f>
        <v>Afternoon</v>
      </c>
      <c r="H295" s="8" t="b">
        <v>0</v>
      </c>
      <c r="I295" s="8">
        <v>4</v>
      </c>
      <c r="J295" s="8">
        <v>1</v>
      </c>
      <c r="K295" s="9" t="str" cm="1">
        <f t="array" ref="K295">_xlfn.IFS(J295=1,"Clear",J295=2,"Mist/Cloudy",J295=3,"Rain",J295=4,"Heavy Rain/Thunderstorm")</f>
        <v>Clear</v>
      </c>
      <c r="L295" s="10">
        <v>0.24</v>
      </c>
      <c r="M295" s="42" t="str" cm="1">
        <f t="array" ref="M295">_xlfn.IFS(L295&lt;0.15,"Cold",L295&lt;0.25,"Mild",L295&lt;=0.32,"Warm",L295&gt;=0.33,"Hot")</f>
        <v>Mild</v>
      </c>
    </row>
    <row r="296" spans="1:13" x14ac:dyDescent="0.3">
      <c r="A296" s="6">
        <v>295</v>
      </c>
      <c r="B296" s="7">
        <v>40556</v>
      </c>
      <c r="C296" s="8">
        <v>1</v>
      </c>
      <c r="D296" s="8">
        <v>0</v>
      </c>
      <c r="E296" s="8">
        <v>1</v>
      </c>
      <c r="F296" s="8">
        <v>17</v>
      </c>
      <c r="G296" s="8" t="str" cm="1">
        <f t="array" ref="G296">_xlfn.IFS(F296&lt;4,"Night",F296&lt;=6,"Early Morning",F296&lt;11,"Morning",F296&lt;12,"Afternoon",F296&lt;=16,"Afternoon",F296&lt;=20,"Evening",F296&gt;=21,"Night")</f>
        <v>Evening</v>
      </c>
      <c r="H296" s="8" t="b">
        <v>0</v>
      </c>
      <c r="I296" s="8">
        <v>4</v>
      </c>
      <c r="J296" s="8">
        <v>1</v>
      </c>
      <c r="K296" s="9" t="str" cm="1">
        <f t="array" ref="K296">_xlfn.IFS(J296=1,"Clear",J296=2,"Mist/Cloudy",J296=3,"Rain",J296=4,"Heavy Rain/Thunderstorm")</f>
        <v>Clear</v>
      </c>
      <c r="L296" s="10">
        <v>0.2</v>
      </c>
      <c r="M296" s="42" t="str" cm="1">
        <f t="array" ref="M296">_xlfn.IFS(L296&lt;0.15,"Cold",L296&lt;0.25,"Mild",L296&lt;=0.32,"Warm",L296&gt;=0.33,"Hot")</f>
        <v>Mild</v>
      </c>
    </row>
    <row r="297" spans="1:13" x14ac:dyDescent="0.3">
      <c r="A297" s="6">
        <v>296</v>
      </c>
      <c r="B297" s="7">
        <v>40556</v>
      </c>
      <c r="C297" s="8">
        <v>1</v>
      </c>
      <c r="D297" s="8">
        <v>0</v>
      </c>
      <c r="E297" s="8">
        <v>1</v>
      </c>
      <c r="F297" s="8">
        <v>18</v>
      </c>
      <c r="G297" s="8" t="str" cm="1">
        <f t="array" ref="G297">_xlfn.IFS(F297&lt;4,"Night",F297&lt;=6,"Early Morning",F297&lt;11,"Morning",F297&lt;12,"Afternoon",F297&lt;=16,"Afternoon",F297&lt;=20,"Evening",F297&gt;=21,"Night")</f>
        <v>Evening</v>
      </c>
      <c r="H297" s="8" t="b">
        <v>0</v>
      </c>
      <c r="I297" s="8">
        <v>4</v>
      </c>
      <c r="J297" s="8">
        <v>1</v>
      </c>
      <c r="K297" s="9" t="str" cm="1">
        <f t="array" ref="K297">_xlfn.IFS(J297=1,"Clear",J297=2,"Mist/Cloudy",J297=3,"Rain",J297=4,"Heavy Rain/Thunderstorm")</f>
        <v>Clear</v>
      </c>
      <c r="L297" s="10">
        <v>0.2</v>
      </c>
      <c r="M297" s="42" t="str" cm="1">
        <f t="array" ref="M297">_xlfn.IFS(L297&lt;0.15,"Cold",L297&lt;0.25,"Mild",L297&lt;=0.32,"Warm",L297&gt;=0.33,"Hot")</f>
        <v>Mild</v>
      </c>
    </row>
    <row r="298" spans="1:13" x14ac:dyDescent="0.3">
      <c r="A298" s="6">
        <v>297</v>
      </c>
      <c r="B298" s="7">
        <v>40556</v>
      </c>
      <c r="C298" s="8">
        <v>1</v>
      </c>
      <c r="D298" s="8">
        <v>0</v>
      </c>
      <c r="E298" s="8">
        <v>1</v>
      </c>
      <c r="F298" s="8">
        <v>19</v>
      </c>
      <c r="G298" s="8" t="str" cm="1">
        <f t="array" ref="G298">_xlfn.IFS(F298&lt;4,"Night",F298&lt;=6,"Early Morning",F298&lt;11,"Morning",F298&lt;12,"Afternoon",F298&lt;=16,"Afternoon",F298&lt;=20,"Evening",F298&gt;=21,"Night")</f>
        <v>Evening</v>
      </c>
      <c r="H298" s="8" t="b">
        <v>0</v>
      </c>
      <c r="I298" s="8">
        <v>4</v>
      </c>
      <c r="J298" s="8">
        <v>1</v>
      </c>
      <c r="K298" s="9" t="str" cm="1">
        <f t="array" ref="K298">_xlfn.IFS(J298=1,"Clear",J298=2,"Mist/Cloudy",J298=3,"Rain",J298=4,"Heavy Rain/Thunderstorm")</f>
        <v>Clear</v>
      </c>
      <c r="L298" s="10">
        <v>0.16</v>
      </c>
      <c r="M298" s="42" t="str" cm="1">
        <f t="array" ref="M298">_xlfn.IFS(L298&lt;0.15,"Cold",L298&lt;0.25,"Mild",L298&lt;=0.32,"Warm",L298&gt;=0.33,"Hot")</f>
        <v>Mild</v>
      </c>
    </row>
    <row r="299" spans="1:13" x14ac:dyDescent="0.3">
      <c r="A299" s="6">
        <v>298</v>
      </c>
      <c r="B299" s="7">
        <v>40556</v>
      </c>
      <c r="C299" s="8">
        <v>1</v>
      </c>
      <c r="D299" s="8">
        <v>0</v>
      </c>
      <c r="E299" s="8">
        <v>1</v>
      </c>
      <c r="F299" s="8">
        <v>20</v>
      </c>
      <c r="G299" s="8" t="str" cm="1">
        <f t="array" ref="G299">_xlfn.IFS(F299&lt;4,"Night",F299&lt;=6,"Early Morning",F299&lt;11,"Morning",F299&lt;12,"Afternoon",F299&lt;=16,"Afternoon",F299&lt;=20,"Evening",F299&gt;=21,"Night")</f>
        <v>Evening</v>
      </c>
      <c r="H299" s="8" t="b">
        <v>0</v>
      </c>
      <c r="I299" s="8">
        <v>4</v>
      </c>
      <c r="J299" s="8">
        <v>1</v>
      </c>
      <c r="K299" s="9" t="str" cm="1">
        <f t="array" ref="K299">_xlfn.IFS(J299=1,"Clear",J299=2,"Mist/Cloudy",J299=3,"Rain",J299=4,"Heavy Rain/Thunderstorm")</f>
        <v>Clear</v>
      </c>
      <c r="L299" s="10">
        <v>0.16</v>
      </c>
      <c r="M299" s="42" t="str" cm="1">
        <f t="array" ref="M299">_xlfn.IFS(L299&lt;0.15,"Cold",L299&lt;0.25,"Mild",L299&lt;=0.32,"Warm",L299&gt;=0.33,"Hot")</f>
        <v>Mild</v>
      </c>
    </row>
    <row r="300" spans="1:13" x14ac:dyDescent="0.3">
      <c r="A300" s="6">
        <v>299</v>
      </c>
      <c r="B300" s="7">
        <v>40556</v>
      </c>
      <c r="C300" s="8">
        <v>1</v>
      </c>
      <c r="D300" s="8">
        <v>0</v>
      </c>
      <c r="E300" s="8">
        <v>1</v>
      </c>
      <c r="F300" s="8">
        <v>21</v>
      </c>
      <c r="G300" s="8" t="str" cm="1">
        <f t="array" ref="G300">_xlfn.IFS(F300&lt;4,"Night",F300&lt;=6,"Early Morning",F300&lt;11,"Morning",F300&lt;12,"Afternoon",F300&lt;=16,"Afternoon",F300&lt;=20,"Evening",F300&gt;=21,"Night")</f>
        <v>Night</v>
      </c>
      <c r="H300" s="8" t="b">
        <v>0</v>
      </c>
      <c r="I300" s="8">
        <v>4</v>
      </c>
      <c r="J300" s="8">
        <v>1</v>
      </c>
      <c r="K300" s="9" t="str" cm="1">
        <f t="array" ref="K300">_xlfn.IFS(J300=1,"Clear",J300=2,"Mist/Cloudy",J300=3,"Rain",J300=4,"Heavy Rain/Thunderstorm")</f>
        <v>Clear</v>
      </c>
      <c r="L300" s="10">
        <v>0.14000000000000001</v>
      </c>
      <c r="M300" s="42" t="str" cm="1">
        <f t="array" ref="M300">_xlfn.IFS(L300&lt;0.15,"Cold",L300&lt;0.25,"Mild",L300&lt;=0.32,"Warm",L300&gt;=0.33,"Hot")</f>
        <v>Cold</v>
      </c>
    </row>
    <row r="301" spans="1:13" x14ac:dyDescent="0.3">
      <c r="A301" s="6">
        <v>300</v>
      </c>
      <c r="B301" s="7">
        <v>40556</v>
      </c>
      <c r="C301" s="8">
        <v>1</v>
      </c>
      <c r="D301" s="8">
        <v>0</v>
      </c>
      <c r="E301" s="8">
        <v>1</v>
      </c>
      <c r="F301" s="8">
        <v>22</v>
      </c>
      <c r="G301" s="8" t="str" cm="1">
        <f t="array" ref="G301">_xlfn.IFS(F301&lt;4,"Night",F301&lt;=6,"Early Morning",F301&lt;11,"Morning",F301&lt;12,"Afternoon",F301&lt;=16,"Afternoon",F301&lt;=20,"Evening",F301&gt;=21,"Night")</f>
        <v>Night</v>
      </c>
      <c r="H301" s="8" t="b">
        <v>0</v>
      </c>
      <c r="I301" s="8">
        <v>4</v>
      </c>
      <c r="J301" s="8">
        <v>1</v>
      </c>
      <c r="K301" s="9" t="str" cm="1">
        <f t="array" ref="K301">_xlfn.IFS(J301=1,"Clear",J301=2,"Mist/Cloudy",J301=3,"Rain",J301=4,"Heavy Rain/Thunderstorm")</f>
        <v>Clear</v>
      </c>
      <c r="L301" s="10">
        <v>0.14000000000000001</v>
      </c>
      <c r="M301" s="42" t="str" cm="1">
        <f t="array" ref="M301">_xlfn.IFS(L301&lt;0.15,"Cold",L301&lt;0.25,"Mild",L301&lt;=0.32,"Warm",L301&gt;=0.33,"Hot")</f>
        <v>Cold</v>
      </c>
    </row>
    <row r="302" spans="1:13" x14ac:dyDescent="0.3">
      <c r="A302" s="6">
        <v>301</v>
      </c>
      <c r="B302" s="7">
        <v>40556</v>
      </c>
      <c r="C302" s="8">
        <v>1</v>
      </c>
      <c r="D302" s="8">
        <v>0</v>
      </c>
      <c r="E302" s="8">
        <v>1</v>
      </c>
      <c r="F302" s="8">
        <v>23</v>
      </c>
      <c r="G302" s="8" t="str" cm="1">
        <f t="array" ref="G302">_xlfn.IFS(F302&lt;4,"Night",F302&lt;=6,"Early Morning",F302&lt;11,"Morning",F302&lt;12,"Afternoon",F302&lt;=16,"Afternoon",F302&lt;=20,"Evening",F302&gt;=21,"Night")</f>
        <v>Night</v>
      </c>
      <c r="H302" s="8" t="b">
        <v>0</v>
      </c>
      <c r="I302" s="8">
        <v>4</v>
      </c>
      <c r="J302" s="8">
        <v>1</v>
      </c>
      <c r="K302" s="9" t="str" cm="1">
        <f t="array" ref="K302">_xlfn.IFS(J302=1,"Clear",J302=2,"Mist/Cloudy",J302=3,"Rain",J302=4,"Heavy Rain/Thunderstorm")</f>
        <v>Clear</v>
      </c>
      <c r="L302" s="10">
        <v>0.12</v>
      </c>
      <c r="M302" s="42" t="str" cm="1">
        <f t="array" ref="M302">_xlfn.IFS(L302&lt;0.15,"Cold",L302&lt;0.25,"Mild",L302&lt;=0.32,"Warm",L302&gt;=0.33,"Hot")</f>
        <v>Cold</v>
      </c>
    </row>
    <row r="303" spans="1:13" x14ac:dyDescent="0.3">
      <c r="A303" s="6">
        <v>302</v>
      </c>
      <c r="B303" s="7">
        <v>40557</v>
      </c>
      <c r="C303" s="8">
        <v>1</v>
      </c>
      <c r="D303" s="8">
        <v>0</v>
      </c>
      <c r="E303" s="8">
        <v>1</v>
      </c>
      <c r="F303" s="8">
        <v>0</v>
      </c>
      <c r="G303" s="8" t="str" cm="1">
        <f t="array" ref="G303">_xlfn.IFS(F303&lt;4,"Night",F303&lt;=6,"Early Morning",F303&lt;11,"Morning",F303&lt;12,"Afternoon",F303&lt;=16,"Afternoon",F303&lt;=20,"Evening",F303&gt;=21,"Night")</f>
        <v>Night</v>
      </c>
      <c r="H303" s="8" t="b">
        <v>0</v>
      </c>
      <c r="I303" s="8">
        <v>5</v>
      </c>
      <c r="J303" s="8">
        <v>1</v>
      </c>
      <c r="K303" s="9" t="str" cm="1">
        <f t="array" ref="K303">_xlfn.IFS(J303=1,"Clear",J303=2,"Mist/Cloudy",J303=3,"Rain",J303=4,"Heavy Rain/Thunderstorm")</f>
        <v>Clear</v>
      </c>
      <c r="L303" s="10">
        <v>0.12</v>
      </c>
      <c r="M303" s="42" t="str" cm="1">
        <f t="array" ref="M303">_xlfn.IFS(L303&lt;0.15,"Cold",L303&lt;0.25,"Mild",L303&lt;=0.32,"Warm",L303&gt;=0.33,"Hot")</f>
        <v>Cold</v>
      </c>
    </row>
    <row r="304" spans="1:13" x14ac:dyDescent="0.3">
      <c r="A304" s="6">
        <v>303</v>
      </c>
      <c r="B304" s="7">
        <v>40557</v>
      </c>
      <c r="C304" s="8">
        <v>1</v>
      </c>
      <c r="D304" s="8">
        <v>0</v>
      </c>
      <c r="E304" s="8">
        <v>1</v>
      </c>
      <c r="F304" s="8">
        <v>1</v>
      </c>
      <c r="G304" s="8" t="str" cm="1">
        <f t="array" ref="G304">_xlfn.IFS(F304&lt;4,"Night",F304&lt;=6,"Early Morning",F304&lt;11,"Morning",F304&lt;12,"Afternoon",F304&lt;=16,"Afternoon",F304&lt;=20,"Evening",F304&gt;=21,"Night")</f>
        <v>Night</v>
      </c>
      <c r="H304" s="8" t="b">
        <v>0</v>
      </c>
      <c r="I304" s="8">
        <v>5</v>
      </c>
      <c r="J304" s="8">
        <v>1</v>
      </c>
      <c r="K304" s="9" t="str" cm="1">
        <f t="array" ref="K304">_xlfn.IFS(J304=1,"Clear",J304=2,"Mist/Cloudy",J304=3,"Rain",J304=4,"Heavy Rain/Thunderstorm")</f>
        <v>Clear</v>
      </c>
      <c r="L304" s="10">
        <v>0.1</v>
      </c>
      <c r="M304" s="42" t="str" cm="1">
        <f t="array" ref="M304">_xlfn.IFS(L304&lt;0.15,"Cold",L304&lt;0.25,"Mild",L304&lt;=0.32,"Warm",L304&gt;=0.33,"Hot")</f>
        <v>Cold</v>
      </c>
    </row>
    <row r="305" spans="1:13" x14ac:dyDescent="0.3">
      <c r="A305" s="6">
        <v>304</v>
      </c>
      <c r="B305" s="7">
        <v>40557</v>
      </c>
      <c r="C305" s="8">
        <v>1</v>
      </c>
      <c r="D305" s="8">
        <v>0</v>
      </c>
      <c r="E305" s="8">
        <v>1</v>
      </c>
      <c r="F305" s="8">
        <v>2</v>
      </c>
      <c r="G305" s="8" t="str" cm="1">
        <f t="array" ref="G305">_xlfn.IFS(F305&lt;4,"Night",F305&lt;=6,"Early Morning",F305&lt;11,"Morning",F305&lt;12,"Afternoon",F305&lt;=16,"Afternoon",F305&lt;=20,"Evening",F305&gt;=21,"Night")</f>
        <v>Night</v>
      </c>
      <c r="H305" s="8" t="b">
        <v>0</v>
      </c>
      <c r="I305" s="8">
        <v>5</v>
      </c>
      <c r="J305" s="8">
        <v>1</v>
      </c>
      <c r="K305" s="9" t="str" cm="1">
        <f t="array" ref="K305">_xlfn.IFS(J305=1,"Clear",J305=2,"Mist/Cloudy",J305=3,"Rain",J305=4,"Heavy Rain/Thunderstorm")</f>
        <v>Clear</v>
      </c>
      <c r="L305" s="10">
        <v>0.1</v>
      </c>
      <c r="M305" s="42" t="str" cm="1">
        <f t="array" ref="M305">_xlfn.IFS(L305&lt;0.15,"Cold",L305&lt;0.25,"Mild",L305&lt;=0.32,"Warm",L305&gt;=0.33,"Hot")</f>
        <v>Cold</v>
      </c>
    </row>
    <row r="306" spans="1:13" x14ac:dyDescent="0.3">
      <c r="A306" s="6">
        <v>305</v>
      </c>
      <c r="B306" s="7">
        <v>40557</v>
      </c>
      <c r="C306" s="8">
        <v>1</v>
      </c>
      <c r="D306" s="8">
        <v>0</v>
      </c>
      <c r="E306" s="8">
        <v>1</v>
      </c>
      <c r="F306" s="8">
        <v>3</v>
      </c>
      <c r="G306" s="8" t="str" cm="1">
        <f t="array" ref="G306">_xlfn.IFS(F306&lt;4,"Night",F306&lt;=6,"Early Morning",F306&lt;11,"Morning",F306&lt;12,"Afternoon",F306&lt;=16,"Afternoon",F306&lt;=20,"Evening",F306&gt;=21,"Night")</f>
        <v>Night</v>
      </c>
      <c r="H306" s="8" t="b">
        <v>0</v>
      </c>
      <c r="I306" s="8">
        <v>5</v>
      </c>
      <c r="J306" s="8">
        <v>1</v>
      </c>
      <c r="K306" s="9" t="str" cm="1">
        <f t="array" ref="K306">_xlfn.IFS(J306=1,"Clear",J306=2,"Mist/Cloudy",J306=3,"Rain",J306=4,"Heavy Rain/Thunderstorm")</f>
        <v>Clear</v>
      </c>
      <c r="L306" s="10">
        <v>0.1</v>
      </c>
      <c r="M306" s="42" t="str" cm="1">
        <f t="array" ref="M306">_xlfn.IFS(L306&lt;0.15,"Cold",L306&lt;0.25,"Mild",L306&lt;=0.32,"Warm",L306&gt;=0.33,"Hot")</f>
        <v>Cold</v>
      </c>
    </row>
    <row r="307" spans="1:13" x14ac:dyDescent="0.3">
      <c r="A307" s="6">
        <v>306</v>
      </c>
      <c r="B307" s="7">
        <v>40557</v>
      </c>
      <c r="C307" s="8">
        <v>1</v>
      </c>
      <c r="D307" s="8">
        <v>0</v>
      </c>
      <c r="E307" s="8">
        <v>1</v>
      </c>
      <c r="F307" s="8">
        <v>5</v>
      </c>
      <c r="G307" s="8" t="str" cm="1">
        <f t="array" ref="G307">_xlfn.IFS(F307&lt;4,"Night",F307&lt;=6,"Early Morning",F307&lt;11,"Morning",F307&lt;12,"Afternoon",F307&lt;=16,"Afternoon",F307&lt;=20,"Evening",F307&gt;=21,"Night")</f>
        <v>Early Morning</v>
      </c>
      <c r="H307" s="8" t="b">
        <v>0</v>
      </c>
      <c r="I307" s="8">
        <v>5</v>
      </c>
      <c r="J307" s="8">
        <v>1</v>
      </c>
      <c r="K307" s="9" t="str" cm="1">
        <f t="array" ref="K307">_xlfn.IFS(J307=1,"Clear",J307=2,"Mist/Cloudy",J307=3,"Rain",J307=4,"Heavy Rain/Thunderstorm")</f>
        <v>Clear</v>
      </c>
      <c r="L307" s="10">
        <v>0.1</v>
      </c>
      <c r="M307" s="42" t="str" cm="1">
        <f t="array" ref="M307">_xlfn.IFS(L307&lt;0.15,"Cold",L307&lt;0.25,"Mild",L307&lt;=0.32,"Warm",L307&gt;=0.33,"Hot")</f>
        <v>Cold</v>
      </c>
    </row>
    <row r="308" spans="1:13" x14ac:dyDescent="0.3">
      <c r="A308" s="6">
        <v>307</v>
      </c>
      <c r="B308" s="7">
        <v>40557</v>
      </c>
      <c r="C308" s="8">
        <v>1</v>
      </c>
      <c r="D308" s="8">
        <v>0</v>
      </c>
      <c r="E308" s="8">
        <v>1</v>
      </c>
      <c r="F308" s="8">
        <v>6</v>
      </c>
      <c r="G308" s="8" t="str" cm="1">
        <f t="array" ref="G308">_xlfn.IFS(F308&lt;4,"Night",F308&lt;=6,"Early Morning",F308&lt;11,"Morning",F308&lt;12,"Afternoon",F308&lt;=16,"Afternoon",F308&lt;=20,"Evening",F308&gt;=21,"Night")</f>
        <v>Early Morning</v>
      </c>
      <c r="H308" s="8" t="b">
        <v>0</v>
      </c>
      <c r="I308" s="8">
        <v>5</v>
      </c>
      <c r="J308" s="8">
        <v>1</v>
      </c>
      <c r="K308" s="9" t="str" cm="1">
        <f t="array" ref="K308">_xlfn.IFS(J308=1,"Clear",J308=2,"Mist/Cloudy",J308=3,"Rain",J308=4,"Heavy Rain/Thunderstorm")</f>
        <v>Clear</v>
      </c>
      <c r="L308" s="10">
        <v>0.1</v>
      </c>
      <c r="M308" s="42" t="str" cm="1">
        <f t="array" ref="M308">_xlfn.IFS(L308&lt;0.15,"Cold",L308&lt;0.25,"Mild",L308&lt;=0.32,"Warm",L308&gt;=0.33,"Hot")</f>
        <v>Cold</v>
      </c>
    </row>
    <row r="309" spans="1:13" x14ac:dyDescent="0.3">
      <c r="A309" s="6">
        <v>308</v>
      </c>
      <c r="B309" s="7">
        <v>40557</v>
      </c>
      <c r="C309" s="8">
        <v>1</v>
      </c>
      <c r="D309" s="8">
        <v>0</v>
      </c>
      <c r="E309" s="8">
        <v>1</v>
      </c>
      <c r="F309" s="8">
        <v>7</v>
      </c>
      <c r="G309" s="8" t="str" cm="1">
        <f t="array" ref="G309">_xlfn.IFS(F309&lt;4,"Night",F309&lt;=6,"Early Morning",F309&lt;11,"Morning",F309&lt;12,"Afternoon",F309&lt;=16,"Afternoon",F309&lt;=20,"Evening",F309&gt;=21,"Night")</f>
        <v>Morning</v>
      </c>
      <c r="H309" s="8" t="b">
        <v>0</v>
      </c>
      <c r="I309" s="8">
        <v>5</v>
      </c>
      <c r="J309" s="8">
        <v>1</v>
      </c>
      <c r="K309" s="9" t="str" cm="1">
        <f t="array" ref="K309">_xlfn.IFS(J309=1,"Clear",J309=2,"Mist/Cloudy",J309=3,"Rain",J309=4,"Heavy Rain/Thunderstorm")</f>
        <v>Clear</v>
      </c>
      <c r="L309" s="10">
        <v>0.1</v>
      </c>
      <c r="M309" s="42" t="str" cm="1">
        <f t="array" ref="M309">_xlfn.IFS(L309&lt;0.15,"Cold",L309&lt;0.25,"Mild",L309&lt;=0.32,"Warm",L309&gt;=0.33,"Hot")</f>
        <v>Cold</v>
      </c>
    </row>
    <row r="310" spans="1:13" x14ac:dyDescent="0.3">
      <c r="A310" s="6">
        <v>309</v>
      </c>
      <c r="B310" s="7">
        <v>40557</v>
      </c>
      <c r="C310" s="8">
        <v>1</v>
      </c>
      <c r="D310" s="8">
        <v>0</v>
      </c>
      <c r="E310" s="8">
        <v>1</v>
      </c>
      <c r="F310" s="8">
        <v>8</v>
      </c>
      <c r="G310" s="8" t="str" cm="1">
        <f t="array" ref="G310">_xlfn.IFS(F310&lt;4,"Night",F310&lt;=6,"Early Morning",F310&lt;11,"Morning",F310&lt;12,"Afternoon",F310&lt;=16,"Afternoon",F310&lt;=20,"Evening",F310&gt;=21,"Night")</f>
        <v>Morning</v>
      </c>
      <c r="H310" s="8" t="b">
        <v>0</v>
      </c>
      <c r="I310" s="8">
        <v>5</v>
      </c>
      <c r="J310" s="8">
        <v>1</v>
      </c>
      <c r="K310" s="9" t="str" cm="1">
        <f t="array" ref="K310">_xlfn.IFS(J310=1,"Clear",J310=2,"Mist/Cloudy",J310=3,"Rain",J310=4,"Heavy Rain/Thunderstorm")</f>
        <v>Clear</v>
      </c>
      <c r="L310" s="10">
        <v>0.12</v>
      </c>
      <c r="M310" s="42" t="str" cm="1">
        <f t="array" ref="M310">_xlfn.IFS(L310&lt;0.15,"Cold",L310&lt;0.25,"Mild",L310&lt;=0.32,"Warm",L310&gt;=0.33,"Hot")</f>
        <v>Cold</v>
      </c>
    </row>
    <row r="311" spans="1:13" x14ac:dyDescent="0.3">
      <c r="A311" s="6">
        <v>310</v>
      </c>
      <c r="B311" s="7">
        <v>40557</v>
      </c>
      <c r="C311" s="8">
        <v>1</v>
      </c>
      <c r="D311" s="8">
        <v>0</v>
      </c>
      <c r="E311" s="8">
        <v>1</v>
      </c>
      <c r="F311" s="8">
        <v>9</v>
      </c>
      <c r="G311" s="8" t="str" cm="1">
        <f t="array" ref="G311">_xlfn.IFS(F311&lt;4,"Night",F311&lt;=6,"Early Morning",F311&lt;11,"Morning",F311&lt;12,"Afternoon",F311&lt;=16,"Afternoon",F311&lt;=20,"Evening",F311&gt;=21,"Night")</f>
        <v>Morning</v>
      </c>
      <c r="H311" s="8" t="b">
        <v>0</v>
      </c>
      <c r="I311" s="8">
        <v>5</v>
      </c>
      <c r="J311" s="8">
        <v>1</v>
      </c>
      <c r="K311" s="9" t="str" cm="1">
        <f t="array" ref="K311">_xlfn.IFS(J311=1,"Clear",J311=2,"Mist/Cloudy",J311=3,"Rain",J311=4,"Heavy Rain/Thunderstorm")</f>
        <v>Clear</v>
      </c>
      <c r="L311" s="10">
        <v>0.14000000000000001</v>
      </c>
      <c r="M311" s="42" t="str" cm="1">
        <f t="array" ref="M311">_xlfn.IFS(L311&lt;0.15,"Cold",L311&lt;0.25,"Mild",L311&lt;=0.32,"Warm",L311&gt;=0.33,"Hot")</f>
        <v>Cold</v>
      </c>
    </row>
    <row r="312" spans="1:13" x14ac:dyDescent="0.3">
      <c r="A312" s="6">
        <v>311</v>
      </c>
      <c r="B312" s="7">
        <v>40557</v>
      </c>
      <c r="C312" s="8">
        <v>1</v>
      </c>
      <c r="D312" s="8">
        <v>0</v>
      </c>
      <c r="E312" s="8">
        <v>1</v>
      </c>
      <c r="F312" s="8">
        <v>10</v>
      </c>
      <c r="G312" s="8" t="str" cm="1">
        <f t="array" ref="G312">_xlfn.IFS(F312&lt;4,"Night",F312&lt;=6,"Early Morning",F312&lt;11,"Morning",F312&lt;12,"Afternoon",F312&lt;=16,"Afternoon",F312&lt;=20,"Evening",F312&gt;=21,"Night")</f>
        <v>Morning</v>
      </c>
      <c r="H312" s="8" t="b">
        <v>0</v>
      </c>
      <c r="I312" s="8">
        <v>5</v>
      </c>
      <c r="J312" s="8">
        <v>1</v>
      </c>
      <c r="K312" s="9" t="str" cm="1">
        <f t="array" ref="K312">_xlfn.IFS(J312=1,"Clear",J312=2,"Mist/Cloudy",J312=3,"Rain",J312=4,"Heavy Rain/Thunderstorm")</f>
        <v>Clear</v>
      </c>
      <c r="L312" s="10">
        <v>0.18</v>
      </c>
      <c r="M312" s="42" t="str" cm="1">
        <f t="array" ref="M312">_xlfn.IFS(L312&lt;0.15,"Cold",L312&lt;0.25,"Mild",L312&lt;=0.32,"Warm",L312&gt;=0.33,"Hot")</f>
        <v>Mild</v>
      </c>
    </row>
    <row r="313" spans="1:13" x14ac:dyDescent="0.3">
      <c r="A313" s="6">
        <v>312</v>
      </c>
      <c r="B313" s="7">
        <v>40557</v>
      </c>
      <c r="C313" s="8">
        <v>1</v>
      </c>
      <c r="D313" s="8">
        <v>0</v>
      </c>
      <c r="E313" s="8">
        <v>1</v>
      </c>
      <c r="F313" s="8">
        <v>11</v>
      </c>
      <c r="G313" s="8" t="str" cm="1">
        <f t="array" ref="G313">_xlfn.IFS(F313&lt;4,"Night",F313&lt;=6,"Early Morning",F313&lt;11,"Morning",F313&lt;12,"Afternoon",F313&lt;=16,"Afternoon",F313&lt;=20,"Evening",F313&gt;=21,"Night")</f>
        <v>Afternoon</v>
      </c>
      <c r="H313" s="8" t="b">
        <v>0</v>
      </c>
      <c r="I313" s="8">
        <v>5</v>
      </c>
      <c r="J313" s="8">
        <v>1</v>
      </c>
      <c r="K313" s="9" t="str" cm="1">
        <f t="array" ref="K313">_xlfn.IFS(J313=1,"Clear",J313=2,"Mist/Cloudy",J313=3,"Rain",J313=4,"Heavy Rain/Thunderstorm")</f>
        <v>Clear</v>
      </c>
      <c r="L313" s="10">
        <v>0.18</v>
      </c>
      <c r="M313" s="42" t="str" cm="1">
        <f t="array" ref="M313">_xlfn.IFS(L313&lt;0.15,"Cold",L313&lt;0.25,"Mild",L313&lt;=0.32,"Warm",L313&gt;=0.33,"Hot")</f>
        <v>Mild</v>
      </c>
    </row>
    <row r="314" spans="1:13" x14ac:dyDescent="0.3">
      <c r="A314" s="6">
        <v>313</v>
      </c>
      <c r="B314" s="7">
        <v>40557</v>
      </c>
      <c r="C314" s="8">
        <v>1</v>
      </c>
      <c r="D314" s="8">
        <v>0</v>
      </c>
      <c r="E314" s="8">
        <v>1</v>
      </c>
      <c r="F314" s="8">
        <v>12</v>
      </c>
      <c r="G314" s="8" t="str" cm="1">
        <f t="array" ref="G314">_xlfn.IFS(F314&lt;4,"Night",F314&lt;=6,"Early Morning",F314&lt;11,"Morning",F314&lt;12,"Afternoon",F314&lt;=16,"Afternoon",F314&lt;=20,"Evening",F314&gt;=21,"Night")</f>
        <v>Afternoon</v>
      </c>
      <c r="H314" s="8" t="b">
        <v>0</v>
      </c>
      <c r="I314" s="8">
        <v>5</v>
      </c>
      <c r="J314" s="8">
        <v>1</v>
      </c>
      <c r="K314" s="9" t="str" cm="1">
        <f t="array" ref="K314">_xlfn.IFS(J314=1,"Clear",J314=2,"Mist/Cloudy",J314=3,"Rain",J314=4,"Heavy Rain/Thunderstorm")</f>
        <v>Clear</v>
      </c>
      <c r="L314" s="10">
        <v>0.2</v>
      </c>
      <c r="M314" s="42" t="str" cm="1">
        <f t="array" ref="M314">_xlfn.IFS(L314&lt;0.15,"Cold",L314&lt;0.25,"Mild",L314&lt;=0.32,"Warm",L314&gt;=0.33,"Hot")</f>
        <v>Mild</v>
      </c>
    </row>
    <row r="315" spans="1:13" x14ac:dyDescent="0.3">
      <c r="A315" s="6">
        <v>314</v>
      </c>
      <c r="B315" s="7">
        <v>40557</v>
      </c>
      <c r="C315" s="8">
        <v>1</v>
      </c>
      <c r="D315" s="8">
        <v>0</v>
      </c>
      <c r="E315" s="8">
        <v>1</v>
      </c>
      <c r="F315" s="8">
        <v>13</v>
      </c>
      <c r="G315" s="8" t="str" cm="1">
        <f t="array" ref="G315">_xlfn.IFS(F315&lt;4,"Night",F315&lt;=6,"Early Morning",F315&lt;11,"Morning",F315&lt;12,"Afternoon",F315&lt;=16,"Afternoon",F315&lt;=20,"Evening",F315&gt;=21,"Night")</f>
        <v>Afternoon</v>
      </c>
      <c r="H315" s="8" t="b">
        <v>0</v>
      </c>
      <c r="I315" s="8">
        <v>5</v>
      </c>
      <c r="J315" s="8">
        <v>1</v>
      </c>
      <c r="K315" s="9" t="str" cm="1">
        <f t="array" ref="K315">_xlfn.IFS(J315=1,"Clear",J315=2,"Mist/Cloudy",J315=3,"Rain",J315=4,"Heavy Rain/Thunderstorm")</f>
        <v>Clear</v>
      </c>
      <c r="L315" s="10">
        <v>0.22</v>
      </c>
      <c r="M315" s="42" t="str" cm="1">
        <f t="array" ref="M315">_xlfn.IFS(L315&lt;0.15,"Cold",L315&lt;0.25,"Mild",L315&lt;=0.32,"Warm",L315&gt;=0.33,"Hot")</f>
        <v>Mild</v>
      </c>
    </row>
    <row r="316" spans="1:13" x14ac:dyDescent="0.3">
      <c r="A316" s="6">
        <v>315</v>
      </c>
      <c r="B316" s="7">
        <v>40557</v>
      </c>
      <c r="C316" s="8">
        <v>1</v>
      </c>
      <c r="D316" s="8">
        <v>0</v>
      </c>
      <c r="E316" s="8">
        <v>1</v>
      </c>
      <c r="F316" s="8">
        <v>14</v>
      </c>
      <c r="G316" s="8" t="str" cm="1">
        <f t="array" ref="G316">_xlfn.IFS(F316&lt;4,"Night",F316&lt;=6,"Early Morning",F316&lt;11,"Morning",F316&lt;12,"Afternoon",F316&lt;=16,"Afternoon",F316&lt;=20,"Evening",F316&gt;=21,"Night")</f>
        <v>Afternoon</v>
      </c>
      <c r="H316" s="8" t="b">
        <v>0</v>
      </c>
      <c r="I316" s="8">
        <v>5</v>
      </c>
      <c r="J316" s="8">
        <v>1</v>
      </c>
      <c r="K316" s="9" t="str" cm="1">
        <f t="array" ref="K316">_xlfn.IFS(J316=1,"Clear",J316=2,"Mist/Cloudy",J316=3,"Rain",J316=4,"Heavy Rain/Thunderstorm")</f>
        <v>Clear</v>
      </c>
      <c r="L316" s="10">
        <v>0.22</v>
      </c>
      <c r="M316" s="42" t="str" cm="1">
        <f t="array" ref="M316">_xlfn.IFS(L316&lt;0.15,"Cold",L316&lt;0.25,"Mild",L316&lt;=0.32,"Warm",L316&gt;=0.33,"Hot")</f>
        <v>Mild</v>
      </c>
    </row>
    <row r="317" spans="1:13" x14ac:dyDescent="0.3">
      <c r="A317" s="6">
        <v>316</v>
      </c>
      <c r="B317" s="7">
        <v>40557</v>
      </c>
      <c r="C317" s="8">
        <v>1</v>
      </c>
      <c r="D317" s="8">
        <v>0</v>
      </c>
      <c r="E317" s="8">
        <v>1</v>
      </c>
      <c r="F317" s="8">
        <v>15</v>
      </c>
      <c r="G317" s="8" t="str" cm="1">
        <f t="array" ref="G317">_xlfn.IFS(F317&lt;4,"Night",F317&lt;=6,"Early Morning",F317&lt;11,"Morning",F317&lt;12,"Afternoon",F317&lt;=16,"Afternoon",F317&lt;=20,"Evening",F317&gt;=21,"Night")</f>
        <v>Afternoon</v>
      </c>
      <c r="H317" s="8" t="b">
        <v>0</v>
      </c>
      <c r="I317" s="8">
        <v>5</v>
      </c>
      <c r="J317" s="8">
        <v>1</v>
      </c>
      <c r="K317" s="9" t="str" cm="1">
        <f t="array" ref="K317">_xlfn.IFS(J317=1,"Clear",J317=2,"Mist/Cloudy",J317=3,"Rain",J317=4,"Heavy Rain/Thunderstorm")</f>
        <v>Clear</v>
      </c>
      <c r="L317" s="10">
        <v>0.24</v>
      </c>
      <c r="M317" s="42" t="str" cm="1">
        <f t="array" ref="M317">_xlfn.IFS(L317&lt;0.15,"Cold",L317&lt;0.25,"Mild",L317&lt;=0.32,"Warm",L317&gt;=0.33,"Hot")</f>
        <v>Mild</v>
      </c>
    </row>
    <row r="318" spans="1:13" x14ac:dyDescent="0.3">
      <c r="A318" s="6">
        <v>317</v>
      </c>
      <c r="B318" s="7">
        <v>40557</v>
      </c>
      <c r="C318" s="8">
        <v>1</v>
      </c>
      <c r="D318" s="8">
        <v>0</v>
      </c>
      <c r="E318" s="8">
        <v>1</v>
      </c>
      <c r="F318" s="8">
        <v>16</v>
      </c>
      <c r="G318" s="8" t="str" cm="1">
        <f t="array" ref="G318">_xlfn.IFS(F318&lt;4,"Night",F318&lt;=6,"Early Morning",F318&lt;11,"Morning",F318&lt;12,"Afternoon",F318&lt;=16,"Afternoon",F318&lt;=20,"Evening",F318&gt;=21,"Night")</f>
        <v>Afternoon</v>
      </c>
      <c r="H318" s="8" t="b">
        <v>0</v>
      </c>
      <c r="I318" s="8">
        <v>5</v>
      </c>
      <c r="J318" s="8">
        <v>1</v>
      </c>
      <c r="K318" s="9" t="str" cm="1">
        <f t="array" ref="K318">_xlfn.IFS(J318=1,"Clear",J318=2,"Mist/Cloudy",J318=3,"Rain",J318=4,"Heavy Rain/Thunderstorm")</f>
        <v>Clear</v>
      </c>
      <c r="L318" s="10">
        <v>0.22</v>
      </c>
      <c r="M318" s="42" t="str" cm="1">
        <f t="array" ref="M318">_xlfn.IFS(L318&lt;0.15,"Cold",L318&lt;0.25,"Mild",L318&lt;=0.32,"Warm",L318&gt;=0.33,"Hot")</f>
        <v>Mild</v>
      </c>
    </row>
    <row r="319" spans="1:13" x14ac:dyDescent="0.3">
      <c r="A319" s="6">
        <v>318</v>
      </c>
      <c r="B319" s="7">
        <v>40557</v>
      </c>
      <c r="C319" s="8">
        <v>1</v>
      </c>
      <c r="D319" s="8">
        <v>0</v>
      </c>
      <c r="E319" s="8">
        <v>1</v>
      </c>
      <c r="F319" s="8">
        <v>17</v>
      </c>
      <c r="G319" s="8" t="str" cm="1">
        <f t="array" ref="G319">_xlfn.IFS(F319&lt;4,"Night",F319&lt;=6,"Early Morning",F319&lt;11,"Morning",F319&lt;12,"Afternoon",F319&lt;=16,"Afternoon",F319&lt;=20,"Evening",F319&gt;=21,"Night")</f>
        <v>Evening</v>
      </c>
      <c r="H319" s="8" t="b">
        <v>0</v>
      </c>
      <c r="I319" s="8">
        <v>5</v>
      </c>
      <c r="J319" s="8">
        <v>1</v>
      </c>
      <c r="K319" s="9" t="str" cm="1">
        <f t="array" ref="K319">_xlfn.IFS(J319=1,"Clear",J319=2,"Mist/Cloudy",J319=3,"Rain",J319=4,"Heavy Rain/Thunderstorm")</f>
        <v>Clear</v>
      </c>
      <c r="L319" s="10">
        <v>0.22</v>
      </c>
      <c r="M319" s="42" t="str" cm="1">
        <f t="array" ref="M319">_xlfn.IFS(L319&lt;0.15,"Cold",L319&lt;0.25,"Mild",L319&lt;=0.32,"Warm",L319&gt;=0.33,"Hot")</f>
        <v>Mild</v>
      </c>
    </row>
    <row r="320" spans="1:13" x14ac:dyDescent="0.3">
      <c r="A320" s="6">
        <v>319</v>
      </c>
      <c r="B320" s="7">
        <v>40557</v>
      </c>
      <c r="C320" s="8">
        <v>1</v>
      </c>
      <c r="D320" s="8">
        <v>0</v>
      </c>
      <c r="E320" s="8">
        <v>1</v>
      </c>
      <c r="F320" s="8">
        <v>18</v>
      </c>
      <c r="G320" s="8" t="str" cm="1">
        <f t="array" ref="G320">_xlfn.IFS(F320&lt;4,"Night",F320&lt;=6,"Early Morning",F320&lt;11,"Morning",F320&lt;12,"Afternoon",F320&lt;=16,"Afternoon",F320&lt;=20,"Evening",F320&gt;=21,"Night")</f>
        <v>Evening</v>
      </c>
      <c r="H320" s="8" t="b">
        <v>0</v>
      </c>
      <c r="I320" s="8">
        <v>5</v>
      </c>
      <c r="J320" s="8">
        <v>1</v>
      </c>
      <c r="K320" s="9" t="str" cm="1">
        <f t="array" ref="K320">_xlfn.IFS(J320=1,"Clear",J320=2,"Mist/Cloudy",J320=3,"Rain",J320=4,"Heavy Rain/Thunderstorm")</f>
        <v>Clear</v>
      </c>
      <c r="L320" s="10">
        <v>0.2</v>
      </c>
      <c r="M320" s="42" t="str" cm="1">
        <f t="array" ref="M320">_xlfn.IFS(L320&lt;0.15,"Cold",L320&lt;0.25,"Mild",L320&lt;=0.32,"Warm",L320&gt;=0.33,"Hot")</f>
        <v>Mild</v>
      </c>
    </row>
    <row r="321" spans="1:13" x14ac:dyDescent="0.3">
      <c r="A321" s="6">
        <v>320</v>
      </c>
      <c r="B321" s="7">
        <v>40557</v>
      </c>
      <c r="C321" s="8">
        <v>1</v>
      </c>
      <c r="D321" s="8">
        <v>0</v>
      </c>
      <c r="E321" s="8">
        <v>1</v>
      </c>
      <c r="F321" s="8">
        <v>19</v>
      </c>
      <c r="G321" s="8" t="str" cm="1">
        <f t="array" ref="G321">_xlfn.IFS(F321&lt;4,"Night",F321&lt;=6,"Early Morning",F321&lt;11,"Morning",F321&lt;12,"Afternoon",F321&lt;=16,"Afternoon",F321&lt;=20,"Evening",F321&gt;=21,"Night")</f>
        <v>Evening</v>
      </c>
      <c r="H321" s="8" t="b">
        <v>0</v>
      </c>
      <c r="I321" s="8">
        <v>5</v>
      </c>
      <c r="J321" s="8">
        <v>1</v>
      </c>
      <c r="K321" s="9" t="str" cm="1">
        <f t="array" ref="K321">_xlfn.IFS(J321=1,"Clear",J321=2,"Mist/Cloudy",J321=3,"Rain",J321=4,"Heavy Rain/Thunderstorm")</f>
        <v>Clear</v>
      </c>
      <c r="L321" s="10">
        <v>0.16</v>
      </c>
      <c r="M321" s="42" t="str" cm="1">
        <f t="array" ref="M321">_xlfn.IFS(L321&lt;0.15,"Cold",L321&lt;0.25,"Mild",L321&lt;=0.32,"Warm",L321&gt;=0.33,"Hot")</f>
        <v>Mild</v>
      </c>
    </row>
    <row r="322" spans="1:13" x14ac:dyDescent="0.3">
      <c r="A322" s="6">
        <v>321</v>
      </c>
      <c r="B322" s="7">
        <v>40557</v>
      </c>
      <c r="C322" s="8">
        <v>1</v>
      </c>
      <c r="D322" s="8">
        <v>0</v>
      </c>
      <c r="E322" s="8">
        <v>1</v>
      </c>
      <c r="F322" s="8">
        <v>20</v>
      </c>
      <c r="G322" s="8" t="str" cm="1">
        <f t="array" ref="G322">_xlfn.IFS(F322&lt;4,"Night",F322&lt;=6,"Early Morning",F322&lt;11,"Morning",F322&lt;12,"Afternoon",F322&lt;=16,"Afternoon",F322&lt;=20,"Evening",F322&gt;=21,"Night")</f>
        <v>Evening</v>
      </c>
      <c r="H322" s="8" t="b">
        <v>0</v>
      </c>
      <c r="I322" s="8">
        <v>5</v>
      </c>
      <c r="J322" s="8">
        <v>1</v>
      </c>
      <c r="K322" s="9" t="str" cm="1">
        <f t="array" ref="K322">_xlfn.IFS(J322=1,"Clear",J322=2,"Mist/Cloudy",J322=3,"Rain",J322=4,"Heavy Rain/Thunderstorm")</f>
        <v>Clear</v>
      </c>
      <c r="L322" s="10">
        <v>0.18</v>
      </c>
      <c r="M322" s="42" t="str" cm="1">
        <f t="array" ref="M322">_xlfn.IFS(L322&lt;0.15,"Cold",L322&lt;0.25,"Mild",L322&lt;=0.32,"Warm",L322&gt;=0.33,"Hot")</f>
        <v>Mild</v>
      </c>
    </row>
    <row r="323" spans="1:13" x14ac:dyDescent="0.3">
      <c r="A323" s="6">
        <v>322</v>
      </c>
      <c r="B323" s="7">
        <v>40557</v>
      </c>
      <c r="C323" s="8">
        <v>1</v>
      </c>
      <c r="D323" s="8">
        <v>0</v>
      </c>
      <c r="E323" s="8">
        <v>1</v>
      </c>
      <c r="F323" s="8">
        <v>21</v>
      </c>
      <c r="G323" s="8" t="str" cm="1">
        <f t="array" ref="G323">_xlfn.IFS(F323&lt;4,"Night",F323&lt;=6,"Early Morning",F323&lt;11,"Morning",F323&lt;12,"Afternoon",F323&lt;=16,"Afternoon",F323&lt;=20,"Evening",F323&gt;=21,"Night")</f>
        <v>Night</v>
      </c>
      <c r="H323" s="8" t="b">
        <v>0</v>
      </c>
      <c r="I323" s="8">
        <v>5</v>
      </c>
      <c r="J323" s="8">
        <v>1</v>
      </c>
      <c r="K323" s="9" t="str" cm="1">
        <f t="array" ref="K323">_xlfn.IFS(J323=1,"Clear",J323=2,"Mist/Cloudy",J323=3,"Rain",J323=4,"Heavy Rain/Thunderstorm")</f>
        <v>Clear</v>
      </c>
      <c r="L323" s="10">
        <v>0.16</v>
      </c>
      <c r="M323" s="42" t="str" cm="1">
        <f t="array" ref="M323">_xlfn.IFS(L323&lt;0.15,"Cold",L323&lt;0.25,"Mild",L323&lt;=0.32,"Warm",L323&gt;=0.33,"Hot")</f>
        <v>Mild</v>
      </c>
    </row>
    <row r="324" spans="1:13" x14ac:dyDescent="0.3">
      <c r="A324" s="6">
        <v>323</v>
      </c>
      <c r="B324" s="7">
        <v>40557</v>
      </c>
      <c r="C324" s="8">
        <v>1</v>
      </c>
      <c r="D324" s="8">
        <v>0</v>
      </c>
      <c r="E324" s="8">
        <v>1</v>
      </c>
      <c r="F324" s="8">
        <v>22</v>
      </c>
      <c r="G324" s="8" t="str" cm="1">
        <f t="array" ref="G324">_xlfn.IFS(F324&lt;4,"Night",F324&lt;=6,"Early Morning",F324&lt;11,"Morning",F324&lt;12,"Afternoon",F324&lt;=16,"Afternoon",F324&lt;=20,"Evening",F324&gt;=21,"Night")</f>
        <v>Night</v>
      </c>
      <c r="H324" s="8" t="b">
        <v>0</v>
      </c>
      <c r="I324" s="8">
        <v>5</v>
      </c>
      <c r="J324" s="8">
        <v>2</v>
      </c>
      <c r="K324" s="9" t="str" cm="1">
        <f t="array" ref="K324">_xlfn.IFS(J324=1,"Clear",J324=2,"Mist/Cloudy",J324=3,"Rain",J324=4,"Heavy Rain/Thunderstorm")</f>
        <v>Mist/Cloudy</v>
      </c>
      <c r="L324" s="10">
        <v>0.16</v>
      </c>
      <c r="M324" s="42" t="str" cm="1">
        <f t="array" ref="M324">_xlfn.IFS(L324&lt;0.15,"Cold",L324&lt;0.25,"Mild",L324&lt;=0.32,"Warm",L324&gt;=0.33,"Hot")</f>
        <v>Mild</v>
      </c>
    </row>
    <row r="325" spans="1:13" x14ac:dyDescent="0.3">
      <c r="A325" s="6">
        <v>324</v>
      </c>
      <c r="B325" s="7">
        <v>40557</v>
      </c>
      <c r="C325" s="8">
        <v>1</v>
      </c>
      <c r="D325" s="8">
        <v>0</v>
      </c>
      <c r="E325" s="8">
        <v>1</v>
      </c>
      <c r="F325" s="8">
        <v>23</v>
      </c>
      <c r="G325" s="8" t="str" cm="1">
        <f t="array" ref="G325">_xlfn.IFS(F325&lt;4,"Night",F325&lt;=6,"Early Morning",F325&lt;11,"Morning",F325&lt;12,"Afternoon",F325&lt;=16,"Afternoon",F325&lt;=20,"Evening",F325&gt;=21,"Night")</f>
        <v>Night</v>
      </c>
      <c r="H325" s="8" t="b">
        <v>0</v>
      </c>
      <c r="I325" s="8">
        <v>5</v>
      </c>
      <c r="J325" s="8">
        <v>2</v>
      </c>
      <c r="K325" s="9" t="str" cm="1">
        <f t="array" ref="K325">_xlfn.IFS(J325=1,"Clear",J325=2,"Mist/Cloudy",J325=3,"Rain",J325=4,"Heavy Rain/Thunderstorm")</f>
        <v>Mist/Cloudy</v>
      </c>
      <c r="L325" s="10">
        <v>0.18</v>
      </c>
      <c r="M325" s="42" t="str" cm="1">
        <f t="array" ref="M325">_xlfn.IFS(L325&lt;0.15,"Cold",L325&lt;0.25,"Mild",L325&lt;=0.32,"Warm",L325&gt;=0.33,"Hot")</f>
        <v>Mild</v>
      </c>
    </row>
    <row r="326" spans="1:13" x14ac:dyDescent="0.3">
      <c r="A326" s="6">
        <v>325</v>
      </c>
      <c r="B326" s="7">
        <v>40558</v>
      </c>
      <c r="C326" s="8">
        <v>1</v>
      </c>
      <c r="D326" s="8">
        <v>0</v>
      </c>
      <c r="E326" s="8">
        <v>1</v>
      </c>
      <c r="F326" s="8">
        <v>0</v>
      </c>
      <c r="G326" s="8" t="str" cm="1">
        <f t="array" ref="G326">_xlfn.IFS(F326&lt;4,"Night",F326&lt;=6,"Early Morning",F326&lt;11,"Morning",F326&lt;12,"Afternoon",F326&lt;=16,"Afternoon",F326&lt;=20,"Evening",F326&gt;=21,"Night")</f>
        <v>Night</v>
      </c>
      <c r="H326" s="8" t="b">
        <v>0</v>
      </c>
      <c r="I326" s="8">
        <v>6</v>
      </c>
      <c r="J326" s="8">
        <v>1</v>
      </c>
      <c r="K326" s="9" t="str" cm="1">
        <f t="array" ref="K326">_xlfn.IFS(J326=1,"Clear",J326=2,"Mist/Cloudy",J326=3,"Rain",J326=4,"Heavy Rain/Thunderstorm")</f>
        <v>Clear</v>
      </c>
      <c r="L326" s="10">
        <v>0.18</v>
      </c>
      <c r="M326" s="42" t="str" cm="1">
        <f t="array" ref="M326">_xlfn.IFS(L326&lt;0.15,"Cold",L326&lt;0.25,"Mild",L326&lt;=0.32,"Warm",L326&gt;=0.33,"Hot")</f>
        <v>Mild</v>
      </c>
    </row>
    <row r="327" spans="1:13" x14ac:dyDescent="0.3">
      <c r="A327" s="6">
        <v>326</v>
      </c>
      <c r="B327" s="7">
        <v>40558</v>
      </c>
      <c r="C327" s="8">
        <v>1</v>
      </c>
      <c r="D327" s="8">
        <v>0</v>
      </c>
      <c r="E327" s="8">
        <v>1</v>
      </c>
      <c r="F327" s="8">
        <v>1</v>
      </c>
      <c r="G327" s="8" t="str" cm="1">
        <f t="array" ref="G327">_xlfn.IFS(F327&lt;4,"Night",F327&lt;=6,"Early Morning",F327&lt;11,"Morning",F327&lt;12,"Afternoon",F327&lt;=16,"Afternoon",F327&lt;=20,"Evening",F327&gt;=21,"Night")</f>
        <v>Night</v>
      </c>
      <c r="H327" s="8" t="b">
        <v>0</v>
      </c>
      <c r="I327" s="8">
        <v>6</v>
      </c>
      <c r="J327" s="8">
        <v>2</v>
      </c>
      <c r="K327" s="9" t="str" cm="1">
        <f t="array" ref="K327">_xlfn.IFS(J327=1,"Clear",J327=2,"Mist/Cloudy",J327=3,"Rain",J327=4,"Heavy Rain/Thunderstorm")</f>
        <v>Mist/Cloudy</v>
      </c>
      <c r="L327" s="10">
        <v>0.16</v>
      </c>
      <c r="M327" s="42" t="str" cm="1">
        <f t="array" ref="M327">_xlfn.IFS(L327&lt;0.15,"Cold",L327&lt;0.25,"Mild",L327&lt;=0.32,"Warm",L327&gt;=0.33,"Hot")</f>
        <v>Mild</v>
      </c>
    </row>
    <row r="328" spans="1:13" x14ac:dyDescent="0.3">
      <c r="A328" s="6">
        <v>327</v>
      </c>
      <c r="B328" s="7">
        <v>40558</v>
      </c>
      <c r="C328" s="8">
        <v>1</v>
      </c>
      <c r="D328" s="8">
        <v>0</v>
      </c>
      <c r="E328" s="8">
        <v>1</v>
      </c>
      <c r="F328" s="8">
        <v>2</v>
      </c>
      <c r="G328" s="8" t="str" cm="1">
        <f t="array" ref="G328">_xlfn.IFS(F328&lt;4,"Night",F328&lt;=6,"Early Morning",F328&lt;11,"Morning",F328&lt;12,"Afternoon",F328&lt;=16,"Afternoon",F328&lt;=20,"Evening",F328&gt;=21,"Night")</f>
        <v>Night</v>
      </c>
      <c r="H328" s="8" t="b">
        <v>0</v>
      </c>
      <c r="I328" s="8">
        <v>6</v>
      </c>
      <c r="J328" s="8">
        <v>2</v>
      </c>
      <c r="K328" s="9" t="str" cm="1">
        <f t="array" ref="K328">_xlfn.IFS(J328=1,"Clear",J328=2,"Mist/Cloudy",J328=3,"Rain",J328=4,"Heavy Rain/Thunderstorm")</f>
        <v>Mist/Cloudy</v>
      </c>
      <c r="L328" s="10">
        <v>0.16</v>
      </c>
      <c r="M328" s="42" t="str" cm="1">
        <f t="array" ref="M328">_xlfn.IFS(L328&lt;0.15,"Cold",L328&lt;0.25,"Mild",L328&lt;=0.32,"Warm",L328&gt;=0.33,"Hot")</f>
        <v>Mild</v>
      </c>
    </row>
    <row r="329" spans="1:13" x14ac:dyDescent="0.3">
      <c r="A329" s="6">
        <v>328</v>
      </c>
      <c r="B329" s="7">
        <v>40558</v>
      </c>
      <c r="C329" s="8">
        <v>1</v>
      </c>
      <c r="D329" s="8">
        <v>0</v>
      </c>
      <c r="E329" s="8">
        <v>1</v>
      </c>
      <c r="F329" s="8">
        <v>3</v>
      </c>
      <c r="G329" s="8" t="str" cm="1">
        <f t="array" ref="G329">_xlfn.IFS(F329&lt;4,"Night",F329&lt;=6,"Early Morning",F329&lt;11,"Morning",F329&lt;12,"Afternoon",F329&lt;=16,"Afternoon",F329&lt;=20,"Evening",F329&gt;=21,"Night")</f>
        <v>Night</v>
      </c>
      <c r="H329" s="8" t="b">
        <v>0</v>
      </c>
      <c r="I329" s="8">
        <v>6</v>
      </c>
      <c r="J329" s="8">
        <v>2</v>
      </c>
      <c r="K329" s="9" t="str" cm="1">
        <f t="array" ref="K329">_xlfn.IFS(J329=1,"Clear",J329=2,"Mist/Cloudy",J329=3,"Rain",J329=4,"Heavy Rain/Thunderstorm")</f>
        <v>Mist/Cloudy</v>
      </c>
      <c r="L329" s="10">
        <v>0.16</v>
      </c>
      <c r="M329" s="42" t="str" cm="1">
        <f t="array" ref="M329">_xlfn.IFS(L329&lt;0.15,"Cold",L329&lt;0.25,"Mild",L329&lt;=0.32,"Warm",L329&gt;=0.33,"Hot")</f>
        <v>Mild</v>
      </c>
    </row>
    <row r="330" spans="1:13" x14ac:dyDescent="0.3">
      <c r="A330" s="6">
        <v>329</v>
      </c>
      <c r="B330" s="7">
        <v>40558</v>
      </c>
      <c r="C330" s="8">
        <v>1</v>
      </c>
      <c r="D330" s="8">
        <v>0</v>
      </c>
      <c r="E330" s="8">
        <v>1</v>
      </c>
      <c r="F330" s="8">
        <v>4</v>
      </c>
      <c r="G330" s="8" t="str" cm="1">
        <f t="array" ref="G330">_xlfn.IFS(F330&lt;4,"Night",F330&lt;=6,"Early Morning",F330&lt;11,"Morning",F330&lt;12,"Afternoon",F330&lt;=16,"Afternoon",F330&lt;=20,"Evening",F330&gt;=21,"Night")</f>
        <v>Early Morning</v>
      </c>
      <c r="H330" s="8" t="b">
        <v>0</v>
      </c>
      <c r="I330" s="8">
        <v>6</v>
      </c>
      <c r="J330" s="8">
        <v>2</v>
      </c>
      <c r="K330" s="9" t="str" cm="1">
        <f t="array" ref="K330">_xlfn.IFS(J330=1,"Clear",J330=2,"Mist/Cloudy",J330=3,"Rain",J330=4,"Heavy Rain/Thunderstorm")</f>
        <v>Mist/Cloudy</v>
      </c>
      <c r="L330" s="10">
        <v>0.16</v>
      </c>
      <c r="M330" s="42" t="str" cm="1">
        <f t="array" ref="M330">_xlfn.IFS(L330&lt;0.15,"Cold",L330&lt;0.25,"Mild",L330&lt;=0.32,"Warm",L330&gt;=0.33,"Hot")</f>
        <v>Mild</v>
      </c>
    </row>
    <row r="331" spans="1:13" x14ac:dyDescent="0.3">
      <c r="A331" s="6">
        <v>330</v>
      </c>
      <c r="B331" s="7">
        <v>40558</v>
      </c>
      <c r="C331" s="8">
        <v>1</v>
      </c>
      <c r="D331" s="8">
        <v>0</v>
      </c>
      <c r="E331" s="8">
        <v>1</v>
      </c>
      <c r="F331" s="8">
        <v>5</v>
      </c>
      <c r="G331" s="8" t="str" cm="1">
        <f t="array" ref="G331">_xlfn.IFS(F331&lt;4,"Night",F331&lt;=6,"Early Morning",F331&lt;11,"Morning",F331&lt;12,"Afternoon",F331&lt;=16,"Afternoon",F331&lt;=20,"Evening",F331&gt;=21,"Night")</f>
        <v>Early Morning</v>
      </c>
      <c r="H331" s="8" t="b">
        <v>0</v>
      </c>
      <c r="I331" s="8">
        <v>6</v>
      </c>
      <c r="J331" s="8">
        <v>1</v>
      </c>
      <c r="K331" s="9" t="str" cm="1">
        <f t="array" ref="K331">_xlfn.IFS(J331=1,"Clear",J331=2,"Mist/Cloudy",J331=3,"Rain",J331=4,"Heavy Rain/Thunderstorm")</f>
        <v>Clear</v>
      </c>
      <c r="L331" s="10">
        <v>0.16</v>
      </c>
      <c r="M331" s="42" t="str" cm="1">
        <f t="array" ref="M331">_xlfn.IFS(L331&lt;0.15,"Cold",L331&lt;0.25,"Mild",L331&lt;=0.32,"Warm",L331&gt;=0.33,"Hot")</f>
        <v>Mild</v>
      </c>
    </row>
    <row r="332" spans="1:13" x14ac:dyDescent="0.3">
      <c r="A332" s="6">
        <v>331</v>
      </c>
      <c r="B332" s="7">
        <v>40558</v>
      </c>
      <c r="C332" s="8">
        <v>1</v>
      </c>
      <c r="D332" s="8">
        <v>0</v>
      </c>
      <c r="E332" s="8">
        <v>1</v>
      </c>
      <c r="F332" s="8">
        <v>6</v>
      </c>
      <c r="G332" s="8" t="str" cm="1">
        <f t="array" ref="G332">_xlfn.IFS(F332&lt;4,"Night",F332&lt;=6,"Early Morning",F332&lt;11,"Morning",F332&lt;12,"Afternoon",F332&lt;=16,"Afternoon",F332&lt;=20,"Evening",F332&gt;=21,"Night")</f>
        <v>Early Morning</v>
      </c>
      <c r="H332" s="8" t="b">
        <v>0</v>
      </c>
      <c r="I332" s="8">
        <v>6</v>
      </c>
      <c r="J332" s="8">
        <v>1</v>
      </c>
      <c r="K332" s="9" t="str" cm="1">
        <f t="array" ref="K332">_xlfn.IFS(J332=1,"Clear",J332=2,"Mist/Cloudy",J332=3,"Rain",J332=4,"Heavy Rain/Thunderstorm")</f>
        <v>Clear</v>
      </c>
      <c r="L332" s="10">
        <v>0.14000000000000001</v>
      </c>
      <c r="M332" s="42" t="str" cm="1">
        <f t="array" ref="M332">_xlfn.IFS(L332&lt;0.15,"Cold",L332&lt;0.25,"Mild",L332&lt;=0.32,"Warm",L332&gt;=0.33,"Hot")</f>
        <v>Cold</v>
      </c>
    </row>
    <row r="333" spans="1:13" x14ac:dyDescent="0.3">
      <c r="A333" s="6">
        <v>332</v>
      </c>
      <c r="B333" s="7">
        <v>40558</v>
      </c>
      <c r="C333" s="8">
        <v>1</v>
      </c>
      <c r="D333" s="8">
        <v>0</v>
      </c>
      <c r="E333" s="8">
        <v>1</v>
      </c>
      <c r="F333" s="8">
        <v>7</v>
      </c>
      <c r="G333" s="8" t="str" cm="1">
        <f t="array" ref="G333">_xlfn.IFS(F333&lt;4,"Night",F333&lt;=6,"Early Morning",F333&lt;11,"Morning",F333&lt;12,"Afternoon",F333&lt;=16,"Afternoon",F333&lt;=20,"Evening",F333&gt;=21,"Night")</f>
        <v>Morning</v>
      </c>
      <c r="H333" s="8" t="b">
        <v>0</v>
      </c>
      <c r="I333" s="8">
        <v>6</v>
      </c>
      <c r="J333" s="8">
        <v>1</v>
      </c>
      <c r="K333" s="9" t="str" cm="1">
        <f t="array" ref="K333">_xlfn.IFS(J333=1,"Clear",J333=2,"Mist/Cloudy",J333=3,"Rain",J333=4,"Heavy Rain/Thunderstorm")</f>
        <v>Clear</v>
      </c>
      <c r="L333" s="10">
        <v>0.14000000000000001</v>
      </c>
      <c r="M333" s="42" t="str" cm="1">
        <f t="array" ref="M333">_xlfn.IFS(L333&lt;0.15,"Cold",L333&lt;0.25,"Mild",L333&lt;=0.32,"Warm",L333&gt;=0.33,"Hot")</f>
        <v>Cold</v>
      </c>
    </row>
    <row r="334" spans="1:13" x14ac:dyDescent="0.3">
      <c r="A334" s="6">
        <v>333</v>
      </c>
      <c r="B334" s="7">
        <v>40558</v>
      </c>
      <c r="C334" s="8">
        <v>1</v>
      </c>
      <c r="D334" s="8">
        <v>0</v>
      </c>
      <c r="E334" s="8">
        <v>1</v>
      </c>
      <c r="F334" s="8">
        <v>8</v>
      </c>
      <c r="G334" s="8" t="str" cm="1">
        <f t="array" ref="G334">_xlfn.IFS(F334&lt;4,"Night",F334&lt;=6,"Early Morning",F334&lt;11,"Morning",F334&lt;12,"Afternoon",F334&lt;=16,"Afternoon",F334&lt;=20,"Evening",F334&gt;=21,"Night")</f>
        <v>Morning</v>
      </c>
      <c r="H334" s="8" t="b">
        <v>0</v>
      </c>
      <c r="I334" s="8">
        <v>6</v>
      </c>
      <c r="J334" s="8">
        <v>1</v>
      </c>
      <c r="K334" s="9" t="str" cm="1">
        <f t="array" ref="K334">_xlfn.IFS(J334=1,"Clear",J334=2,"Mist/Cloudy",J334=3,"Rain",J334=4,"Heavy Rain/Thunderstorm")</f>
        <v>Clear</v>
      </c>
      <c r="L334" s="10">
        <v>0.14000000000000001</v>
      </c>
      <c r="M334" s="42" t="str" cm="1">
        <f t="array" ref="M334">_xlfn.IFS(L334&lt;0.15,"Cold",L334&lt;0.25,"Mild",L334&lt;=0.32,"Warm",L334&gt;=0.33,"Hot")</f>
        <v>Cold</v>
      </c>
    </row>
    <row r="335" spans="1:13" x14ac:dyDescent="0.3">
      <c r="A335" s="6">
        <v>334</v>
      </c>
      <c r="B335" s="7">
        <v>40558</v>
      </c>
      <c r="C335" s="8">
        <v>1</v>
      </c>
      <c r="D335" s="8">
        <v>0</v>
      </c>
      <c r="E335" s="8">
        <v>1</v>
      </c>
      <c r="F335" s="8">
        <v>9</v>
      </c>
      <c r="G335" s="8" t="str" cm="1">
        <f t="array" ref="G335">_xlfn.IFS(F335&lt;4,"Night",F335&lt;=6,"Early Morning",F335&lt;11,"Morning",F335&lt;12,"Afternoon",F335&lt;=16,"Afternoon",F335&lt;=20,"Evening",F335&gt;=21,"Night")</f>
        <v>Morning</v>
      </c>
      <c r="H335" s="8" t="b">
        <v>0</v>
      </c>
      <c r="I335" s="8">
        <v>6</v>
      </c>
      <c r="J335" s="8">
        <v>1</v>
      </c>
      <c r="K335" s="9" t="str" cm="1">
        <f t="array" ref="K335">_xlfn.IFS(J335=1,"Clear",J335=2,"Mist/Cloudy",J335=3,"Rain",J335=4,"Heavy Rain/Thunderstorm")</f>
        <v>Clear</v>
      </c>
      <c r="L335" s="10">
        <v>0.16</v>
      </c>
      <c r="M335" s="42" t="str" cm="1">
        <f t="array" ref="M335">_xlfn.IFS(L335&lt;0.15,"Cold",L335&lt;0.25,"Mild",L335&lt;=0.32,"Warm",L335&gt;=0.33,"Hot")</f>
        <v>Mild</v>
      </c>
    </row>
    <row r="336" spans="1:13" x14ac:dyDescent="0.3">
      <c r="A336" s="6">
        <v>335</v>
      </c>
      <c r="B336" s="7">
        <v>40558</v>
      </c>
      <c r="C336" s="8">
        <v>1</v>
      </c>
      <c r="D336" s="8">
        <v>0</v>
      </c>
      <c r="E336" s="8">
        <v>1</v>
      </c>
      <c r="F336" s="8">
        <v>10</v>
      </c>
      <c r="G336" s="8" t="str" cm="1">
        <f t="array" ref="G336">_xlfn.IFS(F336&lt;4,"Night",F336&lt;=6,"Early Morning",F336&lt;11,"Morning",F336&lt;12,"Afternoon",F336&lt;=16,"Afternoon",F336&lt;=20,"Evening",F336&gt;=21,"Night")</f>
        <v>Morning</v>
      </c>
      <c r="H336" s="8" t="b">
        <v>0</v>
      </c>
      <c r="I336" s="8">
        <v>6</v>
      </c>
      <c r="J336" s="8">
        <v>1</v>
      </c>
      <c r="K336" s="9" t="str" cm="1">
        <f t="array" ref="K336">_xlfn.IFS(J336=1,"Clear",J336=2,"Mist/Cloudy",J336=3,"Rain",J336=4,"Heavy Rain/Thunderstorm")</f>
        <v>Clear</v>
      </c>
      <c r="L336" s="10">
        <v>0.18</v>
      </c>
      <c r="M336" s="42" t="str" cm="1">
        <f t="array" ref="M336">_xlfn.IFS(L336&lt;0.15,"Cold",L336&lt;0.25,"Mild",L336&lt;=0.32,"Warm",L336&gt;=0.33,"Hot")</f>
        <v>Mild</v>
      </c>
    </row>
    <row r="337" spans="1:13" x14ac:dyDescent="0.3">
      <c r="A337" s="6">
        <v>336</v>
      </c>
      <c r="B337" s="7">
        <v>40558</v>
      </c>
      <c r="C337" s="8">
        <v>1</v>
      </c>
      <c r="D337" s="8">
        <v>0</v>
      </c>
      <c r="E337" s="8">
        <v>1</v>
      </c>
      <c r="F337" s="8">
        <v>11</v>
      </c>
      <c r="G337" s="8" t="str" cm="1">
        <f t="array" ref="G337">_xlfn.IFS(F337&lt;4,"Night",F337&lt;=6,"Early Morning",F337&lt;11,"Morning",F337&lt;12,"Afternoon",F337&lt;=16,"Afternoon",F337&lt;=20,"Evening",F337&gt;=21,"Night")</f>
        <v>Afternoon</v>
      </c>
      <c r="H337" s="8" t="b">
        <v>0</v>
      </c>
      <c r="I337" s="8">
        <v>6</v>
      </c>
      <c r="J337" s="8">
        <v>1</v>
      </c>
      <c r="K337" s="9" t="str" cm="1">
        <f t="array" ref="K337">_xlfn.IFS(J337=1,"Clear",J337=2,"Mist/Cloudy",J337=3,"Rain",J337=4,"Heavy Rain/Thunderstorm")</f>
        <v>Clear</v>
      </c>
      <c r="L337" s="10">
        <v>0.2</v>
      </c>
      <c r="M337" s="42" t="str" cm="1">
        <f t="array" ref="M337">_xlfn.IFS(L337&lt;0.15,"Cold",L337&lt;0.25,"Mild",L337&lt;=0.32,"Warm",L337&gt;=0.33,"Hot")</f>
        <v>Mild</v>
      </c>
    </row>
    <row r="338" spans="1:13" x14ac:dyDescent="0.3">
      <c r="A338" s="6">
        <v>337</v>
      </c>
      <c r="B338" s="7">
        <v>40558</v>
      </c>
      <c r="C338" s="8">
        <v>1</v>
      </c>
      <c r="D338" s="8">
        <v>0</v>
      </c>
      <c r="E338" s="8">
        <v>1</v>
      </c>
      <c r="F338" s="8">
        <v>12</v>
      </c>
      <c r="G338" s="8" t="str" cm="1">
        <f t="array" ref="G338">_xlfn.IFS(F338&lt;4,"Night",F338&lt;=6,"Early Morning",F338&lt;11,"Morning",F338&lt;12,"Afternoon",F338&lt;=16,"Afternoon",F338&lt;=20,"Evening",F338&gt;=21,"Night")</f>
        <v>Afternoon</v>
      </c>
      <c r="H338" s="8" t="b">
        <v>0</v>
      </c>
      <c r="I338" s="8">
        <v>6</v>
      </c>
      <c r="J338" s="8">
        <v>1</v>
      </c>
      <c r="K338" s="9" t="str" cm="1">
        <f t="array" ref="K338">_xlfn.IFS(J338=1,"Clear",J338=2,"Mist/Cloudy",J338=3,"Rain",J338=4,"Heavy Rain/Thunderstorm")</f>
        <v>Clear</v>
      </c>
      <c r="L338" s="10">
        <v>0.24</v>
      </c>
      <c r="M338" s="42" t="str" cm="1">
        <f t="array" ref="M338">_xlfn.IFS(L338&lt;0.15,"Cold",L338&lt;0.25,"Mild",L338&lt;=0.32,"Warm",L338&gt;=0.33,"Hot")</f>
        <v>Mild</v>
      </c>
    </row>
    <row r="339" spans="1:13" x14ac:dyDescent="0.3">
      <c r="A339" s="6">
        <v>338</v>
      </c>
      <c r="B339" s="7">
        <v>40558</v>
      </c>
      <c r="C339" s="8">
        <v>1</v>
      </c>
      <c r="D339" s="8">
        <v>0</v>
      </c>
      <c r="E339" s="8">
        <v>1</v>
      </c>
      <c r="F339" s="8">
        <v>13</v>
      </c>
      <c r="G339" s="8" t="str" cm="1">
        <f t="array" ref="G339">_xlfn.IFS(F339&lt;4,"Night",F339&lt;=6,"Early Morning",F339&lt;11,"Morning",F339&lt;12,"Afternoon",F339&lt;=16,"Afternoon",F339&lt;=20,"Evening",F339&gt;=21,"Night")</f>
        <v>Afternoon</v>
      </c>
      <c r="H339" s="8" t="b">
        <v>0</v>
      </c>
      <c r="I339" s="8">
        <v>6</v>
      </c>
      <c r="J339" s="8">
        <v>1</v>
      </c>
      <c r="K339" s="9" t="str" cm="1">
        <f t="array" ref="K339">_xlfn.IFS(J339=1,"Clear",J339=2,"Mist/Cloudy",J339=3,"Rain",J339=4,"Heavy Rain/Thunderstorm")</f>
        <v>Clear</v>
      </c>
      <c r="L339" s="10">
        <v>0.28000000000000003</v>
      </c>
      <c r="M339" s="42" t="str" cm="1">
        <f t="array" ref="M339">_xlfn.IFS(L339&lt;0.15,"Cold",L339&lt;0.25,"Mild",L339&lt;=0.32,"Warm",L339&gt;=0.33,"Hot")</f>
        <v>Warm</v>
      </c>
    </row>
    <row r="340" spans="1:13" x14ac:dyDescent="0.3">
      <c r="A340" s="6">
        <v>339</v>
      </c>
      <c r="B340" s="7">
        <v>40558</v>
      </c>
      <c r="C340" s="8">
        <v>1</v>
      </c>
      <c r="D340" s="8">
        <v>0</v>
      </c>
      <c r="E340" s="8">
        <v>1</v>
      </c>
      <c r="F340" s="8">
        <v>14</v>
      </c>
      <c r="G340" s="8" t="str" cm="1">
        <f t="array" ref="G340">_xlfn.IFS(F340&lt;4,"Night",F340&lt;=6,"Early Morning",F340&lt;11,"Morning",F340&lt;12,"Afternoon",F340&lt;=16,"Afternoon",F340&lt;=20,"Evening",F340&gt;=21,"Night")</f>
        <v>Afternoon</v>
      </c>
      <c r="H340" s="8" t="b">
        <v>0</v>
      </c>
      <c r="I340" s="8">
        <v>6</v>
      </c>
      <c r="J340" s="8">
        <v>1</v>
      </c>
      <c r="K340" s="9" t="str" cm="1">
        <f t="array" ref="K340">_xlfn.IFS(J340=1,"Clear",J340=2,"Mist/Cloudy",J340=3,"Rain",J340=4,"Heavy Rain/Thunderstorm")</f>
        <v>Clear</v>
      </c>
      <c r="L340" s="10">
        <v>0.3</v>
      </c>
      <c r="M340" s="42" t="str" cm="1">
        <f t="array" ref="M340">_xlfn.IFS(L340&lt;0.15,"Cold",L340&lt;0.25,"Mild",L340&lt;=0.32,"Warm",L340&gt;=0.33,"Hot")</f>
        <v>Warm</v>
      </c>
    </row>
    <row r="341" spans="1:13" x14ac:dyDescent="0.3">
      <c r="A341" s="6">
        <v>340</v>
      </c>
      <c r="B341" s="7">
        <v>40558</v>
      </c>
      <c r="C341" s="8">
        <v>1</v>
      </c>
      <c r="D341" s="8">
        <v>0</v>
      </c>
      <c r="E341" s="8">
        <v>1</v>
      </c>
      <c r="F341" s="8">
        <v>15</v>
      </c>
      <c r="G341" s="8" t="str" cm="1">
        <f t="array" ref="G341">_xlfn.IFS(F341&lt;4,"Night",F341&lt;=6,"Early Morning",F341&lt;11,"Morning",F341&lt;12,"Afternoon",F341&lt;=16,"Afternoon",F341&lt;=20,"Evening",F341&gt;=21,"Night")</f>
        <v>Afternoon</v>
      </c>
      <c r="H341" s="8" t="b">
        <v>0</v>
      </c>
      <c r="I341" s="8">
        <v>6</v>
      </c>
      <c r="J341" s="8">
        <v>2</v>
      </c>
      <c r="K341" s="9" t="str" cm="1">
        <f t="array" ref="K341">_xlfn.IFS(J341=1,"Clear",J341=2,"Mist/Cloudy",J341=3,"Rain",J341=4,"Heavy Rain/Thunderstorm")</f>
        <v>Mist/Cloudy</v>
      </c>
      <c r="L341" s="10">
        <v>0.32</v>
      </c>
      <c r="M341" s="42" t="str" cm="1">
        <f t="array" ref="M341">_xlfn.IFS(L341&lt;0.15,"Cold",L341&lt;0.25,"Mild",L341&lt;=0.32,"Warm",L341&gt;=0.33,"Hot")</f>
        <v>Warm</v>
      </c>
    </row>
    <row r="342" spans="1:13" x14ac:dyDescent="0.3">
      <c r="A342" s="6">
        <v>341</v>
      </c>
      <c r="B342" s="7">
        <v>40558</v>
      </c>
      <c r="C342" s="8">
        <v>1</v>
      </c>
      <c r="D342" s="8">
        <v>0</v>
      </c>
      <c r="E342" s="8">
        <v>1</v>
      </c>
      <c r="F342" s="8">
        <v>16</v>
      </c>
      <c r="G342" s="8" t="str" cm="1">
        <f t="array" ref="G342">_xlfn.IFS(F342&lt;4,"Night",F342&lt;=6,"Early Morning",F342&lt;11,"Morning",F342&lt;12,"Afternoon",F342&lt;=16,"Afternoon",F342&lt;=20,"Evening",F342&gt;=21,"Night")</f>
        <v>Afternoon</v>
      </c>
      <c r="H342" s="8" t="b">
        <v>0</v>
      </c>
      <c r="I342" s="8">
        <v>6</v>
      </c>
      <c r="J342" s="8">
        <v>2</v>
      </c>
      <c r="K342" s="9" t="str" cm="1">
        <f t="array" ref="K342">_xlfn.IFS(J342=1,"Clear",J342=2,"Mist/Cloudy",J342=3,"Rain",J342=4,"Heavy Rain/Thunderstorm")</f>
        <v>Mist/Cloudy</v>
      </c>
      <c r="L342" s="10">
        <v>0.34</v>
      </c>
      <c r="M342" s="42" t="str" cm="1">
        <f t="array" ref="M342">_xlfn.IFS(L342&lt;0.15,"Cold",L342&lt;0.25,"Mild",L342&lt;=0.32,"Warm",L342&gt;=0.33,"Hot")</f>
        <v>Hot</v>
      </c>
    </row>
    <row r="343" spans="1:13" x14ac:dyDescent="0.3">
      <c r="A343" s="6">
        <v>342</v>
      </c>
      <c r="B343" s="7">
        <v>40558</v>
      </c>
      <c r="C343" s="8">
        <v>1</v>
      </c>
      <c r="D343" s="8">
        <v>0</v>
      </c>
      <c r="E343" s="8">
        <v>1</v>
      </c>
      <c r="F343" s="8">
        <v>17</v>
      </c>
      <c r="G343" s="8" t="str" cm="1">
        <f t="array" ref="G343">_xlfn.IFS(F343&lt;4,"Night",F343&lt;=6,"Early Morning",F343&lt;11,"Morning",F343&lt;12,"Afternoon",F343&lt;=16,"Afternoon",F343&lt;=20,"Evening",F343&gt;=21,"Night")</f>
        <v>Evening</v>
      </c>
      <c r="H343" s="8" t="b">
        <v>0</v>
      </c>
      <c r="I343" s="8">
        <v>6</v>
      </c>
      <c r="J343" s="8">
        <v>2</v>
      </c>
      <c r="K343" s="9" t="str" cm="1">
        <f t="array" ref="K343">_xlfn.IFS(J343=1,"Clear",J343=2,"Mist/Cloudy",J343=3,"Rain",J343=4,"Heavy Rain/Thunderstorm")</f>
        <v>Mist/Cloudy</v>
      </c>
      <c r="L343" s="10">
        <v>0.32</v>
      </c>
      <c r="M343" s="42" t="str" cm="1">
        <f t="array" ref="M343">_xlfn.IFS(L343&lt;0.15,"Cold",L343&lt;0.25,"Mild",L343&lt;=0.32,"Warm",L343&gt;=0.33,"Hot")</f>
        <v>Warm</v>
      </c>
    </row>
    <row r="344" spans="1:13" x14ac:dyDescent="0.3">
      <c r="A344" s="6">
        <v>343</v>
      </c>
      <c r="B344" s="7">
        <v>40558</v>
      </c>
      <c r="C344" s="8">
        <v>1</v>
      </c>
      <c r="D344" s="8">
        <v>0</v>
      </c>
      <c r="E344" s="8">
        <v>1</v>
      </c>
      <c r="F344" s="8">
        <v>18</v>
      </c>
      <c r="G344" s="8" t="str" cm="1">
        <f t="array" ref="G344">_xlfn.IFS(F344&lt;4,"Night",F344&lt;=6,"Early Morning",F344&lt;11,"Morning",F344&lt;12,"Afternoon",F344&lt;=16,"Afternoon",F344&lt;=20,"Evening",F344&gt;=21,"Night")</f>
        <v>Evening</v>
      </c>
      <c r="H344" s="8" t="b">
        <v>0</v>
      </c>
      <c r="I344" s="8">
        <v>6</v>
      </c>
      <c r="J344" s="8">
        <v>2</v>
      </c>
      <c r="K344" s="9" t="str" cm="1">
        <f t="array" ref="K344">_xlfn.IFS(J344=1,"Clear",J344=2,"Mist/Cloudy",J344=3,"Rain",J344=4,"Heavy Rain/Thunderstorm")</f>
        <v>Mist/Cloudy</v>
      </c>
      <c r="L344" s="10">
        <v>0.3</v>
      </c>
      <c r="M344" s="42" t="str" cm="1">
        <f t="array" ref="M344">_xlfn.IFS(L344&lt;0.15,"Cold",L344&lt;0.25,"Mild",L344&lt;=0.32,"Warm",L344&gt;=0.33,"Hot")</f>
        <v>Warm</v>
      </c>
    </row>
    <row r="345" spans="1:13" x14ac:dyDescent="0.3">
      <c r="A345" s="6">
        <v>344</v>
      </c>
      <c r="B345" s="7">
        <v>40558</v>
      </c>
      <c r="C345" s="8">
        <v>1</v>
      </c>
      <c r="D345" s="8">
        <v>0</v>
      </c>
      <c r="E345" s="8">
        <v>1</v>
      </c>
      <c r="F345" s="8">
        <v>19</v>
      </c>
      <c r="G345" s="8" t="str" cm="1">
        <f t="array" ref="G345">_xlfn.IFS(F345&lt;4,"Night",F345&lt;=6,"Early Morning",F345&lt;11,"Morning",F345&lt;12,"Afternoon",F345&lt;=16,"Afternoon",F345&lt;=20,"Evening",F345&gt;=21,"Night")</f>
        <v>Evening</v>
      </c>
      <c r="H345" s="8" t="b">
        <v>0</v>
      </c>
      <c r="I345" s="8">
        <v>6</v>
      </c>
      <c r="J345" s="8">
        <v>2</v>
      </c>
      <c r="K345" s="9" t="str" cm="1">
        <f t="array" ref="K345">_xlfn.IFS(J345=1,"Clear",J345=2,"Mist/Cloudy",J345=3,"Rain",J345=4,"Heavy Rain/Thunderstorm")</f>
        <v>Mist/Cloudy</v>
      </c>
      <c r="L345" s="10">
        <v>0.32</v>
      </c>
      <c r="M345" s="42" t="str" cm="1">
        <f t="array" ref="M345">_xlfn.IFS(L345&lt;0.15,"Cold",L345&lt;0.25,"Mild",L345&lt;=0.32,"Warm",L345&gt;=0.33,"Hot")</f>
        <v>Warm</v>
      </c>
    </row>
    <row r="346" spans="1:13" x14ac:dyDescent="0.3">
      <c r="A346" s="6">
        <v>345</v>
      </c>
      <c r="B346" s="7">
        <v>40558</v>
      </c>
      <c r="C346" s="8">
        <v>1</v>
      </c>
      <c r="D346" s="8">
        <v>0</v>
      </c>
      <c r="E346" s="8">
        <v>1</v>
      </c>
      <c r="F346" s="8">
        <v>20</v>
      </c>
      <c r="G346" s="8" t="str" cm="1">
        <f t="array" ref="G346">_xlfn.IFS(F346&lt;4,"Night",F346&lt;=6,"Early Morning",F346&lt;11,"Morning",F346&lt;12,"Afternoon",F346&lt;=16,"Afternoon",F346&lt;=20,"Evening",F346&gt;=21,"Night")</f>
        <v>Evening</v>
      </c>
      <c r="H346" s="8" t="b">
        <v>0</v>
      </c>
      <c r="I346" s="8">
        <v>6</v>
      </c>
      <c r="J346" s="8">
        <v>2</v>
      </c>
      <c r="K346" s="9" t="str" cm="1">
        <f t="array" ref="K346">_xlfn.IFS(J346=1,"Clear",J346=2,"Mist/Cloudy",J346=3,"Rain",J346=4,"Heavy Rain/Thunderstorm")</f>
        <v>Mist/Cloudy</v>
      </c>
      <c r="L346" s="10">
        <v>0.32</v>
      </c>
      <c r="M346" s="42" t="str" cm="1">
        <f t="array" ref="M346">_xlfn.IFS(L346&lt;0.15,"Cold",L346&lt;0.25,"Mild",L346&lt;=0.32,"Warm",L346&gt;=0.33,"Hot")</f>
        <v>Warm</v>
      </c>
    </row>
    <row r="347" spans="1:13" x14ac:dyDescent="0.3">
      <c r="A347" s="6">
        <v>346</v>
      </c>
      <c r="B347" s="7">
        <v>40558</v>
      </c>
      <c r="C347" s="8">
        <v>1</v>
      </c>
      <c r="D347" s="8">
        <v>0</v>
      </c>
      <c r="E347" s="8">
        <v>1</v>
      </c>
      <c r="F347" s="8">
        <v>21</v>
      </c>
      <c r="G347" s="8" t="str" cm="1">
        <f t="array" ref="G347">_xlfn.IFS(F347&lt;4,"Night",F347&lt;=6,"Early Morning",F347&lt;11,"Morning",F347&lt;12,"Afternoon",F347&lt;=16,"Afternoon",F347&lt;=20,"Evening",F347&gt;=21,"Night")</f>
        <v>Night</v>
      </c>
      <c r="H347" s="8" t="b">
        <v>0</v>
      </c>
      <c r="I347" s="8">
        <v>6</v>
      </c>
      <c r="J347" s="8">
        <v>2</v>
      </c>
      <c r="K347" s="9" t="str" cm="1">
        <f t="array" ref="K347">_xlfn.IFS(J347=1,"Clear",J347=2,"Mist/Cloudy",J347=3,"Rain",J347=4,"Heavy Rain/Thunderstorm")</f>
        <v>Mist/Cloudy</v>
      </c>
      <c r="L347" s="10">
        <v>0.32</v>
      </c>
      <c r="M347" s="42" t="str" cm="1">
        <f t="array" ref="M347">_xlfn.IFS(L347&lt;0.15,"Cold",L347&lt;0.25,"Mild",L347&lt;=0.32,"Warm",L347&gt;=0.33,"Hot")</f>
        <v>Warm</v>
      </c>
    </row>
    <row r="348" spans="1:13" x14ac:dyDescent="0.3">
      <c r="A348" s="6">
        <v>347</v>
      </c>
      <c r="B348" s="7">
        <v>40558</v>
      </c>
      <c r="C348" s="8">
        <v>1</v>
      </c>
      <c r="D348" s="8">
        <v>0</v>
      </c>
      <c r="E348" s="8">
        <v>1</v>
      </c>
      <c r="F348" s="8">
        <v>22</v>
      </c>
      <c r="G348" s="8" t="str" cm="1">
        <f t="array" ref="G348">_xlfn.IFS(F348&lt;4,"Night",F348&lt;=6,"Early Morning",F348&lt;11,"Morning",F348&lt;12,"Afternoon",F348&lt;=16,"Afternoon",F348&lt;=20,"Evening",F348&gt;=21,"Night")</f>
        <v>Night</v>
      </c>
      <c r="H348" s="8" t="b">
        <v>0</v>
      </c>
      <c r="I348" s="8">
        <v>6</v>
      </c>
      <c r="J348" s="8">
        <v>2</v>
      </c>
      <c r="K348" s="9" t="str" cm="1">
        <f t="array" ref="K348">_xlfn.IFS(J348=1,"Clear",J348=2,"Mist/Cloudy",J348=3,"Rain",J348=4,"Heavy Rain/Thunderstorm")</f>
        <v>Mist/Cloudy</v>
      </c>
      <c r="L348" s="10">
        <v>0.3</v>
      </c>
      <c r="M348" s="42" t="str" cm="1">
        <f t="array" ref="M348">_xlfn.IFS(L348&lt;0.15,"Cold",L348&lt;0.25,"Mild",L348&lt;=0.32,"Warm",L348&gt;=0.33,"Hot")</f>
        <v>Warm</v>
      </c>
    </row>
    <row r="349" spans="1:13" x14ac:dyDescent="0.3">
      <c r="A349" s="6">
        <v>348</v>
      </c>
      <c r="B349" s="7">
        <v>40558</v>
      </c>
      <c r="C349" s="8">
        <v>1</v>
      </c>
      <c r="D349" s="8">
        <v>0</v>
      </c>
      <c r="E349" s="8">
        <v>1</v>
      </c>
      <c r="F349" s="8">
        <v>23</v>
      </c>
      <c r="G349" s="8" t="str" cm="1">
        <f t="array" ref="G349">_xlfn.IFS(F349&lt;4,"Night",F349&lt;=6,"Early Morning",F349&lt;11,"Morning",F349&lt;12,"Afternoon",F349&lt;=16,"Afternoon",F349&lt;=20,"Evening",F349&gt;=21,"Night")</f>
        <v>Night</v>
      </c>
      <c r="H349" s="8" t="b">
        <v>0</v>
      </c>
      <c r="I349" s="8">
        <v>6</v>
      </c>
      <c r="J349" s="8">
        <v>1</v>
      </c>
      <c r="K349" s="9" t="str" cm="1">
        <f t="array" ref="K349">_xlfn.IFS(J349=1,"Clear",J349=2,"Mist/Cloudy",J349=3,"Rain",J349=4,"Heavy Rain/Thunderstorm")</f>
        <v>Clear</v>
      </c>
      <c r="L349" s="10">
        <v>0.3</v>
      </c>
      <c r="M349" s="42" t="str" cm="1">
        <f t="array" ref="M349">_xlfn.IFS(L349&lt;0.15,"Cold",L349&lt;0.25,"Mild",L349&lt;=0.32,"Warm",L349&gt;=0.33,"Hot")</f>
        <v>Warm</v>
      </c>
    </row>
    <row r="350" spans="1:13" x14ac:dyDescent="0.3">
      <c r="A350" s="6">
        <v>349</v>
      </c>
      <c r="B350" s="7">
        <v>40559</v>
      </c>
      <c r="C350" s="8">
        <v>1</v>
      </c>
      <c r="D350" s="8">
        <v>0</v>
      </c>
      <c r="E350" s="8">
        <v>1</v>
      </c>
      <c r="F350" s="8">
        <v>0</v>
      </c>
      <c r="G350" s="8" t="str" cm="1">
        <f t="array" ref="G350">_xlfn.IFS(F350&lt;4,"Night",F350&lt;=6,"Early Morning",F350&lt;11,"Morning",F350&lt;12,"Afternoon",F350&lt;=16,"Afternoon",F350&lt;=20,"Evening",F350&gt;=21,"Night")</f>
        <v>Night</v>
      </c>
      <c r="H350" s="8" t="b">
        <v>0</v>
      </c>
      <c r="I350" s="8">
        <v>0</v>
      </c>
      <c r="J350" s="8">
        <v>1</v>
      </c>
      <c r="K350" s="9" t="str" cm="1">
        <f t="array" ref="K350">_xlfn.IFS(J350=1,"Clear",J350=2,"Mist/Cloudy",J350=3,"Rain",J350=4,"Heavy Rain/Thunderstorm")</f>
        <v>Clear</v>
      </c>
      <c r="L350" s="10">
        <v>0.26</v>
      </c>
      <c r="M350" s="42" t="str" cm="1">
        <f t="array" ref="M350">_xlfn.IFS(L350&lt;0.15,"Cold",L350&lt;0.25,"Mild",L350&lt;=0.32,"Warm",L350&gt;=0.33,"Hot")</f>
        <v>Warm</v>
      </c>
    </row>
    <row r="351" spans="1:13" x14ac:dyDescent="0.3">
      <c r="A351" s="6">
        <v>350</v>
      </c>
      <c r="B351" s="7">
        <v>40559</v>
      </c>
      <c r="C351" s="8">
        <v>1</v>
      </c>
      <c r="D351" s="8">
        <v>0</v>
      </c>
      <c r="E351" s="8">
        <v>1</v>
      </c>
      <c r="F351" s="8">
        <v>1</v>
      </c>
      <c r="G351" s="8" t="str" cm="1">
        <f t="array" ref="G351">_xlfn.IFS(F351&lt;4,"Night",F351&lt;=6,"Early Morning",F351&lt;11,"Morning",F351&lt;12,"Afternoon",F351&lt;=16,"Afternoon",F351&lt;=20,"Evening",F351&gt;=21,"Night")</f>
        <v>Night</v>
      </c>
      <c r="H351" s="8" t="b">
        <v>0</v>
      </c>
      <c r="I351" s="8">
        <v>0</v>
      </c>
      <c r="J351" s="8">
        <v>1</v>
      </c>
      <c r="K351" s="9" t="str" cm="1">
        <f t="array" ref="K351">_xlfn.IFS(J351=1,"Clear",J351=2,"Mist/Cloudy",J351=3,"Rain",J351=4,"Heavy Rain/Thunderstorm")</f>
        <v>Clear</v>
      </c>
      <c r="L351" s="10">
        <v>0.26</v>
      </c>
      <c r="M351" s="42" t="str" cm="1">
        <f t="array" ref="M351">_xlfn.IFS(L351&lt;0.15,"Cold",L351&lt;0.25,"Mild",L351&lt;=0.32,"Warm",L351&gt;=0.33,"Hot")</f>
        <v>Warm</v>
      </c>
    </row>
    <row r="352" spans="1:13" x14ac:dyDescent="0.3">
      <c r="A352" s="6">
        <v>351</v>
      </c>
      <c r="B352" s="7">
        <v>40559</v>
      </c>
      <c r="C352" s="8">
        <v>1</v>
      </c>
      <c r="D352" s="8">
        <v>0</v>
      </c>
      <c r="E352" s="8">
        <v>1</v>
      </c>
      <c r="F352" s="8">
        <v>2</v>
      </c>
      <c r="G352" s="8" t="str" cm="1">
        <f t="array" ref="G352">_xlfn.IFS(F352&lt;4,"Night",F352&lt;=6,"Early Morning",F352&lt;11,"Morning",F352&lt;12,"Afternoon",F352&lt;=16,"Afternoon",F352&lt;=20,"Evening",F352&gt;=21,"Night")</f>
        <v>Night</v>
      </c>
      <c r="H352" s="8" t="b">
        <v>0</v>
      </c>
      <c r="I352" s="8">
        <v>0</v>
      </c>
      <c r="J352" s="8">
        <v>1</v>
      </c>
      <c r="K352" s="9" t="str" cm="1">
        <f t="array" ref="K352">_xlfn.IFS(J352=1,"Clear",J352=2,"Mist/Cloudy",J352=3,"Rain",J352=4,"Heavy Rain/Thunderstorm")</f>
        <v>Clear</v>
      </c>
      <c r="L352" s="10">
        <v>0.26</v>
      </c>
      <c r="M352" s="42" t="str" cm="1">
        <f t="array" ref="M352">_xlfn.IFS(L352&lt;0.15,"Cold",L352&lt;0.25,"Mild",L352&lt;=0.32,"Warm",L352&gt;=0.33,"Hot")</f>
        <v>Warm</v>
      </c>
    </row>
    <row r="353" spans="1:13" x14ac:dyDescent="0.3">
      <c r="A353" s="6">
        <v>352</v>
      </c>
      <c r="B353" s="7">
        <v>40559</v>
      </c>
      <c r="C353" s="8">
        <v>1</v>
      </c>
      <c r="D353" s="8">
        <v>0</v>
      </c>
      <c r="E353" s="8">
        <v>1</v>
      </c>
      <c r="F353" s="8">
        <v>3</v>
      </c>
      <c r="G353" s="8" t="str" cm="1">
        <f t="array" ref="G353">_xlfn.IFS(F353&lt;4,"Night",F353&lt;=6,"Early Morning",F353&lt;11,"Morning",F353&lt;12,"Afternoon",F353&lt;=16,"Afternoon",F353&lt;=20,"Evening",F353&gt;=21,"Night")</f>
        <v>Night</v>
      </c>
      <c r="H353" s="8" t="b">
        <v>0</v>
      </c>
      <c r="I353" s="8">
        <v>0</v>
      </c>
      <c r="J353" s="8">
        <v>1</v>
      </c>
      <c r="K353" s="9" t="str" cm="1">
        <f t="array" ref="K353">_xlfn.IFS(J353=1,"Clear",J353=2,"Mist/Cloudy",J353=3,"Rain",J353=4,"Heavy Rain/Thunderstorm")</f>
        <v>Clear</v>
      </c>
      <c r="L353" s="10">
        <v>0.22</v>
      </c>
      <c r="M353" s="42" t="str" cm="1">
        <f t="array" ref="M353">_xlfn.IFS(L353&lt;0.15,"Cold",L353&lt;0.25,"Mild",L353&lt;=0.32,"Warm",L353&gt;=0.33,"Hot")</f>
        <v>Mild</v>
      </c>
    </row>
    <row r="354" spans="1:13" x14ac:dyDescent="0.3">
      <c r="A354" s="6">
        <v>353</v>
      </c>
      <c r="B354" s="7">
        <v>40559</v>
      </c>
      <c r="C354" s="8">
        <v>1</v>
      </c>
      <c r="D354" s="8">
        <v>0</v>
      </c>
      <c r="E354" s="8">
        <v>1</v>
      </c>
      <c r="F354" s="8">
        <v>4</v>
      </c>
      <c r="G354" s="8" t="str" cm="1">
        <f t="array" ref="G354">_xlfn.IFS(F354&lt;4,"Night",F354&lt;=6,"Early Morning",F354&lt;11,"Morning",F354&lt;12,"Afternoon",F354&lt;=16,"Afternoon",F354&lt;=20,"Evening",F354&gt;=21,"Night")</f>
        <v>Early Morning</v>
      </c>
      <c r="H354" s="8" t="b">
        <v>0</v>
      </c>
      <c r="I354" s="8">
        <v>0</v>
      </c>
      <c r="J354" s="8">
        <v>1</v>
      </c>
      <c r="K354" s="9" t="str" cm="1">
        <f t="array" ref="K354">_xlfn.IFS(J354=1,"Clear",J354=2,"Mist/Cloudy",J354=3,"Rain",J354=4,"Heavy Rain/Thunderstorm")</f>
        <v>Clear</v>
      </c>
      <c r="L354" s="10">
        <v>0.26</v>
      </c>
      <c r="M354" s="42" t="str" cm="1">
        <f t="array" ref="M354">_xlfn.IFS(L354&lt;0.15,"Cold",L354&lt;0.25,"Mild",L354&lt;=0.32,"Warm",L354&gt;=0.33,"Hot")</f>
        <v>Warm</v>
      </c>
    </row>
    <row r="355" spans="1:13" x14ac:dyDescent="0.3">
      <c r="A355" s="6">
        <v>354</v>
      </c>
      <c r="B355" s="7">
        <v>40559</v>
      </c>
      <c r="C355" s="8">
        <v>1</v>
      </c>
      <c r="D355" s="8">
        <v>0</v>
      </c>
      <c r="E355" s="8">
        <v>1</v>
      </c>
      <c r="F355" s="8">
        <v>5</v>
      </c>
      <c r="G355" s="8" t="str" cm="1">
        <f t="array" ref="G355">_xlfn.IFS(F355&lt;4,"Night",F355&lt;=6,"Early Morning",F355&lt;11,"Morning",F355&lt;12,"Afternoon",F355&lt;=16,"Afternoon",F355&lt;=20,"Evening",F355&gt;=21,"Night")</f>
        <v>Early Morning</v>
      </c>
      <c r="H355" s="8" t="b">
        <v>0</v>
      </c>
      <c r="I355" s="8">
        <v>0</v>
      </c>
      <c r="J355" s="8">
        <v>2</v>
      </c>
      <c r="K355" s="9" t="str" cm="1">
        <f t="array" ref="K355">_xlfn.IFS(J355=1,"Clear",J355=2,"Mist/Cloudy",J355=3,"Rain",J355=4,"Heavy Rain/Thunderstorm")</f>
        <v>Mist/Cloudy</v>
      </c>
      <c r="L355" s="10">
        <v>0.26</v>
      </c>
      <c r="M355" s="42" t="str" cm="1">
        <f t="array" ref="M355">_xlfn.IFS(L355&lt;0.15,"Cold",L355&lt;0.25,"Mild",L355&lt;=0.32,"Warm",L355&gt;=0.33,"Hot")</f>
        <v>Warm</v>
      </c>
    </row>
    <row r="356" spans="1:13" x14ac:dyDescent="0.3">
      <c r="A356" s="6">
        <v>355</v>
      </c>
      <c r="B356" s="7">
        <v>40559</v>
      </c>
      <c r="C356" s="8">
        <v>1</v>
      </c>
      <c r="D356" s="8">
        <v>0</v>
      </c>
      <c r="E356" s="8">
        <v>1</v>
      </c>
      <c r="F356" s="8">
        <v>6</v>
      </c>
      <c r="G356" s="8" t="str" cm="1">
        <f t="array" ref="G356">_xlfn.IFS(F356&lt;4,"Night",F356&lt;=6,"Early Morning",F356&lt;11,"Morning",F356&lt;12,"Afternoon",F356&lt;=16,"Afternoon",F356&lt;=20,"Evening",F356&gt;=21,"Night")</f>
        <v>Early Morning</v>
      </c>
      <c r="H356" s="8" t="b">
        <v>0</v>
      </c>
      <c r="I356" s="8">
        <v>0</v>
      </c>
      <c r="J356" s="8">
        <v>2</v>
      </c>
      <c r="K356" s="9" t="str" cm="1">
        <f t="array" ref="K356">_xlfn.IFS(J356=1,"Clear",J356=2,"Mist/Cloudy",J356=3,"Rain",J356=4,"Heavy Rain/Thunderstorm")</f>
        <v>Mist/Cloudy</v>
      </c>
      <c r="L356" s="10">
        <v>0.26</v>
      </c>
      <c r="M356" s="42" t="str" cm="1">
        <f t="array" ref="M356">_xlfn.IFS(L356&lt;0.15,"Cold",L356&lt;0.25,"Mild",L356&lt;=0.32,"Warm",L356&gt;=0.33,"Hot")</f>
        <v>Warm</v>
      </c>
    </row>
    <row r="357" spans="1:13" x14ac:dyDescent="0.3">
      <c r="A357" s="6">
        <v>356</v>
      </c>
      <c r="B357" s="7">
        <v>40559</v>
      </c>
      <c r="C357" s="8">
        <v>1</v>
      </c>
      <c r="D357" s="8">
        <v>0</v>
      </c>
      <c r="E357" s="8">
        <v>1</v>
      </c>
      <c r="F357" s="8">
        <v>7</v>
      </c>
      <c r="G357" s="8" t="str" cm="1">
        <f t="array" ref="G357">_xlfn.IFS(F357&lt;4,"Night",F357&lt;=6,"Early Morning",F357&lt;11,"Morning",F357&lt;12,"Afternoon",F357&lt;=16,"Afternoon",F357&lt;=20,"Evening",F357&gt;=21,"Night")</f>
        <v>Morning</v>
      </c>
      <c r="H357" s="8" t="b">
        <v>0</v>
      </c>
      <c r="I357" s="8">
        <v>0</v>
      </c>
      <c r="J357" s="8">
        <v>2</v>
      </c>
      <c r="K357" s="9" t="str" cm="1">
        <f t="array" ref="K357">_xlfn.IFS(J357=1,"Clear",J357=2,"Mist/Cloudy",J357=3,"Rain",J357=4,"Heavy Rain/Thunderstorm")</f>
        <v>Mist/Cloudy</v>
      </c>
      <c r="L357" s="10">
        <v>0.24</v>
      </c>
      <c r="M357" s="42" t="str" cm="1">
        <f t="array" ref="M357">_xlfn.IFS(L357&lt;0.15,"Cold",L357&lt;0.25,"Mild",L357&lt;=0.32,"Warm",L357&gt;=0.33,"Hot")</f>
        <v>Mild</v>
      </c>
    </row>
    <row r="358" spans="1:13" x14ac:dyDescent="0.3">
      <c r="A358" s="6">
        <v>357</v>
      </c>
      <c r="B358" s="7">
        <v>40559</v>
      </c>
      <c r="C358" s="8">
        <v>1</v>
      </c>
      <c r="D358" s="8">
        <v>0</v>
      </c>
      <c r="E358" s="8">
        <v>1</v>
      </c>
      <c r="F358" s="8">
        <v>8</v>
      </c>
      <c r="G358" s="8" t="str" cm="1">
        <f t="array" ref="G358">_xlfn.IFS(F358&lt;4,"Night",F358&lt;=6,"Early Morning",F358&lt;11,"Morning",F358&lt;12,"Afternoon",F358&lt;=16,"Afternoon",F358&lt;=20,"Evening",F358&gt;=21,"Night")</f>
        <v>Morning</v>
      </c>
      <c r="H358" s="8" t="b">
        <v>0</v>
      </c>
      <c r="I358" s="8">
        <v>0</v>
      </c>
      <c r="J358" s="8">
        <v>1</v>
      </c>
      <c r="K358" s="9" t="str" cm="1">
        <f t="array" ref="K358">_xlfn.IFS(J358=1,"Clear",J358=2,"Mist/Cloudy",J358=3,"Rain",J358=4,"Heavy Rain/Thunderstorm")</f>
        <v>Clear</v>
      </c>
      <c r="L358" s="10">
        <v>0.22</v>
      </c>
      <c r="M358" s="42" t="str" cm="1">
        <f t="array" ref="M358">_xlfn.IFS(L358&lt;0.15,"Cold",L358&lt;0.25,"Mild",L358&lt;=0.32,"Warm",L358&gt;=0.33,"Hot")</f>
        <v>Mild</v>
      </c>
    </row>
    <row r="359" spans="1:13" x14ac:dyDescent="0.3">
      <c r="A359" s="6">
        <v>358</v>
      </c>
      <c r="B359" s="7">
        <v>40559</v>
      </c>
      <c r="C359" s="8">
        <v>1</v>
      </c>
      <c r="D359" s="8">
        <v>0</v>
      </c>
      <c r="E359" s="8">
        <v>1</v>
      </c>
      <c r="F359" s="8">
        <v>9</v>
      </c>
      <c r="G359" s="8" t="str" cm="1">
        <f t="array" ref="G359">_xlfn.IFS(F359&lt;4,"Night",F359&lt;=6,"Early Morning",F359&lt;11,"Morning",F359&lt;12,"Afternoon",F359&lt;=16,"Afternoon",F359&lt;=20,"Evening",F359&gt;=21,"Night")</f>
        <v>Morning</v>
      </c>
      <c r="H359" s="8" t="b">
        <v>0</v>
      </c>
      <c r="I359" s="8">
        <v>0</v>
      </c>
      <c r="J359" s="8">
        <v>1</v>
      </c>
      <c r="K359" s="9" t="str" cm="1">
        <f t="array" ref="K359">_xlfn.IFS(J359=1,"Clear",J359=2,"Mist/Cloudy",J359=3,"Rain",J359=4,"Heavy Rain/Thunderstorm")</f>
        <v>Clear</v>
      </c>
      <c r="L359" s="10">
        <v>0.22</v>
      </c>
      <c r="M359" s="42" t="str" cm="1">
        <f t="array" ref="M359">_xlfn.IFS(L359&lt;0.15,"Cold",L359&lt;0.25,"Mild",L359&lt;=0.32,"Warm",L359&gt;=0.33,"Hot")</f>
        <v>Mild</v>
      </c>
    </row>
    <row r="360" spans="1:13" x14ac:dyDescent="0.3">
      <c r="A360" s="6">
        <v>359</v>
      </c>
      <c r="B360" s="7">
        <v>40559</v>
      </c>
      <c r="C360" s="8">
        <v>1</v>
      </c>
      <c r="D360" s="8">
        <v>0</v>
      </c>
      <c r="E360" s="8">
        <v>1</v>
      </c>
      <c r="F360" s="8">
        <v>10</v>
      </c>
      <c r="G360" s="8" t="str" cm="1">
        <f t="array" ref="G360">_xlfn.IFS(F360&lt;4,"Night",F360&lt;=6,"Early Morning",F360&lt;11,"Morning",F360&lt;12,"Afternoon",F360&lt;=16,"Afternoon",F360&lt;=20,"Evening",F360&gt;=21,"Night")</f>
        <v>Morning</v>
      </c>
      <c r="H360" s="8" t="b">
        <v>0</v>
      </c>
      <c r="I360" s="8">
        <v>0</v>
      </c>
      <c r="J360" s="8">
        <v>1</v>
      </c>
      <c r="K360" s="9" t="str" cm="1">
        <f t="array" ref="K360">_xlfn.IFS(J360=1,"Clear",J360=2,"Mist/Cloudy",J360=3,"Rain",J360=4,"Heavy Rain/Thunderstorm")</f>
        <v>Clear</v>
      </c>
      <c r="L360" s="10">
        <v>0.22</v>
      </c>
      <c r="M360" s="42" t="str" cm="1">
        <f t="array" ref="M360">_xlfn.IFS(L360&lt;0.15,"Cold",L360&lt;0.25,"Mild",L360&lt;=0.32,"Warm",L360&gt;=0.33,"Hot")</f>
        <v>Mild</v>
      </c>
    </row>
    <row r="361" spans="1:13" x14ac:dyDescent="0.3">
      <c r="A361" s="6">
        <v>360</v>
      </c>
      <c r="B361" s="7">
        <v>40559</v>
      </c>
      <c r="C361" s="8">
        <v>1</v>
      </c>
      <c r="D361" s="8">
        <v>0</v>
      </c>
      <c r="E361" s="8">
        <v>1</v>
      </c>
      <c r="F361" s="8">
        <v>11</v>
      </c>
      <c r="G361" s="8" t="str" cm="1">
        <f t="array" ref="G361">_xlfn.IFS(F361&lt;4,"Night",F361&lt;=6,"Early Morning",F361&lt;11,"Morning",F361&lt;12,"Afternoon",F361&lt;=16,"Afternoon",F361&lt;=20,"Evening",F361&gt;=21,"Night")</f>
        <v>Afternoon</v>
      </c>
      <c r="H361" s="8" t="b">
        <v>0</v>
      </c>
      <c r="I361" s="8">
        <v>0</v>
      </c>
      <c r="J361" s="8">
        <v>1</v>
      </c>
      <c r="K361" s="9" t="str" cm="1">
        <f t="array" ref="K361">_xlfn.IFS(J361=1,"Clear",J361=2,"Mist/Cloudy",J361=3,"Rain",J361=4,"Heavy Rain/Thunderstorm")</f>
        <v>Clear</v>
      </c>
      <c r="L361" s="10">
        <v>0.24</v>
      </c>
      <c r="M361" s="42" t="str" cm="1">
        <f t="array" ref="M361">_xlfn.IFS(L361&lt;0.15,"Cold",L361&lt;0.25,"Mild",L361&lt;=0.32,"Warm",L361&gt;=0.33,"Hot")</f>
        <v>Mild</v>
      </c>
    </row>
    <row r="362" spans="1:13" x14ac:dyDescent="0.3">
      <c r="A362" s="6">
        <v>361</v>
      </c>
      <c r="B362" s="7">
        <v>40559</v>
      </c>
      <c r="C362" s="8">
        <v>1</v>
      </c>
      <c r="D362" s="8">
        <v>0</v>
      </c>
      <c r="E362" s="8">
        <v>1</v>
      </c>
      <c r="F362" s="8">
        <v>12</v>
      </c>
      <c r="G362" s="8" t="str" cm="1">
        <f t="array" ref="G362">_xlfn.IFS(F362&lt;4,"Night",F362&lt;=6,"Early Morning",F362&lt;11,"Morning",F362&lt;12,"Afternoon",F362&lt;=16,"Afternoon",F362&lt;=20,"Evening",F362&gt;=21,"Night")</f>
        <v>Afternoon</v>
      </c>
      <c r="H362" s="8" t="b">
        <v>0</v>
      </c>
      <c r="I362" s="8">
        <v>0</v>
      </c>
      <c r="J362" s="8">
        <v>1</v>
      </c>
      <c r="K362" s="9" t="str" cm="1">
        <f t="array" ref="K362">_xlfn.IFS(J362=1,"Clear",J362=2,"Mist/Cloudy",J362=3,"Rain",J362=4,"Heavy Rain/Thunderstorm")</f>
        <v>Clear</v>
      </c>
      <c r="L362" s="10">
        <v>0.24</v>
      </c>
      <c r="M362" s="42" t="str" cm="1">
        <f t="array" ref="M362">_xlfn.IFS(L362&lt;0.15,"Cold",L362&lt;0.25,"Mild",L362&lt;=0.32,"Warm",L362&gt;=0.33,"Hot")</f>
        <v>Mild</v>
      </c>
    </row>
    <row r="363" spans="1:13" x14ac:dyDescent="0.3">
      <c r="A363" s="6">
        <v>362</v>
      </c>
      <c r="B363" s="7">
        <v>40559</v>
      </c>
      <c r="C363" s="8">
        <v>1</v>
      </c>
      <c r="D363" s="8">
        <v>0</v>
      </c>
      <c r="E363" s="8">
        <v>1</v>
      </c>
      <c r="F363" s="8">
        <v>13</v>
      </c>
      <c r="G363" s="8" t="str" cm="1">
        <f t="array" ref="G363">_xlfn.IFS(F363&lt;4,"Night",F363&lt;=6,"Early Morning",F363&lt;11,"Morning",F363&lt;12,"Afternoon",F363&lt;=16,"Afternoon",F363&lt;=20,"Evening",F363&gt;=21,"Night")</f>
        <v>Afternoon</v>
      </c>
      <c r="H363" s="8" t="b">
        <v>0</v>
      </c>
      <c r="I363" s="8">
        <v>0</v>
      </c>
      <c r="J363" s="8">
        <v>1</v>
      </c>
      <c r="K363" s="9" t="str" cm="1">
        <f t="array" ref="K363">_xlfn.IFS(J363=1,"Clear",J363=2,"Mist/Cloudy",J363=3,"Rain",J363=4,"Heavy Rain/Thunderstorm")</f>
        <v>Clear</v>
      </c>
      <c r="L363" s="10">
        <v>0.26</v>
      </c>
      <c r="M363" s="42" t="str" cm="1">
        <f t="array" ref="M363">_xlfn.IFS(L363&lt;0.15,"Cold",L363&lt;0.25,"Mild",L363&lt;=0.32,"Warm",L363&gt;=0.33,"Hot")</f>
        <v>Warm</v>
      </c>
    </row>
    <row r="364" spans="1:13" x14ac:dyDescent="0.3">
      <c r="A364" s="6">
        <v>363</v>
      </c>
      <c r="B364" s="7">
        <v>40559</v>
      </c>
      <c r="C364" s="8">
        <v>1</v>
      </c>
      <c r="D364" s="8">
        <v>0</v>
      </c>
      <c r="E364" s="8">
        <v>1</v>
      </c>
      <c r="F364" s="8">
        <v>14</v>
      </c>
      <c r="G364" s="8" t="str" cm="1">
        <f t="array" ref="G364">_xlfn.IFS(F364&lt;4,"Night",F364&lt;=6,"Early Morning",F364&lt;11,"Morning",F364&lt;12,"Afternoon",F364&lt;=16,"Afternoon",F364&lt;=20,"Evening",F364&gt;=21,"Night")</f>
        <v>Afternoon</v>
      </c>
      <c r="H364" s="8" t="b">
        <v>0</v>
      </c>
      <c r="I364" s="8">
        <v>0</v>
      </c>
      <c r="J364" s="8">
        <v>1</v>
      </c>
      <c r="K364" s="9" t="str" cm="1">
        <f t="array" ref="K364">_xlfn.IFS(J364=1,"Clear",J364=2,"Mist/Cloudy",J364=3,"Rain",J364=4,"Heavy Rain/Thunderstorm")</f>
        <v>Clear</v>
      </c>
      <c r="L364" s="10">
        <v>0.28000000000000003</v>
      </c>
      <c r="M364" s="42" t="str" cm="1">
        <f t="array" ref="M364">_xlfn.IFS(L364&lt;0.15,"Cold",L364&lt;0.25,"Mild",L364&lt;=0.32,"Warm",L364&gt;=0.33,"Hot")</f>
        <v>Warm</v>
      </c>
    </row>
    <row r="365" spans="1:13" x14ac:dyDescent="0.3">
      <c r="A365" s="6">
        <v>364</v>
      </c>
      <c r="B365" s="7">
        <v>40559</v>
      </c>
      <c r="C365" s="8">
        <v>1</v>
      </c>
      <c r="D365" s="8">
        <v>0</v>
      </c>
      <c r="E365" s="8">
        <v>1</v>
      </c>
      <c r="F365" s="8">
        <v>15</v>
      </c>
      <c r="G365" s="8" t="str" cm="1">
        <f t="array" ref="G365">_xlfn.IFS(F365&lt;4,"Night",F365&lt;=6,"Early Morning",F365&lt;11,"Morning",F365&lt;12,"Afternoon",F365&lt;=16,"Afternoon",F365&lt;=20,"Evening",F365&gt;=21,"Night")</f>
        <v>Afternoon</v>
      </c>
      <c r="H365" s="8" t="b">
        <v>0</v>
      </c>
      <c r="I365" s="8">
        <v>0</v>
      </c>
      <c r="J365" s="8">
        <v>1</v>
      </c>
      <c r="K365" s="9" t="str" cm="1">
        <f t="array" ref="K365">_xlfn.IFS(J365=1,"Clear",J365=2,"Mist/Cloudy",J365=3,"Rain",J365=4,"Heavy Rain/Thunderstorm")</f>
        <v>Clear</v>
      </c>
      <c r="L365" s="10">
        <v>0.26</v>
      </c>
      <c r="M365" s="42" t="str" cm="1">
        <f t="array" ref="M365">_xlfn.IFS(L365&lt;0.15,"Cold",L365&lt;0.25,"Mild",L365&lt;=0.32,"Warm",L365&gt;=0.33,"Hot")</f>
        <v>Warm</v>
      </c>
    </row>
    <row r="366" spans="1:13" x14ac:dyDescent="0.3">
      <c r="A366" s="6">
        <v>365</v>
      </c>
      <c r="B366" s="7">
        <v>40559</v>
      </c>
      <c r="C366" s="8">
        <v>1</v>
      </c>
      <c r="D366" s="8">
        <v>0</v>
      </c>
      <c r="E366" s="8">
        <v>1</v>
      </c>
      <c r="F366" s="8">
        <v>16</v>
      </c>
      <c r="G366" s="8" t="str" cm="1">
        <f t="array" ref="G366">_xlfn.IFS(F366&lt;4,"Night",F366&lt;=6,"Early Morning",F366&lt;11,"Morning",F366&lt;12,"Afternoon",F366&lt;=16,"Afternoon",F366&lt;=20,"Evening",F366&gt;=21,"Night")</f>
        <v>Afternoon</v>
      </c>
      <c r="H366" s="8" t="b">
        <v>0</v>
      </c>
      <c r="I366" s="8">
        <v>0</v>
      </c>
      <c r="J366" s="8">
        <v>1</v>
      </c>
      <c r="K366" s="9" t="str" cm="1">
        <f t="array" ref="K366">_xlfn.IFS(J366=1,"Clear",J366=2,"Mist/Cloudy",J366=3,"Rain",J366=4,"Heavy Rain/Thunderstorm")</f>
        <v>Clear</v>
      </c>
      <c r="L366" s="10">
        <v>0.24</v>
      </c>
      <c r="M366" s="42" t="str" cm="1">
        <f t="array" ref="M366">_xlfn.IFS(L366&lt;0.15,"Cold",L366&lt;0.25,"Mild",L366&lt;=0.32,"Warm",L366&gt;=0.33,"Hot")</f>
        <v>Mild</v>
      </c>
    </row>
    <row r="367" spans="1:13" x14ac:dyDescent="0.3">
      <c r="A367" s="6">
        <v>366</v>
      </c>
      <c r="B367" s="7">
        <v>40559</v>
      </c>
      <c r="C367" s="8">
        <v>1</v>
      </c>
      <c r="D367" s="8">
        <v>0</v>
      </c>
      <c r="E367" s="8">
        <v>1</v>
      </c>
      <c r="F367" s="8">
        <v>17</v>
      </c>
      <c r="G367" s="8" t="str" cm="1">
        <f t="array" ref="G367">_xlfn.IFS(F367&lt;4,"Night",F367&lt;=6,"Early Morning",F367&lt;11,"Morning",F367&lt;12,"Afternoon",F367&lt;=16,"Afternoon",F367&lt;=20,"Evening",F367&gt;=21,"Night")</f>
        <v>Evening</v>
      </c>
      <c r="H367" s="8" t="b">
        <v>0</v>
      </c>
      <c r="I367" s="8">
        <v>0</v>
      </c>
      <c r="J367" s="8">
        <v>1</v>
      </c>
      <c r="K367" s="9" t="str" cm="1">
        <f t="array" ref="K367">_xlfn.IFS(J367=1,"Clear",J367=2,"Mist/Cloudy",J367=3,"Rain",J367=4,"Heavy Rain/Thunderstorm")</f>
        <v>Clear</v>
      </c>
      <c r="L367" s="10">
        <v>0.22</v>
      </c>
      <c r="M367" s="42" t="str" cm="1">
        <f t="array" ref="M367">_xlfn.IFS(L367&lt;0.15,"Cold",L367&lt;0.25,"Mild",L367&lt;=0.32,"Warm",L367&gt;=0.33,"Hot")</f>
        <v>Mild</v>
      </c>
    </row>
    <row r="368" spans="1:13" x14ac:dyDescent="0.3">
      <c r="A368" s="6">
        <v>367</v>
      </c>
      <c r="B368" s="7">
        <v>40559</v>
      </c>
      <c r="C368" s="8">
        <v>1</v>
      </c>
      <c r="D368" s="8">
        <v>0</v>
      </c>
      <c r="E368" s="8">
        <v>1</v>
      </c>
      <c r="F368" s="8">
        <v>18</v>
      </c>
      <c r="G368" s="8" t="str" cm="1">
        <f t="array" ref="G368">_xlfn.IFS(F368&lt;4,"Night",F368&lt;=6,"Early Morning",F368&lt;11,"Morning",F368&lt;12,"Afternoon",F368&lt;=16,"Afternoon",F368&lt;=20,"Evening",F368&gt;=21,"Night")</f>
        <v>Evening</v>
      </c>
      <c r="H368" s="8" t="b">
        <v>0</v>
      </c>
      <c r="I368" s="8">
        <v>0</v>
      </c>
      <c r="J368" s="8">
        <v>1</v>
      </c>
      <c r="K368" s="9" t="str" cm="1">
        <f t="array" ref="K368">_xlfn.IFS(J368=1,"Clear",J368=2,"Mist/Cloudy",J368=3,"Rain",J368=4,"Heavy Rain/Thunderstorm")</f>
        <v>Clear</v>
      </c>
      <c r="L368" s="10">
        <v>0.2</v>
      </c>
      <c r="M368" s="42" t="str" cm="1">
        <f t="array" ref="M368">_xlfn.IFS(L368&lt;0.15,"Cold",L368&lt;0.25,"Mild",L368&lt;=0.32,"Warm",L368&gt;=0.33,"Hot")</f>
        <v>Mild</v>
      </c>
    </row>
    <row r="369" spans="1:13" x14ac:dyDescent="0.3">
      <c r="A369" s="6">
        <v>368</v>
      </c>
      <c r="B369" s="7">
        <v>40559</v>
      </c>
      <c r="C369" s="8">
        <v>1</v>
      </c>
      <c r="D369" s="8">
        <v>0</v>
      </c>
      <c r="E369" s="8">
        <v>1</v>
      </c>
      <c r="F369" s="8">
        <v>19</v>
      </c>
      <c r="G369" s="8" t="str" cm="1">
        <f t="array" ref="G369">_xlfn.IFS(F369&lt;4,"Night",F369&lt;=6,"Early Morning",F369&lt;11,"Morning",F369&lt;12,"Afternoon",F369&lt;=16,"Afternoon",F369&lt;=20,"Evening",F369&gt;=21,"Night")</f>
        <v>Evening</v>
      </c>
      <c r="H369" s="8" t="b">
        <v>0</v>
      </c>
      <c r="I369" s="8">
        <v>0</v>
      </c>
      <c r="J369" s="8">
        <v>1</v>
      </c>
      <c r="K369" s="9" t="str" cm="1">
        <f t="array" ref="K369">_xlfn.IFS(J369=1,"Clear",J369=2,"Mist/Cloudy",J369=3,"Rain",J369=4,"Heavy Rain/Thunderstorm")</f>
        <v>Clear</v>
      </c>
      <c r="L369" s="10">
        <v>0.18</v>
      </c>
      <c r="M369" s="42" t="str" cm="1">
        <f t="array" ref="M369">_xlfn.IFS(L369&lt;0.15,"Cold",L369&lt;0.25,"Mild",L369&lt;=0.32,"Warm",L369&gt;=0.33,"Hot")</f>
        <v>Mild</v>
      </c>
    </row>
    <row r="370" spans="1:13" x14ac:dyDescent="0.3">
      <c r="A370" s="6">
        <v>369</v>
      </c>
      <c r="B370" s="7">
        <v>40559</v>
      </c>
      <c r="C370" s="8">
        <v>1</v>
      </c>
      <c r="D370" s="8">
        <v>0</v>
      </c>
      <c r="E370" s="8">
        <v>1</v>
      </c>
      <c r="F370" s="8">
        <v>20</v>
      </c>
      <c r="G370" s="8" t="str" cm="1">
        <f t="array" ref="G370">_xlfn.IFS(F370&lt;4,"Night",F370&lt;=6,"Early Morning",F370&lt;11,"Morning",F370&lt;12,"Afternoon",F370&lt;=16,"Afternoon",F370&lt;=20,"Evening",F370&gt;=21,"Night")</f>
        <v>Evening</v>
      </c>
      <c r="H370" s="8" t="b">
        <v>0</v>
      </c>
      <c r="I370" s="8">
        <v>0</v>
      </c>
      <c r="J370" s="8">
        <v>1</v>
      </c>
      <c r="K370" s="9" t="str" cm="1">
        <f t="array" ref="K370">_xlfn.IFS(J370=1,"Clear",J370=2,"Mist/Cloudy",J370=3,"Rain",J370=4,"Heavy Rain/Thunderstorm")</f>
        <v>Clear</v>
      </c>
      <c r="L370" s="10">
        <v>0.18</v>
      </c>
      <c r="M370" s="42" t="str" cm="1">
        <f t="array" ref="M370">_xlfn.IFS(L370&lt;0.15,"Cold",L370&lt;0.25,"Mild",L370&lt;=0.32,"Warm",L370&gt;=0.33,"Hot")</f>
        <v>Mild</v>
      </c>
    </row>
    <row r="371" spans="1:13" x14ac:dyDescent="0.3">
      <c r="A371" s="6">
        <v>370</v>
      </c>
      <c r="B371" s="7">
        <v>40559</v>
      </c>
      <c r="C371" s="8">
        <v>1</v>
      </c>
      <c r="D371" s="8">
        <v>0</v>
      </c>
      <c r="E371" s="8">
        <v>1</v>
      </c>
      <c r="F371" s="8">
        <v>21</v>
      </c>
      <c r="G371" s="8" t="str" cm="1">
        <f t="array" ref="G371">_xlfn.IFS(F371&lt;4,"Night",F371&lt;=6,"Early Morning",F371&lt;11,"Morning",F371&lt;12,"Afternoon",F371&lt;=16,"Afternoon",F371&lt;=20,"Evening",F371&gt;=21,"Night")</f>
        <v>Night</v>
      </c>
      <c r="H371" s="8" t="b">
        <v>0</v>
      </c>
      <c r="I371" s="8">
        <v>0</v>
      </c>
      <c r="J371" s="8">
        <v>1</v>
      </c>
      <c r="K371" s="9" t="str" cm="1">
        <f t="array" ref="K371">_xlfn.IFS(J371=1,"Clear",J371=2,"Mist/Cloudy",J371=3,"Rain",J371=4,"Heavy Rain/Thunderstorm")</f>
        <v>Clear</v>
      </c>
      <c r="L371" s="10">
        <v>0.18</v>
      </c>
      <c r="M371" s="42" t="str" cm="1">
        <f t="array" ref="M371">_xlfn.IFS(L371&lt;0.15,"Cold",L371&lt;0.25,"Mild",L371&lt;=0.32,"Warm",L371&gt;=0.33,"Hot")</f>
        <v>Mild</v>
      </c>
    </row>
    <row r="372" spans="1:13" x14ac:dyDescent="0.3">
      <c r="A372" s="6">
        <v>371</v>
      </c>
      <c r="B372" s="7">
        <v>40559</v>
      </c>
      <c r="C372" s="8">
        <v>1</v>
      </c>
      <c r="D372" s="8">
        <v>0</v>
      </c>
      <c r="E372" s="8">
        <v>1</v>
      </c>
      <c r="F372" s="8">
        <v>22</v>
      </c>
      <c r="G372" s="8" t="str" cm="1">
        <f t="array" ref="G372">_xlfn.IFS(F372&lt;4,"Night",F372&lt;=6,"Early Morning",F372&lt;11,"Morning",F372&lt;12,"Afternoon",F372&lt;=16,"Afternoon",F372&lt;=20,"Evening",F372&gt;=21,"Night")</f>
        <v>Night</v>
      </c>
      <c r="H372" s="8" t="b">
        <v>0</v>
      </c>
      <c r="I372" s="8">
        <v>0</v>
      </c>
      <c r="J372" s="8">
        <v>2</v>
      </c>
      <c r="K372" s="9" t="str" cm="1">
        <f t="array" ref="K372">_xlfn.IFS(J372=1,"Clear",J372=2,"Mist/Cloudy",J372=3,"Rain",J372=4,"Heavy Rain/Thunderstorm")</f>
        <v>Mist/Cloudy</v>
      </c>
      <c r="L372" s="10">
        <v>0.2</v>
      </c>
      <c r="M372" s="42" t="str" cm="1">
        <f t="array" ref="M372">_xlfn.IFS(L372&lt;0.15,"Cold",L372&lt;0.25,"Mild",L372&lt;=0.32,"Warm",L372&gt;=0.33,"Hot")</f>
        <v>Mild</v>
      </c>
    </row>
    <row r="373" spans="1:13" x14ac:dyDescent="0.3">
      <c r="A373" s="6">
        <v>372</v>
      </c>
      <c r="B373" s="7">
        <v>40559</v>
      </c>
      <c r="C373" s="8">
        <v>1</v>
      </c>
      <c r="D373" s="8">
        <v>0</v>
      </c>
      <c r="E373" s="8">
        <v>1</v>
      </c>
      <c r="F373" s="8">
        <v>23</v>
      </c>
      <c r="G373" s="8" t="str" cm="1">
        <f t="array" ref="G373">_xlfn.IFS(F373&lt;4,"Night",F373&lt;=6,"Early Morning",F373&lt;11,"Morning",F373&lt;12,"Afternoon",F373&lt;=16,"Afternoon",F373&lt;=20,"Evening",F373&gt;=21,"Night")</f>
        <v>Night</v>
      </c>
      <c r="H373" s="8" t="b">
        <v>0</v>
      </c>
      <c r="I373" s="8">
        <v>0</v>
      </c>
      <c r="J373" s="8">
        <v>2</v>
      </c>
      <c r="K373" s="9" t="str" cm="1">
        <f t="array" ref="K373">_xlfn.IFS(J373=1,"Clear",J373=2,"Mist/Cloudy",J373=3,"Rain",J373=4,"Heavy Rain/Thunderstorm")</f>
        <v>Mist/Cloudy</v>
      </c>
      <c r="L373" s="10">
        <v>0.2</v>
      </c>
      <c r="M373" s="42" t="str" cm="1">
        <f t="array" ref="M373">_xlfn.IFS(L373&lt;0.15,"Cold",L373&lt;0.25,"Mild",L373&lt;=0.32,"Warm",L373&gt;=0.33,"Hot")</f>
        <v>Mild</v>
      </c>
    </row>
    <row r="374" spans="1:13" x14ac:dyDescent="0.3">
      <c r="A374" s="6">
        <v>373</v>
      </c>
      <c r="B374" s="7">
        <v>40560</v>
      </c>
      <c r="C374" s="8">
        <v>1</v>
      </c>
      <c r="D374" s="8">
        <v>0</v>
      </c>
      <c r="E374" s="8">
        <v>1</v>
      </c>
      <c r="F374" s="8">
        <v>0</v>
      </c>
      <c r="G374" s="8" t="str" cm="1">
        <f t="array" ref="G374">_xlfn.IFS(F374&lt;4,"Night",F374&lt;=6,"Early Morning",F374&lt;11,"Morning",F374&lt;12,"Afternoon",F374&lt;=16,"Afternoon",F374&lt;=20,"Evening",F374&gt;=21,"Night")</f>
        <v>Night</v>
      </c>
      <c r="H374" s="8" t="b">
        <v>1</v>
      </c>
      <c r="I374" s="8">
        <v>1</v>
      </c>
      <c r="J374" s="8">
        <v>2</v>
      </c>
      <c r="K374" s="9" t="str" cm="1">
        <f t="array" ref="K374">_xlfn.IFS(J374=1,"Clear",J374=2,"Mist/Cloudy",J374=3,"Rain",J374=4,"Heavy Rain/Thunderstorm")</f>
        <v>Mist/Cloudy</v>
      </c>
      <c r="L374" s="10">
        <v>0.2</v>
      </c>
      <c r="M374" s="42" t="str" cm="1">
        <f t="array" ref="M374">_xlfn.IFS(L374&lt;0.15,"Cold",L374&lt;0.25,"Mild",L374&lt;=0.32,"Warm",L374&gt;=0.33,"Hot")</f>
        <v>Mild</v>
      </c>
    </row>
    <row r="375" spans="1:13" x14ac:dyDescent="0.3">
      <c r="A375" s="6">
        <v>374</v>
      </c>
      <c r="B375" s="7">
        <v>40560</v>
      </c>
      <c r="C375" s="8">
        <v>1</v>
      </c>
      <c r="D375" s="8">
        <v>0</v>
      </c>
      <c r="E375" s="8">
        <v>1</v>
      </c>
      <c r="F375" s="8">
        <v>1</v>
      </c>
      <c r="G375" s="8" t="str" cm="1">
        <f t="array" ref="G375">_xlfn.IFS(F375&lt;4,"Night",F375&lt;=6,"Early Morning",F375&lt;11,"Morning",F375&lt;12,"Afternoon",F375&lt;=16,"Afternoon",F375&lt;=20,"Evening",F375&gt;=21,"Night")</f>
        <v>Night</v>
      </c>
      <c r="H375" s="8" t="b">
        <v>1</v>
      </c>
      <c r="I375" s="8">
        <v>1</v>
      </c>
      <c r="J375" s="8">
        <v>2</v>
      </c>
      <c r="K375" s="9" t="str" cm="1">
        <f t="array" ref="K375">_xlfn.IFS(J375=1,"Clear",J375=2,"Mist/Cloudy",J375=3,"Rain",J375=4,"Heavy Rain/Thunderstorm")</f>
        <v>Mist/Cloudy</v>
      </c>
      <c r="L375" s="10">
        <v>0.2</v>
      </c>
      <c r="M375" s="42" t="str" cm="1">
        <f t="array" ref="M375">_xlfn.IFS(L375&lt;0.15,"Cold",L375&lt;0.25,"Mild",L375&lt;=0.32,"Warm",L375&gt;=0.33,"Hot")</f>
        <v>Mild</v>
      </c>
    </row>
    <row r="376" spans="1:13" x14ac:dyDescent="0.3">
      <c r="A376" s="6">
        <v>375</v>
      </c>
      <c r="B376" s="7">
        <v>40560</v>
      </c>
      <c r="C376" s="8">
        <v>1</v>
      </c>
      <c r="D376" s="8">
        <v>0</v>
      </c>
      <c r="E376" s="8">
        <v>1</v>
      </c>
      <c r="F376" s="8">
        <v>2</v>
      </c>
      <c r="G376" s="8" t="str" cm="1">
        <f t="array" ref="G376">_xlfn.IFS(F376&lt;4,"Night",F376&lt;=6,"Early Morning",F376&lt;11,"Morning",F376&lt;12,"Afternoon",F376&lt;=16,"Afternoon",F376&lt;=20,"Evening",F376&gt;=21,"Night")</f>
        <v>Night</v>
      </c>
      <c r="H376" s="8" t="b">
        <v>1</v>
      </c>
      <c r="I376" s="8">
        <v>1</v>
      </c>
      <c r="J376" s="8">
        <v>2</v>
      </c>
      <c r="K376" s="9" t="str" cm="1">
        <f t="array" ref="K376">_xlfn.IFS(J376=1,"Clear",J376=2,"Mist/Cloudy",J376=3,"Rain",J376=4,"Heavy Rain/Thunderstorm")</f>
        <v>Mist/Cloudy</v>
      </c>
      <c r="L376" s="10">
        <v>0.18</v>
      </c>
      <c r="M376" s="42" t="str" cm="1">
        <f t="array" ref="M376">_xlfn.IFS(L376&lt;0.15,"Cold",L376&lt;0.25,"Mild",L376&lt;=0.32,"Warm",L376&gt;=0.33,"Hot")</f>
        <v>Mild</v>
      </c>
    </row>
    <row r="377" spans="1:13" x14ac:dyDescent="0.3">
      <c r="A377" s="6">
        <v>376</v>
      </c>
      <c r="B377" s="7">
        <v>40560</v>
      </c>
      <c r="C377" s="8">
        <v>1</v>
      </c>
      <c r="D377" s="8">
        <v>0</v>
      </c>
      <c r="E377" s="8">
        <v>1</v>
      </c>
      <c r="F377" s="8">
        <v>3</v>
      </c>
      <c r="G377" s="8" t="str" cm="1">
        <f t="array" ref="G377">_xlfn.IFS(F377&lt;4,"Night",F377&lt;=6,"Early Morning",F377&lt;11,"Morning",F377&lt;12,"Afternoon",F377&lt;=16,"Afternoon",F377&lt;=20,"Evening",F377&gt;=21,"Night")</f>
        <v>Night</v>
      </c>
      <c r="H377" s="8" t="b">
        <v>1</v>
      </c>
      <c r="I377" s="8">
        <v>1</v>
      </c>
      <c r="J377" s="8">
        <v>2</v>
      </c>
      <c r="K377" s="9" t="str" cm="1">
        <f t="array" ref="K377">_xlfn.IFS(J377=1,"Clear",J377=2,"Mist/Cloudy",J377=3,"Rain",J377=4,"Heavy Rain/Thunderstorm")</f>
        <v>Mist/Cloudy</v>
      </c>
      <c r="L377" s="10">
        <v>0.18</v>
      </c>
      <c r="M377" s="42" t="str" cm="1">
        <f t="array" ref="M377">_xlfn.IFS(L377&lt;0.15,"Cold",L377&lt;0.25,"Mild",L377&lt;=0.32,"Warm",L377&gt;=0.33,"Hot")</f>
        <v>Mild</v>
      </c>
    </row>
    <row r="378" spans="1:13" x14ac:dyDescent="0.3">
      <c r="A378" s="6">
        <v>377</v>
      </c>
      <c r="B378" s="7">
        <v>40560</v>
      </c>
      <c r="C378" s="8">
        <v>1</v>
      </c>
      <c r="D378" s="8">
        <v>0</v>
      </c>
      <c r="E378" s="8">
        <v>1</v>
      </c>
      <c r="F378" s="8">
        <v>4</v>
      </c>
      <c r="G378" s="8" t="str" cm="1">
        <f t="array" ref="G378">_xlfn.IFS(F378&lt;4,"Night",F378&lt;=6,"Early Morning",F378&lt;11,"Morning",F378&lt;12,"Afternoon",F378&lt;=16,"Afternoon",F378&lt;=20,"Evening",F378&gt;=21,"Night")</f>
        <v>Early Morning</v>
      </c>
      <c r="H378" s="8" t="b">
        <v>1</v>
      </c>
      <c r="I378" s="8">
        <v>1</v>
      </c>
      <c r="J378" s="8">
        <v>2</v>
      </c>
      <c r="K378" s="9" t="str" cm="1">
        <f t="array" ref="K378">_xlfn.IFS(J378=1,"Clear",J378=2,"Mist/Cloudy",J378=3,"Rain",J378=4,"Heavy Rain/Thunderstorm")</f>
        <v>Mist/Cloudy</v>
      </c>
      <c r="L378" s="10">
        <v>0.18</v>
      </c>
      <c r="M378" s="42" t="str" cm="1">
        <f t="array" ref="M378">_xlfn.IFS(L378&lt;0.15,"Cold",L378&lt;0.25,"Mild",L378&lt;=0.32,"Warm",L378&gt;=0.33,"Hot")</f>
        <v>Mild</v>
      </c>
    </row>
    <row r="379" spans="1:13" x14ac:dyDescent="0.3">
      <c r="A379" s="6">
        <v>378</v>
      </c>
      <c r="B379" s="7">
        <v>40560</v>
      </c>
      <c r="C379" s="8">
        <v>1</v>
      </c>
      <c r="D379" s="8">
        <v>0</v>
      </c>
      <c r="E379" s="8">
        <v>1</v>
      </c>
      <c r="F379" s="8">
        <v>5</v>
      </c>
      <c r="G379" s="8" t="str" cm="1">
        <f t="array" ref="G379">_xlfn.IFS(F379&lt;4,"Night",F379&lt;=6,"Early Morning",F379&lt;11,"Morning",F379&lt;12,"Afternoon",F379&lt;=16,"Afternoon",F379&lt;=20,"Evening",F379&gt;=21,"Night")</f>
        <v>Early Morning</v>
      </c>
      <c r="H379" s="8" t="b">
        <v>1</v>
      </c>
      <c r="I379" s="8">
        <v>1</v>
      </c>
      <c r="J379" s="8">
        <v>2</v>
      </c>
      <c r="K379" s="9" t="str" cm="1">
        <f t="array" ref="K379">_xlfn.IFS(J379=1,"Clear",J379=2,"Mist/Cloudy",J379=3,"Rain",J379=4,"Heavy Rain/Thunderstorm")</f>
        <v>Mist/Cloudy</v>
      </c>
      <c r="L379" s="10">
        <v>0.18</v>
      </c>
      <c r="M379" s="42" t="str" cm="1">
        <f t="array" ref="M379">_xlfn.IFS(L379&lt;0.15,"Cold",L379&lt;0.25,"Mild",L379&lt;=0.32,"Warm",L379&gt;=0.33,"Hot")</f>
        <v>Mild</v>
      </c>
    </row>
    <row r="380" spans="1:13" x14ac:dyDescent="0.3">
      <c r="A380" s="6">
        <v>379</v>
      </c>
      <c r="B380" s="7">
        <v>40560</v>
      </c>
      <c r="C380" s="8">
        <v>1</v>
      </c>
      <c r="D380" s="8">
        <v>0</v>
      </c>
      <c r="E380" s="8">
        <v>1</v>
      </c>
      <c r="F380" s="8">
        <v>6</v>
      </c>
      <c r="G380" s="8" t="str" cm="1">
        <f t="array" ref="G380">_xlfn.IFS(F380&lt;4,"Night",F380&lt;=6,"Early Morning",F380&lt;11,"Morning",F380&lt;12,"Afternoon",F380&lt;=16,"Afternoon",F380&lt;=20,"Evening",F380&gt;=21,"Night")</f>
        <v>Early Morning</v>
      </c>
      <c r="H380" s="8" t="b">
        <v>1</v>
      </c>
      <c r="I380" s="8">
        <v>1</v>
      </c>
      <c r="J380" s="8">
        <v>2</v>
      </c>
      <c r="K380" s="9" t="str" cm="1">
        <f t="array" ref="K380">_xlfn.IFS(J380=1,"Clear",J380=2,"Mist/Cloudy",J380=3,"Rain",J380=4,"Heavy Rain/Thunderstorm")</f>
        <v>Mist/Cloudy</v>
      </c>
      <c r="L380" s="10">
        <v>0.18</v>
      </c>
      <c r="M380" s="42" t="str" cm="1">
        <f t="array" ref="M380">_xlfn.IFS(L380&lt;0.15,"Cold",L380&lt;0.25,"Mild",L380&lt;=0.32,"Warm",L380&gt;=0.33,"Hot")</f>
        <v>Mild</v>
      </c>
    </row>
    <row r="381" spans="1:13" x14ac:dyDescent="0.3">
      <c r="A381" s="6">
        <v>380</v>
      </c>
      <c r="B381" s="7">
        <v>40560</v>
      </c>
      <c r="C381" s="8">
        <v>1</v>
      </c>
      <c r="D381" s="8">
        <v>0</v>
      </c>
      <c r="E381" s="8">
        <v>1</v>
      </c>
      <c r="F381" s="8">
        <v>7</v>
      </c>
      <c r="G381" s="8" t="str" cm="1">
        <f t="array" ref="G381">_xlfn.IFS(F381&lt;4,"Night",F381&lt;=6,"Early Morning",F381&lt;11,"Morning",F381&lt;12,"Afternoon",F381&lt;=16,"Afternoon",F381&lt;=20,"Evening",F381&gt;=21,"Night")</f>
        <v>Morning</v>
      </c>
      <c r="H381" s="8" t="b">
        <v>1</v>
      </c>
      <c r="I381" s="8">
        <v>1</v>
      </c>
      <c r="J381" s="8">
        <v>2</v>
      </c>
      <c r="K381" s="9" t="str" cm="1">
        <f t="array" ref="K381">_xlfn.IFS(J381=1,"Clear",J381=2,"Mist/Cloudy",J381=3,"Rain",J381=4,"Heavy Rain/Thunderstorm")</f>
        <v>Mist/Cloudy</v>
      </c>
      <c r="L381" s="10">
        <v>0.16</v>
      </c>
      <c r="M381" s="42" t="str" cm="1">
        <f t="array" ref="M381">_xlfn.IFS(L381&lt;0.15,"Cold",L381&lt;0.25,"Mild",L381&lt;=0.32,"Warm",L381&gt;=0.33,"Hot")</f>
        <v>Mild</v>
      </c>
    </row>
    <row r="382" spans="1:13" x14ac:dyDescent="0.3">
      <c r="A382" s="6">
        <v>381</v>
      </c>
      <c r="B382" s="7">
        <v>40560</v>
      </c>
      <c r="C382" s="8">
        <v>1</v>
      </c>
      <c r="D382" s="8">
        <v>0</v>
      </c>
      <c r="E382" s="8">
        <v>1</v>
      </c>
      <c r="F382" s="8">
        <v>8</v>
      </c>
      <c r="G382" s="8" t="str" cm="1">
        <f t="array" ref="G382">_xlfn.IFS(F382&lt;4,"Night",F382&lt;=6,"Early Morning",F382&lt;11,"Morning",F382&lt;12,"Afternoon",F382&lt;=16,"Afternoon",F382&lt;=20,"Evening",F382&gt;=21,"Night")</f>
        <v>Morning</v>
      </c>
      <c r="H382" s="8" t="b">
        <v>1</v>
      </c>
      <c r="I382" s="8">
        <v>1</v>
      </c>
      <c r="J382" s="8">
        <v>2</v>
      </c>
      <c r="K382" s="9" t="str" cm="1">
        <f t="array" ref="K382">_xlfn.IFS(J382=1,"Clear",J382=2,"Mist/Cloudy",J382=3,"Rain",J382=4,"Heavy Rain/Thunderstorm")</f>
        <v>Mist/Cloudy</v>
      </c>
      <c r="L382" s="10">
        <v>0.16</v>
      </c>
      <c r="M382" s="42" t="str" cm="1">
        <f t="array" ref="M382">_xlfn.IFS(L382&lt;0.15,"Cold",L382&lt;0.25,"Mild",L382&lt;=0.32,"Warm",L382&gt;=0.33,"Hot")</f>
        <v>Mild</v>
      </c>
    </row>
    <row r="383" spans="1:13" x14ac:dyDescent="0.3">
      <c r="A383" s="6">
        <v>382</v>
      </c>
      <c r="B383" s="7">
        <v>40560</v>
      </c>
      <c r="C383" s="8">
        <v>1</v>
      </c>
      <c r="D383" s="8">
        <v>0</v>
      </c>
      <c r="E383" s="8">
        <v>1</v>
      </c>
      <c r="F383" s="8">
        <v>9</v>
      </c>
      <c r="G383" s="8" t="str" cm="1">
        <f t="array" ref="G383">_xlfn.IFS(F383&lt;4,"Night",F383&lt;=6,"Early Morning",F383&lt;11,"Morning",F383&lt;12,"Afternoon",F383&lt;=16,"Afternoon",F383&lt;=20,"Evening",F383&gt;=21,"Night")</f>
        <v>Morning</v>
      </c>
      <c r="H383" s="8" t="b">
        <v>1</v>
      </c>
      <c r="I383" s="8">
        <v>1</v>
      </c>
      <c r="J383" s="8">
        <v>2</v>
      </c>
      <c r="K383" s="9" t="str" cm="1">
        <f t="array" ref="K383">_xlfn.IFS(J383=1,"Clear",J383=2,"Mist/Cloudy",J383=3,"Rain",J383=4,"Heavy Rain/Thunderstorm")</f>
        <v>Mist/Cloudy</v>
      </c>
      <c r="L383" s="10">
        <v>0.16</v>
      </c>
      <c r="M383" s="42" t="str" cm="1">
        <f t="array" ref="M383">_xlfn.IFS(L383&lt;0.15,"Cold",L383&lt;0.25,"Mild",L383&lt;=0.32,"Warm",L383&gt;=0.33,"Hot")</f>
        <v>Mild</v>
      </c>
    </row>
    <row r="384" spans="1:13" x14ac:dyDescent="0.3">
      <c r="A384" s="6">
        <v>383</v>
      </c>
      <c r="B384" s="7">
        <v>40560</v>
      </c>
      <c r="C384" s="8">
        <v>1</v>
      </c>
      <c r="D384" s="8">
        <v>0</v>
      </c>
      <c r="E384" s="8">
        <v>1</v>
      </c>
      <c r="F384" s="8">
        <v>10</v>
      </c>
      <c r="G384" s="8" t="str" cm="1">
        <f t="array" ref="G384">_xlfn.IFS(F384&lt;4,"Night",F384&lt;=6,"Early Morning",F384&lt;11,"Morning",F384&lt;12,"Afternoon",F384&lt;=16,"Afternoon",F384&lt;=20,"Evening",F384&gt;=21,"Night")</f>
        <v>Morning</v>
      </c>
      <c r="H384" s="8" t="b">
        <v>1</v>
      </c>
      <c r="I384" s="8">
        <v>1</v>
      </c>
      <c r="J384" s="8">
        <v>2</v>
      </c>
      <c r="K384" s="9" t="str" cm="1">
        <f t="array" ref="K384">_xlfn.IFS(J384=1,"Clear",J384=2,"Mist/Cloudy",J384=3,"Rain",J384=4,"Heavy Rain/Thunderstorm")</f>
        <v>Mist/Cloudy</v>
      </c>
      <c r="L384" s="10">
        <v>0.16</v>
      </c>
      <c r="M384" s="42" t="str" cm="1">
        <f t="array" ref="M384">_xlfn.IFS(L384&lt;0.15,"Cold",L384&lt;0.25,"Mild",L384&lt;=0.32,"Warm",L384&gt;=0.33,"Hot")</f>
        <v>Mild</v>
      </c>
    </row>
    <row r="385" spans="1:13" x14ac:dyDescent="0.3">
      <c r="A385" s="6">
        <v>384</v>
      </c>
      <c r="B385" s="7">
        <v>40560</v>
      </c>
      <c r="C385" s="8">
        <v>1</v>
      </c>
      <c r="D385" s="8">
        <v>0</v>
      </c>
      <c r="E385" s="8">
        <v>1</v>
      </c>
      <c r="F385" s="8">
        <v>11</v>
      </c>
      <c r="G385" s="8" t="str" cm="1">
        <f t="array" ref="G385">_xlfn.IFS(F385&lt;4,"Night",F385&lt;=6,"Early Morning",F385&lt;11,"Morning",F385&lt;12,"Afternoon",F385&lt;=16,"Afternoon",F385&lt;=20,"Evening",F385&gt;=21,"Night")</f>
        <v>Afternoon</v>
      </c>
      <c r="H385" s="8" t="b">
        <v>1</v>
      </c>
      <c r="I385" s="8">
        <v>1</v>
      </c>
      <c r="J385" s="8">
        <v>2</v>
      </c>
      <c r="K385" s="9" t="str" cm="1">
        <f t="array" ref="K385">_xlfn.IFS(J385=1,"Clear",J385=2,"Mist/Cloudy",J385=3,"Rain",J385=4,"Heavy Rain/Thunderstorm")</f>
        <v>Mist/Cloudy</v>
      </c>
      <c r="L385" s="10">
        <v>0.16</v>
      </c>
      <c r="M385" s="42" t="str" cm="1">
        <f t="array" ref="M385">_xlfn.IFS(L385&lt;0.15,"Cold",L385&lt;0.25,"Mild",L385&lt;=0.32,"Warm",L385&gt;=0.33,"Hot")</f>
        <v>Mild</v>
      </c>
    </row>
    <row r="386" spans="1:13" x14ac:dyDescent="0.3">
      <c r="A386" s="6">
        <v>385</v>
      </c>
      <c r="B386" s="7">
        <v>40560</v>
      </c>
      <c r="C386" s="8">
        <v>1</v>
      </c>
      <c r="D386" s="8">
        <v>0</v>
      </c>
      <c r="E386" s="8">
        <v>1</v>
      </c>
      <c r="F386" s="8">
        <v>12</v>
      </c>
      <c r="G386" s="8" t="str" cm="1">
        <f t="array" ref="G386">_xlfn.IFS(F386&lt;4,"Night",F386&lt;=6,"Early Morning",F386&lt;11,"Morning",F386&lt;12,"Afternoon",F386&lt;=16,"Afternoon",F386&lt;=20,"Evening",F386&gt;=21,"Night")</f>
        <v>Afternoon</v>
      </c>
      <c r="H386" s="8" t="b">
        <v>1</v>
      </c>
      <c r="I386" s="8">
        <v>1</v>
      </c>
      <c r="J386" s="8">
        <v>2</v>
      </c>
      <c r="K386" s="9" t="str" cm="1">
        <f t="array" ref="K386">_xlfn.IFS(J386=1,"Clear",J386=2,"Mist/Cloudy",J386=3,"Rain",J386=4,"Heavy Rain/Thunderstorm")</f>
        <v>Mist/Cloudy</v>
      </c>
      <c r="L386" s="10">
        <v>0.18</v>
      </c>
      <c r="M386" s="42" t="str" cm="1">
        <f t="array" ref="M386">_xlfn.IFS(L386&lt;0.15,"Cold",L386&lt;0.25,"Mild",L386&lt;=0.32,"Warm",L386&gt;=0.33,"Hot")</f>
        <v>Mild</v>
      </c>
    </row>
    <row r="387" spans="1:13" x14ac:dyDescent="0.3">
      <c r="A387" s="6">
        <v>386</v>
      </c>
      <c r="B387" s="7">
        <v>40560</v>
      </c>
      <c r="C387" s="8">
        <v>1</v>
      </c>
      <c r="D387" s="8">
        <v>0</v>
      </c>
      <c r="E387" s="8">
        <v>1</v>
      </c>
      <c r="F387" s="8">
        <v>13</v>
      </c>
      <c r="G387" s="8" t="str" cm="1">
        <f t="array" ref="G387">_xlfn.IFS(F387&lt;4,"Night",F387&lt;=6,"Early Morning",F387&lt;11,"Morning",F387&lt;12,"Afternoon",F387&lt;=16,"Afternoon",F387&lt;=20,"Evening",F387&gt;=21,"Night")</f>
        <v>Afternoon</v>
      </c>
      <c r="H387" s="8" t="b">
        <v>1</v>
      </c>
      <c r="I387" s="8">
        <v>1</v>
      </c>
      <c r="J387" s="8">
        <v>2</v>
      </c>
      <c r="K387" s="9" t="str" cm="1">
        <f t="array" ref="K387">_xlfn.IFS(J387=1,"Clear",J387=2,"Mist/Cloudy",J387=3,"Rain",J387=4,"Heavy Rain/Thunderstorm")</f>
        <v>Mist/Cloudy</v>
      </c>
      <c r="L387" s="10">
        <v>0.18</v>
      </c>
      <c r="M387" s="42" t="str" cm="1">
        <f t="array" ref="M387">_xlfn.IFS(L387&lt;0.15,"Cold",L387&lt;0.25,"Mild",L387&lt;=0.32,"Warm",L387&gt;=0.33,"Hot")</f>
        <v>Mild</v>
      </c>
    </row>
    <row r="388" spans="1:13" x14ac:dyDescent="0.3">
      <c r="A388" s="6">
        <v>387</v>
      </c>
      <c r="B388" s="7">
        <v>40560</v>
      </c>
      <c r="C388" s="8">
        <v>1</v>
      </c>
      <c r="D388" s="8">
        <v>0</v>
      </c>
      <c r="E388" s="8">
        <v>1</v>
      </c>
      <c r="F388" s="8">
        <v>14</v>
      </c>
      <c r="G388" s="8" t="str" cm="1">
        <f t="array" ref="G388">_xlfn.IFS(F388&lt;4,"Night",F388&lt;=6,"Early Morning",F388&lt;11,"Morning",F388&lt;12,"Afternoon",F388&lt;=16,"Afternoon",F388&lt;=20,"Evening",F388&gt;=21,"Night")</f>
        <v>Afternoon</v>
      </c>
      <c r="H388" s="8" t="b">
        <v>1</v>
      </c>
      <c r="I388" s="8">
        <v>1</v>
      </c>
      <c r="J388" s="8">
        <v>2</v>
      </c>
      <c r="K388" s="9" t="str" cm="1">
        <f t="array" ref="K388">_xlfn.IFS(J388=1,"Clear",J388=2,"Mist/Cloudy",J388=3,"Rain",J388=4,"Heavy Rain/Thunderstorm")</f>
        <v>Mist/Cloudy</v>
      </c>
      <c r="L388" s="10">
        <v>0.18</v>
      </c>
      <c r="M388" s="42" t="str" cm="1">
        <f t="array" ref="M388">_xlfn.IFS(L388&lt;0.15,"Cold",L388&lt;0.25,"Mild",L388&lt;=0.32,"Warm",L388&gt;=0.33,"Hot")</f>
        <v>Mild</v>
      </c>
    </row>
    <row r="389" spans="1:13" x14ac:dyDescent="0.3">
      <c r="A389" s="6">
        <v>388</v>
      </c>
      <c r="B389" s="7">
        <v>40560</v>
      </c>
      <c r="C389" s="8">
        <v>1</v>
      </c>
      <c r="D389" s="8">
        <v>0</v>
      </c>
      <c r="E389" s="8">
        <v>1</v>
      </c>
      <c r="F389" s="8">
        <v>15</v>
      </c>
      <c r="G389" s="8" t="str" cm="1">
        <f t="array" ref="G389">_xlfn.IFS(F389&lt;4,"Night",F389&lt;=6,"Early Morning",F389&lt;11,"Morning",F389&lt;12,"Afternoon",F389&lt;=16,"Afternoon",F389&lt;=20,"Evening",F389&gt;=21,"Night")</f>
        <v>Afternoon</v>
      </c>
      <c r="H389" s="8" t="b">
        <v>1</v>
      </c>
      <c r="I389" s="8">
        <v>1</v>
      </c>
      <c r="J389" s="8">
        <v>2</v>
      </c>
      <c r="K389" s="9" t="str" cm="1">
        <f t="array" ref="K389">_xlfn.IFS(J389=1,"Clear",J389=2,"Mist/Cloudy",J389=3,"Rain",J389=4,"Heavy Rain/Thunderstorm")</f>
        <v>Mist/Cloudy</v>
      </c>
      <c r="L389" s="10">
        <v>0.2</v>
      </c>
      <c r="M389" s="42" t="str" cm="1">
        <f t="array" ref="M389">_xlfn.IFS(L389&lt;0.15,"Cold",L389&lt;0.25,"Mild",L389&lt;=0.32,"Warm",L389&gt;=0.33,"Hot")</f>
        <v>Mild</v>
      </c>
    </row>
    <row r="390" spans="1:13" x14ac:dyDescent="0.3">
      <c r="A390" s="6">
        <v>389</v>
      </c>
      <c r="B390" s="7">
        <v>40560</v>
      </c>
      <c r="C390" s="8">
        <v>1</v>
      </c>
      <c r="D390" s="8">
        <v>0</v>
      </c>
      <c r="E390" s="8">
        <v>1</v>
      </c>
      <c r="F390" s="8">
        <v>16</v>
      </c>
      <c r="G390" s="8" t="str" cm="1">
        <f t="array" ref="G390">_xlfn.IFS(F390&lt;4,"Night",F390&lt;=6,"Early Morning",F390&lt;11,"Morning",F390&lt;12,"Afternoon",F390&lt;=16,"Afternoon",F390&lt;=20,"Evening",F390&gt;=21,"Night")</f>
        <v>Afternoon</v>
      </c>
      <c r="H390" s="8" t="b">
        <v>1</v>
      </c>
      <c r="I390" s="8">
        <v>1</v>
      </c>
      <c r="J390" s="8">
        <v>2</v>
      </c>
      <c r="K390" s="9" t="str" cm="1">
        <f t="array" ref="K390">_xlfn.IFS(J390=1,"Clear",J390=2,"Mist/Cloudy",J390=3,"Rain",J390=4,"Heavy Rain/Thunderstorm")</f>
        <v>Mist/Cloudy</v>
      </c>
      <c r="L390" s="10">
        <v>0.2</v>
      </c>
      <c r="M390" s="42" t="str" cm="1">
        <f t="array" ref="M390">_xlfn.IFS(L390&lt;0.15,"Cold",L390&lt;0.25,"Mild",L390&lt;=0.32,"Warm",L390&gt;=0.33,"Hot")</f>
        <v>Mild</v>
      </c>
    </row>
    <row r="391" spans="1:13" x14ac:dyDescent="0.3">
      <c r="A391" s="6">
        <v>390</v>
      </c>
      <c r="B391" s="7">
        <v>40560</v>
      </c>
      <c r="C391" s="8">
        <v>1</v>
      </c>
      <c r="D391" s="8">
        <v>0</v>
      </c>
      <c r="E391" s="8">
        <v>1</v>
      </c>
      <c r="F391" s="8">
        <v>17</v>
      </c>
      <c r="G391" s="8" t="str" cm="1">
        <f t="array" ref="G391">_xlfn.IFS(F391&lt;4,"Night",F391&lt;=6,"Early Morning",F391&lt;11,"Morning",F391&lt;12,"Afternoon",F391&lt;=16,"Afternoon",F391&lt;=20,"Evening",F391&gt;=21,"Night")</f>
        <v>Evening</v>
      </c>
      <c r="H391" s="8" t="b">
        <v>1</v>
      </c>
      <c r="I391" s="8">
        <v>1</v>
      </c>
      <c r="J391" s="8">
        <v>1</v>
      </c>
      <c r="K391" s="9" t="str" cm="1">
        <f t="array" ref="K391">_xlfn.IFS(J391=1,"Clear",J391=2,"Mist/Cloudy",J391=3,"Rain",J391=4,"Heavy Rain/Thunderstorm")</f>
        <v>Clear</v>
      </c>
      <c r="L391" s="10">
        <v>0.2</v>
      </c>
      <c r="M391" s="42" t="str" cm="1">
        <f t="array" ref="M391">_xlfn.IFS(L391&lt;0.15,"Cold",L391&lt;0.25,"Mild",L391&lt;=0.32,"Warm",L391&gt;=0.33,"Hot")</f>
        <v>Mild</v>
      </c>
    </row>
    <row r="392" spans="1:13" x14ac:dyDescent="0.3">
      <c r="A392" s="6">
        <v>391</v>
      </c>
      <c r="B392" s="7">
        <v>40560</v>
      </c>
      <c r="C392" s="8">
        <v>1</v>
      </c>
      <c r="D392" s="8">
        <v>0</v>
      </c>
      <c r="E392" s="8">
        <v>1</v>
      </c>
      <c r="F392" s="8">
        <v>18</v>
      </c>
      <c r="G392" s="8" t="str" cm="1">
        <f t="array" ref="G392">_xlfn.IFS(F392&lt;4,"Night",F392&lt;=6,"Early Morning",F392&lt;11,"Morning",F392&lt;12,"Afternoon",F392&lt;=16,"Afternoon",F392&lt;=20,"Evening",F392&gt;=21,"Night")</f>
        <v>Evening</v>
      </c>
      <c r="H392" s="8" t="b">
        <v>1</v>
      </c>
      <c r="I392" s="8">
        <v>1</v>
      </c>
      <c r="J392" s="8">
        <v>2</v>
      </c>
      <c r="K392" s="9" t="str" cm="1">
        <f t="array" ref="K392">_xlfn.IFS(J392=1,"Clear",J392=2,"Mist/Cloudy",J392=3,"Rain",J392=4,"Heavy Rain/Thunderstorm")</f>
        <v>Mist/Cloudy</v>
      </c>
      <c r="L392" s="10">
        <v>0.18</v>
      </c>
      <c r="M392" s="42" t="str" cm="1">
        <f t="array" ref="M392">_xlfn.IFS(L392&lt;0.15,"Cold",L392&lt;0.25,"Mild",L392&lt;=0.32,"Warm",L392&gt;=0.33,"Hot")</f>
        <v>Mild</v>
      </c>
    </row>
    <row r="393" spans="1:13" x14ac:dyDescent="0.3">
      <c r="A393" s="6">
        <v>392</v>
      </c>
      <c r="B393" s="7">
        <v>40560</v>
      </c>
      <c r="C393" s="8">
        <v>1</v>
      </c>
      <c r="D393" s="8">
        <v>0</v>
      </c>
      <c r="E393" s="8">
        <v>1</v>
      </c>
      <c r="F393" s="8">
        <v>19</v>
      </c>
      <c r="G393" s="8" t="str" cm="1">
        <f t="array" ref="G393">_xlfn.IFS(F393&lt;4,"Night",F393&lt;=6,"Early Morning",F393&lt;11,"Morning",F393&lt;12,"Afternoon",F393&lt;=16,"Afternoon",F393&lt;=20,"Evening",F393&gt;=21,"Night")</f>
        <v>Evening</v>
      </c>
      <c r="H393" s="8" t="b">
        <v>1</v>
      </c>
      <c r="I393" s="8">
        <v>1</v>
      </c>
      <c r="J393" s="8">
        <v>3</v>
      </c>
      <c r="K393" s="9" t="str" cm="1">
        <f t="array" ref="K393">_xlfn.IFS(J393=1,"Clear",J393=2,"Mist/Cloudy",J393=3,"Rain",J393=4,"Heavy Rain/Thunderstorm")</f>
        <v>Rain</v>
      </c>
      <c r="L393" s="10">
        <v>0.18</v>
      </c>
      <c r="M393" s="42" t="str" cm="1">
        <f t="array" ref="M393">_xlfn.IFS(L393&lt;0.15,"Cold",L393&lt;0.25,"Mild",L393&lt;=0.32,"Warm",L393&gt;=0.33,"Hot")</f>
        <v>Mild</v>
      </c>
    </row>
    <row r="394" spans="1:13" x14ac:dyDescent="0.3">
      <c r="A394" s="6">
        <v>393</v>
      </c>
      <c r="B394" s="7">
        <v>40560</v>
      </c>
      <c r="C394" s="8">
        <v>1</v>
      </c>
      <c r="D394" s="8">
        <v>0</v>
      </c>
      <c r="E394" s="8">
        <v>1</v>
      </c>
      <c r="F394" s="8">
        <v>20</v>
      </c>
      <c r="G394" s="8" t="str" cm="1">
        <f t="array" ref="G394">_xlfn.IFS(F394&lt;4,"Night",F394&lt;=6,"Early Morning",F394&lt;11,"Morning",F394&lt;12,"Afternoon",F394&lt;=16,"Afternoon",F394&lt;=20,"Evening",F394&gt;=21,"Night")</f>
        <v>Evening</v>
      </c>
      <c r="H394" s="8" t="b">
        <v>1</v>
      </c>
      <c r="I394" s="8">
        <v>1</v>
      </c>
      <c r="J394" s="8">
        <v>3</v>
      </c>
      <c r="K394" s="9" t="str" cm="1">
        <f t="array" ref="K394">_xlfn.IFS(J394=1,"Clear",J394=2,"Mist/Cloudy",J394=3,"Rain",J394=4,"Heavy Rain/Thunderstorm")</f>
        <v>Rain</v>
      </c>
      <c r="L394" s="10">
        <v>0.16</v>
      </c>
      <c r="M394" s="42" t="str" cm="1">
        <f t="array" ref="M394">_xlfn.IFS(L394&lt;0.15,"Cold",L394&lt;0.25,"Mild",L394&lt;=0.32,"Warm",L394&gt;=0.33,"Hot")</f>
        <v>Mild</v>
      </c>
    </row>
    <row r="395" spans="1:13" x14ac:dyDescent="0.3">
      <c r="A395" s="6">
        <v>394</v>
      </c>
      <c r="B395" s="7">
        <v>40560</v>
      </c>
      <c r="C395" s="8">
        <v>1</v>
      </c>
      <c r="D395" s="8">
        <v>0</v>
      </c>
      <c r="E395" s="8">
        <v>1</v>
      </c>
      <c r="F395" s="8">
        <v>21</v>
      </c>
      <c r="G395" s="8" t="str" cm="1">
        <f t="array" ref="G395">_xlfn.IFS(F395&lt;4,"Night",F395&lt;=6,"Early Morning",F395&lt;11,"Morning",F395&lt;12,"Afternoon",F395&lt;=16,"Afternoon",F395&lt;=20,"Evening",F395&gt;=21,"Night")</f>
        <v>Night</v>
      </c>
      <c r="H395" s="8" t="b">
        <v>1</v>
      </c>
      <c r="I395" s="8">
        <v>1</v>
      </c>
      <c r="J395" s="8">
        <v>3</v>
      </c>
      <c r="K395" s="9" t="str" cm="1">
        <f t="array" ref="K395">_xlfn.IFS(J395=1,"Clear",J395=2,"Mist/Cloudy",J395=3,"Rain",J395=4,"Heavy Rain/Thunderstorm")</f>
        <v>Rain</v>
      </c>
      <c r="L395" s="10">
        <v>0.16</v>
      </c>
      <c r="M395" s="42" t="str" cm="1">
        <f t="array" ref="M395">_xlfn.IFS(L395&lt;0.15,"Cold",L395&lt;0.25,"Mild",L395&lt;=0.32,"Warm",L395&gt;=0.33,"Hot")</f>
        <v>Mild</v>
      </c>
    </row>
    <row r="396" spans="1:13" x14ac:dyDescent="0.3">
      <c r="A396" s="6">
        <v>395</v>
      </c>
      <c r="B396" s="7">
        <v>40560</v>
      </c>
      <c r="C396" s="8">
        <v>1</v>
      </c>
      <c r="D396" s="8">
        <v>0</v>
      </c>
      <c r="E396" s="8">
        <v>1</v>
      </c>
      <c r="F396" s="8">
        <v>22</v>
      </c>
      <c r="G396" s="8" t="str" cm="1">
        <f t="array" ref="G396">_xlfn.IFS(F396&lt;4,"Night",F396&lt;=6,"Early Morning",F396&lt;11,"Morning",F396&lt;12,"Afternoon",F396&lt;=16,"Afternoon",F396&lt;=20,"Evening",F396&gt;=21,"Night")</f>
        <v>Night</v>
      </c>
      <c r="H396" s="8" t="b">
        <v>1</v>
      </c>
      <c r="I396" s="8">
        <v>1</v>
      </c>
      <c r="J396" s="8">
        <v>3</v>
      </c>
      <c r="K396" s="9" t="str" cm="1">
        <f t="array" ref="K396">_xlfn.IFS(J396=1,"Clear",J396=2,"Mist/Cloudy",J396=3,"Rain",J396=4,"Heavy Rain/Thunderstorm")</f>
        <v>Rain</v>
      </c>
      <c r="L396" s="10">
        <v>0.14000000000000001</v>
      </c>
      <c r="M396" s="42" t="str" cm="1">
        <f t="array" ref="M396">_xlfn.IFS(L396&lt;0.15,"Cold",L396&lt;0.25,"Mild",L396&lt;=0.32,"Warm",L396&gt;=0.33,"Hot")</f>
        <v>Cold</v>
      </c>
    </row>
    <row r="397" spans="1:13" x14ac:dyDescent="0.3">
      <c r="A397" s="6">
        <v>396</v>
      </c>
      <c r="B397" s="7">
        <v>40560</v>
      </c>
      <c r="C397" s="8">
        <v>1</v>
      </c>
      <c r="D397" s="8">
        <v>0</v>
      </c>
      <c r="E397" s="8">
        <v>1</v>
      </c>
      <c r="F397" s="8">
        <v>23</v>
      </c>
      <c r="G397" s="8" t="str" cm="1">
        <f t="array" ref="G397">_xlfn.IFS(F397&lt;4,"Night",F397&lt;=6,"Early Morning",F397&lt;11,"Morning",F397&lt;12,"Afternoon",F397&lt;=16,"Afternoon",F397&lt;=20,"Evening",F397&gt;=21,"Night")</f>
        <v>Night</v>
      </c>
      <c r="H397" s="8" t="b">
        <v>1</v>
      </c>
      <c r="I397" s="8">
        <v>1</v>
      </c>
      <c r="J397" s="8">
        <v>3</v>
      </c>
      <c r="K397" s="9" t="str" cm="1">
        <f t="array" ref="K397">_xlfn.IFS(J397=1,"Clear",J397=2,"Mist/Cloudy",J397=3,"Rain",J397=4,"Heavy Rain/Thunderstorm")</f>
        <v>Rain</v>
      </c>
      <c r="L397" s="10">
        <v>0.16</v>
      </c>
      <c r="M397" s="42" t="str" cm="1">
        <f t="array" ref="M397">_xlfn.IFS(L397&lt;0.15,"Cold",L397&lt;0.25,"Mild",L397&lt;=0.32,"Warm",L397&gt;=0.33,"Hot")</f>
        <v>Mild</v>
      </c>
    </row>
    <row r="398" spans="1:13" x14ac:dyDescent="0.3">
      <c r="A398" s="6">
        <v>397</v>
      </c>
      <c r="B398" s="7">
        <v>40561</v>
      </c>
      <c r="C398" s="8">
        <v>1</v>
      </c>
      <c r="D398" s="8">
        <v>0</v>
      </c>
      <c r="E398" s="8">
        <v>1</v>
      </c>
      <c r="F398" s="8">
        <v>12</v>
      </c>
      <c r="G398" s="8" t="str" cm="1">
        <f t="array" ref="G398">_xlfn.IFS(F398&lt;4,"Night",F398&lt;=6,"Early Morning",F398&lt;11,"Morning",F398&lt;12,"Afternoon",F398&lt;=16,"Afternoon",F398&lt;=20,"Evening",F398&gt;=21,"Night")</f>
        <v>Afternoon</v>
      </c>
      <c r="H398" s="8" t="b">
        <v>0</v>
      </c>
      <c r="I398" s="8">
        <v>2</v>
      </c>
      <c r="J398" s="8">
        <v>2</v>
      </c>
      <c r="K398" s="9" t="str" cm="1">
        <f t="array" ref="K398">_xlfn.IFS(J398=1,"Clear",J398=2,"Mist/Cloudy",J398=3,"Rain",J398=4,"Heavy Rain/Thunderstorm")</f>
        <v>Mist/Cloudy</v>
      </c>
      <c r="L398" s="10">
        <v>0.2</v>
      </c>
      <c r="M398" s="42" t="str" cm="1">
        <f t="array" ref="M398">_xlfn.IFS(L398&lt;0.15,"Cold",L398&lt;0.25,"Mild",L398&lt;=0.32,"Warm",L398&gt;=0.33,"Hot")</f>
        <v>Mild</v>
      </c>
    </row>
    <row r="399" spans="1:13" x14ac:dyDescent="0.3">
      <c r="A399" s="6">
        <v>398</v>
      </c>
      <c r="B399" s="7">
        <v>40561</v>
      </c>
      <c r="C399" s="8">
        <v>1</v>
      </c>
      <c r="D399" s="8">
        <v>0</v>
      </c>
      <c r="E399" s="8">
        <v>1</v>
      </c>
      <c r="F399" s="8">
        <v>13</v>
      </c>
      <c r="G399" s="8" t="str" cm="1">
        <f t="array" ref="G399">_xlfn.IFS(F399&lt;4,"Night",F399&lt;=6,"Early Morning",F399&lt;11,"Morning",F399&lt;12,"Afternoon",F399&lt;=16,"Afternoon",F399&lt;=20,"Evening",F399&gt;=21,"Night")</f>
        <v>Afternoon</v>
      </c>
      <c r="H399" s="8" t="b">
        <v>0</v>
      </c>
      <c r="I399" s="8">
        <v>2</v>
      </c>
      <c r="J399" s="8">
        <v>2</v>
      </c>
      <c r="K399" s="9" t="str" cm="1">
        <f t="array" ref="K399">_xlfn.IFS(J399=1,"Clear",J399=2,"Mist/Cloudy",J399=3,"Rain",J399=4,"Heavy Rain/Thunderstorm")</f>
        <v>Mist/Cloudy</v>
      </c>
      <c r="L399" s="10">
        <v>0.2</v>
      </c>
      <c r="M399" s="42" t="str" cm="1">
        <f t="array" ref="M399">_xlfn.IFS(L399&lt;0.15,"Cold",L399&lt;0.25,"Mild",L399&lt;=0.32,"Warm",L399&gt;=0.33,"Hot")</f>
        <v>Mild</v>
      </c>
    </row>
    <row r="400" spans="1:13" x14ac:dyDescent="0.3">
      <c r="A400" s="6">
        <v>399</v>
      </c>
      <c r="B400" s="7">
        <v>40561</v>
      </c>
      <c r="C400" s="8">
        <v>1</v>
      </c>
      <c r="D400" s="8">
        <v>0</v>
      </c>
      <c r="E400" s="8">
        <v>1</v>
      </c>
      <c r="F400" s="8">
        <v>14</v>
      </c>
      <c r="G400" s="8" t="str" cm="1">
        <f t="array" ref="G400">_xlfn.IFS(F400&lt;4,"Night",F400&lt;=6,"Early Morning",F400&lt;11,"Morning",F400&lt;12,"Afternoon",F400&lt;=16,"Afternoon",F400&lt;=20,"Evening",F400&gt;=21,"Night")</f>
        <v>Afternoon</v>
      </c>
      <c r="H400" s="8" t="b">
        <v>0</v>
      </c>
      <c r="I400" s="8">
        <v>2</v>
      </c>
      <c r="J400" s="8">
        <v>2</v>
      </c>
      <c r="K400" s="9" t="str" cm="1">
        <f t="array" ref="K400">_xlfn.IFS(J400=1,"Clear",J400=2,"Mist/Cloudy",J400=3,"Rain",J400=4,"Heavy Rain/Thunderstorm")</f>
        <v>Mist/Cloudy</v>
      </c>
      <c r="L400" s="10">
        <v>0.22</v>
      </c>
      <c r="M400" s="42" t="str" cm="1">
        <f t="array" ref="M400">_xlfn.IFS(L400&lt;0.15,"Cold",L400&lt;0.25,"Mild",L400&lt;=0.32,"Warm",L400&gt;=0.33,"Hot")</f>
        <v>Mild</v>
      </c>
    </row>
    <row r="401" spans="1:13" x14ac:dyDescent="0.3">
      <c r="A401" s="6">
        <v>400</v>
      </c>
      <c r="B401" s="7">
        <v>40561</v>
      </c>
      <c r="C401" s="8">
        <v>1</v>
      </c>
      <c r="D401" s="8">
        <v>0</v>
      </c>
      <c r="E401" s="8">
        <v>1</v>
      </c>
      <c r="F401" s="8">
        <v>15</v>
      </c>
      <c r="G401" s="8" t="str" cm="1">
        <f t="array" ref="G401">_xlfn.IFS(F401&lt;4,"Night",F401&lt;=6,"Early Morning",F401&lt;11,"Morning",F401&lt;12,"Afternoon",F401&lt;=16,"Afternoon",F401&lt;=20,"Evening",F401&gt;=21,"Night")</f>
        <v>Afternoon</v>
      </c>
      <c r="H401" s="8" t="b">
        <v>0</v>
      </c>
      <c r="I401" s="8">
        <v>2</v>
      </c>
      <c r="J401" s="8">
        <v>2</v>
      </c>
      <c r="K401" s="9" t="str" cm="1">
        <f t="array" ref="K401">_xlfn.IFS(J401=1,"Clear",J401=2,"Mist/Cloudy",J401=3,"Rain",J401=4,"Heavy Rain/Thunderstorm")</f>
        <v>Mist/Cloudy</v>
      </c>
      <c r="L401" s="10">
        <v>0.22</v>
      </c>
      <c r="M401" s="42" t="str" cm="1">
        <f t="array" ref="M401">_xlfn.IFS(L401&lt;0.15,"Cold",L401&lt;0.25,"Mild",L401&lt;=0.32,"Warm",L401&gt;=0.33,"Hot")</f>
        <v>Mild</v>
      </c>
    </row>
    <row r="402" spans="1:13" x14ac:dyDescent="0.3">
      <c r="A402" s="6">
        <v>401</v>
      </c>
      <c r="B402" s="7">
        <v>40561</v>
      </c>
      <c r="C402" s="8">
        <v>1</v>
      </c>
      <c r="D402" s="8">
        <v>0</v>
      </c>
      <c r="E402" s="8">
        <v>1</v>
      </c>
      <c r="F402" s="8">
        <v>16</v>
      </c>
      <c r="G402" s="8" t="str" cm="1">
        <f t="array" ref="G402">_xlfn.IFS(F402&lt;4,"Night",F402&lt;=6,"Early Morning",F402&lt;11,"Morning",F402&lt;12,"Afternoon",F402&lt;=16,"Afternoon",F402&lt;=20,"Evening",F402&gt;=21,"Night")</f>
        <v>Afternoon</v>
      </c>
      <c r="H402" s="8" t="b">
        <v>0</v>
      </c>
      <c r="I402" s="8">
        <v>2</v>
      </c>
      <c r="J402" s="8">
        <v>2</v>
      </c>
      <c r="K402" s="9" t="str" cm="1">
        <f t="array" ref="K402">_xlfn.IFS(J402=1,"Clear",J402=2,"Mist/Cloudy",J402=3,"Rain",J402=4,"Heavy Rain/Thunderstorm")</f>
        <v>Mist/Cloudy</v>
      </c>
      <c r="L402" s="10">
        <v>0.22</v>
      </c>
      <c r="M402" s="42" t="str" cm="1">
        <f t="array" ref="M402">_xlfn.IFS(L402&lt;0.15,"Cold",L402&lt;0.25,"Mild",L402&lt;=0.32,"Warm",L402&gt;=0.33,"Hot")</f>
        <v>Mild</v>
      </c>
    </row>
    <row r="403" spans="1:13" x14ac:dyDescent="0.3">
      <c r="A403" s="6">
        <v>402</v>
      </c>
      <c r="B403" s="7">
        <v>40561</v>
      </c>
      <c r="C403" s="8">
        <v>1</v>
      </c>
      <c r="D403" s="8">
        <v>0</v>
      </c>
      <c r="E403" s="8">
        <v>1</v>
      </c>
      <c r="F403" s="8">
        <v>17</v>
      </c>
      <c r="G403" s="8" t="str" cm="1">
        <f t="array" ref="G403">_xlfn.IFS(F403&lt;4,"Night",F403&lt;=6,"Early Morning",F403&lt;11,"Morning",F403&lt;12,"Afternoon",F403&lt;=16,"Afternoon",F403&lt;=20,"Evening",F403&gt;=21,"Night")</f>
        <v>Evening</v>
      </c>
      <c r="H403" s="8" t="b">
        <v>0</v>
      </c>
      <c r="I403" s="8">
        <v>2</v>
      </c>
      <c r="J403" s="8">
        <v>2</v>
      </c>
      <c r="K403" s="9" t="str" cm="1">
        <f t="array" ref="K403">_xlfn.IFS(J403=1,"Clear",J403=2,"Mist/Cloudy",J403=3,"Rain",J403=4,"Heavy Rain/Thunderstorm")</f>
        <v>Mist/Cloudy</v>
      </c>
      <c r="L403" s="10">
        <v>0.22</v>
      </c>
      <c r="M403" s="42" t="str" cm="1">
        <f t="array" ref="M403">_xlfn.IFS(L403&lt;0.15,"Cold",L403&lt;0.25,"Mild",L403&lt;=0.32,"Warm",L403&gt;=0.33,"Hot")</f>
        <v>Mild</v>
      </c>
    </row>
    <row r="404" spans="1:13" x14ac:dyDescent="0.3">
      <c r="A404" s="6">
        <v>403</v>
      </c>
      <c r="B404" s="7">
        <v>40561</v>
      </c>
      <c r="C404" s="8">
        <v>1</v>
      </c>
      <c r="D404" s="8">
        <v>0</v>
      </c>
      <c r="E404" s="8">
        <v>1</v>
      </c>
      <c r="F404" s="8">
        <v>18</v>
      </c>
      <c r="G404" s="8" t="str" cm="1">
        <f t="array" ref="G404">_xlfn.IFS(F404&lt;4,"Night",F404&lt;=6,"Early Morning",F404&lt;11,"Morning",F404&lt;12,"Afternoon",F404&lt;=16,"Afternoon",F404&lt;=20,"Evening",F404&gt;=21,"Night")</f>
        <v>Evening</v>
      </c>
      <c r="H404" s="8" t="b">
        <v>0</v>
      </c>
      <c r="I404" s="8">
        <v>2</v>
      </c>
      <c r="J404" s="8">
        <v>2</v>
      </c>
      <c r="K404" s="9" t="str" cm="1">
        <f t="array" ref="K404">_xlfn.IFS(J404=1,"Clear",J404=2,"Mist/Cloudy",J404=3,"Rain",J404=4,"Heavy Rain/Thunderstorm")</f>
        <v>Mist/Cloudy</v>
      </c>
      <c r="L404" s="10">
        <v>0.22</v>
      </c>
      <c r="M404" s="42" t="str" cm="1">
        <f t="array" ref="M404">_xlfn.IFS(L404&lt;0.15,"Cold",L404&lt;0.25,"Mild",L404&lt;=0.32,"Warm",L404&gt;=0.33,"Hot")</f>
        <v>Mild</v>
      </c>
    </row>
    <row r="405" spans="1:13" x14ac:dyDescent="0.3">
      <c r="A405" s="6">
        <v>404</v>
      </c>
      <c r="B405" s="7">
        <v>40561</v>
      </c>
      <c r="C405" s="8">
        <v>1</v>
      </c>
      <c r="D405" s="8">
        <v>0</v>
      </c>
      <c r="E405" s="8">
        <v>1</v>
      </c>
      <c r="F405" s="8">
        <v>19</v>
      </c>
      <c r="G405" s="8" t="str" cm="1">
        <f t="array" ref="G405">_xlfn.IFS(F405&lt;4,"Night",F405&lt;=6,"Early Morning",F405&lt;11,"Morning",F405&lt;12,"Afternoon",F405&lt;=16,"Afternoon",F405&lt;=20,"Evening",F405&gt;=21,"Night")</f>
        <v>Evening</v>
      </c>
      <c r="H405" s="8" t="b">
        <v>0</v>
      </c>
      <c r="I405" s="8">
        <v>2</v>
      </c>
      <c r="J405" s="8">
        <v>2</v>
      </c>
      <c r="K405" s="9" t="str" cm="1">
        <f t="array" ref="K405">_xlfn.IFS(J405=1,"Clear",J405=2,"Mist/Cloudy",J405=3,"Rain",J405=4,"Heavy Rain/Thunderstorm")</f>
        <v>Mist/Cloudy</v>
      </c>
      <c r="L405" s="10">
        <v>0.22</v>
      </c>
      <c r="M405" s="42" t="str" cm="1">
        <f t="array" ref="M405">_xlfn.IFS(L405&lt;0.15,"Cold",L405&lt;0.25,"Mild",L405&lt;=0.32,"Warm",L405&gt;=0.33,"Hot")</f>
        <v>Mild</v>
      </c>
    </row>
    <row r="406" spans="1:13" x14ac:dyDescent="0.3">
      <c r="A406" s="6">
        <v>405</v>
      </c>
      <c r="B406" s="7">
        <v>40561</v>
      </c>
      <c r="C406" s="8">
        <v>1</v>
      </c>
      <c r="D406" s="8">
        <v>0</v>
      </c>
      <c r="E406" s="8">
        <v>1</v>
      </c>
      <c r="F406" s="8">
        <v>20</v>
      </c>
      <c r="G406" s="8" t="str" cm="1">
        <f t="array" ref="G406">_xlfn.IFS(F406&lt;4,"Night",F406&lt;=6,"Early Morning",F406&lt;11,"Morning",F406&lt;12,"Afternoon",F406&lt;=16,"Afternoon",F406&lt;=20,"Evening",F406&gt;=21,"Night")</f>
        <v>Evening</v>
      </c>
      <c r="H406" s="8" t="b">
        <v>0</v>
      </c>
      <c r="I406" s="8">
        <v>2</v>
      </c>
      <c r="J406" s="8">
        <v>2</v>
      </c>
      <c r="K406" s="9" t="str" cm="1">
        <f t="array" ref="K406">_xlfn.IFS(J406=1,"Clear",J406=2,"Mist/Cloudy",J406=3,"Rain",J406=4,"Heavy Rain/Thunderstorm")</f>
        <v>Mist/Cloudy</v>
      </c>
      <c r="L406" s="10">
        <v>0.22</v>
      </c>
      <c r="M406" s="42" t="str" cm="1">
        <f t="array" ref="M406">_xlfn.IFS(L406&lt;0.15,"Cold",L406&lt;0.25,"Mild",L406&lt;=0.32,"Warm",L406&gt;=0.33,"Hot")</f>
        <v>Mild</v>
      </c>
    </row>
    <row r="407" spans="1:13" x14ac:dyDescent="0.3">
      <c r="A407" s="6">
        <v>406</v>
      </c>
      <c r="B407" s="7">
        <v>40561</v>
      </c>
      <c r="C407" s="8">
        <v>1</v>
      </c>
      <c r="D407" s="8">
        <v>0</v>
      </c>
      <c r="E407" s="8">
        <v>1</v>
      </c>
      <c r="F407" s="8">
        <v>21</v>
      </c>
      <c r="G407" s="8" t="str" cm="1">
        <f t="array" ref="G407">_xlfn.IFS(F407&lt;4,"Night",F407&lt;=6,"Early Morning",F407&lt;11,"Morning",F407&lt;12,"Afternoon",F407&lt;=16,"Afternoon",F407&lt;=20,"Evening",F407&gt;=21,"Night")</f>
        <v>Night</v>
      </c>
      <c r="H407" s="8" t="b">
        <v>0</v>
      </c>
      <c r="I407" s="8">
        <v>2</v>
      </c>
      <c r="J407" s="8">
        <v>2</v>
      </c>
      <c r="K407" s="9" t="str" cm="1">
        <f t="array" ref="K407">_xlfn.IFS(J407=1,"Clear",J407=2,"Mist/Cloudy",J407=3,"Rain",J407=4,"Heavy Rain/Thunderstorm")</f>
        <v>Mist/Cloudy</v>
      </c>
      <c r="L407" s="10">
        <v>0.22</v>
      </c>
      <c r="M407" s="42" t="str" cm="1">
        <f t="array" ref="M407">_xlfn.IFS(L407&lt;0.15,"Cold",L407&lt;0.25,"Mild",L407&lt;=0.32,"Warm",L407&gt;=0.33,"Hot")</f>
        <v>Mild</v>
      </c>
    </row>
    <row r="408" spans="1:13" x14ac:dyDescent="0.3">
      <c r="A408" s="6">
        <v>407</v>
      </c>
      <c r="B408" s="7">
        <v>40561</v>
      </c>
      <c r="C408" s="8">
        <v>1</v>
      </c>
      <c r="D408" s="8">
        <v>0</v>
      </c>
      <c r="E408" s="8">
        <v>1</v>
      </c>
      <c r="F408" s="8">
        <v>22</v>
      </c>
      <c r="G408" s="8" t="str" cm="1">
        <f t="array" ref="G408">_xlfn.IFS(F408&lt;4,"Night",F408&lt;=6,"Early Morning",F408&lt;11,"Morning",F408&lt;12,"Afternoon",F408&lt;=16,"Afternoon",F408&lt;=20,"Evening",F408&gt;=21,"Night")</f>
        <v>Night</v>
      </c>
      <c r="H408" s="8" t="b">
        <v>0</v>
      </c>
      <c r="I408" s="8">
        <v>2</v>
      </c>
      <c r="J408" s="8">
        <v>2</v>
      </c>
      <c r="K408" s="9" t="str" cm="1">
        <f t="array" ref="K408">_xlfn.IFS(J408=1,"Clear",J408=2,"Mist/Cloudy",J408=3,"Rain",J408=4,"Heavy Rain/Thunderstorm")</f>
        <v>Mist/Cloudy</v>
      </c>
      <c r="L408" s="10">
        <v>0.22</v>
      </c>
      <c r="M408" s="42" t="str" cm="1">
        <f t="array" ref="M408">_xlfn.IFS(L408&lt;0.15,"Cold",L408&lt;0.25,"Mild",L408&lt;=0.32,"Warm",L408&gt;=0.33,"Hot")</f>
        <v>Mild</v>
      </c>
    </row>
    <row r="409" spans="1:13" x14ac:dyDescent="0.3">
      <c r="A409" s="6">
        <v>408</v>
      </c>
      <c r="B409" s="7">
        <v>40561</v>
      </c>
      <c r="C409" s="8">
        <v>1</v>
      </c>
      <c r="D409" s="8">
        <v>0</v>
      </c>
      <c r="E409" s="8">
        <v>1</v>
      </c>
      <c r="F409" s="8">
        <v>23</v>
      </c>
      <c r="G409" s="8" t="str" cm="1">
        <f t="array" ref="G409">_xlfn.IFS(F409&lt;4,"Night",F409&lt;=6,"Early Morning",F409&lt;11,"Morning",F409&lt;12,"Afternoon",F409&lt;=16,"Afternoon",F409&lt;=20,"Evening",F409&gt;=21,"Night")</f>
        <v>Night</v>
      </c>
      <c r="H409" s="8" t="b">
        <v>0</v>
      </c>
      <c r="I409" s="8">
        <v>2</v>
      </c>
      <c r="J409" s="8">
        <v>2</v>
      </c>
      <c r="K409" s="9" t="str" cm="1">
        <f t="array" ref="K409">_xlfn.IFS(J409=1,"Clear",J409=2,"Mist/Cloudy",J409=3,"Rain",J409=4,"Heavy Rain/Thunderstorm")</f>
        <v>Mist/Cloudy</v>
      </c>
      <c r="L409" s="10">
        <v>0.22</v>
      </c>
      <c r="M409" s="42" t="str" cm="1">
        <f t="array" ref="M409">_xlfn.IFS(L409&lt;0.15,"Cold",L409&lt;0.25,"Mild",L409&lt;=0.32,"Warm",L409&gt;=0.33,"Hot")</f>
        <v>Mild</v>
      </c>
    </row>
    <row r="410" spans="1:13" x14ac:dyDescent="0.3">
      <c r="A410" s="6">
        <v>409</v>
      </c>
      <c r="B410" s="7">
        <v>40562</v>
      </c>
      <c r="C410" s="8">
        <v>1</v>
      </c>
      <c r="D410" s="8">
        <v>0</v>
      </c>
      <c r="E410" s="8">
        <v>1</v>
      </c>
      <c r="F410" s="8">
        <v>0</v>
      </c>
      <c r="G410" s="8" t="str" cm="1">
        <f t="array" ref="G410">_xlfn.IFS(F410&lt;4,"Night",F410&lt;=6,"Early Morning",F410&lt;11,"Morning",F410&lt;12,"Afternoon",F410&lt;=16,"Afternoon",F410&lt;=20,"Evening",F410&gt;=21,"Night")</f>
        <v>Night</v>
      </c>
      <c r="H410" s="8" t="b">
        <v>0</v>
      </c>
      <c r="I410" s="8">
        <v>3</v>
      </c>
      <c r="J410" s="8">
        <v>2</v>
      </c>
      <c r="K410" s="9" t="str" cm="1">
        <f t="array" ref="K410">_xlfn.IFS(J410=1,"Clear",J410=2,"Mist/Cloudy",J410=3,"Rain",J410=4,"Heavy Rain/Thunderstorm")</f>
        <v>Mist/Cloudy</v>
      </c>
      <c r="L410" s="10">
        <v>0.22</v>
      </c>
      <c r="M410" s="42" t="str" cm="1">
        <f t="array" ref="M410">_xlfn.IFS(L410&lt;0.15,"Cold",L410&lt;0.25,"Mild",L410&lt;=0.32,"Warm",L410&gt;=0.33,"Hot")</f>
        <v>Mild</v>
      </c>
    </row>
    <row r="411" spans="1:13" x14ac:dyDescent="0.3">
      <c r="A411" s="6">
        <v>410</v>
      </c>
      <c r="B411" s="7">
        <v>40562</v>
      </c>
      <c r="C411" s="8">
        <v>1</v>
      </c>
      <c r="D411" s="8">
        <v>0</v>
      </c>
      <c r="E411" s="8">
        <v>1</v>
      </c>
      <c r="F411" s="8">
        <v>1</v>
      </c>
      <c r="G411" s="8" t="str" cm="1">
        <f t="array" ref="G411">_xlfn.IFS(F411&lt;4,"Night",F411&lt;=6,"Early Morning",F411&lt;11,"Morning",F411&lt;12,"Afternoon",F411&lt;=16,"Afternoon",F411&lt;=20,"Evening",F411&gt;=21,"Night")</f>
        <v>Night</v>
      </c>
      <c r="H411" s="8" t="b">
        <v>0</v>
      </c>
      <c r="I411" s="8">
        <v>3</v>
      </c>
      <c r="J411" s="8">
        <v>3</v>
      </c>
      <c r="K411" s="9" t="str" cm="1">
        <f t="array" ref="K411">_xlfn.IFS(J411=1,"Clear",J411=2,"Mist/Cloudy",J411=3,"Rain",J411=4,"Heavy Rain/Thunderstorm")</f>
        <v>Rain</v>
      </c>
      <c r="L411" s="10">
        <v>0.22</v>
      </c>
      <c r="M411" s="42" t="str" cm="1">
        <f t="array" ref="M411">_xlfn.IFS(L411&lt;0.15,"Cold",L411&lt;0.25,"Mild",L411&lt;=0.32,"Warm",L411&gt;=0.33,"Hot")</f>
        <v>Mild</v>
      </c>
    </row>
    <row r="412" spans="1:13" x14ac:dyDescent="0.3">
      <c r="A412" s="6">
        <v>411</v>
      </c>
      <c r="B412" s="7">
        <v>40562</v>
      </c>
      <c r="C412" s="8">
        <v>1</v>
      </c>
      <c r="D412" s="8">
        <v>0</v>
      </c>
      <c r="E412" s="8">
        <v>1</v>
      </c>
      <c r="F412" s="8">
        <v>2</v>
      </c>
      <c r="G412" s="8" t="str" cm="1">
        <f t="array" ref="G412">_xlfn.IFS(F412&lt;4,"Night",F412&lt;=6,"Early Morning",F412&lt;11,"Morning",F412&lt;12,"Afternoon",F412&lt;=16,"Afternoon",F412&lt;=20,"Evening",F412&gt;=21,"Night")</f>
        <v>Night</v>
      </c>
      <c r="H412" s="8" t="b">
        <v>0</v>
      </c>
      <c r="I412" s="8">
        <v>3</v>
      </c>
      <c r="J412" s="8">
        <v>3</v>
      </c>
      <c r="K412" s="9" t="str" cm="1">
        <f t="array" ref="K412">_xlfn.IFS(J412=1,"Clear",J412=2,"Mist/Cloudy",J412=3,"Rain",J412=4,"Heavy Rain/Thunderstorm")</f>
        <v>Rain</v>
      </c>
      <c r="L412" s="10">
        <v>0.22</v>
      </c>
      <c r="M412" s="42" t="str" cm="1">
        <f t="array" ref="M412">_xlfn.IFS(L412&lt;0.15,"Cold",L412&lt;0.25,"Mild",L412&lt;=0.32,"Warm",L412&gt;=0.33,"Hot")</f>
        <v>Mild</v>
      </c>
    </row>
    <row r="413" spans="1:13" x14ac:dyDescent="0.3">
      <c r="A413" s="6">
        <v>412</v>
      </c>
      <c r="B413" s="7">
        <v>40562</v>
      </c>
      <c r="C413" s="8">
        <v>1</v>
      </c>
      <c r="D413" s="8">
        <v>0</v>
      </c>
      <c r="E413" s="8">
        <v>1</v>
      </c>
      <c r="F413" s="8">
        <v>4</v>
      </c>
      <c r="G413" s="8" t="str" cm="1">
        <f t="array" ref="G413">_xlfn.IFS(F413&lt;4,"Night",F413&lt;=6,"Early Morning",F413&lt;11,"Morning",F413&lt;12,"Afternoon",F413&lt;=16,"Afternoon",F413&lt;=20,"Evening",F413&gt;=21,"Night")</f>
        <v>Early Morning</v>
      </c>
      <c r="H413" s="8" t="b">
        <v>0</v>
      </c>
      <c r="I413" s="8">
        <v>3</v>
      </c>
      <c r="J413" s="8">
        <v>3</v>
      </c>
      <c r="K413" s="9" t="str" cm="1">
        <f t="array" ref="K413">_xlfn.IFS(J413=1,"Clear",J413=2,"Mist/Cloudy",J413=3,"Rain",J413=4,"Heavy Rain/Thunderstorm")</f>
        <v>Rain</v>
      </c>
      <c r="L413" s="10">
        <v>0.22</v>
      </c>
      <c r="M413" s="42" t="str" cm="1">
        <f t="array" ref="M413">_xlfn.IFS(L413&lt;0.15,"Cold",L413&lt;0.25,"Mild",L413&lt;=0.32,"Warm",L413&gt;=0.33,"Hot")</f>
        <v>Mild</v>
      </c>
    </row>
    <row r="414" spans="1:13" x14ac:dyDescent="0.3">
      <c r="A414" s="6">
        <v>413</v>
      </c>
      <c r="B414" s="7">
        <v>40562</v>
      </c>
      <c r="C414" s="8">
        <v>1</v>
      </c>
      <c r="D414" s="8">
        <v>0</v>
      </c>
      <c r="E414" s="8">
        <v>1</v>
      </c>
      <c r="F414" s="8">
        <v>5</v>
      </c>
      <c r="G414" s="8" t="str" cm="1">
        <f t="array" ref="G414">_xlfn.IFS(F414&lt;4,"Night",F414&lt;=6,"Early Morning",F414&lt;11,"Morning",F414&lt;12,"Afternoon",F414&lt;=16,"Afternoon",F414&lt;=20,"Evening",F414&gt;=21,"Night")</f>
        <v>Early Morning</v>
      </c>
      <c r="H414" s="8" t="b">
        <v>0</v>
      </c>
      <c r="I414" s="8">
        <v>3</v>
      </c>
      <c r="J414" s="8">
        <v>2</v>
      </c>
      <c r="K414" s="9" t="str" cm="1">
        <f t="array" ref="K414">_xlfn.IFS(J414=1,"Clear",J414=2,"Mist/Cloudy",J414=3,"Rain",J414=4,"Heavy Rain/Thunderstorm")</f>
        <v>Mist/Cloudy</v>
      </c>
      <c r="L414" s="10">
        <v>0.22</v>
      </c>
      <c r="M414" s="42" t="str" cm="1">
        <f t="array" ref="M414">_xlfn.IFS(L414&lt;0.15,"Cold",L414&lt;0.25,"Mild",L414&lt;=0.32,"Warm",L414&gt;=0.33,"Hot")</f>
        <v>Mild</v>
      </c>
    </row>
    <row r="415" spans="1:13" x14ac:dyDescent="0.3">
      <c r="A415" s="6">
        <v>414</v>
      </c>
      <c r="B415" s="7">
        <v>40562</v>
      </c>
      <c r="C415" s="8">
        <v>1</v>
      </c>
      <c r="D415" s="8">
        <v>0</v>
      </c>
      <c r="E415" s="8">
        <v>1</v>
      </c>
      <c r="F415" s="8">
        <v>6</v>
      </c>
      <c r="G415" s="8" t="str" cm="1">
        <f t="array" ref="G415">_xlfn.IFS(F415&lt;4,"Night",F415&lt;=6,"Early Morning",F415&lt;11,"Morning",F415&lt;12,"Afternoon",F415&lt;=16,"Afternoon",F415&lt;=20,"Evening",F415&gt;=21,"Night")</f>
        <v>Early Morning</v>
      </c>
      <c r="H415" s="8" t="b">
        <v>0</v>
      </c>
      <c r="I415" s="8">
        <v>3</v>
      </c>
      <c r="J415" s="8">
        <v>2</v>
      </c>
      <c r="K415" s="9" t="str" cm="1">
        <f t="array" ref="K415">_xlfn.IFS(J415=1,"Clear",J415=2,"Mist/Cloudy",J415=3,"Rain",J415=4,"Heavy Rain/Thunderstorm")</f>
        <v>Mist/Cloudy</v>
      </c>
      <c r="L415" s="10">
        <v>0.22</v>
      </c>
      <c r="M415" s="42" t="str" cm="1">
        <f t="array" ref="M415">_xlfn.IFS(L415&lt;0.15,"Cold",L415&lt;0.25,"Mild",L415&lt;=0.32,"Warm",L415&gt;=0.33,"Hot")</f>
        <v>Mild</v>
      </c>
    </row>
    <row r="416" spans="1:13" x14ac:dyDescent="0.3">
      <c r="A416" s="6">
        <v>415</v>
      </c>
      <c r="B416" s="7">
        <v>40562</v>
      </c>
      <c r="C416" s="8">
        <v>1</v>
      </c>
      <c r="D416" s="8">
        <v>0</v>
      </c>
      <c r="E416" s="8">
        <v>1</v>
      </c>
      <c r="F416" s="8">
        <v>7</v>
      </c>
      <c r="G416" s="8" t="str" cm="1">
        <f t="array" ref="G416">_xlfn.IFS(F416&lt;4,"Night",F416&lt;=6,"Early Morning",F416&lt;11,"Morning",F416&lt;12,"Afternoon",F416&lt;=16,"Afternoon",F416&lt;=20,"Evening",F416&gt;=21,"Night")</f>
        <v>Morning</v>
      </c>
      <c r="H416" s="8" t="b">
        <v>0</v>
      </c>
      <c r="I416" s="8">
        <v>3</v>
      </c>
      <c r="J416" s="8">
        <v>2</v>
      </c>
      <c r="K416" s="9" t="str" cm="1">
        <f t="array" ref="K416">_xlfn.IFS(J416=1,"Clear",J416=2,"Mist/Cloudy",J416=3,"Rain",J416=4,"Heavy Rain/Thunderstorm")</f>
        <v>Mist/Cloudy</v>
      </c>
      <c r="L416" s="10">
        <v>0.24</v>
      </c>
      <c r="M416" s="42" t="str" cm="1">
        <f t="array" ref="M416">_xlfn.IFS(L416&lt;0.15,"Cold",L416&lt;0.25,"Mild",L416&lt;=0.32,"Warm",L416&gt;=0.33,"Hot")</f>
        <v>Mild</v>
      </c>
    </row>
    <row r="417" spans="1:13" x14ac:dyDescent="0.3">
      <c r="A417" s="6">
        <v>416</v>
      </c>
      <c r="B417" s="7">
        <v>40562</v>
      </c>
      <c r="C417" s="8">
        <v>1</v>
      </c>
      <c r="D417" s="8">
        <v>0</v>
      </c>
      <c r="E417" s="8">
        <v>1</v>
      </c>
      <c r="F417" s="8">
        <v>8</v>
      </c>
      <c r="G417" s="8" t="str" cm="1">
        <f t="array" ref="G417">_xlfn.IFS(F417&lt;4,"Night",F417&lt;=6,"Early Morning",F417&lt;11,"Morning",F417&lt;12,"Afternoon",F417&lt;=16,"Afternoon",F417&lt;=20,"Evening",F417&gt;=21,"Night")</f>
        <v>Morning</v>
      </c>
      <c r="H417" s="8" t="b">
        <v>0</v>
      </c>
      <c r="I417" s="8">
        <v>3</v>
      </c>
      <c r="J417" s="8">
        <v>2</v>
      </c>
      <c r="K417" s="9" t="str" cm="1">
        <f t="array" ref="K417">_xlfn.IFS(J417=1,"Clear",J417=2,"Mist/Cloudy",J417=3,"Rain",J417=4,"Heavy Rain/Thunderstorm")</f>
        <v>Mist/Cloudy</v>
      </c>
      <c r="L417" s="10">
        <v>0.24</v>
      </c>
      <c r="M417" s="42" t="str" cm="1">
        <f t="array" ref="M417">_xlfn.IFS(L417&lt;0.15,"Cold",L417&lt;0.25,"Mild",L417&lt;=0.32,"Warm",L417&gt;=0.33,"Hot")</f>
        <v>Mild</v>
      </c>
    </row>
    <row r="418" spans="1:13" x14ac:dyDescent="0.3">
      <c r="A418" s="6">
        <v>417</v>
      </c>
      <c r="B418" s="7">
        <v>40562</v>
      </c>
      <c r="C418" s="8">
        <v>1</v>
      </c>
      <c r="D418" s="8">
        <v>0</v>
      </c>
      <c r="E418" s="8">
        <v>1</v>
      </c>
      <c r="F418" s="8">
        <v>9</v>
      </c>
      <c r="G418" s="8" t="str" cm="1">
        <f t="array" ref="G418">_xlfn.IFS(F418&lt;4,"Night",F418&lt;=6,"Early Morning",F418&lt;11,"Morning",F418&lt;12,"Afternoon",F418&lt;=16,"Afternoon",F418&lt;=20,"Evening",F418&gt;=21,"Night")</f>
        <v>Morning</v>
      </c>
      <c r="H418" s="8" t="b">
        <v>0</v>
      </c>
      <c r="I418" s="8">
        <v>3</v>
      </c>
      <c r="J418" s="8">
        <v>2</v>
      </c>
      <c r="K418" s="9" t="str" cm="1">
        <f t="array" ref="K418">_xlfn.IFS(J418=1,"Clear",J418=2,"Mist/Cloudy",J418=3,"Rain",J418=4,"Heavy Rain/Thunderstorm")</f>
        <v>Mist/Cloudy</v>
      </c>
      <c r="L418" s="10">
        <v>0.24</v>
      </c>
      <c r="M418" s="42" t="str" cm="1">
        <f t="array" ref="M418">_xlfn.IFS(L418&lt;0.15,"Cold",L418&lt;0.25,"Mild",L418&lt;=0.32,"Warm",L418&gt;=0.33,"Hot")</f>
        <v>Mild</v>
      </c>
    </row>
    <row r="419" spans="1:13" x14ac:dyDescent="0.3">
      <c r="A419" s="6">
        <v>418</v>
      </c>
      <c r="B419" s="7">
        <v>40562</v>
      </c>
      <c r="C419" s="8">
        <v>1</v>
      </c>
      <c r="D419" s="8">
        <v>0</v>
      </c>
      <c r="E419" s="8">
        <v>1</v>
      </c>
      <c r="F419" s="8">
        <v>10</v>
      </c>
      <c r="G419" s="8" t="str" cm="1">
        <f t="array" ref="G419">_xlfn.IFS(F419&lt;4,"Night",F419&lt;=6,"Early Morning",F419&lt;11,"Morning",F419&lt;12,"Afternoon",F419&lt;=16,"Afternoon",F419&lt;=20,"Evening",F419&gt;=21,"Night")</f>
        <v>Morning</v>
      </c>
      <c r="H419" s="8" t="b">
        <v>0</v>
      </c>
      <c r="I419" s="8">
        <v>3</v>
      </c>
      <c r="J419" s="8">
        <v>2</v>
      </c>
      <c r="K419" s="9" t="str" cm="1">
        <f t="array" ref="K419">_xlfn.IFS(J419=1,"Clear",J419=2,"Mist/Cloudy",J419=3,"Rain",J419=4,"Heavy Rain/Thunderstorm")</f>
        <v>Mist/Cloudy</v>
      </c>
      <c r="L419" s="10">
        <v>0.26</v>
      </c>
      <c r="M419" s="42" t="str" cm="1">
        <f t="array" ref="M419">_xlfn.IFS(L419&lt;0.15,"Cold",L419&lt;0.25,"Mild",L419&lt;=0.32,"Warm",L419&gt;=0.33,"Hot")</f>
        <v>Warm</v>
      </c>
    </row>
    <row r="420" spans="1:13" x14ac:dyDescent="0.3">
      <c r="A420" s="6">
        <v>419</v>
      </c>
      <c r="B420" s="7">
        <v>40562</v>
      </c>
      <c r="C420" s="8">
        <v>1</v>
      </c>
      <c r="D420" s="8">
        <v>0</v>
      </c>
      <c r="E420" s="8">
        <v>1</v>
      </c>
      <c r="F420" s="8">
        <v>11</v>
      </c>
      <c r="G420" s="8" t="str" cm="1">
        <f t="array" ref="G420">_xlfn.IFS(F420&lt;4,"Night",F420&lt;=6,"Early Morning",F420&lt;11,"Morning",F420&lt;12,"Afternoon",F420&lt;=16,"Afternoon",F420&lt;=20,"Evening",F420&gt;=21,"Night")</f>
        <v>Afternoon</v>
      </c>
      <c r="H420" s="8" t="b">
        <v>0</v>
      </c>
      <c r="I420" s="8">
        <v>3</v>
      </c>
      <c r="J420" s="8">
        <v>2</v>
      </c>
      <c r="K420" s="9" t="str" cm="1">
        <f t="array" ref="K420">_xlfn.IFS(J420=1,"Clear",J420=2,"Mist/Cloudy",J420=3,"Rain",J420=4,"Heavy Rain/Thunderstorm")</f>
        <v>Mist/Cloudy</v>
      </c>
      <c r="L420" s="10">
        <v>0.28000000000000003</v>
      </c>
      <c r="M420" s="42" t="str" cm="1">
        <f t="array" ref="M420">_xlfn.IFS(L420&lt;0.15,"Cold",L420&lt;0.25,"Mild",L420&lt;=0.32,"Warm",L420&gt;=0.33,"Hot")</f>
        <v>Warm</v>
      </c>
    </row>
    <row r="421" spans="1:13" x14ac:dyDescent="0.3">
      <c r="A421" s="6">
        <v>420</v>
      </c>
      <c r="B421" s="7">
        <v>40562</v>
      </c>
      <c r="C421" s="8">
        <v>1</v>
      </c>
      <c r="D421" s="8">
        <v>0</v>
      </c>
      <c r="E421" s="8">
        <v>1</v>
      </c>
      <c r="F421" s="8">
        <v>12</v>
      </c>
      <c r="G421" s="8" t="str" cm="1">
        <f t="array" ref="G421">_xlfn.IFS(F421&lt;4,"Night",F421&lt;=6,"Early Morning",F421&lt;11,"Morning",F421&lt;12,"Afternoon",F421&lt;=16,"Afternoon",F421&lt;=20,"Evening",F421&gt;=21,"Night")</f>
        <v>Afternoon</v>
      </c>
      <c r="H421" s="8" t="b">
        <v>0</v>
      </c>
      <c r="I421" s="8">
        <v>3</v>
      </c>
      <c r="J421" s="8">
        <v>2</v>
      </c>
      <c r="K421" s="9" t="str" cm="1">
        <f t="array" ref="K421">_xlfn.IFS(J421=1,"Clear",J421=2,"Mist/Cloudy",J421=3,"Rain",J421=4,"Heavy Rain/Thunderstorm")</f>
        <v>Mist/Cloudy</v>
      </c>
      <c r="L421" s="10">
        <v>0.3</v>
      </c>
      <c r="M421" s="42" t="str" cm="1">
        <f t="array" ref="M421">_xlfn.IFS(L421&lt;0.15,"Cold",L421&lt;0.25,"Mild",L421&lt;=0.32,"Warm",L421&gt;=0.33,"Hot")</f>
        <v>Warm</v>
      </c>
    </row>
    <row r="422" spans="1:13" x14ac:dyDescent="0.3">
      <c r="A422" s="6">
        <v>421</v>
      </c>
      <c r="B422" s="7">
        <v>40562</v>
      </c>
      <c r="C422" s="8">
        <v>1</v>
      </c>
      <c r="D422" s="8">
        <v>0</v>
      </c>
      <c r="E422" s="8">
        <v>1</v>
      </c>
      <c r="F422" s="8">
        <v>13</v>
      </c>
      <c r="G422" s="8" t="str" cm="1">
        <f t="array" ref="G422">_xlfn.IFS(F422&lt;4,"Night",F422&lt;=6,"Early Morning",F422&lt;11,"Morning",F422&lt;12,"Afternoon",F422&lt;=16,"Afternoon",F422&lt;=20,"Evening",F422&gt;=21,"Night")</f>
        <v>Afternoon</v>
      </c>
      <c r="H422" s="8" t="b">
        <v>0</v>
      </c>
      <c r="I422" s="8">
        <v>3</v>
      </c>
      <c r="J422" s="8">
        <v>1</v>
      </c>
      <c r="K422" s="9" t="str" cm="1">
        <f t="array" ref="K422">_xlfn.IFS(J422=1,"Clear",J422=2,"Mist/Cloudy",J422=3,"Rain",J422=4,"Heavy Rain/Thunderstorm")</f>
        <v>Clear</v>
      </c>
      <c r="L422" s="10">
        <v>0.4</v>
      </c>
      <c r="M422" s="42" t="str" cm="1">
        <f t="array" ref="M422">_xlfn.IFS(L422&lt;0.15,"Cold",L422&lt;0.25,"Mild",L422&lt;=0.32,"Warm",L422&gt;=0.33,"Hot")</f>
        <v>Hot</v>
      </c>
    </row>
    <row r="423" spans="1:13" x14ac:dyDescent="0.3">
      <c r="A423" s="6">
        <v>422</v>
      </c>
      <c r="B423" s="7">
        <v>40562</v>
      </c>
      <c r="C423" s="8">
        <v>1</v>
      </c>
      <c r="D423" s="8">
        <v>0</v>
      </c>
      <c r="E423" s="8">
        <v>1</v>
      </c>
      <c r="F423" s="8">
        <v>14</v>
      </c>
      <c r="G423" s="8" t="str" cm="1">
        <f t="array" ref="G423">_xlfn.IFS(F423&lt;4,"Night",F423&lt;=6,"Early Morning",F423&lt;11,"Morning",F423&lt;12,"Afternoon",F423&lt;=16,"Afternoon",F423&lt;=20,"Evening",F423&gt;=21,"Night")</f>
        <v>Afternoon</v>
      </c>
      <c r="H423" s="8" t="b">
        <v>0</v>
      </c>
      <c r="I423" s="8">
        <v>3</v>
      </c>
      <c r="J423" s="8">
        <v>1</v>
      </c>
      <c r="K423" s="9" t="str" cm="1">
        <f t="array" ref="K423">_xlfn.IFS(J423=1,"Clear",J423=2,"Mist/Cloudy",J423=3,"Rain",J423=4,"Heavy Rain/Thunderstorm")</f>
        <v>Clear</v>
      </c>
      <c r="L423" s="10">
        <v>0.4</v>
      </c>
      <c r="M423" s="42" t="str" cm="1">
        <f t="array" ref="M423">_xlfn.IFS(L423&lt;0.15,"Cold",L423&lt;0.25,"Mild",L423&lt;=0.32,"Warm",L423&gt;=0.33,"Hot")</f>
        <v>Hot</v>
      </c>
    </row>
    <row r="424" spans="1:13" x14ac:dyDescent="0.3">
      <c r="A424" s="6">
        <v>423</v>
      </c>
      <c r="B424" s="7">
        <v>40562</v>
      </c>
      <c r="C424" s="8">
        <v>1</v>
      </c>
      <c r="D424" s="8">
        <v>0</v>
      </c>
      <c r="E424" s="8">
        <v>1</v>
      </c>
      <c r="F424" s="8">
        <v>15</v>
      </c>
      <c r="G424" s="8" t="str" cm="1">
        <f t="array" ref="G424">_xlfn.IFS(F424&lt;4,"Night",F424&lt;=6,"Early Morning",F424&lt;11,"Morning",F424&lt;12,"Afternoon",F424&lt;=16,"Afternoon",F424&lt;=20,"Evening",F424&gt;=21,"Night")</f>
        <v>Afternoon</v>
      </c>
      <c r="H424" s="8" t="b">
        <v>0</v>
      </c>
      <c r="I424" s="8">
        <v>3</v>
      </c>
      <c r="J424" s="8">
        <v>1</v>
      </c>
      <c r="K424" s="9" t="str" cm="1">
        <f t="array" ref="K424">_xlfn.IFS(J424=1,"Clear",J424=2,"Mist/Cloudy",J424=3,"Rain",J424=4,"Heavy Rain/Thunderstorm")</f>
        <v>Clear</v>
      </c>
      <c r="L424" s="10">
        <v>0.4</v>
      </c>
      <c r="M424" s="42" t="str" cm="1">
        <f t="array" ref="M424">_xlfn.IFS(L424&lt;0.15,"Cold",L424&lt;0.25,"Mild",L424&lt;=0.32,"Warm",L424&gt;=0.33,"Hot")</f>
        <v>Hot</v>
      </c>
    </row>
    <row r="425" spans="1:13" x14ac:dyDescent="0.3">
      <c r="A425" s="6">
        <v>424</v>
      </c>
      <c r="B425" s="7">
        <v>40562</v>
      </c>
      <c r="C425" s="8">
        <v>1</v>
      </c>
      <c r="D425" s="8">
        <v>0</v>
      </c>
      <c r="E425" s="8">
        <v>1</v>
      </c>
      <c r="F425" s="8">
        <v>16</v>
      </c>
      <c r="G425" s="8" t="str" cm="1">
        <f t="array" ref="G425">_xlfn.IFS(F425&lt;4,"Night",F425&lt;=6,"Early Morning",F425&lt;11,"Morning",F425&lt;12,"Afternoon",F425&lt;=16,"Afternoon",F425&lt;=20,"Evening",F425&gt;=21,"Night")</f>
        <v>Afternoon</v>
      </c>
      <c r="H425" s="8" t="b">
        <v>0</v>
      </c>
      <c r="I425" s="8">
        <v>3</v>
      </c>
      <c r="J425" s="8">
        <v>1</v>
      </c>
      <c r="K425" s="9" t="str" cm="1">
        <f t="array" ref="K425">_xlfn.IFS(J425=1,"Clear",J425=2,"Mist/Cloudy",J425=3,"Rain",J425=4,"Heavy Rain/Thunderstorm")</f>
        <v>Clear</v>
      </c>
      <c r="L425" s="10">
        <v>0.38</v>
      </c>
      <c r="M425" s="42" t="str" cm="1">
        <f t="array" ref="M425">_xlfn.IFS(L425&lt;0.15,"Cold",L425&lt;0.25,"Mild",L425&lt;=0.32,"Warm",L425&gt;=0.33,"Hot")</f>
        <v>Hot</v>
      </c>
    </row>
    <row r="426" spans="1:13" x14ac:dyDescent="0.3">
      <c r="A426" s="6">
        <v>425</v>
      </c>
      <c r="B426" s="7">
        <v>40562</v>
      </c>
      <c r="C426" s="8">
        <v>1</v>
      </c>
      <c r="D426" s="8">
        <v>0</v>
      </c>
      <c r="E426" s="8">
        <v>1</v>
      </c>
      <c r="F426" s="8">
        <v>17</v>
      </c>
      <c r="G426" s="8" t="str" cm="1">
        <f t="array" ref="G426">_xlfn.IFS(F426&lt;4,"Night",F426&lt;=6,"Early Morning",F426&lt;11,"Morning",F426&lt;12,"Afternoon",F426&lt;=16,"Afternoon",F426&lt;=20,"Evening",F426&gt;=21,"Night")</f>
        <v>Evening</v>
      </c>
      <c r="H426" s="8" t="b">
        <v>0</v>
      </c>
      <c r="I426" s="8">
        <v>3</v>
      </c>
      <c r="J426" s="8">
        <v>1</v>
      </c>
      <c r="K426" s="9" t="str" cm="1">
        <f t="array" ref="K426">_xlfn.IFS(J426=1,"Clear",J426=2,"Mist/Cloudy",J426=3,"Rain",J426=4,"Heavy Rain/Thunderstorm")</f>
        <v>Clear</v>
      </c>
      <c r="L426" s="10">
        <v>0.36</v>
      </c>
      <c r="M426" s="42" t="str" cm="1">
        <f t="array" ref="M426">_xlfn.IFS(L426&lt;0.15,"Cold",L426&lt;0.25,"Mild",L426&lt;=0.32,"Warm",L426&gt;=0.33,"Hot")</f>
        <v>Hot</v>
      </c>
    </row>
    <row r="427" spans="1:13" x14ac:dyDescent="0.3">
      <c r="A427" s="6">
        <v>426</v>
      </c>
      <c r="B427" s="7">
        <v>40562</v>
      </c>
      <c r="C427" s="8">
        <v>1</v>
      </c>
      <c r="D427" s="8">
        <v>0</v>
      </c>
      <c r="E427" s="8">
        <v>1</v>
      </c>
      <c r="F427" s="8">
        <v>18</v>
      </c>
      <c r="G427" s="8" t="str" cm="1">
        <f t="array" ref="G427">_xlfn.IFS(F427&lt;4,"Night",F427&lt;=6,"Early Morning",F427&lt;11,"Morning",F427&lt;12,"Afternoon",F427&lt;=16,"Afternoon",F427&lt;=20,"Evening",F427&gt;=21,"Night")</f>
        <v>Evening</v>
      </c>
      <c r="H427" s="8" t="b">
        <v>0</v>
      </c>
      <c r="I427" s="8">
        <v>3</v>
      </c>
      <c r="J427" s="8">
        <v>1</v>
      </c>
      <c r="K427" s="9" t="str" cm="1">
        <f t="array" ref="K427">_xlfn.IFS(J427=1,"Clear",J427=2,"Mist/Cloudy",J427=3,"Rain",J427=4,"Heavy Rain/Thunderstorm")</f>
        <v>Clear</v>
      </c>
      <c r="L427" s="10">
        <v>0.34</v>
      </c>
      <c r="M427" s="42" t="str" cm="1">
        <f t="array" ref="M427">_xlfn.IFS(L427&lt;0.15,"Cold",L427&lt;0.25,"Mild",L427&lt;=0.32,"Warm",L427&gt;=0.33,"Hot")</f>
        <v>Hot</v>
      </c>
    </row>
    <row r="428" spans="1:13" x14ac:dyDescent="0.3">
      <c r="A428" s="6">
        <v>427</v>
      </c>
      <c r="B428" s="7">
        <v>40562</v>
      </c>
      <c r="C428" s="8">
        <v>1</v>
      </c>
      <c r="D428" s="8">
        <v>0</v>
      </c>
      <c r="E428" s="8">
        <v>1</v>
      </c>
      <c r="F428" s="8">
        <v>19</v>
      </c>
      <c r="G428" s="8" t="str" cm="1">
        <f t="array" ref="G428">_xlfn.IFS(F428&lt;4,"Night",F428&lt;=6,"Early Morning",F428&lt;11,"Morning",F428&lt;12,"Afternoon",F428&lt;=16,"Afternoon",F428&lt;=20,"Evening",F428&gt;=21,"Night")</f>
        <v>Evening</v>
      </c>
      <c r="H428" s="8" t="b">
        <v>0</v>
      </c>
      <c r="I428" s="8">
        <v>3</v>
      </c>
      <c r="J428" s="8">
        <v>1</v>
      </c>
      <c r="K428" s="9" t="str" cm="1">
        <f t="array" ref="K428">_xlfn.IFS(J428=1,"Clear",J428=2,"Mist/Cloudy",J428=3,"Rain",J428=4,"Heavy Rain/Thunderstorm")</f>
        <v>Clear</v>
      </c>
      <c r="L428" s="10">
        <v>0.32</v>
      </c>
      <c r="M428" s="42" t="str" cm="1">
        <f t="array" ref="M428">_xlfn.IFS(L428&lt;0.15,"Cold",L428&lt;0.25,"Mild",L428&lt;=0.32,"Warm",L428&gt;=0.33,"Hot")</f>
        <v>Warm</v>
      </c>
    </row>
    <row r="429" spans="1:13" x14ac:dyDescent="0.3">
      <c r="A429" s="6">
        <v>428</v>
      </c>
      <c r="B429" s="7">
        <v>40562</v>
      </c>
      <c r="C429" s="8">
        <v>1</v>
      </c>
      <c r="D429" s="8">
        <v>0</v>
      </c>
      <c r="E429" s="8">
        <v>1</v>
      </c>
      <c r="F429" s="8">
        <v>20</v>
      </c>
      <c r="G429" s="8" t="str" cm="1">
        <f t="array" ref="G429">_xlfn.IFS(F429&lt;4,"Night",F429&lt;=6,"Early Morning",F429&lt;11,"Morning",F429&lt;12,"Afternoon",F429&lt;=16,"Afternoon",F429&lt;=20,"Evening",F429&gt;=21,"Night")</f>
        <v>Evening</v>
      </c>
      <c r="H429" s="8" t="b">
        <v>0</v>
      </c>
      <c r="I429" s="8">
        <v>3</v>
      </c>
      <c r="J429" s="8">
        <v>1</v>
      </c>
      <c r="K429" s="9" t="str" cm="1">
        <f t="array" ref="K429">_xlfn.IFS(J429=1,"Clear",J429=2,"Mist/Cloudy",J429=3,"Rain",J429=4,"Heavy Rain/Thunderstorm")</f>
        <v>Clear</v>
      </c>
      <c r="L429" s="10">
        <v>0.32</v>
      </c>
      <c r="M429" s="42" t="str" cm="1">
        <f t="array" ref="M429">_xlfn.IFS(L429&lt;0.15,"Cold",L429&lt;0.25,"Mild",L429&lt;=0.32,"Warm",L429&gt;=0.33,"Hot")</f>
        <v>Warm</v>
      </c>
    </row>
    <row r="430" spans="1:13" x14ac:dyDescent="0.3">
      <c r="A430" s="6">
        <v>429</v>
      </c>
      <c r="B430" s="7">
        <v>40562</v>
      </c>
      <c r="C430" s="8">
        <v>1</v>
      </c>
      <c r="D430" s="8">
        <v>0</v>
      </c>
      <c r="E430" s="8">
        <v>1</v>
      </c>
      <c r="F430" s="8">
        <v>21</v>
      </c>
      <c r="G430" s="8" t="str" cm="1">
        <f t="array" ref="G430">_xlfn.IFS(F430&lt;4,"Night",F430&lt;=6,"Early Morning",F430&lt;11,"Morning",F430&lt;12,"Afternoon",F430&lt;=16,"Afternoon",F430&lt;=20,"Evening",F430&gt;=21,"Night")</f>
        <v>Night</v>
      </c>
      <c r="H430" s="8" t="b">
        <v>0</v>
      </c>
      <c r="I430" s="8">
        <v>3</v>
      </c>
      <c r="J430" s="8">
        <v>1</v>
      </c>
      <c r="K430" s="9" t="str" cm="1">
        <f t="array" ref="K430">_xlfn.IFS(J430=1,"Clear",J430=2,"Mist/Cloudy",J430=3,"Rain",J430=4,"Heavy Rain/Thunderstorm")</f>
        <v>Clear</v>
      </c>
      <c r="L430" s="10">
        <v>0.32</v>
      </c>
      <c r="M430" s="42" t="str" cm="1">
        <f t="array" ref="M430">_xlfn.IFS(L430&lt;0.15,"Cold",L430&lt;0.25,"Mild",L430&lt;=0.32,"Warm",L430&gt;=0.33,"Hot")</f>
        <v>Warm</v>
      </c>
    </row>
    <row r="431" spans="1:13" x14ac:dyDescent="0.3">
      <c r="A431" s="6">
        <v>430</v>
      </c>
      <c r="B431" s="7">
        <v>40562</v>
      </c>
      <c r="C431" s="8">
        <v>1</v>
      </c>
      <c r="D431" s="8">
        <v>0</v>
      </c>
      <c r="E431" s="8">
        <v>1</v>
      </c>
      <c r="F431" s="8">
        <v>22</v>
      </c>
      <c r="G431" s="8" t="str" cm="1">
        <f t="array" ref="G431">_xlfn.IFS(F431&lt;4,"Night",F431&lt;=6,"Early Morning",F431&lt;11,"Morning",F431&lt;12,"Afternoon",F431&lt;=16,"Afternoon",F431&lt;=20,"Evening",F431&gt;=21,"Night")</f>
        <v>Night</v>
      </c>
      <c r="H431" s="8" t="b">
        <v>0</v>
      </c>
      <c r="I431" s="8">
        <v>3</v>
      </c>
      <c r="J431" s="8">
        <v>1</v>
      </c>
      <c r="K431" s="9" t="str" cm="1">
        <f t="array" ref="K431">_xlfn.IFS(J431=1,"Clear",J431=2,"Mist/Cloudy",J431=3,"Rain",J431=4,"Heavy Rain/Thunderstorm")</f>
        <v>Clear</v>
      </c>
      <c r="L431" s="10">
        <v>0.3</v>
      </c>
      <c r="M431" s="42" t="str" cm="1">
        <f t="array" ref="M431">_xlfn.IFS(L431&lt;0.15,"Cold",L431&lt;0.25,"Mild",L431&lt;=0.32,"Warm",L431&gt;=0.33,"Hot")</f>
        <v>Warm</v>
      </c>
    </row>
    <row r="432" spans="1:13" x14ac:dyDescent="0.3">
      <c r="A432" s="6">
        <v>431</v>
      </c>
      <c r="B432" s="7">
        <v>40562</v>
      </c>
      <c r="C432" s="8">
        <v>1</v>
      </c>
      <c r="D432" s="8">
        <v>0</v>
      </c>
      <c r="E432" s="8">
        <v>1</v>
      </c>
      <c r="F432" s="8">
        <v>23</v>
      </c>
      <c r="G432" s="8" t="str" cm="1">
        <f t="array" ref="G432">_xlfn.IFS(F432&lt;4,"Night",F432&lt;=6,"Early Morning",F432&lt;11,"Morning",F432&lt;12,"Afternoon",F432&lt;=16,"Afternoon",F432&lt;=20,"Evening",F432&gt;=21,"Night")</f>
        <v>Night</v>
      </c>
      <c r="H432" s="8" t="b">
        <v>0</v>
      </c>
      <c r="I432" s="8">
        <v>3</v>
      </c>
      <c r="J432" s="8">
        <v>1</v>
      </c>
      <c r="K432" s="9" t="str" cm="1">
        <f t="array" ref="K432">_xlfn.IFS(J432=1,"Clear",J432=2,"Mist/Cloudy",J432=3,"Rain",J432=4,"Heavy Rain/Thunderstorm")</f>
        <v>Clear</v>
      </c>
      <c r="L432" s="10">
        <v>0.3</v>
      </c>
      <c r="M432" s="42" t="str" cm="1">
        <f t="array" ref="M432">_xlfn.IFS(L432&lt;0.15,"Cold",L432&lt;0.25,"Mild",L432&lt;=0.32,"Warm",L432&gt;=0.33,"Hot")</f>
        <v>Warm</v>
      </c>
    </row>
    <row r="433" spans="1:13" x14ac:dyDescent="0.3">
      <c r="A433" s="6">
        <v>432</v>
      </c>
      <c r="B433" s="7">
        <v>40563</v>
      </c>
      <c r="C433" s="8">
        <v>1</v>
      </c>
      <c r="D433" s="8">
        <v>0</v>
      </c>
      <c r="E433" s="8">
        <v>1</v>
      </c>
      <c r="F433" s="8">
        <v>0</v>
      </c>
      <c r="G433" s="8" t="str" cm="1">
        <f t="array" ref="G433">_xlfn.IFS(F433&lt;4,"Night",F433&lt;=6,"Early Morning",F433&lt;11,"Morning",F433&lt;12,"Afternoon",F433&lt;=16,"Afternoon",F433&lt;=20,"Evening",F433&gt;=21,"Night")</f>
        <v>Night</v>
      </c>
      <c r="H433" s="8" t="b">
        <v>0</v>
      </c>
      <c r="I433" s="8">
        <v>4</v>
      </c>
      <c r="J433" s="8">
        <v>1</v>
      </c>
      <c r="K433" s="9" t="str" cm="1">
        <f t="array" ref="K433">_xlfn.IFS(J433=1,"Clear",J433=2,"Mist/Cloudy",J433=3,"Rain",J433=4,"Heavy Rain/Thunderstorm")</f>
        <v>Clear</v>
      </c>
      <c r="L433" s="10">
        <v>0.26</v>
      </c>
      <c r="M433" s="42" t="str" cm="1">
        <f t="array" ref="M433">_xlfn.IFS(L433&lt;0.15,"Cold",L433&lt;0.25,"Mild",L433&lt;=0.32,"Warm",L433&gt;=0.33,"Hot")</f>
        <v>Warm</v>
      </c>
    </row>
    <row r="434" spans="1:13" x14ac:dyDescent="0.3">
      <c r="A434" s="6">
        <v>433</v>
      </c>
      <c r="B434" s="7">
        <v>40563</v>
      </c>
      <c r="C434" s="8">
        <v>1</v>
      </c>
      <c r="D434" s="8">
        <v>0</v>
      </c>
      <c r="E434" s="8">
        <v>1</v>
      </c>
      <c r="F434" s="8">
        <v>1</v>
      </c>
      <c r="G434" s="8" t="str" cm="1">
        <f t="array" ref="G434">_xlfn.IFS(F434&lt;4,"Night",F434&lt;=6,"Early Morning",F434&lt;11,"Morning",F434&lt;12,"Afternoon",F434&lt;=16,"Afternoon",F434&lt;=20,"Evening",F434&gt;=21,"Night")</f>
        <v>Night</v>
      </c>
      <c r="H434" s="8" t="b">
        <v>0</v>
      </c>
      <c r="I434" s="8">
        <v>4</v>
      </c>
      <c r="J434" s="8">
        <v>1</v>
      </c>
      <c r="K434" s="9" t="str" cm="1">
        <f t="array" ref="K434">_xlfn.IFS(J434=1,"Clear",J434=2,"Mist/Cloudy",J434=3,"Rain",J434=4,"Heavy Rain/Thunderstorm")</f>
        <v>Clear</v>
      </c>
      <c r="L434" s="10">
        <v>0.26</v>
      </c>
      <c r="M434" s="42" t="str" cm="1">
        <f t="array" ref="M434">_xlfn.IFS(L434&lt;0.15,"Cold",L434&lt;0.25,"Mild",L434&lt;=0.32,"Warm",L434&gt;=0.33,"Hot")</f>
        <v>Warm</v>
      </c>
    </row>
    <row r="435" spans="1:13" x14ac:dyDescent="0.3">
      <c r="A435" s="6">
        <v>434</v>
      </c>
      <c r="B435" s="7">
        <v>40563</v>
      </c>
      <c r="C435" s="8">
        <v>1</v>
      </c>
      <c r="D435" s="8">
        <v>0</v>
      </c>
      <c r="E435" s="8">
        <v>1</v>
      </c>
      <c r="F435" s="8">
        <v>2</v>
      </c>
      <c r="G435" s="8" t="str" cm="1">
        <f t="array" ref="G435">_xlfn.IFS(F435&lt;4,"Night",F435&lt;=6,"Early Morning",F435&lt;11,"Morning",F435&lt;12,"Afternoon",F435&lt;=16,"Afternoon",F435&lt;=20,"Evening",F435&gt;=21,"Night")</f>
        <v>Night</v>
      </c>
      <c r="H435" s="8" t="b">
        <v>0</v>
      </c>
      <c r="I435" s="8">
        <v>4</v>
      </c>
      <c r="J435" s="8">
        <v>1</v>
      </c>
      <c r="K435" s="9" t="str" cm="1">
        <f t="array" ref="K435">_xlfn.IFS(J435=1,"Clear",J435=2,"Mist/Cloudy",J435=3,"Rain",J435=4,"Heavy Rain/Thunderstorm")</f>
        <v>Clear</v>
      </c>
      <c r="L435" s="10">
        <v>0.26</v>
      </c>
      <c r="M435" s="42" t="str" cm="1">
        <f t="array" ref="M435">_xlfn.IFS(L435&lt;0.15,"Cold",L435&lt;0.25,"Mild",L435&lt;=0.32,"Warm",L435&gt;=0.33,"Hot")</f>
        <v>Warm</v>
      </c>
    </row>
    <row r="436" spans="1:13" x14ac:dyDescent="0.3">
      <c r="A436" s="6">
        <v>435</v>
      </c>
      <c r="B436" s="7">
        <v>40563</v>
      </c>
      <c r="C436" s="8">
        <v>1</v>
      </c>
      <c r="D436" s="8">
        <v>0</v>
      </c>
      <c r="E436" s="8">
        <v>1</v>
      </c>
      <c r="F436" s="8">
        <v>3</v>
      </c>
      <c r="G436" s="8" t="str" cm="1">
        <f t="array" ref="G436">_xlfn.IFS(F436&lt;4,"Night",F436&lt;=6,"Early Morning",F436&lt;11,"Morning",F436&lt;12,"Afternoon",F436&lt;=16,"Afternoon",F436&lt;=20,"Evening",F436&gt;=21,"Night")</f>
        <v>Night</v>
      </c>
      <c r="H436" s="8" t="b">
        <v>0</v>
      </c>
      <c r="I436" s="8">
        <v>4</v>
      </c>
      <c r="J436" s="8">
        <v>1</v>
      </c>
      <c r="K436" s="9" t="str" cm="1">
        <f t="array" ref="K436">_xlfn.IFS(J436=1,"Clear",J436=2,"Mist/Cloudy",J436=3,"Rain",J436=4,"Heavy Rain/Thunderstorm")</f>
        <v>Clear</v>
      </c>
      <c r="L436" s="10">
        <v>0.26</v>
      </c>
      <c r="M436" s="42" t="str" cm="1">
        <f t="array" ref="M436">_xlfn.IFS(L436&lt;0.15,"Cold",L436&lt;0.25,"Mild",L436&lt;=0.32,"Warm",L436&gt;=0.33,"Hot")</f>
        <v>Warm</v>
      </c>
    </row>
    <row r="437" spans="1:13" x14ac:dyDescent="0.3">
      <c r="A437" s="6">
        <v>436</v>
      </c>
      <c r="B437" s="7">
        <v>40563</v>
      </c>
      <c r="C437" s="8">
        <v>1</v>
      </c>
      <c r="D437" s="8">
        <v>0</v>
      </c>
      <c r="E437" s="8">
        <v>1</v>
      </c>
      <c r="F437" s="8">
        <v>4</v>
      </c>
      <c r="G437" s="8" t="str" cm="1">
        <f t="array" ref="G437">_xlfn.IFS(F437&lt;4,"Night",F437&lt;=6,"Early Morning",F437&lt;11,"Morning",F437&lt;12,"Afternoon",F437&lt;=16,"Afternoon",F437&lt;=20,"Evening",F437&gt;=21,"Night")</f>
        <v>Early Morning</v>
      </c>
      <c r="H437" s="8" t="b">
        <v>0</v>
      </c>
      <c r="I437" s="8">
        <v>4</v>
      </c>
      <c r="J437" s="8">
        <v>1</v>
      </c>
      <c r="K437" s="9" t="str" cm="1">
        <f t="array" ref="K437">_xlfn.IFS(J437=1,"Clear",J437=2,"Mist/Cloudy",J437=3,"Rain",J437=4,"Heavy Rain/Thunderstorm")</f>
        <v>Clear</v>
      </c>
      <c r="L437" s="10">
        <v>0.26</v>
      </c>
      <c r="M437" s="42" t="str" cm="1">
        <f t="array" ref="M437">_xlfn.IFS(L437&lt;0.15,"Cold",L437&lt;0.25,"Mild",L437&lt;=0.32,"Warm",L437&gt;=0.33,"Hot")</f>
        <v>Warm</v>
      </c>
    </row>
    <row r="438" spans="1:13" x14ac:dyDescent="0.3">
      <c r="A438" s="6">
        <v>437</v>
      </c>
      <c r="B438" s="7">
        <v>40563</v>
      </c>
      <c r="C438" s="8">
        <v>1</v>
      </c>
      <c r="D438" s="8">
        <v>0</v>
      </c>
      <c r="E438" s="8">
        <v>1</v>
      </c>
      <c r="F438" s="8">
        <v>5</v>
      </c>
      <c r="G438" s="8" t="str" cm="1">
        <f t="array" ref="G438">_xlfn.IFS(F438&lt;4,"Night",F438&lt;=6,"Early Morning",F438&lt;11,"Morning",F438&lt;12,"Afternoon",F438&lt;=16,"Afternoon",F438&lt;=20,"Evening",F438&gt;=21,"Night")</f>
        <v>Early Morning</v>
      </c>
      <c r="H438" s="8" t="b">
        <v>0</v>
      </c>
      <c r="I438" s="8">
        <v>4</v>
      </c>
      <c r="J438" s="8">
        <v>1</v>
      </c>
      <c r="K438" s="9" t="str" cm="1">
        <f t="array" ref="K438">_xlfn.IFS(J438=1,"Clear",J438=2,"Mist/Cloudy",J438=3,"Rain",J438=4,"Heavy Rain/Thunderstorm")</f>
        <v>Clear</v>
      </c>
      <c r="L438" s="10">
        <v>0.24</v>
      </c>
      <c r="M438" s="42" t="str" cm="1">
        <f t="array" ref="M438">_xlfn.IFS(L438&lt;0.15,"Cold",L438&lt;0.25,"Mild",L438&lt;=0.32,"Warm",L438&gt;=0.33,"Hot")</f>
        <v>Mild</v>
      </c>
    </row>
    <row r="439" spans="1:13" x14ac:dyDescent="0.3">
      <c r="A439" s="6">
        <v>438</v>
      </c>
      <c r="B439" s="7">
        <v>40563</v>
      </c>
      <c r="C439" s="8">
        <v>1</v>
      </c>
      <c r="D439" s="8">
        <v>0</v>
      </c>
      <c r="E439" s="8">
        <v>1</v>
      </c>
      <c r="F439" s="8">
        <v>6</v>
      </c>
      <c r="G439" s="8" t="str" cm="1">
        <f t="array" ref="G439">_xlfn.IFS(F439&lt;4,"Night",F439&lt;=6,"Early Morning",F439&lt;11,"Morning",F439&lt;12,"Afternoon",F439&lt;=16,"Afternoon",F439&lt;=20,"Evening",F439&gt;=21,"Night")</f>
        <v>Early Morning</v>
      </c>
      <c r="H439" s="8" t="b">
        <v>0</v>
      </c>
      <c r="I439" s="8">
        <v>4</v>
      </c>
      <c r="J439" s="8">
        <v>1</v>
      </c>
      <c r="K439" s="9" t="str" cm="1">
        <f t="array" ref="K439">_xlfn.IFS(J439=1,"Clear",J439=2,"Mist/Cloudy",J439=3,"Rain",J439=4,"Heavy Rain/Thunderstorm")</f>
        <v>Clear</v>
      </c>
      <c r="L439" s="10">
        <v>0.22</v>
      </c>
      <c r="M439" s="42" t="str" cm="1">
        <f t="array" ref="M439">_xlfn.IFS(L439&lt;0.15,"Cold",L439&lt;0.25,"Mild",L439&lt;=0.32,"Warm",L439&gt;=0.33,"Hot")</f>
        <v>Mild</v>
      </c>
    </row>
    <row r="440" spans="1:13" x14ac:dyDescent="0.3">
      <c r="A440" s="6">
        <v>439</v>
      </c>
      <c r="B440" s="7">
        <v>40563</v>
      </c>
      <c r="C440" s="8">
        <v>1</v>
      </c>
      <c r="D440" s="8">
        <v>0</v>
      </c>
      <c r="E440" s="8">
        <v>1</v>
      </c>
      <c r="F440" s="8">
        <v>7</v>
      </c>
      <c r="G440" s="8" t="str" cm="1">
        <f t="array" ref="G440">_xlfn.IFS(F440&lt;4,"Night",F440&lt;=6,"Early Morning",F440&lt;11,"Morning",F440&lt;12,"Afternoon",F440&lt;=16,"Afternoon",F440&lt;=20,"Evening",F440&gt;=21,"Night")</f>
        <v>Morning</v>
      </c>
      <c r="H440" s="8" t="b">
        <v>0</v>
      </c>
      <c r="I440" s="8">
        <v>4</v>
      </c>
      <c r="J440" s="8">
        <v>1</v>
      </c>
      <c r="K440" s="9" t="str" cm="1">
        <f t="array" ref="K440">_xlfn.IFS(J440=1,"Clear",J440=2,"Mist/Cloudy",J440=3,"Rain",J440=4,"Heavy Rain/Thunderstorm")</f>
        <v>Clear</v>
      </c>
      <c r="L440" s="10">
        <v>0.22</v>
      </c>
      <c r="M440" s="42" t="str" cm="1">
        <f t="array" ref="M440">_xlfn.IFS(L440&lt;0.15,"Cold",L440&lt;0.25,"Mild",L440&lt;=0.32,"Warm",L440&gt;=0.33,"Hot")</f>
        <v>Mild</v>
      </c>
    </row>
    <row r="441" spans="1:13" x14ac:dyDescent="0.3">
      <c r="A441" s="6">
        <v>440</v>
      </c>
      <c r="B441" s="7">
        <v>40563</v>
      </c>
      <c r="C441" s="8">
        <v>1</v>
      </c>
      <c r="D441" s="8">
        <v>0</v>
      </c>
      <c r="E441" s="8">
        <v>1</v>
      </c>
      <c r="F441" s="8">
        <v>8</v>
      </c>
      <c r="G441" s="8" t="str" cm="1">
        <f t="array" ref="G441">_xlfn.IFS(F441&lt;4,"Night",F441&lt;=6,"Early Morning",F441&lt;11,"Morning",F441&lt;12,"Afternoon",F441&lt;=16,"Afternoon",F441&lt;=20,"Evening",F441&gt;=21,"Night")</f>
        <v>Morning</v>
      </c>
      <c r="H441" s="8" t="b">
        <v>0</v>
      </c>
      <c r="I441" s="8">
        <v>4</v>
      </c>
      <c r="J441" s="8">
        <v>1</v>
      </c>
      <c r="K441" s="9" t="str" cm="1">
        <f t="array" ref="K441">_xlfn.IFS(J441=1,"Clear",J441=2,"Mist/Cloudy",J441=3,"Rain",J441=4,"Heavy Rain/Thunderstorm")</f>
        <v>Clear</v>
      </c>
      <c r="L441" s="10">
        <v>0.22</v>
      </c>
      <c r="M441" s="42" t="str" cm="1">
        <f t="array" ref="M441">_xlfn.IFS(L441&lt;0.15,"Cold",L441&lt;0.25,"Mild",L441&lt;=0.32,"Warm",L441&gt;=0.33,"Hot")</f>
        <v>Mild</v>
      </c>
    </row>
    <row r="442" spans="1:13" x14ac:dyDescent="0.3">
      <c r="A442" s="6">
        <v>441</v>
      </c>
      <c r="B442" s="7">
        <v>40563</v>
      </c>
      <c r="C442" s="8">
        <v>1</v>
      </c>
      <c r="D442" s="8">
        <v>0</v>
      </c>
      <c r="E442" s="8">
        <v>1</v>
      </c>
      <c r="F442" s="8">
        <v>9</v>
      </c>
      <c r="G442" s="8" t="str" cm="1">
        <f t="array" ref="G442">_xlfn.IFS(F442&lt;4,"Night",F442&lt;=6,"Early Morning",F442&lt;11,"Morning",F442&lt;12,"Afternoon",F442&lt;=16,"Afternoon",F442&lt;=20,"Evening",F442&gt;=21,"Night")</f>
        <v>Morning</v>
      </c>
      <c r="H442" s="8" t="b">
        <v>0</v>
      </c>
      <c r="I442" s="8">
        <v>4</v>
      </c>
      <c r="J442" s="8">
        <v>2</v>
      </c>
      <c r="K442" s="9" t="str" cm="1">
        <f t="array" ref="K442">_xlfn.IFS(J442=1,"Clear",J442=2,"Mist/Cloudy",J442=3,"Rain",J442=4,"Heavy Rain/Thunderstorm")</f>
        <v>Mist/Cloudy</v>
      </c>
      <c r="L442" s="10">
        <v>0.24</v>
      </c>
      <c r="M442" s="42" t="str" cm="1">
        <f t="array" ref="M442">_xlfn.IFS(L442&lt;0.15,"Cold",L442&lt;0.25,"Mild",L442&lt;=0.32,"Warm",L442&gt;=0.33,"Hot")</f>
        <v>Mild</v>
      </c>
    </row>
    <row r="443" spans="1:13" x14ac:dyDescent="0.3">
      <c r="A443" s="6">
        <v>442</v>
      </c>
      <c r="B443" s="7">
        <v>40563</v>
      </c>
      <c r="C443" s="8">
        <v>1</v>
      </c>
      <c r="D443" s="8">
        <v>0</v>
      </c>
      <c r="E443" s="8">
        <v>1</v>
      </c>
      <c r="F443" s="8">
        <v>10</v>
      </c>
      <c r="G443" s="8" t="str" cm="1">
        <f t="array" ref="G443">_xlfn.IFS(F443&lt;4,"Night",F443&lt;=6,"Early Morning",F443&lt;11,"Morning",F443&lt;12,"Afternoon",F443&lt;=16,"Afternoon",F443&lt;=20,"Evening",F443&gt;=21,"Night")</f>
        <v>Morning</v>
      </c>
      <c r="H443" s="8" t="b">
        <v>0</v>
      </c>
      <c r="I443" s="8">
        <v>4</v>
      </c>
      <c r="J443" s="8">
        <v>1</v>
      </c>
      <c r="K443" s="9" t="str" cm="1">
        <f t="array" ref="K443">_xlfn.IFS(J443=1,"Clear",J443=2,"Mist/Cloudy",J443=3,"Rain",J443=4,"Heavy Rain/Thunderstorm")</f>
        <v>Clear</v>
      </c>
      <c r="L443" s="10">
        <v>0.26</v>
      </c>
      <c r="M443" s="42" t="str" cm="1">
        <f t="array" ref="M443">_xlfn.IFS(L443&lt;0.15,"Cold",L443&lt;0.25,"Mild",L443&lt;=0.32,"Warm",L443&gt;=0.33,"Hot")</f>
        <v>Warm</v>
      </c>
    </row>
    <row r="444" spans="1:13" x14ac:dyDescent="0.3">
      <c r="A444" s="6">
        <v>443</v>
      </c>
      <c r="B444" s="7">
        <v>40563</v>
      </c>
      <c r="C444" s="8">
        <v>1</v>
      </c>
      <c r="D444" s="8">
        <v>0</v>
      </c>
      <c r="E444" s="8">
        <v>1</v>
      </c>
      <c r="F444" s="8">
        <v>11</v>
      </c>
      <c r="G444" s="8" t="str" cm="1">
        <f t="array" ref="G444">_xlfn.IFS(F444&lt;4,"Night",F444&lt;=6,"Early Morning",F444&lt;11,"Morning",F444&lt;12,"Afternoon",F444&lt;=16,"Afternoon",F444&lt;=20,"Evening",F444&gt;=21,"Night")</f>
        <v>Afternoon</v>
      </c>
      <c r="H444" s="8" t="b">
        <v>0</v>
      </c>
      <c r="I444" s="8">
        <v>4</v>
      </c>
      <c r="J444" s="8">
        <v>2</v>
      </c>
      <c r="K444" s="9" t="str" cm="1">
        <f t="array" ref="K444">_xlfn.IFS(J444=1,"Clear",J444=2,"Mist/Cloudy",J444=3,"Rain",J444=4,"Heavy Rain/Thunderstorm")</f>
        <v>Mist/Cloudy</v>
      </c>
      <c r="L444" s="10">
        <v>0.28000000000000003</v>
      </c>
      <c r="M444" s="42" t="str" cm="1">
        <f t="array" ref="M444">_xlfn.IFS(L444&lt;0.15,"Cold",L444&lt;0.25,"Mild",L444&lt;=0.32,"Warm",L444&gt;=0.33,"Hot")</f>
        <v>Warm</v>
      </c>
    </row>
    <row r="445" spans="1:13" x14ac:dyDescent="0.3">
      <c r="A445" s="6">
        <v>444</v>
      </c>
      <c r="B445" s="7">
        <v>40563</v>
      </c>
      <c r="C445" s="8">
        <v>1</v>
      </c>
      <c r="D445" s="8">
        <v>0</v>
      </c>
      <c r="E445" s="8">
        <v>1</v>
      </c>
      <c r="F445" s="8">
        <v>12</v>
      </c>
      <c r="G445" s="8" t="str" cm="1">
        <f t="array" ref="G445">_xlfn.IFS(F445&lt;4,"Night",F445&lt;=6,"Early Morning",F445&lt;11,"Morning",F445&lt;12,"Afternoon",F445&lt;=16,"Afternoon",F445&lt;=20,"Evening",F445&gt;=21,"Night")</f>
        <v>Afternoon</v>
      </c>
      <c r="H445" s="8" t="b">
        <v>0</v>
      </c>
      <c r="I445" s="8">
        <v>4</v>
      </c>
      <c r="J445" s="8">
        <v>2</v>
      </c>
      <c r="K445" s="9" t="str" cm="1">
        <f t="array" ref="K445">_xlfn.IFS(J445=1,"Clear",J445=2,"Mist/Cloudy",J445=3,"Rain",J445=4,"Heavy Rain/Thunderstorm")</f>
        <v>Mist/Cloudy</v>
      </c>
      <c r="L445" s="10">
        <v>0.3</v>
      </c>
      <c r="M445" s="42" t="str" cm="1">
        <f t="array" ref="M445">_xlfn.IFS(L445&lt;0.15,"Cold",L445&lt;0.25,"Mild",L445&lt;=0.32,"Warm",L445&gt;=0.33,"Hot")</f>
        <v>Warm</v>
      </c>
    </row>
    <row r="446" spans="1:13" x14ac:dyDescent="0.3">
      <c r="A446" s="6">
        <v>445</v>
      </c>
      <c r="B446" s="7">
        <v>40563</v>
      </c>
      <c r="C446" s="8">
        <v>1</v>
      </c>
      <c r="D446" s="8">
        <v>0</v>
      </c>
      <c r="E446" s="8">
        <v>1</v>
      </c>
      <c r="F446" s="8">
        <v>13</v>
      </c>
      <c r="G446" s="8" t="str" cm="1">
        <f t="array" ref="G446">_xlfn.IFS(F446&lt;4,"Night",F446&lt;=6,"Early Morning",F446&lt;11,"Morning",F446&lt;12,"Afternoon",F446&lt;=16,"Afternoon",F446&lt;=20,"Evening",F446&gt;=21,"Night")</f>
        <v>Afternoon</v>
      </c>
      <c r="H446" s="8" t="b">
        <v>0</v>
      </c>
      <c r="I446" s="8">
        <v>4</v>
      </c>
      <c r="J446" s="8">
        <v>2</v>
      </c>
      <c r="K446" s="9" t="str" cm="1">
        <f t="array" ref="K446">_xlfn.IFS(J446=1,"Clear",J446=2,"Mist/Cloudy",J446=3,"Rain",J446=4,"Heavy Rain/Thunderstorm")</f>
        <v>Mist/Cloudy</v>
      </c>
      <c r="L446" s="10">
        <v>0.28000000000000003</v>
      </c>
      <c r="M446" s="42" t="str" cm="1">
        <f t="array" ref="M446">_xlfn.IFS(L446&lt;0.15,"Cold",L446&lt;0.25,"Mild",L446&lt;=0.32,"Warm",L446&gt;=0.33,"Hot")</f>
        <v>Warm</v>
      </c>
    </row>
    <row r="447" spans="1:13" x14ac:dyDescent="0.3">
      <c r="A447" s="6">
        <v>446</v>
      </c>
      <c r="B447" s="7">
        <v>40563</v>
      </c>
      <c r="C447" s="8">
        <v>1</v>
      </c>
      <c r="D447" s="8">
        <v>0</v>
      </c>
      <c r="E447" s="8">
        <v>1</v>
      </c>
      <c r="F447" s="8">
        <v>14</v>
      </c>
      <c r="G447" s="8" t="str" cm="1">
        <f t="array" ref="G447">_xlfn.IFS(F447&lt;4,"Night",F447&lt;=6,"Early Morning",F447&lt;11,"Morning",F447&lt;12,"Afternoon",F447&lt;=16,"Afternoon",F447&lt;=20,"Evening",F447&gt;=21,"Night")</f>
        <v>Afternoon</v>
      </c>
      <c r="H447" s="8" t="b">
        <v>0</v>
      </c>
      <c r="I447" s="8">
        <v>4</v>
      </c>
      <c r="J447" s="8">
        <v>2</v>
      </c>
      <c r="K447" s="9" t="str" cm="1">
        <f t="array" ref="K447">_xlfn.IFS(J447=1,"Clear",J447=2,"Mist/Cloudy",J447=3,"Rain",J447=4,"Heavy Rain/Thunderstorm")</f>
        <v>Mist/Cloudy</v>
      </c>
      <c r="L447" s="10">
        <v>0.3</v>
      </c>
      <c r="M447" s="42" t="str" cm="1">
        <f t="array" ref="M447">_xlfn.IFS(L447&lt;0.15,"Cold",L447&lt;0.25,"Mild",L447&lt;=0.32,"Warm",L447&gt;=0.33,"Hot")</f>
        <v>Warm</v>
      </c>
    </row>
    <row r="448" spans="1:13" x14ac:dyDescent="0.3">
      <c r="A448" s="6">
        <v>447</v>
      </c>
      <c r="B448" s="7">
        <v>40563</v>
      </c>
      <c r="C448" s="8">
        <v>1</v>
      </c>
      <c r="D448" s="8">
        <v>0</v>
      </c>
      <c r="E448" s="8">
        <v>1</v>
      </c>
      <c r="F448" s="8">
        <v>15</v>
      </c>
      <c r="G448" s="8" t="str" cm="1">
        <f t="array" ref="G448">_xlfn.IFS(F448&lt;4,"Night",F448&lt;=6,"Early Morning",F448&lt;11,"Morning",F448&lt;12,"Afternoon",F448&lt;=16,"Afternoon",F448&lt;=20,"Evening",F448&gt;=21,"Night")</f>
        <v>Afternoon</v>
      </c>
      <c r="H448" s="8" t="b">
        <v>0</v>
      </c>
      <c r="I448" s="8">
        <v>4</v>
      </c>
      <c r="J448" s="8">
        <v>2</v>
      </c>
      <c r="K448" s="9" t="str" cm="1">
        <f t="array" ref="K448">_xlfn.IFS(J448=1,"Clear",J448=2,"Mist/Cloudy",J448=3,"Rain",J448=4,"Heavy Rain/Thunderstorm")</f>
        <v>Mist/Cloudy</v>
      </c>
      <c r="L448" s="10">
        <v>0.32</v>
      </c>
      <c r="M448" s="42" t="str" cm="1">
        <f t="array" ref="M448">_xlfn.IFS(L448&lt;0.15,"Cold",L448&lt;0.25,"Mild",L448&lt;=0.32,"Warm",L448&gt;=0.33,"Hot")</f>
        <v>Warm</v>
      </c>
    </row>
    <row r="449" spans="1:13" x14ac:dyDescent="0.3">
      <c r="A449" s="6">
        <v>448</v>
      </c>
      <c r="B449" s="7">
        <v>40563</v>
      </c>
      <c r="C449" s="8">
        <v>1</v>
      </c>
      <c r="D449" s="8">
        <v>0</v>
      </c>
      <c r="E449" s="8">
        <v>1</v>
      </c>
      <c r="F449" s="8">
        <v>16</v>
      </c>
      <c r="G449" s="8" t="str" cm="1">
        <f t="array" ref="G449">_xlfn.IFS(F449&lt;4,"Night",F449&lt;=6,"Early Morning",F449&lt;11,"Morning",F449&lt;12,"Afternoon",F449&lt;=16,"Afternoon",F449&lt;=20,"Evening",F449&gt;=21,"Night")</f>
        <v>Afternoon</v>
      </c>
      <c r="H449" s="8" t="b">
        <v>0</v>
      </c>
      <c r="I449" s="8">
        <v>4</v>
      </c>
      <c r="J449" s="8">
        <v>2</v>
      </c>
      <c r="K449" s="9" t="str" cm="1">
        <f t="array" ref="K449">_xlfn.IFS(J449=1,"Clear",J449=2,"Mist/Cloudy",J449=3,"Rain",J449=4,"Heavy Rain/Thunderstorm")</f>
        <v>Mist/Cloudy</v>
      </c>
      <c r="L449" s="10">
        <v>0.3</v>
      </c>
      <c r="M449" s="42" t="str" cm="1">
        <f t="array" ref="M449">_xlfn.IFS(L449&lt;0.15,"Cold",L449&lt;0.25,"Mild",L449&lt;=0.32,"Warm",L449&gt;=0.33,"Hot")</f>
        <v>Warm</v>
      </c>
    </row>
    <row r="450" spans="1:13" x14ac:dyDescent="0.3">
      <c r="A450" s="6">
        <v>449</v>
      </c>
      <c r="B450" s="7">
        <v>40563</v>
      </c>
      <c r="C450" s="8">
        <v>1</v>
      </c>
      <c r="D450" s="8">
        <v>0</v>
      </c>
      <c r="E450" s="8">
        <v>1</v>
      </c>
      <c r="F450" s="8">
        <v>17</v>
      </c>
      <c r="G450" s="8" t="str" cm="1">
        <f t="array" ref="G450">_xlfn.IFS(F450&lt;4,"Night",F450&lt;=6,"Early Morning",F450&lt;11,"Morning",F450&lt;12,"Afternoon",F450&lt;=16,"Afternoon",F450&lt;=20,"Evening",F450&gt;=21,"Night")</f>
        <v>Evening</v>
      </c>
      <c r="H450" s="8" t="b">
        <v>0</v>
      </c>
      <c r="I450" s="8">
        <v>4</v>
      </c>
      <c r="J450" s="8">
        <v>2</v>
      </c>
      <c r="K450" s="9" t="str" cm="1">
        <f t="array" ref="K450">_xlfn.IFS(J450=1,"Clear",J450=2,"Mist/Cloudy",J450=3,"Rain",J450=4,"Heavy Rain/Thunderstorm")</f>
        <v>Mist/Cloudy</v>
      </c>
      <c r="L450" s="10">
        <v>0.3</v>
      </c>
      <c r="M450" s="42" t="str" cm="1">
        <f t="array" ref="M450">_xlfn.IFS(L450&lt;0.15,"Cold",L450&lt;0.25,"Mild",L450&lt;=0.32,"Warm",L450&gt;=0.33,"Hot")</f>
        <v>Warm</v>
      </c>
    </row>
    <row r="451" spans="1:13" x14ac:dyDescent="0.3">
      <c r="A451" s="6">
        <v>450</v>
      </c>
      <c r="B451" s="7">
        <v>40563</v>
      </c>
      <c r="C451" s="8">
        <v>1</v>
      </c>
      <c r="D451" s="8">
        <v>0</v>
      </c>
      <c r="E451" s="8">
        <v>1</v>
      </c>
      <c r="F451" s="8">
        <v>18</v>
      </c>
      <c r="G451" s="8" t="str" cm="1">
        <f t="array" ref="G451">_xlfn.IFS(F451&lt;4,"Night",F451&lt;=6,"Early Morning",F451&lt;11,"Morning",F451&lt;12,"Afternoon",F451&lt;=16,"Afternoon",F451&lt;=20,"Evening",F451&gt;=21,"Night")</f>
        <v>Evening</v>
      </c>
      <c r="H451" s="8" t="b">
        <v>0</v>
      </c>
      <c r="I451" s="8">
        <v>4</v>
      </c>
      <c r="J451" s="8">
        <v>2</v>
      </c>
      <c r="K451" s="9" t="str" cm="1">
        <f t="array" ref="K451">_xlfn.IFS(J451=1,"Clear",J451=2,"Mist/Cloudy",J451=3,"Rain",J451=4,"Heavy Rain/Thunderstorm")</f>
        <v>Mist/Cloudy</v>
      </c>
      <c r="L451" s="10">
        <v>0.26</v>
      </c>
      <c r="M451" s="42" t="str" cm="1">
        <f t="array" ref="M451">_xlfn.IFS(L451&lt;0.15,"Cold",L451&lt;0.25,"Mild",L451&lt;=0.32,"Warm",L451&gt;=0.33,"Hot")</f>
        <v>Warm</v>
      </c>
    </row>
    <row r="452" spans="1:13" x14ac:dyDescent="0.3">
      <c r="A452" s="6">
        <v>451</v>
      </c>
      <c r="B452" s="7">
        <v>40563</v>
      </c>
      <c r="C452" s="8">
        <v>1</v>
      </c>
      <c r="D452" s="8">
        <v>0</v>
      </c>
      <c r="E452" s="8">
        <v>1</v>
      </c>
      <c r="F452" s="8">
        <v>19</v>
      </c>
      <c r="G452" s="8" t="str" cm="1">
        <f t="array" ref="G452">_xlfn.IFS(F452&lt;4,"Night",F452&lt;=6,"Early Morning",F452&lt;11,"Morning",F452&lt;12,"Afternoon",F452&lt;=16,"Afternoon",F452&lt;=20,"Evening",F452&gt;=21,"Night")</f>
        <v>Evening</v>
      </c>
      <c r="H452" s="8" t="b">
        <v>0</v>
      </c>
      <c r="I452" s="8">
        <v>4</v>
      </c>
      <c r="J452" s="8">
        <v>1</v>
      </c>
      <c r="K452" s="9" t="str" cm="1">
        <f t="array" ref="K452">_xlfn.IFS(J452=1,"Clear",J452=2,"Mist/Cloudy",J452=3,"Rain",J452=4,"Heavy Rain/Thunderstorm")</f>
        <v>Clear</v>
      </c>
      <c r="L452" s="10">
        <v>0.26</v>
      </c>
      <c r="M452" s="42" t="str" cm="1">
        <f t="array" ref="M452">_xlfn.IFS(L452&lt;0.15,"Cold",L452&lt;0.25,"Mild",L452&lt;=0.32,"Warm",L452&gt;=0.33,"Hot")</f>
        <v>Warm</v>
      </c>
    </row>
    <row r="453" spans="1:13" x14ac:dyDescent="0.3">
      <c r="A453" s="6">
        <v>452</v>
      </c>
      <c r="B453" s="7">
        <v>40563</v>
      </c>
      <c r="C453" s="8">
        <v>1</v>
      </c>
      <c r="D453" s="8">
        <v>0</v>
      </c>
      <c r="E453" s="8">
        <v>1</v>
      </c>
      <c r="F453" s="8">
        <v>20</v>
      </c>
      <c r="G453" s="8" t="str" cm="1">
        <f t="array" ref="G453">_xlfn.IFS(F453&lt;4,"Night",F453&lt;=6,"Early Morning",F453&lt;11,"Morning",F453&lt;12,"Afternoon",F453&lt;=16,"Afternoon",F453&lt;=20,"Evening",F453&gt;=21,"Night")</f>
        <v>Evening</v>
      </c>
      <c r="H453" s="8" t="b">
        <v>0</v>
      </c>
      <c r="I453" s="8">
        <v>4</v>
      </c>
      <c r="J453" s="8">
        <v>2</v>
      </c>
      <c r="K453" s="9" t="str" cm="1">
        <f t="array" ref="K453">_xlfn.IFS(J453=1,"Clear",J453=2,"Mist/Cloudy",J453=3,"Rain",J453=4,"Heavy Rain/Thunderstorm")</f>
        <v>Mist/Cloudy</v>
      </c>
      <c r="L453" s="10">
        <v>0.26</v>
      </c>
      <c r="M453" s="42" t="str" cm="1">
        <f t="array" ref="M453">_xlfn.IFS(L453&lt;0.15,"Cold",L453&lt;0.25,"Mild",L453&lt;=0.32,"Warm",L453&gt;=0.33,"Hot")</f>
        <v>Warm</v>
      </c>
    </row>
    <row r="454" spans="1:13" x14ac:dyDescent="0.3">
      <c r="A454" s="6">
        <v>453</v>
      </c>
      <c r="B454" s="7">
        <v>40563</v>
      </c>
      <c r="C454" s="8">
        <v>1</v>
      </c>
      <c r="D454" s="8">
        <v>0</v>
      </c>
      <c r="E454" s="8">
        <v>1</v>
      </c>
      <c r="F454" s="8">
        <v>21</v>
      </c>
      <c r="G454" s="8" t="str" cm="1">
        <f t="array" ref="G454">_xlfn.IFS(F454&lt;4,"Night",F454&lt;=6,"Early Morning",F454&lt;11,"Morning",F454&lt;12,"Afternoon",F454&lt;=16,"Afternoon",F454&lt;=20,"Evening",F454&gt;=21,"Night")</f>
        <v>Night</v>
      </c>
      <c r="H454" s="8" t="b">
        <v>0</v>
      </c>
      <c r="I454" s="8">
        <v>4</v>
      </c>
      <c r="J454" s="8">
        <v>2</v>
      </c>
      <c r="K454" s="9" t="str" cm="1">
        <f t="array" ref="K454">_xlfn.IFS(J454=1,"Clear",J454=2,"Mist/Cloudy",J454=3,"Rain",J454=4,"Heavy Rain/Thunderstorm")</f>
        <v>Mist/Cloudy</v>
      </c>
      <c r="L454" s="10">
        <v>0.24</v>
      </c>
      <c r="M454" s="42" t="str" cm="1">
        <f t="array" ref="M454">_xlfn.IFS(L454&lt;0.15,"Cold",L454&lt;0.25,"Mild",L454&lt;=0.32,"Warm",L454&gt;=0.33,"Hot")</f>
        <v>Mild</v>
      </c>
    </row>
    <row r="455" spans="1:13" x14ac:dyDescent="0.3">
      <c r="A455" s="6">
        <v>454</v>
      </c>
      <c r="B455" s="7">
        <v>40563</v>
      </c>
      <c r="C455" s="8">
        <v>1</v>
      </c>
      <c r="D455" s="8">
        <v>0</v>
      </c>
      <c r="E455" s="8">
        <v>1</v>
      </c>
      <c r="F455" s="8">
        <v>22</v>
      </c>
      <c r="G455" s="8" t="str" cm="1">
        <f t="array" ref="G455">_xlfn.IFS(F455&lt;4,"Night",F455&lt;=6,"Early Morning",F455&lt;11,"Morning",F455&lt;12,"Afternoon",F455&lt;=16,"Afternoon",F455&lt;=20,"Evening",F455&gt;=21,"Night")</f>
        <v>Night</v>
      </c>
      <c r="H455" s="8" t="b">
        <v>0</v>
      </c>
      <c r="I455" s="8">
        <v>4</v>
      </c>
      <c r="J455" s="8">
        <v>2</v>
      </c>
      <c r="K455" s="9" t="str" cm="1">
        <f t="array" ref="K455">_xlfn.IFS(J455=1,"Clear",J455=2,"Mist/Cloudy",J455=3,"Rain",J455=4,"Heavy Rain/Thunderstorm")</f>
        <v>Mist/Cloudy</v>
      </c>
      <c r="L455" s="10">
        <v>0.24</v>
      </c>
      <c r="M455" s="42" t="str" cm="1">
        <f t="array" ref="M455">_xlfn.IFS(L455&lt;0.15,"Cold",L455&lt;0.25,"Mild",L455&lt;=0.32,"Warm",L455&gt;=0.33,"Hot")</f>
        <v>Mild</v>
      </c>
    </row>
    <row r="456" spans="1:13" x14ac:dyDescent="0.3">
      <c r="A456" s="6">
        <v>455</v>
      </c>
      <c r="B456" s="7">
        <v>40563</v>
      </c>
      <c r="C456" s="8">
        <v>1</v>
      </c>
      <c r="D456" s="8">
        <v>0</v>
      </c>
      <c r="E456" s="8">
        <v>1</v>
      </c>
      <c r="F456" s="8">
        <v>23</v>
      </c>
      <c r="G456" s="8" t="str" cm="1">
        <f t="array" ref="G456">_xlfn.IFS(F456&lt;4,"Night",F456&lt;=6,"Early Morning",F456&lt;11,"Morning",F456&lt;12,"Afternoon",F456&lt;=16,"Afternoon",F456&lt;=20,"Evening",F456&gt;=21,"Night")</f>
        <v>Night</v>
      </c>
      <c r="H456" s="8" t="b">
        <v>0</v>
      </c>
      <c r="I456" s="8">
        <v>4</v>
      </c>
      <c r="J456" s="8">
        <v>2</v>
      </c>
      <c r="K456" s="9" t="str" cm="1">
        <f t="array" ref="K456">_xlfn.IFS(J456=1,"Clear",J456=2,"Mist/Cloudy",J456=3,"Rain",J456=4,"Heavy Rain/Thunderstorm")</f>
        <v>Mist/Cloudy</v>
      </c>
      <c r="L456" s="10">
        <v>0.24</v>
      </c>
      <c r="M456" s="42" t="str" cm="1">
        <f t="array" ref="M456">_xlfn.IFS(L456&lt;0.15,"Cold",L456&lt;0.25,"Mild",L456&lt;=0.32,"Warm",L456&gt;=0.33,"Hot")</f>
        <v>Mild</v>
      </c>
    </row>
    <row r="457" spans="1:13" x14ac:dyDescent="0.3">
      <c r="A457" s="6">
        <v>456</v>
      </c>
      <c r="B457" s="7">
        <v>40564</v>
      </c>
      <c r="C457" s="8">
        <v>1</v>
      </c>
      <c r="D457" s="8">
        <v>0</v>
      </c>
      <c r="E457" s="8">
        <v>1</v>
      </c>
      <c r="F457" s="8">
        <v>0</v>
      </c>
      <c r="G457" s="8" t="str" cm="1">
        <f t="array" ref="G457">_xlfn.IFS(F457&lt;4,"Night",F457&lt;=6,"Early Morning",F457&lt;11,"Morning",F457&lt;12,"Afternoon",F457&lt;=16,"Afternoon",F457&lt;=20,"Evening",F457&gt;=21,"Night")</f>
        <v>Night</v>
      </c>
      <c r="H457" s="8" t="b">
        <v>0</v>
      </c>
      <c r="I457" s="8">
        <v>5</v>
      </c>
      <c r="J457" s="8">
        <v>2</v>
      </c>
      <c r="K457" s="9" t="str" cm="1">
        <f t="array" ref="K457">_xlfn.IFS(J457=1,"Clear",J457=2,"Mist/Cloudy",J457=3,"Rain",J457=4,"Heavy Rain/Thunderstorm")</f>
        <v>Mist/Cloudy</v>
      </c>
      <c r="L457" s="10">
        <v>0.24</v>
      </c>
      <c r="M457" s="42" t="str" cm="1">
        <f t="array" ref="M457">_xlfn.IFS(L457&lt;0.15,"Cold",L457&lt;0.25,"Mild",L457&lt;=0.32,"Warm",L457&gt;=0.33,"Hot")</f>
        <v>Mild</v>
      </c>
    </row>
    <row r="458" spans="1:13" x14ac:dyDescent="0.3">
      <c r="A458" s="6">
        <v>457</v>
      </c>
      <c r="B458" s="7">
        <v>40564</v>
      </c>
      <c r="C458" s="8">
        <v>1</v>
      </c>
      <c r="D458" s="8">
        <v>0</v>
      </c>
      <c r="E458" s="8">
        <v>1</v>
      </c>
      <c r="F458" s="8">
        <v>1</v>
      </c>
      <c r="G458" s="8" t="str" cm="1">
        <f t="array" ref="G458">_xlfn.IFS(F458&lt;4,"Night",F458&lt;=6,"Early Morning",F458&lt;11,"Morning",F458&lt;12,"Afternoon",F458&lt;=16,"Afternoon",F458&lt;=20,"Evening",F458&gt;=21,"Night")</f>
        <v>Night</v>
      </c>
      <c r="H458" s="8" t="b">
        <v>0</v>
      </c>
      <c r="I458" s="8">
        <v>5</v>
      </c>
      <c r="J458" s="8">
        <v>2</v>
      </c>
      <c r="K458" s="9" t="str" cm="1">
        <f t="array" ref="K458">_xlfn.IFS(J458=1,"Clear",J458=2,"Mist/Cloudy",J458=3,"Rain",J458=4,"Heavy Rain/Thunderstorm")</f>
        <v>Mist/Cloudy</v>
      </c>
      <c r="L458" s="10">
        <v>0.24</v>
      </c>
      <c r="M458" s="42" t="str" cm="1">
        <f t="array" ref="M458">_xlfn.IFS(L458&lt;0.15,"Cold",L458&lt;0.25,"Mild",L458&lt;=0.32,"Warm",L458&gt;=0.33,"Hot")</f>
        <v>Mild</v>
      </c>
    </row>
    <row r="459" spans="1:13" x14ac:dyDescent="0.3">
      <c r="A459" s="6">
        <v>458</v>
      </c>
      <c r="B459" s="7">
        <v>40564</v>
      </c>
      <c r="C459" s="8">
        <v>1</v>
      </c>
      <c r="D459" s="8">
        <v>0</v>
      </c>
      <c r="E459" s="8">
        <v>1</v>
      </c>
      <c r="F459" s="8">
        <v>2</v>
      </c>
      <c r="G459" s="8" t="str" cm="1">
        <f t="array" ref="G459">_xlfn.IFS(F459&lt;4,"Night",F459&lt;=6,"Early Morning",F459&lt;11,"Morning",F459&lt;12,"Afternoon",F459&lt;=16,"Afternoon",F459&lt;=20,"Evening",F459&gt;=21,"Night")</f>
        <v>Night</v>
      </c>
      <c r="H459" s="8" t="b">
        <v>0</v>
      </c>
      <c r="I459" s="8">
        <v>5</v>
      </c>
      <c r="J459" s="8">
        <v>3</v>
      </c>
      <c r="K459" s="9" t="str" cm="1">
        <f t="array" ref="K459">_xlfn.IFS(J459=1,"Clear",J459=2,"Mist/Cloudy",J459=3,"Rain",J459=4,"Heavy Rain/Thunderstorm")</f>
        <v>Rain</v>
      </c>
      <c r="L459" s="10">
        <v>0.24</v>
      </c>
      <c r="M459" s="42" t="str" cm="1">
        <f t="array" ref="M459">_xlfn.IFS(L459&lt;0.15,"Cold",L459&lt;0.25,"Mild",L459&lt;=0.32,"Warm",L459&gt;=0.33,"Hot")</f>
        <v>Mild</v>
      </c>
    </row>
    <row r="460" spans="1:13" x14ac:dyDescent="0.3">
      <c r="A460" s="6">
        <v>459</v>
      </c>
      <c r="B460" s="7">
        <v>40564</v>
      </c>
      <c r="C460" s="8">
        <v>1</v>
      </c>
      <c r="D460" s="8">
        <v>0</v>
      </c>
      <c r="E460" s="8">
        <v>1</v>
      </c>
      <c r="F460" s="8">
        <v>3</v>
      </c>
      <c r="G460" s="8" t="str" cm="1">
        <f t="array" ref="G460">_xlfn.IFS(F460&lt;4,"Night",F460&lt;=6,"Early Morning",F460&lt;11,"Morning",F460&lt;12,"Afternoon",F460&lt;=16,"Afternoon",F460&lt;=20,"Evening",F460&gt;=21,"Night")</f>
        <v>Night</v>
      </c>
      <c r="H460" s="8" t="b">
        <v>0</v>
      </c>
      <c r="I460" s="8">
        <v>5</v>
      </c>
      <c r="J460" s="8">
        <v>3</v>
      </c>
      <c r="K460" s="9" t="str" cm="1">
        <f t="array" ref="K460">_xlfn.IFS(J460=1,"Clear",J460=2,"Mist/Cloudy",J460=3,"Rain",J460=4,"Heavy Rain/Thunderstorm")</f>
        <v>Rain</v>
      </c>
      <c r="L460" s="10">
        <v>0.22</v>
      </c>
      <c r="M460" s="42" t="str" cm="1">
        <f t="array" ref="M460">_xlfn.IFS(L460&lt;0.15,"Cold",L460&lt;0.25,"Mild",L460&lt;=0.32,"Warm",L460&gt;=0.33,"Hot")</f>
        <v>Mild</v>
      </c>
    </row>
    <row r="461" spans="1:13" x14ac:dyDescent="0.3">
      <c r="A461" s="6">
        <v>460</v>
      </c>
      <c r="B461" s="7">
        <v>40564</v>
      </c>
      <c r="C461" s="8">
        <v>1</v>
      </c>
      <c r="D461" s="8">
        <v>0</v>
      </c>
      <c r="E461" s="8">
        <v>1</v>
      </c>
      <c r="F461" s="8">
        <v>4</v>
      </c>
      <c r="G461" s="8" t="str" cm="1">
        <f t="array" ref="G461">_xlfn.IFS(F461&lt;4,"Night",F461&lt;=6,"Early Morning",F461&lt;11,"Morning",F461&lt;12,"Afternoon",F461&lt;=16,"Afternoon",F461&lt;=20,"Evening",F461&gt;=21,"Night")</f>
        <v>Early Morning</v>
      </c>
      <c r="H461" s="8" t="b">
        <v>0</v>
      </c>
      <c r="I461" s="8">
        <v>5</v>
      </c>
      <c r="J461" s="8">
        <v>2</v>
      </c>
      <c r="K461" s="9" t="str" cm="1">
        <f t="array" ref="K461">_xlfn.IFS(J461=1,"Clear",J461=2,"Mist/Cloudy",J461=3,"Rain",J461=4,"Heavy Rain/Thunderstorm")</f>
        <v>Mist/Cloudy</v>
      </c>
      <c r="L461" s="10">
        <v>0.22</v>
      </c>
      <c r="M461" s="42" t="str" cm="1">
        <f t="array" ref="M461">_xlfn.IFS(L461&lt;0.15,"Cold",L461&lt;0.25,"Mild",L461&lt;=0.32,"Warm",L461&gt;=0.33,"Hot")</f>
        <v>Mild</v>
      </c>
    </row>
    <row r="462" spans="1:13" x14ac:dyDescent="0.3">
      <c r="A462" s="6">
        <v>461</v>
      </c>
      <c r="B462" s="7">
        <v>40564</v>
      </c>
      <c r="C462" s="8">
        <v>1</v>
      </c>
      <c r="D462" s="8">
        <v>0</v>
      </c>
      <c r="E462" s="8">
        <v>1</v>
      </c>
      <c r="F462" s="8">
        <v>5</v>
      </c>
      <c r="G462" s="8" t="str" cm="1">
        <f t="array" ref="G462">_xlfn.IFS(F462&lt;4,"Night",F462&lt;=6,"Early Morning",F462&lt;11,"Morning",F462&lt;12,"Afternoon",F462&lt;=16,"Afternoon",F462&lt;=20,"Evening",F462&gt;=21,"Night")</f>
        <v>Early Morning</v>
      </c>
      <c r="H462" s="8" t="b">
        <v>0</v>
      </c>
      <c r="I462" s="8">
        <v>5</v>
      </c>
      <c r="J462" s="8">
        <v>1</v>
      </c>
      <c r="K462" s="9" t="str" cm="1">
        <f t="array" ref="K462">_xlfn.IFS(J462=1,"Clear",J462=2,"Mist/Cloudy",J462=3,"Rain",J462=4,"Heavy Rain/Thunderstorm")</f>
        <v>Clear</v>
      </c>
      <c r="L462" s="10">
        <v>0.24</v>
      </c>
      <c r="M462" s="42" t="str" cm="1">
        <f t="array" ref="M462">_xlfn.IFS(L462&lt;0.15,"Cold",L462&lt;0.25,"Mild",L462&lt;=0.32,"Warm",L462&gt;=0.33,"Hot")</f>
        <v>Mild</v>
      </c>
    </row>
    <row r="463" spans="1:13" x14ac:dyDescent="0.3">
      <c r="A463" s="6">
        <v>462</v>
      </c>
      <c r="B463" s="7">
        <v>40564</v>
      </c>
      <c r="C463" s="8">
        <v>1</v>
      </c>
      <c r="D463" s="8">
        <v>0</v>
      </c>
      <c r="E463" s="8">
        <v>1</v>
      </c>
      <c r="F463" s="8">
        <v>6</v>
      </c>
      <c r="G463" s="8" t="str" cm="1">
        <f t="array" ref="G463">_xlfn.IFS(F463&lt;4,"Night",F463&lt;=6,"Early Morning",F463&lt;11,"Morning",F463&lt;12,"Afternoon",F463&lt;=16,"Afternoon",F463&lt;=20,"Evening",F463&gt;=21,"Night")</f>
        <v>Early Morning</v>
      </c>
      <c r="H463" s="8" t="b">
        <v>0</v>
      </c>
      <c r="I463" s="8">
        <v>5</v>
      </c>
      <c r="J463" s="8">
        <v>1</v>
      </c>
      <c r="K463" s="9" t="str" cm="1">
        <f t="array" ref="K463">_xlfn.IFS(J463=1,"Clear",J463=2,"Mist/Cloudy",J463=3,"Rain",J463=4,"Heavy Rain/Thunderstorm")</f>
        <v>Clear</v>
      </c>
      <c r="L463" s="10">
        <v>0.22</v>
      </c>
      <c r="M463" s="42" t="str" cm="1">
        <f t="array" ref="M463">_xlfn.IFS(L463&lt;0.15,"Cold",L463&lt;0.25,"Mild",L463&lt;=0.32,"Warm",L463&gt;=0.33,"Hot")</f>
        <v>Mild</v>
      </c>
    </row>
    <row r="464" spans="1:13" x14ac:dyDescent="0.3">
      <c r="A464" s="6">
        <v>463</v>
      </c>
      <c r="B464" s="7">
        <v>40564</v>
      </c>
      <c r="C464" s="8">
        <v>1</v>
      </c>
      <c r="D464" s="8">
        <v>0</v>
      </c>
      <c r="E464" s="8">
        <v>1</v>
      </c>
      <c r="F464" s="8">
        <v>7</v>
      </c>
      <c r="G464" s="8" t="str" cm="1">
        <f t="array" ref="G464">_xlfn.IFS(F464&lt;4,"Night",F464&lt;=6,"Early Morning",F464&lt;11,"Morning",F464&lt;12,"Afternoon",F464&lt;=16,"Afternoon",F464&lt;=20,"Evening",F464&gt;=21,"Night")</f>
        <v>Morning</v>
      </c>
      <c r="H464" s="8" t="b">
        <v>0</v>
      </c>
      <c r="I464" s="8">
        <v>5</v>
      </c>
      <c r="J464" s="8">
        <v>1</v>
      </c>
      <c r="K464" s="9" t="str" cm="1">
        <f t="array" ref="K464">_xlfn.IFS(J464=1,"Clear",J464=2,"Mist/Cloudy",J464=3,"Rain",J464=4,"Heavy Rain/Thunderstorm")</f>
        <v>Clear</v>
      </c>
      <c r="L464" s="10">
        <v>0.2</v>
      </c>
      <c r="M464" s="42" t="str" cm="1">
        <f t="array" ref="M464">_xlfn.IFS(L464&lt;0.15,"Cold",L464&lt;0.25,"Mild",L464&lt;=0.32,"Warm",L464&gt;=0.33,"Hot")</f>
        <v>Mild</v>
      </c>
    </row>
    <row r="465" spans="1:13" x14ac:dyDescent="0.3">
      <c r="A465" s="6">
        <v>464</v>
      </c>
      <c r="B465" s="7">
        <v>40564</v>
      </c>
      <c r="C465" s="8">
        <v>1</v>
      </c>
      <c r="D465" s="8">
        <v>0</v>
      </c>
      <c r="E465" s="8">
        <v>1</v>
      </c>
      <c r="F465" s="8">
        <v>8</v>
      </c>
      <c r="G465" s="8" t="str" cm="1">
        <f t="array" ref="G465">_xlfn.IFS(F465&lt;4,"Night",F465&lt;=6,"Early Morning",F465&lt;11,"Morning",F465&lt;12,"Afternoon",F465&lt;=16,"Afternoon",F465&lt;=20,"Evening",F465&gt;=21,"Night")</f>
        <v>Morning</v>
      </c>
      <c r="H465" s="8" t="b">
        <v>0</v>
      </c>
      <c r="I465" s="8">
        <v>5</v>
      </c>
      <c r="J465" s="8">
        <v>1</v>
      </c>
      <c r="K465" s="9" t="str" cm="1">
        <f t="array" ref="K465">_xlfn.IFS(J465=1,"Clear",J465=2,"Mist/Cloudy",J465=3,"Rain",J465=4,"Heavy Rain/Thunderstorm")</f>
        <v>Clear</v>
      </c>
      <c r="L465" s="10">
        <v>0.2</v>
      </c>
      <c r="M465" s="42" t="str" cm="1">
        <f t="array" ref="M465">_xlfn.IFS(L465&lt;0.15,"Cold",L465&lt;0.25,"Mild",L465&lt;=0.32,"Warm",L465&gt;=0.33,"Hot")</f>
        <v>Mild</v>
      </c>
    </row>
    <row r="466" spans="1:13" x14ac:dyDescent="0.3">
      <c r="A466" s="6">
        <v>465</v>
      </c>
      <c r="B466" s="7">
        <v>40564</v>
      </c>
      <c r="C466" s="8">
        <v>1</v>
      </c>
      <c r="D466" s="8">
        <v>0</v>
      </c>
      <c r="E466" s="8">
        <v>1</v>
      </c>
      <c r="F466" s="8">
        <v>9</v>
      </c>
      <c r="G466" s="8" t="str" cm="1">
        <f t="array" ref="G466">_xlfn.IFS(F466&lt;4,"Night",F466&lt;=6,"Early Morning",F466&lt;11,"Morning",F466&lt;12,"Afternoon",F466&lt;=16,"Afternoon",F466&lt;=20,"Evening",F466&gt;=21,"Night")</f>
        <v>Morning</v>
      </c>
      <c r="H466" s="8" t="b">
        <v>0</v>
      </c>
      <c r="I466" s="8">
        <v>5</v>
      </c>
      <c r="J466" s="8">
        <v>1</v>
      </c>
      <c r="K466" s="9" t="str" cm="1">
        <f t="array" ref="K466">_xlfn.IFS(J466=1,"Clear",J466=2,"Mist/Cloudy",J466=3,"Rain",J466=4,"Heavy Rain/Thunderstorm")</f>
        <v>Clear</v>
      </c>
      <c r="L466" s="10">
        <v>0.2</v>
      </c>
      <c r="M466" s="42" t="str" cm="1">
        <f t="array" ref="M466">_xlfn.IFS(L466&lt;0.15,"Cold",L466&lt;0.25,"Mild",L466&lt;=0.32,"Warm",L466&gt;=0.33,"Hot")</f>
        <v>Mild</v>
      </c>
    </row>
    <row r="467" spans="1:13" x14ac:dyDescent="0.3">
      <c r="A467" s="6">
        <v>466</v>
      </c>
      <c r="B467" s="7">
        <v>40564</v>
      </c>
      <c r="C467" s="8">
        <v>1</v>
      </c>
      <c r="D467" s="8">
        <v>0</v>
      </c>
      <c r="E467" s="8">
        <v>1</v>
      </c>
      <c r="F467" s="8">
        <v>10</v>
      </c>
      <c r="G467" s="8" t="str" cm="1">
        <f t="array" ref="G467">_xlfn.IFS(F467&lt;4,"Night",F467&lt;=6,"Early Morning",F467&lt;11,"Morning",F467&lt;12,"Afternoon",F467&lt;=16,"Afternoon",F467&lt;=20,"Evening",F467&gt;=21,"Night")</f>
        <v>Morning</v>
      </c>
      <c r="H467" s="8" t="b">
        <v>0</v>
      </c>
      <c r="I467" s="8">
        <v>5</v>
      </c>
      <c r="J467" s="8">
        <v>1</v>
      </c>
      <c r="K467" s="9" t="str" cm="1">
        <f t="array" ref="K467">_xlfn.IFS(J467=1,"Clear",J467=2,"Mist/Cloudy",J467=3,"Rain",J467=4,"Heavy Rain/Thunderstorm")</f>
        <v>Clear</v>
      </c>
      <c r="L467" s="10">
        <v>0.2</v>
      </c>
      <c r="M467" s="42" t="str" cm="1">
        <f t="array" ref="M467">_xlfn.IFS(L467&lt;0.15,"Cold",L467&lt;0.25,"Mild",L467&lt;=0.32,"Warm",L467&gt;=0.33,"Hot")</f>
        <v>Mild</v>
      </c>
    </row>
    <row r="468" spans="1:13" x14ac:dyDescent="0.3">
      <c r="A468" s="6">
        <v>467</v>
      </c>
      <c r="B468" s="7">
        <v>40564</v>
      </c>
      <c r="C468" s="8">
        <v>1</v>
      </c>
      <c r="D468" s="8">
        <v>0</v>
      </c>
      <c r="E468" s="8">
        <v>1</v>
      </c>
      <c r="F468" s="8">
        <v>11</v>
      </c>
      <c r="G468" s="8" t="str" cm="1">
        <f t="array" ref="G468">_xlfn.IFS(F468&lt;4,"Night",F468&lt;=6,"Early Morning",F468&lt;11,"Morning",F468&lt;12,"Afternoon",F468&lt;=16,"Afternoon",F468&lt;=20,"Evening",F468&gt;=21,"Night")</f>
        <v>Afternoon</v>
      </c>
      <c r="H468" s="8" t="b">
        <v>0</v>
      </c>
      <c r="I468" s="8">
        <v>5</v>
      </c>
      <c r="J468" s="8">
        <v>1</v>
      </c>
      <c r="K468" s="9" t="str" cm="1">
        <f t="array" ref="K468">_xlfn.IFS(J468=1,"Clear",J468=2,"Mist/Cloudy",J468=3,"Rain",J468=4,"Heavy Rain/Thunderstorm")</f>
        <v>Clear</v>
      </c>
      <c r="L468" s="10">
        <v>0.22</v>
      </c>
      <c r="M468" s="42" t="str" cm="1">
        <f t="array" ref="M468">_xlfn.IFS(L468&lt;0.15,"Cold",L468&lt;0.25,"Mild",L468&lt;=0.32,"Warm",L468&gt;=0.33,"Hot")</f>
        <v>Mild</v>
      </c>
    </row>
    <row r="469" spans="1:13" x14ac:dyDescent="0.3">
      <c r="A469" s="6">
        <v>468</v>
      </c>
      <c r="B469" s="7">
        <v>40564</v>
      </c>
      <c r="C469" s="8">
        <v>1</v>
      </c>
      <c r="D469" s="8">
        <v>0</v>
      </c>
      <c r="E469" s="8">
        <v>1</v>
      </c>
      <c r="F469" s="8">
        <v>12</v>
      </c>
      <c r="G469" s="8" t="str" cm="1">
        <f t="array" ref="G469">_xlfn.IFS(F469&lt;4,"Night",F469&lt;=6,"Early Morning",F469&lt;11,"Morning",F469&lt;12,"Afternoon",F469&lt;=16,"Afternoon",F469&lt;=20,"Evening",F469&gt;=21,"Night")</f>
        <v>Afternoon</v>
      </c>
      <c r="H469" s="8" t="b">
        <v>0</v>
      </c>
      <c r="I469" s="8">
        <v>5</v>
      </c>
      <c r="J469" s="8">
        <v>1</v>
      </c>
      <c r="K469" s="9" t="str" cm="1">
        <f t="array" ref="K469">_xlfn.IFS(J469=1,"Clear",J469=2,"Mist/Cloudy",J469=3,"Rain",J469=4,"Heavy Rain/Thunderstorm")</f>
        <v>Clear</v>
      </c>
      <c r="L469" s="10">
        <v>0.22</v>
      </c>
      <c r="M469" s="42" t="str" cm="1">
        <f t="array" ref="M469">_xlfn.IFS(L469&lt;0.15,"Cold",L469&lt;0.25,"Mild",L469&lt;=0.32,"Warm",L469&gt;=0.33,"Hot")</f>
        <v>Mild</v>
      </c>
    </row>
    <row r="470" spans="1:13" x14ac:dyDescent="0.3">
      <c r="A470" s="6">
        <v>469</v>
      </c>
      <c r="B470" s="7">
        <v>40564</v>
      </c>
      <c r="C470" s="8">
        <v>1</v>
      </c>
      <c r="D470" s="8">
        <v>0</v>
      </c>
      <c r="E470" s="8">
        <v>1</v>
      </c>
      <c r="F470" s="8">
        <v>13</v>
      </c>
      <c r="G470" s="8" t="str" cm="1">
        <f t="array" ref="G470">_xlfn.IFS(F470&lt;4,"Night",F470&lt;=6,"Early Morning",F470&lt;11,"Morning",F470&lt;12,"Afternoon",F470&lt;=16,"Afternoon",F470&lt;=20,"Evening",F470&gt;=21,"Night")</f>
        <v>Afternoon</v>
      </c>
      <c r="H470" s="8" t="b">
        <v>0</v>
      </c>
      <c r="I470" s="8">
        <v>5</v>
      </c>
      <c r="J470" s="8">
        <v>1</v>
      </c>
      <c r="K470" s="9" t="str" cm="1">
        <f t="array" ref="K470">_xlfn.IFS(J470=1,"Clear",J470=2,"Mist/Cloudy",J470=3,"Rain",J470=4,"Heavy Rain/Thunderstorm")</f>
        <v>Clear</v>
      </c>
      <c r="L470" s="10">
        <v>0.2</v>
      </c>
      <c r="M470" s="42" t="str" cm="1">
        <f t="array" ref="M470">_xlfn.IFS(L470&lt;0.15,"Cold",L470&lt;0.25,"Mild",L470&lt;=0.32,"Warm",L470&gt;=0.33,"Hot")</f>
        <v>Mild</v>
      </c>
    </row>
    <row r="471" spans="1:13" x14ac:dyDescent="0.3">
      <c r="A471" s="6">
        <v>470</v>
      </c>
      <c r="B471" s="7">
        <v>40564</v>
      </c>
      <c r="C471" s="8">
        <v>1</v>
      </c>
      <c r="D471" s="8">
        <v>0</v>
      </c>
      <c r="E471" s="8">
        <v>1</v>
      </c>
      <c r="F471" s="8">
        <v>14</v>
      </c>
      <c r="G471" s="8" t="str" cm="1">
        <f t="array" ref="G471">_xlfn.IFS(F471&lt;4,"Night",F471&lt;=6,"Early Morning",F471&lt;11,"Morning",F471&lt;12,"Afternoon",F471&lt;=16,"Afternoon",F471&lt;=20,"Evening",F471&gt;=21,"Night")</f>
        <v>Afternoon</v>
      </c>
      <c r="H471" s="8" t="b">
        <v>0</v>
      </c>
      <c r="I471" s="8">
        <v>5</v>
      </c>
      <c r="J471" s="8">
        <v>1</v>
      </c>
      <c r="K471" s="9" t="str" cm="1">
        <f t="array" ref="K471">_xlfn.IFS(J471=1,"Clear",J471=2,"Mist/Cloudy",J471=3,"Rain",J471=4,"Heavy Rain/Thunderstorm")</f>
        <v>Clear</v>
      </c>
      <c r="L471" s="10">
        <v>0.2</v>
      </c>
      <c r="M471" s="42" t="str" cm="1">
        <f t="array" ref="M471">_xlfn.IFS(L471&lt;0.15,"Cold",L471&lt;0.25,"Mild",L471&lt;=0.32,"Warm",L471&gt;=0.33,"Hot")</f>
        <v>Mild</v>
      </c>
    </row>
    <row r="472" spans="1:13" x14ac:dyDescent="0.3">
      <c r="A472" s="6">
        <v>471</v>
      </c>
      <c r="B472" s="7">
        <v>40564</v>
      </c>
      <c r="C472" s="8">
        <v>1</v>
      </c>
      <c r="D472" s="8">
        <v>0</v>
      </c>
      <c r="E472" s="8">
        <v>1</v>
      </c>
      <c r="F472" s="8">
        <v>15</v>
      </c>
      <c r="G472" s="8" t="str" cm="1">
        <f t="array" ref="G472">_xlfn.IFS(F472&lt;4,"Night",F472&lt;=6,"Early Morning",F472&lt;11,"Morning",F472&lt;12,"Afternoon",F472&lt;=16,"Afternoon",F472&lt;=20,"Evening",F472&gt;=21,"Night")</f>
        <v>Afternoon</v>
      </c>
      <c r="H472" s="8" t="b">
        <v>0</v>
      </c>
      <c r="I472" s="8">
        <v>5</v>
      </c>
      <c r="J472" s="8">
        <v>1</v>
      </c>
      <c r="K472" s="9" t="str" cm="1">
        <f t="array" ref="K472">_xlfn.IFS(J472=1,"Clear",J472=2,"Mist/Cloudy",J472=3,"Rain",J472=4,"Heavy Rain/Thunderstorm")</f>
        <v>Clear</v>
      </c>
      <c r="L472" s="10">
        <v>0.16</v>
      </c>
      <c r="M472" s="42" t="str" cm="1">
        <f t="array" ref="M472">_xlfn.IFS(L472&lt;0.15,"Cold",L472&lt;0.25,"Mild",L472&lt;=0.32,"Warm",L472&gt;=0.33,"Hot")</f>
        <v>Mild</v>
      </c>
    </row>
    <row r="473" spans="1:13" x14ac:dyDescent="0.3">
      <c r="A473" s="6">
        <v>472</v>
      </c>
      <c r="B473" s="7">
        <v>40564</v>
      </c>
      <c r="C473" s="8">
        <v>1</v>
      </c>
      <c r="D473" s="8">
        <v>0</v>
      </c>
      <c r="E473" s="8">
        <v>1</v>
      </c>
      <c r="F473" s="8">
        <v>16</v>
      </c>
      <c r="G473" s="8" t="str" cm="1">
        <f t="array" ref="G473">_xlfn.IFS(F473&lt;4,"Night",F473&lt;=6,"Early Morning",F473&lt;11,"Morning",F473&lt;12,"Afternoon",F473&lt;=16,"Afternoon",F473&lt;=20,"Evening",F473&gt;=21,"Night")</f>
        <v>Afternoon</v>
      </c>
      <c r="H473" s="8" t="b">
        <v>0</v>
      </c>
      <c r="I473" s="8">
        <v>5</v>
      </c>
      <c r="J473" s="8">
        <v>1</v>
      </c>
      <c r="K473" s="9" t="str" cm="1">
        <f t="array" ref="K473">_xlfn.IFS(J473=1,"Clear",J473=2,"Mist/Cloudy",J473=3,"Rain",J473=4,"Heavy Rain/Thunderstorm")</f>
        <v>Clear</v>
      </c>
      <c r="L473" s="10">
        <v>0.16</v>
      </c>
      <c r="M473" s="42" t="str" cm="1">
        <f t="array" ref="M473">_xlfn.IFS(L473&lt;0.15,"Cold",L473&lt;0.25,"Mild",L473&lt;=0.32,"Warm",L473&gt;=0.33,"Hot")</f>
        <v>Mild</v>
      </c>
    </row>
    <row r="474" spans="1:13" x14ac:dyDescent="0.3">
      <c r="A474" s="6">
        <v>473</v>
      </c>
      <c r="B474" s="7">
        <v>40564</v>
      </c>
      <c r="C474" s="8">
        <v>1</v>
      </c>
      <c r="D474" s="8">
        <v>0</v>
      </c>
      <c r="E474" s="8">
        <v>1</v>
      </c>
      <c r="F474" s="8">
        <v>17</v>
      </c>
      <c r="G474" s="8" t="str" cm="1">
        <f t="array" ref="G474">_xlfn.IFS(F474&lt;4,"Night",F474&lt;=6,"Early Morning",F474&lt;11,"Morning",F474&lt;12,"Afternoon",F474&lt;=16,"Afternoon",F474&lt;=20,"Evening",F474&gt;=21,"Night")</f>
        <v>Evening</v>
      </c>
      <c r="H474" s="8" t="b">
        <v>0</v>
      </c>
      <c r="I474" s="8">
        <v>5</v>
      </c>
      <c r="J474" s="8">
        <v>1</v>
      </c>
      <c r="K474" s="9" t="str" cm="1">
        <f t="array" ref="K474">_xlfn.IFS(J474=1,"Clear",J474=2,"Mist/Cloudy",J474=3,"Rain",J474=4,"Heavy Rain/Thunderstorm")</f>
        <v>Clear</v>
      </c>
      <c r="L474" s="10">
        <v>0.14000000000000001</v>
      </c>
      <c r="M474" s="42" t="str" cm="1">
        <f t="array" ref="M474">_xlfn.IFS(L474&lt;0.15,"Cold",L474&lt;0.25,"Mild",L474&lt;=0.32,"Warm",L474&gt;=0.33,"Hot")</f>
        <v>Cold</v>
      </c>
    </row>
    <row r="475" spans="1:13" x14ac:dyDescent="0.3">
      <c r="A475" s="6">
        <v>474</v>
      </c>
      <c r="B475" s="7">
        <v>40564</v>
      </c>
      <c r="C475" s="8">
        <v>1</v>
      </c>
      <c r="D475" s="8">
        <v>0</v>
      </c>
      <c r="E475" s="8">
        <v>1</v>
      </c>
      <c r="F475" s="8">
        <v>18</v>
      </c>
      <c r="G475" s="8" t="str" cm="1">
        <f t="array" ref="G475">_xlfn.IFS(F475&lt;4,"Night",F475&lt;=6,"Early Morning",F475&lt;11,"Morning",F475&lt;12,"Afternoon",F475&lt;=16,"Afternoon",F475&lt;=20,"Evening",F475&gt;=21,"Night")</f>
        <v>Evening</v>
      </c>
      <c r="H475" s="8" t="b">
        <v>0</v>
      </c>
      <c r="I475" s="8">
        <v>5</v>
      </c>
      <c r="J475" s="8">
        <v>1</v>
      </c>
      <c r="K475" s="9" t="str" cm="1">
        <f t="array" ref="K475">_xlfn.IFS(J475=1,"Clear",J475=2,"Mist/Cloudy",J475=3,"Rain",J475=4,"Heavy Rain/Thunderstorm")</f>
        <v>Clear</v>
      </c>
      <c r="L475" s="10">
        <v>0.12</v>
      </c>
      <c r="M475" s="42" t="str" cm="1">
        <f t="array" ref="M475">_xlfn.IFS(L475&lt;0.15,"Cold",L475&lt;0.25,"Mild",L475&lt;=0.32,"Warm",L475&gt;=0.33,"Hot")</f>
        <v>Cold</v>
      </c>
    </row>
    <row r="476" spans="1:13" x14ac:dyDescent="0.3">
      <c r="A476" s="6">
        <v>475</v>
      </c>
      <c r="B476" s="7">
        <v>40564</v>
      </c>
      <c r="C476" s="8">
        <v>1</v>
      </c>
      <c r="D476" s="8">
        <v>0</v>
      </c>
      <c r="E476" s="8">
        <v>1</v>
      </c>
      <c r="F476" s="8">
        <v>19</v>
      </c>
      <c r="G476" s="8" t="str" cm="1">
        <f t="array" ref="G476">_xlfn.IFS(F476&lt;4,"Night",F476&lt;=6,"Early Morning",F476&lt;11,"Morning",F476&lt;12,"Afternoon",F476&lt;=16,"Afternoon",F476&lt;=20,"Evening",F476&gt;=21,"Night")</f>
        <v>Evening</v>
      </c>
      <c r="H476" s="8" t="b">
        <v>0</v>
      </c>
      <c r="I476" s="8">
        <v>5</v>
      </c>
      <c r="J476" s="8">
        <v>1</v>
      </c>
      <c r="K476" s="9" t="str" cm="1">
        <f t="array" ref="K476">_xlfn.IFS(J476=1,"Clear",J476=2,"Mist/Cloudy",J476=3,"Rain",J476=4,"Heavy Rain/Thunderstorm")</f>
        <v>Clear</v>
      </c>
      <c r="L476" s="10">
        <v>0.12</v>
      </c>
      <c r="M476" s="42" t="str" cm="1">
        <f t="array" ref="M476">_xlfn.IFS(L476&lt;0.15,"Cold",L476&lt;0.25,"Mild",L476&lt;=0.32,"Warm",L476&gt;=0.33,"Hot")</f>
        <v>Cold</v>
      </c>
    </row>
    <row r="477" spans="1:13" x14ac:dyDescent="0.3">
      <c r="A477" s="6">
        <v>476</v>
      </c>
      <c r="B477" s="7">
        <v>40564</v>
      </c>
      <c r="C477" s="8">
        <v>1</v>
      </c>
      <c r="D477" s="8">
        <v>0</v>
      </c>
      <c r="E477" s="8">
        <v>1</v>
      </c>
      <c r="F477" s="8">
        <v>20</v>
      </c>
      <c r="G477" s="8" t="str" cm="1">
        <f t="array" ref="G477">_xlfn.IFS(F477&lt;4,"Night",F477&lt;=6,"Early Morning",F477&lt;11,"Morning",F477&lt;12,"Afternoon",F477&lt;=16,"Afternoon",F477&lt;=20,"Evening",F477&gt;=21,"Night")</f>
        <v>Evening</v>
      </c>
      <c r="H477" s="8" t="b">
        <v>0</v>
      </c>
      <c r="I477" s="8">
        <v>5</v>
      </c>
      <c r="J477" s="8">
        <v>1</v>
      </c>
      <c r="K477" s="9" t="str" cm="1">
        <f t="array" ref="K477">_xlfn.IFS(J477=1,"Clear",J477=2,"Mist/Cloudy",J477=3,"Rain",J477=4,"Heavy Rain/Thunderstorm")</f>
        <v>Clear</v>
      </c>
      <c r="L477" s="10">
        <v>0.1</v>
      </c>
      <c r="M477" s="42" t="str" cm="1">
        <f t="array" ref="M477">_xlfn.IFS(L477&lt;0.15,"Cold",L477&lt;0.25,"Mild",L477&lt;=0.32,"Warm",L477&gt;=0.33,"Hot")</f>
        <v>Cold</v>
      </c>
    </row>
    <row r="478" spans="1:13" x14ac:dyDescent="0.3">
      <c r="A478" s="6">
        <v>477</v>
      </c>
      <c r="B478" s="7">
        <v>40564</v>
      </c>
      <c r="C478" s="8">
        <v>1</v>
      </c>
      <c r="D478" s="8">
        <v>0</v>
      </c>
      <c r="E478" s="8">
        <v>1</v>
      </c>
      <c r="F478" s="8">
        <v>21</v>
      </c>
      <c r="G478" s="8" t="str" cm="1">
        <f t="array" ref="G478">_xlfn.IFS(F478&lt;4,"Night",F478&lt;=6,"Early Morning",F478&lt;11,"Morning",F478&lt;12,"Afternoon",F478&lt;=16,"Afternoon",F478&lt;=20,"Evening",F478&gt;=21,"Night")</f>
        <v>Night</v>
      </c>
      <c r="H478" s="8" t="b">
        <v>0</v>
      </c>
      <c r="I478" s="8">
        <v>5</v>
      </c>
      <c r="J478" s="8">
        <v>1</v>
      </c>
      <c r="K478" s="9" t="str" cm="1">
        <f t="array" ref="K478">_xlfn.IFS(J478=1,"Clear",J478=2,"Mist/Cloudy",J478=3,"Rain",J478=4,"Heavy Rain/Thunderstorm")</f>
        <v>Clear</v>
      </c>
      <c r="L478" s="10">
        <v>0.08</v>
      </c>
      <c r="M478" s="42" t="str" cm="1">
        <f t="array" ref="M478">_xlfn.IFS(L478&lt;0.15,"Cold",L478&lt;0.25,"Mild",L478&lt;=0.32,"Warm",L478&gt;=0.33,"Hot")</f>
        <v>Cold</v>
      </c>
    </row>
    <row r="479" spans="1:13" x14ac:dyDescent="0.3">
      <c r="A479" s="6">
        <v>478</v>
      </c>
      <c r="B479" s="7">
        <v>40564</v>
      </c>
      <c r="C479" s="8">
        <v>1</v>
      </c>
      <c r="D479" s="8">
        <v>0</v>
      </c>
      <c r="E479" s="8">
        <v>1</v>
      </c>
      <c r="F479" s="8">
        <v>22</v>
      </c>
      <c r="G479" s="8" t="str" cm="1">
        <f t="array" ref="G479">_xlfn.IFS(F479&lt;4,"Night",F479&lt;=6,"Early Morning",F479&lt;11,"Morning",F479&lt;12,"Afternoon",F479&lt;=16,"Afternoon",F479&lt;=20,"Evening",F479&gt;=21,"Night")</f>
        <v>Night</v>
      </c>
      <c r="H479" s="8" t="b">
        <v>0</v>
      </c>
      <c r="I479" s="8">
        <v>5</v>
      </c>
      <c r="J479" s="8">
        <v>1</v>
      </c>
      <c r="K479" s="9" t="str" cm="1">
        <f t="array" ref="K479">_xlfn.IFS(J479=1,"Clear",J479=2,"Mist/Cloudy",J479=3,"Rain",J479=4,"Heavy Rain/Thunderstorm")</f>
        <v>Clear</v>
      </c>
      <c r="L479" s="10">
        <v>0.06</v>
      </c>
      <c r="M479" s="42" t="str" cm="1">
        <f t="array" ref="M479">_xlfn.IFS(L479&lt;0.15,"Cold",L479&lt;0.25,"Mild",L479&lt;=0.32,"Warm",L479&gt;=0.33,"Hot")</f>
        <v>Cold</v>
      </c>
    </row>
    <row r="480" spans="1:13" x14ac:dyDescent="0.3">
      <c r="A480" s="6">
        <v>479</v>
      </c>
      <c r="B480" s="7">
        <v>40564</v>
      </c>
      <c r="C480" s="8">
        <v>1</v>
      </c>
      <c r="D480" s="8">
        <v>0</v>
      </c>
      <c r="E480" s="8">
        <v>1</v>
      </c>
      <c r="F480" s="8">
        <v>23</v>
      </c>
      <c r="G480" s="8" t="str" cm="1">
        <f t="array" ref="G480">_xlfn.IFS(F480&lt;4,"Night",F480&lt;=6,"Early Morning",F480&lt;11,"Morning",F480&lt;12,"Afternoon",F480&lt;=16,"Afternoon",F480&lt;=20,"Evening",F480&gt;=21,"Night")</f>
        <v>Night</v>
      </c>
      <c r="H480" s="8" t="b">
        <v>0</v>
      </c>
      <c r="I480" s="8">
        <v>5</v>
      </c>
      <c r="J480" s="8">
        <v>1</v>
      </c>
      <c r="K480" s="9" t="str" cm="1">
        <f t="array" ref="K480">_xlfn.IFS(J480=1,"Clear",J480=2,"Mist/Cloudy",J480=3,"Rain",J480=4,"Heavy Rain/Thunderstorm")</f>
        <v>Clear</v>
      </c>
      <c r="L480" s="10">
        <v>0.06</v>
      </c>
      <c r="M480" s="42" t="str" cm="1">
        <f t="array" ref="M480">_xlfn.IFS(L480&lt;0.15,"Cold",L480&lt;0.25,"Mild",L480&lt;=0.32,"Warm",L480&gt;=0.33,"Hot")</f>
        <v>Cold</v>
      </c>
    </row>
    <row r="481" spans="1:13" x14ac:dyDescent="0.3">
      <c r="A481" s="6">
        <v>480</v>
      </c>
      <c r="B481" s="7">
        <v>40565</v>
      </c>
      <c r="C481" s="8">
        <v>1</v>
      </c>
      <c r="D481" s="8">
        <v>0</v>
      </c>
      <c r="E481" s="8">
        <v>1</v>
      </c>
      <c r="F481" s="8">
        <v>0</v>
      </c>
      <c r="G481" s="8" t="str" cm="1">
        <f t="array" ref="G481">_xlfn.IFS(F481&lt;4,"Night",F481&lt;=6,"Early Morning",F481&lt;11,"Morning",F481&lt;12,"Afternoon",F481&lt;=16,"Afternoon",F481&lt;=20,"Evening",F481&gt;=21,"Night")</f>
        <v>Night</v>
      </c>
      <c r="H481" s="8" t="b">
        <v>0</v>
      </c>
      <c r="I481" s="8">
        <v>6</v>
      </c>
      <c r="J481" s="8">
        <v>1</v>
      </c>
      <c r="K481" s="9" t="str" cm="1">
        <f t="array" ref="K481">_xlfn.IFS(J481=1,"Clear",J481=2,"Mist/Cloudy",J481=3,"Rain",J481=4,"Heavy Rain/Thunderstorm")</f>
        <v>Clear</v>
      </c>
      <c r="L481" s="10">
        <v>0.04</v>
      </c>
      <c r="M481" s="42" t="str" cm="1">
        <f t="array" ref="M481">_xlfn.IFS(L481&lt;0.15,"Cold",L481&lt;0.25,"Mild",L481&lt;=0.32,"Warm",L481&gt;=0.33,"Hot")</f>
        <v>Cold</v>
      </c>
    </row>
    <row r="482" spans="1:13" x14ac:dyDescent="0.3">
      <c r="A482" s="6">
        <v>481</v>
      </c>
      <c r="B482" s="7">
        <v>40565</v>
      </c>
      <c r="C482" s="8">
        <v>1</v>
      </c>
      <c r="D482" s="8">
        <v>0</v>
      </c>
      <c r="E482" s="8">
        <v>1</v>
      </c>
      <c r="F482" s="8">
        <v>1</v>
      </c>
      <c r="G482" s="8" t="str" cm="1">
        <f t="array" ref="G482">_xlfn.IFS(F482&lt;4,"Night",F482&lt;=6,"Early Morning",F482&lt;11,"Morning",F482&lt;12,"Afternoon",F482&lt;=16,"Afternoon",F482&lt;=20,"Evening",F482&gt;=21,"Night")</f>
        <v>Night</v>
      </c>
      <c r="H482" s="8" t="b">
        <v>0</v>
      </c>
      <c r="I482" s="8">
        <v>6</v>
      </c>
      <c r="J482" s="8">
        <v>2</v>
      </c>
      <c r="K482" s="9" t="str" cm="1">
        <f t="array" ref="K482">_xlfn.IFS(J482=1,"Clear",J482=2,"Mist/Cloudy",J482=3,"Rain",J482=4,"Heavy Rain/Thunderstorm")</f>
        <v>Mist/Cloudy</v>
      </c>
      <c r="L482" s="10">
        <v>0.04</v>
      </c>
      <c r="M482" s="42" t="str" cm="1">
        <f t="array" ref="M482">_xlfn.IFS(L482&lt;0.15,"Cold",L482&lt;0.25,"Mild",L482&lt;=0.32,"Warm",L482&gt;=0.33,"Hot")</f>
        <v>Cold</v>
      </c>
    </row>
    <row r="483" spans="1:13" x14ac:dyDescent="0.3">
      <c r="A483" s="6">
        <v>482</v>
      </c>
      <c r="B483" s="7">
        <v>40565</v>
      </c>
      <c r="C483" s="8">
        <v>1</v>
      </c>
      <c r="D483" s="8">
        <v>0</v>
      </c>
      <c r="E483" s="8">
        <v>1</v>
      </c>
      <c r="F483" s="8">
        <v>2</v>
      </c>
      <c r="G483" s="8" t="str" cm="1">
        <f t="array" ref="G483">_xlfn.IFS(F483&lt;4,"Night",F483&lt;=6,"Early Morning",F483&lt;11,"Morning",F483&lt;12,"Afternoon",F483&lt;=16,"Afternoon",F483&lt;=20,"Evening",F483&gt;=21,"Night")</f>
        <v>Night</v>
      </c>
      <c r="H483" s="8" t="b">
        <v>0</v>
      </c>
      <c r="I483" s="8">
        <v>6</v>
      </c>
      <c r="J483" s="8">
        <v>2</v>
      </c>
      <c r="K483" s="9" t="str" cm="1">
        <f t="array" ref="K483">_xlfn.IFS(J483=1,"Clear",J483=2,"Mist/Cloudy",J483=3,"Rain",J483=4,"Heavy Rain/Thunderstorm")</f>
        <v>Mist/Cloudy</v>
      </c>
      <c r="L483" s="10">
        <v>0.04</v>
      </c>
      <c r="M483" s="42" t="str" cm="1">
        <f t="array" ref="M483">_xlfn.IFS(L483&lt;0.15,"Cold",L483&lt;0.25,"Mild",L483&lt;=0.32,"Warm",L483&gt;=0.33,"Hot")</f>
        <v>Cold</v>
      </c>
    </row>
    <row r="484" spans="1:13" x14ac:dyDescent="0.3">
      <c r="A484" s="6">
        <v>483</v>
      </c>
      <c r="B484" s="7">
        <v>40565</v>
      </c>
      <c r="C484" s="8">
        <v>1</v>
      </c>
      <c r="D484" s="8">
        <v>0</v>
      </c>
      <c r="E484" s="8">
        <v>1</v>
      </c>
      <c r="F484" s="8">
        <v>3</v>
      </c>
      <c r="G484" s="8" t="str" cm="1">
        <f t="array" ref="G484">_xlfn.IFS(F484&lt;4,"Night",F484&lt;=6,"Early Morning",F484&lt;11,"Morning",F484&lt;12,"Afternoon",F484&lt;=16,"Afternoon",F484&lt;=20,"Evening",F484&gt;=21,"Night")</f>
        <v>Night</v>
      </c>
      <c r="H484" s="8" t="b">
        <v>0</v>
      </c>
      <c r="I484" s="8">
        <v>6</v>
      </c>
      <c r="J484" s="8">
        <v>2</v>
      </c>
      <c r="K484" s="9" t="str" cm="1">
        <f t="array" ref="K484">_xlfn.IFS(J484=1,"Clear",J484=2,"Mist/Cloudy",J484=3,"Rain",J484=4,"Heavy Rain/Thunderstorm")</f>
        <v>Mist/Cloudy</v>
      </c>
      <c r="L484" s="10">
        <v>0.04</v>
      </c>
      <c r="M484" s="42" t="str" cm="1">
        <f t="array" ref="M484">_xlfn.IFS(L484&lt;0.15,"Cold",L484&lt;0.25,"Mild",L484&lt;=0.32,"Warm",L484&gt;=0.33,"Hot")</f>
        <v>Cold</v>
      </c>
    </row>
    <row r="485" spans="1:13" x14ac:dyDescent="0.3">
      <c r="A485" s="6">
        <v>484</v>
      </c>
      <c r="B485" s="7">
        <v>40565</v>
      </c>
      <c r="C485" s="8">
        <v>1</v>
      </c>
      <c r="D485" s="8">
        <v>0</v>
      </c>
      <c r="E485" s="8">
        <v>1</v>
      </c>
      <c r="F485" s="8">
        <v>4</v>
      </c>
      <c r="G485" s="8" t="str" cm="1">
        <f t="array" ref="G485">_xlfn.IFS(F485&lt;4,"Night",F485&lt;=6,"Early Morning",F485&lt;11,"Morning",F485&lt;12,"Afternoon",F485&lt;=16,"Afternoon",F485&lt;=20,"Evening",F485&gt;=21,"Night")</f>
        <v>Early Morning</v>
      </c>
      <c r="H485" s="8" t="b">
        <v>0</v>
      </c>
      <c r="I485" s="8">
        <v>6</v>
      </c>
      <c r="J485" s="8">
        <v>2</v>
      </c>
      <c r="K485" s="9" t="str" cm="1">
        <f t="array" ref="K485">_xlfn.IFS(J485=1,"Clear",J485=2,"Mist/Cloudy",J485=3,"Rain",J485=4,"Heavy Rain/Thunderstorm")</f>
        <v>Mist/Cloudy</v>
      </c>
      <c r="L485" s="10">
        <v>0.02</v>
      </c>
      <c r="M485" s="42" t="str" cm="1">
        <f t="array" ref="M485">_xlfn.IFS(L485&lt;0.15,"Cold",L485&lt;0.25,"Mild",L485&lt;=0.32,"Warm",L485&gt;=0.33,"Hot")</f>
        <v>Cold</v>
      </c>
    </row>
    <row r="486" spans="1:13" x14ac:dyDescent="0.3">
      <c r="A486" s="6">
        <v>485</v>
      </c>
      <c r="B486" s="7">
        <v>40565</v>
      </c>
      <c r="C486" s="8">
        <v>1</v>
      </c>
      <c r="D486" s="8">
        <v>0</v>
      </c>
      <c r="E486" s="8">
        <v>1</v>
      </c>
      <c r="F486" s="8">
        <v>6</v>
      </c>
      <c r="G486" s="8" t="str" cm="1">
        <f t="array" ref="G486">_xlfn.IFS(F486&lt;4,"Night",F486&lt;=6,"Early Morning",F486&lt;11,"Morning",F486&lt;12,"Afternoon",F486&lt;=16,"Afternoon",F486&lt;=20,"Evening",F486&gt;=21,"Night")</f>
        <v>Early Morning</v>
      </c>
      <c r="H486" s="8" t="b">
        <v>0</v>
      </c>
      <c r="I486" s="8">
        <v>6</v>
      </c>
      <c r="J486" s="8">
        <v>2</v>
      </c>
      <c r="K486" s="9" t="str" cm="1">
        <f t="array" ref="K486">_xlfn.IFS(J486=1,"Clear",J486=2,"Mist/Cloudy",J486=3,"Rain",J486=4,"Heavy Rain/Thunderstorm")</f>
        <v>Mist/Cloudy</v>
      </c>
      <c r="L486" s="10">
        <v>0.02</v>
      </c>
      <c r="M486" s="42" t="str" cm="1">
        <f t="array" ref="M486">_xlfn.IFS(L486&lt;0.15,"Cold",L486&lt;0.25,"Mild",L486&lt;=0.32,"Warm",L486&gt;=0.33,"Hot")</f>
        <v>Cold</v>
      </c>
    </row>
    <row r="487" spans="1:13" x14ac:dyDescent="0.3">
      <c r="A487" s="6">
        <v>486</v>
      </c>
      <c r="B487" s="7">
        <v>40565</v>
      </c>
      <c r="C487" s="8">
        <v>1</v>
      </c>
      <c r="D487" s="8">
        <v>0</v>
      </c>
      <c r="E487" s="8">
        <v>1</v>
      </c>
      <c r="F487" s="8">
        <v>7</v>
      </c>
      <c r="G487" s="8" t="str" cm="1">
        <f t="array" ref="G487">_xlfn.IFS(F487&lt;4,"Night",F487&lt;=6,"Early Morning",F487&lt;11,"Morning",F487&lt;12,"Afternoon",F487&lt;=16,"Afternoon",F487&lt;=20,"Evening",F487&gt;=21,"Night")</f>
        <v>Morning</v>
      </c>
      <c r="H487" s="8" t="b">
        <v>0</v>
      </c>
      <c r="I487" s="8">
        <v>6</v>
      </c>
      <c r="J487" s="8">
        <v>1</v>
      </c>
      <c r="K487" s="9" t="str" cm="1">
        <f t="array" ref="K487">_xlfn.IFS(J487=1,"Clear",J487=2,"Mist/Cloudy",J487=3,"Rain",J487=4,"Heavy Rain/Thunderstorm")</f>
        <v>Clear</v>
      </c>
      <c r="L487" s="10">
        <v>0.02</v>
      </c>
      <c r="M487" s="42" t="str" cm="1">
        <f t="array" ref="M487">_xlfn.IFS(L487&lt;0.15,"Cold",L487&lt;0.25,"Mild",L487&lt;=0.32,"Warm",L487&gt;=0.33,"Hot")</f>
        <v>Cold</v>
      </c>
    </row>
    <row r="488" spans="1:13" x14ac:dyDescent="0.3">
      <c r="A488" s="6">
        <v>487</v>
      </c>
      <c r="B488" s="7">
        <v>40565</v>
      </c>
      <c r="C488" s="8">
        <v>1</v>
      </c>
      <c r="D488" s="8">
        <v>0</v>
      </c>
      <c r="E488" s="8">
        <v>1</v>
      </c>
      <c r="F488" s="8">
        <v>8</v>
      </c>
      <c r="G488" s="8" t="str" cm="1">
        <f t="array" ref="G488">_xlfn.IFS(F488&lt;4,"Night",F488&lt;=6,"Early Morning",F488&lt;11,"Morning",F488&lt;12,"Afternoon",F488&lt;=16,"Afternoon",F488&lt;=20,"Evening",F488&gt;=21,"Night")</f>
        <v>Morning</v>
      </c>
      <c r="H488" s="8" t="b">
        <v>0</v>
      </c>
      <c r="I488" s="8">
        <v>6</v>
      </c>
      <c r="J488" s="8">
        <v>1</v>
      </c>
      <c r="K488" s="9" t="str" cm="1">
        <f t="array" ref="K488">_xlfn.IFS(J488=1,"Clear",J488=2,"Mist/Cloudy",J488=3,"Rain",J488=4,"Heavy Rain/Thunderstorm")</f>
        <v>Clear</v>
      </c>
      <c r="L488" s="10">
        <v>0.02</v>
      </c>
      <c r="M488" s="42" t="str" cm="1">
        <f t="array" ref="M488">_xlfn.IFS(L488&lt;0.15,"Cold",L488&lt;0.25,"Mild",L488&lt;=0.32,"Warm",L488&gt;=0.33,"Hot")</f>
        <v>Cold</v>
      </c>
    </row>
    <row r="489" spans="1:13" x14ac:dyDescent="0.3">
      <c r="A489" s="6">
        <v>488</v>
      </c>
      <c r="B489" s="7">
        <v>40565</v>
      </c>
      <c r="C489" s="8">
        <v>1</v>
      </c>
      <c r="D489" s="8">
        <v>0</v>
      </c>
      <c r="E489" s="8">
        <v>1</v>
      </c>
      <c r="F489" s="8">
        <v>9</v>
      </c>
      <c r="G489" s="8" t="str" cm="1">
        <f t="array" ref="G489">_xlfn.IFS(F489&lt;4,"Night",F489&lt;=6,"Early Morning",F489&lt;11,"Morning",F489&lt;12,"Afternoon",F489&lt;=16,"Afternoon",F489&lt;=20,"Evening",F489&gt;=21,"Night")</f>
        <v>Morning</v>
      </c>
      <c r="H489" s="8" t="b">
        <v>0</v>
      </c>
      <c r="I489" s="8">
        <v>6</v>
      </c>
      <c r="J489" s="8">
        <v>1</v>
      </c>
      <c r="K489" s="9" t="str" cm="1">
        <f t="array" ref="K489">_xlfn.IFS(J489=1,"Clear",J489=2,"Mist/Cloudy",J489=3,"Rain",J489=4,"Heavy Rain/Thunderstorm")</f>
        <v>Clear</v>
      </c>
      <c r="L489" s="10">
        <v>0.04</v>
      </c>
      <c r="M489" s="42" t="str" cm="1">
        <f t="array" ref="M489">_xlfn.IFS(L489&lt;0.15,"Cold",L489&lt;0.25,"Mild",L489&lt;=0.32,"Warm",L489&gt;=0.33,"Hot")</f>
        <v>Cold</v>
      </c>
    </row>
    <row r="490" spans="1:13" x14ac:dyDescent="0.3">
      <c r="A490" s="6">
        <v>489</v>
      </c>
      <c r="B490" s="7">
        <v>40565</v>
      </c>
      <c r="C490" s="8">
        <v>1</v>
      </c>
      <c r="D490" s="8">
        <v>0</v>
      </c>
      <c r="E490" s="8">
        <v>1</v>
      </c>
      <c r="F490" s="8">
        <v>10</v>
      </c>
      <c r="G490" s="8" t="str" cm="1">
        <f t="array" ref="G490">_xlfn.IFS(F490&lt;4,"Night",F490&lt;=6,"Early Morning",F490&lt;11,"Morning",F490&lt;12,"Afternoon",F490&lt;=16,"Afternoon",F490&lt;=20,"Evening",F490&gt;=21,"Night")</f>
        <v>Morning</v>
      </c>
      <c r="H490" s="8" t="b">
        <v>0</v>
      </c>
      <c r="I490" s="8">
        <v>6</v>
      </c>
      <c r="J490" s="8">
        <v>2</v>
      </c>
      <c r="K490" s="9" t="str" cm="1">
        <f t="array" ref="K490">_xlfn.IFS(J490=1,"Clear",J490=2,"Mist/Cloudy",J490=3,"Rain",J490=4,"Heavy Rain/Thunderstorm")</f>
        <v>Mist/Cloudy</v>
      </c>
      <c r="L490" s="10">
        <v>0.04</v>
      </c>
      <c r="M490" s="42" t="str" cm="1">
        <f t="array" ref="M490">_xlfn.IFS(L490&lt;0.15,"Cold",L490&lt;0.25,"Mild",L490&lt;=0.32,"Warm",L490&gt;=0.33,"Hot")</f>
        <v>Cold</v>
      </c>
    </row>
    <row r="491" spans="1:13" x14ac:dyDescent="0.3">
      <c r="A491" s="6">
        <v>490</v>
      </c>
      <c r="B491" s="7">
        <v>40565</v>
      </c>
      <c r="C491" s="8">
        <v>1</v>
      </c>
      <c r="D491" s="8">
        <v>0</v>
      </c>
      <c r="E491" s="8">
        <v>1</v>
      </c>
      <c r="F491" s="8">
        <v>11</v>
      </c>
      <c r="G491" s="8" t="str" cm="1">
        <f t="array" ref="G491">_xlfn.IFS(F491&lt;4,"Night",F491&lt;=6,"Early Morning",F491&lt;11,"Morning",F491&lt;12,"Afternoon",F491&lt;=16,"Afternoon",F491&lt;=20,"Evening",F491&gt;=21,"Night")</f>
        <v>Afternoon</v>
      </c>
      <c r="H491" s="8" t="b">
        <v>0</v>
      </c>
      <c r="I491" s="8">
        <v>6</v>
      </c>
      <c r="J491" s="8">
        <v>2</v>
      </c>
      <c r="K491" s="9" t="str" cm="1">
        <f t="array" ref="K491">_xlfn.IFS(J491=1,"Clear",J491=2,"Mist/Cloudy",J491=3,"Rain",J491=4,"Heavy Rain/Thunderstorm")</f>
        <v>Mist/Cloudy</v>
      </c>
      <c r="L491" s="10">
        <v>0.06</v>
      </c>
      <c r="M491" s="42" t="str" cm="1">
        <f t="array" ref="M491">_xlfn.IFS(L491&lt;0.15,"Cold",L491&lt;0.25,"Mild",L491&lt;=0.32,"Warm",L491&gt;=0.33,"Hot")</f>
        <v>Cold</v>
      </c>
    </row>
    <row r="492" spans="1:13" x14ac:dyDescent="0.3">
      <c r="A492" s="6">
        <v>491</v>
      </c>
      <c r="B492" s="7">
        <v>40565</v>
      </c>
      <c r="C492" s="8">
        <v>1</v>
      </c>
      <c r="D492" s="8">
        <v>0</v>
      </c>
      <c r="E492" s="8">
        <v>1</v>
      </c>
      <c r="F492" s="8">
        <v>12</v>
      </c>
      <c r="G492" s="8" t="str" cm="1">
        <f t="array" ref="G492">_xlfn.IFS(F492&lt;4,"Night",F492&lt;=6,"Early Morning",F492&lt;11,"Morning",F492&lt;12,"Afternoon",F492&lt;=16,"Afternoon",F492&lt;=20,"Evening",F492&gt;=21,"Night")</f>
        <v>Afternoon</v>
      </c>
      <c r="H492" s="8" t="b">
        <v>0</v>
      </c>
      <c r="I492" s="8">
        <v>6</v>
      </c>
      <c r="J492" s="8">
        <v>2</v>
      </c>
      <c r="K492" s="9" t="str" cm="1">
        <f t="array" ref="K492">_xlfn.IFS(J492=1,"Clear",J492=2,"Mist/Cloudy",J492=3,"Rain",J492=4,"Heavy Rain/Thunderstorm")</f>
        <v>Mist/Cloudy</v>
      </c>
      <c r="L492" s="10">
        <v>0.06</v>
      </c>
      <c r="M492" s="42" t="str" cm="1">
        <f t="array" ref="M492">_xlfn.IFS(L492&lt;0.15,"Cold",L492&lt;0.25,"Mild",L492&lt;=0.32,"Warm",L492&gt;=0.33,"Hot")</f>
        <v>Cold</v>
      </c>
    </row>
    <row r="493" spans="1:13" x14ac:dyDescent="0.3">
      <c r="A493" s="6">
        <v>492</v>
      </c>
      <c r="B493" s="7">
        <v>40565</v>
      </c>
      <c r="C493" s="8">
        <v>1</v>
      </c>
      <c r="D493" s="8">
        <v>0</v>
      </c>
      <c r="E493" s="8">
        <v>1</v>
      </c>
      <c r="F493" s="8">
        <v>13</v>
      </c>
      <c r="G493" s="8" t="str" cm="1">
        <f t="array" ref="G493">_xlfn.IFS(F493&lt;4,"Night",F493&lt;=6,"Early Morning",F493&lt;11,"Morning",F493&lt;12,"Afternoon",F493&lt;=16,"Afternoon",F493&lt;=20,"Evening",F493&gt;=21,"Night")</f>
        <v>Afternoon</v>
      </c>
      <c r="H493" s="8" t="b">
        <v>0</v>
      </c>
      <c r="I493" s="8">
        <v>6</v>
      </c>
      <c r="J493" s="8">
        <v>1</v>
      </c>
      <c r="K493" s="9" t="str" cm="1">
        <f t="array" ref="K493">_xlfn.IFS(J493=1,"Clear",J493=2,"Mist/Cloudy",J493=3,"Rain",J493=4,"Heavy Rain/Thunderstorm")</f>
        <v>Clear</v>
      </c>
      <c r="L493" s="10">
        <v>0.08</v>
      </c>
      <c r="M493" s="42" t="str" cm="1">
        <f t="array" ref="M493">_xlfn.IFS(L493&lt;0.15,"Cold",L493&lt;0.25,"Mild",L493&lt;=0.32,"Warm",L493&gt;=0.33,"Hot")</f>
        <v>Cold</v>
      </c>
    </row>
    <row r="494" spans="1:13" x14ac:dyDescent="0.3">
      <c r="A494" s="6">
        <v>493</v>
      </c>
      <c r="B494" s="7">
        <v>40565</v>
      </c>
      <c r="C494" s="8">
        <v>1</v>
      </c>
      <c r="D494" s="8">
        <v>0</v>
      </c>
      <c r="E494" s="8">
        <v>1</v>
      </c>
      <c r="F494" s="8">
        <v>14</v>
      </c>
      <c r="G494" s="8" t="str" cm="1">
        <f t="array" ref="G494">_xlfn.IFS(F494&lt;4,"Night",F494&lt;=6,"Early Morning",F494&lt;11,"Morning",F494&lt;12,"Afternoon",F494&lt;=16,"Afternoon",F494&lt;=20,"Evening",F494&gt;=21,"Night")</f>
        <v>Afternoon</v>
      </c>
      <c r="H494" s="8" t="b">
        <v>0</v>
      </c>
      <c r="I494" s="8">
        <v>6</v>
      </c>
      <c r="J494" s="8">
        <v>1</v>
      </c>
      <c r="K494" s="9" t="str" cm="1">
        <f t="array" ref="K494">_xlfn.IFS(J494=1,"Clear",J494=2,"Mist/Cloudy",J494=3,"Rain",J494=4,"Heavy Rain/Thunderstorm")</f>
        <v>Clear</v>
      </c>
      <c r="L494" s="10">
        <v>0.1</v>
      </c>
      <c r="M494" s="42" t="str" cm="1">
        <f t="array" ref="M494">_xlfn.IFS(L494&lt;0.15,"Cold",L494&lt;0.25,"Mild",L494&lt;=0.32,"Warm",L494&gt;=0.33,"Hot")</f>
        <v>Cold</v>
      </c>
    </row>
    <row r="495" spans="1:13" x14ac:dyDescent="0.3">
      <c r="A495" s="6">
        <v>494</v>
      </c>
      <c r="B495" s="7">
        <v>40565</v>
      </c>
      <c r="C495" s="8">
        <v>1</v>
      </c>
      <c r="D495" s="8">
        <v>0</v>
      </c>
      <c r="E495" s="8">
        <v>1</v>
      </c>
      <c r="F495" s="8">
        <v>15</v>
      </c>
      <c r="G495" s="8" t="str" cm="1">
        <f t="array" ref="G495">_xlfn.IFS(F495&lt;4,"Night",F495&lt;=6,"Early Morning",F495&lt;11,"Morning",F495&lt;12,"Afternoon",F495&lt;=16,"Afternoon",F495&lt;=20,"Evening",F495&gt;=21,"Night")</f>
        <v>Afternoon</v>
      </c>
      <c r="H495" s="8" t="b">
        <v>0</v>
      </c>
      <c r="I495" s="8">
        <v>6</v>
      </c>
      <c r="J495" s="8">
        <v>1</v>
      </c>
      <c r="K495" s="9" t="str" cm="1">
        <f t="array" ref="K495">_xlfn.IFS(J495=1,"Clear",J495=2,"Mist/Cloudy",J495=3,"Rain",J495=4,"Heavy Rain/Thunderstorm")</f>
        <v>Clear</v>
      </c>
      <c r="L495" s="10">
        <v>0.12</v>
      </c>
      <c r="M495" s="42" t="str" cm="1">
        <f t="array" ref="M495">_xlfn.IFS(L495&lt;0.15,"Cold",L495&lt;0.25,"Mild",L495&lt;=0.32,"Warm",L495&gt;=0.33,"Hot")</f>
        <v>Cold</v>
      </c>
    </row>
    <row r="496" spans="1:13" x14ac:dyDescent="0.3">
      <c r="A496" s="6">
        <v>495</v>
      </c>
      <c r="B496" s="7">
        <v>40565</v>
      </c>
      <c r="C496" s="8">
        <v>1</v>
      </c>
      <c r="D496" s="8">
        <v>0</v>
      </c>
      <c r="E496" s="8">
        <v>1</v>
      </c>
      <c r="F496" s="8">
        <v>16</v>
      </c>
      <c r="G496" s="8" t="str" cm="1">
        <f t="array" ref="G496">_xlfn.IFS(F496&lt;4,"Night",F496&lt;=6,"Early Morning",F496&lt;11,"Morning",F496&lt;12,"Afternoon",F496&lt;=16,"Afternoon",F496&lt;=20,"Evening",F496&gt;=21,"Night")</f>
        <v>Afternoon</v>
      </c>
      <c r="H496" s="8" t="b">
        <v>0</v>
      </c>
      <c r="I496" s="8">
        <v>6</v>
      </c>
      <c r="J496" s="8">
        <v>1</v>
      </c>
      <c r="K496" s="9" t="str" cm="1">
        <f t="array" ref="K496">_xlfn.IFS(J496=1,"Clear",J496=2,"Mist/Cloudy",J496=3,"Rain",J496=4,"Heavy Rain/Thunderstorm")</f>
        <v>Clear</v>
      </c>
      <c r="L496" s="10">
        <v>0.12</v>
      </c>
      <c r="M496" s="42" t="str" cm="1">
        <f t="array" ref="M496">_xlfn.IFS(L496&lt;0.15,"Cold",L496&lt;0.25,"Mild",L496&lt;=0.32,"Warm",L496&gt;=0.33,"Hot")</f>
        <v>Cold</v>
      </c>
    </row>
    <row r="497" spans="1:13" x14ac:dyDescent="0.3">
      <c r="A497" s="6">
        <v>496</v>
      </c>
      <c r="B497" s="7">
        <v>40565</v>
      </c>
      <c r="C497" s="8">
        <v>1</v>
      </c>
      <c r="D497" s="8">
        <v>0</v>
      </c>
      <c r="E497" s="8">
        <v>1</v>
      </c>
      <c r="F497" s="8">
        <v>17</v>
      </c>
      <c r="G497" s="8" t="str" cm="1">
        <f t="array" ref="G497">_xlfn.IFS(F497&lt;4,"Night",F497&lt;=6,"Early Morning",F497&lt;11,"Morning",F497&lt;12,"Afternoon",F497&lt;=16,"Afternoon",F497&lt;=20,"Evening",F497&gt;=21,"Night")</f>
        <v>Evening</v>
      </c>
      <c r="H497" s="8" t="b">
        <v>0</v>
      </c>
      <c r="I497" s="8">
        <v>6</v>
      </c>
      <c r="J497" s="8">
        <v>1</v>
      </c>
      <c r="K497" s="9" t="str" cm="1">
        <f t="array" ref="K497">_xlfn.IFS(J497=1,"Clear",J497=2,"Mist/Cloudy",J497=3,"Rain",J497=4,"Heavy Rain/Thunderstorm")</f>
        <v>Clear</v>
      </c>
      <c r="L497" s="10">
        <v>0.12</v>
      </c>
      <c r="M497" s="42" t="str" cm="1">
        <f t="array" ref="M497">_xlfn.IFS(L497&lt;0.15,"Cold",L497&lt;0.25,"Mild",L497&lt;=0.32,"Warm",L497&gt;=0.33,"Hot")</f>
        <v>Cold</v>
      </c>
    </row>
    <row r="498" spans="1:13" x14ac:dyDescent="0.3">
      <c r="A498" s="6">
        <v>497</v>
      </c>
      <c r="B498" s="7">
        <v>40565</v>
      </c>
      <c r="C498" s="8">
        <v>1</v>
      </c>
      <c r="D498" s="8">
        <v>0</v>
      </c>
      <c r="E498" s="8">
        <v>1</v>
      </c>
      <c r="F498" s="8">
        <v>18</v>
      </c>
      <c r="G498" s="8" t="str" cm="1">
        <f t="array" ref="G498">_xlfn.IFS(F498&lt;4,"Night",F498&lt;=6,"Early Morning",F498&lt;11,"Morning",F498&lt;12,"Afternoon",F498&lt;=16,"Afternoon",F498&lt;=20,"Evening",F498&gt;=21,"Night")</f>
        <v>Evening</v>
      </c>
      <c r="H498" s="8" t="b">
        <v>0</v>
      </c>
      <c r="I498" s="8">
        <v>6</v>
      </c>
      <c r="J498" s="8">
        <v>1</v>
      </c>
      <c r="K498" s="9" t="str" cm="1">
        <f t="array" ref="K498">_xlfn.IFS(J498=1,"Clear",J498=2,"Mist/Cloudy",J498=3,"Rain",J498=4,"Heavy Rain/Thunderstorm")</f>
        <v>Clear</v>
      </c>
      <c r="L498" s="10">
        <v>0.08</v>
      </c>
      <c r="M498" s="42" t="str" cm="1">
        <f t="array" ref="M498">_xlfn.IFS(L498&lt;0.15,"Cold",L498&lt;0.25,"Mild",L498&lt;=0.32,"Warm",L498&gt;=0.33,"Hot")</f>
        <v>Cold</v>
      </c>
    </row>
    <row r="499" spans="1:13" x14ac:dyDescent="0.3">
      <c r="A499" s="6">
        <v>498</v>
      </c>
      <c r="B499" s="7">
        <v>40565</v>
      </c>
      <c r="C499" s="8">
        <v>1</v>
      </c>
      <c r="D499" s="8">
        <v>0</v>
      </c>
      <c r="E499" s="8">
        <v>1</v>
      </c>
      <c r="F499" s="8">
        <v>19</v>
      </c>
      <c r="G499" s="8" t="str" cm="1">
        <f t="array" ref="G499">_xlfn.IFS(F499&lt;4,"Night",F499&lt;=6,"Early Morning",F499&lt;11,"Morning",F499&lt;12,"Afternoon",F499&lt;=16,"Afternoon",F499&lt;=20,"Evening",F499&gt;=21,"Night")</f>
        <v>Evening</v>
      </c>
      <c r="H499" s="8" t="b">
        <v>0</v>
      </c>
      <c r="I499" s="8">
        <v>6</v>
      </c>
      <c r="J499" s="8">
        <v>1</v>
      </c>
      <c r="K499" s="9" t="str" cm="1">
        <f t="array" ref="K499">_xlfn.IFS(J499=1,"Clear",J499=2,"Mist/Cloudy",J499=3,"Rain",J499=4,"Heavy Rain/Thunderstorm")</f>
        <v>Clear</v>
      </c>
      <c r="L499" s="10">
        <v>0.08</v>
      </c>
      <c r="M499" s="42" t="str" cm="1">
        <f t="array" ref="M499">_xlfn.IFS(L499&lt;0.15,"Cold",L499&lt;0.25,"Mild",L499&lt;=0.32,"Warm",L499&gt;=0.33,"Hot")</f>
        <v>Cold</v>
      </c>
    </row>
    <row r="500" spans="1:13" x14ac:dyDescent="0.3">
      <c r="A500" s="6">
        <v>499</v>
      </c>
      <c r="B500" s="7">
        <v>40565</v>
      </c>
      <c r="C500" s="8">
        <v>1</v>
      </c>
      <c r="D500" s="8">
        <v>0</v>
      </c>
      <c r="E500" s="8">
        <v>1</v>
      </c>
      <c r="F500" s="8">
        <v>20</v>
      </c>
      <c r="G500" s="8" t="str" cm="1">
        <f t="array" ref="G500">_xlfn.IFS(F500&lt;4,"Night",F500&lt;=6,"Early Morning",F500&lt;11,"Morning",F500&lt;12,"Afternoon",F500&lt;=16,"Afternoon",F500&lt;=20,"Evening",F500&gt;=21,"Night")</f>
        <v>Evening</v>
      </c>
      <c r="H500" s="8" t="b">
        <v>0</v>
      </c>
      <c r="I500" s="8">
        <v>6</v>
      </c>
      <c r="J500" s="8">
        <v>1</v>
      </c>
      <c r="K500" s="9" t="str" cm="1">
        <f t="array" ref="K500">_xlfn.IFS(J500=1,"Clear",J500=2,"Mist/Cloudy",J500=3,"Rain",J500=4,"Heavy Rain/Thunderstorm")</f>
        <v>Clear</v>
      </c>
      <c r="L500" s="10">
        <v>0.06</v>
      </c>
      <c r="M500" s="42" t="str" cm="1">
        <f t="array" ref="M500">_xlfn.IFS(L500&lt;0.15,"Cold",L500&lt;0.25,"Mild",L500&lt;=0.32,"Warm",L500&gt;=0.33,"Hot")</f>
        <v>Cold</v>
      </c>
    </row>
    <row r="501" spans="1:13" x14ac:dyDescent="0.3">
      <c r="A501" s="6">
        <v>500</v>
      </c>
      <c r="B501" s="7">
        <v>40565</v>
      </c>
      <c r="C501" s="8">
        <v>1</v>
      </c>
      <c r="D501" s="8">
        <v>0</v>
      </c>
      <c r="E501" s="8">
        <v>1</v>
      </c>
      <c r="F501" s="8">
        <v>21</v>
      </c>
      <c r="G501" s="8" t="str" cm="1">
        <f t="array" ref="G501">_xlfn.IFS(F501&lt;4,"Night",F501&lt;=6,"Early Morning",F501&lt;11,"Morning",F501&lt;12,"Afternoon",F501&lt;=16,"Afternoon",F501&lt;=20,"Evening",F501&gt;=21,"Night")</f>
        <v>Night</v>
      </c>
      <c r="H501" s="8" t="b">
        <v>0</v>
      </c>
      <c r="I501" s="8">
        <v>6</v>
      </c>
      <c r="J501" s="8">
        <v>1</v>
      </c>
      <c r="K501" s="9" t="str" cm="1">
        <f t="array" ref="K501">_xlfn.IFS(J501=1,"Clear",J501=2,"Mist/Cloudy",J501=3,"Rain",J501=4,"Heavy Rain/Thunderstorm")</f>
        <v>Clear</v>
      </c>
      <c r="L501" s="10">
        <v>0.06</v>
      </c>
      <c r="M501" s="42" t="str" cm="1">
        <f t="array" ref="M501">_xlfn.IFS(L501&lt;0.15,"Cold",L501&lt;0.25,"Mild",L501&lt;=0.32,"Warm",L501&gt;=0.33,"Hot")</f>
        <v>Cold</v>
      </c>
    </row>
    <row r="502" spans="1:13" x14ac:dyDescent="0.3">
      <c r="A502" s="6">
        <v>501</v>
      </c>
      <c r="B502" s="7">
        <v>40565</v>
      </c>
      <c r="C502" s="8">
        <v>1</v>
      </c>
      <c r="D502" s="8">
        <v>0</v>
      </c>
      <c r="E502" s="8">
        <v>1</v>
      </c>
      <c r="F502" s="8">
        <v>22</v>
      </c>
      <c r="G502" s="8" t="str" cm="1">
        <f t="array" ref="G502">_xlfn.IFS(F502&lt;4,"Night",F502&lt;=6,"Early Morning",F502&lt;11,"Morning",F502&lt;12,"Afternoon",F502&lt;=16,"Afternoon",F502&lt;=20,"Evening",F502&gt;=21,"Night")</f>
        <v>Night</v>
      </c>
      <c r="H502" s="8" t="b">
        <v>0</v>
      </c>
      <c r="I502" s="8">
        <v>6</v>
      </c>
      <c r="J502" s="8">
        <v>1</v>
      </c>
      <c r="K502" s="9" t="str" cm="1">
        <f t="array" ref="K502">_xlfn.IFS(J502=1,"Clear",J502=2,"Mist/Cloudy",J502=3,"Rain",J502=4,"Heavy Rain/Thunderstorm")</f>
        <v>Clear</v>
      </c>
      <c r="L502" s="10">
        <v>0.06</v>
      </c>
      <c r="M502" s="42" t="str" cm="1">
        <f t="array" ref="M502">_xlfn.IFS(L502&lt;0.15,"Cold",L502&lt;0.25,"Mild",L502&lt;=0.32,"Warm",L502&gt;=0.33,"Hot")</f>
        <v>Cold</v>
      </c>
    </row>
    <row r="503" spans="1:13" x14ac:dyDescent="0.3">
      <c r="A503" s="6">
        <v>502</v>
      </c>
      <c r="B503" s="7">
        <v>40565</v>
      </c>
      <c r="C503" s="8">
        <v>1</v>
      </c>
      <c r="D503" s="8">
        <v>0</v>
      </c>
      <c r="E503" s="8">
        <v>1</v>
      </c>
      <c r="F503" s="8">
        <v>23</v>
      </c>
      <c r="G503" s="8" t="str" cm="1">
        <f t="array" ref="G503">_xlfn.IFS(F503&lt;4,"Night",F503&lt;=6,"Early Morning",F503&lt;11,"Morning",F503&lt;12,"Afternoon",F503&lt;=16,"Afternoon",F503&lt;=20,"Evening",F503&gt;=21,"Night")</f>
        <v>Night</v>
      </c>
      <c r="H503" s="8" t="b">
        <v>0</v>
      </c>
      <c r="I503" s="8">
        <v>6</v>
      </c>
      <c r="J503" s="8">
        <v>1</v>
      </c>
      <c r="K503" s="9" t="str" cm="1">
        <f t="array" ref="K503">_xlfn.IFS(J503=1,"Clear",J503=2,"Mist/Cloudy",J503=3,"Rain",J503=4,"Heavy Rain/Thunderstorm")</f>
        <v>Clear</v>
      </c>
      <c r="L503" s="10">
        <v>0.04</v>
      </c>
      <c r="M503" s="42" t="str" cm="1">
        <f t="array" ref="M503">_xlfn.IFS(L503&lt;0.15,"Cold",L503&lt;0.25,"Mild",L503&lt;=0.32,"Warm",L503&gt;=0.33,"Hot")</f>
        <v>Cold</v>
      </c>
    </row>
    <row r="504" spans="1:13" x14ac:dyDescent="0.3">
      <c r="A504" s="6">
        <v>503</v>
      </c>
      <c r="B504" s="7">
        <v>40566</v>
      </c>
      <c r="C504" s="8">
        <v>1</v>
      </c>
      <c r="D504" s="8">
        <v>0</v>
      </c>
      <c r="E504" s="8">
        <v>1</v>
      </c>
      <c r="F504" s="8">
        <v>0</v>
      </c>
      <c r="G504" s="8" t="str" cm="1">
        <f t="array" ref="G504">_xlfn.IFS(F504&lt;4,"Night",F504&lt;=6,"Early Morning",F504&lt;11,"Morning",F504&lt;12,"Afternoon",F504&lt;=16,"Afternoon",F504&lt;=20,"Evening",F504&gt;=21,"Night")</f>
        <v>Night</v>
      </c>
      <c r="H504" s="8" t="b">
        <v>0</v>
      </c>
      <c r="I504" s="8">
        <v>0</v>
      </c>
      <c r="J504" s="8">
        <v>1</v>
      </c>
      <c r="K504" s="9" t="str" cm="1">
        <f t="array" ref="K504">_xlfn.IFS(J504=1,"Clear",J504=2,"Mist/Cloudy",J504=3,"Rain",J504=4,"Heavy Rain/Thunderstorm")</f>
        <v>Clear</v>
      </c>
      <c r="L504" s="10">
        <v>0.04</v>
      </c>
      <c r="M504" s="42" t="str" cm="1">
        <f t="array" ref="M504">_xlfn.IFS(L504&lt;0.15,"Cold",L504&lt;0.25,"Mild",L504&lt;=0.32,"Warm",L504&gt;=0.33,"Hot")</f>
        <v>Cold</v>
      </c>
    </row>
    <row r="505" spans="1:13" x14ac:dyDescent="0.3">
      <c r="A505" s="6">
        <v>504</v>
      </c>
      <c r="B505" s="7">
        <v>40566</v>
      </c>
      <c r="C505" s="8">
        <v>1</v>
      </c>
      <c r="D505" s="8">
        <v>0</v>
      </c>
      <c r="E505" s="8">
        <v>1</v>
      </c>
      <c r="F505" s="8">
        <v>1</v>
      </c>
      <c r="G505" s="8" t="str" cm="1">
        <f t="array" ref="G505">_xlfn.IFS(F505&lt;4,"Night",F505&lt;=6,"Early Morning",F505&lt;11,"Morning",F505&lt;12,"Afternoon",F505&lt;=16,"Afternoon",F505&lt;=20,"Evening",F505&gt;=21,"Night")</f>
        <v>Night</v>
      </c>
      <c r="H505" s="8" t="b">
        <v>0</v>
      </c>
      <c r="I505" s="8">
        <v>0</v>
      </c>
      <c r="J505" s="8">
        <v>1</v>
      </c>
      <c r="K505" s="9" t="str" cm="1">
        <f t="array" ref="K505">_xlfn.IFS(J505=1,"Clear",J505=2,"Mist/Cloudy",J505=3,"Rain",J505=4,"Heavy Rain/Thunderstorm")</f>
        <v>Clear</v>
      </c>
      <c r="L505" s="10">
        <v>0.04</v>
      </c>
      <c r="M505" s="42" t="str" cm="1">
        <f t="array" ref="M505">_xlfn.IFS(L505&lt;0.15,"Cold",L505&lt;0.25,"Mild",L505&lt;=0.32,"Warm",L505&gt;=0.33,"Hot")</f>
        <v>Cold</v>
      </c>
    </row>
    <row r="506" spans="1:13" x14ac:dyDescent="0.3">
      <c r="A506" s="6">
        <v>505</v>
      </c>
      <c r="B506" s="7">
        <v>40566</v>
      </c>
      <c r="C506" s="8">
        <v>1</v>
      </c>
      <c r="D506" s="8">
        <v>0</v>
      </c>
      <c r="E506" s="8">
        <v>1</v>
      </c>
      <c r="F506" s="8">
        <v>2</v>
      </c>
      <c r="G506" s="8" t="str" cm="1">
        <f t="array" ref="G506">_xlfn.IFS(F506&lt;4,"Night",F506&lt;=6,"Early Morning",F506&lt;11,"Morning",F506&lt;12,"Afternoon",F506&lt;=16,"Afternoon",F506&lt;=20,"Evening",F506&gt;=21,"Night")</f>
        <v>Night</v>
      </c>
      <c r="H506" s="8" t="b">
        <v>0</v>
      </c>
      <c r="I506" s="8">
        <v>0</v>
      </c>
      <c r="J506" s="8">
        <v>1</v>
      </c>
      <c r="K506" s="9" t="str" cm="1">
        <f t="array" ref="K506">_xlfn.IFS(J506=1,"Clear",J506=2,"Mist/Cloudy",J506=3,"Rain",J506=4,"Heavy Rain/Thunderstorm")</f>
        <v>Clear</v>
      </c>
      <c r="L506" s="10">
        <v>0.02</v>
      </c>
      <c r="M506" s="42" t="str" cm="1">
        <f t="array" ref="M506">_xlfn.IFS(L506&lt;0.15,"Cold",L506&lt;0.25,"Mild",L506&lt;=0.32,"Warm",L506&gt;=0.33,"Hot")</f>
        <v>Cold</v>
      </c>
    </row>
    <row r="507" spans="1:13" x14ac:dyDescent="0.3">
      <c r="A507" s="6">
        <v>506</v>
      </c>
      <c r="B507" s="7">
        <v>40566</v>
      </c>
      <c r="C507" s="8">
        <v>1</v>
      </c>
      <c r="D507" s="8">
        <v>0</v>
      </c>
      <c r="E507" s="8">
        <v>1</v>
      </c>
      <c r="F507" s="8">
        <v>3</v>
      </c>
      <c r="G507" s="8" t="str" cm="1">
        <f t="array" ref="G507">_xlfn.IFS(F507&lt;4,"Night",F507&lt;=6,"Early Morning",F507&lt;11,"Morning",F507&lt;12,"Afternoon",F507&lt;=16,"Afternoon",F507&lt;=20,"Evening",F507&gt;=21,"Night")</f>
        <v>Night</v>
      </c>
      <c r="H507" s="8" t="b">
        <v>0</v>
      </c>
      <c r="I507" s="8">
        <v>0</v>
      </c>
      <c r="J507" s="8">
        <v>1</v>
      </c>
      <c r="K507" s="9" t="str" cm="1">
        <f t="array" ref="K507">_xlfn.IFS(J507=1,"Clear",J507=2,"Mist/Cloudy",J507=3,"Rain",J507=4,"Heavy Rain/Thunderstorm")</f>
        <v>Clear</v>
      </c>
      <c r="L507" s="10">
        <v>0.02</v>
      </c>
      <c r="M507" s="42" t="str" cm="1">
        <f t="array" ref="M507">_xlfn.IFS(L507&lt;0.15,"Cold",L507&lt;0.25,"Mild",L507&lt;=0.32,"Warm",L507&gt;=0.33,"Hot")</f>
        <v>Cold</v>
      </c>
    </row>
    <row r="508" spans="1:13" x14ac:dyDescent="0.3">
      <c r="A508" s="6">
        <v>507</v>
      </c>
      <c r="B508" s="7">
        <v>40566</v>
      </c>
      <c r="C508" s="8">
        <v>1</v>
      </c>
      <c r="D508" s="8">
        <v>0</v>
      </c>
      <c r="E508" s="8">
        <v>1</v>
      </c>
      <c r="F508" s="8">
        <v>5</v>
      </c>
      <c r="G508" s="8" t="str" cm="1">
        <f t="array" ref="G508">_xlfn.IFS(F508&lt;4,"Night",F508&lt;=6,"Early Morning",F508&lt;11,"Morning",F508&lt;12,"Afternoon",F508&lt;=16,"Afternoon",F508&lt;=20,"Evening",F508&gt;=21,"Night")</f>
        <v>Early Morning</v>
      </c>
      <c r="H508" s="8" t="b">
        <v>0</v>
      </c>
      <c r="I508" s="8">
        <v>0</v>
      </c>
      <c r="J508" s="8">
        <v>2</v>
      </c>
      <c r="K508" s="9" t="str" cm="1">
        <f t="array" ref="K508">_xlfn.IFS(J508=1,"Clear",J508=2,"Mist/Cloudy",J508=3,"Rain",J508=4,"Heavy Rain/Thunderstorm")</f>
        <v>Mist/Cloudy</v>
      </c>
      <c r="L508" s="10">
        <v>0.04</v>
      </c>
      <c r="M508" s="42" t="str" cm="1">
        <f t="array" ref="M508">_xlfn.IFS(L508&lt;0.15,"Cold",L508&lt;0.25,"Mild",L508&lt;=0.32,"Warm",L508&gt;=0.33,"Hot")</f>
        <v>Cold</v>
      </c>
    </row>
    <row r="509" spans="1:13" x14ac:dyDescent="0.3">
      <c r="A509" s="6">
        <v>508</v>
      </c>
      <c r="B509" s="7">
        <v>40566</v>
      </c>
      <c r="C509" s="8">
        <v>1</v>
      </c>
      <c r="D509" s="8">
        <v>0</v>
      </c>
      <c r="E509" s="8">
        <v>1</v>
      </c>
      <c r="F509" s="8">
        <v>6</v>
      </c>
      <c r="G509" s="8" t="str" cm="1">
        <f t="array" ref="G509">_xlfn.IFS(F509&lt;4,"Night",F509&lt;=6,"Early Morning",F509&lt;11,"Morning",F509&lt;12,"Afternoon",F509&lt;=16,"Afternoon",F509&lt;=20,"Evening",F509&gt;=21,"Night")</f>
        <v>Early Morning</v>
      </c>
      <c r="H509" s="8" t="b">
        <v>0</v>
      </c>
      <c r="I509" s="8">
        <v>0</v>
      </c>
      <c r="J509" s="8">
        <v>2</v>
      </c>
      <c r="K509" s="9" t="str" cm="1">
        <f t="array" ref="K509">_xlfn.IFS(J509=1,"Clear",J509=2,"Mist/Cloudy",J509=3,"Rain",J509=4,"Heavy Rain/Thunderstorm")</f>
        <v>Mist/Cloudy</v>
      </c>
      <c r="L509" s="10">
        <v>0.04</v>
      </c>
      <c r="M509" s="42" t="str" cm="1">
        <f t="array" ref="M509">_xlfn.IFS(L509&lt;0.15,"Cold",L509&lt;0.25,"Mild",L509&lt;=0.32,"Warm",L509&gt;=0.33,"Hot")</f>
        <v>Cold</v>
      </c>
    </row>
    <row r="510" spans="1:13" x14ac:dyDescent="0.3">
      <c r="A510" s="6">
        <v>509</v>
      </c>
      <c r="B510" s="7">
        <v>40566</v>
      </c>
      <c r="C510" s="8">
        <v>1</v>
      </c>
      <c r="D510" s="8">
        <v>0</v>
      </c>
      <c r="E510" s="8">
        <v>1</v>
      </c>
      <c r="F510" s="8">
        <v>7</v>
      </c>
      <c r="G510" s="8" t="str" cm="1">
        <f t="array" ref="G510">_xlfn.IFS(F510&lt;4,"Night",F510&lt;=6,"Early Morning",F510&lt;11,"Morning",F510&lt;12,"Afternoon",F510&lt;=16,"Afternoon",F510&lt;=20,"Evening",F510&gt;=21,"Night")</f>
        <v>Morning</v>
      </c>
      <c r="H510" s="8" t="b">
        <v>0</v>
      </c>
      <c r="I510" s="8">
        <v>0</v>
      </c>
      <c r="J510" s="8">
        <v>1</v>
      </c>
      <c r="K510" s="9" t="str" cm="1">
        <f t="array" ref="K510">_xlfn.IFS(J510=1,"Clear",J510=2,"Mist/Cloudy",J510=3,"Rain",J510=4,"Heavy Rain/Thunderstorm")</f>
        <v>Clear</v>
      </c>
      <c r="L510" s="10">
        <v>0.08</v>
      </c>
      <c r="M510" s="42" t="str" cm="1">
        <f t="array" ref="M510">_xlfn.IFS(L510&lt;0.15,"Cold",L510&lt;0.25,"Mild",L510&lt;=0.32,"Warm",L510&gt;=0.33,"Hot")</f>
        <v>Cold</v>
      </c>
    </row>
    <row r="511" spans="1:13" x14ac:dyDescent="0.3">
      <c r="A511" s="6">
        <v>510</v>
      </c>
      <c r="B511" s="7">
        <v>40566</v>
      </c>
      <c r="C511" s="8">
        <v>1</v>
      </c>
      <c r="D511" s="8">
        <v>0</v>
      </c>
      <c r="E511" s="8">
        <v>1</v>
      </c>
      <c r="F511" s="8">
        <v>8</v>
      </c>
      <c r="G511" s="8" t="str" cm="1">
        <f t="array" ref="G511">_xlfn.IFS(F511&lt;4,"Night",F511&lt;=6,"Early Morning",F511&lt;11,"Morning",F511&lt;12,"Afternoon",F511&lt;=16,"Afternoon",F511&lt;=20,"Evening",F511&gt;=21,"Night")</f>
        <v>Morning</v>
      </c>
      <c r="H511" s="8" t="b">
        <v>0</v>
      </c>
      <c r="I511" s="8">
        <v>0</v>
      </c>
      <c r="J511" s="8">
        <v>1</v>
      </c>
      <c r="K511" s="9" t="str" cm="1">
        <f t="array" ref="K511">_xlfn.IFS(J511=1,"Clear",J511=2,"Mist/Cloudy",J511=3,"Rain",J511=4,"Heavy Rain/Thunderstorm")</f>
        <v>Clear</v>
      </c>
      <c r="L511" s="10">
        <v>0.06</v>
      </c>
      <c r="M511" s="42" t="str" cm="1">
        <f t="array" ref="M511">_xlfn.IFS(L511&lt;0.15,"Cold",L511&lt;0.25,"Mild",L511&lt;=0.32,"Warm",L511&gt;=0.33,"Hot")</f>
        <v>Cold</v>
      </c>
    </row>
    <row r="512" spans="1:13" x14ac:dyDescent="0.3">
      <c r="A512" s="6">
        <v>511</v>
      </c>
      <c r="B512" s="7">
        <v>40566</v>
      </c>
      <c r="C512" s="8">
        <v>1</v>
      </c>
      <c r="D512" s="8">
        <v>0</v>
      </c>
      <c r="E512" s="8">
        <v>1</v>
      </c>
      <c r="F512" s="8">
        <v>9</v>
      </c>
      <c r="G512" s="8" t="str" cm="1">
        <f t="array" ref="G512">_xlfn.IFS(F512&lt;4,"Night",F512&lt;=6,"Early Morning",F512&lt;11,"Morning",F512&lt;12,"Afternoon",F512&lt;=16,"Afternoon",F512&lt;=20,"Evening",F512&gt;=21,"Night")</f>
        <v>Morning</v>
      </c>
      <c r="H512" s="8" t="b">
        <v>0</v>
      </c>
      <c r="I512" s="8">
        <v>0</v>
      </c>
      <c r="J512" s="8">
        <v>1</v>
      </c>
      <c r="K512" s="9" t="str" cm="1">
        <f t="array" ref="K512">_xlfn.IFS(J512=1,"Clear",J512=2,"Mist/Cloudy",J512=3,"Rain",J512=4,"Heavy Rain/Thunderstorm")</f>
        <v>Clear</v>
      </c>
      <c r="L512" s="10">
        <v>0.1</v>
      </c>
      <c r="M512" s="42" t="str" cm="1">
        <f t="array" ref="M512">_xlfn.IFS(L512&lt;0.15,"Cold",L512&lt;0.25,"Mild",L512&lt;=0.32,"Warm",L512&gt;=0.33,"Hot")</f>
        <v>Cold</v>
      </c>
    </row>
    <row r="513" spans="1:13" x14ac:dyDescent="0.3">
      <c r="A513" s="6">
        <v>512</v>
      </c>
      <c r="B513" s="7">
        <v>40566</v>
      </c>
      <c r="C513" s="8">
        <v>1</v>
      </c>
      <c r="D513" s="8">
        <v>0</v>
      </c>
      <c r="E513" s="8">
        <v>1</v>
      </c>
      <c r="F513" s="8">
        <v>10</v>
      </c>
      <c r="G513" s="8" t="str" cm="1">
        <f t="array" ref="G513">_xlfn.IFS(F513&lt;4,"Night",F513&lt;=6,"Early Morning",F513&lt;11,"Morning",F513&lt;12,"Afternoon",F513&lt;=16,"Afternoon",F513&lt;=20,"Evening",F513&gt;=21,"Night")</f>
        <v>Morning</v>
      </c>
      <c r="H513" s="8" t="b">
        <v>0</v>
      </c>
      <c r="I513" s="8">
        <v>0</v>
      </c>
      <c r="J513" s="8">
        <v>1</v>
      </c>
      <c r="K513" s="9" t="str" cm="1">
        <f t="array" ref="K513">_xlfn.IFS(J513=1,"Clear",J513=2,"Mist/Cloudy",J513=3,"Rain",J513=4,"Heavy Rain/Thunderstorm")</f>
        <v>Clear</v>
      </c>
      <c r="L513" s="10">
        <v>0.14000000000000001</v>
      </c>
      <c r="M513" s="42" t="str" cm="1">
        <f t="array" ref="M513">_xlfn.IFS(L513&lt;0.15,"Cold",L513&lt;0.25,"Mild",L513&lt;=0.32,"Warm",L513&gt;=0.33,"Hot")</f>
        <v>Cold</v>
      </c>
    </row>
    <row r="514" spans="1:13" x14ac:dyDescent="0.3">
      <c r="A514" s="6">
        <v>513</v>
      </c>
      <c r="B514" s="7">
        <v>40566</v>
      </c>
      <c r="C514" s="8">
        <v>1</v>
      </c>
      <c r="D514" s="8">
        <v>0</v>
      </c>
      <c r="E514" s="8">
        <v>1</v>
      </c>
      <c r="F514" s="8">
        <v>11</v>
      </c>
      <c r="G514" s="8" t="str" cm="1">
        <f t="array" ref="G514">_xlfn.IFS(F514&lt;4,"Night",F514&lt;=6,"Early Morning",F514&lt;11,"Morning",F514&lt;12,"Afternoon",F514&lt;=16,"Afternoon",F514&lt;=20,"Evening",F514&gt;=21,"Night")</f>
        <v>Afternoon</v>
      </c>
      <c r="H514" s="8" t="b">
        <v>0</v>
      </c>
      <c r="I514" s="8">
        <v>0</v>
      </c>
      <c r="J514" s="8">
        <v>1</v>
      </c>
      <c r="K514" s="9" t="str" cm="1">
        <f t="array" ref="K514">_xlfn.IFS(J514=1,"Clear",J514=2,"Mist/Cloudy",J514=3,"Rain",J514=4,"Heavy Rain/Thunderstorm")</f>
        <v>Clear</v>
      </c>
      <c r="L514" s="10">
        <v>0.14000000000000001</v>
      </c>
      <c r="M514" s="42" t="str" cm="1">
        <f t="array" ref="M514">_xlfn.IFS(L514&lt;0.15,"Cold",L514&lt;0.25,"Mild",L514&lt;=0.32,"Warm",L514&gt;=0.33,"Hot")</f>
        <v>Cold</v>
      </c>
    </row>
    <row r="515" spans="1:13" x14ac:dyDescent="0.3">
      <c r="A515" s="6">
        <v>514</v>
      </c>
      <c r="B515" s="7">
        <v>40566</v>
      </c>
      <c r="C515" s="8">
        <v>1</v>
      </c>
      <c r="D515" s="8">
        <v>0</v>
      </c>
      <c r="E515" s="8">
        <v>1</v>
      </c>
      <c r="F515" s="8">
        <v>12</v>
      </c>
      <c r="G515" s="8" t="str" cm="1">
        <f t="array" ref="G515">_xlfn.IFS(F515&lt;4,"Night",F515&lt;=6,"Early Morning",F515&lt;11,"Morning",F515&lt;12,"Afternoon",F515&lt;=16,"Afternoon",F515&lt;=20,"Evening",F515&gt;=21,"Night")</f>
        <v>Afternoon</v>
      </c>
      <c r="H515" s="8" t="b">
        <v>0</v>
      </c>
      <c r="I515" s="8">
        <v>0</v>
      </c>
      <c r="J515" s="8">
        <v>1</v>
      </c>
      <c r="K515" s="9" t="str" cm="1">
        <f t="array" ref="K515">_xlfn.IFS(J515=1,"Clear",J515=2,"Mist/Cloudy",J515=3,"Rain",J515=4,"Heavy Rain/Thunderstorm")</f>
        <v>Clear</v>
      </c>
      <c r="L515" s="10">
        <v>0.16</v>
      </c>
      <c r="M515" s="42" t="str" cm="1">
        <f t="array" ref="M515">_xlfn.IFS(L515&lt;0.15,"Cold",L515&lt;0.25,"Mild",L515&lt;=0.32,"Warm",L515&gt;=0.33,"Hot")</f>
        <v>Mild</v>
      </c>
    </row>
    <row r="516" spans="1:13" x14ac:dyDescent="0.3">
      <c r="A516" s="6">
        <v>515</v>
      </c>
      <c r="B516" s="7">
        <v>40566</v>
      </c>
      <c r="C516" s="8">
        <v>1</v>
      </c>
      <c r="D516" s="8">
        <v>0</v>
      </c>
      <c r="E516" s="8">
        <v>1</v>
      </c>
      <c r="F516" s="8">
        <v>13</v>
      </c>
      <c r="G516" s="8" t="str" cm="1">
        <f t="array" ref="G516">_xlfn.IFS(F516&lt;4,"Night",F516&lt;=6,"Early Morning",F516&lt;11,"Morning",F516&lt;12,"Afternoon",F516&lt;=16,"Afternoon",F516&lt;=20,"Evening",F516&gt;=21,"Night")</f>
        <v>Afternoon</v>
      </c>
      <c r="H516" s="8" t="b">
        <v>0</v>
      </c>
      <c r="I516" s="8">
        <v>0</v>
      </c>
      <c r="J516" s="8">
        <v>1</v>
      </c>
      <c r="K516" s="9" t="str" cm="1">
        <f t="array" ref="K516">_xlfn.IFS(J516=1,"Clear",J516=2,"Mist/Cloudy",J516=3,"Rain",J516=4,"Heavy Rain/Thunderstorm")</f>
        <v>Clear</v>
      </c>
      <c r="L516" s="10">
        <v>0.14000000000000001</v>
      </c>
      <c r="M516" s="42" t="str" cm="1">
        <f t="array" ref="M516">_xlfn.IFS(L516&lt;0.15,"Cold",L516&lt;0.25,"Mild",L516&lt;=0.32,"Warm",L516&gt;=0.33,"Hot")</f>
        <v>Cold</v>
      </c>
    </row>
    <row r="517" spans="1:13" x14ac:dyDescent="0.3">
      <c r="A517" s="6">
        <v>516</v>
      </c>
      <c r="B517" s="7">
        <v>40566</v>
      </c>
      <c r="C517" s="8">
        <v>1</v>
      </c>
      <c r="D517" s="8">
        <v>0</v>
      </c>
      <c r="E517" s="8">
        <v>1</v>
      </c>
      <c r="F517" s="8">
        <v>14</v>
      </c>
      <c r="G517" s="8" t="str" cm="1">
        <f t="array" ref="G517">_xlfn.IFS(F517&lt;4,"Night",F517&lt;=6,"Early Morning",F517&lt;11,"Morning",F517&lt;12,"Afternoon",F517&lt;=16,"Afternoon",F517&lt;=20,"Evening",F517&gt;=21,"Night")</f>
        <v>Afternoon</v>
      </c>
      <c r="H517" s="8" t="b">
        <v>0</v>
      </c>
      <c r="I517" s="8">
        <v>0</v>
      </c>
      <c r="J517" s="8">
        <v>1</v>
      </c>
      <c r="K517" s="9" t="str" cm="1">
        <f t="array" ref="K517">_xlfn.IFS(J517=1,"Clear",J517=2,"Mist/Cloudy",J517=3,"Rain",J517=4,"Heavy Rain/Thunderstorm")</f>
        <v>Clear</v>
      </c>
      <c r="L517" s="10">
        <v>0.16</v>
      </c>
      <c r="M517" s="42" t="str" cm="1">
        <f t="array" ref="M517">_xlfn.IFS(L517&lt;0.15,"Cold",L517&lt;0.25,"Mild",L517&lt;=0.32,"Warm",L517&gt;=0.33,"Hot")</f>
        <v>Mild</v>
      </c>
    </row>
    <row r="518" spans="1:13" x14ac:dyDescent="0.3">
      <c r="A518" s="6">
        <v>517</v>
      </c>
      <c r="B518" s="7">
        <v>40566</v>
      </c>
      <c r="C518" s="8">
        <v>1</v>
      </c>
      <c r="D518" s="8">
        <v>0</v>
      </c>
      <c r="E518" s="8">
        <v>1</v>
      </c>
      <c r="F518" s="8">
        <v>15</v>
      </c>
      <c r="G518" s="8" t="str" cm="1">
        <f t="array" ref="G518">_xlfn.IFS(F518&lt;4,"Night",F518&lt;=6,"Early Morning",F518&lt;11,"Morning",F518&lt;12,"Afternoon",F518&lt;=16,"Afternoon",F518&lt;=20,"Evening",F518&gt;=21,"Night")</f>
        <v>Afternoon</v>
      </c>
      <c r="H518" s="8" t="b">
        <v>0</v>
      </c>
      <c r="I518" s="8">
        <v>0</v>
      </c>
      <c r="J518" s="8">
        <v>1</v>
      </c>
      <c r="K518" s="9" t="str" cm="1">
        <f t="array" ref="K518">_xlfn.IFS(J518=1,"Clear",J518=2,"Mist/Cloudy",J518=3,"Rain",J518=4,"Heavy Rain/Thunderstorm")</f>
        <v>Clear</v>
      </c>
      <c r="L518" s="10">
        <v>0.16</v>
      </c>
      <c r="M518" s="42" t="str" cm="1">
        <f t="array" ref="M518">_xlfn.IFS(L518&lt;0.15,"Cold",L518&lt;0.25,"Mild",L518&lt;=0.32,"Warm",L518&gt;=0.33,"Hot")</f>
        <v>Mild</v>
      </c>
    </row>
    <row r="519" spans="1:13" x14ac:dyDescent="0.3">
      <c r="A519" s="6">
        <v>518</v>
      </c>
      <c r="B519" s="7">
        <v>40566</v>
      </c>
      <c r="C519" s="8">
        <v>1</v>
      </c>
      <c r="D519" s="8">
        <v>0</v>
      </c>
      <c r="E519" s="8">
        <v>1</v>
      </c>
      <c r="F519" s="8">
        <v>16</v>
      </c>
      <c r="G519" s="8" t="str" cm="1">
        <f t="array" ref="G519">_xlfn.IFS(F519&lt;4,"Night",F519&lt;=6,"Early Morning",F519&lt;11,"Morning",F519&lt;12,"Afternoon",F519&lt;=16,"Afternoon",F519&lt;=20,"Evening",F519&gt;=21,"Night")</f>
        <v>Afternoon</v>
      </c>
      <c r="H519" s="8" t="b">
        <v>0</v>
      </c>
      <c r="I519" s="8">
        <v>0</v>
      </c>
      <c r="J519" s="8">
        <v>1</v>
      </c>
      <c r="K519" s="9" t="str" cm="1">
        <f t="array" ref="K519">_xlfn.IFS(J519=1,"Clear",J519=2,"Mist/Cloudy",J519=3,"Rain",J519=4,"Heavy Rain/Thunderstorm")</f>
        <v>Clear</v>
      </c>
      <c r="L519" s="10">
        <v>0.16</v>
      </c>
      <c r="M519" s="42" t="str" cm="1">
        <f t="array" ref="M519">_xlfn.IFS(L519&lt;0.15,"Cold",L519&lt;0.25,"Mild",L519&lt;=0.32,"Warm",L519&gt;=0.33,"Hot")</f>
        <v>Mild</v>
      </c>
    </row>
    <row r="520" spans="1:13" x14ac:dyDescent="0.3">
      <c r="A520" s="6">
        <v>519</v>
      </c>
      <c r="B520" s="7">
        <v>40566</v>
      </c>
      <c r="C520" s="8">
        <v>1</v>
      </c>
      <c r="D520" s="8">
        <v>0</v>
      </c>
      <c r="E520" s="8">
        <v>1</v>
      </c>
      <c r="F520" s="8">
        <v>17</v>
      </c>
      <c r="G520" s="8" t="str" cm="1">
        <f t="array" ref="G520">_xlfn.IFS(F520&lt;4,"Night",F520&lt;=6,"Early Morning",F520&lt;11,"Morning",F520&lt;12,"Afternoon",F520&lt;=16,"Afternoon",F520&lt;=20,"Evening",F520&gt;=21,"Night")</f>
        <v>Evening</v>
      </c>
      <c r="H520" s="8" t="b">
        <v>0</v>
      </c>
      <c r="I520" s="8">
        <v>0</v>
      </c>
      <c r="J520" s="8">
        <v>1</v>
      </c>
      <c r="K520" s="9" t="str" cm="1">
        <f t="array" ref="K520">_xlfn.IFS(J520=1,"Clear",J520=2,"Mist/Cloudy",J520=3,"Rain",J520=4,"Heavy Rain/Thunderstorm")</f>
        <v>Clear</v>
      </c>
      <c r="L520" s="10">
        <v>0.14000000000000001</v>
      </c>
      <c r="M520" s="42" t="str" cm="1">
        <f t="array" ref="M520">_xlfn.IFS(L520&lt;0.15,"Cold",L520&lt;0.25,"Mild",L520&lt;=0.32,"Warm",L520&gt;=0.33,"Hot")</f>
        <v>Cold</v>
      </c>
    </row>
    <row r="521" spans="1:13" x14ac:dyDescent="0.3">
      <c r="A521" s="6">
        <v>520</v>
      </c>
      <c r="B521" s="7">
        <v>40566</v>
      </c>
      <c r="C521" s="8">
        <v>1</v>
      </c>
      <c r="D521" s="8">
        <v>0</v>
      </c>
      <c r="E521" s="8">
        <v>1</v>
      </c>
      <c r="F521" s="8">
        <v>18</v>
      </c>
      <c r="G521" s="8" t="str" cm="1">
        <f t="array" ref="G521">_xlfn.IFS(F521&lt;4,"Night",F521&lt;=6,"Early Morning",F521&lt;11,"Morning",F521&lt;12,"Afternoon",F521&lt;=16,"Afternoon",F521&lt;=20,"Evening",F521&gt;=21,"Night")</f>
        <v>Evening</v>
      </c>
      <c r="H521" s="8" t="b">
        <v>0</v>
      </c>
      <c r="I521" s="8">
        <v>0</v>
      </c>
      <c r="J521" s="8">
        <v>1</v>
      </c>
      <c r="K521" s="9" t="str" cm="1">
        <f t="array" ref="K521">_xlfn.IFS(J521=1,"Clear",J521=2,"Mist/Cloudy",J521=3,"Rain",J521=4,"Heavy Rain/Thunderstorm")</f>
        <v>Clear</v>
      </c>
      <c r="L521" s="10">
        <v>0.12</v>
      </c>
      <c r="M521" s="42" t="str" cm="1">
        <f t="array" ref="M521">_xlfn.IFS(L521&lt;0.15,"Cold",L521&lt;0.25,"Mild",L521&lt;=0.32,"Warm",L521&gt;=0.33,"Hot")</f>
        <v>Cold</v>
      </c>
    </row>
    <row r="522" spans="1:13" x14ac:dyDescent="0.3">
      <c r="A522" s="6">
        <v>521</v>
      </c>
      <c r="B522" s="7">
        <v>40566</v>
      </c>
      <c r="C522" s="8">
        <v>1</v>
      </c>
      <c r="D522" s="8">
        <v>0</v>
      </c>
      <c r="E522" s="8">
        <v>1</v>
      </c>
      <c r="F522" s="8">
        <v>19</v>
      </c>
      <c r="G522" s="8" t="str" cm="1">
        <f t="array" ref="G522">_xlfn.IFS(F522&lt;4,"Night",F522&lt;=6,"Early Morning",F522&lt;11,"Morning",F522&lt;12,"Afternoon",F522&lt;=16,"Afternoon",F522&lt;=20,"Evening",F522&gt;=21,"Night")</f>
        <v>Evening</v>
      </c>
      <c r="H522" s="8" t="b">
        <v>0</v>
      </c>
      <c r="I522" s="8">
        <v>0</v>
      </c>
      <c r="J522" s="8">
        <v>1</v>
      </c>
      <c r="K522" s="9" t="str" cm="1">
        <f t="array" ref="K522">_xlfn.IFS(J522=1,"Clear",J522=2,"Mist/Cloudy",J522=3,"Rain",J522=4,"Heavy Rain/Thunderstorm")</f>
        <v>Clear</v>
      </c>
      <c r="L522" s="10">
        <v>0.12</v>
      </c>
      <c r="M522" s="42" t="str" cm="1">
        <f t="array" ref="M522">_xlfn.IFS(L522&lt;0.15,"Cold",L522&lt;0.25,"Mild",L522&lt;=0.32,"Warm",L522&gt;=0.33,"Hot")</f>
        <v>Cold</v>
      </c>
    </row>
    <row r="523" spans="1:13" x14ac:dyDescent="0.3">
      <c r="A523" s="6">
        <v>522</v>
      </c>
      <c r="B523" s="7">
        <v>40566</v>
      </c>
      <c r="C523" s="8">
        <v>1</v>
      </c>
      <c r="D523" s="8">
        <v>0</v>
      </c>
      <c r="E523" s="8">
        <v>1</v>
      </c>
      <c r="F523" s="8">
        <v>20</v>
      </c>
      <c r="G523" s="8" t="str" cm="1">
        <f t="array" ref="G523">_xlfn.IFS(F523&lt;4,"Night",F523&lt;=6,"Early Morning",F523&lt;11,"Morning",F523&lt;12,"Afternoon",F523&lt;=16,"Afternoon",F523&lt;=20,"Evening",F523&gt;=21,"Night")</f>
        <v>Evening</v>
      </c>
      <c r="H523" s="8" t="b">
        <v>0</v>
      </c>
      <c r="I523" s="8">
        <v>0</v>
      </c>
      <c r="J523" s="8">
        <v>1</v>
      </c>
      <c r="K523" s="9" t="str" cm="1">
        <f t="array" ref="K523">_xlfn.IFS(J523=1,"Clear",J523=2,"Mist/Cloudy",J523=3,"Rain",J523=4,"Heavy Rain/Thunderstorm")</f>
        <v>Clear</v>
      </c>
      <c r="L523" s="10">
        <v>0.1</v>
      </c>
      <c r="M523" s="42" t="str" cm="1">
        <f t="array" ref="M523">_xlfn.IFS(L523&lt;0.15,"Cold",L523&lt;0.25,"Mild",L523&lt;=0.32,"Warm",L523&gt;=0.33,"Hot")</f>
        <v>Cold</v>
      </c>
    </row>
    <row r="524" spans="1:13" x14ac:dyDescent="0.3">
      <c r="A524" s="6">
        <v>523</v>
      </c>
      <c r="B524" s="7">
        <v>40566</v>
      </c>
      <c r="C524" s="8">
        <v>1</v>
      </c>
      <c r="D524" s="8">
        <v>0</v>
      </c>
      <c r="E524" s="8">
        <v>1</v>
      </c>
      <c r="F524" s="8">
        <v>21</v>
      </c>
      <c r="G524" s="8" t="str" cm="1">
        <f t="array" ref="G524">_xlfn.IFS(F524&lt;4,"Night",F524&lt;=6,"Early Morning",F524&lt;11,"Morning",F524&lt;12,"Afternoon",F524&lt;=16,"Afternoon",F524&lt;=20,"Evening",F524&gt;=21,"Night")</f>
        <v>Night</v>
      </c>
      <c r="H524" s="8" t="b">
        <v>0</v>
      </c>
      <c r="I524" s="8">
        <v>0</v>
      </c>
      <c r="J524" s="8">
        <v>1</v>
      </c>
      <c r="K524" s="9" t="str" cm="1">
        <f t="array" ref="K524">_xlfn.IFS(J524=1,"Clear",J524=2,"Mist/Cloudy",J524=3,"Rain",J524=4,"Heavy Rain/Thunderstorm")</f>
        <v>Clear</v>
      </c>
      <c r="L524" s="10">
        <v>0.1</v>
      </c>
      <c r="M524" s="42" t="str" cm="1">
        <f t="array" ref="M524">_xlfn.IFS(L524&lt;0.15,"Cold",L524&lt;0.25,"Mild",L524&lt;=0.32,"Warm",L524&gt;=0.33,"Hot")</f>
        <v>Cold</v>
      </c>
    </row>
    <row r="525" spans="1:13" x14ac:dyDescent="0.3">
      <c r="A525" s="6">
        <v>524</v>
      </c>
      <c r="B525" s="7">
        <v>40566</v>
      </c>
      <c r="C525" s="8">
        <v>1</v>
      </c>
      <c r="D525" s="8">
        <v>0</v>
      </c>
      <c r="E525" s="8">
        <v>1</v>
      </c>
      <c r="F525" s="8">
        <v>22</v>
      </c>
      <c r="G525" s="8" t="str" cm="1">
        <f t="array" ref="G525">_xlfn.IFS(F525&lt;4,"Night",F525&lt;=6,"Early Morning",F525&lt;11,"Morning",F525&lt;12,"Afternoon",F525&lt;=16,"Afternoon",F525&lt;=20,"Evening",F525&gt;=21,"Night")</f>
        <v>Night</v>
      </c>
      <c r="H525" s="8" t="b">
        <v>0</v>
      </c>
      <c r="I525" s="8">
        <v>0</v>
      </c>
      <c r="J525" s="8">
        <v>1</v>
      </c>
      <c r="K525" s="9" t="str" cm="1">
        <f t="array" ref="K525">_xlfn.IFS(J525=1,"Clear",J525=2,"Mist/Cloudy",J525=3,"Rain",J525=4,"Heavy Rain/Thunderstorm")</f>
        <v>Clear</v>
      </c>
      <c r="L525" s="10">
        <v>0.08</v>
      </c>
      <c r="M525" s="42" t="str" cm="1">
        <f t="array" ref="M525">_xlfn.IFS(L525&lt;0.15,"Cold",L525&lt;0.25,"Mild",L525&lt;=0.32,"Warm",L525&gt;=0.33,"Hot")</f>
        <v>Cold</v>
      </c>
    </row>
    <row r="526" spans="1:13" x14ac:dyDescent="0.3">
      <c r="A526" s="6">
        <v>525</v>
      </c>
      <c r="B526" s="7">
        <v>40566</v>
      </c>
      <c r="C526" s="8">
        <v>1</v>
      </c>
      <c r="D526" s="8">
        <v>0</v>
      </c>
      <c r="E526" s="8">
        <v>1</v>
      </c>
      <c r="F526" s="8">
        <v>23</v>
      </c>
      <c r="G526" s="8" t="str" cm="1">
        <f t="array" ref="G526">_xlfn.IFS(F526&lt;4,"Night",F526&lt;=6,"Early Morning",F526&lt;11,"Morning",F526&lt;12,"Afternoon",F526&lt;=16,"Afternoon",F526&lt;=20,"Evening",F526&gt;=21,"Night")</f>
        <v>Night</v>
      </c>
      <c r="H526" s="8" t="b">
        <v>0</v>
      </c>
      <c r="I526" s="8">
        <v>0</v>
      </c>
      <c r="J526" s="8">
        <v>1</v>
      </c>
      <c r="K526" s="9" t="str" cm="1">
        <f t="array" ref="K526">_xlfn.IFS(J526=1,"Clear",J526=2,"Mist/Cloudy",J526=3,"Rain",J526=4,"Heavy Rain/Thunderstorm")</f>
        <v>Clear</v>
      </c>
      <c r="L526" s="10">
        <v>0.06</v>
      </c>
      <c r="M526" s="42" t="str" cm="1">
        <f t="array" ref="M526">_xlfn.IFS(L526&lt;0.15,"Cold",L526&lt;0.25,"Mild",L526&lt;=0.32,"Warm",L526&gt;=0.33,"Hot")</f>
        <v>Cold</v>
      </c>
    </row>
    <row r="527" spans="1:13" x14ac:dyDescent="0.3">
      <c r="A527" s="6">
        <v>526</v>
      </c>
      <c r="B527" s="7">
        <v>40567</v>
      </c>
      <c r="C527" s="8">
        <v>1</v>
      </c>
      <c r="D527" s="8">
        <v>0</v>
      </c>
      <c r="E527" s="8">
        <v>1</v>
      </c>
      <c r="F527" s="8">
        <v>0</v>
      </c>
      <c r="G527" s="8" t="str" cm="1">
        <f t="array" ref="G527">_xlfn.IFS(F527&lt;4,"Night",F527&lt;=6,"Early Morning",F527&lt;11,"Morning",F527&lt;12,"Afternoon",F527&lt;=16,"Afternoon",F527&lt;=20,"Evening",F527&gt;=21,"Night")</f>
        <v>Night</v>
      </c>
      <c r="H527" s="8" t="b">
        <v>0</v>
      </c>
      <c r="I527" s="8">
        <v>1</v>
      </c>
      <c r="J527" s="8">
        <v>1</v>
      </c>
      <c r="K527" s="9" t="str" cm="1">
        <f t="array" ref="K527">_xlfn.IFS(J527=1,"Clear",J527=2,"Mist/Cloudy",J527=3,"Rain",J527=4,"Heavy Rain/Thunderstorm")</f>
        <v>Clear</v>
      </c>
      <c r="L527" s="10">
        <v>0.06</v>
      </c>
      <c r="M527" s="42" t="str" cm="1">
        <f t="array" ref="M527">_xlfn.IFS(L527&lt;0.15,"Cold",L527&lt;0.25,"Mild",L527&lt;=0.32,"Warm",L527&gt;=0.33,"Hot")</f>
        <v>Cold</v>
      </c>
    </row>
    <row r="528" spans="1:13" x14ac:dyDescent="0.3">
      <c r="A528" s="6">
        <v>527</v>
      </c>
      <c r="B528" s="7">
        <v>40567</v>
      </c>
      <c r="C528" s="8">
        <v>1</v>
      </c>
      <c r="D528" s="8">
        <v>0</v>
      </c>
      <c r="E528" s="8">
        <v>1</v>
      </c>
      <c r="F528" s="8">
        <v>1</v>
      </c>
      <c r="G528" s="8" t="str" cm="1">
        <f t="array" ref="G528">_xlfn.IFS(F528&lt;4,"Night",F528&lt;=6,"Early Morning",F528&lt;11,"Morning",F528&lt;12,"Afternoon",F528&lt;=16,"Afternoon",F528&lt;=20,"Evening",F528&gt;=21,"Night")</f>
        <v>Night</v>
      </c>
      <c r="H528" s="8" t="b">
        <v>0</v>
      </c>
      <c r="I528" s="8">
        <v>1</v>
      </c>
      <c r="J528" s="8">
        <v>1</v>
      </c>
      <c r="K528" s="9" t="str" cm="1">
        <f t="array" ref="K528">_xlfn.IFS(J528=1,"Clear",J528=2,"Mist/Cloudy",J528=3,"Rain",J528=4,"Heavy Rain/Thunderstorm")</f>
        <v>Clear</v>
      </c>
      <c r="L528" s="10">
        <v>0.04</v>
      </c>
      <c r="M528" s="42" t="str" cm="1">
        <f t="array" ref="M528">_xlfn.IFS(L528&lt;0.15,"Cold",L528&lt;0.25,"Mild",L528&lt;=0.32,"Warm",L528&gt;=0.33,"Hot")</f>
        <v>Cold</v>
      </c>
    </row>
    <row r="529" spans="1:13" x14ac:dyDescent="0.3">
      <c r="A529" s="6">
        <v>528</v>
      </c>
      <c r="B529" s="7">
        <v>40567</v>
      </c>
      <c r="C529" s="8">
        <v>1</v>
      </c>
      <c r="D529" s="8">
        <v>0</v>
      </c>
      <c r="E529" s="8">
        <v>1</v>
      </c>
      <c r="F529" s="8">
        <v>3</v>
      </c>
      <c r="G529" s="8" t="str" cm="1">
        <f t="array" ref="G529">_xlfn.IFS(F529&lt;4,"Night",F529&lt;=6,"Early Morning",F529&lt;11,"Morning",F529&lt;12,"Afternoon",F529&lt;=16,"Afternoon",F529&lt;=20,"Evening",F529&gt;=21,"Night")</f>
        <v>Night</v>
      </c>
      <c r="H529" s="8" t="b">
        <v>0</v>
      </c>
      <c r="I529" s="8">
        <v>1</v>
      </c>
      <c r="J529" s="8">
        <v>1</v>
      </c>
      <c r="K529" s="9" t="str" cm="1">
        <f t="array" ref="K529">_xlfn.IFS(J529=1,"Clear",J529=2,"Mist/Cloudy",J529=3,"Rain",J529=4,"Heavy Rain/Thunderstorm")</f>
        <v>Clear</v>
      </c>
      <c r="L529" s="10">
        <v>0.04</v>
      </c>
      <c r="M529" s="42" t="str" cm="1">
        <f t="array" ref="M529">_xlfn.IFS(L529&lt;0.15,"Cold",L529&lt;0.25,"Mild",L529&lt;=0.32,"Warm",L529&gt;=0.33,"Hot")</f>
        <v>Cold</v>
      </c>
    </row>
    <row r="530" spans="1:13" x14ac:dyDescent="0.3">
      <c r="A530" s="6">
        <v>529</v>
      </c>
      <c r="B530" s="7">
        <v>40567</v>
      </c>
      <c r="C530" s="8">
        <v>1</v>
      </c>
      <c r="D530" s="8">
        <v>0</v>
      </c>
      <c r="E530" s="8">
        <v>1</v>
      </c>
      <c r="F530" s="8">
        <v>4</v>
      </c>
      <c r="G530" s="8" t="str" cm="1">
        <f t="array" ref="G530">_xlfn.IFS(F530&lt;4,"Night",F530&lt;=6,"Early Morning",F530&lt;11,"Morning",F530&lt;12,"Afternoon",F530&lt;=16,"Afternoon",F530&lt;=20,"Evening",F530&gt;=21,"Night")</f>
        <v>Early Morning</v>
      </c>
      <c r="H530" s="8" t="b">
        <v>0</v>
      </c>
      <c r="I530" s="8">
        <v>1</v>
      </c>
      <c r="J530" s="8">
        <v>1</v>
      </c>
      <c r="K530" s="9" t="str" cm="1">
        <f t="array" ref="K530">_xlfn.IFS(J530=1,"Clear",J530=2,"Mist/Cloudy",J530=3,"Rain",J530=4,"Heavy Rain/Thunderstorm")</f>
        <v>Clear</v>
      </c>
      <c r="L530" s="10">
        <v>0.02</v>
      </c>
      <c r="M530" s="42" t="str" cm="1">
        <f t="array" ref="M530">_xlfn.IFS(L530&lt;0.15,"Cold",L530&lt;0.25,"Mild",L530&lt;=0.32,"Warm",L530&gt;=0.33,"Hot")</f>
        <v>Cold</v>
      </c>
    </row>
    <row r="531" spans="1:13" x14ac:dyDescent="0.3">
      <c r="A531" s="6">
        <v>530</v>
      </c>
      <c r="B531" s="7">
        <v>40567</v>
      </c>
      <c r="C531" s="8">
        <v>1</v>
      </c>
      <c r="D531" s="8">
        <v>0</v>
      </c>
      <c r="E531" s="8">
        <v>1</v>
      </c>
      <c r="F531" s="8">
        <v>5</v>
      </c>
      <c r="G531" s="8" t="str" cm="1">
        <f t="array" ref="G531">_xlfn.IFS(F531&lt;4,"Night",F531&lt;=6,"Early Morning",F531&lt;11,"Morning",F531&lt;12,"Afternoon",F531&lt;=16,"Afternoon",F531&lt;=20,"Evening",F531&gt;=21,"Night")</f>
        <v>Early Morning</v>
      </c>
      <c r="H531" s="8" t="b">
        <v>0</v>
      </c>
      <c r="I531" s="8">
        <v>1</v>
      </c>
      <c r="J531" s="8">
        <v>1</v>
      </c>
      <c r="K531" s="9" t="str" cm="1">
        <f t="array" ref="K531">_xlfn.IFS(J531=1,"Clear",J531=2,"Mist/Cloudy",J531=3,"Rain",J531=4,"Heavy Rain/Thunderstorm")</f>
        <v>Clear</v>
      </c>
      <c r="L531" s="10">
        <v>0.02</v>
      </c>
      <c r="M531" s="42" t="str" cm="1">
        <f t="array" ref="M531">_xlfn.IFS(L531&lt;0.15,"Cold",L531&lt;0.25,"Mild",L531&lt;=0.32,"Warm",L531&gt;=0.33,"Hot")</f>
        <v>Cold</v>
      </c>
    </row>
    <row r="532" spans="1:13" x14ac:dyDescent="0.3">
      <c r="A532" s="6">
        <v>531</v>
      </c>
      <c r="B532" s="7">
        <v>40567</v>
      </c>
      <c r="C532" s="8">
        <v>1</v>
      </c>
      <c r="D532" s="8">
        <v>0</v>
      </c>
      <c r="E532" s="8">
        <v>1</v>
      </c>
      <c r="F532" s="8">
        <v>6</v>
      </c>
      <c r="G532" s="8" t="str" cm="1">
        <f t="array" ref="G532">_xlfn.IFS(F532&lt;4,"Night",F532&lt;=6,"Early Morning",F532&lt;11,"Morning",F532&lt;12,"Afternoon",F532&lt;=16,"Afternoon",F532&lt;=20,"Evening",F532&gt;=21,"Night")</f>
        <v>Early Morning</v>
      </c>
      <c r="H532" s="8" t="b">
        <v>0</v>
      </c>
      <c r="I532" s="8">
        <v>1</v>
      </c>
      <c r="J532" s="8">
        <v>1</v>
      </c>
      <c r="K532" s="9" t="str" cm="1">
        <f t="array" ref="K532">_xlfn.IFS(J532=1,"Clear",J532=2,"Mist/Cloudy",J532=3,"Rain",J532=4,"Heavy Rain/Thunderstorm")</f>
        <v>Clear</v>
      </c>
      <c r="L532" s="10">
        <v>0.02</v>
      </c>
      <c r="M532" s="42" t="str" cm="1">
        <f t="array" ref="M532">_xlfn.IFS(L532&lt;0.15,"Cold",L532&lt;0.25,"Mild",L532&lt;=0.32,"Warm",L532&gt;=0.33,"Hot")</f>
        <v>Cold</v>
      </c>
    </row>
    <row r="533" spans="1:13" x14ac:dyDescent="0.3">
      <c r="A533" s="6">
        <v>532</v>
      </c>
      <c r="B533" s="7">
        <v>40567</v>
      </c>
      <c r="C533" s="8">
        <v>1</v>
      </c>
      <c r="D533" s="8">
        <v>0</v>
      </c>
      <c r="E533" s="8">
        <v>1</v>
      </c>
      <c r="F533" s="8">
        <v>7</v>
      </c>
      <c r="G533" s="8" t="str" cm="1">
        <f t="array" ref="G533">_xlfn.IFS(F533&lt;4,"Night",F533&lt;=6,"Early Morning",F533&lt;11,"Morning",F533&lt;12,"Afternoon",F533&lt;=16,"Afternoon",F533&lt;=20,"Evening",F533&gt;=21,"Night")</f>
        <v>Morning</v>
      </c>
      <c r="H533" s="8" t="b">
        <v>0</v>
      </c>
      <c r="I533" s="8">
        <v>1</v>
      </c>
      <c r="J533" s="8">
        <v>1</v>
      </c>
      <c r="K533" s="9" t="str" cm="1">
        <f t="array" ref="K533">_xlfn.IFS(J533=1,"Clear",J533=2,"Mist/Cloudy",J533=3,"Rain",J533=4,"Heavy Rain/Thunderstorm")</f>
        <v>Clear</v>
      </c>
      <c r="L533" s="10">
        <v>0.02</v>
      </c>
      <c r="M533" s="42" t="str" cm="1">
        <f t="array" ref="M533">_xlfn.IFS(L533&lt;0.15,"Cold",L533&lt;0.25,"Mild",L533&lt;=0.32,"Warm",L533&gt;=0.33,"Hot")</f>
        <v>Cold</v>
      </c>
    </row>
    <row r="534" spans="1:13" x14ac:dyDescent="0.3">
      <c r="A534" s="6">
        <v>533</v>
      </c>
      <c r="B534" s="7">
        <v>40567</v>
      </c>
      <c r="C534" s="8">
        <v>1</v>
      </c>
      <c r="D534" s="8">
        <v>0</v>
      </c>
      <c r="E534" s="8">
        <v>1</v>
      </c>
      <c r="F534" s="8">
        <v>8</v>
      </c>
      <c r="G534" s="8" t="str" cm="1">
        <f t="array" ref="G534">_xlfn.IFS(F534&lt;4,"Night",F534&lt;=6,"Early Morning",F534&lt;11,"Morning",F534&lt;12,"Afternoon",F534&lt;=16,"Afternoon",F534&lt;=20,"Evening",F534&gt;=21,"Night")</f>
        <v>Morning</v>
      </c>
      <c r="H534" s="8" t="b">
        <v>0</v>
      </c>
      <c r="I534" s="8">
        <v>1</v>
      </c>
      <c r="J534" s="8">
        <v>1</v>
      </c>
      <c r="K534" s="9" t="str" cm="1">
        <f t="array" ref="K534">_xlfn.IFS(J534=1,"Clear",J534=2,"Mist/Cloudy",J534=3,"Rain",J534=4,"Heavy Rain/Thunderstorm")</f>
        <v>Clear</v>
      </c>
      <c r="L534" s="10">
        <v>0.04</v>
      </c>
      <c r="M534" s="42" t="str" cm="1">
        <f t="array" ref="M534">_xlfn.IFS(L534&lt;0.15,"Cold",L534&lt;0.25,"Mild",L534&lt;=0.32,"Warm",L534&gt;=0.33,"Hot")</f>
        <v>Cold</v>
      </c>
    </row>
    <row r="535" spans="1:13" x14ac:dyDescent="0.3">
      <c r="A535" s="6">
        <v>534</v>
      </c>
      <c r="B535" s="7">
        <v>40567</v>
      </c>
      <c r="C535" s="8">
        <v>1</v>
      </c>
      <c r="D535" s="8">
        <v>0</v>
      </c>
      <c r="E535" s="8">
        <v>1</v>
      </c>
      <c r="F535" s="8">
        <v>9</v>
      </c>
      <c r="G535" s="8" t="str" cm="1">
        <f t="array" ref="G535">_xlfn.IFS(F535&lt;4,"Night",F535&lt;=6,"Early Morning",F535&lt;11,"Morning",F535&lt;12,"Afternoon",F535&lt;=16,"Afternoon",F535&lt;=20,"Evening",F535&gt;=21,"Night")</f>
        <v>Morning</v>
      </c>
      <c r="H535" s="8" t="b">
        <v>0</v>
      </c>
      <c r="I535" s="8">
        <v>1</v>
      </c>
      <c r="J535" s="8">
        <v>1</v>
      </c>
      <c r="K535" s="9" t="str" cm="1">
        <f t="array" ref="K535">_xlfn.IFS(J535=1,"Clear",J535=2,"Mist/Cloudy",J535=3,"Rain",J535=4,"Heavy Rain/Thunderstorm")</f>
        <v>Clear</v>
      </c>
      <c r="L535" s="10">
        <v>0.06</v>
      </c>
      <c r="M535" s="42" t="str" cm="1">
        <f t="array" ref="M535">_xlfn.IFS(L535&lt;0.15,"Cold",L535&lt;0.25,"Mild",L535&lt;=0.32,"Warm",L535&gt;=0.33,"Hot")</f>
        <v>Cold</v>
      </c>
    </row>
    <row r="536" spans="1:13" x14ac:dyDescent="0.3">
      <c r="A536" s="6">
        <v>535</v>
      </c>
      <c r="B536" s="7">
        <v>40567</v>
      </c>
      <c r="C536" s="8">
        <v>1</v>
      </c>
      <c r="D536" s="8">
        <v>0</v>
      </c>
      <c r="E536" s="8">
        <v>1</v>
      </c>
      <c r="F536" s="8">
        <v>10</v>
      </c>
      <c r="G536" s="8" t="str" cm="1">
        <f t="array" ref="G536">_xlfn.IFS(F536&lt;4,"Night",F536&lt;=6,"Early Morning",F536&lt;11,"Morning",F536&lt;12,"Afternoon",F536&lt;=16,"Afternoon",F536&lt;=20,"Evening",F536&gt;=21,"Night")</f>
        <v>Morning</v>
      </c>
      <c r="H536" s="8" t="b">
        <v>0</v>
      </c>
      <c r="I536" s="8">
        <v>1</v>
      </c>
      <c r="J536" s="8">
        <v>1</v>
      </c>
      <c r="K536" s="9" t="str" cm="1">
        <f t="array" ref="K536">_xlfn.IFS(J536=1,"Clear",J536=2,"Mist/Cloudy",J536=3,"Rain",J536=4,"Heavy Rain/Thunderstorm")</f>
        <v>Clear</v>
      </c>
      <c r="L536" s="10">
        <v>0.1</v>
      </c>
      <c r="M536" s="42" t="str" cm="1">
        <f t="array" ref="M536">_xlfn.IFS(L536&lt;0.15,"Cold",L536&lt;0.25,"Mild",L536&lt;=0.32,"Warm",L536&gt;=0.33,"Hot")</f>
        <v>Cold</v>
      </c>
    </row>
    <row r="537" spans="1:13" x14ac:dyDescent="0.3">
      <c r="A537" s="6">
        <v>536</v>
      </c>
      <c r="B537" s="7">
        <v>40567</v>
      </c>
      <c r="C537" s="8">
        <v>1</v>
      </c>
      <c r="D537" s="8">
        <v>0</v>
      </c>
      <c r="E537" s="8">
        <v>1</v>
      </c>
      <c r="F537" s="8">
        <v>11</v>
      </c>
      <c r="G537" s="8" t="str" cm="1">
        <f t="array" ref="G537">_xlfn.IFS(F537&lt;4,"Night",F537&lt;=6,"Early Morning",F537&lt;11,"Morning",F537&lt;12,"Afternoon",F537&lt;=16,"Afternoon",F537&lt;=20,"Evening",F537&gt;=21,"Night")</f>
        <v>Afternoon</v>
      </c>
      <c r="H537" s="8" t="b">
        <v>0</v>
      </c>
      <c r="I537" s="8">
        <v>1</v>
      </c>
      <c r="J537" s="8">
        <v>1</v>
      </c>
      <c r="K537" s="9" t="str" cm="1">
        <f t="array" ref="K537">_xlfn.IFS(J537=1,"Clear",J537=2,"Mist/Cloudy",J537=3,"Rain",J537=4,"Heavy Rain/Thunderstorm")</f>
        <v>Clear</v>
      </c>
      <c r="L537" s="10">
        <v>0.1</v>
      </c>
      <c r="M537" s="42" t="str" cm="1">
        <f t="array" ref="M537">_xlfn.IFS(L537&lt;0.15,"Cold",L537&lt;0.25,"Mild",L537&lt;=0.32,"Warm",L537&gt;=0.33,"Hot")</f>
        <v>Cold</v>
      </c>
    </row>
    <row r="538" spans="1:13" x14ac:dyDescent="0.3">
      <c r="A538" s="6">
        <v>537</v>
      </c>
      <c r="B538" s="7">
        <v>40567</v>
      </c>
      <c r="C538" s="8">
        <v>1</v>
      </c>
      <c r="D538" s="8">
        <v>0</v>
      </c>
      <c r="E538" s="8">
        <v>1</v>
      </c>
      <c r="F538" s="8">
        <v>12</v>
      </c>
      <c r="G538" s="8" t="str" cm="1">
        <f t="array" ref="G538">_xlfn.IFS(F538&lt;4,"Night",F538&lt;=6,"Early Morning",F538&lt;11,"Morning",F538&lt;12,"Afternoon",F538&lt;=16,"Afternoon",F538&lt;=20,"Evening",F538&gt;=21,"Night")</f>
        <v>Afternoon</v>
      </c>
      <c r="H538" s="8" t="b">
        <v>0</v>
      </c>
      <c r="I538" s="8">
        <v>1</v>
      </c>
      <c r="J538" s="8">
        <v>2</v>
      </c>
      <c r="K538" s="9" t="str" cm="1">
        <f t="array" ref="K538">_xlfn.IFS(J538=1,"Clear",J538=2,"Mist/Cloudy",J538=3,"Rain",J538=4,"Heavy Rain/Thunderstorm")</f>
        <v>Mist/Cloudy</v>
      </c>
      <c r="L538" s="10">
        <v>0.12</v>
      </c>
      <c r="M538" s="42" t="str" cm="1">
        <f t="array" ref="M538">_xlfn.IFS(L538&lt;0.15,"Cold",L538&lt;0.25,"Mild",L538&lt;=0.32,"Warm",L538&gt;=0.33,"Hot")</f>
        <v>Cold</v>
      </c>
    </row>
    <row r="539" spans="1:13" x14ac:dyDescent="0.3">
      <c r="A539" s="6">
        <v>538</v>
      </c>
      <c r="B539" s="7">
        <v>40567</v>
      </c>
      <c r="C539" s="8">
        <v>1</v>
      </c>
      <c r="D539" s="8">
        <v>0</v>
      </c>
      <c r="E539" s="8">
        <v>1</v>
      </c>
      <c r="F539" s="8">
        <v>13</v>
      </c>
      <c r="G539" s="8" t="str" cm="1">
        <f t="array" ref="G539">_xlfn.IFS(F539&lt;4,"Night",F539&lt;=6,"Early Morning",F539&lt;11,"Morning",F539&lt;12,"Afternoon",F539&lt;=16,"Afternoon",F539&lt;=20,"Evening",F539&gt;=21,"Night")</f>
        <v>Afternoon</v>
      </c>
      <c r="H539" s="8" t="b">
        <v>0</v>
      </c>
      <c r="I539" s="8">
        <v>1</v>
      </c>
      <c r="J539" s="8">
        <v>2</v>
      </c>
      <c r="K539" s="9" t="str" cm="1">
        <f t="array" ref="K539">_xlfn.IFS(J539=1,"Clear",J539=2,"Mist/Cloudy",J539=3,"Rain",J539=4,"Heavy Rain/Thunderstorm")</f>
        <v>Mist/Cloudy</v>
      </c>
      <c r="L539" s="10">
        <v>0.14000000000000001</v>
      </c>
      <c r="M539" s="42" t="str" cm="1">
        <f t="array" ref="M539">_xlfn.IFS(L539&lt;0.15,"Cold",L539&lt;0.25,"Mild",L539&lt;=0.32,"Warm",L539&gt;=0.33,"Hot")</f>
        <v>Cold</v>
      </c>
    </row>
    <row r="540" spans="1:13" x14ac:dyDescent="0.3">
      <c r="A540" s="6">
        <v>539</v>
      </c>
      <c r="B540" s="7">
        <v>40567</v>
      </c>
      <c r="C540" s="8">
        <v>1</v>
      </c>
      <c r="D540" s="8">
        <v>0</v>
      </c>
      <c r="E540" s="8">
        <v>1</v>
      </c>
      <c r="F540" s="8">
        <v>14</v>
      </c>
      <c r="G540" s="8" t="str" cm="1">
        <f t="array" ref="G540">_xlfn.IFS(F540&lt;4,"Night",F540&lt;=6,"Early Morning",F540&lt;11,"Morning",F540&lt;12,"Afternoon",F540&lt;=16,"Afternoon",F540&lt;=20,"Evening",F540&gt;=21,"Night")</f>
        <v>Afternoon</v>
      </c>
      <c r="H540" s="8" t="b">
        <v>0</v>
      </c>
      <c r="I540" s="8">
        <v>1</v>
      </c>
      <c r="J540" s="8">
        <v>2</v>
      </c>
      <c r="K540" s="9" t="str" cm="1">
        <f t="array" ref="K540">_xlfn.IFS(J540=1,"Clear",J540=2,"Mist/Cloudy",J540=3,"Rain",J540=4,"Heavy Rain/Thunderstorm")</f>
        <v>Mist/Cloudy</v>
      </c>
      <c r="L540" s="10">
        <v>0.14000000000000001</v>
      </c>
      <c r="M540" s="42" t="str" cm="1">
        <f t="array" ref="M540">_xlfn.IFS(L540&lt;0.15,"Cold",L540&lt;0.25,"Mild",L540&lt;=0.32,"Warm",L540&gt;=0.33,"Hot")</f>
        <v>Cold</v>
      </c>
    </row>
    <row r="541" spans="1:13" x14ac:dyDescent="0.3">
      <c r="A541" s="6">
        <v>540</v>
      </c>
      <c r="B541" s="7">
        <v>40567</v>
      </c>
      <c r="C541" s="8">
        <v>1</v>
      </c>
      <c r="D541" s="8">
        <v>0</v>
      </c>
      <c r="E541" s="8">
        <v>1</v>
      </c>
      <c r="F541" s="8">
        <v>15</v>
      </c>
      <c r="G541" s="8" t="str" cm="1">
        <f t="array" ref="G541">_xlfn.IFS(F541&lt;4,"Night",F541&lt;=6,"Early Morning",F541&lt;11,"Morning",F541&lt;12,"Afternoon",F541&lt;=16,"Afternoon",F541&lt;=20,"Evening",F541&gt;=21,"Night")</f>
        <v>Afternoon</v>
      </c>
      <c r="H541" s="8" t="b">
        <v>0</v>
      </c>
      <c r="I541" s="8">
        <v>1</v>
      </c>
      <c r="J541" s="8">
        <v>1</v>
      </c>
      <c r="K541" s="9" t="str" cm="1">
        <f t="array" ref="K541">_xlfn.IFS(J541=1,"Clear",J541=2,"Mist/Cloudy",J541=3,"Rain",J541=4,"Heavy Rain/Thunderstorm")</f>
        <v>Clear</v>
      </c>
      <c r="L541" s="10">
        <v>0.16</v>
      </c>
      <c r="M541" s="42" t="str" cm="1">
        <f t="array" ref="M541">_xlfn.IFS(L541&lt;0.15,"Cold",L541&lt;0.25,"Mild",L541&lt;=0.32,"Warm",L541&gt;=0.33,"Hot")</f>
        <v>Mild</v>
      </c>
    </row>
    <row r="542" spans="1:13" x14ac:dyDescent="0.3">
      <c r="A542" s="6">
        <v>541</v>
      </c>
      <c r="B542" s="7">
        <v>40567</v>
      </c>
      <c r="C542" s="8">
        <v>1</v>
      </c>
      <c r="D542" s="8">
        <v>0</v>
      </c>
      <c r="E542" s="8">
        <v>1</v>
      </c>
      <c r="F542" s="8">
        <v>16</v>
      </c>
      <c r="G542" s="8" t="str" cm="1">
        <f t="array" ref="G542">_xlfn.IFS(F542&lt;4,"Night",F542&lt;=6,"Early Morning",F542&lt;11,"Morning",F542&lt;12,"Afternoon",F542&lt;=16,"Afternoon",F542&lt;=20,"Evening",F542&gt;=21,"Night")</f>
        <v>Afternoon</v>
      </c>
      <c r="H542" s="8" t="b">
        <v>0</v>
      </c>
      <c r="I542" s="8">
        <v>1</v>
      </c>
      <c r="J542" s="8">
        <v>1</v>
      </c>
      <c r="K542" s="9" t="str" cm="1">
        <f t="array" ref="K542">_xlfn.IFS(J542=1,"Clear",J542=2,"Mist/Cloudy",J542=3,"Rain",J542=4,"Heavy Rain/Thunderstorm")</f>
        <v>Clear</v>
      </c>
      <c r="L542" s="10">
        <v>0.16</v>
      </c>
      <c r="M542" s="42" t="str" cm="1">
        <f t="array" ref="M542">_xlfn.IFS(L542&lt;0.15,"Cold",L542&lt;0.25,"Mild",L542&lt;=0.32,"Warm",L542&gt;=0.33,"Hot")</f>
        <v>Mild</v>
      </c>
    </row>
    <row r="543" spans="1:13" x14ac:dyDescent="0.3">
      <c r="A543" s="6">
        <v>542</v>
      </c>
      <c r="B543" s="7">
        <v>40567</v>
      </c>
      <c r="C543" s="8">
        <v>1</v>
      </c>
      <c r="D543" s="8">
        <v>0</v>
      </c>
      <c r="E543" s="8">
        <v>1</v>
      </c>
      <c r="F543" s="8">
        <v>17</v>
      </c>
      <c r="G543" s="8" t="str" cm="1">
        <f t="array" ref="G543">_xlfn.IFS(F543&lt;4,"Night",F543&lt;=6,"Early Morning",F543&lt;11,"Morning",F543&lt;12,"Afternoon",F543&lt;=16,"Afternoon",F543&lt;=20,"Evening",F543&gt;=21,"Night")</f>
        <v>Evening</v>
      </c>
      <c r="H543" s="8" t="b">
        <v>0</v>
      </c>
      <c r="I543" s="8">
        <v>1</v>
      </c>
      <c r="J543" s="8">
        <v>1</v>
      </c>
      <c r="K543" s="9" t="str" cm="1">
        <f t="array" ref="K543">_xlfn.IFS(J543=1,"Clear",J543=2,"Mist/Cloudy",J543=3,"Rain",J543=4,"Heavy Rain/Thunderstorm")</f>
        <v>Clear</v>
      </c>
      <c r="L543" s="10">
        <v>0.14000000000000001</v>
      </c>
      <c r="M543" s="42" t="str" cm="1">
        <f t="array" ref="M543">_xlfn.IFS(L543&lt;0.15,"Cold",L543&lt;0.25,"Mild",L543&lt;=0.32,"Warm",L543&gt;=0.33,"Hot")</f>
        <v>Cold</v>
      </c>
    </row>
    <row r="544" spans="1:13" x14ac:dyDescent="0.3">
      <c r="A544" s="6">
        <v>543</v>
      </c>
      <c r="B544" s="7">
        <v>40567</v>
      </c>
      <c r="C544" s="8">
        <v>1</v>
      </c>
      <c r="D544" s="8">
        <v>0</v>
      </c>
      <c r="E544" s="8">
        <v>1</v>
      </c>
      <c r="F544" s="8">
        <v>18</v>
      </c>
      <c r="G544" s="8" t="str" cm="1">
        <f t="array" ref="G544">_xlfn.IFS(F544&lt;4,"Night",F544&lt;=6,"Early Morning",F544&lt;11,"Morning",F544&lt;12,"Afternoon",F544&lt;=16,"Afternoon",F544&lt;=20,"Evening",F544&gt;=21,"Night")</f>
        <v>Evening</v>
      </c>
      <c r="H544" s="8" t="b">
        <v>0</v>
      </c>
      <c r="I544" s="8">
        <v>1</v>
      </c>
      <c r="J544" s="8">
        <v>1</v>
      </c>
      <c r="K544" s="9" t="str" cm="1">
        <f t="array" ref="K544">_xlfn.IFS(J544=1,"Clear",J544=2,"Mist/Cloudy",J544=3,"Rain",J544=4,"Heavy Rain/Thunderstorm")</f>
        <v>Clear</v>
      </c>
      <c r="L544" s="10">
        <v>0.14000000000000001</v>
      </c>
      <c r="M544" s="42" t="str" cm="1">
        <f t="array" ref="M544">_xlfn.IFS(L544&lt;0.15,"Cold",L544&lt;0.25,"Mild",L544&lt;=0.32,"Warm",L544&gt;=0.33,"Hot")</f>
        <v>Cold</v>
      </c>
    </row>
    <row r="545" spans="1:13" x14ac:dyDescent="0.3">
      <c r="A545" s="6">
        <v>544</v>
      </c>
      <c r="B545" s="7">
        <v>40567</v>
      </c>
      <c r="C545" s="8">
        <v>1</v>
      </c>
      <c r="D545" s="8">
        <v>0</v>
      </c>
      <c r="E545" s="8">
        <v>1</v>
      </c>
      <c r="F545" s="8">
        <v>19</v>
      </c>
      <c r="G545" s="8" t="str" cm="1">
        <f t="array" ref="G545">_xlfn.IFS(F545&lt;4,"Night",F545&lt;=6,"Early Morning",F545&lt;11,"Morning",F545&lt;12,"Afternoon",F545&lt;=16,"Afternoon",F545&lt;=20,"Evening",F545&gt;=21,"Night")</f>
        <v>Evening</v>
      </c>
      <c r="H545" s="8" t="b">
        <v>0</v>
      </c>
      <c r="I545" s="8">
        <v>1</v>
      </c>
      <c r="J545" s="8">
        <v>1</v>
      </c>
      <c r="K545" s="9" t="str" cm="1">
        <f t="array" ref="K545">_xlfn.IFS(J545=1,"Clear",J545=2,"Mist/Cloudy",J545=3,"Rain",J545=4,"Heavy Rain/Thunderstorm")</f>
        <v>Clear</v>
      </c>
      <c r="L545" s="10">
        <v>0.14000000000000001</v>
      </c>
      <c r="M545" s="42" t="str" cm="1">
        <f t="array" ref="M545">_xlfn.IFS(L545&lt;0.15,"Cold",L545&lt;0.25,"Mild",L545&lt;=0.32,"Warm",L545&gt;=0.33,"Hot")</f>
        <v>Cold</v>
      </c>
    </row>
    <row r="546" spans="1:13" x14ac:dyDescent="0.3">
      <c r="A546" s="6">
        <v>545</v>
      </c>
      <c r="B546" s="7">
        <v>40567</v>
      </c>
      <c r="C546" s="8">
        <v>1</v>
      </c>
      <c r="D546" s="8">
        <v>0</v>
      </c>
      <c r="E546" s="8">
        <v>1</v>
      </c>
      <c r="F546" s="8">
        <v>20</v>
      </c>
      <c r="G546" s="8" t="str" cm="1">
        <f t="array" ref="G546">_xlfn.IFS(F546&lt;4,"Night",F546&lt;=6,"Early Morning",F546&lt;11,"Morning",F546&lt;12,"Afternoon",F546&lt;=16,"Afternoon",F546&lt;=20,"Evening",F546&gt;=21,"Night")</f>
        <v>Evening</v>
      </c>
      <c r="H546" s="8" t="b">
        <v>0</v>
      </c>
      <c r="I546" s="8">
        <v>1</v>
      </c>
      <c r="J546" s="8">
        <v>1</v>
      </c>
      <c r="K546" s="9" t="str" cm="1">
        <f t="array" ref="K546">_xlfn.IFS(J546=1,"Clear",J546=2,"Mist/Cloudy",J546=3,"Rain",J546=4,"Heavy Rain/Thunderstorm")</f>
        <v>Clear</v>
      </c>
      <c r="L546" s="10">
        <v>0.14000000000000001</v>
      </c>
      <c r="M546" s="42" t="str" cm="1">
        <f t="array" ref="M546">_xlfn.IFS(L546&lt;0.15,"Cold",L546&lt;0.25,"Mild",L546&lt;=0.32,"Warm",L546&gt;=0.33,"Hot")</f>
        <v>Cold</v>
      </c>
    </row>
    <row r="547" spans="1:13" x14ac:dyDescent="0.3">
      <c r="A547" s="6">
        <v>546</v>
      </c>
      <c r="B547" s="7">
        <v>40567</v>
      </c>
      <c r="C547" s="8">
        <v>1</v>
      </c>
      <c r="D547" s="8">
        <v>0</v>
      </c>
      <c r="E547" s="8">
        <v>1</v>
      </c>
      <c r="F547" s="8">
        <v>21</v>
      </c>
      <c r="G547" s="8" t="str" cm="1">
        <f t="array" ref="G547">_xlfn.IFS(F547&lt;4,"Night",F547&lt;=6,"Early Morning",F547&lt;11,"Morning",F547&lt;12,"Afternoon",F547&lt;=16,"Afternoon",F547&lt;=20,"Evening",F547&gt;=21,"Night")</f>
        <v>Night</v>
      </c>
      <c r="H547" s="8" t="b">
        <v>0</v>
      </c>
      <c r="I547" s="8">
        <v>1</v>
      </c>
      <c r="J547" s="8">
        <v>1</v>
      </c>
      <c r="K547" s="9" t="str" cm="1">
        <f t="array" ref="K547">_xlfn.IFS(J547=1,"Clear",J547=2,"Mist/Cloudy",J547=3,"Rain",J547=4,"Heavy Rain/Thunderstorm")</f>
        <v>Clear</v>
      </c>
      <c r="L547" s="10">
        <v>0.14000000000000001</v>
      </c>
      <c r="M547" s="42" t="str" cm="1">
        <f t="array" ref="M547">_xlfn.IFS(L547&lt;0.15,"Cold",L547&lt;0.25,"Mild",L547&lt;=0.32,"Warm",L547&gt;=0.33,"Hot")</f>
        <v>Cold</v>
      </c>
    </row>
    <row r="548" spans="1:13" x14ac:dyDescent="0.3">
      <c r="A548" s="6">
        <v>547</v>
      </c>
      <c r="B548" s="7">
        <v>40567</v>
      </c>
      <c r="C548" s="8">
        <v>1</v>
      </c>
      <c r="D548" s="8">
        <v>0</v>
      </c>
      <c r="E548" s="8">
        <v>1</v>
      </c>
      <c r="F548" s="8">
        <v>22</v>
      </c>
      <c r="G548" s="8" t="str" cm="1">
        <f t="array" ref="G548">_xlfn.IFS(F548&lt;4,"Night",F548&lt;=6,"Early Morning",F548&lt;11,"Morning",F548&lt;12,"Afternoon",F548&lt;=16,"Afternoon",F548&lt;=20,"Evening",F548&gt;=21,"Night")</f>
        <v>Night</v>
      </c>
      <c r="H548" s="8" t="b">
        <v>0</v>
      </c>
      <c r="I548" s="8">
        <v>1</v>
      </c>
      <c r="J548" s="8">
        <v>2</v>
      </c>
      <c r="K548" s="9" t="str" cm="1">
        <f t="array" ref="K548">_xlfn.IFS(J548=1,"Clear",J548=2,"Mist/Cloudy",J548=3,"Rain",J548=4,"Heavy Rain/Thunderstorm")</f>
        <v>Mist/Cloudy</v>
      </c>
      <c r="L548" s="10">
        <v>0.14000000000000001</v>
      </c>
      <c r="M548" s="42" t="str" cm="1">
        <f t="array" ref="M548">_xlfn.IFS(L548&lt;0.15,"Cold",L548&lt;0.25,"Mild",L548&lt;=0.32,"Warm",L548&gt;=0.33,"Hot")</f>
        <v>Cold</v>
      </c>
    </row>
    <row r="549" spans="1:13" x14ac:dyDescent="0.3">
      <c r="A549" s="6">
        <v>548</v>
      </c>
      <c r="B549" s="7">
        <v>40567</v>
      </c>
      <c r="C549" s="8">
        <v>1</v>
      </c>
      <c r="D549" s="8">
        <v>0</v>
      </c>
      <c r="E549" s="8">
        <v>1</v>
      </c>
      <c r="F549" s="8">
        <v>23</v>
      </c>
      <c r="G549" s="8" t="str" cm="1">
        <f t="array" ref="G549">_xlfn.IFS(F549&lt;4,"Night",F549&lt;=6,"Early Morning",F549&lt;11,"Morning",F549&lt;12,"Afternoon",F549&lt;=16,"Afternoon",F549&lt;=20,"Evening",F549&gt;=21,"Night")</f>
        <v>Night</v>
      </c>
      <c r="H549" s="8" t="b">
        <v>0</v>
      </c>
      <c r="I549" s="8">
        <v>1</v>
      </c>
      <c r="J549" s="8">
        <v>2</v>
      </c>
      <c r="K549" s="9" t="str" cm="1">
        <f t="array" ref="K549">_xlfn.IFS(J549=1,"Clear",J549=2,"Mist/Cloudy",J549=3,"Rain",J549=4,"Heavy Rain/Thunderstorm")</f>
        <v>Mist/Cloudy</v>
      </c>
      <c r="L549" s="10">
        <v>0.16</v>
      </c>
      <c r="M549" s="42" t="str" cm="1">
        <f t="array" ref="M549">_xlfn.IFS(L549&lt;0.15,"Cold",L549&lt;0.25,"Mild",L549&lt;=0.32,"Warm",L549&gt;=0.33,"Hot")</f>
        <v>Mild</v>
      </c>
    </row>
    <row r="550" spans="1:13" x14ac:dyDescent="0.3">
      <c r="A550" s="6">
        <v>549</v>
      </c>
      <c r="B550" s="7">
        <v>40568</v>
      </c>
      <c r="C550" s="8">
        <v>1</v>
      </c>
      <c r="D550" s="8">
        <v>0</v>
      </c>
      <c r="E550" s="8">
        <v>1</v>
      </c>
      <c r="F550" s="8">
        <v>0</v>
      </c>
      <c r="G550" s="8" t="str" cm="1">
        <f t="array" ref="G550">_xlfn.IFS(F550&lt;4,"Night",F550&lt;=6,"Early Morning",F550&lt;11,"Morning",F550&lt;12,"Afternoon",F550&lt;=16,"Afternoon",F550&lt;=20,"Evening",F550&gt;=21,"Night")</f>
        <v>Night</v>
      </c>
      <c r="H550" s="8" t="b">
        <v>0</v>
      </c>
      <c r="I550" s="8">
        <v>2</v>
      </c>
      <c r="J550" s="8">
        <v>2</v>
      </c>
      <c r="K550" s="9" t="str" cm="1">
        <f t="array" ref="K550">_xlfn.IFS(J550=1,"Clear",J550=2,"Mist/Cloudy",J550=3,"Rain",J550=4,"Heavy Rain/Thunderstorm")</f>
        <v>Mist/Cloudy</v>
      </c>
      <c r="L550" s="10">
        <v>0.16</v>
      </c>
      <c r="M550" s="42" t="str" cm="1">
        <f t="array" ref="M550">_xlfn.IFS(L550&lt;0.15,"Cold",L550&lt;0.25,"Mild",L550&lt;=0.32,"Warm",L550&gt;=0.33,"Hot")</f>
        <v>Mild</v>
      </c>
    </row>
    <row r="551" spans="1:13" x14ac:dyDescent="0.3">
      <c r="A551" s="6">
        <v>550</v>
      </c>
      <c r="B551" s="7">
        <v>40568</v>
      </c>
      <c r="C551" s="8">
        <v>1</v>
      </c>
      <c r="D551" s="8">
        <v>0</v>
      </c>
      <c r="E551" s="8">
        <v>1</v>
      </c>
      <c r="F551" s="8">
        <v>1</v>
      </c>
      <c r="G551" s="8" t="str" cm="1">
        <f t="array" ref="G551">_xlfn.IFS(F551&lt;4,"Night",F551&lt;=6,"Early Morning",F551&lt;11,"Morning",F551&lt;12,"Afternoon",F551&lt;=16,"Afternoon",F551&lt;=20,"Evening",F551&gt;=21,"Night")</f>
        <v>Night</v>
      </c>
      <c r="H551" s="8" t="b">
        <v>0</v>
      </c>
      <c r="I551" s="8">
        <v>2</v>
      </c>
      <c r="J551" s="8">
        <v>2</v>
      </c>
      <c r="K551" s="9" t="str" cm="1">
        <f t="array" ref="K551">_xlfn.IFS(J551=1,"Clear",J551=2,"Mist/Cloudy",J551=3,"Rain",J551=4,"Heavy Rain/Thunderstorm")</f>
        <v>Mist/Cloudy</v>
      </c>
      <c r="L551" s="10">
        <v>0.16</v>
      </c>
      <c r="M551" s="42" t="str" cm="1">
        <f t="array" ref="M551">_xlfn.IFS(L551&lt;0.15,"Cold",L551&lt;0.25,"Mild",L551&lt;=0.32,"Warm",L551&gt;=0.33,"Hot")</f>
        <v>Mild</v>
      </c>
    </row>
    <row r="552" spans="1:13" x14ac:dyDescent="0.3">
      <c r="A552" s="6">
        <v>551</v>
      </c>
      <c r="B552" s="7">
        <v>40568</v>
      </c>
      <c r="C552" s="8">
        <v>1</v>
      </c>
      <c r="D552" s="8">
        <v>0</v>
      </c>
      <c r="E552" s="8">
        <v>1</v>
      </c>
      <c r="F552" s="8">
        <v>2</v>
      </c>
      <c r="G552" s="8" t="str" cm="1">
        <f t="array" ref="G552">_xlfn.IFS(F552&lt;4,"Night",F552&lt;=6,"Early Morning",F552&lt;11,"Morning",F552&lt;12,"Afternoon",F552&lt;=16,"Afternoon",F552&lt;=20,"Evening",F552&gt;=21,"Night")</f>
        <v>Night</v>
      </c>
      <c r="H552" s="8" t="b">
        <v>0</v>
      </c>
      <c r="I552" s="8">
        <v>2</v>
      </c>
      <c r="J552" s="8">
        <v>1</v>
      </c>
      <c r="K552" s="9" t="str" cm="1">
        <f t="array" ref="K552">_xlfn.IFS(J552=1,"Clear",J552=2,"Mist/Cloudy",J552=3,"Rain",J552=4,"Heavy Rain/Thunderstorm")</f>
        <v>Clear</v>
      </c>
      <c r="L552" s="10">
        <v>0.16</v>
      </c>
      <c r="M552" s="42" t="str" cm="1">
        <f t="array" ref="M552">_xlfn.IFS(L552&lt;0.15,"Cold",L552&lt;0.25,"Mild",L552&lt;=0.32,"Warm",L552&gt;=0.33,"Hot")</f>
        <v>Mild</v>
      </c>
    </row>
    <row r="553" spans="1:13" x14ac:dyDescent="0.3">
      <c r="A553" s="6">
        <v>552</v>
      </c>
      <c r="B553" s="7">
        <v>40568</v>
      </c>
      <c r="C553" s="8">
        <v>1</v>
      </c>
      <c r="D553" s="8">
        <v>0</v>
      </c>
      <c r="E553" s="8">
        <v>1</v>
      </c>
      <c r="F553" s="8">
        <v>4</v>
      </c>
      <c r="G553" s="8" t="str" cm="1">
        <f t="array" ref="G553">_xlfn.IFS(F553&lt;4,"Night",F553&lt;=6,"Early Morning",F553&lt;11,"Morning",F553&lt;12,"Afternoon",F553&lt;=16,"Afternoon",F553&lt;=20,"Evening",F553&gt;=21,"Night")</f>
        <v>Early Morning</v>
      </c>
      <c r="H553" s="8" t="b">
        <v>0</v>
      </c>
      <c r="I553" s="8">
        <v>2</v>
      </c>
      <c r="J553" s="8">
        <v>1</v>
      </c>
      <c r="K553" s="9" t="str" cm="1">
        <f t="array" ref="K553">_xlfn.IFS(J553=1,"Clear",J553=2,"Mist/Cloudy",J553=3,"Rain",J553=4,"Heavy Rain/Thunderstorm")</f>
        <v>Clear</v>
      </c>
      <c r="L553" s="10">
        <v>0.14000000000000001</v>
      </c>
      <c r="M553" s="42" t="str" cm="1">
        <f t="array" ref="M553">_xlfn.IFS(L553&lt;0.15,"Cold",L553&lt;0.25,"Mild",L553&lt;=0.32,"Warm",L553&gt;=0.33,"Hot")</f>
        <v>Cold</v>
      </c>
    </row>
    <row r="554" spans="1:13" x14ac:dyDescent="0.3">
      <c r="A554" s="6">
        <v>553</v>
      </c>
      <c r="B554" s="7">
        <v>40568</v>
      </c>
      <c r="C554" s="8">
        <v>1</v>
      </c>
      <c r="D554" s="8">
        <v>0</v>
      </c>
      <c r="E554" s="8">
        <v>1</v>
      </c>
      <c r="F554" s="8">
        <v>5</v>
      </c>
      <c r="G554" s="8" t="str" cm="1">
        <f t="array" ref="G554">_xlfn.IFS(F554&lt;4,"Night",F554&lt;=6,"Early Morning",F554&lt;11,"Morning",F554&lt;12,"Afternoon",F554&lt;=16,"Afternoon",F554&lt;=20,"Evening",F554&gt;=21,"Night")</f>
        <v>Early Morning</v>
      </c>
      <c r="H554" s="8" t="b">
        <v>0</v>
      </c>
      <c r="I554" s="8">
        <v>2</v>
      </c>
      <c r="J554" s="8">
        <v>1</v>
      </c>
      <c r="K554" s="9" t="str" cm="1">
        <f t="array" ref="K554">_xlfn.IFS(J554=1,"Clear",J554=2,"Mist/Cloudy",J554=3,"Rain",J554=4,"Heavy Rain/Thunderstorm")</f>
        <v>Clear</v>
      </c>
      <c r="L554" s="10">
        <v>0.14000000000000001</v>
      </c>
      <c r="M554" s="42" t="str" cm="1">
        <f t="array" ref="M554">_xlfn.IFS(L554&lt;0.15,"Cold",L554&lt;0.25,"Mild",L554&lt;=0.32,"Warm",L554&gt;=0.33,"Hot")</f>
        <v>Cold</v>
      </c>
    </row>
    <row r="555" spans="1:13" x14ac:dyDescent="0.3">
      <c r="A555" s="6">
        <v>554</v>
      </c>
      <c r="B555" s="7">
        <v>40568</v>
      </c>
      <c r="C555" s="8">
        <v>1</v>
      </c>
      <c r="D555" s="8">
        <v>0</v>
      </c>
      <c r="E555" s="8">
        <v>1</v>
      </c>
      <c r="F555" s="8">
        <v>6</v>
      </c>
      <c r="G555" s="8" t="str" cm="1">
        <f t="array" ref="G555">_xlfn.IFS(F555&lt;4,"Night",F555&lt;=6,"Early Morning",F555&lt;11,"Morning",F555&lt;12,"Afternoon",F555&lt;=16,"Afternoon",F555&lt;=20,"Evening",F555&gt;=21,"Night")</f>
        <v>Early Morning</v>
      </c>
      <c r="H555" s="8" t="b">
        <v>0</v>
      </c>
      <c r="I555" s="8">
        <v>2</v>
      </c>
      <c r="J555" s="8">
        <v>1</v>
      </c>
      <c r="K555" s="9" t="str" cm="1">
        <f t="array" ref="K555">_xlfn.IFS(J555=1,"Clear",J555=2,"Mist/Cloudy",J555=3,"Rain",J555=4,"Heavy Rain/Thunderstorm")</f>
        <v>Clear</v>
      </c>
      <c r="L555" s="10">
        <v>0.16</v>
      </c>
      <c r="M555" s="42" t="str" cm="1">
        <f t="array" ref="M555">_xlfn.IFS(L555&lt;0.15,"Cold",L555&lt;0.25,"Mild",L555&lt;=0.32,"Warm",L555&gt;=0.33,"Hot")</f>
        <v>Mild</v>
      </c>
    </row>
    <row r="556" spans="1:13" x14ac:dyDescent="0.3">
      <c r="A556" s="6">
        <v>555</v>
      </c>
      <c r="B556" s="7">
        <v>40568</v>
      </c>
      <c r="C556" s="8">
        <v>1</v>
      </c>
      <c r="D556" s="8">
        <v>0</v>
      </c>
      <c r="E556" s="8">
        <v>1</v>
      </c>
      <c r="F556" s="8">
        <v>7</v>
      </c>
      <c r="G556" s="8" t="str" cm="1">
        <f t="array" ref="G556">_xlfn.IFS(F556&lt;4,"Night",F556&lt;=6,"Early Morning",F556&lt;11,"Morning",F556&lt;12,"Afternoon",F556&lt;=16,"Afternoon",F556&lt;=20,"Evening",F556&gt;=21,"Night")</f>
        <v>Morning</v>
      </c>
      <c r="H556" s="8" t="b">
        <v>0</v>
      </c>
      <c r="I556" s="8">
        <v>2</v>
      </c>
      <c r="J556" s="8">
        <v>1</v>
      </c>
      <c r="K556" s="9" t="str" cm="1">
        <f t="array" ref="K556">_xlfn.IFS(J556=1,"Clear",J556=2,"Mist/Cloudy",J556=3,"Rain",J556=4,"Heavy Rain/Thunderstorm")</f>
        <v>Clear</v>
      </c>
      <c r="L556" s="10">
        <v>0.16</v>
      </c>
      <c r="M556" s="42" t="str" cm="1">
        <f t="array" ref="M556">_xlfn.IFS(L556&lt;0.15,"Cold",L556&lt;0.25,"Mild",L556&lt;=0.32,"Warm",L556&gt;=0.33,"Hot")</f>
        <v>Mild</v>
      </c>
    </row>
    <row r="557" spans="1:13" x14ac:dyDescent="0.3">
      <c r="A557" s="6">
        <v>556</v>
      </c>
      <c r="B557" s="7">
        <v>40568</v>
      </c>
      <c r="C557" s="8">
        <v>1</v>
      </c>
      <c r="D557" s="8">
        <v>0</v>
      </c>
      <c r="E557" s="8">
        <v>1</v>
      </c>
      <c r="F557" s="8">
        <v>8</v>
      </c>
      <c r="G557" s="8" t="str" cm="1">
        <f t="array" ref="G557">_xlfn.IFS(F557&lt;4,"Night",F557&lt;=6,"Early Morning",F557&lt;11,"Morning",F557&lt;12,"Afternoon",F557&lt;=16,"Afternoon",F557&lt;=20,"Evening",F557&gt;=21,"Night")</f>
        <v>Morning</v>
      </c>
      <c r="H557" s="8" t="b">
        <v>0</v>
      </c>
      <c r="I557" s="8">
        <v>2</v>
      </c>
      <c r="J557" s="8">
        <v>2</v>
      </c>
      <c r="K557" s="9" t="str" cm="1">
        <f t="array" ref="K557">_xlfn.IFS(J557=1,"Clear",J557=2,"Mist/Cloudy",J557=3,"Rain",J557=4,"Heavy Rain/Thunderstorm")</f>
        <v>Mist/Cloudy</v>
      </c>
      <c r="L557" s="10">
        <v>0.16</v>
      </c>
      <c r="M557" s="42" t="str" cm="1">
        <f t="array" ref="M557">_xlfn.IFS(L557&lt;0.15,"Cold",L557&lt;0.25,"Mild",L557&lt;=0.32,"Warm",L557&gt;=0.33,"Hot")</f>
        <v>Mild</v>
      </c>
    </row>
    <row r="558" spans="1:13" x14ac:dyDescent="0.3">
      <c r="A558" s="6">
        <v>557</v>
      </c>
      <c r="B558" s="7">
        <v>40568</v>
      </c>
      <c r="C558" s="8">
        <v>1</v>
      </c>
      <c r="D558" s="8">
        <v>0</v>
      </c>
      <c r="E558" s="8">
        <v>1</v>
      </c>
      <c r="F558" s="8">
        <v>9</v>
      </c>
      <c r="G558" s="8" t="str" cm="1">
        <f t="array" ref="G558">_xlfn.IFS(F558&lt;4,"Night",F558&lt;=6,"Early Morning",F558&lt;11,"Morning",F558&lt;12,"Afternoon",F558&lt;=16,"Afternoon",F558&lt;=20,"Evening",F558&gt;=21,"Night")</f>
        <v>Morning</v>
      </c>
      <c r="H558" s="8" t="b">
        <v>0</v>
      </c>
      <c r="I558" s="8">
        <v>2</v>
      </c>
      <c r="J558" s="8">
        <v>2</v>
      </c>
      <c r="K558" s="9" t="str" cm="1">
        <f t="array" ref="K558">_xlfn.IFS(J558=1,"Clear",J558=2,"Mist/Cloudy",J558=3,"Rain",J558=4,"Heavy Rain/Thunderstorm")</f>
        <v>Mist/Cloudy</v>
      </c>
      <c r="L558" s="10">
        <v>0.2</v>
      </c>
      <c r="M558" s="42" t="str" cm="1">
        <f t="array" ref="M558">_xlfn.IFS(L558&lt;0.15,"Cold",L558&lt;0.25,"Mild",L558&lt;=0.32,"Warm",L558&gt;=0.33,"Hot")</f>
        <v>Mild</v>
      </c>
    </row>
    <row r="559" spans="1:13" x14ac:dyDescent="0.3">
      <c r="A559" s="6">
        <v>558</v>
      </c>
      <c r="B559" s="7">
        <v>40568</v>
      </c>
      <c r="C559" s="8">
        <v>1</v>
      </c>
      <c r="D559" s="8">
        <v>0</v>
      </c>
      <c r="E559" s="8">
        <v>1</v>
      </c>
      <c r="F559" s="8">
        <v>10</v>
      </c>
      <c r="G559" s="8" t="str" cm="1">
        <f t="array" ref="G559">_xlfn.IFS(F559&lt;4,"Night",F559&lt;=6,"Early Morning",F559&lt;11,"Morning",F559&lt;12,"Afternoon",F559&lt;=16,"Afternoon",F559&lt;=20,"Evening",F559&gt;=21,"Night")</f>
        <v>Morning</v>
      </c>
      <c r="H559" s="8" t="b">
        <v>0</v>
      </c>
      <c r="I559" s="8">
        <v>2</v>
      </c>
      <c r="J559" s="8">
        <v>2</v>
      </c>
      <c r="K559" s="9" t="str" cm="1">
        <f t="array" ref="K559">_xlfn.IFS(J559=1,"Clear",J559=2,"Mist/Cloudy",J559=3,"Rain",J559=4,"Heavy Rain/Thunderstorm")</f>
        <v>Mist/Cloudy</v>
      </c>
      <c r="L559" s="10">
        <v>0.22</v>
      </c>
      <c r="M559" s="42" t="str" cm="1">
        <f t="array" ref="M559">_xlfn.IFS(L559&lt;0.15,"Cold",L559&lt;0.25,"Mild",L559&lt;=0.32,"Warm",L559&gt;=0.33,"Hot")</f>
        <v>Mild</v>
      </c>
    </row>
    <row r="560" spans="1:13" x14ac:dyDescent="0.3">
      <c r="A560" s="6">
        <v>559</v>
      </c>
      <c r="B560" s="7">
        <v>40568</v>
      </c>
      <c r="C560" s="8">
        <v>1</v>
      </c>
      <c r="D560" s="8">
        <v>0</v>
      </c>
      <c r="E560" s="8">
        <v>1</v>
      </c>
      <c r="F560" s="8">
        <v>11</v>
      </c>
      <c r="G560" s="8" t="str" cm="1">
        <f t="array" ref="G560">_xlfn.IFS(F560&lt;4,"Night",F560&lt;=6,"Early Morning",F560&lt;11,"Morning",F560&lt;12,"Afternoon",F560&lt;=16,"Afternoon",F560&lt;=20,"Evening",F560&gt;=21,"Night")</f>
        <v>Afternoon</v>
      </c>
      <c r="H560" s="8" t="b">
        <v>0</v>
      </c>
      <c r="I560" s="8">
        <v>2</v>
      </c>
      <c r="J560" s="8">
        <v>2</v>
      </c>
      <c r="K560" s="9" t="str" cm="1">
        <f t="array" ref="K560">_xlfn.IFS(J560=1,"Clear",J560=2,"Mist/Cloudy",J560=3,"Rain",J560=4,"Heavy Rain/Thunderstorm")</f>
        <v>Mist/Cloudy</v>
      </c>
      <c r="L560" s="10">
        <v>0.24</v>
      </c>
      <c r="M560" s="42" t="str" cm="1">
        <f t="array" ref="M560">_xlfn.IFS(L560&lt;0.15,"Cold",L560&lt;0.25,"Mild",L560&lt;=0.32,"Warm",L560&gt;=0.33,"Hot")</f>
        <v>Mild</v>
      </c>
    </row>
    <row r="561" spans="1:13" x14ac:dyDescent="0.3">
      <c r="A561" s="6">
        <v>560</v>
      </c>
      <c r="B561" s="7">
        <v>40568</v>
      </c>
      <c r="C561" s="8">
        <v>1</v>
      </c>
      <c r="D561" s="8">
        <v>0</v>
      </c>
      <c r="E561" s="8">
        <v>1</v>
      </c>
      <c r="F561" s="8">
        <v>12</v>
      </c>
      <c r="G561" s="8" t="str" cm="1">
        <f t="array" ref="G561">_xlfn.IFS(F561&lt;4,"Night",F561&lt;=6,"Early Morning",F561&lt;11,"Morning",F561&lt;12,"Afternoon",F561&lt;=16,"Afternoon",F561&lt;=20,"Evening",F561&gt;=21,"Night")</f>
        <v>Afternoon</v>
      </c>
      <c r="H561" s="8" t="b">
        <v>0</v>
      </c>
      <c r="I561" s="8">
        <v>2</v>
      </c>
      <c r="J561" s="8">
        <v>2</v>
      </c>
      <c r="K561" s="9" t="str" cm="1">
        <f t="array" ref="K561">_xlfn.IFS(J561=1,"Clear",J561=2,"Mist/Cloudy",J561=3,"Rain",J561=4,"Heavy Rain/Thunderstorm")</f>
        <v>Mist/Cloudy</v>
      </c>
      <c r="L561" s="10">
        <v>0.26</v>
      </c>
      <c r="M561" s="42" t="str" cm="1">
        <f t="array" ref="M561">_xlfn.IFS(L561&lt;0.15,"Cold",L561&lt;0.25,"Mild",L561&lt;=0.32,"Warm",L561&gt;=0.33,"Hot")</f>
        <v>Warm</v>
      </c>
    </row>
    <row r="562" spans="1:13" x14ac:dyDescent="0.3">
      <c r="A562" s="6">
        <v>561</v>
      </c>
      <c r="B562" s="7">
        <v>40568</v>
      </c>
      <c r="C562" s="8">
        <v>1</v>
      </c>
      <c r="D562" s="8">
        <v>0</v>
      </c>
      <c r="E562" s="8">
        <v>1</v>
      </c>
      <c r="F562" s="8">
        <v>13</v>
      </c>
      <c r="G562" s="8" t="str" cm="1">
        <f t="array" ref="G562">_xlfn.IFS(F562&lt;4,"Night",F562&lt;=6,"Early Morning",F562&lt;11,"Morning",F562&lt;12,"Afternoon",F562&lt;=16,"Afternoon",F562&lt;=20,"Evening",F562&gt;=21,"Night")</f>
        <v>Afternoon</v>
      </c>
      <c r="H562" s="8" t="b">
        <v>0</v>
      </c>
      <c r="I562" s="8">
        <v>2</v>
      </c>
      <c r="J562" s="8">
        <v>2</v>
      </c>
      <c r="K562" s="9" t="str" cm="1">
        <f t="array" ref="K562">_xlfn.IFS(J562=1,"Clear",J562=2,"Mist/Cloudy",J562=3,"Rain",J562=4,"Heavy Rain/Thunderstorm")</f>
        <v>Mist/Cloudy</v>
      </c>
      <c r="L562" s="10">
        <v>0.26</v>
      </c>
      <c r="M562" s="42" t="str" cm="1">
        <f t="array" ref="M562">_xlfn.IFS(L562&lt;0.15,"Cold",L562&lt;0.25,"Mild",L562&lt;=0.32,"Warm",L562&gt;=0.33,"Hot")</f>
        <v>Warm</v>
      </c>
    </row>
    <row r="563" spans="1:13" x14ac:dyDescent="0.3">
      <c r="A563" s="6">
        <v>562</v>
      </c>
      <c r="B563" s="7">
        <v>40568</v>
      </c>
      <c r="C563" s="8">
        <v>1</v>
      </c>
      <c r="D563" s="8">
        <v>0</v>
      </c>
      <c r="E563" s="8">
        <v>1</v>
      </c>
      <c r="F563" s="8">
        <v>14</v>
      </c>
      <c r="G563" s="8" t="str" cm="1">
        <f t="array" ref="G563">_xlfn.IFS(F563&lt;4,"Night",F563&lt;=6,"Early Morning",F563&lt;11,"Morning",F563&lt;12,"Afternoon",F563&lt;=16,"Afternoon",F563&lt;=20,"Evening",F563&gt;=21,"Night")</f>
        <v>Afternoon</v>
      </c>
      <c r="H563" s="8" t="b">
        <v>0</v>
      </c>
      <c r="I563" s="8">
        <v>2</v>
      </c>
      <c r="J563" s="8">
        <v>2</v>
      </c>
      <c r="K563" s="9" t="str" cm="1">
        <f t="array" ref="K563">_xlfn.IFS(J563=1,"Clear",J563=2,"Mist/Cloudy",J563=3,"Rain",J563=4,"Heavy Rain/Thunderstorm")</f>
        <v>Mist/Cloudy</v>
      </c>
      <c r="L563" s="10">
        <v>0.3</v>
      </c>
      <c r="M563" s="42" t="str" cm="1">
        <f t="array" ref="M563">_xlfn.IFS(L563&lt;0.15,"Cold",L563&lt;0.25,"Mild",L563&lt;=0.32,"Warm",L563&gt;=0.33,"Hot")</f>
        <v>Warm</v>
      </c>
    </row>
    <row r="564" spans="1:13" x14ac:dyDescent="0.3">
      <c r="A564" s="6">
        <v>563</v>
      </c>
      <c r="B564" s="7">
        <v>40568</v>
      </c>
      <c r="C564" s="8">
        <v>1</v>
      </c>
      <c r="D564" s="8">
        <v>0</v>
      </c>
      <c r="E564" s="8">
        <v>1</v>
      </c>
      <c r="F564" s="8">
        <v>15</v>
      </c>
      <c r="G564" s="8" t="str" cm="1">
        <f t="array" ref="G564">_xlfn.IFS(F564&lt;4,"Night",F564&lt;=6,"Early Morning",F564&lt;11,"Morning",F564&lt;12,"Afternoon",F564&lt;=16,"Afternoon",F564&lt;=20,"Evening",F564&gt;=21,"Night")</f>
        <v>Afternoon</v>
      </c>
      <c r="H564" s="8" t="b">
        <v>0</v>
      </c>
      <c r="I564" s="8">
        <v>2</v>
      </c>
      <c r="J564" s="8">
        <v>2</v>
      </c>
      <c r="K564" s="9" t="str" cm="1">
        <f t="array" ref="K564">_xlfn.IFS(J564=1,"Clear",J564=2,"Mist/Cloudy",J564=3,"Rain",J564=4,"Heavy Rain/Thunderstorm")</f>
        <v>Mist/Cloudy</v>
      </c>
      <c r="L564" s="10">
        <v>0.32</v>
      </c>
      <c r="M564" s="42" t="str" cm="1">
        <f t="array" ref="M564">_xlfn.IFS(L564&lt;0.15,"Cold",L564&lt;0.25,"Mild",L564&lt;=0.32,"Warm",L564&gt;=0.33,"Hot")</f>
        <v>Warm</v>
      </c>
    </row>
    <row r="565" spans="1:13" x14ac:dyDescent="0.3">
      <c r="A565" s="6">
        <v>564</v>
      </c>
      <c r="B565" s="7">
        <v>40568</v>
      </c>
      <c r="C565" s="8">
        <v>1</v>
      </c>
      <c r="D565" s="8">
        <v>0</v>
      </c>
      <c r="E565" s="8">
        <v>1</v>
      </c>
      <c r="F565" s="8">
        <v>16</v>
      </c>
      <c r="G565" s="8" t="str" cm="1">
        <f t="array" ref="G565">_xlfn.IFS(F565&lt;4,"Night",F565&lt;=6,"Early Morning",F565&lt;11,"Morning",F565&lt;12,"Afternoon",F565&lt;=16,"Afternoon",F565&lt;=20,"Evening",F565&gt;=21,"Night")</f>
        <v>Afternoon</v>
      </c>
      <c r="H565" s="8" t="b">
        <v>0</v>
      </c>
      <c r="I565" s="8">
        <v>2</v>
      </c>
      <c r="J565" s="8">
        <v>2</v>
      </c>
      <c r="K565" s="9" t="str" cm="1">
        <f t="array" ref="K565">_xlfn.IFS(J565=1,"Clear",J565=2,"Mist/Cloudy",J565=3,"Rain",J565=4,"Heavy Rain/Thunderstorm")</f>
        <v>Mist/Cloudy</v>
      </c>
      <c r="L565" s="10">
        <v>0.32</v>
      </c>
      <c r="M565" s="42" t="str" cm="1">
        <f t="array" ref="M565">_xlfn.IFS(L565&lt;0.15,"Cold",L565&lt;0.25,"Mild",L565&lt;=0.32,"Warm",L565&gt;=0.33,"Hot")</f>
        <v>Warm</v>
      </c>
    </row>
    <row r="566" spans="1:13" x14ac:dyDescent="0.3">
      <c r="A566" s="6">
        <v>565</v>
      </c>
      <c r="B566" s="7">
        <v>40568</v>
      </c>
      <c r="C566" s="8">
        <v>1</v>
      </c>
      <c r="D566" s="8">
        <v>0</v>
      </c>
      <c r="E566" s="8">
        <v>1</v>
      </c>
      <c r="F566" s="8">
        <v>17</v>
      </c>
      <c r="G566" s="8" t="str" cm="1">
        <f t="array" ref="G566">_xlfn.IFS(F566&lt;4,"Night",F566&lt;=6,"Early Morning",F566&lt;11,"Morning",F566&lt;12,"Afternoon",F566&lt;=16,"Afternoon",F566&lt;=20,"Evening",F566&gt;=21,"Night")</f>
        <v>Evening</v>
      </c>
      <c r="H566" s="8" t="b">
        <v>0</v>
      </c>
      <c r="I566" s="8">
        <v>2</v>
      </c>
      <c r="J566" s="8">
        <v>1</v>
      </c>
      <c r="K566" s="9" t="str" cm="1">
        <f t="array" ref="K566">_xlfn.IFS(J566=1,"Clear",J566=2,"Mist/Cloudy",J566=3,"Rain",J566=4,"Heavy Rain/Thunderstorm")</f>
        <v>Clear</v>
      </c>
      <c r="L566" s="10">
        <v>0.3</v>
      </c>
      <c r="M566" s="42" t="str" cm="1">
        <f t="array" ref="M566">_xlfn.IFS(L566&lt;0.15,"Cold",L566&lt;0.25,"Mild",L566&lt;=0.32,"Warm",L566&gt;=0.33,"Hot")</f>
        <v>Warm</v>
      </c>
    </row>
    <row r="567" spans="1:13" x14ac:dyDescent="0.3">
      <c r="A567" s="6">
        <v>566</v>
      </c>
      <c r="B567" s="7">
        <v>40568</v>
      </c>
      <c r="C567" s="8">
        <v>1</v>
      </c>
      <c r="D567" s="8">
        <v>0</v>
      </c>
      <c r="E567" s="8">
        <v>1</v>
      </c>
      <c r="F567" s="8">
        <v>18</v>
      </c>
      <c r="G567" s="8" t="str" cm="1">
        <f t="array" ref="G567">_xlfn.IFS(F567&lt;4,"Night",F567&lt;=6,"Early Morning",F567&lt;11,"Morning",F567&lt;12,"Afternoon",F567&lt;=16,"Afternoon",F567&lt;=20,"Evening",F567&gt;=21,"Night")</f>
        <v>Evening</v>
      </c>
      <c r="H567" s="8" t="b">
        <v>0</v>
      </c>
      <c r="I567" s="8">
        <v>2</v>
      </c>
      <c r="J567" s="8">
        <v>2</v>
      </c>
      <c r="K567" s="9" t="str" cm="1">
        <f t="array" ref="K567">_xlfn.IFS(J567=1,"Clear",J567=2,"Mist/Cloudy",J567=3,"Rain",J567=4,"Heavy Rain/Thunderstorm")</f>
        <v>Mist/Cloudy</v>
      </c>
      <c r="L567" s="10">
        <v>0.3</v>
      </c>
      <c r="M567" s="42" t="str" cm="1">
        <f t="array" ref="M567">_xlfn.IFS(L567&lt;0.15,"Cold",L567&lt;0.25,"Mild",L567&lt;=0.32,"Warm",L567&gt;=0.33,"Hot")</f>
        <v>Warm</v>
      </c>
    </row>
    <row r="568" spans="1:13" x14ac:dyDescent="0.3">
      <c r="A568" s="6">
        <v>567</v>
      </c>
      <c r="B568" s="7">
        <v>40568</v>
      </c>
      <c r="C568" s="8">
        <v>1</v>
      </c>
      <c r="D568" s="8">
        <v>0</v>
      </c>
      <c r="E568" s="8">
        <v>1</v>
      </c>
      <c r="F568" s="8">
        <v>19</v>
      </c>
      <c r="G568" s="8" t="str" cm="1">
        <f t="array" ref="G568">_xlfn.IFS(F568&lt;4,"Night",F568&lt;=6,"Early Morning",F568&lt;11,"Morning",F568&lt;12,"Afternoon",F568&lt;=16,"Afternoon",F568&lt;=20,"Evening",F568&gt;=21,"Night")</f>
        <v>Evening</v>
      </c>
      <c r="H568" s="8" t="b">
        <v>0</v>
      </c>
      <c r="I568" s="8">
        <v>2</v>
      </c>
      <c r="J568" s="8">
        <v>2</v>
      </c>
      <c r="K568" s="9" t="str" cm="1">
        <f t="array" ref="K568">_xlfn.IFS(J568=1,"Clear",J568=2,"Mist/Cloudy",J568=3,"Rain",J568=4,"Heavy Rain/Thunderstorm")</f>
        <v>Mist/Cloudy</v>
      </c>
      <c r="L568" s="10">
        <v>0.26</v>
      </c>
      <c r="M568" s="42" t="str" cm="1">
        <f t="array" ref="M568">_xlfn.IFS(L568&lt;0.15,"Cold",L568&lt;0.25,"Mild",L568&lt;=0.32,"Warm",L568&gt;=0.33,"Hot")</f>
        <v>Warm</v>
      </c>
    </row>
    <row r="569" spans="1:13" x14ac:dyDescent="0.3">
      <c r="A569" s="6">
        <v>568</v>
      </c>
      <c r="B569" s="7">
        <v>40568</v>
      </c>
      <c r="C569" s="8">
        <v>1</v>
      </c>
      <c r="D569" s="8">
        <v>0</v>
      </c>
      <c r="E569" s="8">
        <v>1</v>
      </c>
      <c r="F569" s="8">
        <v>20</v>
      </c>
      <c r="G569" s="8" t="str" cm="1">
        <f t="array" ref="G569">_xlfn.IFS(F569&lt;4,"Night",F569&lt;=6,"Early Morning",F569&lt;11,"Morning",F569&lt;12,"Afternoon",F569&lt;=16,"Afternoon",F569&lt;=20,"Evening",F569&gt;=21,"Night")</f>
        <v>Evening</v>
      </c>
      <c r="H569" s="8" t="b">
        <v>0</v>
      </c>
      <c r="I569" s="8">
        <v>2</v>
      </c>
      <c r="J569" s="8">
        <v>1</v>
      </c>
      <c r="K569" s="9" t="str" cm="1">
        <f t="array" ref="K569">_xlfn.IFS(J569=1,"Clear",J569=2,"Mist/Cloudy",J569=3,"Rain",J569=4,"Heavy Rain/Thunderstorm")</f>
        <v>Clear</v>
      </c>
      <c r="L569" s="10">
        <v>0.24</v>
      </c>
      <c r="M569" s="42" t="str" cm="1">
        <f t="array" ref="M569">_xlfn.IFS(L569&lt;0.15,"Cold",L569&lt;0.25,"Mild",L569&lt;=0.32,"Warm",L569&gt;=0.33,"Hot")</f>
        <v>Mild</v>
      </c>
    </row>
    <row r="570" spans="1:13" x14ac:dyDescent="0.3">
      <c r="A570" s="6">
        <v>569</v>
      </c>
      <c r="B570" s="7">
        <v>40568</v>
      </c>
      <c r="C570" s="8">
        <v>1</v>
      </c>
      <c r="D570" s="8">
        <v>0</v>
      </c>
      <c r="E570" s="8">
        <v>1</v>
      </c>
      <c r="F570" s="8">
        <v>21</v>
      </c>
      <c r="G570" s="8" t="str" cm="1">
        <f t="array" ref="G570">_xlfn.IFS(F570&lt;4,"Night",F570&lt;=6,"Early Morning",F570&lt;11,"Morning",F570&lt;12,"Afternoon",F570&lt;=16,"Afternoon",F570&lt;=20,"Evening",F570&gt;=21,"Night")</f>
        <v>Night</v>
      </c>
      <c r="H570" s="8" t="b">
        <v>0</v>
      </c>
      <c r="I570" s="8">
        <v>2</v>
      </c>
      <c r="J570" s="8">
        <v>1</v>
      </c>
      <c r="K570" s="9" t="str" cm="1">
        <f t="array" ref="K570">_xlfn.IFS(J570=1,"Clear",J570=2,"Mist/Cloudy",J570=3,"Rain",J570=4,"Heavy Rain/Thunderstorm")</f>
        <v>Clear</v>
      </c>
      <c r="L570" s="10">
        <v>0.24</v>
      </c>
      <c r="M570" s="42" t="str" cm="1">
        <f t="array" ref="M570">_xlfn.IFS(L570&lt;0.15,"Cold",L570&lt;0.25,"Mild",L570&lt;=0.32,"Warm",L570&gt;=0.33,"Hot")</f>
        <v>Mild</v>
      </c>
    </row>
    <row r="571" spans="1:13" x14ac:dyDescent="0.3">
      <c r="A571" s="6">
        <v>570</v>
      </c>
      <c r="B571" s="7">
        <v>40568</v>
      </c>
      <c r="C571" s="8">
        <v>1</v>
      </c>
      <c r="D571" s="8">
        <v>0</v>
      </c>
      <c r="E571" s="8">
        <v>1</v>
      </c>
      <c r="F571" s="8">
        <v>22</v>
      </c>
      <c r="G571" s="8" t="str" cm="1">
        <f t="array" ref="G571">_xlfn.IFS(F571&lt;4,"Night",F571&lt;=6,"Early Morning",F571&lt;11,"Morning",F571&lt;12,"Afternoon",F571&lt;=16,"Afternoon",F571&lt;=20,"Evening",F571&gt;=21,"Night")</f>
        <v>Night</v>
      </c>
      <c r="H571" s="8" t="b">
        <v>0</v>
      </c>
      <c r="I571" s="8">
        <v>2</v>
      </c>
      <c r="J571" s="8">
        <v>1</v>
      </c>
      <c r="K571" s="9" t="str" cm="1">
        <f t="array" ref="K571">_xlfn.IFS(J571=1,"Clear",J571=2,"Mist/Cloudy",J571=3,"Rain",J571=4,"Heavy Rain/Thunderstorm")</f>
        <v>Clear</v>
      </c>
      <c r="L571" s="10">
        <v>0.22</v>
      </c>
      <c r="M571" s="42" t="str" cm="1">
        <f t="array" ref="M571">_xlfn.IFS(L571&lt;0.15,"Cold",L571&lt;0.25,"Mild",L571&lt;=0.32,"Warm",L571&gt;=0.33,"Hot")</f>
        <v>Mild</v>
      </c>
    </row>
    <row r="572" spans="1:13" x14ac:dyDescent="0.3">
      <c r="A572" s="6">
        <v>571</v>
      </c>
      <c r="B572" s="7">
        <v>40568</v>
      </c>
      <c r="C572" s="8">
        <v>1</v>
      </c>
      <c r="D572" s="8">
        <v>0</v>
      </c>
      <c r="E572" s="8">
        <v>1</v>
      </c>
      <c r="F572" s="8">
        <v>23</v>
      </c>
      <c r="G572" s="8" t="str" cm="1">
        <f t="array" ref="G572">_xlfn.IFS(F572&lt;4,"Night",F572&lt;=6,"Early Morning",F572&lt;11,"Morning",F572&lt;12,"Afternoon",F572&lt;=16,"Afternoon",F572&lt;=20,"Evening",F572&gt;=21,"Night")</f>
        <v>Night</v>
      </c>
      <c r="H572" s="8" t="b">
        <v>0</v>
      </c>
      <c r="I572" s="8">
        <v>2</v>
      </c>
      <c r="J572" s="8">
        <v>2</v>
      </c>
      <c r="K572" s="9" t="str" cm="1">
        <f t="array" ref="K572">_xlfn.IFS(J572=1,"Clear",J572=2,"Mist/Cloudy",J572=3,"Rain",J572=4,"Heavy Rain/Thunderstorm")</f>
        <v>Mist/Cloudy</v>
      </c>
      <c r="L572" s="10">
        <v>0.22</v>
      </c>
      <c r="M572" s="42" t="str" cm="1">
        <f t="array" ref="M572">_xlfn.IFS(L572&lt;0.15,"Cold",L572&lt;0.25,"Mild",L572&lt;=0.32,"Warm",L572&gt;=0.33,"Hot")</f>
        <v>Mild</v>
      </c>
    </row>
    <row r="573" spans="1:13" x14ac:dyDescent="0.3">
      <c r="A573" s="6">
        <v>572</v>
      </c>
      <c r="B573" s="7">
        <v>40569</v>
      </c>
      <c r="C573" s="8">
        <v>1</v>
      </c>
      <c r="D573" s="8">
        <v>0</v>
      </c>
      <c r="E573" s="8">
        <v>1</v>
      </c>
      <c r="F573" s="8">
        <v>0</v>
      </c>
      <c r="G573" s="8" t="str" cm="1">
        <f t="array" ref="G573">_xlfn.IFS(F573&lt;4,"Night",F573&lt;=6,"Early Morning",F573&lt;11,"Morning",F573&lt;12,"Afternoon",F573&lt;=16,"Afternoon",F573&lt;=20,"Evening",F573&gt;=21,"Night")</f>
        <v>Night</v>
      </c>
      <c r="H573" s="8" t="b">
        <v>0</v>
      </c>
      <c r="I573" s="8">
        <v>3</v>
      </c>
      <c r="J573" s="8">
        <v>2</v>
      </c>
      <c r="K573" s="9" t="str" cm="1">
        <f t="array" ref="K573">_xlfn.IFS(J573=1,"Clear",J573=2,"Mist/Cloudy",J573=3,"Rain",J573=4,"Heavy Rain/Thunderstorm")</f>
        <v>Mist/Cloudy</v>
      </c>
      <c r="L573" s="10">
        <v>0.22</v>
      </c>
      <c r="M573" s="42" t="str" cm="1">
        <f t="array" ref="M573">_xlfn.IFS(L573&lt;0.15,"Cold",L573&lt;0.25,"Mild",L573&lt;=0.32,"Warm",L573&gt;=0.33,"Hot")</f>
        <v>Mild</v>
      </c>
    </row>
    <row r="574" spans="1:13" x14ac:dyDescent="0.3">
      <c r="A574" s="6">
        <v>573</v>
      </c>
      <c r="B574" s="7">
        <v>40569</v>
      </c>
      <c r="C574" s="8">
        <v>1</v>
      </c>
      <c r="D574" s="8">
        <v>0</v>
      </c>
      <c r="E574" s="8">
        <v>1</v>
      </c>
      <c r="F574" s="8">
        <v>1</v>
      </c>
      <c r="G574" s="8" t="str" cm="1">
        <f t="array" ref="G574">_xlfn.IFS(F574&lt;4,"Night",F574&lt;=6,"Early Morning",F574&lt;11,"Morning",F574&lt;12,"Afternoon",F574&lt;=16,"Afternoon",F574&lt;=20,"Evening",F574&gt;=21,"Night")</f>
        <v>Night</v>
      </c>
      <c r="H574" s="8" t="b">
        <v>0</v>
      </c>
      <c r="I574" s="8">
        <v>3</v>
      </c>
      <c r="J574" s="8">
        <v>2</v>
      </c>
      <c r="K574" s="9" t="str" cm="1">
        <f t="array" ref="K574">_xlfn.IFS(J574=1,"Clear",J574=2,"Mist/Cloudy",J574=3,"Rain",J574=4,"Heavy Rain/Thunderstorm")</f>
        <v>Mist/Cloudy</v>
      </c>
      <c r="L574" s="10">
        <v>0.24</v>
      </c>
      <c r="M574" s="42" t="str" cm="1">
        <f t="array" ref="M574">_xlfn.IFS(L574&lt;0.15,"Cold",L574&lt;0.25,"Mild",L574&lt;=0.32,"Warm",L574&gt;=0.33,"Hot")</f>
        <v>Mild</v>
      </c>
    </row>
    <row r="575" spans="1:13" x14ac:dyDescent="0.3">
      <c r="A575" s="6">
        <v>574</v>
      </c>
      <c r="B575" s="7">
        <v>40569</v>
      </c>
      <c r="C575" s="8">
        <v>1</v>
      </c>
      <c r="D575" s="8">
        <v>0</v>
      </c>
      <c r="E575" s="8">
        <v>1</v>
      </c>
      <c r="F575" s="8">
        <v>2</v>
      </c>
      <c r="G575" s="8" t="str" cm="1">
        <f t="array" ref="G575">_xlfn.IFS(F575&lt;4,"Night",F575&lt;=6,"Early Morning",F575&lt;11,"Morning",F575&lt;12,"Afternoon",F575&lt;=16,"Afternoon",F575&lt;=20,"Evening",F575&gt;=21,"Night")</f>
        <v>Night</v>
      </c>
      <c r="H575" s="8" t="b">
        <v>0</v>
      </c>
      <c r="I575" s="8">
        <v>3</v>
      </c>
      <c r="J575" s="8">
        <v>3</v>
      </c>
      <c r="K575" s="9" t="str" cm="1">
        <f t="array" ref="K575">_xlfn.IFS(J575=1,"Clear",J575=2,"Mist/Cloudy",J575=3,"Rain",J575=4,"Heavy Rain/Thunderstorm")</f>
        <v>Rain</v>
      </c>
      <c r="L575" s="10">
        <v>0.22</v>
      </c>
      <c r="M575" s="42" t="str" cm="1">
        <f t="array" ref="M575">_xlfn.IFS(L575&lt;0.15,"Cold",L575&lt;0.25,"Mild",L575&lt;=0.32,"Warm",L575&gt;=0.33,"Hot")</f>
        <v>Mild</v>
      </c>
    </row>
    <row r="576" spans="1:13" x14ac:dyDescent="0.3">
      <c r="A576" s="6">
        <v>575</v>
      </c>
      <c r="B576" s="7">
        <v>40569</v>
      </c>
      <c r="C576" s="8">
        <v>1</v>
      </c>
      <c r="D576" s="8">
        <v>0</v>
      </c>
      <c r="E576" s="8">
        <v>1</v>
      </c>
      <c r="F576" s="8">
        <v>5</v>
      </c>
      <c r="G576" s="8" t="str" cm="1">
        <f t="array" ref="G576">_xlfn.IFS(F576&lt;4,"Night",F576&lt;=6,"Early Morning",F576&lt;11,"Morning",F576&lt;12,"Afternoon",F576&lt;=16,"Afternoon",F576&lt;=20,"Evening",F576&gt;=21,"Night")</f>
        <v>Early Morning</v>
      </c>
      <c r="H576" s="8" t="b">
        <v>0</v>
      </c>
      <c r="I576" s="8">
        <v>3</v>
      </c>
      <c r="J576" s="8">
        <v>3</v>
      </c>
      <c r="K576" s="9" t="str" cm="1">
        <f t="array" ref="K576">_xlfn.IFS(J576=1,"Clear",J576=2,"Mist/Cloudy",J576=3,"Rain",J576=4,"Heavy Rain/Thunderstorm")</f>
        <v>Rain</v>
      </c>
      <c r="L576" s="10">
        <v>0.2</v>
      </c>
      <c r="M576" s="42" t="str" cm="1">
        <f t="array" ref="M576">_xlfn.IFS(L576&lt;0.15,"Cold",L576&lt;0.25,"Mild",L576&lt;=0.32,"Warm",L576&gt;=0.33,"Hot")</f>
        <v>Mild</v>
      </c>
    </row>
    <row r="577" spans="1:13" x14ac:dyDescent="0.3">
      <c r="A577" s="6">
        <v>576</v>
      </c>
      <c r="B577" s="7">
        <v>40569</v>
      </c>
      <c r="C577" s="8">
        <v>1</v>
      </c>
      <c r="D577" s="8">
        <v>0</v>
      </c>
      <c r="E577" s="8">
        <v>1</v>
      </c>
      <c r="F577" s="8">
        <v>6</v>
      </c>
      <c r="G577" s="8" t="str" cm="1">
        <f t="array" ref="G577">_xlfn.IFS(F577&lt;4,"Night",F577&lt;=6,"Early Morning",F577&lt;11,"Morning",F577&lt;12,"Afternoon",F577&lt;=16,"Afternoon",F577&lt;=20,"Evening",F577&gt;=21,"Night")</f>
        <v>Early Morning</v>
      </c>
      <c r="H577" s="8" t="b">
        <v>0</v>
      </c>
      <c r="I577" s="8">
        <v>3</v>
      </c>
      <c r="J577" s="8">
        <v>3</v>
      </c>
      <c r="K577" s="9" t="str" cm="1">
        <f t="array" ref="K577">_xlfn.IFS(J577=1,"Clear",J577=2,"Mist/Cloudy",J577=3,"Rain",J577=4,"Heavy Rain/Thunderstorm")</f>
        <v>Rain</v>
      </c>
      <c r="L577" s="10">
        <v>0.2</v>
      </c>
      <c r="M577" s="42" t="str" cm="1">
        <f t="array" ref="M577">_xlfn.IFS(L577&lt;0.15,"Cold",L577&lt;0.25,"Mild",L577&lt;=0.32,"Warm",L577&gt;=0.33,"Hot")</f>
        <v>Mild</v>
      </c>
    </row>
    <row r="578" spans="1:13" x14ac:dyDescent="0.3">
      <c r="A578" s="6">
        <v>577</v>
      </c>
      <c r="B578" s="7">
        <v>40569</v>
      </c>
      <c r="C578" s="8">
        <v>1</v>
      </c>
      <c r="D578" s="8">
        <v>0</v>
      </c>
      <c r="E578" s="8">
        <v>1</v>
      </c>
      <c r="F578" s="8">
        <v>7</v>
      </c>
      <c r="G578" s="8" t="str" cm="1">
        <f t="array" ref="G578">_xlfn.IFS(F578&lt;4,"Night",F578&lt;=6,"Early Morning",F578&lt;11,"Morning",F578&lt;12,"Afternoon",F578&lt;=16,"Afternoon",F578&lt;=20,"Evening",F578&gt;=21,"Night")</f>
        <v>Morning</v>
      </c>
      <c r="H578" s="8" t="b">
        <v>0</v>
      </c>
      <c r="I578" s="8">
        <v>3</v>
      </c>
      <c r="J578" s="8">
        <v>3</v>
      </c>
      <c r="K578" s="9" t="str" cm="1">
        <f t="array" ref="K578">_xlfn.IFS(J578=1,"Clear",J578=2,"Mist/Cloudy",J578=3,"Rain",J578=4,"Heavy Rain/Thunderstorm")</f>
        <v>Rain</v>
      </c>
      <c r="L578" s="10">
        <v>0.22</v>
      </c>
      <c r="M578" s="42" t="str" cm="1">
        <f t="array" ref="M578">_xlfn.IFS(L578&lt;0.15,"Cold",L578&lt;0.25,"Mild",L578&lt;=0.32,"Warm",L578&gt;=0.33,"Hot")</f>
        <v>Mild</v>
      </c>
    </row>
    <row r="579" spans="1:13" x14ac:dyDescent="0.3">
      <c r="A579" s="6">
        <v>578</v>
      </c>
      <c r="B579" s="7">
        <v>40569</v>
      </c>
      <c r="C579" s="8">
        <v>1</v>
      </c>
      <c r="D579" s="8">
        <v>0</v>
      </c>
      <c r="E579" s="8">
        <v>1</v>
      </c>
      <c r="F579" s="8">
        <v>8</v>
      </c>
      <c r="G579" s="8" t="str" cm="1">
        <f t="array" ref="G579">_xlfn.IFS(F579&lt;4,"Night",F579&lt;=6,"Early Morning",F579&lt;11,"Morning",F579&lt;12,"Afternoon",F579&lt;=16,"Afternoon",F579&lt;=20,"Evening",F579&gt;=21,"Night")</f>
        <v>Morning</v>
      </c>
      <c r="H579" s="8" t="b">
        <v>0</v>
      </c>
      <c r="I579" s="8">
        <v>3</v>
      </c>
      <c r="J579" s="8">
        <v>3</v>
      </c>
      <c r="K579" s="9" t="str" cm="1">
        <f t="array" ref="K579">_xlfn.IFS(J579=1,"Clear",J579=2,"Mist/Cloudy",J579=3,"Rain",J579=4,"Heavy Rain/Thunderstorm")</f>
        <v>Rain</v>
      </c>
      <c r="L579" s="10">
        <v>0.22</v>
      </c>
      <c r="M579" s="42" t="str" cm="1">
        <f t="array" ref="M579">_xlfn.IFS(L579&lt;0.15,"Cold",L579&lt;0.25,"Mild",L579&lt;=0.32,"Warm",L579&gt;=0.33,"Hot")</f>
        <v>Mild</v>
      </c>
    </row>
    <row r="580" spans="1:13" x14ac:dyDescent="0.3">
      <c r="A580" s="6">
        <v>579</v>
      </c>
      <c r="B580" s="7">
        <v>40569</v>
      </c>
      <c r="C580" s="8">
        <v>1</v>
      </c>
      <c r="D580" s="8">
        <v>0</v>
      </c>
      <c r="E580" s="8">
        <v>1</v>
      </c>
      <c r="F580" s="8">
        <v>9</v>
      </c>
      <c r="G580" s="8" t="str" cm="1">
        <f t="array" ref="G580">_xlfn.IFS(F580&lt;4,"Night",F580&lt;=6,"Early Morning",F580&lt;11,"Morning",F580&lt;12,"Afternoon",F580&lt;=16,"Afternoon",F580&lt;=20,"Evening",F580&gt;=21,"Night")</f>
        <v>Morning</v>
      </c>
      <c r="H580" s="8" t="b">
        <v>0</v>
      </c>
      <c r="I580" s="8">
        <v>3</v>
      </c>
      <c r="J580" s="8">
        <v>3</v>
      </c>
      <c r="K580" s="9" t="str" cm="1">
        <f t="array" ref="K580">_xlfn.IFS(J580=1,"Clear",J580=2,"Mist/Cloudy",J580=3,"Rain",J580=4,"Heavy Rain/Thunderstorm")</f>
        <v>Rain</v>
      </c>
      <c r="L580" s="10">
        <v>0.22</v>
      </c>
      <c r="M580" s="42" t="str" cm="1">
        <f t="array" ref="M580">_xlfn.IFS(L580&lt;0.15,"Cold",L580&lt;0.25,"Mild",L580&lt;=0.32,"Warm",L580&gt;=0.33,"Hot")</f>
        <v>Mild</v>
      </c>
    </row>
    <row r="581" spans="1:13" x14ac:dyDescent="0.3">
      <c r="A581" s="6">
        <v>580</v>
      </c>
      <c r="B581" s="7">
        <v>40569</v>
      </c>
      <c r="C581" s="8">
        <v>1</v>
      </c>
      <c r="D581" s="8">
        <v>0</v>
      </c>
      <c r="E581" s="8">
        <v>1</v>
      </c>
      <c r="F581" s="8">
        <v>10</v>
      </c>
      <c r="G581" s="8" t="str" cm="1">
        <f t="array" ref="G581">_xlfn.IFS(F581&lt;4,"Night",F581&lt;=6,"Early Morning",F581&lt;11,"Morning",F581&lt;12,"Afternoon",F581&lt;=16,"Afternoon",F581&lt;=20,"Evening",F581&gt;=21,"Night")</f>
        <v>Morning</v>
      </c>
      <c r="H581" s="8" t="b">
        <v>0</v>
      </c>
      <c r="I581" s="8">
        <v>3</v>
      </c>
      <c r="J581" s="8">
        <v>3</v>
      </c>
      <c r="K581" s="9" t="str" cm="1">
        <f t="array" ref="K581">_xlfn.IFS(J581=1,"Clear",J581=2,"Mist/Cloudy",J581=3,"Rain",J581=4,"Heavy Rain/Thunderstorm")</f>
        <v>Rain</v>
      </c>
      <c r="L581" s="10">
        <v>0.22</v>
      </c>
      <c r="M581" s="42" t="str" cm="1">
        <f t="array" ref="M581">_xlfn.IFS(L581&lt;0.15,"Cold",L581&lt;0.25,"Mild",L581&lt;=0.32,"Warm",L581&gt;=0.33,"Hot")</f>
        <v>Mild</v>
      </c>
    </row>
    <row r="582" spans="1:13" x14ac:dyDescent="0.3">
      <c r="A582" s="6">
        <v>581</v>
      </c>
      <c r="B582" s="7">
        <v>40569</v>
      </c>
      <c r="C582" s="8">
        <v>1</v>
      </c>
      <c r="D582" s="8">
        <v>0</v>
      </c>
      <c r="E582" s="8">
        <v>1</v>
      </c>
      <c r="F582" s="8">
        <v>11</v>
      </c>
      <c r="G582" s="8" t="str" cm="1">
        <f t="array" ref="G582">_xlfn.IFS(F582&lt;4,"Night",F582&lt;=6,"Early Morning",F582&lt;11,"Morning",F582&lt;12,"Afternoon",F582&lt;=16,"Afternoon",F582&lt;=20,"Evening",F582&gt;=21,"Night")</f>
        <v>Afternoon</v>
      </c>
      <c r="H582" s="8" t="b">
        <v>0</v>
      </c>
      <c r="I582" s="8">
        <v>3</v>
      </c>
      <c r="J582" s="8">
        <v>3</v>
      </c>
      <c r="K582" s="9" t="str" cm="1">
        <f t="array" ref="K582">_xlfn.IFS(J582=1,"Clear",J582=2,"Mist/Cloudy",J582=3,"Rain",J582=4,"Heavy Rain/Thunderstorm")</f>
        <v>Rain</v>
      </c>
      <c r="L582" s="10">
        <v>0.22</v>
      </c>
      <c r="M582" s="42" t="str" cm="1">
        <f t="array" ref="M582">_xlfn.IFS(L582&lt;0.15,"Cold",L582&lt;0.25,"Mild",L582&lt;=0.32,"Warm",L582&gt;=0.33,"Hot")</f>
        <v>Mild</v>
      </c>
    </row>
    <row r="583" spans="1:13" x14ac:dyDescent="0.3">
      <c r="A583" s="6">
        <v>582</v>
      </c>
      <c r="B583" s="7">
        <v>40569</v>
      </c>
      <c r="C583" s="8">
        <v>1</v>
      </c>
      <c r="D583" s="8">
        <v>0</v>
      </c>
      <c r="E583" s="8">
        <v>1</v>
      </c>
      <c r="F583" s="8">
        <v>12</v>
      </c>
      <c r="G583" s="8" t="str" cm="1">
        <f t="array" ref="G583">_xlfn.IFS(F583&lt;4,"Night",F583&lt;=6,"Early Morning",F583&lt;11,"Morning",F583&lt;12,"Afternoon",F583&lt;=16,"Afternoon",F583&lt;=20,"Evening",F583&gt;=21,"Night")</f>
        <v>Afternoon</v>
      </c>
      <c r="H583" s="8" t="b">
        <v>0</v>
      </c>
      <c r="I583" s="8">
        <v>3</v>
      </c>
      <c r="J583" s="8">
        <v>3</v>
      </c>
      <c r="K583" s="9" t="str" cm="1">
        <f t="array" ref="K583">_xlfn.IFS(J583=1,"Clear",J583=2,"Mist/Cloudy",J583=3,"Rain",J583=4,"Heavy Rain/Thunderstorm")</f>
        <v>Rain</v>
      </c>
      <c r="L583" s="10">
        <v>0.22</v>
      </c>
      <c r="M583" s="42" t="str" cm="1">
        <f t="array" ref="M583">_xlfn.IFS(L583&lt;0.15,"Cold",L583&lt;0.25,"Mild",L583&lt;=0.32,"Warm",L583&gt;=0.33,"Hot")</f>
        <v>Mild</v>
      </c>
    </row>
    <row r="584" spans="1:13" x14ac:dyDescent="0.3">
      <c r="A584" s="6">
        <v>583</v>
      </c>
      <c r="B584" s="7">
        <v>40569</v>
      </c>
      <c r="C584" s="8">
        <v>1</v>
      </c>
      <c r="D584" s="8">
        <v>0</v>
      </c>
      <c r="E584" s="8">
        <v>1</v>
      </c>
      <c r="F584" s="8">
        <v>13</v>
      </c>
      <c r="G584" s="8" t="str" cm="1">
        <f t="array" ref="G584">_xlfn.IFS(F584&lt;4,"Night",F584&lt;=6,"Early Morning",F584&lt;11,"Morning",F584&lt;12,"Afternoon",F584&lt;=16,"Afternoon",F584&lt;=20,"Evening",F584&gt;=21,"Night")</f>
        <v>Afternoon</v>
      </c>
      <c r="H584" s="8" t="b">
        <v>0</v>
      </c>
      <c r="I584" s="8">
        <v>3</v>
      </c>
      <c r="J584" s="8">
        <v>3</v>
      </c>
      <c r="K584" s="9" t="str" cm="1">
        <f t="array" ref="K584">_xlfn.IFS(J584=1,"Clear",J584=2,"Mist/Cloudy",J584=3,"Rain",J584=4,"Heavy Rain/Thunderstorm")</f>
        <v>Rain</v>
      </c>
      <c r="L584" s="10">
        <v>0.22</v>
      </c>
      <c r="M584" s="42" t="str" cm="1">
        <f t="array" ref="M584">_xlfn.IFS(L584&lt;0.15,"Cold",L584&lt;0.25,"Mild",L584&lt;=0.32,"Warm",L584&gt;=0.33,"Hot")</f>
        <v>Mild</v>
      </c>
    </row>
    <row r="585" spans="1:13" x14ac:dyDescent="0.3">
      <c r="A585" s="6">
        <v>584</v>
      </c>
      <c r="B585" s="7">
        <v>40569</v>
      </c>
      <c r="C585" s="8">
        <v>1</v>
      </c>
      <c r="D585" s="8">
        <v>0</v>
      </c>
      <c r="E585" s="8">
        <v>1</v>
      </c>
      <c r="F585" s="8">
        <v>14</v>
      </c>
      <c r="G585" s="8" t="str" cm="1">
        <f t="array" ref="G585">_xlfn.IFS(F585&lt;4,"Night",F585&lt;=6,"Early Morning",F585&lt;11,"Morning",F585&lt;12,"Afternoon",F585&lt;=16,"Afternoon",F585&lt;=20,"Evening",F585&gt;=21,"Night")</f>
        <v>Afternoon</v>
      </c>
      <c r="H585" s="8" t="b">
        <v>0</v>
      </c>
      <c r="I585" s="8">
        <v>3</v>
      </c>
      <c r="J585" s="8">
        <v>3</v>
      </c>
      <c r="K585" s="9" t="str" cm="1">
        <f t="array" ref="K585">_xlfn.IFS(J585=1,"Clear",J585=2,"Mist/Cloudy",J585=3,"Rain",J585=4,"Heavy Rain/Thunderstorm")</f>
        <v>Rain</v>
      </c>
      <c r="L585" s="10">
        <v>0.22</v>
      </c>
      <c r="M585" s="42" t="str" cm="1">
        <f t="array" ref="M585">_xlfn.IFS(L585&lt;0.15,"Cold",L585&lt;0.25,"Mild",L585&lt;=0.32,"Warm",L585&gt;=0.33,"Hot")</f>
        <v>Mild</v>
      </c>
    </row>
    <row r="586" spans="1:13" x14ac:dyDescent="0.3">
      <c r="A586" s="6">
        <v>585</v>
      </c>
      <c r="B586" s="7">
        <v>40569</v>
      </c>
      <c r="C586" s="8">
        <v>1</v>
      </c>
      <c r="D586" s="8">
        <v>0</v>
      </c>
      <c r="E586" s="8">
        <v>1</v>
      </c>
      <c r="F586" s="8">
        <v>15</v>
      </c>
      <c r="G586" s="8" t="str" cm="1">
        <f t="array" ref="G586">_xlfn.IFS(F586&lt;4,"Night",F586&lt;=6,"Early Morning",F586&lt;11,"Morning",F586&lt;12,"Afternoon",F586&lt;=16,"Afternoon",F586&lt;=20,"Evening",F586&gt;=21,"Night")</f>
        <v>Afternoon</v>
      </c>
      <c r="H586" s="8" t="b">
        <v>0</v>
      </c>
      <c r="I586" s="8">
        <v>3</v>
      </c>
      <c r="J586" s="8">
        <v>3</v>
      </c>
      <c r="K586" s="9" t="str" cm="1">
        <f t="array" ref="K586">_xlfn.IFS(J586=1,"Clear",J586=2,"Mist/Cloudy",J586=3,"Rain",J586=4,"Heavy Rain/Thunderstorm")</f>
        <v>Rain</v>
      </c>
      <c r="L586" s="10">
        <v>0.22</v>
      </c>
      <c r="M586" s="42" t="str" cm="1">
        <f t="array" ref="M586">_xlfn.IFS(L586&lt;0.15,"Cold",L586&lt;0.25,"Mild",L586&lt;=0.32,"Warm",L586&gt;=0.33,"Hot")</f>
        <v>Mild</v>
      </c>
    </row>
    <row r="587" spans="1:13" x14ac:dyDescent="0.3">
      <c r="A587" s="6">
        <v>586</v>
      </c>
      <c r="B587" s="7">
        <v>40569</v>
      </c>
      <c r="C587" s="8">
        <v>1</v>
      </c>
      <c r="D587" s="8">
        <v>0</v>
      </c>
      <c r="E587" s="8">
        <v>1</v>
      </c>
      <c r="F587" s="8">
        <v>16</v>
      </c>
      <c r="G587" s="8" t="str" cm="1">
        <f t="array" ref="G587">_xlfn.IFS(F587&lt;4,"Night",F587&lt;=6,"Early Morning",F587&lt;11,"Morning",F587&lt;12,"Afternoon",F587&lt;=16,"Afternoon",F587&lt;=20,"Evening",F587&gt;=21,"Night")</f>
        <v>Afternoon</v>
      </c>
      <c r="H587" s="8" t="b">
        <v>0</v>
      </c>
      <c r="I587" s="8">
        <v>3</v>
      </c>
      <c r="J587" s="8">
        <v>4</v>
      </c>
      <c r="K587" s="9" t="str" cm="1">
        <f t="array" ref="K587">_xlfn.IFS(J587=1,"Clear",J587=2,"Mist/Cloudy",J587=3,"Rain",J587=4,"Heavy Rain/Thunderstorm")</f>
        <v>Heavy Rain/Thunderstorm</v>
      </c>
      <c r="L587" s="10">
        <v>0.22</v>
      </c>
      <c r="M587" s="42" t="str" cm="1">
        <f t="array" ref="M587">_xlfn.IFS(L587&lt;0.15,"Cold",L587&lt;0.25,"Mild",L587&lt;=0.32,"Warm",L587&gt;=0.33,"Hot")</f>
        <v>Mild</v>
      </c>
    </row>
    <row r="588" spans="1:13" x14ac:dyDescent="0.3">
      <c r="A588" s="6">
        <v>587</v>
      </c>
      <c r="B588" s="7">
        <v>40569</v>
      </c>
      <c r="C588" s="8">
        <v>1</v>
      </c>
      <c r="D588" s="8">
        <v>0</v>
      </c>
      <c r="E588" s="8">
        <v>1</v>
      </c>
      <c r="F588" s="8">
        <v>17</v>
      </c>
      <c r="G588" s="8" t="str" cm="1">
        <f t="array" ref="G588">_xlfn.IFS(F588&lt;4,"Night",F588&lt;=6,"Early Morning",F588&lt;11,"Morning",F588&lt;12,"Afternoon",F588&lt;=16,"Afternoon",F588&lt;=20,"Evening",F588&gt;=21,"Night")</f>
        <v>Evening</v>
      </c>
      <c r="H588" s="8" t="b">
        <v>0</v>
      </c>
      <c r="I588" s="8">
        <v>3</v>
      </c>
      <c r="J588" s="8">
        <v>3</v>
      </c>
      <c r="K588" s="9" t="str" cm="1">
        <f t="array" ref="K588">_xlfn.IFS(J588=1,"Clear",J588=2,"Mist/Cloudy",J588=3,"Rain",J588=4,"Heavy Rain/Thunderstorm")</f>
        <v>Rain</v>
      </c>
      <c r="L588" s="10">
        <v>0.2</v>
      </c>
      <c r="M588" s="42" t="str" cm="1">
        <f t="array" ref="M588">_xlfn.IFS(L588&lt;0.15,"Cold",L588&lt;0.25,"Mild",L588&lt;=0.32,"Warm",L588&gt;=0.33,"Hot")</f>
        <v>Mild</v>
      </c>
    </row>
    <row r="589" spans="1:13" x14ac:dyDescent="0.3">
      <c r="A589" s="6">
        <v>588</v>
      </c>
      <c r="B589" s="7">
        <v>40570</v>
      </c>
      <c r="C589" s="8">
        <v>1</v>
      </c>
      <c r="D589" s="8">
        <v>0</v>
      </c>
      <c r="E589" s="8">
        <v>1</v>
      </c>
      <c r="F589" s="8">
        <v>16</v>
      </c>
      <c r="G589" s="8" t="str" cm="1">
        <f t="array" ref="G589">_xlfn.IFS(F589&lt;4,"Night",F589&lt;=6,"Early Morning",F589&lt;11,"Morning",F589&lt;12,"Afternoon",F589&lt;=16,"Afternoon",F589&lt;=20,"Evening",F589&gt;=21,"Night")</f>
        <v>Afternoon</v>
      </c>
      <c r="H589" s="8" t="b">
        <v>0</v>
      </c>
      <c r="I589" s="8">
        <v>4</v>
      </c>
      <c r="J589" s="8">
        <v>1</v>
      </c>
      <c r="K589" s="9" t="str" cm="1">
        <f t="array" ref="K589">_xlfn.IFS(J589=1,"Clear",J589=2,"Mist/Cloudy",J589=3,"Rain",J589=4,"Heavy Rain/Thunderstorm")</f>
        <v>Clear</v>
      </c>
      <c r="L589" s="10">
        <v>0.22</v>
      </c>
      <c r="M589" s="42" t="str" cm="1">
        <f t="array" ref="M589">_xlfn.IFS(L589&lt;0.15,"Cold",L589&lt;0.25,"Mild",L589&lt;=0.32,"Warm",L589&gt;=0.33,"Hot")</f>
        <v>Mild</v>
      </c>
    </row>
    <row r="590" spans="1:13" x14ac:dyDescent="0.3">
      <c r="A590" s="6">
        <v>589</v>
      </c>
      <c r="B590" s="7">
        <v>40570</v>
      </c>
      <c r="C590" s="8">
        <v>1</v>
      </c>
      <c r="D590" s="8">
        <v>0</v>
      </c>
      <c r="E590" s="8">
        <v>1</v>
      </c>
      <c r="F590" s="8">
        <v>17</v>
      </c>
      <c r="G590" s="8" t="str" cm="1">
        <f t="array" ref="G590">_xlfn.IFS(F590&lt;4,"Night",F590&lt;=6,"Early Morning",F590&lt;11,"Morning",F590&lt;12,"Afternoon",F590&lt;=16,"Afternoon",F590&lt;=20,"Evening",F590&gt;=21,"Night")</f>
        <v>Evening</v>
      </c>
      <c r="H590" s="8" t="b">
        <v>0</v>
      </c>
      <c r="I590" s="8">
        <v>4</v>
      </c>
      <c r="J590" s="8">
        <v>1</v>
      </c>
      <c r="K590" s="9" t="str" cm="1">
        <f t="array" ref="K590">_xlfn.IFS(J590=1,"Clear",J590=2,"Mist/Cloudy",J590=3,"Rain",J590=4,"Heavy Rain/Thunderstorm")</f>
        <v>Clear</v>
      </c>
      <c r="L590" s="10">
        <v>0.22</v>
      </c>
      <c r="M590" s="42" t="str" cm="1">
        <f t="array" ref="M590">_xlfn.IFS(L590&lt;0.15,"Cold",L590&lt;0.25,"Mild",L590&lt;=0.32,"Warm",L590&gt;=0.33,"Hot")</f>
        <v>Mild</v>
      </c>
    </row>
    <row r="591" spans="1:13" x14ac:dyDescent="0.3">
      <c r="A591" s="6">
        <v>590</v>
      </c>
      <c r="B591" s="7">
        <v>40570</v>
      </c>
      <c r="C591" s="8">
        <v>1</v>
      </c>
      <c r="D591" s="8">
        <v>0</v>
      </c>
      <c r="E591" s="8">
        <v>1</v>
      </c>
      <c r="F591" s="8">
        <v>18</v>
      </c>
      <c r="G591" s="8" t="str" cm="1">
        <f t="array" ref="G591">_xlfn.IFS(F591&lt;4,"Night",F591&lt;=6,"Early Morning",F591&lt;11,"Morning",F591&lt;12,"Afternoon",F591&lt;=16,"Afternoon",F591&lt;=20,"Evening",F591&gt;=21,"Night")</f>
        <v>Evening</v>
      </c>
      <c r="H591" s="8" t="b">
        <v>0</v>
      </c>
      <c r="I591" s="8">
        <v>4</v>
      </c>
      <c r="J591" s="8">
        <v>1</v>
      </c>
      <c r="K591" s="9" t="str" cm="1">
        <f t="array" ref="K591">_xlfn.IFS(J591=1,"Clear",J591=2,"Mist/Cloudy",J591=3,"Rain",J591=4,"Heavy Rain/Thunderstorm")</f>
        <v>Clear</v>
      </c>
      <c r="L591" s="10">
        <v>0.2</v>
      </c>
      <c r="M591" s="42" t="str" cm="1">
        <f t="array" ref="M591">_xlfn.IFS(L591&lt;0.15,"Cold",L591&lt;0.25,"Mild",L591&lt;=0.32,"Warm",L591&gt;=0.33,"Hot")</f>
        <v>Mild</v>
      </c>
    </row>
    <row r="592" spans="1:13" x14ac:dyDescent="0.3">
      <c r="A592" s="6">
        <v>591</v>
      </c>
      <c r="B592" s="7">
        <v>40570</v>
      </c>
      <c r="C592" s="8">
        <v>1</v>
      </c>
      <c r="D592" s="8">
        <v>0</v>
      </c>
      <c r="E592" s="8">
        <v>1</v>
      </c>
      <c r="F592" s="8">
        <v>19</v>
      </c>
      <c r="G592" s="8" t="str" cm="1">
        <f t="array" ref="G592">_xlfn.IFS(F592&lt;4,"Night",F592&lt;=6,"Early Morning",F592&lt;11,"Morning",F592&lt;12,"Afternoon",F592&lt;=16,"Afternoon",F592&lt;=20,"Evening",F592&gt;=21,"Night")</f>
        <v>Evening</v>
      </c>
      <c r="H592" s="8" t="b">
        <v>0</v>
      </c>
      <c r="I592" s="8">
        <v>4</v>
      </c>
      <c r="J592" s="8">
        <v>1</v>
      </c>
      <c r="K592" s="9" t="str" cm="1">
        <f t="array" ref="K592">_xlfn.IFS(J592=1,"Clear",J592=2,"Mist/Cloudy",J592=3,"Rain",J592=4,"Heavy Rain/Thunderstorm")</f>
        <v>Clear</v>
      </c>
      <c r="L592" s="10">
        <v>0.2</v>
      </c>
      <c r="M592" s="42" t="str" cm="1">
        <f t="array" ref="M592">_xlfn.IFS(L592&lt;0.15,"Cold",L592&lt;0.25,"Mild",L592&lt;=0.32,"Warm",L592&gt;=0.33,"Hot")</f>
        <v>Mild</v>
      </c>
    </row>
    <row r="593" spans="1:13" x14ac:dyDescent="0.3">
      <c r="A593" s="6">
        <v>592</v>
      </c>
      <c r="B593" s="7">
        <v>40570</v>
      </c>
      <c r="C593" s="8">
        <v>1</v>
      </c>
      <c r="D593" s="8">
        <v>0</v>
      </c>
      <c r="E593" s="8">
        <v>1</v>
      </c>
      <c r="F593" s="8">
        <v>20</v>
      </c>
      <c r="G593" s="8" t="str" cm="1">
        <f t="array" ref="G593">_xlfn.IFS(F593&lt;4,"Night",F593&lt;=6,"Early Morning",F593&lt;11,"Morning",F593&lt;12,"Afternoon",F593&lt;=16,"Afternoon",F593&lt;=20,"Evening",F593&gt;=21,"Night")</f>
        <v>Evening</v>
      </c>
      <c r="H593" s="8" t="b">
        <v>0</v>
      </c>
      <c r="I593" s="8">
        <v>4</v>
      </c>
      <c r="J593" s="8">
        <v>1</v>
      </c>
      <c r="K593" s="9" t="str" cm="1">
        <f t="array" ref="K593">_xlfn.IFS(J593=1,"Clear",J593=2,"Mist/Cloudy",J593=3,"Rain",J593=4,"Heavy Rain/Thunderstorm")</f>
        <v>Clear</v>
      </c>
      <c r="L593" s="10">
        <v>0.18</v>
      </c>
      <c r="M593" s="42" t="str" cm="1">
        <f t="array" ref="M593">_xlfn.IFS(L593&lt;0.15,"Cold",L593&lt;0.25,"Mild",L593&lt;=0.32,"Warm",L593&gt;=0.33,"Hot")</f>
        <v>Mild</v>
      </c>
    </row>
    <row r="594" spans="1:13" x14ac:dyDescent="0.3">
      <c r="A594" s="6">
        <v>593</v>
      </c>
      <c r="B594" s="7">
        <v>40570</v>
      </c>
      <c r="C594" s="8">
        <v>1</v>
      </c>
      <c r="D594" s="8">
        <v>0</v>
      </c>
      <c r="E594" s="8">
        <v>1</v>
      </c>
      <c r="F594" s="8">
        <v>21</v>
      </c>
      <c r="G594" s="8" t="str" cm="1">
        <f t="array" ref="G594">_xlfn.IFS(F594&lt;4,"Night",F594&lt;=6,"Early Morning",F594&lt;11,"Morning",F594&lt;12,"Afternoon",F594&lt;=16,"Afternoon",F594&lt;=20,"Evening",F594&gt;=21,"Night")</f>
        <v>Night</v>
      </c>
      <c r="H594" s="8" t="b">
        <v>0</v>
      </c>
      <c r="I594" s="8">
        <v>4</v>
      </c>
      <c r="J594" s="8">
        <v>1</v>
      </c>
      <c r="K594" s="9" t="str" cm="1">
        <f t="array" ref="K594">_xlfn.IFS(J594=1,"Clear",J594=2,"Mist/Cloudy",J594=3,"Rain",J594=4,"Heavy Rain/Thunderstorm")</f>
        <v>Clear</v>
      </c>
      <c r="L594" s="10">
        <v>0.18</v>
      </c>
      <c r="M594" s="42" t="str" cm="1">
        <f t="array" ref="M594">_xlfn.IFS(L594&lt;0.15,"Cold",L594&lt;0.25,"Mild",L594&lt;=0.32,"Warm",L594&gt;=0.33,"Hot")</f>
        <v>Mild</v>
      </c>
    </row>
    <row r="595" spans="1:13" x14ac:dyDescent="0.3">
      <c r="A595" s="6">
        <v>594</v>
      </c>
      <c r="B595" s="7">
        <v>40570</v>
      </c>
      <c r="C595" s="8">
        <v>1</v>
      </c>
      <c r="D595" s="8">
        <v>0</v>
      </c>
      <c r="E595" s="8">
        <v>1</v>
      </c>
      <c r="F595" s="8">
        <v>22</v>
      </c>
      <c r="G595" s="8" t="str" cm="1">
        <f t="array" ref="G595">_xlfn.IFS(F595&lt;4,"Night",F595&lt;=6,"Early Morning",F595&lt;11,"Morning",F595&lt;12,"Afternoon",F595&lt;=16,"Afternoon",F595&lt;=20,"Evening",F595&gt;=21,"Night")</f>
        <v>Night</v>
      </c>
      <c r="H595" s="8" t="b">
        <v>0</v>
      </c>
      <c r="I595" s="8">
        <v>4</v>
      </c>
      <c r="J595" s="8">
        <v>1</v>
      </c>
      <c r="K595" s="9" t="str" cm="1">
        <f t="array" ref="K595">_xlfn.IFS(J595=1,"Clear",J595=2,"Mist/Cloudy",J595=3,"Rain",J595=4,"Heavy Rain/Thunderstorm")</f>
        <v>Clear</v>
      </c>
      <c r="L595" s="10">
        <v>0.18</v>
      </c>
      <c r="M595" s="42" t="str" cm="1">
        <f t="array" ref="M595">_xlfn.IFS(L595&lt;0.15,"Cold",L595&lt;0.25,"Mild",L595&lt;=0.32,"Warm",L595&gt;=0.33,"Hot")</f>
        <v>Mild</v>
      </c>
    </row>
    <row r="596" spans="1:13" x14ac:dyDescent="0.3">
      <c r="A596" s="6">
        <v>595</v>
      </c>
      <c r="B596" s="7">
        <v>40570</v>
      </c>
      <c r="C596" s="8">
        <v>1</v>
      </c>
      <c r="D596" s="8">
        <v>0</v>
      </c>
      <c r="E596" s="8">
        <v>1</v>
      </c>
      <c r="F596" s="8">
        <v>23</v>
      </c>
      <c r="G596" s="8" t="str" cm="1">
        <f t="array" ref="G596">_xlfn.IFS(F596&lt;4,"Night",F596&lt;=6,"Early Morning",F596&lt;11,"Morning",F596&lt;12,"Afternoon",F596&lt;=16,"Afternoon",F596&lt;=20,"Evening",F596&gt;=21,"Night")</f>
        <v>Night</v>
      </c>
      <c r="H596" s="8" t="b">
        <v>0</v>
      </c>
      <c r="I596" s="8">
        <v>4</v>
      </c>
      <c r="J596" s="8">
        <v>1</v>
      </c>
      <c r="K596" s="9" t="str" cm="1">
        <f t="array" ref="K596">_xlfn.IFS(J596=1,"Clear",J596=2,"Mist/Cloudy",J596=3,"Rain",J596=4,"Heavy Rain/Thunderstorm")</f>
        <v>Clear</v>
      </c>
      <c r="L596" s="10">
        <v>0.18</v>
      </c>
      <c r="M596" s="42" t="str" cm="1">
        <f t="array" ref="M596">_xlfn.IFS(L596&lt;0.15,"Cold",L596&lt;0.25,"Mild",L596&lt;=0.32,"Warm",L596&gt;=0.33,"Hot")</f>
        <v>Mild</v>
      </c>
    </row>
    <row r="597" spans="1:13" x14ac:dyDescent="0.3">
      <c r="A597" s="6">
        <v>596</v>
      </c>
      <c r="B597" s="7">
        <v>40571</v>
      </c>
      <c r="C597" s="8">
        <v>1</v>
      </c>
      <c r="D597" s="8">
        <v>0</v>
      </c>
      <c r="E597" s="8">
        <v>1</v>
      </c>
      <c r="F597" s="8">
        <v>0</v>
      </c>
      <c r="G597" s="8" t="str" cm="1">
        <f t="array" ref="G597">_xlfn.IFS(F597&lt;4,"Night",F597&lt;=6,"Early Morning",F597&lt;11,"Morning",F597&lt;12,"Afternoon",F597&lt;=16,"Afternoon",F597&lt;=20,"Evening",F597&gt;=21,"Night")</f>
        <v>Night</v>
      </c>
      <c r="H597" s="8" t="b">
        <v>0</v>
      </c>
      <c r="I597" s="8">
        <v>5</v>
      </c>
      <c r="J597" s="8">
        <v>2</v>
      </c>
      <c r="K597" s="9" t="str" cm="1">
        <f t="array" ref="K597">_xlfn.IFS(J597=1,"Clear",J597=2,"Mist/Cloudy",J597=3,"Rain",J597=4,"Heavy Rain/Thunderstorm")</f>
        <v>Mist/Cloudy</v>
      </c>
      <c r="L597" s="10">
        <v>0.2</v>
      </c>
      <c r="M597" s="42" t="str" cm="1">
        <f t="array" ref="M597">_xlfn.IFS(L597&lt;0.15,"Cold",L597&lt;0.25,"Mild",L597&lt;=0.32,"Warm",L597&gt;=0.33,"Hot")</f>
        <v>Mild</v>
      </c>
    </row>
    <row r="598" spans="1:13" x14ac:dyDescent="0.3">
      <c r="A598" s="6">
        <v>597</v>
      </c>
      <c r="B598" s="7">
        <v>40571</v>
      </c>
      <c r="C598" s="8">
        <v>1</v>
      </c>
      <c r="D598" s="8">
        <v>0</v>
      </c>
      <c r="E598" s="8">
        <v>1</v>
      </c>
      <c r="F598" s="8">
        <v>1</v>
      </c>
      <c r="G598" s="8" t="str" cm="1">
        <f t="array" ref="G598">_xlfn.IFS(F598&lt;4,"Night",F598&lt;=6,"Early Morning",F598&lt;11,"Morning",F598&lt;12,"Afternoon",F598&lt;=16,"Afternoon",F598&lt;=20,"Evening",F598&gt;=21,"Night")</f>
        <v>Night</v>
      </c>
      <c r="H598" s="8" t="b">
        <v>0</v>
      </c>
      <c r="I598" s="8">
        <v>5</v>
      </c>
      <c r="J598" s="8">
        <v>2</v>
      </c>
      <c r="K598" s="9" t="str" cm="1">
        <f t="array" ref="K598">_xlfn.IFS(J598=1,"Clear",J598=2,"Mist/Cloudy",J598=3,"Rain",J598=4,"Heavy Rain/Thunderstorm")</f>
        <v>Mist/Cloudy</v>
      </c>
      <c r="L598" s="10">
        <v>0.2</v>
      </c>
      <c r="M598" s="42" t="str" cm="1">
        <f t="array" ref="M598">_xlfn.IFS(L598&lt;0.15,"Cold",L598&lt;0.25,"Mild",L598&lt;=0.32,"Warm",L598&gt;=0.33,"Hot")</f>
        <v>Mild</v>
      </c>
    </row>
    <row r="599" spans="1:13" x14ac:dyDescent="0.3">
      <c r="A599" s="6">
        <v>598</v>
      </c>
      <c r="B599" s="7">
        <v>40571</v>
      </c>
      <c r="C599" s="8">
        <v>1</v>
      </c>
      <c r="D599" s="8">
        <v>0</v>
      </c>
      <c r="E599" s="8">
        <v>1</v>
      </c>
      <c r="F599" s="8">
        <v>2</v>
      </c>
      <c r="G599" s="8" t="str" cm="1">
        <f t="array" ref="G599">_xlfn.IFS(F599&lt;4,"Night",F599&lt;=6,"Early Morning",F599&lt;11,"Morning",F599&lt;12,"Afternoon",F599&lt;=16,"Afternoon",F599&lt;=20,"Evening",F599&gt;=21,"Night")</f>
        <v>Night</v>
      </c>
      <c r="H599" s="8" t="b">
        <v>0</v>
      </c>
      <c r="I599" s="8">
        <v>5</v>
      </c>
      <c r="J599" s="8">
        <v>2</v>
      </c>
      <c r="K599" s="9" t="str" cm="1">
        <f t="array" ref="K599">_xlfn.IFS(J599=1,"Clear",J599=2,"Mist/Cloudy",J599=3,"Rain",J599=4,"Heavy Rain/Thunderstorm")</f>
        <v>Mist/Cloudy</v>
      </c>
      <c r="L599" s="10">
        <v>0.2</v>
      </c>
      <c r="M599" s="42" t="str" cm="1">
        <f t="array" ref="M599">_xlfn.IFS(L599&lt;0.15,"Cold",L599&lt;0.25,"Mild",L599&lt;=0.32,"Warm",L599&gt;=0.33,"Hot")</f>
        <v>Mild</v>
      </c>
    </row>
    <row r="600" spans="1:13" x14ac:dyDescent="0.3">
      <c r="A600" s="6">
        <v>599</v>
      </c>
      <c r="B600" s="7">
        <v>40571</v>
      </c>
      <c r="C600" s="8">
        <v>1</v>
      </c>
      <c r="D600" s="8">
        <v>0</v>
      </c>
      <c r="E600" s="8">
        <v>1</v>
      </c>
      <c r="F600" s="8">
        <v>3</v>
      </c>
      <c r="G600" s="8" t="str" cm="1">
        <f t="array" ref="G600">_xlfn.IFS(F600&lt;4,"Night",F600&lt;=6,"Early Morning",F600&lt;11,"Morning",F600&lt;12,"Afternoon",F600&lt;=16,"Afternoon",F600&lt;=20,"Evening",F600&gt;=21,"Night")</f>
        <v>Night</v>
      </c>
      <c r="H600" s="8" t="b">
        <v>0</v>
      </c>
      <c r="I600" s="8">
        <v>5</v>
      </c>
      <c r="J600" s="8">
        <v>2</v>
      </c>
      <c r="K600" s="9" t="str" cm="1">
        <f t="array" ref="K600">_xlfn.IFS(J600=1,"Clear",J600=2,"Mist/Cloudy",J600=3,"Rain",J600=4,"Heavy Rain/Thunderstorm")</f>
        <v>Mist/Cloudy</v>
      </c>
      <c r="L600" s="10">
        <v>0.2</v>
      </c>
      <c r="M600" s="42" t="str" cm="1">
        <f t="array" ref="M600">_xlfn.IFS(L600&lt;0.15,"Cold",L600&lt;0.25,"Mild",L600&lt;=0.32,"Warm",L600&gt;=0.33,"Hot")</f>
        <v>Mild</v>
      </c>
    </row>
    <row r="601" spans="1:13" x14ac:dyDescent="0.3">
      <c r="A601" s="6">
        <v>600</v>
      </c>
      <c r="B601" s="7">
        <v>40571</v>
      </c>
      <c r="C601" s="8">
        <v>1</v>
      </c>
      <c r="D601" s="8">
        <v>0</v>
      </c>
      <c r="E601" s="8">
        <v>1</v>
      </c>
      <c r="F601" s="8">
        <v>5</v>
      </c>
      <c r="G601" s="8" t="str" cm="1">
        <f t="array" ref="G601">_xlfn.IFS(F601&lt;4,"Night",F601&lt;=6,"Early Morning",F601&lt;11,"Morning",F601&lt;12,"Afternoon",F601&lt;=16,"Afternoon",F601&lt;=20,"Evening",F601&gt;=21,"Night")</f>
        <v>Early Morning</v>
      </c>
      <c r="H601" s="8" t="b">
        <v>0</v>
      </c>
      <c r="I601" s="8">
        <v>5</v>
      </c>
      <c r="J601" s="8">
        <v>2</v>
      </c>
      <c r="K601" s="9" t="str" cm="1">
        <f t="array" ref="K601">_xlfn.IFS(J601=1,"Clear",J601=2,"Mist/Cloudy",J601=3,"Rain",J601=4,"Heavy Rain/Thunderstorm")</f>
        <v>Mist/Cloudy</v>
      </c>
      <c r="L601" s="10">
        <v>0.18</v>
      </c>
      <c r="M601" s="42" t="str" cm="1">
        <f t="array" ref="M601">_xlfn.IFS(L601&lt;0.15,"Cold",L601&lt;0.25,"Mild",L601&lt;=0.32,"Warm",L601&gt;=0.33,"Hot")</f>
        <v>Mild</v>
      </c>
    </row>
    <row r="602" spans="1:13" x14ac:dyDescent="0.3">
      <c r="A602" s="6">
        <v>601</v>
      </c>
      <c r="B602" s="7">
        <v>40571</v>
      </c>
      <c r="C602" s="8">
        <v>1</v>
      </c>
      <c r="D602" s="8">
        <v>0</v>
      </c>
      <c r="E602" s="8">
        <v>1</v>
      </c>
      <c r="F602" s="8">
        <v>6</v>
      </c>
      <c r="G602" s="8" t="str" cm="1">
        <f t="array" ref="G602">_xlfn.IFS(F602&lt;4,"Night",F602&lt;=6,"Early Morning",F602&lt;11,"Morning",F602&lt;12,"Afternoon",F602&lt;=16,"Afternoon",F602&lt;=20,"Evening",F602&gt;=21,"Night")</f>
        <v>Early Morning</v>
      </c>
      <c r="H602" s="8" t="b">
        <v>0</v>
      </c>
      <c r="I602" s="8">
        <v>5</v>
      </c>
      <c r="J602" s="8">
        <v>2</v>
      </c>
      <c r="K602" s="9" t="str" cm="1">
        <f t="array" ref="K602">_xlfn.IFS(J602=1,"Clear",J602=2,"Mist/Cloudy",J602=3,"Rain",J602=4,"Heavy Rain/Thunderstorm")</f>
        <v>Mist/Cloudy</v>
      </c>
      <c r="L602" s="10">
        <v>0.18</v>
      </c>
      <c r="M602" s="42" t="str" cm="1">
        <f t="array" ref="M602">_xlfn.IFS(L602&lt;0.15,"Cold",L602&lt;0.25,"Mild",L602&lt;=0.32,"Warm",L602&gt;=0.33,"Hot")</f>
        <v>Mild</v>
      </c>
    </row>
    <row r="603" spans="1:13" x14ac:dyDescent="0.3">
      <c r="A603" s="6">
        <v>602</v>
      </c>
      <c r="B603" s="7">
        <v>40571</v>
      </c>
      <c r="C603" s="8">
        <v>1</v>
      </c>
      <c r="D603" s="8">
        <v>0</v>
      </c>
      <c r="E603" s="8">
        <v>1</v>
      </c>
      <c r="F603" s="8">
        <v>7</v>
      </c>
      <c r="G603" s="8" t="str" cm="1">
        <f t="array" ref="G603">_xlfn.IFS(F603&lt;4,"Night",F603&lt;=6,"Early Morning",F603&lt;11,"Morning",F603&lt;12,"Afternoon",F603&lt;=16,"Afternoon",F603&lt;=20,"Evening",F603&gt;=21,"Night")</f>
        <v>Morning</v>
      </c>
      <c r="H603" s="8" t="b">
        <v>0</v>
      </c>
      <c r="I603" s="8">
        <v>5</v>
      </c>
      <c r="J603" s="8">
        <v>2</v>
      </c>
      <c r="K603" s="9" t="str" cm="1">
        <f t="array" ref="K603">_xlfn.IFS(J603=1,"Clear",J603=2,"Mist/Cloudy",J603=3,"Rain",J603=4,"Heavy Rain/Thunderstorm")</f>
        <v>Mist/Cloudy</v>
      </c>
      <c r="L603" s="10">
        <v>0.16</v>
      </c>
      <c r="M603" s="42" t="str" cm="1">
        <f t="array" ref="M603">_xlfn.IFS(L603&lt;0.15,"Cold",L603&lt;0.25,"Mild",L603&lt;=0.32,"Warm",L603&gt;=0.33,"Hot")</f>
        <v>Mild</v>
      </c>
    </row>
    <row r="604" spans="1:13" x14ac:dyDescent="0.3">
      <c r="A604" s="6">
        <v>603</v>
      </c>
      <c r="B604" s="7">
        <v>40571</v>
      </c>
      <c r="C604" s="8">
        <v>1</v>
      </c>
      <c r="D604" s="8">
        <v>0</v>
      </c>
      <c r="E604" s="8">
        <v>1</v>
      </c>
      <c r="F604" s="8">
        <v>8</v>
      </c>
      <c r="G604" s="8" t="str" cm="1">
        <f t="array" ref="G604">_xlfn.IFS(F604&lt;4,"Night",F604&lt;=6,"Early Morning",F604&lt;11,"Morning",F604&lt;12,"Afternoon",F604&lt;=16,"Afternoon",F604&lt;=20,"Evening",F604&gt;=21,"Night")</f>
        <v>Morning</v>
      </c>
      <c r="H604" s="8" t="b">
        <v>0</v>
      </c>
      <c r="I604" s="8">
        <v>5</v>
      </c>
      <c r="J604" s="8">
        <v>2</v>
      </c>
      <c r="K604" s="9" t="str" cm="1">
        <f t="array" ref="K604">_xlfn.IFS(J604=1,"Clear",J604=2,"Mist/Cloudy",J604=3,"Rain",J604=4,"Heavy Rain/Thunderstorm")</f>
        <v>Mist/Cloudy</v>
      </c>
      <c r="L604" s="10">
        <v>0.16</v>
      </c>
      <c r="M604" s="42" t="str" cm="1">
        <f t="array" ref="M604">_xlfn.IFS(L604&lt;0.15,"Cold",L604&lt;0.25,"Mild",L604&lt;=0.32,"Warm",L604&gt;=0.33,"Hot")</f>
        <v>Mild</v>
      </c>
    </row>
    <row r="605" spans="1:13" x14ac:dyDescent="0.3">
      <c r="A605" s="6">
        <v>604</v>
      </c>
      <c r="B605" s="7">
        <v>40571</v>
      </c>
      <c r="C605" s="8">
        <v>1</v>
      </c>
      <c r="D605" s="8">
        <v>0</v>
      </c>
      <c r="E605" s="8">
        <v>1</v>
      </c>
      <c r="F605" s="8">
        <v>9</v>
      </c>
      <c r="G605" s="8" t="str" cm="1">
        <f t="array" ref="G605">_xlfn.IFS(F605&lt;4,"Night",F605&lt;=6,"Early Morning",F605&lt;11,"Morning",F605&lt;12,"Afternoon",F605&lt;=16,"Afternoon",F605&lt;=20,"Evening",F605&gt;=21,"Night")</f>
        <v>Morning</v>
      </c>
      <c r="H605" s="8" t="b">
        <v>0</v>
      </c>
      <c r="I605" s="8">
        <v>5</v>
      </c>
      <c r="J605" s="8">
        <v>3</v>
      </c>
      <c r="K605" s="9" t="str" cm="1">
        <f t="array" ref="K605">_xlfn.IFS(J605=1,"Clear",J605=2,"Mist/Cloudy",J605=3,"Rain",J605=4,"Heavy Rain/Thunderstorm")</f>
        <v>Rain</v>
      </c>
      <c r="L605" s="10">
        <v>0.18</v>
      </c>
      <c r="M605" s="42" t="str" cm="1">
        <f t="array" ref="M605">_xlfn.IFS(L605&lt;0.15,"Cold",L605&lt;0.25,"Mild",L605&lt;=0.32,"Warm",L605&gt;=0.33,"Hot")</f>
        <v>Mild</v>
      </c>
    </row>
    <row r="606" spans="1:13" x14ac:dyDescent="0.3">
      <c r="A606" s="6">
        <v>605</v>
      </c>
      <c r="B606" s="7">
        <v>40571</v>
      </c>
      <c r="C606" s="8">
        <v>1</v>
      </c>
      <c r="D606" s="8">
        <v>0</v>
      </c>
      <c r="E606" s="8">
        <v>1</v>
      </c>
      <c r="F606" s="8">
        <v>10</v>
      </c>
      <c r="G606" s="8" t="str" cm="1">
        <f t="array" ref="G606">_xlfn.IFS(F606&lt;4,"Night",F606&lt;=6,"Early Morning",F606&lt;11,"Morning",F606&lt;12,"Afternoon",F606&lt;=16,"Afternoon",F606&lt;=20,"Evening",F606&gt;=21,"Night")</f>
        <v>Morning</v>
      </c>
      <c r="H606" s="8" t="b">
        <v>0</v>
      </c>
      <c r="I606" s="8">
        <v>5</v>
      </c>
      <c r="J606" s="8">
        <v>3</v>
      </c>
      <c r="K606" s="9" t="str" cm="1">
        <f t="array" ref="K606">_xlfn.IFS(J606=1,"Clear",J606=2,"Mist/Cloudy",J606=3,"Rain",J606=4,"Heavy Rain/Thunderstorm")</f>
        <v>Rain</v>
      </c>
      <c r="L606" s="10">
        <v>0.18</v>
      </c>
      <c r="M606" s="42" t="str" cm="1">
        <f t="array" ref="M606">_xlfn.IFS(L606&lt;0.15,"Cold",L606&lt;0.25,"Mild",L606&lt;=0.32,"Warm",L606&gt;=0.33,"Hot")</f>
        <v>Mild</v>
      </c>
    </row>
    <row r="607" spans="1:13" x14ac:dyDescent="0.3">
      <c r="A607" s="6">
        <v>606</v>
      </c>
      <c r="B607" s="7">
        <v>40571</v>
      </c>
      <c r="C607" s="8">
        <v>1</v>
      </c>
      <c r="D607" s="8">
        <v>0</v>
      </c>
      <c r="E607" s="8">
        <v>1</v>
      </c>
      <c r="F607" s="8">
        <v>11</v>
      </c>
      <c r="G607" s="8" t="str" cm="1">
        <f t="array" ref="G607">_xlfn.IFS(F607&lt;4,"Night",F607&lt;=6,"Early Morning",F607&lt;11,"Morning",F607&lt;12,"Afternoon",F607&lt;=16,"Afternoon",F607&lt;=20,"Evening",F607&gt;=21,"Night")</f>
        <v>Afternoon</v>
      </c>
      <c r="H607" s="8" t="b">
        <v>0</v>
      </c>
      <c r="I607" s="8">
        <v>5</v>
      </c>
      <c r="J607" s="8">
        <v>3</v>
      </c>
      <c r="K607" s="9" t="str" cm="1">
        <f t="array" ref="K607">_xlfn.IFS(J607=1,"Clear",J607=2,"Mist/Cloudy",J607=3,"Rain",J607=4,"Heavy Rain/Thunderstorm")</f>
        <v>Rain</v>
      </c>
      <c r="L607" s="10">
        <v>0.18</v>
      </c>
      <c r="M607" s="42" t="str" cm="1">
        <f t="array" ref="M607">_xlfn.IFS(L607&lt;0.15,"Cold",L607&lt;0.25,"Mild",L607&lt;=0.32,"Warm",L607&gt;=0.33,"Hot")</f>
        <v>Mild</v>
      </c>
    </row>
    <row r="608" spans="1:13" x14ac:dyDescent="0.3">
      <c r="A608" s="6">
        <v>607</v>
      </c>
      <c r="B608" s="7">
        <v>40571</v>
      </c>
      <c r="C608" s="8">
        <v>1</v>
      </c>
      <c r="D608" s="8">
        <v>0</v>
      </c>
      <c r="E608" s="8">
        <v>1</v>
      </c>
      <c r="F608" s="8">
        <v>12</v>
      </c>
      <c r="G608" s="8" t="str" cm="1">
        <f t="array" ref="G608">_xlfn.IFS(F608&lt;4,"Night",F608&lt;=6,"Early Morning",F608&lt;11,"Morning",F608&lt;12,"Afternoon",F608&lt;=16,"Afternoon",F608&lt;=20,"Evening",F608&gt;=21,"Night")</f>
        <v>Afternoon</v>
      </c>
      <c r="H608" s="8" t="b">
        <v>0</v>
      </c>
      <c r="I608" s="8">
        <v>5</v>
      </c>
      <c r="J608" s="8">
        <v>3</v>
      </c>
      <c r="K608" s="9" t="str" cm="1">
        <f t="array" ref="K608">_xlfn.IFS(J608=1,"Clear",J608=2,"Mist/Cloudy",J608=3,"Rain",J608=4,"Heavy Rain/Thunderstorm")</f>
        <v>Rain</v>
      </c>
      <c r="L608" s="10">
        <v>0.18</v>
      </c>
      <c r="M608" s="42" t="str" cm="1">
        <f t="array" ref="M608">_xlfn.IFS(L608&lt;0.15,"Cold",L608&lt;0.25,"Mild",L608&lt;=0.32,"Warm",L608&gt;=0.33,"Hot")</f>
        <v>Mild</v>
      </c>
    </row>
    <row r="609" spans="1:13" x14ac:dyDescent="0.3">
      <c r="A609" s="6">
        <v>608</v>
      </c>
      <c r="B609" s="7">
        <v>40571</v>
      </c>
      <c r="C609" s="8">
        <v>1</v>
      </c>
      <c r="D609" s="8">
        <v>0</v>
      </c>
      <c r="E609" s="8">
        <v>1</v>
      </c>
      <c r="F609" s="8">
        <v>13</v>
      </c>
      <c r="G609" s="8" t="str" cm="1">
        <f t="array" ref="G609">_xlfn.IFS(F609&lt;4,"Night",F609&lt;=6,"Early Morning",F609&lt;11,"Morning",F609&lt;12,"Afternoon",F609&lt;=16,"Afternoon",F609&lt;=20,"Evening",F609&gt;=21,"Night")</f>
        <v>Afternoon</v>
      </c>
      <c r="H609" s="8" t="b">
        <v>0</v>
      </c>
      <c r="I609" s="8">
        <v>5</v>
      </c>
      <c r="J609" s="8">
        <v>3</v>
      </c>
      <c r="K609" s="9" t="str" cm="1">
        <f t="array" ref="K609">_xlfn.IFS(J609=1,"Clear",J609=2,"Mist/Cloudy",J609=3,"Rain",J609=4,"Heavy Rain/Thunderstorm")</f>
        <v>Rain</v>
      </c>
      <c r="L609" s="10">
        <v>0.18</v>
      </c>
      <c r="M609" s="42" t="str" cm="1">
        <f t="array" ref="M609">_xlfn.IFS(L609&lt;0.15,"Cold",L609&lt;0.25,"Mild",L609&lt;=0.32,"Warm",L609&gt;=0.33,"Hot")</f>
        <v>Mild</v>
      </c>
    </row>
    <row r="610" spans="1:13" x14ac:dyDescent="0.3">
      <c r="A610" s="6">
        <v>609</v>
      </c>
      <c r="B610" s="7">
        <v>40571</v>
      </c>
      <c r="C610" s="8">
        <v>1</v>
      </c>
      <c r="D610" s="8">
        <v>0</v>
      </c>
      <c r="E610" s="8">
        <v>1</v>
      </c>
      <c r="F610" s="8">
        <v>14</v>
      </c>
      <c r="G610" s="8" t="str" cm="1">
        <f t="array" ref="G610">_xlfn.IFS(F610&lt;4,"Night",F610&lt;=6,"Early Morning",F610&lt;11,"Morning",F610&lt;12,"Afternoon",F610&lt;=16,"Afternoon",F610&lt;=20,"Evening",F610&gt;=21,"Night")</f>
        <v>Afternoon</v>
      </c>
      <c r="H610" s="8" t="b">
        <v>0</v>
      </c>
      <c r="I610" s="8">
        <v>5</v>
      </c>
      <c r="J610" s="8">
        <v>3</v>
      </c>
      <c r="K610" s="9" t="str" cm="1">
        <f t="array" ref="K610">_xlfn.IFS(J610=1,"Clear",J610=2,"Mist/Cloudy",J610=3,"Rain",J610=4,"Heavy Rain/Thunderstorm")</f>
        <v>Rain</v>
      </c>
      <c r="L610" s="10">
        <v>0.22</v>
      </c>
      <c r="M610" s="42" t="str" cm="1">
        <f t="array" ref="M610">_xlfn.IFS(L610&lt;0.15,"Cold",L610&lt;0.25,"Mild",L610&lt;=0.32,"Warm",L610&gt;=0.33,"Hot")</f>
        <v>Mild</v>
      </c>
    </row>
    <row r="611" spans="1:13" x14ac:dyDescent="0.3">
      <c r="A611" s="11">
        <v>610</v>
      </c>
      <c r="B611" s="12">
        <v>40571</v>
      </c>
      <c r="C611" s="13">
        <v>1</v>
      </c>
      <c r="D611" s="13">
        <v>0</v>
      </c>
      <c r="E611" s="13">
        <v>1</v>
      </c>
      <c r="F611" s="13">
        <v>15</v>
      </c>
      <c r="G611" s="13" t="str" cm="1">
        <f t="array" ref="G611">_xlfn.IFS(F611&lt;4,"Night",F611&lt;=6,"Early Morning",F611&lt;11,"Morning",F611&lt;12,"Afternoon",F611&lt;=16,"Afternoon",F611&lt;=20,"Evening",F611&gt;=21,"Night")</f>
        <v>Afternoon</v>
      </c>
      <c r="H611" s="13" t="b">
        <v>0</v>
      </c>
      <c r="I611" s="13">
        <v>5</v>
      </c>
      <c r="J611" s="13">
        <v>2</v>
      </c>
      <c r="K611" s="14" t="str" cm="1">
        <f t="array" ref="K611">_xlfn.IFS(J611=1,"Clear",J611=2,"Mist/Cloudy",J611=3,"Rain",J611=4,"Heavy Rain/Thunderstorm")</f>
        <v>Mist/Cloudy</v>
      </c>
      <c r="L611" s="15">
        <v>0.2</v>
      </c>
      <c r="M611" s="44" t="str" cm="1">
        <f t="array" ref="M611">_xlfn.IFS(L611&lt;0.15,"Cold",L611&lt;0.25,"Mild",L611&lt;=0.32,"Warm",L611&gt;=0.33,"Hot")</f>
        <v>Mild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C3B2-B47E-4601-B0BB-E59FDB4BB543}">
  <dimension ref="A1:E47"/>
  <sheetViews>
    <sheetView topLeftCell="E9" workbookViewId="0">
      <selection activeCell="U25" sqref="U25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16" customWidth="1"/>
    <col min="4" max="4" width="30.109375" customWidth="1"/>
    <col min="5" max="5" width="30.21875" customWidth="1"/>
  </cols>
  <sheetData>
    <row r="1" spans="1:5" x14ac:dyDescent="0.3">
      <c r="A1" t="s">
        <v>1</v>
      </c>
      <c r="B1" t="s">
        <v>18</v>
      </c>
      <c r="C1" t="s">
        <v>49</v>
      </c>
      <c r="D1" t="s">
        <v>50</v>
      </c>
      <c r="E1" t="s">
        <v>51</v>
      </c>
    </row>
    <row r="2" spans="1:5" x14ac:dyDescent="0.3">
      <c r="A2" s="50">
        <v>40544</v>
      </c>
      <c r="B2" s="52">
        <v>0.34416666666666673</v>
      </c>
    </row>
    <row r="3" spans="1:5" x14ac:dyDescent="0.3">
      <c r="A3" s="50">
        <v>40545</v>
      </c>
      <c r="B3" s="52">
        <v>0.36347826086956525</v>
      </c>
    </row>
    <row r="4" spans="1:5" x14ac:dyDescent="0.3">
      <c r="A4" s="50">
        <v>40546</v>
      </c>
      <c r="B4" s="52">
        <v>0.19636363636363641</v>
      </c>
    </row>
    <row r="5" spans="1:5" x14ac:dyDescent="0.3">
      <c r="A5" s="50">
        <v>40547</v>
      </c>
      <c r="B5" s="52">
        <v>0.2</v>
      </c>
    </row>
    <row r="6" spans="1:5" x14ac:dyDescent="0.3">
      <c r="A6" s="50">
        <v>40548</v>
      </c>
      <c r="B6" s="52">
        <v>0.22695652173913047</v>
      </c>
    </row>
    <row r="7" spans="1:5" x14ac:dyDescent="0.3">
      <c r="A7" s="50">
        <v>40549</v>
      </c>
      <c r="B7" s="52">
        <v>0.20434782608695656</v>
      </c>
    </row>
    <row r="8" spans="1:5" x14ac:dyDescent="0.3">
      <c r="A8" s="50">
        <v>40550</v>
      </c>
      <c r="B8" s="52">
        <v>0.19652173913043489</v>
      </c>
    </row>
    <row r="9" spans="1:5" x14ac:dyDescent="0.3">
      <c r="A9" s="50">
        <v>40551</v>
      </c>
      <c r="B9" s="52">
        <v>0.16500000000000006</v>
      </c>
    </row>
    <row r="10" spans="1:5" x14ac:dyDescent="0.3">
      <c r="A10" s="50">
        <v>40552</v>
      </c>
      <c r="B10" s="52">
        <v>0.13833333333333339</v>
      </c>
    </row>
    <row r="11" spans="1:5" x14ac:dyDescent="0.3">
      <c r="A11" s="50">
        <v>40553</v>
      </c>
      <c r="B11" s="52">
        <v>0.1508333333333334</v>
      </c>
    </row>
    <row r="12" spans="1:5" x14ac:dyDescent="0.3">
      <c r="A12" s="50">
        <v>40554</v>
      </c>
      <c r="B12" s="52">
        <v>0.16909090909090915</v>
      </c>
    </row>
    <row r="13" spans="1:5" x14ac:dyDescent="0.3">
      <c r="A13" s="50">
        <v>40555</v>
      </c>
      <c r="B13" s="52">
        <v>0.17272727272727281</v>
      </c>
    </row>
    <row r="14" spans="1:5" x14ac:dyDescent="0.3">
      <c r="A14" s="50">
        <v>40556</v>
      </c>
      <c r="B14" s="52">
        <v>0.16500000000000006</v>
      </c>
    </row>
    <row r="15" spans="1:5" x14ac:dyDescent="0.3">
      <c r="A15" s="50">
        <v>40557</v>
      </c>
      <c r="B15" s="52">
        <v>0.16086956521739137</v>
      </c>
    </row>
    <row r="16" spans="1:5" x14ac:dyDescent="0.3">
      <c r="A16" s="50">
        <v>40558</v>
      </c>
      <c r="B16" s="52">
        <v>0.23333333333333331</v>
      </c>
    </row>
    <row r="17" spans="1:5" x14ac:dyDescent="0.3">
      <c r="A17" s="50">
        <v>40559</v>
      </c>
      <c r="B17" s="52">
        <v>0.2316666666666666</v>
      </c>
    </row>
    <row r="18" spans="1:5" x14ac:dyDescent="0.3">
      <c r="A18" s="50">
        <v>40560</v>
      </c>
      <c r="B18" s="52">
        <v>0.1758333333333334</v>
      </c>
    </row>
    <row r="19" spans="1:5" x14ac:dyDescent="0.3">
      <c r="A19" s="50">
        <v>40561</v>
      </c>
      <c r="B19" s="52">
        <v>0.2166666666666667</v>
      </c>
    </row>
    <row r="20" spans="1:5" x14ac:dyDescent="0.3">
      <c r="A20" s="50">
        <v>40562</v>
      </c>
      <c r="B20" s="52">
        <v>0.29217391304347823</v>
      </c>
    </row>
    <row r="21" spans="1:5" x14ac:dyDescent="0.3">
      <c r="A21" s="50">
        <v>40563</v>
      </c>
      <c r="B21" s="52">
        <v>0.2616666666666666</v>
      </c>
    </row>
    <row r="22" spans="1:5" x14ac:dyDescent="0.3">
      <c r="A22" s="50">
        <v>40564</v>
      </c>
      <c r="B22" s="52">
        <v>0.17750000000000007</v>
      </c>
    </row>
    <row r="23" spans="1:5" x14ac:dyDescent="0.3">
      <c r="A23" s="50">
        <v>40565</v>
      </c>
      <c r="B23" s="52">
        <v>5.913043478260871E-2</v>
      </c>
    </row>
    <row r="24" spans="1:5" x14ac:dyDescent="0.3">
      <c r="A24" s="50">
        <v>40566</v>
      </c>
      <c r="B24" s="52">
        <v>9.6521739130434797E-2</v>
      </c>
    </row>
    <row r="25" spans="1:5" x14ac:dyDescent="0.3">
      <c r="A25" s="50">
        <v>40567</v>
      </c>
      <c r="B25" s="52">
        <v>9.7391304347826113E-2</v>
      </c>
    </row>
    <row r="26" spans="1:5" x14ac:dyDescent="0.3">
      <c r="A26" s="50">
        <v>40568</v>
      </c>
      <c r="B26" s="52">
        <v>0.22347826086956521</v>
      </c>
    </row>
    <row r="27" spans="1:5" x14ac:dyDescent="0.3">
      <c r="A27" s="50">
        <v>40569</v>
      </c>
      <c r="B27" s="52">
        <v>0.21750000000000005</v>
      </c>
    </row>
    <row r="28" spans="1:5" x14ac:dyDescent="0.3">
      <c r="A28" s="50">
        <v>40570</v>
      </c>
      <c r="B28" s="52">
        <v>0.19499999999999998</v>
      </c>
    </row>
    <row r="29" spans="1:5" x14ac:dyDescent="0.3">
      <c r="A29" s="50">
        <v>40571</v>
      </c>
      <c r="B29" s="52">
        <v>0.18666666666666668</v>
      </c>
      <c r="C29" s="52">
        <v>0.18666666666666668</v>
      </c>
      <c r="D29" s="52">
        <v>0.18666666666666668</v>
      </c>
      <c r="E29" s="52">
        <v>0.18666666666666668</v>
      </c>
    </row>
    <row r="30" spans="1:5" x14ac:dyDescent="0.3">
      <c r="A30" s="50">
        <v>40572</v>
      </c>
      <c r="C30" s="52">
        <f>_xlfn.FORECAST.ETS(A30,$B$2:$B$29,$A$2:$A$29,1,1)</f>
        <v>0.18582042461639708</v>
      </c>
      <c r="D30" s="52">
        <f>C30-_xlfn.FORECAST.ETS.CONFINT(A30,$B$2:$B$29,$A$2:$A$29,0.95,1,1)</f>
        <v>7.4293565632301828E-2</v>
      </c>
      <c r="E30" s="52">
        <f>C30+_xlfn.FORECAST.ETS.CONFINT(A30,$B$2:$B$29,$A$2:$A$29,0.95,1,1)</f>
        <v>0.29734728360049234</v>
      </c>
    </row>
    <row r="31" spans="1:5" x14ac:dyDescent="0.3">
      <c r="A31" s="50">
        <v>40573</v>
      </c>
      <c r="C31" s="52">
        <f>_xlfn.FORECAST.ETS(A31,$B$2:$B$29,$A$2:$A$29,1,1)</f>
        <v>0.18286707003909897</v>
      </c>
      <c r="D31" s="52">
        <f>C31-_xlfn.FORECAST.ETS.CONFINT(A31,$B$2:$B$29,$A$2:$A$29,0.95,1,1)</f>
        <v>4.3391551656414312E-2</v>
      </c>
      <c r="E31" s="52">
        <f>C31+_xlfn.FORECAST.ETS.CONFINT(A31,$B$2:$B$29,$A$2:$A$29,0.95,1,1)</f>
        <v>0.32234258842178365</v>
      </c>
    </row>
    <row r="32" spans="1:5" x14ac:dyDescent="0.3">
      <c r="A32" s="50">
        <v>40574</v>
      </c>
      <c r="C32" s="52">
        <f>_xlfn.FORECAST.ETS(A32,$B$2:$B$29,$A$2:$A$29,1,1)</f>
        <v>0.17991371546180088</v>
      </c>
      <c r="D32" s="52">
        <f>C32-_xlfn.FORECAST.ETS.CONFINT(A32,$B$2:$B$29,$A$2:$A$29,0.95,1,1)</f>
        <v>1.7164537717297174E-2</v>
      </c>
      <c r="E32" s="52">
        <f>C32+_xlfn.FORECAST.ETS.CONFINT(A32,$B$2:$B$29,$A$2:$A$29,0.95,1,1)</f>
        <v>0.34266289320630461</v>
      </c>
    </row>
    <row r="33" spans="1:5" x14ac:dyDescent="0.3">
      <c r="A33" s="50">
        <v>40575</v>
      </c>
      <c r="C33" s="52">
        <f>_xlfn.FORECAST.ETS(A33,$B$2:$B$29,$A$2:$A$29,1,1)</f>
        <v>0.17696036088450279</v>
      </c>
      <c r="D33" s="52">
        <f>C33-_xlfn.FORECAST.ETS.CONFINT(A33,$B$2:$B$29,$A$2:$A$29,0.95,1,1)</f>
        <v>-6.1786274181499234E-3</v>
      </c>
      <c r="E33" s="52">
        <f>C33+_xlfn.FORECAST.ETS.CONFINT(A33,$B$2:$B$29,$A$2:$A$29,0.95,1,1)</f>
        <v>0.36009934918715547</v>
      </c>
    </row>
    <row r="34" spans="1:5" x14ac:dyDescent="0.3">
      <c r="A34" s="50">
        <v>40576</v>
      </c>
      <c r="C34" s="52">
        <f>_xlfn.FORECAST.ETS(A34,$B$2:$B$29,$A$2:$A$29,1,1)</f>
        <v>0.17400700630720467</v>
      </c>
      <c r="D34" s="52">
        <f>C34-_xlfn.FORECAST.ETS.CONFINT(A34,$B$2:$B$29,$A$2:$A$29,0.95,1,1)</f>
        <v>-2.7515269495299366E-2</v>
      </c>
      <c r="E34" s="52">
        <f>C34+_xlfn.FORECAST.ETS.CONFINT(A34,$B$2:$B$29,$A$2:$A$29,0.95,1,1)</f>
        <v>0.37552928210970871</v>
      </c>
    </row>
    <row r="35" spans="1:5" x14ac:dyDescent="0.3">
      <c r="A35" s="50">
        <v>40577</v>
      </c>
      <c r="C35" s="52">
        <f>_xlfn.FORECAST.ETS(A35,$B$2:$B$29,$A$2:$A$29,1,1)</f>
        <v>0.17105365172990658</v>
      </c>
      <c r="D35" s="52">
        <f>C35-_xlfn.FORECAST.ETS.CONFINT(A35,$B$2:$B$29,$A$2:$A$29,0.95,1,1)</f>
        <v>-4.735270247549786E-2</v>
      </c>
      <c r="E35" s="52">
        <f>C35+_xlfn.FORECAST.ETS.CONFINT(A35,$B$2:$B$29,$A$2:$A$29,0.95,1,1)</f>
        <v>0.38946000593531105</v>
      </c>
    </row>
    <row r="36" spans="1:5" x14ac:dyDescent="0.3">
      <c r="A36" s="50">
        <v>40578</v>
      </c>
      <c r="C36" s="52">
        <f>_xlfn.FORECAST.ETS(A36,$B$2:$B$29,$A$2:$A$29,1,1)</f>
        <v>0.16810029715260846</v>
      </c>
      <c r="D36" s="52">
        <f>C36-_xlfn.FORECAST.ETS.CONFINT(A36,$B$2:$B$29,$A$2:$A$29,0.95,1,1)</f>
        <v>-6.6015566579493173E-2</v>
      </c>
      <c r="E36" s="52">
        <f>C36+_xlfn.FORECAST.ETS.CONFINT(A36,$B$2:$B$29,$A$2:$A$29,0.95,1,1)</f>
        <v>0.40221616088471013</v>
      </c>
    </row>
    <row r="37" spans="1:5" x14ac:dyDescent="0.3">
      <c r="A37" s="50">
        <v>40579</v>
      </c>
      <c r="C37" s="52">
        <f>_xlfn.FORECAST.ETS(A37,$B$2:$B$29,$A$2:$A$29,1,1)</f>
        <v>0.16514694257531037</v>
      </c>
      <c r="D37" s="52">
        <f>C37-_xlfn.FORECAST.ETS.CONFINT(A37,$B$2:$B$29,$A$2:$A$29,0.95,1,1)</f>
        <v>-8.3726436479773042E-2</v>
      </c>
      <c r="E37" s="52">
        <f>C37+_xlfn.FORECAST.ETS.CONFINT(A37,$B$2:$B$29,$A$2:$A$29,0.95,1,1)</f>
        <v>0.41402032163039382</v>
      </c>
    </row>
    <row r="38" spans="1:5" x14ac:dyDescent="0.3">
      <c r="A38" s="50">
        <v>40580</v>
      </c>
      <c r="C38" s="52">
        <f>_xlfn.FORECAST.ETS(A38,$B$2:$B$29,$A$2:$A$29,1,1)</f>
        <v>0.16219358799801228</v>
      </c>
      <c r="D38" s="52">
        <f>C38-_xlfn.FORECAST.ETS.CONFINT(A38,$B$2:$B$29,$A$2:$A$29,0.95,1,1)</f>
        <v>-0.1006457619623369</v>
      </c>
      <c r="E38" s="52">
        <f>C38+_xlfn.FORECAST.ETS.CONFINT(A38,$B$2:$B$29,$A$2:$A$29,0.95,1,1)</f>
        <v>0.4250329379583615</v>
      </c>
    </row>
    <row r="39" spans="1:5" x14ac:dyDescent="0.3">
      <c r="A39" s="50">
        <v>40581</v>
      </c>
      <c r="C39" s="52">
        <f>_xlfn.FORECAST.ETS(A39,$B$2:$B$29,$A$2:$A$29,1,1)</f>
        <v>0.15924023342071417</v>
      </c>
      <c r="D39" s="52">
        <f>C39-_xlfn.FORECAST.ETS.CONFINT(A39,$B$2:$B$29,$A$2:$A$29,0.95,1,1)</f>
        <v>-0.11689371556665598</v>
      </c>
      <c r="E39" s="52">
        <f>C39+_xlfn.FORECAST.ETS.CONFINT(A39,$B$2:$B$29,$A$2:$A$29,0.95,1,1)</f>
        <v>0.43537418240808434</v>
      </c>
    </row>
    <row r="40" spans="1:5" x14ac:dyDescent="0.3">
      <c r="A40" s="50">
        <v>40582</v>
      </c>
      <c r="C40" s="52">
        <f>_xlfn.FORECAST.ETS(A40,$B$2:$B$29,$A$2:$A$29,1,1)</f>
        <v>0.15628687884341608</v>
      </c>
      <c r="D40" s="52">
        <f>C40-_xlfn.FORECAST.ETS.CONFINT(A40,$B$2:$B$29,$A$2:$A$29,0.95,1,1)</f>
        <v>-0.13256305687774289</v>
      </c>
      <c r="E40" s="52">
        <f>C40+_xlfn.FORECAST.ETS.CONFINT(A40,$B$2:$B$29,$A$2:$A$29,0.95,1,1)</f>
        <v>0.44513681456457505</v>
      </c>
    </row>
    <row r="41" spans="1:5" x14ac:dyDescent="0.3">
      <c r="A41" s="50">
        <v>40583</v>
      </c>
      <c r="C41" s="52">
        <f>_xlfn.FORECAST.ETS(A41,$B$2:$B$29,$A$2:$A$29,1,1)</f>
        <v>0.15333352426611796</v>
      </c>
      <c r="D41" s="52">
        <f>C41-_xlfn.FORECAST.ETS.CONFINT(A41,$B$2:$B$29,$A$2:$A$29,0.95,1,1)</f>
        <v>-0.14772715319331686</v>
      </c>
      <c r="E41" s="52">
        <f>C41+_xlfn.FORECAST.ETS.CONFINT(A41,$B$2:$B$29,$A$2:$A$29,0.95,1,1)</f>
        <v>0.45439420172555278</v>
      </c>
    </row>
    <row r="42" spans="1:5" x14ac:dyDescent="0.3">
      <c r="A42" s="50">
        <v>40584</v>
      </c>
      <c r="C42" s="52">
        <f>_xlfn.FORECAST.ETS(A42,$B$2:$B$29,$A$2:$A$29,1,1)</f>
        <v>0.15038016968881987</v>
      </c>
      <c r="D42" s="52">
        <f>C42-_xlfn.FORECAST.ETS.CONFINT(A42,$B$2:$B$29,$A$2:$A$29,0.95,1,1)</f>
        <v>-0.16244521466879372</v>
      </c>
      <c r="E42" s="52">
        <f>C42+_xlfn.FORECAST.ETS.CONFINT(A42,$B$2:$B$29,$A$2:$A$29,0.95,1,1)</f>
        <v>0.46320555404643349</v>
      </c>
    </row>
    <row r="43" spans="1:5" x14ac:dyDescent="0.3">
      <c r="A43" s="50">
        <v>40585</v>
      </c>
      <c r="C43" s="52">
        <f>_xlfn.FORECAST.ETS(A43,$B$2:$B$29,$A$2:$A$29,1,1)</f>
        <v>0.14742681511152178</v>
      </c>
      <c r="D43" s="52">
        <f>C43-_xlfn.FORECAST.ETS.CONFINT(A43,$B$2:$B$29,$A$2:$A$29,0.95,1,1)</f>
        <v>-0.17676584211726654</v>
      </c>
      <c r="E43" s="52">
        <f>C43+_xlfn.FORECAST.ETS.CONFINT(A43,$B$2:$B$29,$A$2:$A$29,0.95,1,1)</f>
        <v>0.4716194723403101</v>
      </c>
    </row>
    <row r="44" spans="1:5" x14ac:dyDescent="0.3">
      <c r="A44" s="50">
        <v>40586</v>
      </c>
      <c r="C44" s="52">
        <f>_xlfn.FORECAST.ETS(A44,$B$2:$B$29,$A$2:$A$29,1,1)</f>
        <v>0.14447346053422366</v>
      </c>
      <c r="D44" s="52">
        <f>C44-_xlfn.FORECAST.ETS.CONFINT(A44,$B$2:$B$29,$A$2:$A$29,0.95,1,1)</f>
        <v>-0.19072950797371824</v>
      </c>
      <c r="E44" s="52">
        <f>C44+_xlfn.FORECAST.ETS.CONFINT(A44,$B$2:$B$29,$A$2:$A$29,0.95,1,1)</f>
        <v>0.47967642904216556</v>
      </c>
    </row>
    <row r="45" spans="1:5" x14ac:dyDescent="0.3">
      <c r="A45" s="50">
        <v>40587</v>
      </c>
      <c r="C45" s="52">
        <f>_xlfn.FORECAST.ETS(A45,$B$2:$B$29,$A$2:$A$29,1,1)</f>
        <v>0.14152010595692557</v>
      </c>
      <c r="D45" s="52">
        <f>C45-_xlfn.FORECAST.ETS.CONFINT(A45,$B$2:$B$29,$A$2:$A$29,0.95,1,1)</f>
        <v>-0.20437033805879198</v>
      </c>
      <c r="E45" s="52">
        <f>C45+_xlfn.FORECAST.ETS.CONFINT(A45,$B$2:$B$29,$A$2:$A$29,0.95,1,1)</f>
        <v>0.4874105499726431</v>
      </c>
    </row>
    <row r="46" spans="1:5" x14ac:dyDescent="0.3">
      <c r="A46" s="50">
        <v>40588</v>
      </c>
      <c r="C46" s="52">
        <f>_xlfn.FORECAST.ETS(A46,$B$2:$B$29,$A$2:$A$29,1,1)</f>
        <v>0.13856675137962748</v>
      </c>
      <c r="D46" s="52">
        <f>C46-_xlfn.FORECAST.ETS.CONFINT(A46,$B$2:$B$29,$A$2:$A$29,0.95,1,1)</f>
        <v>-0.21771742083702456</v>
      </c>
      <c r="E46" s="52">
        <f>C46+_xlfn.FORECAST.ETS.CONFINT(A46,$B$2:$B$29,$A$2:$A$29,0.95,1,1)</f>
        <v>0.49485092359627952</v>
      </c>
    </row>
    <row r="47" spans="1:5" x14ac:dyDescent="0.3">
      <c r="A47" s="50">
        <v>40589</v>
      </c>
      <c r="C47" s="52">
        <f>_xlfn.FORECAST.ETS(A47,$B$2:$B$29,$A$2:$A$29,1,1)</f>
        <v>0.13561339680232937</v>
      </c>
      <c r="D47" s="52">
        <f>C47-_xlfn.FORECAST.ETS.CONFINT(A47,$B$2:$B$29,$A$2:$A$29,0.95,1,1)</f>
        <v>-0.23079578881555479</v>
      </c>
      <c r="E47" s="52">
        <f>C47+_xlfn.FORECAST.ETS.CONFINT(A47,$B$2:$B$29,$A$2:$A$29,0.95,1,1)</f>
        <v>0.50202258242021358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9417-2E0D-496E-93E3-1A4B6FC00644}">
  <sheetPr>
    <tabColor theme="4"/>
  </sheetPr>
  <dimension ref="A1:AC129"/>
  <sheetViews>
    <sheetView tabSelected="1" topLeftCell="A107" workbookViewId="0">
      <selection activeCell="I112" sqref="I112"/>
    </sheetView>
  </sheetViews>
  <sheetFormatPr defaultRowHeight="13.8" x14ac:dyDescent="0.3"/>
  <cols>
    <col min="1" max="1" width="22.5546875" style="17" bestFit="1" customWidth="1"/>
    <col min="2" max="2" width="19.88671875" style="17" bestFit="1" customWidth="1"/>
    <col min="3" max="28" width="15.5546875" style="17" bestFit="1" customWidth="1"/>
    <col min="29" max="29" width="10.77734375" style="17" bestFit="1" customWidth="1"/>
    <col min="30" max="16384" width="8.88671875" style="17"/>
  </cols>
  <sheetData>
    <row r="1" spans="1:12" ht="14.4" thickBot="1" x14ac:dyDescent="0.35"/>
    <row r="2" spans="1:12" ht="21.6" thickBot="1" x14ac:dyDescent="0.45">
      <c r="A2" s="40" t="s">
        <v>42</v>
      </c>
      <c r="B2" s="41"/>
      <c r="C2" s="41"/>
      <c r="D2" s="41"/>
      <c r="E2" s="41"/>
      <c r="F2" s="41"/>
      <c r="H2" s="39" t="s">
        <v>41</v>
      </c>
      <c r="I2" s="39"/>
      <c r="K2" s="38" t="s">
        <v>40</v>
      </c>
      <c r="L2" s="37" t="s">
        <v>39</v>
      </c>
    </row>
    <row r="3" spans="1:12" x14ac:dyDescent="0.3">
      <c r="A3" s="34" t="s">
        <v>38</v>
      </c>
      <c r="B3" s="34" t="s">
        <v>16</v>
      </c>
      <c r="C3" s="25"/>
      <c r="D3" s="25"/>
      <c r="E3" s="25"/>
      <c r="F3" s="25"/>
      <c r="H3" s="34" t="s">
        <v>24</v>
      </c>
      <c r="I3" s="25" t="s">
        <v>37</v>
      </c>
      <c r="K3" s="36" t="s">
        <v>36</v>
      </c>
      <c r="L3" s="35">
        <f>+COUNT([1]Dataset_1!A2:A611)</f>
        <v>610</v>
      </c>
    </row>
    <row r="4" spans="1:12" x14ac:dyDescent="0.3">
      <c r="A4" s="34" t="s">
        <v>25</v>
      </c>
      <c r="B4" s="25">
        <v>1</v>
      </c>
      <c r="C4" s="25">
        <v>2</v>
      </c>
      <c r="D4" s="25">
        <v>3</v>
      </c>
      <c r="E4" s="25">
        <v>4</v>
      </c>
      <c r="F4" s="25" t="s">
        <v>19</v>
      </c>
      <c r="H4" s="25">
        <v>0</v>
      </c>
      <c r="I4" s="27">
        <v>0.20702127659574465</v>
      </c>
      <c r="K4" s="33" t="s">
        <v>35</v>
      </c>
      <c r="L4" s="30">
        <f>COUNT([1]Dataset_1!I2:I611)</f>
        <v>610</v>
      </c>
    </row>
    <row r="5" spans="1:12" x14ac:dyDescent="0.3">
      <c r="A5" s="25">
        <v>0</v>
      </c>
      <c r="B5" s="25">
        <v>70</v>
      </c>
      <c r="C5" s="25">
        <v>19</v>
      </c>
      <c r="D5" s="25">
        <v>5</v>
      </c>
      <c r="E5" s="25"/>
      <c r="F5" s="25">
        <v>94</v>
      </c>
      <c r="H5" s="25">
        <v>1</v>
      </c>
      <c r="I5" s="27">
        <v>0.15483870967741931</v>
      </c>
      <c r="K5" s="33" t="s">
        <v>34</v>
      </c>
      <c r="L5" s="32">
        <f>AVERAGE([1]Dataset_1!M2:M611)</f>
        <v>0.19688524590163942</v>
      </c>
    </row>
    <row r="6" spans="1:12" x14ac:dyDescent="0.3">
      <c r="A6" s="25">
        <v>1</v>
      </c>
      <c r="B6" s="25">
        <v>57</v>
      </c>
      <c r="C6" s="25">
        <v>31</v>
      </c>
      <c r="D6" s="25">
        <v>5</v>
      </c>
      <c r="E6" s="25"/>
      <c r="F6" s="25">
        <v>93</v>
      </c>
      <c r="H6" s="25">
        <v>2</v>
      </c>
      <c r="I6" s="27">
        <v>0.20075000000000012</v>
      </c>
      <c r="K6" s="33" t="s">
        <v>33</v>
      </c>
      <c r="L6" s="32">
        <f>MAX([1]Dataset_1!M2:M611)</f>
        <v>0.46</v>
      </c>
    </row>
    <row r="7" spans="1:12" x14ac:dyDescent="0.3">
      <c r="A7" s="25">
        <v>2</v>
      </c>
      <c r="B7" s="25">
        <v>33</v>
      </c>
      <c r="C7" s="25">
        <v>41</v>
      </c>
      <c r="D7" s="25">
        <v>6</v>
      </c>
      <c r="E7" s="25"/>
      <c r="F7" s="25">
        <v>80</v>
      </c>
      <c r="H7" s="25">
        <v>3</v>
      </c>
      <c r="I7" s="27">
        <v>0.22880952380952371</v>
      </c>
      <c r="K7" s="33" t="s">
        <v>32</v>
      </c>
      <c r="L7" s="32">
        <f>MIN([1]Dataset_1!M2:M611)</f>
        <v>0.02</v>
      </c>
    </row>
    <row r="8" spans="1:12" x14ac:dyDescent="0.3">
      <c r="A8" s="25">
        <v>3</v>
      </c>
      <c r="B8" s="25">
        <v>54</v>
      </c>
      <c r="C8" s="25">
        <v>13</v>
      </c>
      <c r="D8" s="25">
        <v>16</v>
      </c>
      <c r="E8" s="25">
        <v>1</v>
      </c>
      <c r="F8" s="25">
        <v>84</v>
      </c>
      <c r="H8" s="25">
        <v>4</v>
      </c>
      <c r="I8" s="27">
        <v>0.20886075949367089</v>
      </c>
      <c r="K8" s="31" t="s">
        <v>31</v>
      </c>
      <c r="L8" s="30">
        <f>MAX([1]Dataset_1!I2:I611)</f>
        <v>6</v>
      </c>
    </row>
    <row r="9" spans="1:12" x14ac:dyDescent="0.3">
      <c r="A9" s="25">
        <v>4</v>
      </c>
      <c r="B9" s="25">
        <v>56</v>
      </c>
      <c r="C9" s="25">
        <v>23</v>
      </c>
      <c r="D9" s="25"/>
      <c r="E9" s="25"/>
      <c r="F9" s="25">
        <v>79</v>
      </c>
      <c r="H9" s="25">
        <v>5</v>
      </c>
      <c r="I9" s="27">
        <v>0.17976470588235285</v>
      </c>
      <c r="K9" s="31" t="s">
        <v>30</v>
      </c>
      <c r="L9" s="30">
        <f>MIN([1]Dataset_1!I2:I611)</f>
        <v>0</v>
      </c>
    </row>
    <row r="10" spans="1:12" ht="14.4" thickBot="1" x14ac:dyDescent="0.35">
      <c r="A10" s="25">
        <v>5</v>
      </c>
      <c r="B10" s="25">
        <v>48</v>
      </c>
      <c r="C10" s="25">
        <v>28</v>
      </c>
      <c r="D10" s="25">
        <v>9</v>
      </c>
      <c r="E10" s="25"/>
      <c r="F10" s="25">
        <v>85</v>
      </c>
      <c r="H10" s="25">
        <v>6</v>
      </c>
      <c r="I10" s="27">
        <v>0.2018947368421051</v>
      </c>
      <c r="K10" s="29" t="s">
        <v>29</v>
      </c>
      <c r="L10" s="28">
        <f>AVERAGE([1]Dataset_1!I2:I611)</f>
        <v>2.9770491803278687</v>
      </c>
    </row>
    <row r="11" spans="1:12" x14ac:dyDescent="0.3">
      <c r="A11" s="25">
        <v>6</v>
      </c>
      <c r="B11" s="25">
        <v>50</v>
      </c>
      <c r="C11" s="25">
        <v>39</v>
      </c>
      <c r="D11" s="25">
        <v>6</v>
      </c>
      <c r="E11" s="25"/>
      <c r="F11" s="25">
        <v>95</v>
      </c>
      <c r="H11" s="25" t="s">
        <v>19</v>
      </c>
      <c r="I11" s="27">
        <v>0.19688524590163936</v>
      </c>
      <c r="J11" s="26"/>
    </row>
    <row r="12" spans="1:12" x14ac:dyDescent="0.3">
      <c r="A12" s="25" t="s">
        <v>19</v>
      </c>
      <c r="B12" s="25">
        <v>368</v>
      </c>
      <c r="C12" s="25">
        <v>194</v>
      </c>
      <c r="D12" s="25">
        <v>47</v>
      </c>
      <c r="E12" s="25">
        <v>1</v>
      </c>
      <c r="F12" s="25">
        <v>610</v>
      </c>
    </row>
    <row r="21" spans="8:13" x14ac:dyDescent="0.3">
      <c r="H21" s="24" t="s">
        <v>28</v>
      </c>
      <c r="I21" s="24"/>
      <c r="J21" s="24"/>
      <c r="K21" s="24"/>
      <c r="L21" s="24"/>
      <c r="M21" s="24"/>
    </row>
    <row r="22" spans="8:13" x14ac:dyDescent="0.3">
      <c r="H22" s="23"/>
      <c r="I22" s="23"/>
      <c r="J22" s="23"/>
      <c r="K22" s="23"/>
      <c r="L22" s="23"/>
      <c r="M22" s="23"/>
    </row>
    <row r="23" spans="8:13" x14ac:dyDescent="0.3">
      <c r="H23" s="22" t="s">
        <v>27</v>
      </c>
      <c r="I23" s="22" t="s">
        <v>26</v>
      </c>
      <c r="J23" s="21"/>
      <c r="K23" s="21"/>
      <c r="L23" s="21"/>
      <c r="M23" s="21"/>
    </row>
    <row r="24" spans="8:13" x14ac:dyDescent="0.3">
      <c r="H24" s="22" t="s">
        <v>25</v>
      </c>
      <c r="I24" s="21">
        <v>1</v>
      </c>
      <c r="J24" s="21">
        <v>2</v>
      </c>
      <c r="K24" s="21">
        <v>3</v>
      </c>
      <c r="L24" s="21">
        <v>4</v>
      </c>
      <c r="M24" s="21" t="s">
        <v>19</v>
      </c>
    </row>
    <row r="25" spans="8:13" x14ac:dyDescent="0.3">
      <c r="H25" s="21">
        <v>0</v>
      </c>
      <c r="I25" s="21">
        <v>70</v>
      </c>
      <c r="J25" s="21">
        <v>19</v>
      </c>
      <c r="K25" s="21">
        <v>5</v>
      </c>
      <c r="L25" s="21"/>
      <c r="M25" s="21">
        <v>94</v>
      </c>
    </row>
    <row r="26" spans="8:13" x14ac:dyDescent="0.3">
      <c r="H26" s="21">
        <v>1</v>
      </c>
      <c r="I26" s="21">
        <v>57</v>
      </c>
      <c r="J26" s="21">
        <v>31</v>
      </c>
      <c r="K26" s="21">
        <v>5</v>
      </c>
      <c r="L26" s="21"/>
      <c r="M26" s="21">
        <v>93</v>
      </c>
    </row>
    <row r="27" spans="8:13" x14ac:dyDescent="0.3">
      <c r="H27" s="21">
        <v>2</v>
      </c>
      <c r="I27" s="21">
        <v>33</v>
      </c>
      <c r="J27" s="21">
        <v>41</v>
      </c>
      <c r="K27" s="21">
        <v>6</v>
      </c>
      <c r="L27" s="21"/>
      <c r="M27" s="21">
        <v>80</v>
      </c>
    </row>
    <row r="28" spans="8:13" x14ac:dyDescent="0.3">
      <c r="H28" s="21">
        <v>3</v>
      </c>
      <c r="I28" s="21">
        <v>54</v>
      </c>
      <c r="J28" s="21">
        <v>13</v>
      </c>
      <c r="K28" s="21">
        <v>16</v>
      </c>
      <c r="L28" s="21">
        <v>1</v>
      </c>
      <c r="M28" s="21">
        <v>84</v>
      </c>
    </row>
    <row r="29" spans="8:13" x14ac:dyDescent="0.3">
      <c r="H29" s="21">
        <v>4</v>
      </c>
      <c r="I29" s="21">
        <v>56</v>
      </c>
      <c r="J29" s="21">
        <v>23</v>
      </c>
      <c r="K29" s="21"/>
      <c r="L29" s="21"/>
      <c r="M29" s="21">
        <v>79</v>
      </c>
    </row>
    <row r="30" spans="8:13" x14ac:dyDescent="0.3">
      <c r="H30" s="21">
        <v>5</v>
      </c>
      <c r="I30" s="21">
        <v>48</v>
      </c>
      <c r="J30" s="21">
        <v>28</v>
      </c>
      <c r="K30" s="21">
        <v>9</v>
      </c>
      <c r="L30" s="21"/>
      <c r="M30" s="21">
        <v>85</v>
      </c>
    </row>
    <row r="31" spans="8:13" x14ac:dyDescent="0.3">
      <c r="H31" s="21">
        <v>6</v>
      </c>
      <c r="I31" s="21">
        <v>50</v>
      </c>
      <c r="J31" s="21">
        <v>39</v>
      </c>
      <c r="K31" s="21">
        <v>6</v>
      </c>
      <c r="L31" s="21"/>
      <c r="M31" s="21">
        <v>95</v>
      </c>
    </row>
    <row r="32" spans="8:13" x14ac:dyDescent="0.3">
      <c r="H32" s="21" t="s">
        <v>19</v>
      </c>
      <c r="I32" s="21">
        <v>368</v>
      </c>
      <c r="J32" s="21">
        <v>194</v>
      </c>
      <c r="K32" s="21">
        <v>47</v>
      </c>
      <c r="L32" s="21">
        <v>1</v>
      </c>
      <c r="M32" s="21">
        <v>610</v>
      </c>
    </row>
    <row r="44" spans="1:3" x14ac:dyDescent="0.3">
      <c r="A44" s="20" t="s">
        <v>24</v>
      </c>
      <c r="B44" s="17" t="s">
        <v>23</v>
      </c>
      <c r="C44" s="17" t="s">
        <v>22</v>
      </c>
    </row>
    <row r="45" spans="1:3" x14ac:dyDescent="0.3">
      <c r="A45" s="18" t="s">
        <v>21</v>
      </c>
      <c r="B45" s="19">
        <v>1.4488054607508531</v>
      </c>
      <c r="C45" s="19">
        <v>586</v>
      </c>
    </row>
    <row r="46" spans="1:3" x14ac:dyDescent="0.3">
      <c r="A46" s="18" t="s">
        <v>20</v>
      </c>
      <c r="B46" s="19">
        <v>2.1666666666666665</v>
      </c>
      <c r="C46" s="19">
        <v>24</v>
      </c>
    </row>
    <row r="47" spans="1:3" x14ac:dyDescent="0.3">
      <c r="A47" s="18" t="s">
        <v>19</v>
      </c>
      <c r="B47" s="17">
        <v>1.4770491803278689</v>
      </c>
      <c r="C47" s="17">
        <v>610</v>
      </c>
    </row>
    <row r="65" spans="1:29" ht="14.4" x14ac:dyDescent="0.3">
      <c r="A65" s="48" t="s">
        <v>47</v>
      </c>
      <c r="B65" s="48" t="s">
        <v>16</v>
      </c>
      <c r="C65" s="48"/>
      <c r="D65" s="48"/>
      <c r="E65" s="48"/>
      <c r="F65" s="48"/>
    </row>
    <row r="66" spans="1:29" ht="14.4" x14ac:dyDescent="0.3">
      <c r="A66" s="48" t="s">
        <v>25</v>
      </c>
      <c r="B66" s="48" t="s">
        <v>43</v>
      </c>
      <c r="C66" s="48" t="s">
        <v>46</v>
      </c>
      <c r="D66" s="48" t="s">
        <v>44</v>
      </c>
      <c r="E66" s="48" t="s">
        <v>45</v>
      </c>
      <c r="F66" s="48" t="s">
        <v>19</v>
      </c>
    </row>
    <row r="67" spans="1:29" ht="14.4" x14ac:dyDescent="0.3">
      <c r="A67" s="48">
        <v>0</v>
      </c>
      <c r="B67" s="49">
        <v>70</v>
      </c>
      <c r="C67" s="49"/>
      <c r="D67" s="49">
        <v>19</v>
      </c>
      <c r="E67" s="49">
        <v>5</v>
      </c>
      <c r="F67" s="49">
        <v>94</v>
      </c>
    </row>
    <row r="68" spans="1:29" ht="14.4" x14ac:dyDescent="0.3">
      <c r="A68" s="48">
        <v>1</v>
      </c>
      <c r="B68" s="49">
        <v>57</v>
      </c>
      <c r="C68" s="49"/>
      <c r="D68" s="49">
        <v>31</v>
      </c>
      <c r="E68" s="49">
        <v>5</v>
      </c>
      <c r="F68" s="49">
        <v>93</v>
      </c>
    </row>
    <row r="69" spans="1:29" ht="14.4" x14ac:dyDescent="0.3">
      <c r="A69" s="48">
        <v>2</v>
      </c>
      <c r="B69" s="49">
        <v>33</v>
      </c>
      <c r="C69" s="49"/>
      <c r="D69" s="49">
        <v>41</v>
      </c>
      <c r="E69" s="49">
        <v>6</v>
      </c>
      <c r="F69" s="49">
        <v>80</v>
      </c>
    </row>
    <row r="70" spans="1:29" ht="14.4" x14ac:dyDescent="0.3">
      <c r="A70" s="48">
        <v>3</v>
      </c>
      <c r="B70" s="49">
        <v>54</v>
      </c>
      <c r="C70" s="49">
        <v>1</v>
      </c>
      <c r="D70" s="49">
        <v>13</v>
      </c>
      <c r="E70" s="49">
        <v>16</v>
      </c>
      <c r="F70" s="49">
        <v>84</v>
      </c>
    </row>
    <row r="71" spans="1:29" ht="14.4" x14ac:dyDescent="0.3">
      <c r="A71" s="48">
        <v>4</v>
      </c>
      <c r="B71" s="49">
        <v>56</v>
      </c>
      <c r="C71" s="49"/>
      <c r="D71" s="49">
        <v>23</v>
      </c>
      <c r="E71" s="49"/>
      <c r="F71" s="49">
        <v>79</v>
      </c>
    </row>
    <row r="72" spans="1:29" ht="14.4" x14ac:dyDescent="0.3">
      <c r="A72" s="48">
        <v>5</v>
      </c>
      <c r="B72" s="49">
        <v>48</v>
      </c>
      <c r="C72" s="49"/>
      <c r="D72" s="49">
        <v>28</v>
      </c>
      <c r="E72" s="49">
        <v>9</v>
      </c>
      <c r="F72" s="49">
        <v>85</v>
      </c>
    </row>
    <row r="73" spans="1:29" ht="14.4" x14ac:dyDescent="0.3">
      <c r="A73" s="48">
        <v>6</v>
      </c>
      <c r="B73" s="49">
        <v>50</v>
      </c>
      <c r="C73" s="49"/>
      <c r="D73" s="49">
        <v>39</v>
      </c>
      <c r="E73" s="49">
        <v>6</v>
      </c>
      <c r="F73" s="49">
        <v>95</v>
      </c>
    </row>
    <row r="74" spans="1:29" ht="14.4" x14ac:dyDescent="0.3">
      <c r="A74" s="48" t="s">
        <v>19</v>
      </c>
      <c r="B74" s="49">
        <v>368</v>
      </c>
      <c r="C74" s="49">
        <v>1</v>
      </c>
      <c r="D74" s="49">
        <v>194</v>
      </c>
      <c r="E74" s="49">
        <v>47</v>
      </c>
      <c r="F74" s="49">
        <v>610</v>
      </c>
    </row>
    <row r="75" spans="1:29" ht="14.4" x14ac:dyDescent="0.3">
      <c r="A75"/>
      <c r="B75"/>
      <c r="C75"/>
    </row>
    <row r="76" spans="1:29" ht="14.4" x14ac:dyDescent="0.3">
      <c r="A76"/>
      <c r="B76"/>
      <c r="C76"/>
    </row>
    <row r="77" spans="1:29" ht="14.4" x14ac:dyDescent="0.3">
      <c r="A77"/>
      <c r="B77"/>
      <c r="C77"/>
    </row>
    <row r="78" spans="1:29" ht="14.4" x14ac:dyDescent="0.3">
      <c r="A78"/>
      <c r="B78"/>
      <c r="C78"/>
    </row>
    <row r="79" spans="1:29" ht="14.4" x14ac:dyDescent="0.3">
      <c r="A79" s="45" t="s">
        <v>24</v>
      </c>
      <c r="B79" t="s">
        <v>48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ht="14.4" x14ac:dyDescent="0.3">
      <c r="A80" s="51">
        <v>40544</v>
      </c>
      <c r="B80" s="52">
        <v>0.46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1:3" ht="14.4" x14ac:dyDescent="0.3">
      <c r="A81" s="51">
        <v>40545</v>
      </c>
      <c r="B81" s="52">
        <v>0.46</v>
      </c>
      <c r="C81"/>
    </row>
    <row r="82" spans="1:3" ht="14.4" x14ac:dyDescent="0.3">
      <c r="A82" s="51">
        <v>40546</v>
      </c>
      <c r="B82" s="52">
        <v>0.26</v>
      </c>
      <c r="C82"/>
    </row>
    <row r="83" spans="1:3" ht="14.4" x14ac:dyDescent="0.3">
      <c r="A83" s="51">
        <v>40547</v>
      </c>
      <c r="B83" s="52">
        <v>0.3</v>
      </c>
      <c r="C83"/>
    </row>
    <row r="84" spans="1:3" ht="14.4" x14ac:dyDescent="0.3">
      <c r="A84" s="51">
        <v>40548</v>
      </c>
      <c r="B84" s="52">
        <v>0.3</v>
      </c>
      <c r="C84"/>
    </row>
    <row r="85" spans="1:3" ht="14.4" x14ac:dyDescent="0.3">
      <c r="A85" s="51">
        <v>40549</v>
      </c>
      <c r="B85" s="52">
        <v>0.28000000000000003</v>
      </c>
      <c r="C85"/>
    </row>
    <row r="86" spans="1:3" ht="14.4" x14ac:dyDescent="0.3">
      <c r="A86" s="51">
        <v>40550</v>
      </c>
      <c r="B86" s="52">
        <v>0.22</v>
      </c>
      <c r="C86"/>
    </row>
    <row r="87" spans="1:3" ht="14.4" x14ac:dyDescent="0.3">
      <c r="A87" s="51">
        <v>40551</v>
      </c>
      <c r="B87" s="52">
        <v>0.2</v>
      </c>
      <c r="C87"/>
    </row>
    <row r="88" spans="1:3" ht="14.4" x14ac:dyDescent="0.3">
      <c r="A88" s="51">
        <v>40552</v>
      </c>
      <c r="B88" s="52">
        <v>0.22</v>
      </c>
      <c r="C88"/>
    </row>
    <row r="89" spans="1:3" ht="14.4" x14ac:dyDescent="0.3">
      <c r="A89" s="51">
        <v>40553</v>
      </c>
      <c r="B89" s="52">
        <v>0.2</v>
      </c>
      <c r="C89"/>
    </row>
    <row r="90" spans="1:3" ht="14.4" x14ac:dyDescent="0.3">
      <c r="A90" s="51">
        <v>40554</v>
      </c>
      <c r="B90" s="52">
        <v>0.2</v>
      </c>
      <c r="C90"/>
    </row>
    <row r="91" spans="1:3" ht="14.4" x14ac:dyDescent="0.3">
      <c r="A91" s="51">
        <v>40555</v>
      </c>
      <c r="B91" s="52">
        <v>0.22</v>
      </c>
      <c r="C91"/>
    </row>
    <row r="92" spans="1:3" ht="14.4" x14ac:dyDescent="0.3">
      <c r="A92" s="51">
        <v>40556</v>
      </c>
      <c r="B92" s="52">
        <v>0.24</v>
      </c>
      <c r="C92"/>
    </row>
    <row r="93" spans="1:3" ht="14.4" x14ac:dyDescent="0.3">
      <c r="A93" s="51">
        <v>40557</v>
      </c>
      <c r="B93" s="52">
        <v>0.24</v>
      </c>
      <c r="C93"/>
    </row>
    <row r="94" spans="1:3" ht="14.4" x14ac:dyDescent="0.3">
      <c r="A94" s="51">
        <v>40558</v>
      </c>
      <c r="B94" s="52">
        <v>0.34</v>
      </c>
      <c r="C94"/>
    </row>
    <row r="95" spans="1:3" ht="14.4" x14ac:dyDescent="0.3">
      <c r="A95" s="51">
        <v>40559</v>
      </c>
      <c r="B95" s="52">
        <v>0.28000000000000003</v>
      </c>
      <c r="C95"/>
    </row>
    <row r="96" spans="1:3" ht="14.4" x14ac:dyDescent="0.3">
      <c r="A96" s="51">
        <v>40560</v>
      </c>
      <c r="B96" s="52">
        <v>0.2</v>
      </c>
      <c r="C96"/>
    </row>
    <row r="97" spans="1:3" ht="14.4" x14ac:dyDescent="0.3">
      <c r="A97" s="51">
        <v>40561</v>
      </c>
      <c r="B97" s="52">
        <v>0.22</v>
      </c>
    </row>
    <row r="98" spans="1:3" ht="14.4" x14ac:dyDescent="0.3">
      <c r="A98" s="51">
        <v>40562</v>
      </c>
      <c r="B98" s="52">
        <v>0.4</v>
      </c>
    </row>
    <row r="99" spans="1:3" ht="14.4" x14ac:dyDescent="0.3">
      <c r="A99" s="51">
        <v>40563</v>
      </c>
      <c r="B99" s="52">
        <v>0.32</v>
      </c>
    </row>
    <row r="100" spans="1:3" ht="14.4" x14ac:dyDescent="0.3">
      <c r="A100" s="51">
        <v>40564</v>
      </c>
      <c r="B100" s="52">
        <v>0.24</v>
      </c>
    </row>
    <row r="101" spans="1:3" ht="14.4" x14ac:dyDescent="0.3">
      <c r="A101" s="51">
        <v>40565</v>
      </c>
      <c r="B101" s="52">
        <v>0.12</v>
      </c>
    </row>
    <row r="102" spans="1:3" ht="14.4" x14ac:dyDescent="0.3">
      <c r="A102" s="51">
        <v>40566</v>
      </c>
      <c r="B102" s="52">
        <v>0.16</v>
      </c>
    </row>
    <row r="103" spans="1:3" ht="14.4" x14ac:dyDescent="0.3">
      <c r="A103" s="51">
        <v>40567</v>
      </c>
      <c r="B103" s="52">
        <v>0.16</v>
      </c>
    </row>
    <row r="104" spans="1:3" ht="14.4" x14ac:dyDescent="0.3">
      <c r="A104" s="51">
        <v>40568</v>
      </c>
      <c r="B104" s="52">
        <v>0.32</v>
      </c>
    </row>
    <row r="105" spans="1:3" ht="14.4" x14ac:dyDescent="0.3">
      <c r="A105" s="51">
        <v>40569</v>
      </c>
      <c r="B105" s="52">
        <v>0.24</v>
      </c>
    </row>
    <row r="106" spans="1:3" ht="14.4" x14ac:dyDescent="0.3">
      <c r="A106" s="51">
        <v>40570</v>
      </c>
      <c r="B106" s="52">
        <v>0.22</v>
      </c>
    </row>
    <row r="107" spans="1:3" ht="14.4" x14ac:dyDescent="0.3">
      <c r="A107" s="51">
        <v>40571</v>
      </c>
      <c r="B107" s="52">
        <v>0.22</v>
      </c>
    </row>
    <row r="108" spans="1:3" ht="14.4" x14ac:dyDescent="0.3">
      <c r="A108" s="51" t="s">
        <v>19</v>
      </c>
      <c r="B108" s="52">
        <v>0.46</v>
      </c>
    </row>
    <row r="112" spans="1:3" ht="14.4" x14ac:dyDescent="0.3">
      <c r="A112" s="45" t="s">
        <v>24</v>
      </c>
      <c r="B112" t="s">
        <v>52</v>
      </c>
      <c r="C112"/>
    </row>
    <row r="113" spans="1:3" ht="14.4" x14ac:dyDescent="0.3">
      <c r="A113" s="46" t="s">
        <v>43</v>
      </c>
      <c r="B113" s="47">
        <v>368</v>
      </c>
      <c r="C113"/>
    </row>
    <row r="114" spans="1:3" ht="14.4" x14ac:dyDescent="0.3">
      <c r="A114" s="46" t="s">
        <v>46</v>
      </c>
      <c r="B114" s="47">
        <v>1</v>
      </c>
      <c r="C114"/>
    </row>
    <row r="115" spans="1:3" ht="14.4" x14ac:dyDescent="0.3">
      <c r="A115" s="46" t="s">
        <v>44</v>
      </c>
      <c r="B115" s="47">
        <v>194</v>
      </c>
      <c r="C115"/>
    </row>
    <row r="116" spans="1:3" ht="14.4" x14ac:dyDescent="0.3">
      <c r="A116" s="46" t="s">
        <v>45</v>
      </c>
      <c r="B116" s="47">
        <v>47</v>
      </c>
      <c r="C116"/>
    </row>
    <row r="117" spans="1:3" ht="14.4" x14ac:dyDescent="0.3">
      <c r="A117" s="46" t="s">
        <v>19</v>
      </c>
      <c r="B117" s="47">
        <v>610</v>
      </c>
      <c r="C117"/>
    </row>
    <row r="118" spans="1:3" ht="14.4" x14ac:dyDescent="0.3">
      <c r="A118"/>
      <c r="B118"/>
      <c r="C118"/>
    </row>
    <row r="119" spans="1:3" ht="14.4" x14ac:dyDescent="0.3">
      <c r="A119"/>
      <c r="B119"/>
      <c r="C119"/>
    </row>
    <row r="120" spans="1:3" ht="14.4" x14ac:dyDescent="0.3">
      <c r="A120"/>
      <c r="B120"/>
      <c r="C120"/>
    </row>
    <row r="121" spans="1:3" ht="14.4" x14ac:dyDescent="0.3">
      <c r="A121"/>
      <c r="B121"/>
      <c r="C121"/>
    </row>
    <row r="122" spans="1:3" ht="14.4" x14ac:dyDescent="0.3">
      <c r="A122"/>
      <c r="B122"/>
      <c r="C122"/>
    </row>
    <row r="123" spans="1:3" ht="14.4" x14ac:dyDescent="0.3">
      <c r="A123"/>
      <c r="B123"/>
      <c r="C123"/>
    </row>
    <row r="124" spans="1:3" ht="14.4" x14ac:dyDescent="0.3">
      <c r="A124"/>
      <c r="B124"/>
      <c r="C124"/>
    </row>
    <row r="125" spans="1:3" ht="14.4" x14ac:dyDescent="0.3">
      <c r="A125"/>
      <c r="B125"/>
      <c r="C125"/>
    </row>
    <row r="126" spans="1:3" ht="14.4" x14ac:dyDescent="0.3">
      <c r="A126"/>
      <c r="B126"/>
      <c r="C126"/>
    </row>
    <row r="127" spans="1:3" ht="14.4" x14ac:dyDescent="0.3">
      <c r="A127"/>
      <c r="B127"/>
      <c r="C127"/>
    </row>
    <row r="128" spans="1:3" ht="14.4" x14ac:dyDescent="0.3">
      <c r="A128"/>
      <c r="B128"/>
      <c r="C128"/>
    </row>
    <row r="129" spans="1:3" ht="14.4" x14ac:dyDescent="0.3">
      <c r="A129"/>
      <c r="B129"/>
      <c r="C129"/>
    </row>
  </sheetData>
  <mergeCells count="3">
    <mergeCell ref="H2:I2"/>
    <mergeCell ref="H21:M22"/>
    <mergeCell ref="A2:F2"/>
  </mergeCell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</vt:lpstr>
      <vt:lpstr>DB1 edited</vt:lpstr>
      <vt:lpstr>Forecast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</dc:creator>
  <cp:lastModifiedBy>Shilpa Singh</cp:lastModifiedBy>
  <dcterms:created xsi:type="dcterms:W3CDTF">2015-06-05T18:17:20Z</dcterms:created>
  <dcterms:modified xsi:type="dcterms:W3CDTF">2026-07-25T14:39:38Z</dcterms:modified>
</cp:coreProperties>
</file>