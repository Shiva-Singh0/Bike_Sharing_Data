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wnloads\"/>
    </mc:Choice>
  </mc:AlternateContent>
  <xr:revisionPtr revIDLastSave="0" documentId="13_ncr:1_{97C8B28E-9890-4973-9F98-6053F60FEE33}" xr6:coauthVersionLast="47" xr6:coauthVersionMax="47" xr10:uidLastSave="{00000000-0000-0000-0000-000000000000}"/>
  <bookViews>
    <workbookView xWindow="-108" yWindow="-108" windowWidth="23256" windowHeight="12456" activeTab="7" xr2:uid="{00000000-000D-0000-FFFF-FFFF00000000}"/>
  </bookViews>
  <sheets>
    <sheet name="Dataset_1" sheetId="1" r:id="rId1"/>
    <sheet name="Findings on DB1" sheetId="14" r:id="rId2"/>
    <sheet name="Dataset_2" sheetId="4" r:id="rId3"/>
    <sheet name="Findings on DB2" sheetId="6" r:id="rId4"/>
    <sheet name="Merged Database 1&amp;2" sheetId="7" r:id="rId5"/>
    <sheet name="Analysis on DB1&amp;2" sheetId="8" r:id="rId6"/>
    <sheet name="Sheet4" sheetId="13" r:id="rId7"/>
    <sheet name="Combined Dataset" sheetId="9" r:id="rId8"/>
    <sheet name="Dashboard Final" sheetId="12" r:id="rId9"/>
    <sheet name="Descriptive Data" sheetId="10" r:id="rId10"/>
    <sheet name="dataset_3" sheetId="3" r:id="rId11"/>
  </sheets>
  <externalReferences>
    <externalReference r:id="rId12"/>
  </externalReferences>
  <definedNames>
    <definedName name="_xlnm._FilterDatabase" localSheetId="0" hidden="1">Dataset_1!$A$1:$M$611</definedName>
    <definedName name="_xlnm._FilterDatabase" localSheetId="2" hidden="1">Dataset_2!$A$1:$H$611</definedName>
    <definedName name="_xlnm._FilterDatabase" localSheetId="10" hidden="1">dataset_3!$A$1:$P$391</definedName>
    <definedName name="Slicer_hr">#N/A</definedName>
    <definedName name="Slicer_hum">#N/A</definedName>
    <definedName name="Slicer_Humid_Cat">#N/A</definedName>
    <definedName name="Slicer_Temp_Category">#N/A</definedName>
    <definedName name="Slicer_Temp_Category1">#N/A</definedName>
    <definedName name="Slicer_Temp_Category2">#N/A</definedName>
    <definedName name="Slicer_Time_of_day">#N/A</definedName>
    <definedName name="Slicer_Time_of_day1">#N/A</definedName>
    <definedName name="Slicer_Weather_Situation">#N/A</definedName>
    <definedName name="Slicer_Windspeed_category">#N/A</definedName>
  </definedNames>
  <calcPr calcId="191029"/>
  <pivotCaches>
    <pivotCache cacheId="25" r:id="rId13"/>
    <pivotCache cacheId="26" r:id="rId14"/>
    <pivotCache cacheId="28" r:id="rId15"/>
    <pivotCache cacheId="24" r:id="rId16"/>
    <pivotCache cacheId="27"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4" l="1"/>
  <c r="L4" i="14"/>
  <c r="L5" i="14"/>
  <c r="L6" i="14"/>
  <c r="L7" i="14"/>
  <c r="L8" i="14"/>
  <c r="L9" i="14"/>
  <c r="L10" i="14"/>
  <c r="K2" i="12"/>
  <c r="I2" i="12"/>
  <c r="G2" i="12"/>
  <c r="E2" i="12"/>
  <c r="C2" i="12"/>
  <c r="A2" i="12"/>
  <c r="L6" i="9" a="1"/>
  <c r="L6" i="9" s="1"/>
  <c r="E167" i="10"/>
  <c r="D167" i="10"/>
  <c r="B167" i="10"/>
  <c r="E166" i="10"/>
  <c r="D166" i="10"/>
  <c r="B166" i="10"/>
  <c r="E165" i="10"/>
  <c r="D165" i="10"/>
  <c r="B165" i="10"/>
  <c r="E164" i="10"/>
  <c r="D164" i="10"/>
  <c r="B164" i="10"/>
  <c r="C164" i="10" s="1"/>
  <c r="K2" i="10"/>
  <c r="I2" i="10"/>
  <c r="G2" i="10"/>
  <c r="E2" i="10"/>
  <c r="C2" i="10"/>
  <c r="A2" i="10"/>
  <c r="E9" i="13"/>
  <c r="E8" i="13"/>
  <c r="E7" i="13"/>
  <c r="E6" i="13"/>
  <c r="D9" i="13"/>
  <c r="D8" i="13"/>
  <c r="D7" i="13"/>
  <c r="D6" i="13"/>
  <c r="B9" i="13"/>
  <c r="B8" i="13"/>
  <c r="B7" i="13"/>
  <c r="B6" i="13"/>
  <c r="C6" i="13" s="1"/>
  <c r="K2" i="13"/>
  <c r="I2" i="13"/>
  <c r="G2" i="13"/>
  <c r="E2" i="13"/>
  <c r="C2" i="13"/>
  <c r="A2" i="13"/>
  <c r="C167" i="10" l="1"/>
  <c r="C165" i="10"/>
  <c r="C7" i="13"/>
  <c r="C8" i="13"/>
  <c r="C9" i="13"/>
  <c r="C166" i="10"/>
  <c r="G2" i="9" a="1"/>
  <c r="G2" i="9" s="1"/>
  <c r="G3" i="9" a="1"/>
  <c r="G3" i="9" s="1"/>
  <c r="G4" i="9" a="1"/>
  <c r="G4" i="9" s="1"/>
  <c r="G5" i="9" a="1"/>
  <c r="G5" i="9" s="1"/>
  <c r="G6" i="9" a="1"/>
  <c r="G6" i="9" s="1"/>
  <c r="G7" i="9" a="1"/>
  <c r="G7" i="9" s="1"/>
  <c r="G8" i="9" a="1"/>
  <c r="G8" i="9" s="1"/>
  <c r="G9" i="9" a="1"/>
  <c r="G9" i="9" s="1"/>
  <c r="G10" i="9" a="1"/>
  <c r="G10" i="9" s="1"/>
  <c r="G11" i="9" a="1"/>
  <c r="G11" i="9" s="1"/>
  <c r="G12" i="9" a="1"/>
  <c r="G12" i="9" s="1"/>
  <c r="G13" i="9" a="1"/>
  <c r="G13" i="9" s="1"/>
  <c r="G14" i="9" a="1"/>
  <c r="G14" i="9" s="1"/>
  <c r="G15" i="9" a="1"/>
  <c r="G15" i="9" s="1"/>
  <c r="G16" i="9" a="1"/>
  <c r="G16" i="9" s="1"/>
  <c r="G17" i="9" a="1"/>
  <c r="G17" i="9" s="1"/>
  <c r="G18" i="9" a="1"/>
  <c r="G18" i="9" s="1"/>
  <c r="G19" i="9" a="1"/>
  <c r="G19" i="9" s="1"/>
  <c r="G20" i="9" a="1"/>
  <c r="G20" i="9" s="1"/>
  <c r="G21" i="9" a="1"/>
  <c r="G21" i="9"/>
  <c r="G22" i="9" a="1"/>
  <c r="G22" i="9" s="1"/>
  <c r="G23" i="9" a="1"/>
  <c r="G23" i="9" s="1"/>
  <c r="G24" i="9" a="1"/>
  <c r="G24" i="9" s="1"/>
  <c r="G25" i="9" a="1"/>
  <c r="G25" i="9"/>
  <c r="G26" i="9" a="1"/>
  <c r="G26" i="9" s="1"/>
  <c r="G27" i="9" a="1"/>
  <c r="G27" i="9" s="1"/>
  <c r="G28" i="9" a="1"/>
  <c r="G28" i="9" s="1"/>
  <c r="G29" i="9" a="1"/>
  <c r="G29" i="9" s="1"/>
  <c r="G30" i="9" a="1"/>
  <c r="G30" i="9" s="1"/>
  <c r="G31" i="9" a="1"/>
  <c r="G31" i="9" s="1"/>
  <c r="G32" i="9" a="1"/>
  <c r="G32" i="9" s="1"/>
  <c r="G33" i="9" a="1"/>
  <c r="G33" i="9"/>
  <c r="G34" i="9" a="1"/>
  <c r="G34" i="9" s="1"/>
  <c r="G35" i="9" a="1"/>
  <c r="G35" i="9" s="1"/>
  <c r="G36" i="9" a="1"/>
  <c r="G36" i="9" s="1"/>
  <c r="G37" i="9" a="1"/>
  <c r="G37" i="9"/>
  <c r="G38" i="9" a="1"/>
  <c r="G38" i="9" s="1"/>
  <c r="G39" i="9" a="1"/>
  <c r="G39" i="9" s="1"/>
  <c r="G40" i="9" a="1"/>
  <c r="G40" i="9" s="1"/>
  <c r="G41" i="9" a="1"/>
  <c r="G41" i="9" s="1"/>
  <c r="G42" i="9" a="1"/>
  <c r="G42" i="9" s="1"/>
  <c r="G43" i="9" a="1"/>
  <c r="G43" i="9" s="1"/>
  <c r="G44" i="9" a="1"/>
  <c r="G44" i="9" s="1"/>
  <c r="G45" i="9" a="1"/>
  <c r="G45" i="9"/>
  <c r="G46" i="9" a="1"/>
  <c r="G46" i="9" s="1"/>
  <c r="G47" i="9" a="1"/>
  <c r="G47" i="9" s="1"/>
  <c r="G48" i="9" a="1"/>
  <c r="G48" i="9"/>
  <c r="G49" i="9" a="1"/>
  <c r="G49" i="9" s="1"/>
  <c r="G50" i="9" a="1"/>
  <c r="G50" i="9" s="1"/>
  <c r="G51" i="9" a="1"/>
  <c r="G51" i="9" s="1"/>
  <c r="G52" i="9" a="1"/>
  <c r="G52" i="9" s="1"/>
  <c r="G53" i="9" a="1"/>
  <c r="G53" i="9" s="1"/>
  <c r="G54" i="9" a="1"/>
  <c r="G54" i="9" s="1"/>
  <c r="G55" i="9" a="1"/>
  <c r="G55" i="9" s="1"/>
  <c r="G56" i="9" a="1"/>
  <c r="G56" i="9" s="1"/>
  <c r="G57" i="9" a="1"/>
  <c r="G57" i="9"/>
  <c r="G58" i="9" a="1"/>
  <c r="G58" i="9" s="1"/>
  <c r="G59" i="9" a="1"/>
  <c r="G59" i="9" s="1"/>
  <c r="G60" i="9" a="1"/>
  <c r="G60" i="9" s="1"/>
  <c r="G61" i="9" a="1"/>
  <c r="G61" i="9" s="1"/>
  <c r="G62" i="9" a="1"/>
  <c r="G62" i="9" s="1"/>
  <c r="G63" i="9" a="1"/>
  <c r="G63" i="9"/>
  <c r="G64" i="9" a="1"/>
  <c r="G64" i="9"/>
  <c r="G65" i="9" a="1"/>
  <c r="G65" i="9"/>
  <c r="G66" i="9" a="1"/>
  <c r="G66" i="9" s="1"/>
  <c r="G67" i="9" a="1"/>
  <c r="G67" i="9" s="1"/>
  <c r="G68" i="9" a="1"/>
  <c r="G68" i="9" s="1"/>
  <c r="G69" i="9" a="1"/>
  <c r="G69" i="9"/>
  <c r="G70" i="9" a="1"/>
  <c r="G70" i="9" s="1"/>
  <c r="G71" i="9" a="1"/>
  <c r="G71" i="9" s="1"/>
  <c r="G72" i="9" a="1"/>
  <c r="G72" i="9"/>
  <c r="G73" i="9" a="1"/>
  <c r="G73" i="9" s="1"/>
  <c r="G74" i="9" a="1"/>
  <c r="G74" i="9" s="1"/>
  <c r="G75" i="9" a="1"/>
  <c r="G75" i="9" s="1"/>
  <c r="G76" i="9" a="1"/>
  <c r="G76" i="9" s="1"/>
  <c r="G77" i="9" a="1"/>
  <c r="G77" i="9"/>
  <c r="G78" i="9" a="1"/>
  <c r="G78" i="9" s="1"/>
  <c r="G79" i="9" a="1"/>
  <c r="G79" i="9" s="1"/>
  <c r="G80" i="9" a="1"/>
  <c r="G80" i="9" s="1"/>
  <c r="G81" i="9" a="1"/>
  <c r="G81" i="9" s="1"/>
  <c r="G82" i="9" a="1"/>
  <c r="G82" i="9" s="1"/>
  <c r="G83" i="9" a="1"/>
  <c r="G83" i="9" s="1"/>
  <c r="G84" i="9" a="1"/>
  <c r="G84" i="9" s="1"/>
  <c r="G85" i="9" a="1"/>
  <c r="G85" i="9"/>
  <c r="G86" i="9" a="1"/>
  <c r="G86" i="9"/>
  <c r="G87" i="9" a="1"/>
  <c r="G87" i="9"/>
  <c r="G88" i="9" a="1"/>
  <c r="G88" i="9" s="1"/>
  <c r="G89" i="9" a="1"/>
  <c r="G89" i="9" s="1"/>
  <c r="G90" i="9" a="1"/>
  <c r="G90" i="9" s="1"/>
  <c r="G91" i="9" a="1"/>
  <c r="G91" i="9" s="1"/>
  <c r="G92" i="9" a="1"/>
  <c r="G92" i="9" s="1"/>
  <c r="G93" i="9" a="1"/>
  <c r="G93" i="9" s="1"/>
  <c r="G94" i="9" a="1"/>
  <c r="G94" i="9" s="1"/>
  <c r="G95" i="9" a="1"/>
  <c r="G95" i="9" s="1"/>
  <c r="G96" i="9" a="1"/>
  <c r="G96" i="9"/>
  <c r="G97" i="9" a="1"/>
  <c r="G97" i="9"/>
  <c r="G98" i="9" a="1"/>
  <c r="G98" i="9" s="1"/>
  <c r="G99" i="9" a="1"/>
  <c r="G99" i="9" s="1"/>
  <c r="G100" i="9" a="1"/>
  <c r="G100" i="9" s="1"/>
  <c r="G101" i="9" a="1"/>
  <c r="G101" i="9" s="1"/>
  <c r="G102" i="9" a="1"/>
  <c r="G102" i="9" s="1"/>
  <c r="G103" i="9" a="1"/>
  <c r="G103" i="9" s="1"/>
  <c r="G104" i="9" a="1"/>
  <c r="G104" i="9" s="1"/>
  <c r="G105" i="9" a="1"/>
  <c r="G105" i="9" s="1"/>
  <c r="G106" i="9" a="1"/>
  <c r="G106" i="9" s="1"/>
  <c r="G107" i="9" a="1"/>
  <c r="G107" i="9" s="1"/>
  <c r="G108" i="9" a="1"/>
  <c r="G108" i="9" s="1"/>
  <c r="G109" i="9" a="1"/>
  <c r="G109" i="9"/>
  <c r="G110" i="9" a="1"/>
  <c r="G110" i="9" s="1"/>
  <c r="G111" i="9" a="1"/>
  <c r="G111" i="9" s="1"/>
  <c r="G112" i="9" a="1"/>
  <c r="G112" i="9" s="1"/>
  <c r="G113" i="9" a="1"/>
  <c r="G113" i="9"/>
  <c r="G114" i="9" a="1"/>
  <c r="G114" i="9" s="1"/>
  <c r="G115" i="9" a="1"/>
  <c r="G115" i="9" s="1"/>
  <c r="G116" i="9" a="1"/>
  <c r="G116" i="9" s="1"/>
  <c r="G117" i="9" a="1"/>
  <c r="G117" i="9" s="1"/>
  <c r="G118" i="9" a="1"/>
  <c r="G118" i="9" s="1"/>
  <c r="G119" i="9" a="1"/>
  <c r="G119" i="9" s="1"/>
  <c r="G120" i="9" a="1"/>
  <c r="G120" i="9" s="1"/>
  <c r="G121" i="9" a="1"/>
  <c r="G121" i="9" s="1"/>
  <c r="G122" i="9" a="1"/>
  <c r="G122" i="9" s="1"/>
  <c r="G123" i="9" a="1"/>
  <c r="G123" i="9" s="1"/>
  <c r="G124" i="9" a="1"/>
  <c r="G124" i="9" s="1"/>
  <c r="G125" i="9" a="1"/>
  <c r="G125" i="9"/>
  <c r="G126" i="9" a="1"/>
  <c r="G126" i="9"/>
  <c r="G127" i="9" a="1"/>
  <c r="G127" i="9"/>
  <c r="G128" i="9" a="1"/>
  <c r="G128" i="9" s="1"/>
  <c r="G129" i="9" a="1"/>
  <c r="G129" i="9" s="1"/>
  <c r="G130" i="9" a="1"/>
  <c r="G130" i="9" s="1"/>
  <c r="G131" i="9" a="1"/>
  <c r="G131" i="9" s="1"/>
  <c r="G132" i="9" a="1"/>
  <c r="G132" i="9" s="1"/>
  <c r="G133" i="9" a="1"/>
  <c r="G133" i="9" s="1"/>
  <c r="G134" i="9" a="1"/>
  <c r="G134" i="9" s="1"/>
  <c r="G135" i="9" a="1"/>
  <c r="G135" i="9"/>
  <c r="G136" i="9" a="1"/>
  <c r="G136" i="9"/>
  <c r="G137" i="9" a="1"/>
  <c r="G137" i="9"/>
  <c r="G138" i="9" a="1"/>
  <c r="G138" i="9" s="1"/>
  <c r="G139" i="9" a="1"/>
  <c r="G139" i="9" s="1"/>
  <c r="G140" i="9" a="1"/>
  <c r="G140" i="9" s="1"/>
  <c r="G141" i="9" a="1"/>
  <c r="G141" i="9" s="1"/>
  <c r="G142" i="9" a="1"/>
  <c r="G142" i="9" s="1"/>
  <c r="G143" i="9" a="1"/>
  <c r="G143" i="9" s="1"/>
  <c r="G144" i="9" a="1"/>
  <c r="G144" i="9" s="1"/>
  <c r="G145" i="9" a="1"/>
  <c r="G145" i="9" s="1"/>
  <c r="G146" i="9" a="1"/>
  <c r="G146" i="9" s="1"/>
  <c r="G147" i="9" a="1"/>
  <c r="G147" i="9" s="1"/>
  <c r="G148" i="9" a="1"/>
  <c r="G148" i="9" s="1"/>
  <c r="G149" i="9" a="1"/>
  <c r="G149" i="9" s="1"/>
  <c r="G150" i="9" a="1"/>
  <c r="G150" i="9" s="1"/>
  <c r="G151" i="9" a="1"/>
  <c r="G151" i="9" s="1"/>
  <c r="G152" i="9" a="1"/>
  <c r="G152" i="9" s="1"/>
  <c r="G153" i="9" a="1"/>
  <c r="G153" i="9" s="1"/>
  <c r="G154" i="9" a="1"/>
  <c r="G154" i="9" s="1"/>
  <c r="G155" i="9" a="1"/>
  <c r="G155" i="9" s="1"/>
  <c r="G156" i="9" a="1"/>
  <c r="G156" i="9" s="1"/>
  <c r="G157" i="9" a="1"/>
  <c r="G157" i="9" s="1"/>
  <c r="G158" i="9" a="1"/>
  <c r="G158" i="9" s="1"/>
  <c r="G159" i="9" a="1"/>
  <c r="G159" i="9" s="1"/>
  <c r="G160" i="9" a="1"/>
  <c r="G160" i="9" s="1"/>
  <c r="G161" i="9" a="1"/>
  <c r="G161" i="9"/>
  <c r="G162" i="9" a="1"/>
  <c r="G162" i="9" s="1"/>
  <c r="G163" i="9" a="1"/>
  <c r="G163" i="9" s="1"/>
  <c r="G164" i="9" a="1"/>
  <c r="G164" i="9" s="1"/>
  <c r="G165" i="9" a="1"/>
  <c r="G165" i="9" s="1"/>
  <c r="G166" i="9" a="1"/>
  <c r="G166" i="9"/>
  <c r="G167" i="9" a="1"/>
  <c r="G167" i="9" s="1"/>
  <c r="G168" i="9" a="1"/>
  <c r="G168" i="9" s="1"/>
  <c r="G169" i="9" a="1"/>
  <c r="G169" i="9" s="1"/>
  <c r="G170" i="9" a="1"/>
  <c r="G170" i="9" s="1"/>
  <c r="G171" i="9" a="1"/>
  <c r="G171" i="9" s="1"/>
  <c r="G172" i="9" a="1"/>
  <c r="G172" i="9" s="1"/>
  <c r="G173" i="9" a="1"/>
  <c r="G173" i="9" s="1"/>
  <c r="G174" i="9" a="1"/>
  <c r="G174" i="9"/>
  <c r="G175" i="9" a="1"/>
  <c r="G175" i="9" s="1"/>
  <c r="G176" i="9" a="1"/>
  <c r="G176" i="9"/>
  <c r="G177" i="9" a="1"/>
  <c r="G177" i="9" s="1"/>
  <c r="G178" i="9" a="1"/>
  <c r="G178" i="9" s="1"/>
  <c r="G179" i="9" a="1"/>
  <c r="G179" i="9" s="1"/>
  <c r="G180" i="9" a="1"/>
  <c r="G180" i="9" s="1"/>
  <c r="G181" i="9" a="1"/>
  <c r="G181" i="9" s="1"/>
  <c r="G182" i="9" a="1"/>
  <c r="G182" i="9" s="1"/>
  <c r="G183" i="9" a="1"/>
  <c r="G183" i="9" s="1"/>
  <c r="G184" i="9" a="1"/>
  <c r="G184" i="9"/>
  <c r="G185" i="9" a="1"/>
  <c r="G185" i="9" s="1"/>
  <c r="G186" i="9" a="1"/>
  <c r="G186" i="9" s="1"/>
  <c r="G187" i="9" a="1"/>
  <c r="G187" i="9" s="1"/>
  <c r="G188" i="9" a="1"/>
  <c r="G188" i="9" s="1"/>
  <c r="G189" i="9" a="1"/>
  <c r="G189" i="9" s="1"/>
  <c r="G190" i="9" a="1"/>
  <c r="G190" i="9" s="1"/>
  <c r="G191" i="9" a="1"/>
  <c r="G191" i="9"/>
  <c r="G192" i="9" a="1"/>
  <c r="G192" i="9"/>
  <c r="G193" i="9" a="1"/>
  <c r="G193" i="9" s="1"/>
  <c r="G194" i="9" a="1"/>
  <c r="G194" i="9" s="1"/>
  <c r="G195" i="9" a="1"/>
  <c r="G195" i="9" s="1"/>
  <c r="G196" i="9" a="1"/>
  <c r="G196" i="9" s="1"/>
  <c r="G197" i="9" a="1"/>
  <c r="G197" i="9" s="1"/>
  <c r="G198" i="9" a="1"/>
  <c r="G198" i="9"/>
  <c r="G199" i="9" a="1"/>
  <c r="G199" i="9" s="1"/>
  <c r="G200" i="9" a="1"/>
  <c r="G200" i="9" s="1"/>
  <c r="G201" i="9" a="1"/>
  <c r="G201" i="9" s="1"/>
  <c r="G202" i="9" a="1"/>
  <c r="G202" i="9" s="1"/>
  <c r="G203" i="9" a="1"/>
  <c r="G203" i="9" s="1"/>
  <c r="G204" i="9" a="1"/>
  <c r="G204" i="9" s="1"/>
  <c r="G205" i="9" a="1"/>
  <c r="G205" i="9" s="1"/>
  <c r="G206" i="9" a="1"/>
  <c r="G206" i="9" s="1"/>
  <c r="G207" i="9" a="1"/>
  <c r="G207" i="9" s="1"/>
  <c r="G208" i="9" a="1"/>
  <c r="G208" i="9" s="1"/>
  <c r="G209" i="9" a="1"/>
  <c r="G209" i="9" s="1"/>
  <c r="G210" i="9" a="1"/>
  <c r="G210" i="9" s="1"/>
  <c r="G211" i="9" a="1"/>
  <c r="G211" i="9" s="1"/>
  <c r="G212" i="9" a="1"/>
  <c r="G212" i="9" s="1"/>
  <c r="G213" i="9" a="1"/>
  <c r="G213" i="9" s="1"/>
  <c r="G214" i="9" a="1"/>
  <c r="G214" i="9" s="1"/>
  <c r="G215" i="9" a="1"/>
  <c r="G215" i="9" s="1"/>
  <c r="G216" i="9" a="1"/>
  <c r="G216" i="9"/>
  <c r="G217" i="9" a="1"/>
  <c r="G217" i="9"/>
  <c r="G218" i="9" a="1"/>
  <c r="G218" i="9" s="1"/>
  <c r="G219" i="9" a="1"/>
  <c r="G219" i="9" s="1"/>
  <c r="G220" i="9" a="1"/>
  <c r="G220" i="9" s="1"/>
  <c r="G221" i="9" a="1"/>
  <c r="G221" i="9" s="1"/>
  <c r="G222" i="9" a="1"/>
  <c r="G222" i="9"/>
  <c r="G223" i="9" a="1"/>
  <c r="G223" i="9"/>
  <c r="G224" i="9" a="1"/>
  <c r="G224" i="9"/>
  <c r="G225" i="9" a="1"/>
  <c r="G225" i="9" s="1"/>
  <c r="G226" i="9" a="1"/>
  <c r="G226" i="9" s="1"/>
  <c r="G227" i="9" a="1"/>
  <c r="G227" i="9" s="1"/>
  <c r="G228" i="9" a="1"/>
  <c r="G228" i="9" s="1"/>
  <c r="G229" i="9" a="1"/>
  <c r="G229" i="9" s="1"/>
  <c r="G230" i="9" a="1"/>
  <c r="G230" i="9" s="1"/>
  <c r="G231" i="9" a="1"/>
  <c r="G231" i="9" s="1"/>
  <c r="G232" i="9" a="1"/>
  <c r="G232" i="9" s="1"/>
  <c r="G233" i="9" a="1"/>
  <c r="G233" i="9" s="1"/>
  <c r="G234" i="9" a="1"/>
  <c r="G234" i="9" s="1"/>
  <c r="G235" i="9" a="1"/>
  <c r="G235" i="9" s="1"/>
  <c r="G236" i="9" a="1"/>
  <c r="G236" i="9" s="1"/>
  <c r="G237" i="9" a="1"/>
  <c r="G237" i="9" s="1"/>
  <c r="G238" i="9" a="1"/>
  <c r="G238" i="9"/>
  <c r="G239" i="9" a="1"/>
  <c r="G239" i="9" s="1"/>
  <c r="G240" i="9" a="1"/>
  <c r="G240" i="9" s="1"/>
  <c r="G241" i="9" a="1"/>
  <c r="G241" i="9"/>
  <c r="G242" i="9" a="1"/>
  <c r="G242" i="9" s="1"/>
  <c r="G243" i="9" a="1"/>
  <c r="G243" i="9" s="1"/>
  <c r="G244" i="9" a="1"/>
  <c r="G244" i="9" s="1"/>
  <c r="G245" i="9" a="1"/>
  <c r="G245" i="9" s="1"/>
  <c r="G246" i="9" a="1"/>
  <c r="G246" i="9" s="1"/>
  <c r="G247" i="9" a="1"/>
  <c r="G247" i="9" s="1"/>
  <c r="G248" i="9" a="1"/>
  <c r="G248" i="9" s="1"/>
  <c r="G249" i="9" a="1"/>
  <c r="G249" i="9" s="1"/>
  <c r="G250" i="9" a="1"/>
  <c r="G250" i="9" s="1"/>
  <c r="G251" i="9" a="1"/>
  <c r="G251" i="9" s="1"/>
  <c r="G252" i="9" a="1"/>
  <c r="G252" i="9" s="1"/>
  <c r="G253" i="9" a="1"/>
  <c r="G253" i="9" s="1"/>
  <c r="G254" i="9" a="1"/>
  <c r="G254" i="9" s="1"/>
  <c r="G255" i="9" a="1"/>
  <c r="G255" i="9"/>
  <c r="G256" i="9" a="1"/>
  <c r="G256" i="9"/>
  <c r="G257" i="9" a="1"/>
  <c r="G257" i="9" s="1"/>
  <c r="G258" i="9" a="1"/>
  <c r="G258" i="9" s="1"/>
  <c r="G259" i="9" a="1"/>
  <c r="G259" i="9" s="1"/>
  <c r="G260" i="9" a="1"/>
  <c r="G260" i="9" s="1"/>
  <c r="G261" i="9" a="1"/>
  <c r="G261" i="9" s="1"/>
  <c r="G262" i="9" a="1"/>
  <c r="G262" i="9" s="1"/>
  <c r="G263" i="9" a="1"/>
  <c r="G263" i="9" s="1"/>
  <c r="G264" i="9" a="1"/>
  <c r="G264" i="9" s="1"/>
  <c r="G265" i="9" a="1"/>
  <c r="G265" i="9" s="1"/>
  <c r="G266" i="9" a="1"/>
  <c r="G266" i="9" s="1"/>
  <c r="G267" i="9" a="1"/>
  <c r="G267" i="9" s="1"/>
  <c r="G268" i="9" a="1"/>
  <c r="G268" i="9" s="1"/>
  <c r="G269" i="9" a="1"/>
  <c r="G269" i="9" s="1"/>
  <c r="G270" i="9" a="1"/>
  <c r="G270" i="9"/>
  <c r="G271" i="9" a="1"/>
  <c r="G271" i="9" s="1"/>
  <c r="G272" i="9" a="1"/>
  <c r="G272" i="9" s="1"/>
  <c r="G273" i="9" a="1"/>
  <c r="G273" i="9" s="1"/>
  <c r="G274" i="9" a="1"/>
  <c r="G274" i="9" s="1"/>
  <c r="G275" i="9" a="1"/>
  <c r="G275" i="9" s="1"/>
  <c r="G276" i="9" a="1"/>
  <c r="G276" i="9" s="1"/>
  <c r="G277" i="9" a="1"/>
  <c r="G277" i="9" s="1"/>
  <c r="G278" i="9" a="1"/>
  <c r="G278" i="9" s="1"/>
  <c r="G279" i="9" a="1"/>
  <c r="G279" i="9" s="1"/>
  <c r="G280" i="9" a="1"/>
  <c r="G280" i="9" s="1"/>
  <c r="G281" i="9" a="1"/>
  <c r="G281" i="9"/>
  <c r="G282" i="9" a="1"/>
  <c r="G282" i="9" s="1"/>
  <c r="G283" i="9" a="1"/>
  <c r="G283" i="9" s="1"/>
  <c r="G284" i="9" a="1"/>
  <c r="G284" i="9" s="1"/>
  <c r="G285" i="9" a="1"/>
  <c r="G285" i="9" s="1"/>
  <c r="G286" i="9" a="1"/>
  <c r="G286" i="9" s="1"/>
  <c r="G287" i="9" a="1"/>
  <c r="G287" i="9" s="1"/>
  <c r="G288" i="9" a="1"/>
  <c r="G288" i="9" s="1"/>
  <c r="G289" i="9" a="1"/>
  <c r="G289" i="9"/>
  <c r="G290" i="9" a="1"/>
  <c r="G290" i="9" s="1"/>
  <c r="G291" i="9" a="1"/>
  <c r="G291" i="9" s="1"/>
  <c r="G292" i="9" a="1"/>
  <c r="G292" i="9" s="1"/>
  <c r="G293" i="9" a="1"/>
  <c r="G293" i="9"/>
  <c r="G294" i="9" a="1"/>
  <c r="G294" i="9"/>
  <c r="G295" i="9" a="1"/>
  <c r="G295" i="9" s="1"/>
  <c r="G296" i="9" a="1"/>
  <c r="G296" i="9" s="1"/>
  <c r="G297" i="9" a="1"/>
  <c r="G297" i="9" s="1"/>
  <c r="G298" i="9" a="1"/>
  <c r="G298" i="9" s="1"/>
  <c r="G299" i="9" a="1"/>
  <c r="G299" i="9" s="1"/>
  <c r="G300" i="9" a="1"/>
  <c r="G300" i="9" s="1"/>
  <c r="G301" i="9" a="1"/>
  <c r="G301" i="9" s="1"/>
  <c r="G302" i="9" a="1"/>
  <c r="G302" i="9" s="1"/>
  <c r="G303" i="9" a="1"/>
  <c r="G303" i="9"/>
  <c r="G304" i="9" a="1"/>
  <c r="G304" i="9"/>
  <c r="G305" i="9" a="1"/>
  <c r="G305" i="9" s="1"/>
  <c r="G306" i="9" a="1"/>
  <c r="G306" i="9" s="1"/>
  <c r="G307" i="9" a="1"/>
  <c r="G307" i="9" s="1"/>
  <c r="G308" i="9" a="1"/>
  <c r="G308" i="9" s="1"/>
  <c r="G309" i="9" a="1"/>
  <c r="G309" i="9" s="1"/>
  <c r="G310" i="9" a="1"/>
  <c r="G310" i="9" s="1"/>
  <c r="G311" i="9" a="1"/>
  <c r="G311" i="9" s="1"/>
  <c r="G312" i="9" a="1"/>
  <c r="G312" i="9"/>
  <c r="G313" i="9" a="1"/>
  <c r="G313" i="9"/>
  <c r="G314" i="9" a="1"/>
  <c r="G314" i="9" s="1"/>
  <c r="G315" i="9" a="1"/>
  <c r="G315" i="9" s="1"/>
  <c r="G316" i="9" a="1"/>
  <c r="G316" i="9" s="1"/>
  <c r="G317" i="9" a="1"/>
  <c r="G317" i="9" s="1"/>
  <c r="G318" i="9" a="1"/>
  <c r="G318" i="9" s="1"/>
  <c r="G319" i="9" a="1"/>
  <c r="G319" i="9" s="1"/>
  <c r="G320" i="9" a="1"/>
  <c r="G320" i="9"/>
  <c r="G321" i="9" a="1"/>
  <c r="G321" i="9" s="1"/>
  <c r="G322" i="9" a="1"/>
  <c r="G322" i="9" s="1"/>
  <c r="G323" i="9" a="1"/>
  <c r="G323" i="9" s="1"/>
  <c r="G324" i="9" a="1"/>
  <c r="G324" i="9" s="1"/>
  <c r="G325" i="9" a="1"/>
  <c r="G325" i="9"/>
  <c r="G326" i="9" a="1"/>
  <c r="G326" i="9"/>
  <c r="G327" i="9" a="1"/>
  <c r="G327" i="9" s="1"/>
  <c r="G328" i="9" a="1"/>
  <c r="G328" i="9" s="1"/>
  <c r="G329" i="9" a="1"/>
  <c r="G329" i="9" s="1"/>
  <c r="G330" i="9" a="1"/>
  <c r="G330" i="9" s="1"/>
  <c r="G331" i="9" a="1"/>
  <c r="G331" i="9" s="1"/>
  <c r="G332" i="9" a="1"/>
  <c r="G332" i="9" s="1"/>
  <c r="G333" i="9" a="1"/>
  <c r="G333" i="9" s="1"/>
  <c r="G334" i="9" a="1"/>
  <c r="G334" i="9" s="1"/>
  <c r="G335" i="9" a="1"/>
  <c r="G335" i="9" s="1"/>
  <c r="G336" i="9" a="1"/>
  <c r="G336" i="9" s="1"/>
  <c r="G337" i="9" a="1"/>
  <c r="G337" i="9" s="1"/>
  <c r="G338" i="9" a="1"/>
  <c r="G338" i="9" s="1"/>
  <c r="G339" i="9" a="1"/>
  <c r="G339" i="9" s="1"/>
  <c r="G340" i="9" a="1"/>
  <c r="G340" i="9" s="1"/>
  <c r="G341" i="9" a="1"/>
  <c r="G341" i="9"/>
  <c r="G342" i="9" a="1"/>
  <c r="G342" i="9"/>
  <c r="G343" i="9" a="1"/>
  <c r="G343" i="9" s="1"/>
  <c r="G344" i="9" a="1"/>
  <c r="G344" i="9" s="1"/>
  <c r="G345" i="9" a="1"/>
  <c r="G345" i="9" s="1"/>
  <c r="G346" i="9" a="1"/>
  <c r="G346" i="9" s="1"/>
  <c r="G347" i="9" a="1"/>
  <c r="G347" i="9" s="1"/>
  <c r="G348" i="9" a="1"/>
  <c r="G348" i="9" s="1"/>
  <c r="G349" i="9" a="1"/>
  <c r="G349" i="9" s="1"/>
  <c r="G350" i="9" a="1"/>
  <c r="G350" i="9" s="1"/>
  <c r="G351" i="9" a="1"/>
  <c r="G351" i="9" s="1"/>
  <c r="G352" i="9" a="1"/>
  <c r="G352" i="9"/>
  <c r="G353" i="9" a="1"/>
  <c r="G353" i="9"/>
  <c r="G354" i="9" a="1"/>
  <c r="G354" i="9" s="1"/>
  <c r="G355" i="9" a="1"/>
  <c r="G355" i="9" s="1"/>
  <c r="G356" i="9" a="1"/>
  <c r="G356" i="9" s="1"/>
  <c r="G357" i="9" a="1"/>
  <c r="G357" i="9" s="1"/>
  <c r="G358" i="9" a="1"/>
  <c r="G358" i="9" s="1"/>
  <c r="G359" i="9" a="1"/>
  <c r="G359" i="9" s="1"/>
  <c r="G360" i="9" a="1"/>
  <c r="G360" i="9" s="1"/>
  <c r="G361" i="9" a="1"/>
  <c r="G361" i="9" s="1"/>
  <c r="G362" i="9" a="1"/>
  <c r="G362" i="9" s="1"/>
  <c r="G363" i="9" a="1"/>
  <c r="G363" i="9" s="1"/>
  <c r="G364" i="9" a="1"/>
  <c r="G364" i="9" s="1"/>
  <c r="G365" i="9" a="1"/>
  <c r="G365" i="9" s="1"/>
  <c r="G366" i="9" a="1"/>
  <c r="G366" i="9" s="1"/>
  <c r="G367" i="9" a="1"/>
  <c r="G367" i="9" s="1"/>
  <c r="G368" i="9" a="1"/>
  <c r="G368" i="9"/>
  <c r="G369" i="9" a="1"/>
  <c r="G369" i="9"/>
  <c r="G370" i="9" a="1"/>
  <c r="G370" i="9" s="1"/>
  <c r="G371" i="9" a="1"/>
  <c r="G371" i="9" s="1"/>
  <c r="G372" i="9" a="1"/>
  <c r="G372" i="9" s="1"/>
  <c r="G373" i="9" a="1"/>
  <c r="G373" i="9"/>
  <c r="G374" i="9" a="1"/>
  <c r="G374" i="9" s="1"/>
  <c r="G375" i="9" a="1"/>
  <c r="G375" i="9" s="1"/>
  <c r="G376" i="9" a="1"/>
  <c r="G376" i="9" s="1"/>
  <c r="G377" i="9" a="1"/>
  <c r="G377" i="9" s="1"/>
  <c r="G378" i="9" a="1"/>
  <c r="G378" i="9" s="1"/>
  <c r="G379" i="9" a="1"/>
  <c r="G379" i="9" s="1"/>
  <c r="G380" i="9" a="1"/>
  <c r="G380" i="9" s="1"/>
  <c r="G381" i="9" a="1"/>
  <c r="G381" i="9"/>
  <c r="G382" i="9" a="1"/>
  <c r="G382" i="9" s="1"/>
  <c r="G383" i="9" a="1"/>
  <c r="G383" i="9" s="1"/>
  <c r="G384" i="9" a="1"/>
  <c r="G384" i="9" s="1"/>
  <c r="G385" i="9" a="1"/>
  <c r="G385" i="9" s="1"/>
  <c r="G386" i="9" a="1"/>
  <c r="G386" i="9" s="1"/>
  <c r="G387" i="9" a="1"/>
  <c r="G387" i="9" s="1"/>
  <c r="G388" i="9" a="1"/>
  <c r="G388" i="9" s="1"/>
  <c r="G389" i="9" a="1"/>
  <c r="G389" i="9" s="1"/>
  <c r="G390" i="9" a="1"/>
  <c r="G390" i="9" s="1"/>
  <c r="G391" i="9" a="1"/>
  <c r="G391" i="9"/>
  <c r="G392" i="9" a="1"/>
  <c r="G392" i="9" s="1"/>
  <c r="G393" i="9" a="1"/>
  <c r="G393" i="9" s="1"/>
  <c r="G394" i="9" a="1"/>
  <c r="G394" i="9" s="1"/>
  <c r="G395" i="9" a="1"/>
  <c r="G395" i="9" s="1"/>
  <c r="G396" i="9" a="1"/>
  <c r="G396" i="9" s="1"/>
  <c r="G397" i="9" a="1"/>
  <c r="G397" i="9" s="1"/>
  <c r="G398" i="9" a="1"/>
  <c r="G398" i="9"/>
  <c r="G399" i="9" a="1"/>
  <c r="G399" i="9"/>
  <c r="G400" i="9" a="1"/>
  <c r="G400" i="9" s="1"/>
  <c r="G401" i="9" a="1"/>
  <c r="G401" i="9" s="1"/>
  <c r="G402" i="9" a="1"/>
  <c r="G402" i="9" s="1"/>
  <c r="G403" i="9" a="1"/>
  <c r="G403" i="9" s="1"/>
  <c r="G404" i="9" a="1"/>
  <c r="G404" i="9" s="1"/>
  <c r="G405" i="9" a="1"/>
  <c r="G405" i="9" s="1"/>
  <c r="G406" i="9" a="1"/>
  <c r="G406" i="9" s="1"/>
  <c r="G407" i="9" a="1"/>
  <c r="G407" i="9" s="1"/>
  <c r="G408" i="9" a="1"/>
  <c r="G408" i="9" s="1"/>
  <c r="G409" i="9" a="1"/>
  <c r="G409" i="9"/>
  <c r="G410" i="9" a="1"/>
  <c r="G410" i="9" s="1"/>
  <c r="G411" i="9" a="1"/>
  <c r="G411" i="9" s="1"/>
  <c r="G412" i="9" a="1"/>
  <c r="G412" i="9" s="1"/>
  <c r="G413" i="9" a="1"/>
  <c r="G413" i="9" s="1"/>
  <c r="G414" i="9" a="1"/>
  <c r="G414" i="9"/>
  <c r="G415" i="9" a="1"/>
  <c r="G415" i="9" s="1"/>
  <c r="G416" i="9" a="1"/>
  <c r="G416" i="9" s="1"/>
  <c r="G417" i="9" a="1"/>
  <c r="G417" i="9" s="1"/>
  <c r="G418" i="9" a="1"/>
  <c r="G418" i="9" s="1"/>
  <c r="G419" i="9" a="1"/>
  <c r="G419" i="9" s="1"/>
  <c r="G420" i="9" a="1"/>
  <c r="G420" i="9" s="1"/>
  <c r="G421" i="9" a="1"/>
  <c r="G421" i="9" s="1"/>
  <c r="G422" i="9" a="1"/>
  <c r="G422" i="9" s="1"/>
  <c r="G423" i="9" a="1"/>
  <c r="G423" i="9"/>
  <c r="G424" i="9" a="1"/>
  <c r="G424" i="9" s="1"/>
  <c r="G425" i="9" a="1"/>
  <c r="G425" i="9" s="1"/>
  <c r="G426" i="9" a="1"/>
  <c r="G426" i="9" s="1"/>
  <c r="G427" i="9" a="1"/>
  <c r="G427" i="9" s="1"/>
  <c r="G428" i="9" a="1"/>
  <c r="G428" i="9" s="1"/>
  <c r="G429" i="9" a="1"/>
  <c r="G429" i="9"/>
  <c r="G430" i="9" a="1"/>
  <c r="G430" i="9" s="1"/>
  <c r="G431" i="9" a="1"/>
  <c r="G431" i="9" s="1"/>
  <c r="G432" i="9" a="1"/>
  <c r="G432" i="9" s="1"/>
  <c r="G433" i="9" a="1"/>
  <c r="G433" i="9" s="1"/>
  <c r="G434" i="9" a="1"/>
  <c r="G434" i="9" s="1"/>
  <c r="G435" i="9" a="1"/>
  <c r="G435" i="9" s="1"/>
  <c r="G436" i="9" a="1"/>
  <c r="G436" i="9" s="1"/>
  <c r="G437" i="9" a="1"/>
  <c r="G437" i="9" s="1"/>
  <c r="G438" i="9" a="1"/>
  <c r="G438" i="9" s="1"/>
  <c r="G439" i="9" a="1"/>
  <c r="G439" i="9" s="1"/>
  <c r="G440" i="9" a="1"/>
  <c r="G440" i="9" s="1"/>
  <c r="G441" i="9" a="1"/>
  <c r="G441" i="9"/>
  <c r="G442" i="9" a="1"/>
  <c r="G442" i="9" s="1"/>
  <c r="G443" i="9" a="1"/>
  <c r="G443" i="9" s="1"/>
  <c r="G444" i="9" a="1"/>
  <c r="G444" i="9" s="1"/>
  <c r="G445" i="9" a="1"/>
  <c r="G445" i="9"/>
  <c r="G446" i="9" a="1"/>
  <c r="G446" i="9" s="1"/>
  <c r="G447" i="9" a="1"/>
  <c r="G447" i="9" s="1"/>
  <c r="G448" i="9" a="1"/>
  <c r="G448" i="9" s="1"/>
  <c r="G449" i="9" a="1"/>
  <c r="G449" i="9" s="1"/>
  <c r="G450" i="9" a="1"/>
  <c r="G450" i="9" s="1"/>
  <c r="G451" i="9" a="1"/>
  <c r="G451" i="9" s="1"/>
  <c r="G452" i="9" a="1"/>
  <c r="G452" i="9" s="1"/>
  <c r="G453" i="9" a="1"/>
  <c r="G453" i="9" s="1"/>
  <c r="G454" i="9" a="1"/>
  <c r="G454" i="9" s="1"/>
  <c r="G455" i="9" a="1"/>
  <c r="G455" i="9" s="1"/>
  <c r="G456" i="9" a="1"/>
  <c r="G456" i="9" s="1"/>
  <c r="G457" i="9" a="1"/>
  <c r="G457" i="9" s="1"/>
  <c r="G458" i="9" a="1"/>
  <c r="G458" i="9" s="1"/>
  <c r="G459" i="9" a="1"/>
  <c r="G459" i="9" s="1"/>
  <c r="G460" i="9" a="1"/>
  <c r="G460" i="9" s="1"/>
  <c r="G461" i="9" a="1"/>
  <c r="G461" i="9" s="1"/>
  <c r="G462" i="9" a="1"/>
  <c r="G462" i="9"/>
  <c r="G463" i="9" a="1"/>
  <c r="G463" i="9" s="1"/>
  <c r="G464" i="9" a="1"/>
  <c r="G464" i="9" s="1"/>
  <c r="G465" i="9" a="1"/>
  <c r="G465" i="9" s="1"/>
  <c r="G466" i="9" a="1"/>
  <c r="G466" i="9" s="1"/>
  <c r="G467" i="9" a="1"/>
  <c r="G467" i="9" s="1"/>
  <c r="G468" i="9" a="1"/>
  <c r="G468" i="9" s="1"/>
  <c r="G469" i="9" a="1"/>
  <c r="G469" i="9"/>
  <c r="G470" i="9" a="1"/>
  <c r="G470" i="9" s="1"/>
  <c r="G471" i="9" a="1"/>
  <c r="G471" i="9"/>
  <c r="G472" i="9" a="1"/>
  <c r="G472" i="9"/>
  <c r="G473" i="9" a="1"/>
  <c r="G473" i="9" s="1"/>
  <c r="G474" i="9" a="1"/>
  <c r="G474" i="9" s="1"/>
  <c r="G475" i="9" a="1"/>
  <c r="G475" i="9" s="1"/>
  <c r="G476" i="9" a="1"/>
  <c r="G476" i="9" s="1"/>
  <c r="G477" i="9" a="1"/>
  <c r="G477" i="9"/>
  <c r="G478" i="9" a="1"/>
  <c r="G478" i="9" s="1"/>
  <c r="G479" i="9" a="1"/>
  <c r="G479" i="9" s="1"/>
  <c r="G480" i="9" a="1"/>
  <c r="G480" i="9" s="1"/>
  <c r="G481" i="9" a="1"/>
  <c r="G481" i="9" s="1"/>
  <c r="G482" i="9" a="1"/>
  <c r="G482" i="9" s="1"/>
  <c r="G483" i="9" a="1"/>
  <c r="G483" i="9" s="1"/>
  <c r="G484" i="9" a="1"/>
  <c r="G484" i="9" s="1"/>
  <c r="G485" i="9" a="1"/>
  <c r="G485" i="9" s="1"/>
  <c r="G486" i="9" a="1"/>
  <c r="G486" i="9" s="1"/>
  <c r="G487" i="9" a="1"/>
  <c r="G487" i="9" s="1"/>
  <c r="G488" i="9" a="1"/>
  <c r="G488" i="9" s="1"/>
  <c r="G489" i="9" a="1"/>
  <c r="G489" i="9"/>
  <c r="G490" i="9" a="1"/>
  <c r="G490" i="9" s="1"/>
  <c r="G491" i="9" a="1"/>
  <c r="G491" i="9" s="1"/>
  <c r="G492" i="9" a="1"/>
  <c r="G492" i="9" s="1"/>
  <c r="G493" i="9" a="1"/>
  <c r="G493" i="9" s="1"/>
  <c r="G494" i="9" a="1"/>
  <c r="G494" i="9"/>
  <c r="G495" i="9" a="1"/>
  <c r="G495" i="9" s="1"/>
  <c r="G496" i="9" a="1"/>
  <c r="G496" i="9"/>
  <c r="G497" i="9" a="1"/>
  <c r="G497" i="9"/>
  <c r="G498" i="9" a="1"/>
  <c r="G498" i="9" s="1"/>
  <c r="G499" i="9" a="1"/>
  <c r="G499" i="9" s="1"/>
  <c r="G500" i="9" a="1"/>
  <c r="G500" i="9" s="1"/>
  <c r="G501" i="9" a="1"/>
  <c r="G501" i="9"/>
  <c r="G502" i="9" a="1"/>
  <c r="G502" i="9" s="1"/>
  <c r="G503" i="9" a="1"/>
  <c r="G503" i="9" s="1"/>
  <c r="G504" i="9" a="1"/>
  <c r="G504" i="9" s="1"/>
  <c r="G505" i="9" a="1"/>
  <c r="G505" i="9" s="1"/>
  <c r="G506" i="9" a="1"/>
  <c r="G506" i="9" s="1"/>
  <c r="G507" i="9" a="1"/>
  <c r="G507" i="9" s="1"/>
  <c r="G508" i="9" a="1"/>
  <c r="G508" i="9" s="1"/>
  <c r="G509" i="9" a="1"/>
  <c r="G509" i="9"/>
  <c r="G510" i="9" a="1"/>
  <c r="G510" i="9"/>
  <c r="G511" i="9" a="1"/>
  <c r="G511" i="9" s="1"/>
  <c r="G512" i="9" a="1"/>
  <c r="G512" i="9" s="1"/>
  <c r="G513" i="9" a="1"/>
  <c r="G513" i="9" s="1"/>
  <c r="G514" i="9" a="1"/>
  <c r="G514" i="9" s="1"/>
  <c r="G515" i="9" a="1"/>
  <c r="G515" i="9" s="1"/>
  <c r="G516" i="9" a="1"/>
  <c r="G516" i="9" s="1"/>
  <c r="G517" i="9" a="1"/>
  <c r="G517" i="9" s="1"/>
  <c r="G518" i="9" a="1"/>
  <c r="G518" i="9"/>
  <c r="G519" i="9" a="1"/>
  <c r="G519" i="9"/>
  <c r="G520" i="9" a="1"/>
  <c r="G520" i="9"/>
  <c r="G521" i="9" a="1"/>
  <c r="G521" i="9"/>
  <c r="G522" i="9" a="1"/>
  <c r="G522" i="9" s="1"/>
  <c r="G523" i="9" a="1"/>
  <c r="G523" i="9" s="1"/>
  <c r="G524" i="9" a="1"/>
  <c r="G524" i="9" s="1"/>
  <c r="G525" i="9" a="1"/>
  <c r="G525" i="9" s="1"/>
  <c r="G526" i="9" a="1"/>
  <c r="G526" i="9" s="1"/>
  <c r="G527" i="9" a="1"/>
  <c r="G527" i="9" s="1"/>
  <c r="G528" i="9" a="1"/>
  <c r="G528" i="9" s="1"/>
  <c r="G529" i="9" a="1"/>
  <c r="G529" i="9"/>
  <c r="G530" i="9" a="1"/>
  <c r="G530" i="9" s="1"/>
  <c r="G531" i="9" a="1"/>
  <c r="G531" i="9" s="1"/>
  <c r="G532" i="9" a="1"/>
  <c r="G532" i="9" s="1"/>
  <c r="G533" i="9" a="1"/>
  <c r="G533" i="9"/>
  <c r="G534" i="9" a="1"/>
  <c r="G534" i="9" s="1"/>
  <c r="G535" i="9" a="1"/>
  <c r="G535" i="9" s="1"/>
  <c r="G536" i="9" a="1"/>
  <c r="G536" i="9" s="1"/>
  <c r="G537" i="9" a="1"/>
  <c r="G537" i="9" s="1"/>
  <c r="G538" i="9" a="1"/>
  <c r="G538" i="9" s="1"/>
  <c r="G539" i="9" a="1"/>
  <c r="G539" i="9" s="1"/>
  <c r="G540" i="9" a="1"/>
  <c r="G540" i="9" s="1"/>
  <c r="G541" i="9" a="1"/>
  <c r="G541" i="9" s="1"/>
  <c r="G542" i="9" a="1"/>
  <c r="G542" i="9" s="1"/>
  <c r="G543" i="9" a="1"/>
  <c r="G543" i="9"/>
  <c r="G544" i="9" a="1"/>
  <c r="G544" i="9" s="1"/>
  <c r="G545" i="9" a="1"/>
  <c r="G545" i="9" s="1"/>
  <c r="G546" i="9" a="1"/>
  <c r="G546" i="9" s="1"/>
  <c r="G547" i="9" a="1"/>
  <c r="G547" i="9" s="1"/>
  <c r="G548" i="9" a="1"/>
  <c r="G548" i="9" s="1"/>
  <c r="G549" i="9" a="1"/>
  <c r="G549" i="9"/>
  <c r="G550" i="9" a="1"/>
  <c r="G550" i="9" s="1"/>
  <c r="G551" i="9" a="1"/>
  <c r="G551" i="9" s="1"/>
  <c r="G552" i="9" a="1"/>
  <c r="G552" i="9" s="1"/>
  <c r="G553" i="9" a="1"/>
  <c r="G553" i="9" s="1"/>
  <c r="G554" i="9" a="1"/>
  <c r="G554" i="9" s="1"/>
  <c r="G555" i="9" a="1"/>
  <c r="G555" i="9" s="1"/>
  <c r="G556" i="9" a="1"/>
  <c r="G556" i="9" s="1"/>
  <c r="G557" i="9" a="1"/>
  <c r="G557" i="9" s="1"/>
  <c r="G558" i="9" a="1"/>
  <c r="G558" i="9"/>
  <c r="G559" i="9" a="1"/>
  <c r="G559" i="9"/>
  <c r="G560" i="9" a="1"/>
  <c r="G560" i="9" s="1"/>
  <c r="G561" i="9" a="1"/>
  <c r="G561" i="9" s="1"/>
  <c r="G562" i="9" a="1"/>
  <c r="G562" i="9" s="1"/>
  <c r="G563" i="9" a="1"/>
  <c r="G563" i="9" s="1"/>
  <c r="G564" i="9" a="1"/>
  <c r="G564" i="9" s="1"/>
  <c r="G565" i="9" a="1"/>
  <c r="G565" i="9" s="1"/>
  <c r="G566" i="9" a="1"/>
  <c r="G566" i="9" s="1"/>
  <c r="G567" i="9" a="1"/>
  <c r="G567" i="9" s="1"/>
  <c r="G568" i="9" a="1"/>
  <c r="G568" i="9" s="1"/>
  <c r="G569" i="9" a="1"/>
  <c r="G569" i="9" s="1"/>
  <c r="G570" i="9" a="1"/>
  <c r="G570" i="9" s="1"/>
  <c r="G571" i="9" a="1"/>
  <c r="G571" i="9" s="1"/>
  <c r="G572" i="9" a="1"/>
  <c r="G572" i="9" s="1"/>
  <c r="G573" i="9" a="1"/>
  <c r="G573" i="9" s="1"/>
  <c r="G574" i="9" a="1"/>
  <c r="G574" i="9" s="1"/>
  <c r="G575" i="9" a="1"/>
  <c r="G575" i="9"/>
  <c r="G576" i="9" a="1"/>
  <c r="G576" i="9"/>
  <c r="G577" i="9" a="1"/>
  <c r="G577" i="9" s="1"/>
  <c r="G578" i="9" a="1"/>
  <c r="G578" i="9" s="1"/>
  <c r="G579" i="9" a="1"/>
  <c r="G579" i="9" s="1"/>
  <c r="G580" i="9" a="1"/>
  <c r="G580" i="9" s="1"/>
  <c r="G581" i="9" a="1"/>
  <c r="G581" i="9" s="1"/>
  <c r="G582" i="9" a="1"/>
  <c r="G582" i="9" s="1"/>
  <c r="G583" i="9" a="1"/>
  <c r="G583" i="9" s="1"/>
  <c r="G584" i="9" a="1"/>
  <c r="G584" i="9" s="1"/>
  <c r="G585" i="9" a="1"/>
  <c r="G585" i="9" s="1"/>
  <c r="G586" i="9" a="1"/>
  <c r="G586" i="9" s="1"/>
  <c r="G587" i="9" a="1"/>
  <c r="G587" i="9" s="1"/>
  <c r="G588" i="9" a="1"/>
  <c r="G588" i="9" s="1"/>
  <c r="G589" i="9" a="1"/>
  <c r="G589" i="9"/>
  <c r="G590" i="9" a="1"/>
  <c r="G590" i="9" s="1"/>
  <c r="G591" i="9" a="1"/>
  <c r="G591" i="9"/>
  <c r="G592" i="9" a="1"/>
  <c r="G592" i="9" s="1"/>
  <c r="G593" i="9" a="1"/>
  <c r="G593" i="9" s="1"/>
  <c r="G594" i="9" a="1"/>
  <c r="G594" i="9" s="1"/>
  <c r="G595" i="9" a="1"/>
  <c r="G595" i="9" s="1"/>
  <c r="G596" i="9" a="1"/>
  <c r="G596" i="9" s="1"/>
  <c r="G597" i="9" a="1"/>
  <c r="G597" i="9" s="1"/>
  <c r="G598" i="9" a="1"/>
  <c r="G598" i="9"/>
  <c r="G599" i="9" a="1"/>
  <c r="G599" i="9"/>
  <c r="G600" i="9" a="1"/>
  <c r="G600" i="9" s="1"/>
  <c r="G601" i="9" a="1"/>
  <c r="G601" i="9"/>
  <c r="G602" i="9" a="1"/>
  <c r="G602" i="9" s="1"/>
  <c r="G603" i="9" a="1"/>
  <c r="G603" i="9" s="1"/>
  <c r="G604" i="9" a="1"/>
  <c r="G604" i="9" s="1"/>
  <c r="G605" i="9" a="1"/>
  <c r="G605" i="9" s="1"/>
  <c r="G606" i="9" a="1"/>
  <c r="G606" i="9" s="1"/>
  <c r="G607" i="9" a="1"/>
  <c r="G607" i="9"/>
  <c r="G608" i="9" a="1"/>
  <c r="G608" i="9"/>
  <c r="G609" i="9" a="1"/>
  <c r="G609" i="9" s="1"/>
  <c r="G610" i="9" a="1"/>
  <c r="G610" i="9" s="1"/>
  <c r="G611" i="9" a="1"/>
  <c r="G611" i="9" s="1"/>
  <c r="G612" i="9" a="1"/>
  <c r="G612" i="9" s="1"/>
  <c r="G613" i="9" a="1"/>
  <c r="G613" i="9" s="1"/>
  <c r="G614" i="9" a="1"/>
  <c r="G614" i="9" s="1"/>
  <c r="G615" i="9" a="1"/>
  <c r="G615" i="9" s="1"/>
  <c r="G616" i="9" a="1"/>
  <c r="G616" i="9" s="1"/>
  <c r="G617" i="9" a="1"/>
  <c r="G617" i="9" s="1"/>
  <c r="G618" i="9" a="1"/>
  <c r="G618" i="9" s="1"/>
  <c r="G619" i="9" a="1"/>
  <c r="G619" i="9" s="1"/>
  <c r="G620" i="9" a="1"/>
  <c r="G620" i="9" s="1"/>
  <c r="G621" i="9" a="1"/>
  <c r="G621" i="9"/>
  <c r="G622" i="9" a="1"/>
  <c r="G622" i="9" s="1"/>
  <c r="G623" i="9" a="1"/>
  <c r="G623" i="9" s="1"/>
  <c r="G624" i="9" a="1"/>
  <c r="G624" i="9" s="1"/>
  <c r="G625" i="9" a="1"/>
  <c r="G625" i="9"/>
  <c r="G626" i="9" a="1"/>
  <c r="G626" i="9" s="1"/>
  <c r="G627" i="9" a="1"/>
  <c r="G627" i="9" s="1"/>
  <c r="G628" i="9" a="1"/>
  <c r="G628" i="9" s="1"/>
  <c r="G629" i="9" a="1"/>
  <c r="G629" i="9" s="1"/>
  <c r="G630" i="9" a="1"/>
  <c r="G630" i="9" s="1"/>
  <c r="G631" i="9" a="1"/>
  <c r="G631" i="9"/>
  <c r="G632" i="9" a="1"/>
  <c r="G632" i="9" s="1"/>
  <c r="G633" i="9" a="1"/>
  <c r="G633" i="9" s="1"/>
  <c r="G634" i="9" a="1"/>
  <c r="G634" i="9" s="1"/>
  <c r="G635" i="9" a="1"/>
  <c r="G635" i="9" s="1"/>
  <c r="G636" i="9" a="1"/>
  <c r="G636" i="9" s="1"/>
  <c r="G637" i="9" a="1"/>
  <c r="G637" i="9" s="1"/>
  <c r="G638" i="9" a="1"/>
  <c r="G638" i="9"/>
  <c r="G639" i="9" a="1"/>
  <c r="G639" i="9"/>
  <c r="G640" i="9" a="1"/>
  <c r="G640" i="9" s="1"/>
  <c r="G641" i="9" a="1"/>
  <c r="G641" i="9" s="1"/>
  <c r="G642" i="9" a="1"/>
  <c r="G642" i="9" s="1"/>
  <c r="G643" i="9" a="1"/>
  <c r="G643" i="9" s="1"/>
  <c r="G644" i="9" a="1"/>
  <c r="G644" i="9" s="1"/>
  <c r="G645" i="9" a="1"/>
  <c r="G645" i="9" s="1"/>
  <c r="G646" i="9" a="1"/>
  <c r="G646" i="9" s="1"/>
  <c r="G647" i="9" a="1"/>
  <c r="G647" i="9" s="1"/>
  <c r="G648" i="9" a="1"/>
  <c r="G648" i="9" s="1"/>
  <c r="G649" i="9" a="1"/>
  <c r="G649" i="9"/>
  <c r="G650" i="9" a="1"/>
  <c r="G650" i="9" s="1"/>
  <c r="G651" i="9" a="1"/>
  <c r="G651" i="9" s="1"/>
  <c r="G652" i="9" a="1"/>
  <c r="G652" i="9" s="1"/>
  <c r="G653" i="9" a="1"/>
  <c r="G653" i="9" s="1"/>
  <c r="G654" i="9" a="1"/>
  <c r="G654" i="9" s="1"/>
  <c r="G655" i="9" a="1"/>
  <c r="G655" i="9" s="1"/>
  <c r="G656" i="9" a="1"/>
  <c r="G656" i="9" s="1"/>
  <c r="G657" i="9" a="1"/>
  <c r="G657" i="9" s="1"/>
  <c r="G658" i="9" a="1"/>
  <c r="G658" i="9" s="1"/>
  <c r="G659" i="9" a="1"/>
  <c r="G659" i="9" s="1"/>
  <c r="G660" i="9" a="1"/>
  <c r="G660" i="9" s="1"/>
  <c r="G661" i="9" a="1"/>
  <c r="G661" i="9" s="1"/>
  <c r="G662" i="9" a="1"/>
  <c r="G662" i="9" s="1"/>
  <c r="G663" i="9" a="1"/>
  <c r="G663" i="9" s="1"/>
  <c r="G664" i="9" a="1"/>
  <c r="G664" i="9" s="1"/>
  <c r="G665" i="9" a="1"/>
  <c r="G665" i="9" s="1"/>
  <c r="G666" i="9" a="1"/>
  <c r="G666" i="9" s="1"/>
  <c r="G667" i="9" a="1"/>
  <c r="G667" i="9" s="1"/>
  <c r="G668" i="9" a="1"/>
  <c r="G668" i="9" s="1"/>
  <c r="G669" i="9" a="1"/>
  <c r="G669" i="9" s="1"/>
  <c r="G670" i="9" a="1"/>
  <c r="G670" i="9"/>
  <c r="G671" i="9" a="1"/>
  <c r="G671" i="9"/>
  <c r="G672" i="9" a="1"/>
  <c r="G672" i="9" s="1"/>
  <c r="G673" i="9" a="1"/>
  <c r="G673" i="9"/>
  <c r="G674" i="9" a="1"/>
  <c r="G674" i="9" s="1"/>
  <c r="G675" i="9" a="1"/>
  <c r="G675" i="9" s="1"/>
  <c r="G676" i="9" a="1"/>
  <c r="G676" i="9" s="1"/>
  <c r="G677" i="9" a="1"/>
  <c r="G677" i="9" s="1"/>
  <c r="G678" i="9" a="1"/>
  <c r="G678" i="9"/>
  <c r="G679" i="9" a="1"/>
  <c r="G679" i="9" s="1"/>
  <c r="G680" i="9" a="1"/>
  <c r="G680" i="9" s="1"/>
  <c r="G681" i="9" a="1"/>
  <c r="G681" i="9" s="1"/>
  <c r="G682" i="9" a="1"/>
  <c r="G682" i="9" s="1"/>
  <c r="G683" i="9" a="1"/>
  <c r="G683" i="9" s="1"/>
  <c r="G684" i="9" a="1"/>
  <c r="G684" i="9"/>
  <c r="G685" i="9" a="1"/>
  <c r="G685" i="9"/>
  <c r="G686" i="9" a="1"/>
  <c r="G686" i="9" s="1"/>
  <c r="G687" i="9" a="1"/>
  <c r="G687" i="9" s="1"/>
  <c r="G688" i="9" a="1"/>
  <c r="G688" i="9" s="1"/>
  <c r="G689" i="9" a="1"/>
  <c r="G689" i="9" s="1"/>
  <c r="G690" i="9" a="1"/>
  <c r="G690" i="9" s="1"/>
  <c r="G691" i="9" a="1"/>
  <c r="G691" i="9" s="1"/>
  <c r="G692" i="9" a="1"/>
  <c r="G692" i="9" s="1"/>
  <c r="G693" i="9" a="1"/>
  <c r="G693" i="9" s="1"/>
  <c r="G694" i="9" a="1"/>
  <c r="G694" i="9"/>
  <c r="G695" i="9" a="1"/>
  <c r="G695" i="9"/>
  <c r="G696" i="9" a="1"/>
  <c r="G696" i="9" s="1"/>
  <c r="G697" i="9" a="1"/>
  <c r="G697" i="9" s="1"/>
  <c r="G698" i="9" a="1"/>
  <c r="G698" i="9" s="1"/>
  <c r="G699" i="9" a="1"/>
  <c r="G699" i="9" s="1"/>
  <c r="G700" i="9" a="1"/>
  <c r="G700" i="9" s="1"/>
  <c r="G701" i="9" a="1"/>
  <c r="G701" i="9" s="1"/>
  <c r="G702" i="9" a="1"/>
  <c r="G702" i="9"/>
  <c r="G703" i="9" a="1"/>
  <c r="G703" i="9" s="1"/>
  <c r="G704" i="9" a="1"/>
  <c r="G704" i="9" s="1"/>
  <c r="G705" i="9" a="1"/>
  <c r="G705" i="9" s="1"/>
  <c r="G706" i="9" a="1"/>
  <c r="G706" i="9" s="1"/>
  <c r="G707" i="9" a="1"/>
  <c r="G707" i="9" s="1"/>
  <c r="G708" i="9" a="1"/>
  <c r="G708" i="9"/>
  <c r="G709" i="9" a="1"/>
  <c r="G709" i="9"/>
  <c r="G710" i="9" a="1"/>
  <c r="G710" i="9" s="1"/>
  <c r="G711" i="9" a="1"/>
  <c r="G711" i="9" s="1"/>
  <c r="G712" i="9" a="1"/>
  <c r="G712" i="9" s="1"/>
  <c r="G713" i="9" a="1"/>
  <c r="G713" i="9" s="1"/>
  <c r="G714" i="9" a="1"/>
  <c r="G714" i="9" s="1"/>
  <c r="G715" i="9" a="1"/>
  <c r="G715" i="9" s="1"/>
  <c r="G716" i="9" a="1"/>
  <c r="G716" i="9" s="1"/>
  <c r="G717" i="9" a="1"/>
  <c r="G717" i="9" s="1"/>
  <c r="G718" i="9" a="1"/>
  <c r="G718" i="9" s="1"/>
  <c r="G719" i="9" a="1"/>
  <c r="G719" i="9" s="1"/>
  <c r="G720" i="9" a="1"/>
  <c r="G720" i="9"/>
  <c r="G721" i="9" a="1"/>
  <c r="G721" i="9" s="1"/>
  <c r="G722" i="9" a="1"/>
  <c r="G722" i="9" s="1"/>
  <c r="G723" i="9" a="1"/>
  <c r="G723" i="9" s="1"/>
  <c r="G724" i="9" a="1"/>
  <c r="G724" i="9"/>
  <c r="G725" i="9" a="1"/>
  <c r="G725" i="9" s="1"/>
  <c r="G726" i="9" a="1"/>
  <c r="G726" i="9" s="1"/>
  <c r="G727" i="9" a="1"/>
  <c r="G727" i="9" s="1"/>
  <c r="G728" i="9" a="1"/>
  <c r="G728" i="9" s="1"/>
  <c r="G729" i="9" a="1"/>
  <c r="G729" i="9" s="1"/>
  <c r="G730" i="9" a="1"/>
  <c r="G730" i="9" s="1"/>
  <c r="G731" i="9" a="1"/>
  <c r="G731" i="9" s="1"/>
  <c r="G732" i="9" a="1"/>
  <c r="G732" i="9"/>
  <c r="G733" i="9" a="1"/>
  <c r="G733" i="9"/>
  <c r="G734" i="9" a="1"/>
  <c r="G734" i="9"/>
  <c r="G735" i="9" a="1"/>
  <c r="G735" i="9" s="1"/>
  <c r="G736" i="9" a="1"/>
  <c r="G736" i="9"/>
  <c r="G737" i="9" a="1"/>
  <c r="G737" i="9" s="1"/>
  <c r="G738" i="9" a="1"/>
  <c r="G738" i="9" s="1"/>
  <c r="G739" i="9" a="1"/>
  <c r="G739" i="9" s="1"/>
  <c r="G740" i="9" a="1"/>
  <c r="G740" i="9" s="1"/>
  <c r="G741" i="9" a="1"/>
  <c r="G741" i="9" s="1"/>
  <c r="G742" i="9" a="1"/>
  <c r="G742" i="9" s="1"/>
  <c r="G743" i="9" a="1"/>
  <c r="G743" i="9"/>
  <c r="G744" i="9" a="1"/>
  <c r="G744" i="9"/>
  <c r="G745" i="9" a="1"/>
  <c r="G745" i="9" s="1"/>
  <c r="G746" i="9" a="1"/>
  <c r="G746" i="9" s="1"/>
  <c r="G747" i="9" a="1"/>
  <c r="G747" i="9" s="1"/>
  <c r="G748" i="9" a="1"/>
  <c r="G748" i="9" s="1"/>
  <c r="G749" i="9" a="1"/>
  <c r="G749" i="9" s="1"/>
  <c r="G750" i="9" a="1"/>
  <c r="G750" i="9" s="1"/>
  <c r="G751" i="9" a="1"/>
  <c r="G751" i="9" s="1"/>
  <c r="G752" i="9" a="1"/>
  <c r="G752" i="9" s="1"/>
  <c r="G753" i="9" a="1"/>
  <c r="G753" i="9" s="1"/>
  <c r="G754" i="9" a="1"/>
  <c r="G754" i="9" s="1"/>
  <c r="G755" i="9" a="1"/>
  <c r="G755" i="9" s="1"/>
  <c r="G756" i="9" a="1"/>
  <c r="G756" i="9" s="1"/>
  <c r="G757" i="9" a="1"/>
  <c r="G757" i="9"/>
  <c r="G758" i="9" a="1"/>
  <c r="G758" i="9"/>
  <c r="G759" i="9" a="1"/>
  <c r="G759" i="9" s="1"/>
  <c r="G760" i="9" a="1"/>
  <c r="G760" i="9" s="1"/>
  <c r="G761" i="9" a="1"/>
  <c r="G761" i="9" s="1"/>
  <c r="G762" i="9" a="1"/>
  <c r="G762" i="9" s="1"/>
  <c r="G763" i="9" a="1"/>
  <c r="G763" i="9" s="1"/>
  <c r="G764" i="9" a="1"/>
  <c r="G764" i="9" s="1"/>
  <c r="G765" i="9" a="1"/>
  <c r="G765" i="9" s="1"/>
  <c r="G766" i="9" a="1"/>
  <c r="G766" i="9"/>
  <c r="G767" i="9" a="1"/>
  <c r="G767" i="9" s="1"/>
  <c r="G768" i="9" a="1"/>
  <c r="G768" i="9" s="1"/>
  <c r="G769" i="9" a="1"/>
  <c r="G769" i="9" s="1"/>
  <c r="G770" i="9" a="1"/>
  <c r="G770" i="9" s="1"/>
  <c r="G771" i="9" a="1"/>
  <c r="G771" i="9" s="1"/>
  <c r="G772" i="9" a="1"/>
  <c r="G772" i="9" s="1"/>
  <c r="G773" i="9" a="1"/>
  <c r="G773" i="9"/>
  <c r="G774" i="9" a="1"/>
  <c r="G774" i="9" s="1"/>
  <c r="G775" i="9" a="1"/>
  <c r="G775" i="9" s="1"/>
  <c r="G776" i="9" a="1"/>
  <c r="G776" i="9" s="1"/>
  <c r="G777" i="9" a="1"/>
  <c r="G777" i="9" s="1"/>
  <c r="G778" i="9" a="1"/>
  <c r="G778" i="9" s="1"/>
  <c r="G779" i="9" a="1"/>
  <c r="G779" i="9" s="1"/>
  <c r="G780" i="9" a="1"/>
  <c r="G780" i="9"/>
  <c r="G781" i="9" a="1"/>
  <c r="G781" i="9"/>
  <c r="G782" i="9" a="1"/>
  <c r="G782" i="9"/>
  <c r="G783" i="9" a="1"/>
  <c r="G783" i="9"/>
  <c r="G784" i="9" a="1"/>
  <c r="G784" i="9" s="1"/>
  <c r="G785" i="9" a="1"/>
  <c r="G785" i="9" s="1"/>
  <c r="G786" i="9" a="1"/>
  <c r="G786" i="9" s="1"/>
  <c r="G787" i="9" a="1"/>
  <c r="G787" i="9" s="1"/>
  <c r="G788" i="9" a="1"/>
  <c r="G788" i="9"/>
  <c r="G789" i="9" a="1"/>
  <c r="G789" i="9" s="1"/>
  <c r="G790" i="9" a="1"/>
  <c r="G790" i="9" s="1"/>
  <c r="G791" i="9" a="1"/>
  <c r="G791" i="9" s="1"/>
  <c r="G792" i="9" a="1"/>
  <c r="G792" i="9"/>
  <c r="G793" i="9" a="1"/>
  <c r="G793" i="9" s="1"/>
  <c r="G794" i="9" a="1"/>
  <c r="G794" i="9" s="1"/>
  <c r="G795" i="9" a="1"/>
  <c r="G795" i="9" s="1"/>
  <c r="G796" i="9" a="1"/>
  <c r="G796" i="9"/>
  <c r="G797" i="9" a="1"/>
  <c r="G797" i="9" s="1"/>
  <c r="G798" i="9" a="1"/>
  <c r="G798" i="9" s="1"/>
  <c r="G799" i="9" a="1"/>
  <c r="G799" i="9" s="1"/>
  <c r="G800" i="9" a="1"/>
  <c r="G800" i="9"/>
  <c r="G801" i="9" a="1"/>
  <c r="G801" i="9" s="1"/>
  <c r="G802" i="9" a="1"/>
  <c r="G802" i="9" s="1"/>
  <c r="G803" i="9" a="1"/>
  <c r="G803" i="9" s="1"/>
  <c r="G804" i="9" a="1"/>
  <c r="G804" i="9"/>
  <c r="G805" i="9" a="1"/>
  <c r="G805" i="9" s="1"/>
  <c r="G806" i="9" a="1"/>
  <c r="G806" i="9"/>
  <c r="G807" i="9" a="1"/>
  <c r="G807" i="9"/>
  <c r="G808" i="9" a="1"/>
  <c r="G808" i="9" s="1"/>
  <c r="G809" i="9" a="1"/>
  <c r="G809" i="9" s="1"/>
  <c r="G810" i="9" a="1"/>
  <c r="G810" i="9" s="1"/>
  <c r="G811" i="9" a="1"/>
  <c r="G811" i="9" s="1"/>
  <c r="G812" i="9" a="1"/>
  <c r="G812" i="9"/>
  <c r="G813" i="9" a="1"/>
  <c r="G813" i="9" s="1"/>
  <c r="G814" i="9" a="1"/>
  <c r="G814" i="9" s="1"/>
  <c r="G815" i="9" a="1"/>
  <c r="G815" i="9"/>
  <c r="G816" i="9" a="1"/>
  <c r="G816" i="9" s="1"/>
  <c r="G817" i="9" a="1"/>
  <c r="G817" i="9" s="1"/>
  <c r="G818" i="9" a="1"/>
  <c r="G818" i="9" s="1"/>
  <c r="G819" i="9" a="1"/>
  <c r="G819" i="9" s="1"/>
  <c r="G820" i="9" a="1"/>
  <c r="G820" i="9" s="1"/>
  <c r="G821" i="9" a="1"/>
  <c r="G821" i="9" s="1"/>
  <c r="G822" i="9" a="1"/>
  <c r="G822" i="9" s="1"/>
  <c r="G823" i="9" a="1"/>
  <c r="G823" i="9" s="1"/>
  <c r="G824" i="9" a="1"/>
  <c r="G824" i="9" s="1"/>
  <c r="G825" i="9" a="1"/>
  <c r="G825" i="9" s="1"/>
  <c r="G826" i="9" a="1"/>
  <c r="G826" i="9" s="1"/>
  <c r="G827" i="9" a="1"/>
  <c r="G827" i="9" s="1"/>
  <c r="G828" i="9" a="1"/>
  <c r="G828" i="9" s="1"/>
  <c r="G829" i="9" a="1"/>
  <c r="G829" i="9" s="1"/>
  <c r="G830" i="9" a="1"/>
  <c r="G830" i="9"/>
  <c r="G831" i="9" a="1"/>
  <c r="G831" i="9"/>
  <c r="G832" i="9" a="1"/>
  <c r="G832" i="9" s="1"/>
  <c r="G833" i="9" a="1"/>
  <c r="G833" i="9" s="1"/>
  <c r="G834" i="9" a="1"/>
  <c r="G834" i="9" s="1"/>
  <c r="G835" i="9" a="1"/>
  <c r="G835" i="9" s="1"/>
  <c r="G836" i="9" a="1"/>
  <c r="G836" i="9"/>
  <c r="G837" i="9" a="1"/>
  <c r="G837" i="9"/>
  <c r="G838" i="9" a="1"/>
  <c r="G838" i="9" s="1"/>
  <c r="G839" i="9" a="1"/>
  <c r="G839" i="9" s="1"/>
  <c r="G840" i="9" a="1"/>
  <c r="G840" i="9" s="1"/>
  <c r="G841" i="9" a="1"/>
  <c r="G841" i="9" s="1"/>
  <c r="G842" i="9" a="1"/>
  <c r="G842" i="9" s="1"/>
  <c r="G843" i="9" a="1"/>
  <c r="G843" i="9" s="1"/>
  <c r="G844" i="9" a="1"/>
  <c r="G844" i="9" s="1"/>
  <c r="G845" i="9" a="1"/>
  <c r="G845" i="9" s="1"/>
  <c r="G846" i="9" a="1"/>
  <c r="G846" i="9" s="1"/>
  <c r="G847" i="9" a="1"/>
  <c r="G847" i="9" s="1"/>
  <c r="G848" i="9" a="1"/>
  <c r="G848" i="9"/>
  <c r="G849" i="9" a="1"/>
  <c r="G849" i="9" s="1"/>
  <c r="G850" i="9" a="1"/>
  <c r="G850" i="9" s="1"/>
  <c r="G851" i="9" a="1"/>
  <c r="G851" i="9" s="1"/>
  <c r="G852" i="9" a="1"/>
  <c r="G852" i="9"/>
  <c r="G853" i="9" a="1"/>
  <c r="G853" i="9" s="1"/>
  <c r="G854" i="9" a="1"/>
  <c r="G854" i="9" s="1"/>
  <c r="G855" i="9" a="1"/>
  <c r="G855" i="9"/>
  <c r="G856" i="9" a="1"/>
  <c r="G856" i="9" s="1"/>
  <c r="G857" i="9" a="1"/>
  <c r="G857" i="9" s="1"/>
  <c r="G858" i="9" a="1"/>
  <c r="G858" i="9" s="1"/>
  <c r="G859" i="9" a="1"/>
  <c r="G859" i="9" s="1"/>
  <c r="G860" i="9" a="1"/>
  <c r="G860" i="9"/>
  <c r="G861" i="9" a="1"/>
  <c r="G861" i="9"/>
  <c r="G862" i="9" a="1"/>
  <c r="G862" i="9"/>
  <c r="G863" i="9" a="1"/>
  <c r="G863" i="9" s="1"/>
  <c r="G864" i="9" a="1"/>
  <c r="G864" i="9" s="1"/>
  <c r="G865" i="9" a="1"/>
  <c r="G865" i="9" s="1"/>
  <c r="G866" i="9" a="1"/>
  <c r="G866" i="9" s="1"/>
  <c r="G867" i="9" a="1"/>
  <c r="G867" i="9" s="1"/>
  <c r="G868" i="9" a="1"/>
  <c r="G868" i="9" s="1"/>
  <c r="G869" i="9" a="1"/>
  <c r="G869" i="9" s="1"/>
  <c r="G870" i="9" a="1"/>
  <c r="G870" i="9" s="1"/>
  <c r="G871" i="9" a="1"/>
  <c r="G871" i="9"/>
  <c r="G872" i="9" a="1"/>
  <c r="G872" i="9"/>
  <c r="G873" i="9" a="1"/>
  <c r="G873" i="9" s="1"/>
  <c r="G874" i="9" a="1"/>
  <c r="G874" i="9" s="1"/>
  <c r="G875" i="9" a="1"/>
  <c r="G875" i="9" s="1"/>
  <c r="G876" i="9" a="1"/>
  <c r="G876" i="9" s="1"/>
  <c r="G877" i="9" a="1"/>
  <c r="G877" i="9" s="1"/>
  <c r="G878" i="9" a="1"/>
  <c r="G878" i="9" s="1"/>
  <c r="G879" i="9" a="1"/>
  <c r="G879" i="9"/>
  <c r="G880" i="9" a="1"/>
  <c r="G880" i="9" s="1"/>
  <c r="G881" i="9" a="1"/>
  <c r="G881" i="9" s="1"/>
  <c r="G882" i="9" a="1"/>
  <c r="G882" i="9" s="1"/>
  <c r="G883" i="9" a="1"/>
  <c r="G883" i="9" s="1"/>
  <c r="G884" i="9" a="1"/>
  <c r="G884" i="9" s="1"/>
  <c r="G885" i="9" a="1"/>
  <c r="G885" i="9"/>
  <c r="G886" i="9" a="1"/>
  <c r="G886" i="9"/>
  <c r="G887" i="9" a="1"/>
  <c r="G887" i="9" s="1"/>
  <c r="G888" i="9" a="1"/>
  <c r="G888" i="9" s="1"/>
  <c r="G889" i="9" a="1"/>
  <c r="G889" i="9" s="1"/>
  <c r="G890" i="9" a="1"/>
  <c r="G890" i="9" s="1"/>
  <c r="G891" i="9" a="1"/>
  <c r="G891" i="9" s="1"/>
  <c r="G892" i="9" a="1"/>
  <c r="G892" i="9" s="1"/>
  <c r="G893" i="9" a="1"/>
  <c r="G893" i="9" s="1"/>
  <c r="G894" i="9" a="1"/>
  <c r="G894" i="9" s="1"/>
  <c r="G895" i="9" a="1"/>
  <c r="G895" i="9" s="1"/>
  <c r="G896" i="9" a="1"/>
  <c r="G896" i="9" s="1"/>
  <c r="G897" i="9" a="1"/>
  <c r="G897" i="9" s="1"/>
  <c r="G898" i="9" a="1"/>
  <c r="G898" i="9" s="1"/>
  <c r="G899" i="9" a="1"/>
  <c r="G899" i="9" s="1"/>
  <c r="G900" i="9" a="1"/>
  <c r="G900" i="9" s="1"/>
  <c r="G901" i="9" a="1"/>
  <c r="G901" i="9"/>
  <c r="G902" i="9" a="1"/>
  <c r="G902" i="9"/>
  <c r="G903" i="9" a="1"/>
  <c r="G903" i="9" s="1"/>
  <c r="G904" i="9" a="1"/>
  <c r="G904" i="9" s="1"/>
  <c r="G905" i="9" a="1"/>
  <c r="G905" i="9" s="1"/>
  <c r="G906" i="9" a="1"/>
  <c r="G906" i="9" s="1"/>
  <c r="G907" i="9" a="1"/>
  <c r="G907" i="9" s="1"/>
  <c r="G908" i="9" a="1"/>
  <c r="G908" i="9"/>
  <c r="G909" i="9" a="1"/>
  <c r="G909" i="9"/>
  <c r="G910" i="9" a="1"/>
  <c r="G910" i="9"/>
  <c r="G911" i="9" a="1"/>
  <c r="G911" i="9"/>
  <c r="G912" i="9" a="1"/>
  <c r="G912" i="9" s="1"/>
  <c r="G913" i="9" a="1"/>
  <c r="G913" i="9" s="1"/>
  <c r="G914" i="9" a="1"/>
  <c r="G914" i="9" s="1"/>
  <c r="G915" i="9" a="1"/>
  <c r="G915" i="9" s="1"/>
  <c r="G916" i="9" a="1"/>
  <c r="G916" i="9" s="1"/>
  <c r="G917" i="9" a="1"/>
  <c r="G917" i="9" s="1"/>
  <c r="G918" i="9" a="1"/>
  <c r="G918" i="9" s="1"/>
  <c r="G919" i="9" a="1"/>
  <c r="G919" i="9" s="1"/>
  <c r="G920" i="9" a="1"/>
  <c r="G920" i="9"/>
  <c r="G921" i="9" a="1"/>
  <c r="G921" i="9" s="1"/>
  <c r="G922" i="9" a="1"/>
  <c r="G922" i="9" s="1"/>
  <c r="G923" i="9" a="1"/>
  <c r="G923" i="9" s="1"/>
  <c r="G924" i="9" a="1"/>
  <c r="G924" i="9" s="1"/>
  <c r="G925" i="9" a="1"/>
  <c r="G925" i="9" s="1"/>
  <c r="G926" i="9" a="1"/>
  <c r="G926" i="9" s="1"/>
  <c r="G927" i="9" a="1"/>
  <c r="G927" i="9"/>
  <c r="G928" i="9" a="1"/>
  <c r="G928" i="9" s="1"/>
  <c r="G929" i="9" a="1"/>
  <c r="G929" i="9" s="1"/>
  <c r="G930" i="9" a="1"/>
  <c r="G930" i="9" s="1"/>
  <c r="G931" i="9" a="1"/>
  <c r="G931" i="9" s="1"/>
  <c r="G932" i="9" a="1"/>
  <c r="G932" i="9"/>
  <c r="G933" i="9" a="1"/>
  <c r="G933" i="9" s="1"/>
  <c r="G934" i="9" a="1"/>
  <c r="G934" i="9"/>
  <c r="G935" i="9" a="1"/>
  <c r="G935" i="9"/>
  <c r="G936" i="9" a="1"/>
  <c r="G936" i="9" s="1"/>
  <c r="G937" i="9" a="1"/>
  <c r="G937" i="9" s="1"/>
  <c r="G938" i="9" a="1"/>
  <c r="G938" i="9" s="1"/>
  <c r="G939" i="9" a="1"/>
  <c r="G939" i="9" s="1"/>
  <c r="G940" i="9" a="1"/>
  <c r="G940" i="9"/>
  <c r="G941" i="9" a="1"/>
  <c r="G941" i="9" s="1"/>
  <c r="G942" i="9" a="1"/>
  <c r="G942" i="9" s="1"/>
  <c r="G943" i="9" a="1"/>
  <c r="G943" i="9" s="1"/>
  <c r="G944" i="9" a="1"/>
  <c r="G944" i="9" s="1"/>
  <c r="G945" i="9" a="1"/>
  <c r="G945" i="9" s="1"/>
  <c r="G946" i="9" a="1"/>
  <c r="G946" i="9" s="1"/>
  <c r="G947" i="9" a="1"/>
  <c r="G947" i="9" s="1"/>
  <c r="G948" i="9" a="1"/>
  <c r="G948" i="9" s="1"/>
  <c r="G949" i="9" a="1"/>
  <c r="G949" i="9" s="1"/>
  <c r="G950" i="9" a="1"/>
  <c r="G950" i="9"/>
  <c r="G951" i="9" a="1"/>
  <c r="G951" i="9"/>
  <c r="G952" i="9" a="1"/>
  <c r="G952" i="9" s="1"/>
  <c r="G953" i="9" a="1"/>
  <c r="G953" i="9" s="1"/>
  <c r="G954" i="9" a="1"/>
  <c r="G954" i="9" s="1"/>
  <c r="G955" i="9" a="1"/>
  <c r="G955" i="9" s="1"/>
  <c r="G956" i="9" a="1"/>
  <c r="G956" i="9" s="1"/>
  <c r="G957" i="9" a="1"/>
  <c r="G957" i="9"/>
  <c r="G958" i="9" a="1"/>
  <c r="G958" i="9" s="1"/>
  <c r="G959" i="9" a="1"/>
  <c r="G959" i="9"/>
  <c r="G960" i="9" a="1"/>
  <c r="G960" i="9"/>
  <c r="G961" i="9" a="1"/>
  <c r="G961" i="9" s="1"/>
  <c r="G962" i="9" a="1"/>
  <c r="G962" i="9" s="1"/>
  <c r="G963" i="9" a="1"/>
  <c r="G963" i="9" s="1"/>
  <c r="G964" i="9" a="1"/>
  <c r="G964" i="9"/>
  <c r="G965" i="9" a="1"/>
  <c r="G965" i="9" s="1"/>
  <c r="G966" i="9" a="1"/>
  <c r="G966" i="9" s="1"/>
  <c r="G967" i="9" a="1"/>
  <c r="G967" i="9" s="1"/>
  <c r="G968" i="9" a="1"/>
  <c r="G968" i="9" s="1"/>
  <c r="G969" i="9" a="1"/>
  <c r="G969" i="9" s="1"/>
  <c r="G970" i="9" a="1"/>
  <c r="G970" i="9" s="1"/>
  <c r="G971" i="9" a="1"/>
  <c r="G971" i="9" s="1"/>
  <c r="G972" i="9" a="1"/>
  <c r="G972" i="9" s="1"/>
  <c r="G973" i="9" a="1"/>
  <c r="G973" i="9"/>
  <c r="G974" i="9" a="1"/>
  <c r="G974" i="9" s="1"/>
  <c r="G975" i="9" a="1"/>
  <c r="G975" i="9" s="1"/>
  <c r="G976" i="9" a="1"/>
  <c r="G976" i="9"/>
  <c r="G977" i="9" a="1"/>
  <c r="G977" i="9" s="1"/>
  <c r="G978" i="9" a="1"/>
  <c r="G978" i="9" s="1"/>
  <c r="G979" i="9" a="1"/>
  <c r="G979" i="9" s="1"/>
  <c r="G980" i="9" a="1"/>
  <c r="G980" i="9" s="1"/>
  <c r="G981" i="9" a="1"/>
  <c r="G981" i="9" s="1"/>
  <c r="G982" i="9" a="1"/>
  <c r="G982" i="9" s="1"/>
  <c r="G983" i="9" a="1"/>
  <c r="G983" i="9"/>
  <c r="G984" i="9" a="1"/>
  <c r="G984" i="9"/>
  <c r="G985" i="9" a="1"/>
  <c r="G985" i="9" s="1"/>
  <c r="G986" i="9" a="1"/>
  <c r="G986" i="9" s="1"/>
  <c r="G987" i="9" a="1"/>
  <c r="G987" i="9" s="1"/>
  <c r="G988" i="9" a="1"/>
  <c r="G988" i="9" s="1"/>
  <c r="G989" i="9" a="1"/>
  <c r="G989" i="9"/>
  <c r="G990" i="9" a="1"/>
  <c r="G990" i="9" s="1"/>
  <c r="G991" i="9" a="1"/>
  <c r="G991" i="9" s="1"/>
  <c r="G992" i="9" a="1"/>
  <c r="G992" i="9" s="1"/>
  <c r="G993" i="9" a="1"/>
  <c r="G993" i="9" s="1"/>
  <c r="G994" i="9" a="1"/>
  <c r="G994" i="9" s="1"/>
  <c r="G995" i="9" a="1"/>
  <c r="G995" i="9" s="1"/>
  <c r="G996" i="9" a="1"/>
  <c r="G996" i="9" s="1"/>
  <c r="G997" i="9" a="1"/>
  <c r="G997" i="9" s="1"/>
  <c r="G998" i="9" a="1"/>
  <c r="G998" i="9" s="1"/>
  <c r="G999" i="9" a="1"/>
  <c r="G999" i="9"/>
  <c r="G1000" i="9" a="1"/>
  <c r="G1000" i="9"/>
  <c r="G1001" i="9" a="1"/>
  <c r="G1001" i="9" s="1"/>
  <c r="Q2" i="9" a="1"/>
  <c r="Q2" i="9" s="1"/>
  <c r="Q3" i="9" a="1"/>
  <c r="Q3" i="9" s="1"/>
  <c r="Q4" i="9" a="1"/>
  <c r="Q4" i="9" s="1"/>
  <c r="Q5" i="9" a="1"/>
  <c r="Q5" i="9" s="1"/>
  <c r="Q6" i="9" a="1"/>
  <c r="Q6" i="9" s="1"/>
  <c r="Q7" i="9" a="1"/>
  <c r="Q7" i="9" s="1"/>
  <c r="Q8" i="9" a="1"/>
  <c r="Q8" i="9" s="1"/>
  <c r="Q9" i="9" a="1"/>
  <c r="Q9" i="9" s="1"/>
  <c r="Q10" i="9" a="1"/>
  <c r="Q10" i="9" s="1"/>
  <c r="Q11" i="9" a="1"/>
  <c r="Q11" i="9" s="1"/>
  <c r="Q12" i="9" a="1"/>
  <c r="Q12" i="9" s="1"/>
  <c r="Q13" i="9" a="1"/>
  <c r="Q13" i="9" s="1"/>
  <c r="Q14" i="9" a="1"/>
  <c r="Q14" i="9" s="1"/>
  <c r="Q15" i="9" a="1"/>
  <c r="Q15" i="9" s="1"/>
  <c r="Q16" i="9" a="1"/>
  <c r="Q16" i="9" s="1"/>
  <c r="Q17" i="9" a="1"/>
  <c r="Q17" i="9" s="1"/>
  <c r="Q18" i="9" a="1"/>
  <c r="Q18" i="9" s="1"/>
  <c r="Q19" i="9" a="1"/>
  <c r="Q19" i="9" s="1"/>
  <c r="Q20" i="9" a="1"/>
  <c r="Q20" i="9" s="1"/>
  <c r="Q21" i="9" a="1"/>
  <c r="Q21" i="9" s="1"/>
  <c r="Q22" i="9" a="1"/>
  <c r="Q22" i="9" s="1"/>
  <c r="Q23" i="9" a="1"/>
  <c r="Q23" i="9" s="1"/>
  <c r="Q24" i="9" a="1"/>
  <c r="Q24" i="9" s="1"/>
  <c r="Q25" i="9" a="1"/>
  <c r="Q25" i="9" s="1"/>
  <c r="Q26" i="9" a="1"/>
  <c r="Q26" i="9" s="1"/>
  <c r="Q27" i="9" a="1"/>
  <c r="Q27" i="9" s="1"/>
  <c r="Q28" i="9" a="1"/>
  <c r="Q28" i="9" s="1"/>
  <c r="Q29" i="9" a="1"/>
  <c r="Q29" i="9" s="1"/>
  <c r="Q30" i="9" a="1"/>
  <c r="Q30" i="9" s="1"/>
  <c r="Q31" i="9" a="1"/>
  <c r="Q31" i="9" s="1"/>
  <c r="Q32" i="9" a="1"/>
  <c r="Q32" i="9" s="1"/>
  <c r="Q33" i="9" a="1"/>
  <c r="Q33" i="9" s="1"/>
  <c r="Q34" i="9" a="1"/>
  <c r="Q34" i="9" s="1"/>
  <c r="Q35" i="9" a="1"/>
  <c r="Q35" i="9" s="1"/>
  <c r="Q36" i="9" a="1"/>
  <c r="Q36" i="9" s="1"/>
  <c r="Q37" i="9" a="1"/>
  <c r="Q37" i="9" s="1"/>
  <c r="Q38" i="9" a="1"/>
  <c r="Q38" i="9" s="1"/>
  <c r="Q39" i="9" a="1"/>
  <c r="Q39" i="9"/>
  <c r="Q40" i="9" a="1"/>
  <c r="Q40" i="9" s="1"/>
  <c r="Q41" i="9" a="1"/>
  <c r="Q41" i="9" s="1"/>
  <c r="Q42" i="9" a="1"/>
  <c r="Q42" i="9" s="1"/>
  <c r="Q43" i="9" a="1"/>
  <c r="Q43" i="9" s="1"/>
  <c r="Q44" i="9" a="1"/>
  <c r="Q44" i="9" s="1"/>
  <c r="Q45" i="9" a="1"/>
  <c r="Q45" i="9" s="1"/>
  <c r="Q46" i="9" a="1"/>
  <c r="Q46" i="9" s="1"/>
  <c r="Q47" i="9" a="1"/>
  <c r="Q47" i="9" s="1"/>
  <c r="Q48" i="9" a="1"/>
  <c r="Q48" i="9" s="1"/>
  <c r="Q49" i="9" a="1"/>
  <c r="Q49" i="9" s="1"/>
  <c r="Q50" i="9" a="1"/>
  <c r="Q50" i="9" s="1"/>
  <c r="Q51" i="9" a="1"/>
  <c r="Q51" i="9" s="1"/>
  <c r="Q52" i="9" a="1"/>
  <c r="Q52" i="9" s="1"/>
  <c r="Q53" i="9" a="1"/>
  <c r="Q53" i="9" s="1"/>
  <c r="Q54" i="9" a="1"/>
  <c r="Q54" i="9" s="1"/>
  <c r="Q55" i="9" a="1"/>
  <c r="Q55" i="9" s="1"/>
  <c r="Q56" i="9" a="1"/>
  <c r="Q56" i="9" s="1"/>
  <c r="Q57" i="9" a="1"/>
  <c r="Q57" i="9" s="1"/>
  <c r="Q58" i="9" a="1"/>
  <c r="Q58" i="9" s="1"/>
  <c r="Q59" i="9" a="1"/>
  <c r="Q59" i="9" s="1"/>
  <c r="Q60" i="9" a="1"/>
  <c r="Q60" i="9" s="1"/>
  <c r="Q61" i="9" a="1"/>
  <c r="Q61" i="9" s="1"/>
  <c r="Q62" i="9" a="1"/>
  <c r="Q62" i="9" s="1"/>
  <c r="Q63" i="9" a="1"/>
  <c r="Q63" i="9" s="1"/>
  <c r="Q64" i="9" a="1"/>
  <c r="Q64" i="9" s="1"/>
  <c r="Q65" i="9" a="1"/>
  <c r="Q65" i="9"/>
  <c r="Q66" i="9" a="1"/>
  <c r="Q66" i="9" s="1"/>
  <c r="Q67" i="9" a="1"/>
  <c r="Q67" i="9" s="1"/>
  <c r="Q68" i="9" a="1"/>
  <c r="Q68" i="9" s="1"/>
  <c r="Q69" i="9" a="1"/>
  <c r="Q69" i="9" s="1"/>
  <c r="Q70" i="9" a="1"/>
  <c r="Q70" i="9" s="1"/>
  <c r="Q71" i="9" a="1"/>
  <c r="Q71" i="9" s="1"/>
  <c r="Q72" i="9" a="1"/>
  <c r="Q72" i="9" s="1"/>
  <c r="Q73" i="9" a="1"/>
  <c r="Q73" i="9" s="1"/>
  <c r="Q74" i="9" a="1"/>
  <c r="Q74" i="9" s="1"/>
  <c r="Q75" i="9" a="1"/>
  <c r="Q75" i="9" s="1"/>
  <c r="Q76" i="9" a="1"/>
  <c r="Q76" i="9" s="1"/>
  <c r="Q77" i="9" a="1"/>
  <c r="Q77" i="9" s="1"/>
  <c r="Q78" i="9" a="1"/>
  <c r="Q78" i="9" s="1"/>
  <c r="Q79" i="9" a="1"/>
  <c r="Q79" i="9"/>
  <c r="Q80" i="9" a="1"/>
  <c r="Q80" i="9" s="1"/>
  <c r="Q81" i="9" a="1"/>
  <c r="Q81" i="9" s="1"/>
  <c r="Q82" i="9" a="1"/>
  <c r="Q82" i="9" s="1"/>
  <c r="Q83" i="9" a="1"/>
  <c r="Q83" i="9" s="1"/>
  <c r="Q84" i="9" a="1"/>
  <c r="Q84" i="9" s="1"/>
  <c r="Q85" i="9" a="1"/>
  <c r="Q85" i="9"/>
  <c r="Q86" i="9" a="1"/>
  <c r="Q86" i="9" s="1"/>
  <c r="Q87" i="9" a="1"/>
  <c r="Q87" i="9" s="1"/>
  <c r="Q88" i="9" a="1"/>
  <c r="Q88" i="9" s="1"/>
  <c r="Q89" i="9" a="1"/>
  <c r="Q89" i="9" s="1"/>
  <c r="Q90" i="9" a="1"/>
  <c r="Q90" i="9" s="1"/>
  <c r="Q91" i="9" a="1"/>
  <c r="Q91" i="9" s="1"/>
  <c r="Q92" i="9" a="1"/>
  <c r="Q92" i="9" s="1"/>
  <c r="Q93" i="9" a="1"/>
  <c r="Q93" i="9" s="1"/>
  <c r="Q94" i="9" a="1"/>
  <c r="Q94" i="9" s="1"/>
  <c r="Q95" i="9" a="1"/>
  <c r="Q95" i="9"/>
  <c r="Q96" i="9" a="1"/>
  <c r="Q96" i="9" s="1"/>
  <c r="Q97" i="9" a="1"/>
  <c r="Q97" i="9" s="1"/>
  <c r="Q98" i="9" a="1"/>
  <c r="Q98" i="9" s="1"/>
  <c r="Q99" i="9" a="1"/>
  <c r="Q99" i="9" s="1"/>
  <c r="Q100" i="9" a="1"/>
  <c r="Q100" i="9" s="1"/>
  <c r="Q101" i="9" a="1"/>
  <c r="Q101" i="9" s="1"/>
  <c r="Q102" i="9" a="1"/>
  <c r="Q102" i="9" s="1"/>
  <c r="Q103" i="9" a="1"/>
  <c r="Q103" i="9" s="1"/>
  <c r="Q104" i="9" a="1"/>
  <c r="Q104" i="9" s="1"/>
  <c r="Q105" i="9" a="1"/>
  <c r="Q105" i="9" s="1"/>
  <c r="Q106" i="9" a="1"/>
  <c r="Q106" i="9" s="1"/>
  <c r="Q107" i="9" a="1"/>
  <c r="Q107" i="9" s="1"/>
  <c r="Q108" i="9" a="1"/>
  <c r="Q108" i="9" s="1"/>
  <c r="Q109" i="9" a="1"/>
  <c r="Q109" i="9"/>
  <c r="Q110" i="9" a="1"/>
  <c r="Q110" i="9" s="1"/>
  <c r="Q111" i="9" a="1"/>
  <c r="Q111" i="9" s="1"/>
  <c r="Q112" i="9" a="1"/>
  <c r="Q112" i="9" s="1"/>
  <c r="Q113" i="9" a="1"/>
  <c r="Q113" i="9" s="1"/>
  <c r="Q114" i="9" a="1"/>
  <c r="Q114" i="9" s="1"/>
  <c r="Q115" i="9" a="1"/>
  <c r="Q115" i="9" s="1"/>
  <c r="Q116" i="9" a="1"/>
  <c r="Q116" i="9" s="1"/>
  <c r="Q117" i="9" a="1"/>
  <c r="Q117" i="9" s="1"/>
  <c r="Q118" i="9" a="1"/>
  <c r="Q118" i="9" s="1"/>
  <c r="Q119" i="9" a="1"/>
  <c r="Q119" i="9"/>
  <c r="Q120" i="9" a="1"/>
  <c r="Q120" i="9" s="1"/>
  <c r="Q121" i="9" a="1"/>
  <c r="Q121" i="9" s="1"/>
  <c r="Q122" i="9" a="1"/>
  <c r="Q122" i="9" s="1"/>
  <c r="Q123" i="9" a="1"/>
  <c r="Q123" i="9" s="1"/>
  <c r="Q124" i="9" a="1"/>
  <c r="Q124" i="9" s="1"/>
  <c r="Q125" i="9" a="1"/>
  <c r="Q125" i="9" s="1"/>
  <c r="Q126" i="9" a="1"/>
  <c r="Q126" i="9" s="1"/>
  <c r="Q127" i="9" a="1"/>
  <c r="Q127" i="9" s="1"/>
  <c r="Q128" i="9" a="1"/>
  <c r="Q128" i="9" s="1"/>
  <c r="Q129" i="9" a="1"/>
  <c r="Q129" i="9" s="1"/>
  <c r="Q130" i="9" a="1"/>
  <c r="Q130" i="9" s="1"/>
  <c r="Q131" i="9" a="1"/>
  <c r="Q131" i="9" s="1"/>
  <c r="Q132" i="9" a="1"/>
  <c r="Q132" i="9" s="1"/>
  <c r="Q133" i="9" a="1"/>
  <c r="Q133" i="9" s="1"/>
  <c r="Q134" i="9" a="1"/>
  <c r="Q134" i="9"/>
  <c r="Q135" i="9" a="1"/>
  <c r="Q135" i="9" s="1"/>
  <c r="Q136" i="9" a="1"/>
  <c r="Q136" i="9" s="1"/>
  <c r="Q137" i="9" a="1"/>
  <c r="Q137" i="9" s="1"/>
  <c r="Q138" i="9" a="1"/>
  <c r="Q138" i="9" s="1"/>
  <c r="Q139" i="9" a="1"/>
  <c r="Q139" i="9" s="1"/>
  <c r="Q140" i="9" a="1"/>
  <c r="Q140" i="9" s="1"/>
  <c r="Q141" i="9" a="1"/>
  <c r="Q141" i="9" s="1"/>
  <c r="Q142" i="9" a="1"/>
  <c r="Q142" i="9" s="1"/>
  <c r="Q143" i="9" a="1"/>
  <c r="Q143" i="9" s="1"/>
  <c r="Q144" i="9" a="1"/>
  <c r="Q144" i="9"/>
  <c r="Q145" i="9" a="1"/>
  <c r="Q145" i="9" s="1"/>
  <c r="Q146" i="9" a="1"/>
  <c r="Q146" i="9" s="1"/>
  <c r="Q147" i="9" a="1"/>
  <c r="Q147" i="9" s="1"/>
  <c r="Q148" i="9" a="1"/>
  <c r="Q148" i="9" s="1"/>
  <c r="Q149" i="9" a="1"/>
  <c r="Q149" i="9" s="1"/>
  <c r="Q150" i="9" a="1"/>
  <c r="Q150" i="9" s="1"/>
  <c r="Q151" i="9" a="1"/>
  <c r="Q151" i="9" s="1"/>
  <c r="Q152" i="9" a="1"/>
  <c r="Q152" i="9" s="1"/>
  <c r="Q153" i="9" a="1"/>
  <c r="Q153" i="9" s="1"/>
  <c r="Q154" i="9" a="1"/>
  <c r="Q154" i="9" s="1"/>
  <c r="Q155" i="9" a="1"/>
  <c r="Q155" i="9" s="1"/>
  <c r="Q156" i="9" a="1"/>
  <c r="Q156" i="9" s="1"/>
  <c r="Q157" i="9" a="1"/>
  <c r="Q157" i="9" s="1"/>
  <c r="Q158" i="9" a="1"/>
  <c r="Q158" i="9" s="1"/>
  <c r="Q159" i="9" a="1"/>
  <c r="Q159" i="9" s="1"/>
  <c r="Q160" i="9" a="1"/>
  <c r="Q160" i="9" s="1"/>
  <c r="Q161" i="9" a="1"/>
  <c r="Q161" i="9" s="1"/>
  <c r="Q162" i="9" a="1"/>
  <c r="Q162" i="9" s="1"/>
  <c r="Q163" i="9" a="1"/>
  <c r="Q163" i="9" s="1"/>
  <c r="Q164" i="9" a="1"/>
  <c r="Q164" i="9" s="1"/>
  <c r="Q165" i="9" a="1"/>
  <c r="Q165" i="9" s="1"/>
  <c r="Q166" i="9" a="1"/>
  <c r="Q166" i="9" s="1"/>
  <c r="Q167" i="9" a="1"/>
  <c r="Q167" i="9"/>
  <c r="Q168" i="9" a="1"/>
  <c r="Q168" i="9" s="1"/>
  <c r="Q169" i="9" a="1"/>
  <c r="Q169" i="9" s="1"/>
  <c r="Q170" i="9" a="1"/>
  <c r="Q170" i="9" s="1"/>
  <c r="Q171" i="9" a="1"/>
  <c r="Q171" i="9" s="1"/>
  <c r="Q172" i="9" a="1"/>
  <c r="Q172" i="9" s="1"/>
  <c r="Q173" i="9" a="1"/>
  <c r="Q173" i="9" s="1"/>
  <c r="Q174" i="9" a="1"/>
  <c r="Q174" i="9" s="1"/>
  <c r="Q175" i="9" a="1"/>
  <c r="Q175" i="9" s="1"/>
  <c r="Q176" i="9" a="1"/>
  <c r="Q176" i="9" s="1"/>
  <c r="Q177" i="9" a="1"/>
  <c r="Q177" i="9" s="1"/>
  <c r="Q178" i="9" a="1"/>
  <c r="Q178" i="9" s="1"/>
  <c r="Q179" i="9" a="1"/>
  <c r="Q179" i="9" s="1"/>
  <c r="Q180" i="9" a="1"/>
  <c r="Q180" i="9" s="1"/>
  <c r="Q181" i="9" a="1"/>
  <c r="Q181" i="9"/>
  <c r="Q182" i="9" a="1"/>
  <c r="Q182" i="9" s="1"/>
  <c r="Q183" i="9" a="1"/>
  <c r="Q183" i="9" s="1"/>
  <c r="Q184" i="9" a="1"/>
  <c r="Q184" i="9" s="1"/>
  <c r="Q185" i="9" a="1"/>
  <c r="Q185" i="9" s="1"/>
  <c r="Q186" i="9" a="1"/>
  <c r="Q186" i="9" s="1"/>
  <c r="Q187" i="9" a="1"/>
  <c r="Q187" i="9" s="1"/>
  <c r="Q188" i="9" a="1"/>
  <c r="Q188" i="9" s="1"/>
  <c r="Q189" i="9" a="1"/>
  <c r="Q189" i="9" s="1"/>
  <c r="Q190" i="9" a="1"/>
  <c r="Q190" i="9" s="1"/>
  <c r="Q191" i="9" a="1"/>
  <c r="Q191" i="9" s="1"/>
  <c r="Q192" i="9" a="1"/>
  <c r="Q192" i="9" s="1"/>
  <c r="Q193" i="9" a="1"/>
  <c r="Q193" i="9" s="1"/>
  <c r="Q194" i="9" a="1"/>
  <c r="Q194" i="9" s="1"/>
  <c r="Q195" i="9" a="1"/>
  <c r="Q195" i="9" s="1"/>
  <c r="Q196" i="9" a="1"/>
  <c r="Q196" i="9" s="1"/>
  <c r="Q197" i="9" a="1"/>
  <c r="Q197" i="9" s="1"/>
  <c r="Q198" i="9" a="1"/>
  <c r="Q198" i="9" s="1"/>
  <c r="Q199" i="9" a="1"/>
  <c r="Q199" i="9" s="1"/>
  <c r="Q200" i="9" a="1"/>
  <c r="Q200" i="9" s="1"/>
  <c r="Q201" i="9" a="1"/>
  <c r="Q201" i="9" s="1"/>
  <c r="Q202" i="9" a="1"/>
  <c r="Q202" i="9" s="1"/>
  <c r="Q203" i="9" a="1"/>
  <c r="Q203" i="9" s="1"/>
  <c r="Q204" i="9" a="1"/>
  <c r="Q204" i="9" s="1"/>
  <c r="Q205" i="9" a="1"/>
  <c r="Q205" i="9" s="1"/>
  <c r="Q206" i="9" a="1"/>
  <c r="Q206" i="9" s="1"/>
  <c r="Q207" i="9" a="1"/>
  <c r="Q207" i="9" s="1"/>
  <c r="Q208" i="9" a="1"/>
  <c r="Q208" i="9" s="1"/>
  <c r="Q209" i="9" a="1"/>
  <c r="Q209" i="9" s="1"/>
  <c r="Q210" i="9" a="1"/>
  <c r="Q210" i="9" s="1"/>
  <c r="Q211" i="9" a="1"/>
  <c r="Q211" i="9" s="1"/>
  <c r="Q212" i="9" a="1"/>
  <c r="Q212" i="9" s="1"/>
  <c r="Q213" i="9" a="1"/>
  <c r="Q213" i="9" s="1"/>
  <c r="Q214" i="9" a="1"/>
  <c r="Q214" i="9" s="1"/>
  <c r="Q215" i="9" a="1"/>
  <c r="Q215" i="9" s="1"/>
  <c r="Q216" i="9" a="1"/>
  <c r="Q216" i="9" s="1"/>
  <c r="Q217" i="9" a="1"/>
  <c r="Q217" i="9" s="1"/>
  <c r="Q218" i="9" a="1"/>
  <c r="Q218" i="9" s="1"/>
  <c r="Q219" i="9" a="1"/>
  <c r="Q219" i="9" s="1"/>
  <c r="Q220" i="9" a="1"/>
  <c r="Q220" i="9" s="1"/>
  <c r="Q221" i="9" a="1"/>
  <c r="Q221" i="9" s="1"/>
  <c r="Q222" i="9" a="1"/>
  <c r="Q222" i="9" s="1"/>
  <c r="Q223" i="9" a="1"/>
  <c r="Q223" i="9" s="1"/>
  <c r="Q224" i="9" a="1"/>
  <c r="Q224" i="9"/>
  <c r="Q225" i="9" a="1"/>
  <c r="Q225" i="9"/>
  <c r="Q226" i="9" a="1"/>
  <c r="Q226" i="9" s="1"/>
  <c r="Q227" i="9" a="1"/>
  <c r="Q227" i="9" s="1"/>
  <c r="Q228" i="9" a="1"/>
  <c r="Q228" i="9" s="1"/>
  <c r="Q229" i="9" a="1"/>
  <c r="Q229" i="9" s="1"/>
  <c r="Q230" i="9" a="1"/>
  <c r="Q230" i="9" s="1"/>
  <c r="Q231" i="9" a="1"/>
  <c r="Q231" i="9"/>
  <c r="Q232" i="9" a="1"/>
  <c r="Q232" i="9" s="1"/>
  <c r="Q233" i="9" a="1"/>
  <c r="Q233" i="9" s="1"/>
  <c r="Q234" i="9" a="1"/>
  <c r="Q234" i="9" s="1"/>
  <c r="Q235" i="9" a="1"/>
  <c r="Q235" i="9" s="1"/>
  <c r="Q236" i="9" a="1"/>
  <c r="Q236" i="9" s="1"/>
  <c r="Q237" i="9" a="1"/>
  <c r="Q237" i="9" s="1"/>
  <c r="Q238" i="9" a="1"/>
  <c r="Q238" i="9" s="1"/>
  <c r="Q239" i="9" a="1"/>
  <c r="Q239" i="9" s="1"/>
  <c r="Q240" i="9" a="1"/>
  <c r="Q240" i="9" s="1"/>
  <c r="Q241" i="9" a="1"/>
  <c r="Q241" i="9" s="1"/>
  <c r="Q242" i="9" a="1"/>
  <c r="Q242" i="9" s="1"/>
  <c r="Q243" i="9" a="1"/>
  <c r="Q243" i="9" s="1"/>
  <c r="Q244" i="9" a="1"/>
  <c r="Q244" i="9" s="1"/>
  <c r="Q245" i="9" a="1"/>
  <c r="Q245" i="9" s="1"/>
  <c r="Q246" i="9" a="1"/>
  <c r="Q246" i="9"/>
  <c r="Q247" i="9" a="1"/>
  <c r="Q247" i="9" s="1"/>
  <c r="Q248" i="9" a="1"/>
  <c r="Q248" i="9" s="1"/>
  <c r="Q249" i="9" a="1"/>
  <c r="Q249" i="9" s="1"/>
  <c r="Q250" i="9" a="1"/>
  <c r="Q250" i="9" s="1"/>
  <c r="Q251" i="9" a="1"/>
  <c r="Q251" i="9" s="1"/>
  <c r="Q252" i="9" a="1"/>
  <c r="Q252" i="9" s="1"/>
  <c r="Q253" i="9" a="1"/>
  <c r="Q253" i="9" s="1"/>
  <c r="Q254" i="9" a="1"/>
  <c r="Q254" i="9" s="1"/>
  <c r="Q255" i="9" a="1"/>
  <c r="Q255" i="9" s="1"/>
  <c r="Q256" i="9" a="1"/>
  <c r="Q256" i="9" s="1"/>
  <c r="Q257" i="9" a="1"/>
  <c r="Q257" i="9" s="1"/>
  <c r="Q258" i="9" a="1"/>
  <c r="Q258" i="9" s="1"/>
  <c r="Q259" i="9" a="1"/>
  <c r="Q259" i="9" s="1"/>
  <c r="Q260" i="9" a="1"/>
  <c r="Q260" i="9" s="1"/>
  <c r="Q261" i="9" a="1"/>
  <c r="Q261" i="9" s="1"/>
  <c r="Q262" i="9" a="1"/>
  <c r="Q262" i="9" s="1"/>
  <c r="Q263" i="9" a="1"/>
  <c r="Q263" i="9" s="1"/>
  <c r="Q264" i="9" a="1"/>
  <c r="Q264" i="9" s="1"/>
  <c r="Q265" i="9" a="1"/>
  <c r="Q265" i="9" s="1"/>
  <c r="Q266" i="9" a="1"/>
  <c r="Q266" i="9" s="1"/>
  <c r="Q267" i="9" a="1"/>
  <c r="Q267" i="9" s="1"/>
  <c r="Q268" i="9" a="1"/>
  <c r="Q268" i="9" s="1"/>
  <c r="Q269" i="9" a="1"/>
  <c r="Q269" i="9" s="1"/>
  <c r="Q270" i="9" a="1"/>
  <c r="Q270" i="9" s="1"/>
  <c r="Q271" i="9" a="1"/>
  <c r="Q271" i="9" s="1"/>
  <c r="Q272" i="9" a="1"/>
  <c r="Q272" i="9" s="1"/>
  <c r="Q273" i="9" a="1"/>
  <c r="Q273" i="9" s="1"/>
  <c r="Q274" i="9" a="1"/>
  <c r="Q274" i="9" s="1"/>
  <c r="Q275" i="9" a="1"/>
  <c r="Q275" i="9" s="1"/>
  <c r="Q276" i="9" a="1"/>
  <c r="Q276" i="9" s="1"/>
  <c r="Q277" i="9" a="1"/>
  <c r="Q277" i="9" s="1"/>
  <c r="Q278" i="9" a="1"/>
  <c r="Q278" i="9" s="1"/>
  <c r="Q279" i="9" a="1"/>
  <c r="Q279" i="9" s="1"/>
  <c r="Q280" i="9" a="1"/>
  <c r="Q280" i="9"/>
  <c r="Q281" i="9" a="1"/>
  <c r="Q281" i="9" s="1"/>
  <c r="Q282" i="9" a="1"/>
  <c r="Q282" i="9" s="1"/>
  <c r="Q283" i="9" a="1"/>
  <c r="Q283" i="9" s="1"/>
  <c r="Q284" i="9" a="1"/>
  <c r="Q284" i="9" s="1"/>
  <c r="Q285" i="9" a="1"/>
  <c r="Q285" i="9"/>
  <c r="Q286" i="9" a="1"/>
  <c r="Q286" i="9" s="1"/>
  <c r="Q287" i="9" a="1"/>
  <c r="Q287" i="9" s="1"/>
  <c r="Q288" i="9" a="1"/>
  <c r="Q288" i="9" s="1"/>
  <c r="Q289" i="9" a="1"/>
  <c r="Q289" i="9" s="1"/>
  <c r="Q290" i="9" a="1"/>
  <c r="Q290" i="9" s="1"/>
  <c r="Q291" i="9" a="1"/>
  <c r="Q291" i="9" s="1"/>
  <c r="Q292" i="9" a="1"/>
  <c r="Q292" i="9" s="1"/>
  <c r="Q293" i="9" a="1"/>
  <c r="Q293" i="9" s="1"/>
  <c r="Q294" i="9" a="1"/>
  <c r="Q294" i="9" s="1"/>
  <c r="Q295" i="9" a="1"/>
  <c r="Q295" i="9" s="1"/>
  <c r="Q296" i="9" a="1"/>
  <c r="Q296" i="9"/>
  <c r="Q297" i="9" a="1"/>
  <c r="Q297" i="9" s="1"/>
  <c r="Q298" i="9" a="1"/>
  <c r="Q298" i="9" s="1"/>
  <c r="Q299" i="9" a="1"/>
  <c r="Q299" i="9" s="1"/>
  <c r="Q300" i="9" a="1"/>
  <c r="Q300" i="9" s="1"/>
  <c r="Q301" i="9" a="1"/>
  <c r="Q301" i="9" s="1"/>
  <c r="Q302" i="9" a="1"/>
  <c r="Q302" i="9" s="1"/>
  <c r="Q303" i="9" a="1"/>
  <c r="Q303" i="9" s="1"/>
  <c r="Q304" i="9" a="1"/>
  <c r="Q304" i="9" s="1"/>
  <c r="Q305" i="9" a="1"/>
  <c r="Q305" i="9" s="1"/>
  <c r="Q306" i="9" a="1"/>
  <c r="Q306" i="9" s="1"/>
  <c r="Q307" i="9" a="1"/>
  <c r="Q307" i="9" s="1"/>
  <c r="Q308" i="9" a="1"/>
  <c r="Q308" i="9" s="1"/>
  <c r="Q309" i="9" a="1"/>
  <c r="Q309" i="9" s="1"/>
  <c r="Q310" i="9" a="1"/>
  <c r="Q310" i="9"/>
  <c r="Q311" i="9" a="1"/>
  <c r="Q311" i="9" s="1"/>
  <c r="Q312" i="9" a="1"/>
  <c r="Q312" i="9" s="1"/>
  <c r="Q313" i="9" a="1"/>
  <c r="Q313" i="9" s="1"/>
  <c r="Q314" i="9" a="1"/>
  <c r="Q314" i="9" s="1"/>
  <c r="Q315" i="9" a="1"/>
  <c r="Q315" i="9" s="1"/>
  <c r="Q316" i="9" a="1"/>
  <c r="Q316" i="9" s="1"/>
  <c r="Q317" i="9" a="1"/>
  <c r="Q317" i="9" s="1"/>
  <c r="Q318" i="9" a="1"/>
  <c r="Q318" i="9" s="1"/>
  <c r="Q319" i="9" a="1"/>
  <c r="Q319" i="9" s="1"/>
  <c r="Q320" i="9" a="1"/>
  <c r="Q320" i="9" s="1"/>
  <c r="Q321" i="9" a="1"/>
  <c r="Q321" i="9" s="1"/>
  <c r="Q322" i="9" a="1"/>
  <c r="Q322" i="9" s="1"/>
  <c r="Q323" i="9" a="1"/>
  <c r="Q323" i="9" s="1"/>
  <c r="Q324" i="9" a="1"/>
  <c r="Q324" i="9" s="1"/>
  <c r="Q325" i="9" a="1"/>
  <c r="Q325" i="9" s="1"/>
  <c r="Q326" i="9" a="1"/>
  <c r="Q326" i="9" s="1"/>
  <c r="Q327" i="9" a="1"/>
  <c r="Q327" i="9" s="1"/>
  <c r="Q328" i="9" a="1"/>
  <c r="Q328" i="9" s="1"/>
  <c r="Q329" i="9" a="1"/>
  <c r="Q329" i="9" s="1"/>
  <c r="Q330" i="9" a="1"/>
  <c r="Q330" i="9" s="1"/>
  <c r="Q331" i="9" a="1"/>
  <c r="Q331" i="9" s="1"/>
  <c r="Q332" i="9" a="1"/>
  <c r="Q332" i="9" s="1"/>
  <c r="Q333" i="9" a="1"/>
  <c r="Q333" i="9" s="1"/>
  <c r="Q334" i="9" a="1"/>
  <c r="Q334" i="9" s="1"/>
  <c r="Q335" i="9" a="1"/>
  <c r="Q335" i="9" s="1"/>
  <c r="Q336" i="9" a="1"/>
  <c r="Q336" i="9" s="1"/>
  <c r="Q337" i="9" a="1"/>
  <c r="Q337" i="9" s="1"/>
  <c r="Q338" i="9" a="1"/>
  <c r="Q338" i="9" s="1"/>
  <c r="Q339" i="9" a="1"/>
  <c r="Q339" i="9" s="1"/>
  <c r="Q340" i="9" a="1"/>
  <c r="Q340" i="9" s="1"/>
  <c r="Q341" i="9" a="1"/>
  <c r="Q341" i="9" s="1"/>
  <c r="Q342" i="9" a="1"/>
  <c r="Q342" i="9" s="1"/>
  <c r="Q343" i="9" a="1"/>
  <c r="Q343" i="9" s="1"/>
  <c r="Q344" i="9" a="1"/>
  <c r="Q344" i="9" s="1"/>
  <c r="Q345" i="9" a="1"/>
  <c r="Q345" i="9" s="1"/>
  <c r="Q346" i="9" a="1"/>
  <c r="Q346" i="9" s="1"/>
  <c r="Q347" i="9" a="1"/>
  <c r="Q347" i="9" s="1"/>
  <c r="Q348" i="9" a="1"/>
  <c r="Q348" i="9" s="1"/>
  <c r="Q349" i="9" a="1"/>
  <c r="Q349" i="9" s="1"/>
  <c r="Q350" i="9" a="1"/>
  <c r="Q350" i="9" s="1"/>
  <c r="Q351" i="9" a="1"/>
  <c r="Q351" i="9" s="1"/>
  <c r="Q352" i="9" a="1"/>
  <c r="Q352" i="9" s="1"/>
  <c r="Q353" i="9" a="1"/>
  <c r="Q353" i="9" s="1"/>
  <c r="Q354" i="9" a="1"/>
  <c r="Q354" i="9" s="1"/>
  <c r="Q355" i="9" a="1"/>
  <c r="Q355" i="9" s="1"/>
  <c r="Q356" i="9" a="1"/>
  <c r="Q356" i="9" s="1"/>
  <c r="Q357" i="9" a="1"/>
  <c r="Q357" i="9" s="1"/>
  <c r="Q358" i="9" a="1"/>
  <c r="Q358" i="9" s="1"/>
  <c r="Q359" i="9" a="1"/>
  <c r="Q359" i="9" s="1"/>
  <c r="Q360" i="9" a="1"/>
  <c r="Q360" i="9" s="1"/>
  <c r="Q361" i="9" a="1"/>
  <c r="Q361" i="9" s="1"/>
  <c r="Q362" i="9" a="1"/>
  <c r="Q362" i="9" s="1"/>
  <c r="Q363" i="9" a="1"/>
  <c r="Q363" i="9" s="1"/>
  <c r="Q364" i="9" a="1"/>
  <c r="Q364" i="9" s="1"/>
  <c r="Q365" i="9" a="1"/>
  <c r="Q365" i="9" s="1"/>
  <c r="Q366" i="9" a="1"/>
  <c r="Q366" i="9" s="1"/>
  <c r="Q367" i="9" a="1"/>
  <c r="Q367" i="9" s="1"/>
  <c r="Q368" i="9" a="1"/>
  <c r="Q368" i="9" s="1"/>
  <c r="Q369" i="9" a="1"/>
  <c r="Q369" i="9" s="1"/>
  <c r="Q370" i="9" a="1"/>
  <c r="Q370" i="9" s="1"/>
  <c r="Q371" i="9" a="1"/>
  <c r="Q371" i="9" s="1"/>
  <c r="Q372" i="9" a="1"/>
  <c r="Q372" i="9" s="1"/>
  <c r="Q373" i="9" a="1"/>
  <c r="Q373" i="9" s="1"/>
  <c r="Q374" i="9" a="1"/>
  <c r="Q374" i="9" s="1"/>
  <c r="Q375" i="9" a="1"/>
  <c r="Q375" i="9" s="1"/>
  <c r="Q376" i="9" a="1"/>
  <c r="Q376" i="9" s="1"/>
  <c r="Q377" i="9" a="1"/>
  <c r="Q377" i="9" s="1"/>
  <c r="Q378" i="9" a="1"/>
  <c r="Q378" i="9" s="1"/>
  <c r="Q379" i="9" a="1"/>
  <c r="Q379" i="9" s="1"/>
  <c r="Q380" i="9" a="1"/>
  <c r="Q380" i="9" s="1"/>
  <c r="Q381" i="9" a="1"/>
  <c r="Q381" i="9" s="1"/>
  <c r="Q382" i="9" a="1"/>
  <c r="Q382" i="9" s="1"/>
  <c r="Q383" i="9" a="1"/>
  <c r="Q383" i="9" s="1"/>
  <c r="Q384" i="9" a="1"/>
  <c r="Q384" i="9" s="1"/>
  <c r="Q385" i="9" a="1"/>
  <c r="Q385" i="9" s="1"/>
  <c r="Q386" i="9" a="1"/>
  <c r="Q386" i="9" s="1"/>
  <c r="Q387" i="9" a="1"/>
  <c r="Q387" i="9" s="1"/>
  <c r="Q388" i="9" a="1"/>
  <c r="Q388" i="9" s="1"/>
  <c r="Q389" i="9" a="1"/>
  <c r="Q389" i="9"/>
  <c r="Q390" i="9" a="1"/>
  <c r="Q390" i="9" s="1"/>
  <c r="Q391" i="9" a="1"/>
  <c r="Q391" i="9" s="1"/>
  <c r="Q392" i="9" a="1"/>
  <c r="Q392" i="9" s="1"/>
  <c r="Q393" i="9" a="1"/>
  <c r="Q393" i="9" s="1"/>
  <c r="Q394" i="9" a="1"/>
  <c r="Q394" i="9" s="1"/>
  <c r="Q395" i="9" a="1"/>
  <c r="Q395" i="9" s="1"/>
  <c r="Q396" i="9" a="1"/>
  <c r="Q396" i="9" s="1"/>
  <c r="Q397" i="9" a="1"/>
  <c r="Q397" i="9" s="1"/>
  <c r="Q398" i="9" a="1"/>
  <c r="Q398" i="9" s="1"/>
  <c r="Q399" i="9" a="1"/>
  <c r="Q399" i="9" s="1"/>
  <c r="Q400" i="9" a="1"/>
  <c r="Q400" i="9" s="1"/>
  <c r="Q401" i="9" a="1"/>
  <c r="Q401" i="9" s="1"/>
  <c r="Q402" i="9" a="1"/>
  <c r="Q402" i="9" s="1"/>
  <c r="Q403" i="9" a="1"/>
  <c r="Q403" i="9" s="1"/>
  <c r="Q404" i="9" a="1"/>
  <c r="Q404" i="9" s="1"/>
  <c r="Q405" i="9" a="1"/>
  <c r="Q405" i="9"/>
  <c r="Q406" i="9" a="1"/>
  <c r="Q406" i="9" s="1"/>
  <c r="Q407" i="9" a="1"/>
  <c r="Q407" i="9" s="1"/>
  <c r="Q408" i="9" a="1"/>
  <c r="Q408" i="9" s="1"/>
  <c r="Q409" i="9" a="1"/>
  <c r="Q409" i="9" s="1"/>
  <c r="Q410" i="9" a="1"/>
  <c r="Q410" i="9" s="1"/>
  <c r="Q411" i="9" a="1"/>
  <c r="Q411" i="9" s="1"/>
  <c r="Q412" i="9" a="1"/>
  <c r="Q412" i="9" s="1"/>
  <c r="Q413" i="9" a="1"/>
  <c r="Q413" i="9" s="1"/>
  <c r="Q414" i="9" a="1"/>
  <c r="Q414" i="9" s="1"/>
  <c r="Q415" i="9" a="1"/>
  <c r="Q415" i="9" s="1"/>
  <c r="Q416" i="9" a="1"/>
  <c r="Q416" i="9" s="1"/>
  <c r="Q417" i="9" a="1"/>
  <c r="Q417" i="9" s="1"/>
  <c r="Q418" i="9" a="1"/>
  <c r="Q418" i="9" s="1"/>
  <c r="Q419" i="9" a="1"/>
  <c r="Q419" i="9" s="1"/>
  <c r="Q420" i="9" a="1"/>
  <c r="Q420" i="9" s="1"/>
  <c r="Q421" i="9" a="1"/>
  <c r="Q421" i="9" s="1"/>
  <c r="Q422" i="9" a="1"/>
  <c r="Q422" i="9" s="1"/>
  <c r="Q423" i="9" a="1"/>
  <c r="Q423" i="9" s="1"/>
  <c r="Q424" i="9" a="1"/>
  <c r="Q424" i="9" s="1"/>
  <c r="Q425" i="9" a="1"/>
  <c r="Q425" i="9" s="1"/>
  <c r="Q426" i="9" a="1"/>
  <c r="Q426" i="9" s="1"/>
  <c r="Q427" i="9" a="1"/>
  <c r="Q427" i="9" s="1"/>
  <c r="Q428" i="9" a="1"/>
  <c r="Q428" i="9" s="1"/>
  <c r="Q429" i="9" a="1"/>
  <c r="Q429" i="9" s="1"/>
  <c r="Q430" i="9" a="1"/>
  <c r="Q430" i="9" s="1"/>
  <c r="Q431" i="9" a="1"/>
  <c r="Q431" i="9" s="1"/>
  <c r="Q432" i="9" a="1"/>
  <c r="Q432" i="9" s="1"/>
  <c r="Q433" i="9" a="1"/>
  <c r="Q433" i="9"/>
  <c r="Q434" i="9" a="1"/>
  <c r="Q434" i="9" s="1"/>
  <c r="Q435" i="9" a="1"/>
  <c r="Q435" i="9" s="1"/>
  <c r="Q436" i="9" a="1"/>
  <c r="Q436" i="9" s="1"/>
  <c r="Q437" i="9" a="1"/>
  <c r="Q437" i="9" s="1"/>
  <c r="Q438" i="9" a="1"/>
  <c r="Q438" i="9" s="1"/>
  <c r="Q439" i="9" a="1"/>
  <c r="Q439" i="9" s="1"/>
  <c r="Q440" i="9" a="1"/>
  <c r="Q440" i="9" s="1"/>
  <c r="Q441" i="9" a="1"/>
  <c r="Q441" i="9" s="1"/>
  <c r="Q442" i="9" a="1"/>
  <c r="Q442" i="9" s="1"/>
  <c r="Q443" i="9" a="1"/>
  <c r="Q443" i="9" s="1"/>
  <c r="Q444" i="9" a="1"/>
  <c r="Q444" i="9" s="1"/>
  <c r="Q445" i="9" a="1"/>
  <c r="Q445" i="9" s="1"/>
  <c r="Q446" i="9" a="1"/>
  <c r="Q446" i="9" s="1"/>
  <c r="Q447" i="9" a="1"/>
  <c r="Q447" i="9" s="1"/>
  <c r="Q448" i="9" a="1"/>
  <c r="Q448" i="9" s="1"/>
  <c r="Q449" i="9" a="1"/>
  <c r="Q449" i="9"/>
  <c r="Q450" i="9" a="1"/>
  <c r="Q450" i="9" s="1"/>
  <c r="Q451" i="9" a="1"/>
  <c r="Q451" i="9" s="1"/>
  <c r="Q452" i="9" a="1"/>
  <c r="Q452" i="9" s="1"/>
  <c r="Q453" i="9" a="1"/>
  <c r="Q453" i="9" s="1"/>
  <c r="Q454" i="9" a="1"/>
  <c r="Q454" i="9" s="1"/>
  <c r="Q455" i="9" a="1"/>
  <c r="Q455" i="9" s="1"/>
  <c r="Q456" i="9" a="1"/>
  <c r="Q456" i="9" s="1"/>
  <c r="Q457" i="9" a="1"/>
  <c r="Q457" i="9" s="1"/>
  <c r="Q458" i="9" a="1"/>
  <c r="Q458" i="9" s="1"/>
  <c r="Q459" i="9" a="1"/>
  <c r="Q459" i="9" s="1"/>
  <c r="Q460" i="9" a="1"/>
  <c r="Q460" i="9" s="1"/>
  <c r="Q461" i="9" a="1"/>
  <c r="Q461" i="9" s="1"/>
  <c r="Q462" i="9" a="1"/>
  <c r="Q462" i="9" s="1"/>
  <c r="Q463" i="9" a="1"/>
  <c r="Q463" i="9"/>
  <c r="Q464" i="9" a="1"/>
  <c r="Q464" i="9"/>
  <c r="Q465" i="9" a="1"/>
  <c r="Q465" i="9" s="1"/>
  <c r="Q466" i="9" a="1"/>
  <c r="Q466" i="9" s="1"/>
  <c r="Q467" i="9" a="1"/>
  <c r="Q467" i="9" s="1"/>
  <c r="Q468" i="9" a="1"/>
  <c r="Q468" i="9" s="1"/>
  <c r="Q469" i="9" a="1"/>
  <c r="Q469" i="9" s="1"/>
  <c r="Q470" i="9" a="1"/>
  <c r="Q470" i="9" s="1"/>
  <c r="Q471" i="9" a="1"/>
  <c r="Q471" i="9" s="1"/>
  <c r="Q472" i="9" a="1"/>
  <c r="Q472" i="9" s="1"/>
  <c r="Q473" i="9" a="1"/>
  <c r="Q473" i="9" s="1"/>
  <c r="Q474" i="9" a="1"/>
  <c r="Q474" i="9" s="1"/>
  <c r="Q475" i="9" a="1"/>
  <c r="Q475" i="9" s="1"/>
  <c r="Q476" i="9" a="1"/>
  <c r="Q476" i="9" s="1"/>
  <c r="Q477" i="9" a="1"/>
  <c r="Q477" i="9" s="1"/>
  <c r="Q478" i="9" a="1"/>
  <c r="Q478" i="9" s="1"/>
  <c r="Q479" i="9" a="1"/>
  <c r="Q479" i="9" s="1"/>
  <c r="Q480" i="9" a="1"/>
  <c r="Q480" i="9" s="1"/>
  <c r="Q481" i="9" a="1"/>
  <c r="Q481" i="9" s="1"/>
  <c r="Q482" i="9" a="1"/>
  <c r="Q482" i="9" s="1"/>
  <c r="Q483" i="9" a="1"/>
  <c r="Q483" i="9" s="1"/>
  <c r="Q484" i="9" a="1"/>
  <c r="Q484" i="9" s="1"/>
  <c r="Q485" i="9" a="1"/>
  <c r="Q485" i="9" s="1"/>
  <c r="Q486" i="9" a="1"/>
  <c r="Q486" i="9" s="1"/>
  <c r="Q487" i="9" a="1"/>
  <c r="Q487" i="9" s="1"/>
  <c r="Q488" i="9" a="1"/>
  <c r="Q488" i="9" s="1"/>
  <c r="Q489" i="9" a="1"/>
  <c r="Q489" i="9" s="1"/>
  <c r="Q490" i="9" a="1"/>
  <c r="Q490" i="9" s="1"/>
  <c r="Q491" i="9" a="1"/>
  <c r="Q491" i="9" s="1"/>
  <c r="Q492" i="9" a="1"/>
  <c r="Q492" i="9" s="1"/>
  <c r="Q493" i="9" a="1"/>
  <c r="Q493" i="9" s="1"/>
  <c r="Q494" i="9" a="1"/>
  <c r="Q494" i="9" s="1"/>
  <c r="Q495" i="9" a="1"/>
  <c r="Q495" i="9" s="1"/>
  <c r="Q496" i="9" a="1"/>
  <c r="Q496" i="9" s="1"/>
  <c r="Q497" i="9" a="1"/>
  <c r="Q497" i="9" s="1"/>
  <c r="Q498" i="9" a="1"/>
  <c r="Q498" i="9" s="1"/>
  <c r="Q499" i="9" a="1"/>
  <c r="Q499" i="9" s="1"/>
  <c r="Q500" i="9" a="1"/>
  <c r="Q500" i="9" s="1"/>
  <c r="Q501" i="9" a="1"/>
  <c r="Q501" i="9" s="1"/>
  <c r="Q502" i="9" a="1"/>
  <c r="Q502" i="9" s="1"/>
  <c r="Q503" i="9" a="1"/>
  <c r="Q503" i="9" s="1"/>
  <c r="Q504" i="9" a="1"/>
  <c r="Q504" i="9" s="1"/>
  <c r="Q505" i="9" a="1"/>
  <c r="Q505" i="9" s="1"/>
  <c r="Q506" i="9" a="1"/>
  <c r="Q506" i="9" s="1"/>
  <c r="Q507" i="9" a="1"/>
  <c r="Q507" i="9" s="1"/>
  <c r="Q508" i="9" a="1"/>
  <c r="Q508" i="9" s="1"/>
  <c r="Q509" i="9" a="1"/>
  <c r="Q509" i="9" s="1"/>
  <c r="Q510" i="9" a="1"/>
  <c r="Q510" i="9"/>
  <c r="Q511" i="9" a="1"/>
  <c r="Q511" i="9" s="1"/>
  <c r="Q512" i="9" a="1"/>
  <c r="Q512" i="9" s="1"/>
  <c r="Q513" i="9" a="1"/>
  <c r="Q513" i="9" s="1"/>
  <c r="Q514" i="9" a="1"/>
  <c r="Q514" i="9" s="1"/>
  <c r="Q515" i="9" a="1"/>
  <c r="Q515" i="9" s="1"/>
  <c r="Q516" i="9" a="1"/>
  <c r="Q516" i="9" s="1"/>
  <c r="Q517" i="9" a="1"/>
  <c r="Q517" i="9" s="1"/>
  <c r="Q518" i="9" a="1"/>
  <c r="Q518" i="9" s="1"/>
  <c r="Q519" i="9" a="1"/>
  <c r="Q519" i="9" s="1"/>
  <c r="Q520" i="9" a="1"/>
  <c r="Q520" i="9" s="1"/>
  <c r="Q521" i="9" a="1"/>
  <c r="Q521" i="9" s="1"/>
  <c r="Q522" i="9" a="1"/>
  <c r="Q522" i="9" s="1"/>
  <c r="Q523" i="9" a="1"/>
  <c r="Q523" i="9" s="1"/>
  <c r="Q524" i="9" a="1"/>
  <c r="Q524" i="9" s="1"/>
  <c r="Q525" i="9" a="1"/>
  <c r="Q525" i="9" s="1"/>
  <c r="Q526" i="9" a="1"/>
  <c r="Q526" i="9" s="1"/>
  <c r="Q527" i="9" a="1"/>
  <c r="Q527" i="9" s="1"/>
  <c r="Q528" i="9" a="1"/>
  <c r="Q528" i="9" s="1"/>
  <c r="Q529" i="9" a="1"/>
  <c r="Q529" i="9" s="1"/>
  <c r="Q530" i="9" a="1"/>
  <c r="Q530" i="9" s="1"/>
  <c r="Q531" i="9" a="1"/>
  <c r="Q531" i="9" s="1"/>
  <c r="Q532" i="9" a="1"/>
  <c r="Q532" i="9" s="1"/>
  <c r="Q533" i="9" a="1"/>
  <c r="Q533" i="9" s="1"/>
  <c r="Q534" i="9" a="1"/>
  <c r="Q534" i="9" s="1"/>
  <c r="Q535" i="9" a="1"/>
  <c r="Q535" i="9" s="1"/>
  <c r="Q536" i="9" a="1"/>
  <c r="Q536" i="9"/>
  <c r="Q537" i="9" a="1"/>
  <c r="Q537" i="9" s="1"/>
  <c r="Q538" i="9" a="1"/>
  <c r="Q538" i="9" s="1"/>
  <c r="Q539" i="9" a="1"/>
  <c r="Q539" i="9" s="1"/>
  <c r="Q540" i="9" a="1"/>
  <c r="Q540" i="9" s="1"/>
  <c r="Q541" i="9" a="1"/>
  <c r="Q541" i="9"/>
  <c r="Q542" i="9" a="1"/>
  <c r="Q542" i="9" s="1"/>
  <c r="Q543" i="9" a="1"/>
  <c r="Q543" i="9" s="1"/>
  <c r="Q544" i="9" a="1"/>
  <c r="Q544" i="9" s="1"/>
  <c r="Q545" i="9" a="1"/>
  <c r="Q545" i="9" s="1"/>
  <c r="Q546" i="9" a="1"/>
  <c r="Q546" i="9" s="1"/>
  <c r="Q547" i="9" a="1"/>
  <c r="Q547" i="9" s="1"/>
  <c r="Q548" i="9" a="1"/>
  <c r="Q548" i="9" s="1"/>
  <c r="Q549" i="9" a="1"/>
  <c r="Q549" i="9" s="1"/>
  <c r="Q550" i="9" a="1"/>
  <c r="Q550" i="9" s="1"/>
  <c r="Q551" i="9" a="1"/>
  <c r="Q551" i="9"/>
  <c r="Q552" i="9" a="1"/>
  <c r="Q552" i="9" s="1"/>
  <c r="Q553" i="9" a="1"/>
  <c r="Q553" i="9" s="1"/>
  <c r="Q554" i="9" a="1"/>
  <c r="Q554" i="9" s="1"/>
  <c r="Q555" i="9" a="1"/>
  <c r="Q555" i="9" s="1"/>
  <c r="Q556" i="9" a="1"/>
  <c r="Q556" i="9" s="1"/>
  <c r="Q557" i="9" a="1"/>
  <c r="Q557" i="9" s="1"/>
  <c r="Q558" i="9" a="1"/>
  <c r="Q558" i="9" s="1"/>
  <c r="Q559" i="9" a="1"/>
  <c r="Q559" i="9" s="1"/>
  <c r="Q560" i="9" a="1"/>
  <c r="Q560" i="9" s="1"/>
  <c r="Q561" i="9" a="1"/>
  <c r="Q561" i="9" s="1"/>
  <c r="Q562" i="9" a="1"/>
  <c r="Q562" i="9" s="1"/>
  <c r="Q563" i="9" a="1"/>
  <c r="Q563" i="9" s="1"/>
  <c r="Q564" i="9" a="1"/>
  <c r="Q564" i="9" s="1"/>
  <c r="Q565" i="9" a="1"/>
  <c r="Q565" i="9" s="1"/>
  <c r="Q566" i="9" a="1"/>
  <c r="Q566" i="9" s="1"/>
  <c r="Q567" i="9" a="1"/>
  <c r="Q567" i="9" s="1"/>
  <c r="Q568" i="9" a="1"/>
  <c r="Q568" i="9" s="1"/>
  <c r="Q569" i="9" a="1"/>
  <c r="Q569" i="9" s="1"/>
  <c r="Q570" i="9" a="1"/>
  <c r="Q570" i="9" s="1"/>
  <c r="Q571" i="9" a="1"/>
  <c r="Q571" i="9" s="1"/>
  <c r="Q572" i="9" a="1"/>
  <c r="Q572" i="9" s="1"/>
  <c r="Q573" i="9" a="1"/>
  <c r="Q573" i="9"/>
  <c r="Q574" i="9" a="1"/>
  <c r="Q574" i="9" s="1"/>
  <c r="Q575" i="9" a="1"/>
  <c r="Q575" i="9" s="1"/>
  <c r="Q576" i="9" a="1"/>
  <c r="Q576" i="9" s="1"/>
  <c r="Q577" i="9" a="1"/>
  <c r="Q577" i="9" s="1"/>
  <c r="Q578" i="9" a="1"/>
  <c r="Q578" i="9" s="1"/>
  <c r="Q579" i="9" a="1"/>
  <c r="Q579" i="9" s="1"/>
  <c r="Q580" i="9" a="1"/>
  <c r="Q580" i="9" s="1"/>
  <c r="Q581" i="9" a="1"/>
  <c r="Q581" i="9" s="1"/>
  <c r="Q582" i="9" a="1"/>
  <c r="Q582" i="9" s="1"/>
  <c r="Q583" i="9" a="1"/>
  <c r="Q583" i="9" s="1"/>
  <c r="Q584" i="9" a="1"/>
  <c r="Q584" i="9" s="1"/>
  <c r="Q585" i="9" a="1"/>
  <c r="Q585" i="9" s="1"/>
  <c r="Q586" i="9" a="1"/>
  <c r="Q586" i="9" s="1"/>
  <c r="Q587" i="9" a="1"/>
  <c r="Q587" i="9" s="1"/>
  <c r="Q588" i="9" a="1"/>
  <c r="Q588" i="9" s="1"/>
  <c r="Q589" i="9" a="1"/>
  <c r="Q589" i="9" s="1"/>
  <c r="Q590" i="9" a="1"/>
  <c r="Q590" i="9" s="1"/>
  <c r="Q591" i="9" a="1"/>
  <c r="Q591" i="9" s="1"/>
  <c r="Q592" i="9" a="1"/>
  <c r="Q592" i="9" s="1"/>
  <c r="Q593" i="9" a="1"/>
  <c r="Q593" i="9" s="1"/>
  <c r="Q594" i="9" a="1"/>
  <c r="Q594" i="9" s="1"/>
  <c r="Q595" i="9" a="1"/>
  <c r="Q595" i="9" s="1"/>
  <c r="Q596" i="9" a="1"/>
  <c r="Q596" i="9" s="1"/>
  <c r="Q597" i="9" a="1"/>
  <c r="Q597" i="9" s="1"/>
  <c r="Q598" i="9" a="1"/>
  <c r="Q598" i="9" s="1"/>
  <c r="Q599" i="9" a="1"/>
  <c r="Q599" i="9"/>
  <c r="Q600" i="9" a="1"/>
  <c r="Q600" i="9"/>
  <c r="Q601" i="9" a="1"/>
  <c r="Q601" i="9" s="1"/>
  <c r="Q602" i="9" a="1"/>
  <c r="Q602" i="9" s="1"/>
  <c r="Q603" i="9" a="1"/>
  <c r="Q603" i="9" s="1"/>
  <c r="Q604" i="9" a="1"/>
  <c r="Q604" i="9" s="1"/>
  <c r="Q605" i="9" a="1"/>
  <c r="Q605" i="9" s="1"/>
  <c r="Q606" i="9" a="1"/>
  <c r="Q606" i="9" s="1"/>
  <c r="Q607" i="9" a="1"/>
  <c r="Q607" i="9" s="1"/>
  <c r="Q608" i="9" a="1"/>
  <c r="Q608" i="9" s="1"/>
  <c r="Q609" i="9" a="1"/>
  <c r="Q609" i="9" s="1"/>
  <c r="Q610" i="9" a="1"/>
  <c r="Q610" i="9" s="1"/>
  <c r="Q611" i="9" a="1"/>
  <c r="Q611" i="9" s="1"/>
  <c r="Q612" i="9" a="1"/>
  <c r="Q612" i="9" s="1"/>
  <c r="Q613" i="9" a="1"/>
  <c r="Q613" i="9" s="1"/>
  <c r="Q614" i="9" a="1"/>
  <c r="Q614" i="9" s="1"/>
  <c r="Q615" i="9" a="1"/>
  <c r="Q615" i="9" s="1"/>
  <c r="Q616" i="9" a="1"/>
  <c r="Q616" i="9" s="1"/>
  <c r="Q617" i="9" a="1"/>
  <c r="Q617" i="9" s="1"/>
  <c r="Q618" i="9" a="1"/>
  <c r="Q618" i="9" s="1"/>
  <c r="Q619" i="9" a="1"/>
  <c r="Q619" i="9" s="1"/>
  <c r="Q620" i="9" a="1"/>
  <c r="Q620" i="9" s="1"/>
  <c r="Q621" i="9" a="1"/>
  <c r="Q621" i="9" s="1"/>
  <c r="Q622" i="9" a="1"/>
  <c r="Q622" i="9" s="1"/>
  <c r="Q623" i="9" a="1"/>
  <c r="Q623" i="9" s="1"/>
  <c r="Q624" i="9" a="1"/>
  <c r="Q624" i="9"/>
  <c r="Q625" i="9" a="1"/>
  <c r="Q625" i="9" s="1"/>
  <c r="Q626" i="9" a="1"/>
  <c r="Q626" i="9" s="1"/>
  <c r="Q627" i="9" a="1"/>
  <c r="Q627" i="9" s="1"/>
  <c r="Q628" i="9" a="1"/>
  <c r="Q628" i="9" s="1"/>
  <c r="Q629" i="9" a="1"/>
  <c r="Q629" i="9" s="1"/>
  <c r="Q630" i="9" a="1"/>
  <c r="Q630" i="9" s="1"/>
  <c r="Q631" i="9" a="1"/>
  <c r="Q631" i="9" s="1"/>
  <c r="Q632" i="9" a="1"/>
  <c r="Q632" i="9" s="1"/>
  <c r="Q633" i="9" a="1"/>
  <c r="Q633" i="9" s="1"/>
  <c r="Q634" i="9" a="1"/>
  <c r="Q634" i="9" s="1"/>
  <c r="Q635" i="9" a="1"/>
  <c r="Q635" i="9" s="1"/>
  <c r="Q636" i="9" a="1"/>
  <c r="Q636" i="9" s="1"/>
  <c r="Q637" i="9" a="1"/>
  <c r="Q637" i="9" s="1"/>
  <c r="Q638" i="9" a="1"/>
  <c r="Q638" i="9" s="1"/>
  <c r="Q639" i="9" a="1"/>
  <c r="Q639" i="9"/>
  <c r="Q640" i="9" a="1"/>
  <c r="Q640" i="9"/>
  <c r="Q641" i="9" a="1"/>
  <c r="Q641" i="9" s="1"/>
  <c r="Q642" i="9" a="1"/>
  <c r="Q642" i="9" s="1"/>
  <c r="Q643" i="9" a="1"/>
  <c r="Q643" i="9" s="1"/>
  <c r="Q644" i="9" a="1"/>
  <c r="Q644" i="9" s="1"/>
  <c r="Q645" i="9" a="1"/>
  <c r="Q645" i="9" s="1"/>
  <c r="Q646" i="9" a="1"/>
  <c r="Q646" i="9" s="1"/>
  <c r="Q647" i="9" a="1"/>
  <c r="Q647" i="9" s="1"/>
  <c r="Q648" i="9" a="1"/>
  <c r="Q648" i="9" s="1"/>
  <c r="Q649" i="9" a="1"/>
  <c r="Q649" i="9" s="1"/>
  <c r="Q650" i="9" a="1"/>
  <c r="Q650" i="9" s="1"/>
  <c r="Q651" i="9" a="1"/>
  <c r="Q651" i="9" s="1"/>
  <c r="Q652" i="9" a="1"/>
  <c r="Q652" i="9" s="1"/>
  <c r="Q653" i="9" a="1"/>
  <c r="Q653" i="9" s="1"/>
  <c r="Q654" i="9" a="1"/>
  <c r="Q654" i="9"/>
  <c r="Q655" i="9" a="1"/>
  <c r="Q655" i="9" s="1"/>
  <c r="Q656" i="9" a="1"/>
  <c r="Q656" i="9"/>
  <c r="Q657" i="9" a="1"/>
  <c r="Q657" i="9" s="1"/>
  <c r="Q658" i="9" a="1"/>
  <c r="Q658" i="9" s="1"/>
  <c r="Q659" i="9" a="1"/>
  <c r="Q659" i="9" s="1"/>
  <c r="Q660" i="9" a="1"/>
  <c r="Q660" i="9" s="1"/>
  <c r="Q661" i="9" a="1"/>
  <c r="Q661" i="9"/>
  <c r="Q662" i="9" a="1"/>
  <c r="Q662" i="9" s="1"/>
  <c r="Q663" i="9" a="1"/>
  <c r="Q663" i="9" s="1"/>
  <c r="Q664" i="9" a="1"/>
  <c r="Q664" i="9" s="1"/>
  <c r="Q665" i="9" a="1"/>
  <c r="Q665" i="9"/>
  <c r="Q666" i="9" a="1"/>
  <c r="Q666" i="9" s="1"/>
  <c r="Q667" i="9" a="1"/>
  <c r="Q667" i="9" s="1"/>
  <c r="Q668" i="9" a="1"/>
  <c r="Q668" i="9" s="1"/>
  <c r="Q669" i="9" a="1"/>
  <c r="Q669" i="9" s="1"/>
  <c r="Q670" i="9" a="1"/>
  <c r="Q670" i="9" s="1"/>
  <c r="Q671" i="9" a="1"/>
  <c r="Q671" i="9" s="1"/>
  <c r="Q672" i="9" a="1"/>
  <c r="Q672" i="9" s="1"/>
  <c r="Q673" i="9" a="1"/>
  <c r="Q673" i="9" s="1"/>
  <c r="Q674" i="9" a="1"/>
  <c r="Q674" i="9" s="1"/>
  <c r="Q675" i="9" a="1"/>
  <c r="Q675" i="9" s="1"/>
  <c r="Q676" i="9" a="1"/>
  <c r="Q676" i="9" s="1"/>
  <c r="Q677" i="9" a="1"/>
  <c r="Q677" i="9" s="1"/>
  <c r="Q678" i="9" a="1"/>
  <c r="Q678" i="9" s="1"/>
  <c r="Q679" i="9" a="1"/>
  <c r="Q679" i="9"/>
  <c r="Q680" i="9" a="1"/>
  <c r="Q680" i="9" s="1"/>
  <c r="Q681" i="9" a="1"/>
  <c r="Q681" i="9" s="1"/>
  <c r="Q682" i="9" a="1"/>
  <c r="Q682" i="9" s="1"/>
  <c r="Q683" i="9" a="1"/>
  <c r="Q683" i="9" s="1"/>
  <c r="Q684" i="9" a="1"/>
  <c r="Q684" i="9" s="1"/>
  <c r="Q685" i="9" a="1"/>
  <c r="Q685" i="9" s="1"/>
  <c r="Q686" i="9" a="1"/>
  <c r="Q686" i="9" s="1"/>
  <c r="Q687" i="9" a="1"/>
  <c r="Q687" i="9" s="1"/>
  <c r="Q688" i="9" a="1"/>
  <c r="Q688" i="9" s="1"/>
  <c r="Q689" i="9" a="1"/>
  <c r="Q689" i="9" s="1"/>
  <c r="Q690" i="9" a="1"/>
  <c r="Q690" i="9" s="1"/>
  <c r="Q691" i="9" a="1"/>
  <c r="Q691" i="9" s="1"/>
  <c r="Q692" i="9" a="1"/>
  <c r="Q692" i="9" s="1"/>
  <c r="Q693" i="9" a="1"/>
  <c r="Q693" i="9" s="1"/>
  <c r="Q694" i="9" a="1"/>
  <c r="Q694" i="9" s="1"/>
  <c r="Q695" i="9" a="1"/>
  <c r="Q695" i="9"/>
  <c r="Q696" i="9" a="1"/>
  <c r="Q696" i="9"/>
  <c r="Q697" i="9" a="1"/>
  <c r="Q697" i="9" s="1"/>
  <c r="Q698" i="9" a="1"/>
  <c r="Q698" i="9" s="1"/>
  <c r="Q699" i="9" a="1"/>
  <c r="Q699" i="9" s="1"/>
  <c r="Q700" i="9" a="1"/>
  <c r="Q700" i="9" s="1"/>
  <c r="Q701" i="9" a="1"/>
  <c r="Q701" i="9" s="1"/>
  <c r="Q702" i="9" a="1"/>
  <c r="Q702" i="9" s="1"/>
  <c r="Q703" i="9" a="1"/>
  <c r="Q703" i="9"/>
  <c r="Q704" i="9" a="1"/>
  <c r="Q704" i="9" s="1"/>
  <c r="Q705" i="9" a="1"/>
  <c r="Q705" i="9" s="1"/>
  <c r="Q706" i="9" a="1"/>
  <c r="Q706" i="9" s="1"/>
  <c r="Q707" i="9" a="1"/>
  <c r="Q707" i="9" s="1"/>
  <c r="Q708" i="9" a="1"/>
  <c r="Q708" i="9" s="1"/>
  <c r="Q709" i="9" a="1"/>
  <c r="Q709" i="9" s="1"/>
  <c r="Q710" i="9" a="1"/>
  <c r="Q710" i="9" s="1"/>
  <c r="Q711" i="9" a="1"/>
  <c r="Q711" i="9" s="1"/>
  <c r="Q712" i="9" a="1"/>
  <c r="Q712" i="9" s="1"/>
  <c r="Q713" i="9" a="1"/>
  <c r="Q713" i="9" s="1"/>
  <c r="Q714" i="9" a="1"/>
  <c r="Q714" i="9" s="1"/>
  <c r="Q715" i="9" a="1"/>
  <c r="Q715" i="9" s="1"/>
  <c r="Q716" i="9" a="1"/>
  <c r="Q716" i="9" s="1"/>
  <c r="Q717" i="9" a="1"/>
  <c r="Q717" i="9" s="1"/>
  <c r="Q718" i="9" a="1"/>
  <c r="Q718" i="9"/>
  <c r="Q719" i="9" a="1"/>
  <c r="Q719" i="9" s="1"/>
  <c r="Q720" i="9" a="1"/>
  <c r="Q720" i="9" s="1"/>
  <c r="Q721" i="9" a="1"/>
  <c r="Q721" i="9" s="1"/>
  <c r="Q722" i="9" a="1"/>
  <c r="Q722" i="9" s="1"/>
  <c r="Q723" i="9" a="1"/>
  <c r="Q723" i="9" s="1"/>
  <c r="Q724" i="9" a="1"/>
  <c r="Q724" i="9" s="1"/>
  <c r="Q725" i="9" a="1"/>
  <c r="Q725" i="9" s="1"/>
  <c r="Q726" i="9" a="1"/>
  <c r="Q726" i="9"/>
  <c r="Q727" i="9" a="1"/>
  <c r="Q727" i="9" s="1"/>
  <c r="Q728" i="9" a="1"/>
  <c r="Q728" i="9" s="1"/>
  <c r="Q729" i="9" a="1"/>
  <c r="Q729" i="9" s="1"/>
  <c r="Q730" i="9" a="1"/>
  <c r="Q730" i="9" s="1"/>
  <c r="Q731" i="9" a="1"/>
  <c r="Q731" i="9" s="1"/>
  <c r="Q732" i="9" a="1"/>
  <c r="Q732" i="9"/>
  <c r="Q733" i="9" a="1"/>
  <c r="Q733" i="9" s="1"/>
  <c r="Q734" i="9" a="1"/>
  <c r="Q734" i="9" s="1"/>
  <c r="Q735" i="9" a="1"/>
  <c r="Q735" i="9" s="1"/>
  <c r="Q736" i="9" a="1"/>
  <c r="Q736" i="9"/>
  <c r="Q737" i="9" a="1"/>
  <c r="Q737" i="9" s="1"/>
  <c r="Q738" i="9" a="1"/>
  <c r="Q738" i="9" s="1"/>
  <c r="Q739" i="9" a="1"/>
  <c r="Q739" i="9" s="1"/>
  <c r="Q740" i="9" a="1"/>
  <c r="Q740" i="9" s="1"/>
  <c r="Q741" i="9" a="1"/>
  <c r="Q741" i="9" s="1"/>
  <c r="Q742" i="9" a="1"/>
  <c r="Q742" i="9" s="1"/>
  <c r="Q743" i="9" a="1"/>
  <c r="Q743" i="9" s="1"/>
  <c r="Q744" i="9" a="1"/>
  <c r="Q744" i="9" s="1"/>
  <c r="Q745" i="9" a="1"/>
  <c r="Q745" i="9" s="1"/>
  <c r="Q746" i="9" a="1"/>
  <c r="Q746" i="9" s="1"/>
  <c r="Q747" i="9" a="1"/>
  <c r="Q747" i="9" s="1"/>
  <c r="Q748" i="9" a="1"/>
  <c r="Q748" i="9" s="1"/>
  <c r="Q749" i="9" a="1"/>
  <c r="Q749" i="9" s="1"/>
  <c r="Q750" i="9" a="1"/>
  <c r="Q750" i="9" s="1"/>
  <c r="Q751" i="9" a="1"/>
  <c r="Q751" i="9" s="1"/>
  <c r="Q752" i="9" a="1"/>
  <c r="Q752" i="9" s="1"/>
  <c r="Q753" i="9" a="1"/>
  <c r="Q753" i="9" s="1"/>
  <c r="Q754" i="9" a="1"/>
  <c r="Q754" i="9" s="1"/>
  <c r="Q755" i="9" a="1"/>
  <c r="Q755" i="9" s="1"/>
  <c r="Q756" i="9" a="1"/>
  <c r="Q756" i="9" s="1"/>
  <c r="Q757" i="9" a="1"/>
  <c r="Q757" i="9" s="1"/>
  <c r="Q758" i="9" a="1"/>
  <c r="Q758" i="9" s="1"/>
  <c r="Q759" i="9" a="1"/>
  <c r="Q759" i="9" s="1"/>
  <c r="Q760" i="9" a="1"/>
  <c r="Q760" i="9" s="1"/>
  <c r="Q761" i="9" a="1"/>
  <c r="Q761" i="9" s="1"/>
  <c r="Q762" i="9" a="1"/>
  <c r="Q762" i="9" s="1"/>
  <c r="Q763" i="9" a="1"/>
  <c r="Q763" i="9" s="1"/>
  <c r="Q764" i="9" a="1"/>
  <c r="Q764" i="9" s="1"/>
  <c r="Q765" i="9" a="1"/>
  <c r="Q765" i="9" s="1"/>
  <c r="Q766" i="9" a="1"/>
  <c r="Q766" i="9"/>
  <c r="Q767" i="9" a="1"/>
  <c r="Q767" i="9" s="1"/>
  <c r="Q768" i="9" a="1"/>
  <c r="Q768" i="9" s="1"/>
  <c r="Q769" i="9" a="1"/>
  <c r="Q769" i="9" s="1"/>
  <c r="Q770" i="9" a="1"/>
  <c r="Q770" i="9" s="1"/>
  <c r="Q771" i="9" a="1"/>
  <c r="Q771" i="9" s="1"/>
  <c r="Q772" i="9" a="1"/>
  <c r="Q772" i="9" s="1"/>
  <c r="Q773" i="9" a="1"/>
  <c r="Q773" i="9" s="1"/>
  <c r="Q774" i="9" a="1"/>
  <c r="Q774" i="9"/>
  <c r="Q775" i="9" a="1"/>
  <c r="Q775" i="9"/>
  <c r="Q776" i="9" a="1"/>
  <c r="Q776" i="9" s="1"/>
  <c r="Q777" i="9" a="1"/>
  <c r="Q777" i="9" s="1"/>
  <c r="Q778" i="9" a="1"/>
  <c r="Q778" i="9" s="1"/>
  <c r="Q779" i="9" a="1"/>
  <c r="Q779" i="9"/>
  <c r="Q780" i="9" a="1"/>
  <c r="Q780" i="9" s="1"/>
  <c r="Q781" i="9" a="1"/>
  <c r="Q781" i="9" s="1"/>
  <c r="Q782" i="9" a="1"/>
  <c r="Q782" i="9" s="1"/>
  <c r="Q783" i="9" a="1"/>
  <c r="Q783" i="9" s="1"/>
  <c r="Q784" i="9" a="1"/>
  <c r="Q784" i="9" s="1"/>
  <c r="Q785" i="9" a="1"/>
  <c r="Q785" i="9" s="1"/>
  <c r="Q786" i="9" a="1"/>
  <c r="Q786" i="9" s="1"/>
  <c r="Q787" i="9" a="1"/>
  <c r="Q787" i="9"/>
  <c r="Q788" i="9" a="1"/>
  <c r="Q788" i="9" s="1"/>
  <c r="Q789" i="9" a="1"/>
  <c r="Q789" i="9" s="1"/>
  <c r="Q790" i="9" a="1"/>
  <c r="Q790" i="9" s="1"/>
  <c r="Q791" i="9" a="1"/>
  <c r="Q791" i="9" s="1"/>
  <c r="Q792" i="9" a="1"/>
  <c r="Q792" i="9" s="1"/>
  <c r="Q793" i="9" a="1"/>
  <c r="Q793" i="9" s="1"/>
  <c r="Q794" i="9" a="1"/>
  <c r="Q794" i="9" s="1"/>
  <c r="Q795" i="9" a="1"/>
  <c r="Q795" i="9" s="1"/>
  <c r="Q796" i="9" a="1"/>
  <c r="Q796" i="9" s="1"/>
  <c r="Q797" i="9" a="1"/>
  <c r="Q797" i="9" s="1"/>
  <c r="Q798" i="9" a="1"/>
  <c r="Q798" i="9"/>
  <c r="Q799" i="9" a="1"/>
  <c r="Q799" i="9" s="1"/>
  <c r="Q800" i="9" a="1"/>
  <c r="Q800" i="9" s="1"/>
  <c r="Q801" i="9" a="1"/>
  <c r="Q801" i="9" s="1"/>
  <c r="Q802" i="9" a="1"/>
  <c r="Q802" i="9" s="1"/>
  <c r="Q803" i="9" a="1"/>
  <c r="Q803" i="9" s="1"/>
  <c r="Q804" i="9" a="1"/>
  <c r="Q804" i="9" s="1"/>
  <c r="Q805" i="9" a="1"/>
  <c r="Q805" i="9" s="1"/>
  <c r="Q806" i="9" a="1"/>
  <c r="Q806" i="9" s="1"/>
  <c r="Q807" i="9" a="1"/>
  <c r="Q807" i="9" s="1"/>
  <c r="Q808" i="9" a="1"/>
  <c r="Q808" i="9" s="1"/>
  <c r="Q809" i="9" a="1"/>
  <c r="Q809" i="9" s="1"/>
  <c r="Q810" i="9" a="1"/>
  <c r="Q810" i="9" s="1"/>
  <c r="Q811" i="9" a="1"/>
  <c r="Q811" i="9" s="1"/>
  <c r="Q812" i="9" a="1"/>
  <c r="Q812" i="9" s="1"/>
  <c r="Q813" i="9" a="1"/>
  <c r="Q813" i="9" s="1"/>
  <c r="Q814" i="9" a="1"/>
  <c r="Q814" i="9" s="1"/>
  <c r="Q815" i="9" a="1"/>
  <c r="Q815" i="9" s="1"/>
  <c r="Q816" i="9" a="1"/>
  <c r="Q816" i="9" s="1"/>
  <c r="Q817" i="9" a="1"/>
  <c r="Q817" i="9" s="1"/>
  <c r="Q818" i="9" a="1"/>
  <c r="Q818" i="9" s="1"/>
  <c r="Q819" i="9" a="1"/>
  <c r="Q819" i="9" s="1"/>
  <c r="Q820" i="9" a="1"/>
  <c r="Q820" i="9" s="1"/>
  <c r="Q821" i="9" a="1"/>
  <c r="Q821" i="9" s="1"/>
  <c r="Q822" i="9" a="1"/>
  <c r="Q822" i="9"/>
  <c r="Q823" i="9" a="1"/>
  <c r="Q823" i="9" s="1"/>
  <c r="Q824" i="9" a="1"/>
  <c r="Q824" i="9" s="1"/>
  <c r="Q825" i="9" a="1"/>
  <c r="Q825" i="9" s="1"/>
  <c r="Q826" i="9" a="1"/>
  <c r="Q826" i="9" s="1"/>
  <c r="Q827" i="9" a="1"/>
  <c r="Q827" i="9" s="1"/>
  <c r="Q828" i="9" a="1"/>
  <c r="Q828" i="9" s="1"/>
  <c r="Q829" i="9" a="1"/>
  <c r="Q829" i="9" s="1"/>
  <c r="Q830" i="9" a="1"/>
  <c r="Q830" i="9" s="1"/>
  <c r="Q831" i="9" a="1"/>
  <c r="Q831" i="9" s="1"/>
  <c r="Q832" i="9" a="1"/>
  <c r="Q832" i="9"/>
  <c r="Q833" i="9" a="1"/>
  <c r="Q833" i="9" s="1"/>
  <c r="Q834" i="9" a="1"/>
  <c r="Q834" i="9" s="1"/>
  <c r="Q835" i="9" a="1"/>
  <c r="Q835" i="9" s="1"/>
  <c r="Q836" i="9" a="1"/>
  <c r="Q836" i="9" s="1"/>
  <c r="Q837" i="9" a="1"/>
  <c r="Q837" i="9" s="1"/>
  <c r="Q838" i="9" a="1"/>
  <c r="Q838" i="9"/>
  <c r="Q839" i="9" a="1"/>
  <c r="Q839" i="9" s="1"/>
  <c r="Q840" i="9" a="1"/>
  <c r="Q840" i="9" s="1"/>
  <c r="Q841" i="9" a="1"/>
  <c r="Q841" i="9" s="1"/>
  <c r="Q842" i="9" a="1"/>
  <c r="Q842" i="9" s="1"/>
  <c r="Q843" i="9" a="1"/>
  <c r="Q843" i="9" s="1"/>
  <c r="Q844" i="9" a="1"/>
  <c r="Q844" i="9" s="1"/>
  <c r="Q845" i="9" a="1"/>
  <c r="Q845" i="9" s="1"/>
  <c r="Q846" i="9" a="1"/>
  <c r="Q846" i="9"/>
  <c r="Q847" i="9" a="1"/>
  <c r="Q847" i="9" s="1"/>
  <c r="Q848" i="9" a="1"/>
  <c r="Q848" i="9" s="1"/>
  <c r="Q849" i="9" a="1"/>
  <c r="Q849" i="9" s="1"/>
  <c r="Q850" i="9" a="1"/>
  <c r="Q850" i="9" s="1"/>
  <c r="Q851" i="9" a="1"/>
  <c r="Q851" i="9" s="1"/>
  <c r="Q852" i="9" a="1"/>
  <c r="Q852" i="9" s="1"/>
  <c r="Q853" i="9" a="1"/>
  <c r="Q853" i="9" s="1"/>
  <c r="Q854" i="9" a="1"/>
  <c r="Q854" i="9" s="1"/>
  <c r="Q855" i="9" a="1"/>
  <c r="Q855" i="9" s="1"/>
  <c r="Q856" i="9" a="1"/>
  <c r="Q856" i="9"/>
  <c r="Q857" i="9" a="1"/>
  <c r="Q857" i="9" s="1"/>
  <c r="Q858" i="9" a="1"/>
  <c r="Q858" i="9" s="1"/>
  <c r="Q859" i="9" a="1"/>
  <c r="Q859" i="9" s="1"/>
  <c r="Q860" i="9" a="1"/>
  <c r="Q860" i="9" s="1"/>
  <c r="Q861" i="9" a="1"/>
  <c r="Q861" i="9" s="1"/>
  <c r="Q862" i="9" a="1"/>
  <c r="Q862" i="9" s="1"/>
  <c r="Q863" i="9" a="1"/>
  <c r="Q863" i="9" s="1"/>
  <c r="Q864" i="9" a="1"/>
  <c r="Q864" i="9" s="1"/>
  <c r="Q865" i="9" a="1"/>
  <c r="Q865" i="9" s="1"/>
  <c r="Q866" i="9" a="1"/>
  <c r="Q866" i="9" s="1"/>
  <c r="Q867" i="9" a="1"/>
  <c r="Q867" i="9" s="1"/>
  <c r="Q868" i="9" a="1"/>
  <c r="Q868" i="9" s="1"/>
  <c r="Q869" i="9" a="1"/>
  <c r="Q869" i="9" s="1"/>
  <c r="Q870" i="9" a="1"/>
  <c r="Q870" i="9"/>
  <c r="Q871" i="9" a="1"/>
  <c r="Q871" i="9" s="1"/>
  <c r="Q872" i="9" a="1"/>
  <c r="Q872" i="9"/>
  <c r="Q873" i="9" a="1"/>
  <c r="Q873" i="9" s="1"/>
  <c r="Q874" i="9" a="1"/>
  <c r="Q874" i="9" s="1"/>
  <c r="Q875" i="9" a="1"/>
  <c r="Q875" i="9" s="1"/>
  <c r="Q876" i="9" a="1"/>
  <c r="Q876" i="9" s="1"/>
  <c r="Q877" i="9" a="1"/>
  <c r="Q877" i="9" s="1"/>
  <c r="Q878" i="9" a="1"/>
  <c r="Q878" i="9" s="1"/>
  <c r="Q879" i="9" a="1"/>
  <c r="Q879" i="9" s="1"/>
  <c r="Q880" i="9" a="1"/>
  <c r="Q880" i="9" s="1"/>
  <c r="Q881" i="9" a="1"/>
  <c r="Q881" i="9" s="1"/>
  <c r="Q882" i="9" a="1"/>
  <c r="Q882" i="9" s="1"/>
  <c r="Q883" i="9" a="1"/>
  <c r="Q883" i="9"/>
  <c r="Q884" i="9" a="1"/>
  <c r="Q884" i="9" s="1"/>
  <c r="Q885" i="9" a="1"/>
  <c r="Q885" i="9" s="1"/>
  <c r="Q886" i="9" a="1"/>
  <c r="Q886" i="9" s="1"/>
  <c r="Q887" i="9" a="1"/>
  <c r="Q887" i="9" s="1"/>
  <c r="Q888" i="9" a="1"/>
  <c r="Q888" i="9" s="1"/>
  <c r="Q889" i="9" a="1"/>
  <c r="Q889" i="9" s="1"/>
  <c r="Q890" i="9" a="1"/>
  <c r="Q890" i="9" s="1"/>
  <c r="Q891" i="9" a="1"/>
  <c r="Q891" i="9" s="1"/>
  <c r="Q892" i="9" a="1"/>
  <c r="Q892" i="9" s="1"/>
  <c r="Q893" i="9" a="1"/>
  <c r="Q893" i="9" s="1"/>
  <c r="Q894" i="9" a="1"/>
  <c r="Q894" i="9" s="1"/>
  <c r="Q895" i="9" a="1"/>
  <c r="Q895" i="9"/>
  <c r="Q896" i="9" a="1"/>
  <c r="Q896" i="9" s="1"/>
  <c r="Q897" i="9" a="1"/>
  <c r="Q897" i="9" s="1"/>
  <c r="Q898" i="9" a="1"/>
  <c r="Q898" i="9" s="1"/>
  <c r="Q899" i="9" a="1"/>
  <c r="Q899" i="9" s="1"/>
  <c r="Q900" i="9" a="1"/>
  <c r="Q900" i="9"/>
  <c r="Q901" i="9" a="1"/>
  <c r="Q901" i="9" s="1"/>
  <c r="Q902" i="9" a="1"/>
  <c r="Q902" i="9" s="1"/>
  <c r="Q903" i="9" a="1"/>
  <c r="Q903" i="9" s="1"/>
  <c r="Q904" i="9" a="1"/>
  <c r="Q904" i="9" s="1"/>
  <c r="Q905" i="9" a="1"/>
  <c r="Q905" i="9" s="1"/>
  <c r="Q906" i="9" a="1"/>
  <c r="Q906" i="9" s="1"/>
  <c r="Q907" i="9" a="1"/>
  <c r="Q907" i="9" s="1"/>
  <c r="Q908" i="9" a="1"/>
  <c r="Q908" i="9" s="1"/>
  <c r="Q909" i="9" a="1"/>
  <c r="Q909" i="9" s="1"/>
  <c r="Q910" i="9" a="1"/>
  <c r="Q910" i="9"/>
  <c r="Q911" i="9" a="1"/>
  <c r="Q911" i="9" s="1"/>
  <c r="Q912" i="9" a="1"/>
  <c r="Q912" i="9" s="1"/>
  <c r="Q913" i="9" a="1"/>
  <c r="Q913" i="9" s="1"/>
  <c r="Q914" i="9" a="1"/>
  <c r="Q914" i="9" s="1"/>
  <c r="Q915" i="9" a="1"/>
  <c r="Q915" i="9" s="1"/>
  <c r="Q916" i="9" a="1"/>
  <c r="Q916" i="9" s="1"/>
  <c r="Q917" i="9" a="1"/>
  <c r="Q917" i="9" s="1"/>
  <c r="Q918" i="9" a="1"/>
  <c r="Q918" i="9"/>
  <c r="Q919" i="9" a="1"/>
  <c r="Q919" i="9" s="1"/>
  <c r="Q920" i="9" a="1"/>
  <c r="Q920" i="9" s="1"/>
  <c r="Q921" i="9" a="1"/>
  <c r="Q921" i="9" s="1"/>
  <c r="Q922" i="9" a="1"/>
  <c r="Q922" i="9" s="1"/>
  <c r="Q923" i="9" a="1"/>
  <c r="Q923" i="9" s="1"/>
  <c r="Q924" i="9" a="1"/>
  <c r="Q924" i="9" s="1"/>
  <c r="Q925" i="9" a="1"/>
  <c r="Q925" i="9" s="1"/>
  <c r="Q926" i="9" a="1"/>
  <c r="Q926" i="9" s="1"/>
  <c r="Q927" i="9" a="1"/>
  <c r="Q927" i="9" s="1"/>
  <c r="Q928" i="9" a="1"/>
  <c r="Q928" i="9" s="1"/>
  <c r="Q929" i="9" a="1"/>
  <c r="Q929" i="9" s="1"/>
  <c r="Q930" i="9" a="1"/>
  <c r="Q930" i="9" s="1"/>
  <c r="Q931" i="9" a="1"/>
  <c r="Q931" i="9"/>
  <c r="Q932" i="9" a="1"/>
  <c r="Q932" i="9" s="1"/>
  <c r="Q933" i="9" a="1"/>
  <c r="Q933" i="9" s="1"/>
  <c r="Q934" i="9" a="1"/>
  <c r="Q934" i="9" s="1"/>
  <c r="Q935" i="9" a="1"/>
  <c r="Q935" i="9" s="1"/>
  <c r="Q936" i="9" a="1"/>
  <c r="Q936" i="9" s="1"/>
  <c r="Q937" i="9" a="1"/>
  <c r="Q937" i="9" s="1"/>
  <c r="Q938" i="9" a="1"/>
  <c r="Q938" i="9" s="1"/>
  <c r="Q939" i="9" a="1"/>
  <c r="Q939" i="9" s="1"/>
  <c r="Q940" i="9" a="1"/>
  <c r="Q940" i="9"/>
  <c r="Q941" i="9" a="1"/>
  <c r="Q941" i="9" s="1"/>
  <c r="Q942" i="9" a="1"/>
  <c r="Q942" i="9"/>
  <c r="Q943" i="9" a="1"/>
  <c r="Q943" i="9" s="1"/>
  <c r="Q944" i="9" a="1"/>
  <c r="Q944" i="9"/>
  <c r="Q945" i="9" a="1"/>
  <c r="Q945" i="9" s="1"/>
  <c r="Q946" i="9" a="1"/>
  <c r="Q946" i="9" s="1"/>
  <c r="Q947" i="9" a="1"/>
  <c r="Q947" i="9" s="1"/>
  <c r="Q948" i="9" a="1"/>
  <c r="Q948" i="9" s="1"/>
  <c r="Q949" i="9" a="1"/>
  <c r="Q949" i="9" s="1"/>
  <c r="Q950" i="9" a="1"/>
  <c r="Q950" i="9" s="1"/>
  <c r="Q951" i="9" a="1"/>
  <c r="Q951" i="9" s="1"/>
  <c r="Q952" i="9" a="1"/>
  <c r="Q952" i="9"/>
  <c r="Q953" i="9" a="1"/>
  <c r="Q953" i="9" s="1"/>
  <c r="Q954" i="9" a="1"/>
  <c r="Q954" i="9" s="1"/>
  <c r="Q955" i="9" a="1"/>
  <c r="Q955" i="9" s="1"/>
  <c r="Q956" i="9" a="1"/>
  <c r="Q956" i="9" s="1"/>
  <c r="Q957" i="9" a="1"/>
  <c r="Q957" i="9" s="1"/>
  <c r="Q958" i="9" a="1"/>
  <c r="Q958" i="9" s="1"/>
  <c r="Q959" i="9" a="1"/>
  <c r="Q959" i="9"/>
  <c r="Q960" i="9" a="1"/>
  <c r="Q960" i="9"/>
  <c r="Q961" i="9" a="1"/>
  <c r="Q961" i="9" s="1"/>
  <c r="Q962" i="9" a="1"/>
  <c r="Q962" i="9" s="1"/>
  <c r="Q963" i="9" a="1"/>
  <c r="Q963" i="9" s="1"/>
  <c r="Q964" i="9" a="1"/>
  <c r="Q964" i="9"/>
  <c r="Q965" i="9" a="1"/>
  <c r="Q965" i="9" s="1"/>
  <c r="Q966" i="9" a="1"/>
  <c r="Q966" i="9" s="1"/>
  <c r="Q967" i="9" a="1"/>
  <c r="Q967" i="9"/>
  <c r="Q968" i="9" a="1"/>
  <c r="Q968" i="9" s="1"/>
  <c r="Q969" i="9" a="1"/>
  <c r="Q969" i="9" s="1"/>
  <c r="Q970" i="9" a="1"/>
  <c r="Q970" i="9" s="1"/>
  <c r="Q971" i="9" a="1"/>
  <c r="Q971" i="9" s="1"/>
  <c r="Q972" i="9" a="1"/>
  <c r="Q972" i="9"/>
  <c r="Q973" i="9" a="1"/>
  <c r="Q973" i="9" s="1"/>
  <c r="Q974" i="9" a="1"/>
  <c r="Q974" i="9" s="1"/>
  <c r="Q975" i="9" a="1"/>
  <c r="Q975" i="9" s="1"/>
  <c r="Q976" i="9" a="1"/>
  <c r="Q976" i="9" s="1"/>
  <c r="Q977" i="9" a="1"/>
  <c r="Q977" i="9" s="1"/>
  <c r="Q978" i="9" a="1"/>
  <c r="Q978" i="9" s="1"/>
  <c r="Q979" i="9" a="1"/>
  <c r="Q979" i="9" s="1"/>
  <c r="Q980" i="9" a="1"/>
  <c r="Q980" i="9" s="1"/>
  <c r="Q981" i="9" a="1"/>
  <c r="Q981" i="9" s="1"/>
  <c r="Q982" i="9" a="1"/>
  <c r="Q982" i="9"/>
  <c r="Q983" i="9" a="1"/>
  <c r="Q983" i="9"/>
  <c r="Q984" i="9" a="1"/>
  <c r="Q984" i="9" s="1"/>
  <c r="Q985" i="9" a="1"/>
  <c r="Q985" i="9" s="1"/>
  <c r="Q986" i="9" a="1"/>
  <c r="Q986" i="9" s="1"/>
  <c r="Q987" i="9" a="1"/>
  <c r="Q987" i="9" s="1"/>
  <c r="Q988" i="9" a="1"/>
  <c r="Q988" i="9" s="1"/>
  <c r="Q989" i="9" a="1"/>
  <c r="Q989" i="9" s="1"/>
  <c r="Q990" i="9" a="1"/>
  <c r="Q990" i="9" s="1"/>
  <c r="Q991" i="9" a="1"/>
  <c r="Q991" i="9" s="1"/>
  <c r="Q992" i="9" a="1"/>
  <c r="Q992" i="9"/>
  <c r="Q993" i="9" a="1"/>
  <c r="Q993" i="9" s="1"/>
  <c r="Q994" i="9" a="1"/>
  <c r="Q994" i="9" s="1"/>
  <c r="Q995" i="9" a="1"/>
  <c r="Q995" i="9" s="1"/>
  <c r="Q996" i="9" a="1"/>
  <c r="Q996" i="9" s="1"/>
  <c r="Q997" i="9" a="1"/>
  <c r="Q997" i="9" s="1"/>
  <c r="Q998" i="9" a="1"/>
  <c r="Q998" i="9" s="1"/>
  <c r="Q999" i="9" a="1"/>
  <c r="Q999" i="9" s="1"/>
  <c r="Q1000" i="9" a="1"/>
  <c r="Q1000" i="9" s="1"/>
  <c r="Q1001" i="9" a="1"/>
  <c r="Q1001" i="9" s="1"/>
  <c r="O2" i="9" a="1"/>
  <c r="O2" i="9" s="1"/>
  <c r="O3" i="9" a="1"/>
  <c r="O3" i="9" s="1"/>
  <c r="O4" i="9" a="1"/>
  <c r="O4" i="9" s="1"/>
  <c r="O5" i="9" a="1"/>
  <c r="O5" i="9" s="1"/>
  <c r="O6" i="9" a="1"/>
  <c r="O6" i="9" s="1"/>
  <c r="O7" i="9" a="1"/>
  <c r="O7" i="9" s="1"/>
  <c r="O8" i="9" a="1"/>
  <c r="O8" i="9" s="1"/>
  <c r="O9" i="9" a="1"/>
  <c r="O9" i="9" s="1"/>
  <c r="O10" i="9" a="1"/>
  <c r="O10" i="9" s="1"/>
  <c r="O11" i="9" a="1"/>
  <c r="O11" i="9" s="1"/>
  <c r="O12" i="9" a="1"/>
  <c r="O12" i="9" s="1"/>
  <c r="O13" i="9" a="1"/>
  <c r="O13" i="9" s="1"/>
  <c r="O14" i="9" a="1"/>
  <c r="O14" i="9" s="1"/>
  <c r="O15" i="9" a="1"/>
  <c r="O15" i="9" s="1"/>
  <c r="O16" i="9" a="1"/>
  <c r="O16" i="9" s="1"/>
  <c r="O17" i="9" a="1"/>
  <c r="O17" i="9" s="1"/>
  <c r="O18" i="9" a="1"/>
  <c r="O18" i="9" s="1"/>
  <c r="O19" i="9" a="1"/>
  <c r="O19" i="9" s="1"/>
  <c r="O20" i="9" a="1"/>
  <c r="O20" i="9" s="1"/>
  <c r="O21" i="9" a="1"/>
  <c r="O21" i="9" s="1"/>
  <c r="O22" i="9" a="1"/>
  <c r="O22" i="9" s="1"/>
  <c r="O23" i="9" a="1"/>
  <c r="O23" i="9" s="1"/>
  <c r="O24" i="9" a="1"/>
  <c r="O24" i="9" s="1"/>
  <c r="O25" i="9" a="1"/>
  <c r="O25" i="9" s="1"/>
  <c r="O26" i="9" a="1"/>
  <c r="O26" i="9" s="1"/>
  <c r="O27" i="9" a="1"/>
  <c r="O27" i="9" s="1"/>
  <c r="O28" i="9" a="1"/>
  <c r="O28" i="9" s="1"/>
  <c r="O29" i="9" a="1"/>
  <c r="O29" i="9" s="1"/>
  <c r="O30" i="9" a="1"/>
  <c r="O30" i="9" s="1"/>
  <c r="O31" i="9" a="1"/>
  <c r="O31" i="9" s="1"/>
  <c r="O32" i="9" a="1"/>
  <c r="O32" i="9" s="1"/>
  <c r="O33" i="9" a="1"/>
  <c r="O33" i="9" s="1"/>
  <c r="O34" i="9" a="1"/>
  <c r="O34" i="9" s="1"/>
  <c r="O35" i="9" a="1"/>
  <c r="O35" i="9" s="1"/>
  <c r="O36" i="9" a="1"/>
  <c r="O36" i="9" s="1"/>
  <c r="O37" i="9" a="1"/>
  <c r="O37" i="9" s="1"/>
  <c r="O38" i="9" a="1"/>
  <c r="O38" i="9" s="1"/>
  <c r="O39" i="9" a="1"/>
  <c r="O39" i="9" s="1"/>
  <c r="O40" i="9" a="1"/>
  <c r="O40" i="9" s="1"/>
  <c r="O41" i="9" a="1"/>
  <c r="O41" i="9" s="1"/>
  <c r="O42" i="9" a="1"/>
  <c r="O42" i="9" s="1"/>
  <c r="O43" i="9" a="1"/>
  <c r="O43" i="9" s="1"/>
  <c r="O44" i="9" a="1"/>
  <c r="O44" i="9" s="1"/>
  <c r="O45" i="9" a="1"/>
  <c r="O45" i="9" s="1"/>
  <c r="O46" i="9" a="1"/>
  <c r="O46" i="9"/>
  <c r="O47" i="9" a="1"/>
  <c r="O47" i="9" s="1"/>
  <c r="O48" i="9" a="1"/>
  <c r="O48" i="9" s="1"/>
  <c r="O49" i="9" a="1"/>
  <c r="O49" i="9" s="1"/>
  <c r="O50" i="9" a="1"/>
  <c r="O50" i="9" s="1"/>
  <c r="O51" i="9" a="1"/>
  <c r="O51" i="9" s="1"/>
  <c r="O52" i="9" a="1"/>
  <c r="O52" i="9" s="1"/>
  <c r="O53" i="9" a="1"/>
  <c r="O53" i="9" s="1"/>
  <c r="O54" i="9" a="1"/>
  <c r="O54" i="9" s="1"/>
  <c r="O55" i="9" a="1"/>
  <c r="O55" i="9" s="1"/>
  <c r="O56" i="9" a="1"/>
  <c r="O56" i="9" s="1"/>
  <c r="O57" i="9" a="1"/>
  <c r="O57" i="9" s="1"/>
  <c r="O58" i="9" a="1"/>
  <c r="O58" i="9" s="1"/>
  <c r="O59" i="9" a="1"/>
  <c r="O59" i="9" s="1"/>
  <c r="O60" i="9" a="1"/>
  <c r="O60" i="9" s="1"/>
  <c r="O61" i="9" a="1"/>
  <c r="O61" i="9" s="1"/>
  <c r="O62" i="9" a="1"/>
  <c r="O62" i="9" s="1"/>
  <c r="O63" i="9" a="1"/>
  <c r="O63" i="9" s="1"/>
  <c r="O64" i="9" a="1"/>
  <c r="O64" i="9" s="1"/>
  <c r="O65" i="9" a="1"/>
  <c r="O65" i="9" s="1"/>
  <c r="O66" i="9" a="1"/>
  <c r="O66" i="9" s="1"/>
  <c r="O67" i="9" a="1"/>
  <c r="O67" i="9" s="1"/>
  <c r="O68" i="9" a="1"/>
  <c r="O68" i="9" s="1"/>
  <c r="O69" i="9" a="1"/>
  <c r="O69" i="9" s="1"/>
  <c r="O70" i="9" a="1"/>
  <c r="O70" i="9"/>
  <c r="O71" i="9" a="1"/>
  <c r="O71" i="9" s="1"/>
  <c r="O72" i="9" a="1"/>
  <c r="O72" i="9" s="1"/>
  <c r="O73" i="9" a="1"/>
  <c r="O73" i="9" s="1"/>
  <c r="O74" i="9" a="1"/>
  <c r="O74" i="9" s="1"/>
  <c r="O75" i="9" a="1"/>
  <c r="O75" i="9" s="1"/>
  <c r="O76" i="9" a="1"/>
  <c r="O76" i="9" s="1"/>
  <c r="O77" i="9" a="1"/>
  <c r="O77" i="9" s="1"/>
  <c r="O78" i="9" a="1"/>
  <c r="O78" i="9" s="1"/>
  <c r="O79" i="9" a="1"/>
  <c r="O79" i="9" s="1"/>
  <c r="O80" i="9" a="1"/>
  <c r="O80" i="9" s="1"/>
  <c r="O81" i="9" a="1"/>
  <c r="O81" i="9" s="1"/>
  <c r="O82" i="9" a="1"/>
  <c r="O82" i="9" s="1"/>
  <c r="O83" i="9" a="1"/>
  <c r="O83" i="9" s="1"/>
  <c r="O84" i="9" a="1"/>
  <c r="O84" i="9" s="1"/>
  <c r="O85" i="9" a="1"/>
  <c r="O85" i="9" s="1"/>
  <c r="O86" i="9" a="1"/>
  <c r="O86" i="9" s="1"/>
  <c r="O87" i="9" a="1"/>
  <c r="O87" i="9" s="1"/>
  <c r="O88" i="9" a="1"/>
  <c r="O88" i="9" s="1"/>
  <c r="O89" i="9" a="1"/>
  <c r="O89" i="9"/>
  <c r="O90" i="9" a="1"/>
  <c r="O90" i="9" s="1"/>
  <c r="O91" i="9" a="1"/>
  <c r="O91" i="9" s="1"/>
  <c r="O92" i="9" a="1"/>
  <c r="O92" i="9" s="1"/>
  <c r="O93" i="9" a="1"/>
  <c r="O93" i="9" s="1"/>
  <c r="O94" i="9" a="1"/>
  <c r="O94" i="9" s="1"/>
  <c r="O95" i="9" a="1"/>
  <c r="O95" i="9" s="1"/>
  <c r="O96" i="9" a="1"/>
  <c r="O96" i="9" s="1"/>
  <c r="O97" i="9" a="1"/>
  <c r="O97" i="9" s="1"/>
  <c r="O98" i="9" a="1"/>
  <c r="O98" i="9" s="1"/>
  <c r="O99" i="9" a="1"/>
  <c r="O99" i="9" s="1"/>
  <c r="O100" i="9" a="1"/>
  <c r="O100" i="9" s="1"/>
  <c r="O101" i="9" a="1"/>
  <c r="O101" i="9" s="1"/>
  <c r="O102" i="9" a="1"/>
  <c r="O102" i="9" s="1"/>
  <c r="O103" i="9" a="1"/>
  <c r="O103" i="9" s="1"/>
  <c r="O104" i="9" a="1"/>
  <c r="O104" i="9" s="1"/>
  <c r="O105" i="9" a="1"/>
  <c r="O105" i="9" s="1"/>
  <c r="O106" i="9" a="1"/>
  <c r="O106" i="9" s="1"/>
  <c r="O107" i="9" a="1"/>
  <c r="O107" i="9" s="1"/>
  <c r="O108" i="9" a="1"/>
  <c r="O108" i="9" s="1"/>
  <c r="O109" i="9" a="1"/>
  <c r="O109" i="9" s="1"/>
  <c r="O110" i="9" a="1"/>
  <c r="O110" i="9" s="1"/>
  <c r="O111" i="9" a="1"/>
  <c r="O111" i="9" s="1"/>
  <c r="O112" i="9" a="1"/>
  <c r="O112" i="9" s="1"/>
  <c r="O113" i="9" a="1"/>
  <c r="O113" i="9" s="1"/>
  <c r="O114" i="9" a="1"/>
  <c r="O114" i="9" s="1"/>
  <c r="O115" i="9" a="1"/>
  <c r="O115" i="9" s="1"/>
  <c r="O116" i="9" a="1"/>
  <c r="O116" i="9" s="1"/>
  <c r="O117" i="9" a="1"/>
  <c r="O117" i="9" s="1"/>
  <c r="O118" i="9" a="1"/>
  <c r="O118" i="9" s="1"/>
  <c r="O119" i="9" a="1"/>
  <c r="O119" i="9" s="1"/>
  <c r="O120" i="9" a="1"/>
  <c r="O120" i="9" s="1"/>
  <c r="O121" i="9" a="1"/>
  <c r="O121" i="9" s="1"/>
  <c r="O122" i="9" a="1"/>
  <c r="O122" i="9" s="1"/>
  <c r="O123" i="9" a="1"/>
  <c r="O123" i="9" s="1"/>
  <c r="O124" i="9" a="1"/>
  <c r="O124" i="9" s="1"/>
  <c r="O125" i="9" a="1"/>
  <c r="O125" i="9" s="1"/>
  <c r="O126" i="9" a="1"/>
  <c r="O126" i="9" s="1"/>
  <c r="O127" i="9" a="1"/>
  <c r="O127" i="9" s="1"/>
  <c r="O128" i="9" a="1"/>
  <c r="O128" i="9" s="1"/>
  <c r="O129" i="9" a="1"/>
  <c r="O129" i="9" s="1"/>
  <c r="O130" i="9" a="1"/>
  <c r="O130" i="9" s="1"/>
  <c r="O131" i="9" a="1"/>
  <c r="O131" i="9" s="1"/>
  <c r="O132" i="9" a="1"/>
  <c r="O132" i="9" s="1"/>
  <c r="O133" i="9" a="1"/>
  <c r="O133" i="9" s="1"/>
  <c r="O134" i="9" a="1"/>
  <c r="O134" i="9"/>
  <c r="O135" i="9" a="1"/>
  <c r="O135" i="9" s="1"/>
  <c r="O136" i="9" a="1"/>
  <c r="O136" i="9" s="1"/>
  <c r="O137" i="9" a="1"/>
  <c r="O137" i="9" s="1"/>
  <c r="O138" i="9" a="1"/>
  <c r="O138" i="9" s="1"/>
  <c r="O139" i="9" a="1"/>
  <c r="O139" i="9" s="1"/>
  <c r="O140" i="9" a="1"/>
  <c r="O140" i="9" s="1"/>
  <c r="O141" i="9" a="1"/>
  <c r="O141" i="9" s="1"/>
  <c r="O142" i="9" a="1"/>
  <c r="O142" i="9" s="1"/>
  <c r="O143" i="9" a="1"/>
  <c r="O143" i="9" s="1"/>
  <c r="O144" i="9" a="1"/>
  <c r="O144" i="9" s="1"/>
  <c r="O145" i="9" a="1"/>
  <c r="O145" i="9" s="1"/>
  <c r="O146" i="9" a="1"/>
  <c r="O146" i="9" s="1"/>
  <c r="O147" i="9" a="1"/>
  <c r="O147" i="9" s="1"/>
  <c r="O148" i="9" a="1"/>
  <c r="O148" i="9" s="1"/>
  <c r="O149" i="9" a="1"/>
  <c r="O149" i="9" s="1"/>
  <c r="O150" i="9" a="1"/>
  <c r="O150" i="9" s="1"/>
  <c r="O151" i="9" a="1"/>
  <c r="O151" i="9" s="1"/>
  <c r="O152" i="9" a="1"/>
  <c r="O152" i="9" s="1"/>
  <c r="O153" i="9" a="1"/>
  <c r="O153" i="9" s="1"/>
  <c r="O154" i="9" a="1"/>
  <c r="O154" i="9" s="1"/>
  <c r="O155" i="9" a="1"/>
  <c r="O155" i="9" s="1"/>
  <c r="O156" i="9" a="1"/>
  <c r="O156" i="9" s="1"/>
  <c r="O157" i="9" a="1"/>
  <c r="O157" i="9" s="1"/>
  <c r="O158" i="9" a="1"/>
  <c r="O158" i="9" s="1"/>
  <c r="O159" i="9" a="1"/>
  <c r="O159" i="9" s="1"/>
  <c r="O160" i="9" a="1"/>
  <c r="O160" i="9" s="1"/>
  <c r="O161" i="9" a="1"/>
  <c r="O161" i="9" s="1"/>
  <c r="O162" i="9" a="1"/>
  <c r="O162" i="9" s="1"/>
  <c r="O163" i="9" a="1"/>
  <c r="O163" i="9" s="1"/>
  <c r="O164" i="9" a="1"/>
  <c r="O164" i="9" s="1"/>
  <c r="O165" i="9" a="1"/>
  <c r="O165" i="9" s="1"/>
  <c r="O166" i="9" a="1"/>
  <c r="O166" i="9" s="1"/>
  <c r="O167" i="9" a="1"/>
  <c r="O167" i="9" s="1"/>
  <c r="O168" i="9" a="1"/>
  <c r="O168" i="9" s="1"/>
  <c r="O169" i="9" a="1"/>
  <c r="O169" i="9" s="1"/>
  <c r="O170" i="9" a="1"/>
  <c r="O170" i="9" s="1"/>
  <c r="O171" i="9" a="1"/>
  <c r="O171" i="9" s="1"/>
  <c r="O172" i="9" a="1"/>
  <c r="O172" i="9" s="1"/>
  <c r="O173" i="9" a="1"/>
  <c r="O173" i="9" s="1"/>
  <c r="O174" i="9" a="1"/>
  <c r="O174" i="9" s="1"/>
  <c r="O175" i="9" a="1"/>
  <c r="O175" i="9" s="1"/>
  <c r="O176" i="9" a="1"/>
  <c r="O176" i="9" s="1"/>
  <c r="O177" i="9" a="1"/>
  <c r="O177" i="9" s="1"/>
  <c r="O178" i="9" a="1"/>
  <c r="O178" i="9" s="1"/>
  <c r="O179" i="9" a="1"/>
  <c r="O179" i="9" s="1"/>
  <c r="O180" i="9" a="1"/>
  <c r="O180" i="9" s="1"/>
  <c r="O181" i="9" a="1"/>
  <c r="O181" i="9" s="1"/>
  <c r="O182" i="9" a="1"/>
  <c r="O182" i="9" s="1"/>
  <c r="O183" i="9" a="1"/>
  <c r="O183" i="9" s="1"/>
  <c r="O184" i="9" a="1"/>
  <c r="O184" i="9" s="1"/>
  <c r="O185" i="9" a="1"/>
  <c r="O185" i="9" s="1"/>
  <c r="O186" i="9" a="1"/>
  <c r="O186" i="9" s="1"/>
  <c r="O187" i="9" a="1"/>
  <c r="O187" i="9" s="1"/>
  <c r="O188" i="9" a="1"/>
  <c r="O188" i="9" s="1"/>
  <c r="O189" i="9" a="1"/>
  <c r="O189" i="9" s="1"/>
  <c r="O190" i="9" a="1"/>
  <c r="O190" i="9" s="1"/>
  <c r="O191" i="9" a="1"/>
  <c r="O191" i="9" s="1"/>
  <c r="O192" i="9" a="1"/>
  <c r="O192" i="9" s="1"/>
  <c r="O193" i="9" a="1"/>
  <c r="O193" i="9" s="1"/>
  <c r="O194" i="9" a="1"/>
  <c r="O194" i="9" s="1"/>
  <c r="O195" i="9" a="1"/>
  <c r="O195" i="9" s="1"/>
  <c r="O196" i="9" a="1"/>
  <c r="O196" i="9" s="1"/>
  <c r="O197" i="9" a="1"/>
  <c r="O197" i="9" s="1"/>
  <c r="O198" i="9" a="1"/>
  <c r="O198" i="9" s="1"/>
  <c r="O199" i="9" a="1"/>
  <c r="O199" i="9" s="1"/>
  <c r="O200" i="9" a="1"/>
  <c r="O200" i="9" s="1"/>
  <c r="O201" i="9" a="1"/>
  <c r="O201" i="9" s="1"/>
  <c r="O202" i="9" a="1"/>
  <c r="O202" i="9" s="1"/>
  <c r="O203" i="9" a="1"/>
  <c r="O203" i="9" s="1"/>
  <c r="O204" i="9" a="1"/>
  <c r="O204" i="9" s="1"/>
  <c r="O205" i="9" a="1"/>
  <c r="O205" i="9" s="1"/>
  <c r="O206" i="9" a="1"/>
  <c r="O206" i="9" s="1"/>
  <c r="O207" i="9" a="1"/>
  <c r="O207" i="9" s="1"/>
  <c r="O208" i="9" a="1"/>
  <c r="O208" i="9" s="1"/>
  <c r="O209" i="9" a="1"/>
  <c r="O209" i="9" s="1"/>
  <c r="O210" i="9" a="1"/>
  <c r="O210" i="9" s="1"/>
  <c r="O211" i="9" a="1"/>
  <c r="O211" i="9" s="1"/>
  <c r="O212" i="9" a="1"/>
  <c r="O212" i="9" s="1"/>
  <c r="O213" i="9" a="1"/>
  <c r="O213" i="9" s="1"/>
  <c r="O214" i="9" a="1"/>
  <c r="O214" i="9" s="1"/>
  <c r="O215" i="9" a="1"/>
  <c r="O215" i="9" s="1"/>
  <c r="O216" i="9" a="1"/>
  <c r="O216" i="9" s="1"/>
  <c r="O217" i="9" a="1"/>
  <c r="O217" i="9" s="1"/>
  <c r="O218" i="9" a="1"/>
  <c r="O218" i="9" s="1"/>
  <c r="O219" i="9" a="1"/>
  <c r="O219" i="9" s="1"/>
  <c r="O220" i="9" a="1"/>
  <c r="O220" i="9" s="1"/>
  <c r="O221" i="9" a="1"/>
  <c r="O221" i="9" s="1"/>
  <c r="O222" i="9" a="1"/>
  <c r="O222" i="9" s="1"/>
  <c r="O223" i="9" a="1"/>
  <c r="O223" i="9" s="1"/>
  <c r="O224" i="9" a="1"/>
  <c r="O224" i="9" s="1"/>
  <c r="O225" i="9" a="1"/>
  <c r="O225" i="9"/>
  <c r="O226" i="9" a="1"/>
  <c r="O226" i="9" s="1"/>
  <c r="O227" i="9" a="1"/>
  <c r="O227" i="9" s="1"/>
  <c r="O228" i="9" a="1"/>
  <c r="O228" i="9" s="1"/>
  <c r="O229" i="9" a="1"/>
  <c r="O229" i="9" s="1"/>
  <c r="O230" i="9" a="1"/>
  <c r="O230" i="9" s="1"/>
  <c r="O231" i="9" a="1"/>
  <c r="O231" i="9" s="1"/>
  <c r="O232" i="9" a="1"/>
  <c r="O232" i="9" s="1"/>
  <c r="O233" i="9" a="1"/>
  <c r="O233" i="9" s="1"/>
  <c r="O234" i="9" a="1"/>
  <c r="O234" i="9" s="1"/>
  <c r="O235" i="9" a="1"/>
  <c r="O235" i="9" s="1"/>
  <c r="O236" i="9" a="1"/>
  <c r="O236" i="9" s="1"/>
  <c r="O237" i="9" a="1"/>
  <c r="O237" i="9" s="1"/>
  <c r="O238" i="9" a="1"/>
  <c r="O238" i="9" s="1"/>
  <c r="O239" i="9" a="1"/>
  <c r="O239" i="9" s="1"/>
  <c r="O240" i="9" a="1"/>
  <c r="O240" i="9" s="1"/>
  <c r="O241" i="9" a="1"/>
  <c r="O241" i="9" s="1"/>
  <c r="O242" i="9" a="1"/>
  <c r="O242" i="9" s="1"/>
  <c r="O243" i="9" a="1"/>
  <c r="O243" i="9" s="1"/>
  <c r="O244" i="9" a="1"/>
  <c r="O244" i="9" s="1"/>
  <c r="O245" i="9" a="1"/>
  <c r="O245" i="9" s="1"/>
  <c r="O246" i="9" a="1"/>
  <c r="O246" i="9" s="1"/>
  <c r="O247" i="9" a="1"/>
  <c r="O247" i="9" s="1"/>
  <c r="O248" i="9" a="1"/>
  <c r="O248" i="9" s="1"/>
  <c r="O249" i="9" a="1"/>
  <c r="O249" i="9" s="1"/>
  <c r="O250" i="9" a="1"/>
  <c r="O250" i="9" s="1"/>
  <c r="O251" i="9" a="1"/>
  <c r="O251" i="9" s="1"/>
  <c r="O252" i="9" a="1"/>
  <c r="O252" i="9" s="1"/>
  <c r="O253" i="9" a="1"/>
  <c r="O253" i="9" s="1"/>
  <c r="O254" i="9" a="1"/>
  <c r="O254" i="9" s="1"/>
  <c r="O255" i="9" a="1"/>
  <c r="O255" i="9" s="1"/>
  <c r="O256" i="9" a="1"/>
  <c r="O256" i="9" s="1"/>
  <c r="O257" i="9" a="1"/>
  <c r="O257" i="9" s="1"/>
  <c r="O258" i="9" a="1"/>
  <c r="O258" i="9" s="1"/>
  <c r="O259" i="9" a="1"/>
  <c r="O259" i="9" s="1"/>
  <c r="O260" i="9" a="1"/>
  <c r="O260" i="9" s="1"/>
  <c r="O261" i="9" a="1"/>
  <c r="O261" i="9" s="1"/>
  <c r="O262" i="9" a="1"/>
  <c r="O262" i="9" s="1"/>
  <c r="O263" i="9" a="1"/>
  <c r="O263" i="9"/>
  <c r="O264" i="9" a="1"/>
  <c r="O264" i="9" s="1"/>
  <c r="O265" i="9" a="1"/>
  <c r="O265" i="9" s="1"/>
  <c r="O266" i="9" a="1"/>
  <c r="O266" i="9" s="1"/>
  <c r="O267" i="9" a="1"/>
  <c r="O267" i="9" s="1"/>
  <c r="O268" i="9" a="1"/>
  <c r="O268" i="9" s="1"/>
  <c r="O269" i="9" a="1"/>
  <c r="O269" i="9" s="1"/>
  <c r="O270" i="9" a="1"/>
  <c r="O270" i="9" s="1"/>
  <c r="O271" i="9" a="1"/>
  <c r="O271" i="9" s="1"/>
  <c r="O272" i="9" a="1"/>
  <c r="O272" i="9" s="1"/>
  <c r="O273" i="9" a="1"/>
  <c r="O273" i="9" s="1"/>
  <c r="O274" i="9" a="1"/>
  <c r="O274" i="9" s="1"/>
  <c r="O275" i="9" a="1"/>
  <c r="O275" i="9" s="1"/>
  <c r="O276" i="9" a="1"/>
  <c r="O276" i="9" s="1"/>
  <c r="O277" i="9" a="1"/>
  <c r="O277" i="9" s="1"/>
  <c r="O278" i="9" a="1"/>
  <c r="O278" i="9" s="1"/>
  <c r="O279" i="9" a="1"/>
  <c r="O279" i="9" s="1"/>
  <c r="O280" i="9" a="1"/>
  <c r="O280" i="9" s="1"/>
  <c r="O281" i="9" a="1"/>
  <c r="O281" i="9" s="1"/>
  <c r="O282" i="9" a="1"/>
  <c r="O282" i="9" s="1"/>
  <c r="O283" i="9" a="1"/>
  <c r="O283" i="9" s="1"/>
  <c r="O284" i="9" a="1"/>
  <c r="O284" i="9" s="1"/>
  <c r="O285" i="9" a="1"/>
  <c r="O285" i="9" s="1"/>
  <c r="O286" i="9" a="1"/>
  <c r="O286" i="9" s="1"/>
  <c r="O287" i="9" a="1"/>
  <c r="O287" i="9" s="1"/>
  <c r="O288" i="9" a="1"/>
  <c r="O288" i="9" s="1"/>
  <c r="O289" i="9" a="1"/>
  <c r="O289" i="9" s="1"/>
  <c r="O290" i="9" a="1"/>
  <c r="O290" i="9" s="1"/>
  <c r="O291" i="9" a="1"/>
  <c r="O291" i="9" s="1"/>
  <c r="O292" i="9" a="1"/>
  <c r="O292" i="9" s="1"/>
  <c r="O293" i="9" a="1"/>
  <c r="O293" i="9" s="1"/>
  <c r="O294" i="9" a="1"/>
  <c r="O294" i="9"/>
  <c r="O295" i="9" a="1"/>
  <c r="O295" i="9" s="1"/>
  <c r="O296" i="9" a="1"/>
  <c r="O296" i="9" s="1"/>
  <c r="O297" i="9" a="1"/>
  <c r="O297" i="9" s="1"/>
  <c r="O298" i="9" a="1"/>
  <c r="O298" i="9" s="1"/>
  <c r="O299" i="9" a="1"/>
  <c r="O299" i="9" s="1"/>
  <c r="O300" i="9" a="1"/>
  <c r="O300" i="9" s="1"/>
  <c r="O301" i="9" a="1"/>
  <c r="O301" i="9" s="1"/>
  <c r="O302" i="9" a="1"/>
  <c r="O302" i="9" s="1"/>
  <c r="O303" i="9" a="1"/>
  <c r="O303" i="9" s="1"/>
  <c r="O304" i="9" a="1"/>
  <c r="O304" i="9" s="1"/>
  <c r="O305" i="9" a="1"/>
  <c r="O305" i="9" s="1"/>
  <c r="O306" i="9" a="1"/>
  <c r="O306" i="9" s="1"/>
  <c r="O307" i="9" a="1"/>
  <c r="O307" i="9" s="1"/>
  <c r="O308" i="9" a="1"/>
  <c r="O308" i="9" s="1"/>
  <c r="O309" i="9" a="1"/>
  <c r="O309" i="9" s="1"/>
  <c r="O310" i="9" a="1"/>
  <c r="O310" i="9" s="1"/>
  <c r="O311" i="9" a="1"/>
  <c r="O311" i="9" s="1"/>
  <c r="O312" i="9" a="1"/>
  <c r="O312" i="9" s="1"/>
  <c r="O313" i="9" a="1"/>
  <c r="O313" i="9" s="1"/>
  <c r="O314" i="9" a="1"/>
  <c r="O314" i="9" s="1"/>
  <c r="O315" i="9" a="1"/>
  <c r="O315" i="9" s="1"/>
  <c r="O316" i="9" a="1"/>
  <c r="O316" i="9" s="1"/>
  <c r="O317" i="9" a="1"/>
  <c r="O317" i="9" s="1"/>
  <c r="O318" i="9" a="1"/>
  <c r="O318" i="9" s="1"/>
  <c r="O319" i="9" a="1"/>
  <c r="O319" i="9" s="1"/>
  <c r="O320" i="9" a="1"/>
  <c r="O320" i="9" s="1"/>
  <c r="O321" i="9" a="1"/>
  <c r="O321" i="9" s="1"/>
  <c r="O322" i="9" a="1"/>
  <c r="O322" i="9" s="1"/>
  <c r="O323" i="9" a="1"/>
  <c r="O323" i="9" s="1"/>
  <c r="O324" i="9" a="1"/>
  <c r="O324" i="9" s="1"/>
  <c r="O325" i="9" a="1"/>
  <c r="O325" i="9" s="1"/>
  <c r="O326" i="9" a="1"/>
  <c r="O326" i="9" s="1"/>
  <c r="O327" i="9" a="1"/>
  <c r="O327" i="9" s="1"/>
  <c r="O328" i="9" a="1"/>
  <c r="O328" i="9" s="1"/>
  <c r="O329" i="9" a="1"/>
  <c r="O329" i="9"/>
  <c r="O330" i="9" a="1"/>
  <c r="O330" i="9" s="1"/>
  <c r="O331" i="9" a="1"/>
  <c r="O331" i="9" s="1"/>
  <c r="O332" i="9" a="1"/>
  <c r="O332" i="9" s="1"/>
  <c r="O333" i="9" a="1"/>
  <c r="O333" i="9" s="1"/>
  <c r="O334" i="9" a="1"/>
  <c r="O334" i="9" s="1"/>
  <c r="O335" i="9" a="1"/>
  <c r="O335" i="9" s="1"/>
  <c r="O336" i="9" a="1"/>
  <c r="O336" i="9" s="1"/>
  <c r="O337" i="9" a="1"/>
  <c r="O337" i="9" s="1"/>
  <c r="O338" i="9" a="1"/>
  <c r="O338" i="9" s="1"/>
  <c r="O339" i="9" a="1"/>
  <c r="O339" i="9" s="1"/>
  <c r="O340" i="9" a="1"/>
  <c r="O340" i="9" s="1"/>
  <c r="O341" i="9" a="1"/>
  <c r="O341" i="9" s="1"/>
  <c r="O342" i="9" a="1"/>
  <c r="O342" i="9" s="1"/>
  <c r="O343" i="9" a="1"/>
  <c r="O343" i="9" s="1"/>
  <c r="O344" i="9" a="1"/>
  <c r="O344" i="9" s="1"/>
  <c r="O345" i="9" a="1"/>
  <c r="O345" i="9" s="1"/>
  <c r="O346" i="9" a="1"/>
  <c r="O346" i="9" s="1"/>
  <c r="O347" i="9" a="1"/>
  <c r="O347" i="9" s="1"/>
  <c r="O348" i="9" a="1"/>
  <c r="O348" i="9" s="1"/>
  <c r="O349" i="9" a="1"/>
  <c r="O349" i="9" s="1"/>
  <c r="O350" i="9" a="1"/>
  <c r="O350" i="9" s="1"/>
  <c r="O351" i="9" a="1"/>
  <c r="O351" i="9" s="1"/>
  <c r="O352" i="9" a="1"/>
  <c r="O352" i="9" s="1"/>
  <c r="O353" i="9" a="1"/>
  <c r="O353" i="9" s="1"/>
  <c r="O354" i="9" a="1"/>
  <c r="O354" i="9" s="1"/>
  <c r="O355" i="9" a="1"/>
  <c r="O355" i="9" s="1"/>
  <c r="O356" i="9" a="1"/>
  <c r="O356" i="9" s="1"/>
  <c r="O357" i="9" a="1"/>
  <c r="O357" i="9" s="1"/>
  <c r="O358" i="9" a="1"/>
  <c r="O358" i="9" s="1"/>
  <c r="O359" i="9" a="1"/>
  <c r="O359" i="9" s="1"/>
  <c r="O360" i="9" a="1"/>
  <c r="O360" i="9" s="1"/>
  <c r="O361" i="9" a="1"/>
  <c r="O361" i="9" s="1"/>
  <c r="O362" i="9" a="1"/>
  <c r="O362" i="9" s="1"/>
  <c r="O363" i="9" a="1"/>
  <c r="O363" i="9" s="1"/>
  <c r="O364" i="9" a="1"/>
  <c r="O364" i="9" s="1"/>
  <c r="O365" i="9" a="1"/>
  <c r="O365" i="9" s="1"/>
  <c r="O366" i="9" a="1"/>
  <c r="O366" i="9" s="1"/>
  <c r="O367" i="9" a="1"/>
  <c r="O367" i="9" s="1"/>
  <c r="O368" i="9" a="1"/>
  <c r="O368" i="9" s="1"/>
  <c r="O369" i="9" a="1"/>
  <c r="O369" i="9" s="1"/>
  <c r="O370" i="9" a="1"/>
  <c r="O370" i="9" s="1"/>
  <c r="O371" i="9" a="1"/>
  <c r="O371" i="9" s="1"/>
  <c r="O372" i="9" a="1"/>
  <c r="O372" i="9" s="1"/>
  <c r="O373" i="9" a="1"/>
  <c r="O373" i="9" s="1"/>
  <c r="O374" i="9" a="1"/>
  <c r="O374" i="9" s="1"/>
  <c r="O375" i="9" a="1"/>
  <c r="O375" i="9" s="1"/>
  <c r="O376" i="9" a="1"/>
  <c r="O376" i="9" s="1"/>
  <c r="O377" i="9" a="1"/>
  <c r="O377" i="9" s="1"/>
  <c r="O378" i="9" a="1"/>
  <c r="O378" i="9" s="1"/>
  <c r="O379" i="9" a="1"/>
  <c r="O379" i="9" s="1"/>
  <c r="O380" i="9" a="1"/>
  <c r="O380" i="9" s="1"/>
  <c r="O381" i="9" a="1"/>
  <c r="O381" i="9" s="1"/>
  <c r="O382" i="9" a="1"/>
  <c r="O382" i="9" s="1"/>
  <c r="O383" i="9" a="1"/>
  <c r="O383" i="9" s="1"/>
  <c r="O384" i="9" a="1"/>
  <c r="O384" i="9" s="1"/>
  <c r="O385" i="9" a="1"/>
  <c r="O385" i="9" s="1"/>
  <c r="O386" i="9" a="1"/>
  <c r="O386" i="9" s="1"/>
  <c r="O387" i="9" a="1"/>
  <c r="O387" i="9" s="1"/>
  <c r="O388" i="9" a="1"/>
  <c r="O388" i="9" s="1"/>
  <c r="O389" i="9" a="1"/>
  <c r="O389" i="9" s="1"/>
  <c r="O390" i="9" a="1"/>
  <c r="O390" i="9" s="1"/>
  <c r="O391" i="9" a="1"/>
  <c r="O391" i="9" s="1"/>
  <c r="O392" i="9" a="1"/>
  <c r="O392" i="9" s="1"/>
  <c r="O393" i="9" a="1"/>
  <c r="O393" i="9" s="1"/>
  <c r="O394" i="9" a="1"/>
  <c r="O394" i="9" s="1"/>
  <c r="O395" i="9" a="1"/>
  <c r="O395" i="9" s="1"/>
  <c r="O396" i="9" a="1"/>
  <c r="O396" i="9" s="1"/>
  <c r="O397" i="9" a="1"/>
  <c r="O397" i="9" s="1"/>
  <c r="O398" i="9" a="1"/>
  <c r="O398" i="9" s="1"/>
  <c r="O399" i="9" a="1"/>
  <c r="O399" i="9" s="1"/>
  <c r="O400" i="9" a="1"/>
  <c r="O400" i="9" s="1"/>
  <c r="O401" i="9" a="1"/>
  <c r="O401" i="9" s="1"/>
  <c r="O402" i="9" a="1"/>
  <c r="O402" i="9" s="1"/>
  <c r="O403" i="9" a="1"/>
  <c r="O403" i="9" s="1"/>
  <c r="O404" i="9" a="1"/>
  <c r="O404" i="9" s="1"/>
  <c r="O405" i="9" a="1"/>
  <c r="O405" i="9" s="1"/>
  <c r="O406" i="9" a="1"/>
  <c r="O406" i="9" s="1"/>
  <c r="O407" i="9" a="1"/>
  <c r="O407" i="9" s="1"/>
  <c r="O408" i="9" a="1"/>
  <c r="O408" i="9" s="1"/>
  <c r="O409" i="9" a="1"/>
  <c r="O409" i="9" s="1"/>
  <c r="O410" i="9" a="1"/>
  <c r="O410" i="9" s="1"/>
  <c r="O411" i="9" a="1"/>
  <c r="O411" i="9" s="1"/>
  <c r="O412" i="9" a="1"/>
  <c r="O412" i="9" s="1"/>
  <c r="O413" i="9" a="1"/>
  <c r="O413" i="9" s="1"/>
  <c r="O414" i="9" a="1"/>
  <c r="O414" i="9" s="1"/>
  <c r="O415" i="9" a="1"/>
  <c r="O415" i="9" s="1"/>
  <c r="O416" i="9" a="1"/>
  <c r="O416" i="9" s="1"/>
  <c r="O417" i="9" a="1"/>
  <c r="O417" i="9" s="1"/>
  <c r="O418" i="9" a="1"/>
  <c r="O418" i="9" s="1"/>
  <c r="O419" i="9" a="1"/>
  <c r="O419" i="9" s="1"/>
  <c r="O420" i="9" a="1"/>
  <c r="O420" i="9" s="1"/>
  <c r="O421" i="9" a="1"/>
  <c r="O421" i="9" s="1"/>
  <c r="O422" i="9" a="1"/>
  <c r="O422" i="9"/>
  <c r="O423" i="9" a="1"/>
  <c r="O423" i="9" s="1"/>
  <c r="O424" i="9" a="1"/>
  <c r="O424" i="9" s="1"/>
  <c r="O425" i="9" a="1"/>
  <c r="O425" i="9" s="1"/>
  <c r="O426" i="9" a="1"/>
  <c r="O426" i="9" s="1"/>
  <c r="O427" i="9" a="1"/>
  <c r="O427" i="9" s="1"/>
  <c r="O428" i="9" a="1"/>
  <c r="O428" i="9" s="1"/>
  <c r="O429" i="9" a="1"/>
  <c r="O429" i="9" s="1"/>
  <c r="O430" i="9" a="1"/>
  <c r="O430" i="9" s="1"/>
  <c r="O431" i="9" a="1"/>
  <c r="O431" i="9" s="1"/>
  <c r="O432" i="9" a="1"/>
  <c r="O432" i="9" s="1"/>
  <c r="O433" i="9" a="1"/>
  <c r="O433" i="9" s="1"/>
  <c r="O434" i="9" a="1"/>
  <c r="O434" i="9" s="1"/>
  <c r="O435" i="9" a="1"/>
  <c r="O435" i="9" s="1"/>
  <c r="O436" i="9" a="1"/>
  <c r="O436" i="9" s="1"/>
  <c r="O437" i="9" a="1"/>
  <c r="O437" i="9" s="1"/>
  <c r="O438" i="9" a="1"/>
  <c r="O438" i="9" s="1"/>
  <c r="O439" i="9" a="1"/>
  <c r="O439" i="9" s="1"/>
  <c r="O440" i="9" a="1"/>
  <c r="O440" i="9" s="1"/>
  <c r="O441" i="9" a="1"/>
  <c r="O441" i="9" s="1"/>
  <c r="O442" i="9" a="1"/>
  <c r="O442" i="9" s="1"/>
  <c r="O443" i="9" a="1"/>
  <c r="O443" i="9" s="1"/>
  <c r="O444" i="9" a="1"/>
  <c r="O444" i="9" s="1"/>
  <c r="O445" i="9" a="1"/>
  <c r="O445" i="9" s="1"/>
  <c r="O446" i="9" a="1"/>
  <c r="O446" i="9" s="1"/>
  <c r="O447" i="9" a="1"/>
  <c r="O447" i="9" s="1"/>
  <c r="O448" i="9" a="1"/>
  <c r="O448" i="9" s="1"/>
  <c r="O449" i="9" a="1"/>
  <c r="O449" i="9" s="1"/>
  <c r="O450" i="9" a="1"/>
  <c r="O450" i="9" s="1"/>
  <c r="O451" i="9" a="1"/>
  <c r="O451" i="9" s="1"/>
  <c r="O452" i="9" a="1"/>
  <c r="O452" i="9" s="1"/>
  <c r="O453" i="9" a="1"/>
  <c r="O453" i="9" s="1"/>
  <c r="O454" i="9" a="1"/>
  <c r="O454" i="9" s="1"/>
  <c r="O455" i="9" a="1"/>
  <c r="O455" i="9" s="1"/>
  <c r="O456" i="9" a="1"/>
  <c r="O456" i="9" s="1"/>
  <c r="O457" i="9" a="1"/>
  <c r="O457" i="9" s="1"/>
  <c r="O458" i="9" a="1"/>
  <c r="O458" i="9" s="1"/>
  <c r="O459" i="9" a="1"/>
  <c r="O459" i="9" s="1"/>
  <c r="O460" i="9" a="1"/>
  <c r="O460" i="9" s="1"/>
  <c r="O461" i="9" a="1"/>
  <c r="O461" i="9" s="1"/>
  <c r="O462" i="9" a="1"/>
  <c r="O462" i="9" s="1"/>
  <c r="O463" i="9" a="1"/>
  <c r="O463" i="9" s="1"/>
  <c r="O464" i="9" a="1"/>
  <c r="O464" i="9" s="1"/>
  <c r="O465" i="9" a="1"/>
  <c r="O465" i="9" s="1"/>
  <c r="O466" i="9" a="1"/>
  <c r="O466" i="9" s="1"/>
  <c r="O467" i="9" a="1"/>
  <c r="O467" i="9" s="1"/>
  <c r="O468" i="9" a="1"/>
  <c r="O468" i="9" s="1"/>
  <c r="O469" i="9" a="1"/>
  <c r="O469" i="9" s="1"/>
  <c r="O470" i="9" a="1"/>
  <c r="O470" i="9" s="1"/>
  <c r="O471" i="9" a="1"/>
  <c r="O471" i="9" s="1"/>
  <c r="O472" i="9" a="1"/>
  <c r="O472" i="9" s="1"/>
  <c r="O473" i="9" a="1"/>
  <c r="O473" i="9" s="1"/>
  <c r="O474" i="9" a="1"/>
  <c r="O474" i="9" s="1"/>
  <c r="O475" i="9" a="1"/>
  <c r="O475" i="9" s="1"/>
  <c r="O476" i="9" a="1"/>
  <c r="O476" i="9" s="1"/>
  <c r="O477" i="9" a="1"/>
  <c r="O477" i="9" s="1"/>
  <c r="O478" i="9" a="1"/>
  <c r="O478" i="9" s="1"/>
  <c r="O479" i="9" a="1"/>
  <c r="O479" i="9" s="1"/>
  <c r="O480" i="9" a="1"/>
  <c r="O480" i="9" s="1"/>
  <c r="O481" i="9" a="1"/>
  <c r="O481" i="9" s="1"/>
  <c r="O482" i="9" a="1"/>
  <c r="O482" i="9" s="1"/>
  <c r="O483" i="9" a="1"/>
  <c r="O483" i="9" s="1"/>
  <c r="O484" i="9" a="1"/>
  <c r="O484" i="9" s="1"/>
  <c r="O485" i="9" a="1"/>
  <c r="O485" i="9" s="1"/>
  <c r="O486" i="9" a="1"/>
  <c r="O486" i="9" s="1"/>
  <c r="O487" i="9" a="1"/>
  <c r="O487" i="9" s="1"/>
  <c r="O488" i="9" a="1"/>
  <c r="O488" i="9" s="1"/>
  <c r="O489" i="9" a="1"/>
  <c r="O489" i="9" s="1"/>
  <c r="O490" i="9" a="1"/>
  <c r="O490" i="9" s="1"/>
  <c r="O491" i="9" a="1"/>
  <c r="O491" i="9" s="1"/>
  <c r="O492" i="9" a="1"/>
  <c r="O492" i="9" s="1"/>
  <c r="O493" i="9" a="1"/>
  <c r="O493" i="9" s="1"/>
  <c r="O494" i="9" a="1"/>
  <c r="O494" i="9" s="1"/>
  <c r="O495" i="9" a="1"/>
  <c r="O495" i="9" s="1"/>
  <c r="O496" i="9" a="1"/>
  <c r="O496" i="9" s="1"/>
  <c r="O497" i="9" a="1"/>
  <c r="O497" i="9" s="1"/>
  <c r="O498" i="9" a="1"/>
  <c r="O498" i="9" s="1"/>
  <c r="O499" i="9" a="1"/>
  <c r="O499" i="9" s="1"/>
  <c r="O500" i="9" a="1"/>
  <c r="O500" i="9" s="1"/>
  <c r="O501" i="9" a="1"/>
  <c r="O501" i="9" s="1"/>
  <c r="O502" i="9" a="1"/>
  <c r="O502" i="9" s="1"/>
  <c r="O503" i="9" a="1"/>
  <c r="O503" i="9" s="1"/>
  <c r="O504" i="9" a="1"/>
  <c r="O504" i="9" s="1"/>
  <c r="O505" i="9" a="1"/>
  <c r="O505" i="9" s="1"/>
  <c r="O506" i="9" a="1"/>
  <c r="O506" i="9" s="1"/>
  <c r="O507" i="9" a="1"/>
  <c r="O507" i="9" s="1"/>
  <c r="O508" i="9" a="1"/>
  <c r="O508" i="9" s="1"/>
  <c r="O509" i="9" a="1"/>
  <c r="O509" i="9" s="1"/>
  <c r="O510" i="9" a="1"/>
  <c r="O510" i="9" s="1"/>
  <c r="O511" i="9" a="1"/>
  <c r="O511" i="9" s="1"/>
  <c r="O512" i="9" a="1"/>
  <c r="O512" i="9" s="1"/>
  <c r="O513" i="9" a="1"/>
  <c r="O513" i="9" s="1"/>
  <c r="O514" i="9" a="1"/>
  <c r="O514" i="9" s="1"/>
  <c r="O515" i="9" a="1"/>
  <c r="O515" i="9" s="1"/>
  <c r="O516" i="9" a="1"/>
  <c r="O516" i="9" s="1"/>
  <c r="O517" i="9" a="1"/>
  <c r="O517" i="9" s="1"/>
  <c r="O518" i="9" a="1"/>
  <c r="O518" i="9" s="1"/>
  <c r="O519" i="9" a="1"/>
  <c r="O519" i="9" s="1"/>
  <c r="O520" i="9" a="1"/>
  <c r="O520" i="9" s="1"/>
  <c r="O521" i="9" a="1"/>
  <c r="O521" i="9" s="1"/>
  <c r="O522" i="9" a="1"/>
  <c r="O522" i="9" s="1"/>
  <c r="O523" i="9" a="1"/>
  <c r="O523" i="9" s="1"/>
  <c r="O524" i="9" a="1"/>
  <c r="O524" i="9" s="1"/>
  <c r="O525" i="9" a="1"/>
  <c r="O525" i="9" s="1"/>
  <c r="O526" i="9" a="1"/>
  <c r="O526" i="9" s="1"/>
  <c r="O527" i="9" a="1"/>
  <c r="O527" i="9" s="1"/>
  <c r="O528" i="9" a="1"/>
  <c r="O528" i="9" s="1"/>
  <c r="O529" i="9" a="1"/>
  <c r="O529" i="9" s="1"/>
  <c r="O530" i="9" a="1"/>
  <c r="O530" i="9" s="1"/>
  <c r="O531" i="9" a="1"/>
  <c r="O531" i="9" s="1"/>
  <c r="O532" i="9" a="1"/>
  <c r="O532" i="9" s="1"/>
  <c r="O533" i="9" a="1"/>
  <c r="O533" i="9" s="1"/>
  <c r="O534" i="9" a="1"/>
  <c r="O534" i="9" s="1"/>
  <c r="O535" i="9" a="1"/>
  <c r="O535" i="9" s="1"/>
  <c r="O536" i="9" a="1"/>
  <c r="O536" i="9" s="1"/>
  <c r="O537" i="9" a="1"/>
  <c r="O537" i="9" s="1"/>
  <c r="O538" i="9" a="1"/>
  <c r="O538" i="9" s="1"/>
  <c r="O539" i="9" a="1"/>
  <c r="O539" i="9" s="1"/>
  <c r="O540" i="9" a="1"/>
  <c r="O540" i="9" s="1"/>
  <c r="O541" i="9" a="1"/>
  <c r="O541" i="9" s="1"/>
  <c r="O542" i="9" a="1"/>
  <c r="O542" i="9" s="1"/>
  <c r="O543" i="9" a="1"/>
  <c r="O543" i="9" s="1"/>
  <c r="O544" i="9" a="1"/>
  <c r="O544" i="9" s="1"/>
  <c r="O545" i="9" a="1"/>
  <c r="O545" i="9" s="1"/>
  <c r="O546" i="9" a="1"/>
  <c r="O546" i="9" s="1"/>
  <c r="O547" i="9" a="1"/>
  <c r="O547" i="9" s="1"/>
  <c r="O548" i="9" a="1"/>
  <c r="O548" i="9" s="1"/>
  <c r="O549" i="9" a="1"/>
  <c r="O549" i="9" s="1"/>
  <c r="O550" i="9" a="1"/>
  <c r="O550" i="9" s="1"/>
  <c r="O551" i="9" a="1"/>
  <c r="O551" i="9" s="1"/>
  <c r="O552" i="9" a="1"/>
  <c r="O552" i="9" s="1"/>
  <c r="O553" i="9" a="1"/>
  <c r="O553" i="9" s="1"/>
  <c r="O554" i="9" a="1"/>
  <c r="O554" i="9" s="1"/>
  <c r="O555" i="9" a="1"/>
  <c r="O555" i="9" s="1"/>
  <c r="O556" i="9" a="1"/>
  <c r="O556" i="9" s="1"/>
  <c r="O557" i="9" a="1"/>
  <c r="O557" i="9" s="1"/>
  <c r="O558" i="9" a="1"/>
  <c r="O558" i="9" s="1"/>
  <c r="O559" i="9" a="1"/>
  <c r="O559" i="9" s="1"/>
  <c r="O560" i="9" a="1"/>
  <c r="O560" i="9" s="1"/>
  <c r="O561" i="9" a="1"/>
  <c r="O561" i="9" s="1"/>
  <c r="O562" i="9" a="1"/>
  <c r="O562" i="9" s="1"/>
  <c r="O563" i="9" a="1"/>
  <c r="O563" i="9" s="1"/>
  <c r="O564" i="9" a="1"/>
  <c r="O564" i="9" s="1"/>
  <c r="O565" i="9" a="1"/>
  <c r="O565" i="9" s="1"/>
  <c r="O566" i="9" a="1"/>
  <c r="O566" i="9" s="1"/>
  <c r="O567" i="9" a="1"/>
  <c r="O567" i="9" s="1"/>
  <c r="O568" i="9" a="1"/>
  <c r="O568" i="9" s="1"/>
  <c r="O569" i="9" a="1"/>
  <c r="O569" i="9" s="1"/>
  <c r="O570" i="9" a="1"/>
  <c r="O570" i="9" s="1"/>
  <c r="O571" i="9" a="1"/>
  <c r="O571" i="9" s="1"/>
  <c r="O572" i="9" a="1"/>
  <c r="O572" i="9" s="1"/>
  <c r="O573" i="9" a="1"/>
  <c r="O573" i="9" s="1"/>
  <c r="O574" i="9" a="1"/>
  <c r="O574" i="9" s="1"/>
  <c r="O575" i="9" a="1"/>
  <c r="O575" i="9" s="1"/>
  <c r="O576" i="9" a="1"/>
  <c r="O576" i="9" s="1"/>
  <c r="O577" i="9" a="1"/>
  <c r="O577" i="9" s="1"/>
  <c r="O578" i="9" a="1"/>
  <c r="O578" i="9" s="1"/>
  <c r="O579" i="9" a="1"/>
  <c r="O579" i="9" s="1"/>
  <c r="O580" i="9" a="1"/>
  <c r="O580" i="9" s="1"/>
  <c r="O581" i="9" a="1"/>
  <c r="O581" i="9" s="1"/>
  <c r="O582" i="9" a="1"/>
  <c r="O582" i="9" s="1"/>
  <c r="O583" i="9" a="1"/>
  <c r="O583" i="9" s="1"/>
  <c r="O584" i="9" a="1"/>
  <c r="O584" i="9" s="1"/>
  <c r="O585" i="9" a="1"/>
  <c r="O585" i="9" s="1"/>
  <c r="O586" i="9" a="1"/>
  <c r="O586" i="9" s="1"/>
  <c r="O587" i="9" a="1"/>
  <c r="O587" i="9" s="1"/>
  <c r="O588" i="9" a="1"/>
  <c r="O588" i="9" s="1"/>
  <c r="O589" i="9" a="1"/>
  <c r="O589" i="9" s="1"/>
  <c r="O590" i="9" a="1"/>
  <c r="O590" i="9" s="1"/>
  <c r="O591" i="9" a="1"/>
  <c r="O591" i="9" s="1"/>
  <c r="O592" i="9" a="1"/>
  <c r="O592" i="9" s="1"/>
  <c r="O593" i="9" a="1"/>
  <c r="O593" i="9" s="1"/>
  <c r="O594" i="9" a="1"/>
  <c r="O594" i="9" s="1"/>
  <c r="O595" i="9" a="1"/>
  <c r="O595" i="9" s="1"/>
  <c r="O596" i="9" a="1"/>
  <c r="O596" i="9" s="1"/>
  <c r="O597" i="9" a="1"/>
  <c r="O597" i="9" s="1"/>
  <c r="O598" i="9" a="1"/>
  <c r="O598" i="9" s="1"/>
  <c r="O599" i="9" a="1"/>
  <c r="O599" i="9" s="1"/>
  <c r="O600" i="9" a="1"/>
  <c r="O600" i="9" s="1"/>
  <c r="O601" i="9" a="1"/>
  <c r="O601" i="9" s="1"/>
  <c r="O602" i="9" a="1"/>
  <c r="O602" i="9" s="1"/>
  <c r="O603" i="9" a="1"/>
  <c r="O603" i="9" s="1"/>
  <c r="O604" i="9" a="1"/>
  <c r="O604" i="9" s="1"/>
  <c r="O605" i="9" a="1"/>
  <c r="O605" i="9" s="1"/>
  <c r="O606" i="9" a="1"/>
  <c r="O606" i="9" s="1"/>
  <c r="O607" i="9" a="1"/>
  <c r="O607" i="9" s="1"/>
  <c r="O608" i="9" a="1"/>
  <c r="O608" i="9" s="1"/>
  <c r="O609" i="9" a="1"/>
  <c r="O609" i="9" s="1"/>
  <c r="O610" i="9" a="1"/>
  <c r="O610" i="9" s="1"/>
  <c r="O611" i="9" a="1"/>
  <c r="O611" i="9" s="1"/>
  <c r="O612" i="9" a="1"/>
  <c r="O612" i="9" s="1"/>
  <c r="O613" i="9" a="1"/>
  <c r="O613" i="9" s="1"/>
  <c r="O614" i="9" a="1"/>
  <c r="O614" i="9" s="1"/>
  <c r="O615" i="9" a="1"/>
  <c r="O615" i="9" s="1"/>
  <c r="O616" i="9" a="1"/>
  <c r="O616" i="9" s="1"/>
  <c r="O617" i="9" a="1"/>
  <c r="O617" i="9" s="1"/>
  <c r="O618" i="9" a="1"/>
  <c r="O618" i="9" s="1"/>
  <c r="O619" i="9" a="1"/>
  <c r="O619" i="9" s="1"/>
  <c r="O620" i="9" a="1"/>
  <c r="O620" i="9" s="1"/>
  <c r="O621" i="9" a="1"/>
  <c r="O621" i="9" s="1"/>
  <c r="O622" i="9" a="1"/>
  <c r="O622" i="9" s="1"/>
  <c r="O623" i="9" a="1"/>
  <c r="O623" i="9" s="1"/>
  <c r="O624" i="9" a="1"/>
  <c r="O624" i="9" s="1"/>
  <c r="O625" i="9" a="1"/>
  <c r="O625" i="9" s="1"/>
  <c r="O626" i="9" a="1"/>
  <c r="O626" i="9" s="1"/>
  <c r="O627" i="9" a="1"/>
  <c r="O627" i="9" s="1"/>
  <c r="O628" i="9" a="1"/>
  <c r="O628" i="9" s="1"/>
  <c r="O629" i="9" a="1"/>
  <c r="O629" i="9" s="1"/>
  <c r="O630" i="9" a="1"/>
  <c r="O630" i="9" s="1"/>
  <c r="O631" i="9" a="1"/>
  <c r="O631" i="9" s="1"/>
  <c r="O632" i="9" a="1"/>
  <c r="O632" i="9" s="1"/>
  <c r="O633" i="9" a="1"/>
  <c r="O633" i="9" s="1"/>
  <c r="O634" i="9" a="1"/>
  <c r="O634" i="9" s="1"/>
  <c r="O635" i="9" a="1"/>
  <c r="O635" i="9" s="1"/>
  <c r="O636" i="9" a="1"/>
  <c r="O636" i="9" s="1"/>
  <c r="O637" i="9" a="1"/>
  <c r="O637" i="9"/>
  <c r="O638" i="9" a="1"/>
  <c r="O638" i="9" s="1"/>
  <c r="O639" i="9" a="1"/>
  <c r="O639" i="9" s="1"/>
  <c r="O640" i="9" a="1"/>
  <c r="O640" i="9" s="1"/>
  <c r="O641" i="9" a="1"/>
  <c r="O641" i="9" s="1"/>
  <c r="O642" i="9" a="1"/>
  <c r="O642" i="9" s="1"/>
  <c r="O643" i="9" a="1"/>
  <c r="O643" i="9" s="1"/>
  <c r="O644" i="9" a="1"/>
  <c r="O644" i="9" s="1"/>
  <c r="O645" i="9" a="1"/>
  <c r="O645" i="9" s="1"/>
  <c r="O646" i="9" a="1"/>
  <c r="O646" i="9" s="1"/>
  <c r="O647" i="9" a="1"/>
  <c r="O647" i="9" s="1"/>
  <c r="O648" i="9" a="1"/>
  <c r="O648" i="9" s="1"/>
  <c r="O649" i="9" a="1"/>
  <c r="O649" i="9" s="1"/>
  <c r="O650" i="9" a="1"/>
  <c r="O650" i="9" s="1"/>
  <c r="O651" i="9" a="1"/>
  <c r="O651" i="9" s="1"/>
  <c r="O652" i="9" a="1"/>
  <c r="O652" i="9" s="1"/>
  <c r="O653" i="9" a="1"/>
  <c r="O653" i="9" s="1"/>
  <c r="O654" i="9" a="1"/>
  <c r="O654" i="9" s="1"/>
  <c r="O655" i="9" a="1"/>
  <c r="O655" i="9" s="1"/>
  <c r="O656" i="9" a="1"/>
  <c r="O656" i="9" s="1"/>
  <c r="O657" i="9" a="1"/>
  <c r="O657" i="9" s="1"/>
  <c r="O658" i="9" a="1"/>
  <c r="O658" i="9" s="1"/>
  <c r="O659" i="9" a="1"/>
  <c r="O659" i="9" s="1"/>
  <c r="O660" i="9" a="1"/>
  <c r="O660" i="9" s="1"/>
  <c r="O661" i="9" a="1"/>
  <c r="O661" i="9" s="1"/>
  <c r="O662" i="9" a="1"/>
  <c r="O662" i="9" s="1"/>
  <c r="O663" i="9" a="1"/>
  <c r="O663" i="9" s="1"/>
  <c r="O664" i="9" a="1"/>
  <c r="O664" i="9" s="1"/>
  <c r="O665" i="9" a="1"/>
  <c r="O665" i="9" s="1"/>
  <c r="O666" i="9" a="1"/>
  <c r="O666" i="9" s="1"/>
  <c r="O667" i="9" a="1"/>
  <c r="O667" i="9" s="1"/>
  <c r="O668" i="9" a="1"/>
  <c r="O668" i="9" s="1"/>
  <c r="O669" i="9" a="1"/>
  <c r="O669" i="9" s="1"/>
  <c r="O670" i="9" a="1"/>
  <c r="O670" i="9" s="1"/>
  <c r="O671" i="9" a="1"/>
  <c r="O671" i="9" s="1"/>
  <c r="O672" i="9" a="1"/>
  <c r="O672" i="9" s="1"/>
  <c r="O673" i="9" a="1"/>
  <c r="O673" i="9" s="1"/>
  <c r="O674" i="9" a="1"/>
  <c r="O674" i="9" s="1"/>
  <c r="O675" i="9" a="1"/>
  <c r="O675" i="9" s="1"/>
  <c r="O676" i="9" a="1"/>
  <c r="O676" i="9" s="1"/>
  <c r="O677" i="9" a="1"/>
  <c r="O677" i="9" s="1"/>
  <c r="O678" i="9" a="1"/>
  <c r="O678" i="9" s="1"/>
  <c r="O679" i="9" a="1"/>
  <c r="O679" i="9" s="1"/>
  <c r="O680" i="9" a="1"/>
  <c r="O680" i="9" s="1"/>
  <c r="O681" i="9" a="1"/>
  <c r="O681" i="9" s="1"/>
  <c r="O682" i="9" a="1"/>
  <c r="O682" i="9" s="1"/>
  <c r="O683" i="9" a="1"/>
  <c r="O683" i="9" s="1"/>
  <c r="O684" i="9" a="1"/>
  <c r="O684" i="9" s="1"/>
  <c r="O685" i="9" a="1"/>
  <c r="O685" i="9" s="1"/>
  <c r="O686" i="9" a="1"/>
  <c r="O686" i="9" s="1"/>
  <c r="O687" i="9" a="1"/>
  <c r="O687" i="9" s="1"/>
  <c r="O688" i="9" a="1"/>
  <c r="O688" i="9" s="1"/>
  <c r="O689" i="9" a="1"/>
  <c r="O689" i="9" s="1"/>
  <c r="O690" i="9" a="1"/>
  <c r="O690" i="9" s="1"/>
  <c r="O691" i="9" a="1"/>
  <c r="O691" i="9" s="1"/>
  <c r="O692" i="9" a="1"/>
  <c r="O692" i="9" s="1"/>
  <c r="O693" i="9" a="1"/>
  <c r="O693" i="9" s="1"/>
  <c r="O694" i="9" a="1"/>
  <c r="O694" i="9" s="1"/>
  <c r="O695" i="9" a="1"/>
  <c r="O695" i="9" s="1"/>
  <c r="O696" i="9" a="1"/>
  <c r="O696" i="9" s="1"/>
  <c r="O697" i="9" a="1"/>
  <c r="O697" i="9" s="1"/>
  <c r="O698" i="9" a="1"/>
  <c r="O698" i="9" s="1"/>
  <c r="O699" i="9" a="1"/>
  <c r="O699" i="9" s="1"/>
  <c r="O700" i="9" a="1"/>
  <c r="O700" i="9" s="1"/>
  <c r="O701" i="9" a="1"/>
  <c r="O701" i="9" s="1"/>
  <c r="O702" i="9" a="1"/>
  <c r="O702" i="9" s="1"/>
  <c r="O703" i="9" a="1"/>
  <c r="O703" i="9" s="1"/>
  <c r="O704" i="9" a="1"/>
  <c r="O704" i="9" s="1"/>
  <c r="O705" i="9" a="1"/>
  <c r="O705" i="9" s="1"/>
  <c r="O706" i="9" a="1"/>
  <c r="O706" i="9" s="1"/>
  <c r="O707" i="9" a="1"/>
  <c r="O707" i="9" s="1"/>
  <c r="O708" i="9" a="1"/>
  <c r="O708" i="9" s="1"/>
  <c r="O709" i="9" a="1"/>
  <c r="O709" i="9" s="1"/>
  <c r="O710" i="9" a="1"/>
  <c r="O710" i="9" s="1"/>
  <c r="O711" i="9" a="1"/>
  <c r="O711" i="9" s="1"/>
  <c r="O712" i="9" a="1"/>
  <c r="O712" i="9" s="1"/>
  <c r="O713" i="9" a="1"/>
  <c r="O713" i="9" s="1"/>
  <c r="O714" i="9" a="1"/>
  <c r="O714" i="9" s="1"/>
  <c r="O715" i="9" a="1"/>
  <c r="O715" i="9" s="1"/>
  <c r="O716" i="9" a="1"/>
  <c r="O716" i="9" s="1"/>
  <c r="O717" i="9" a="1"/>
  <c r="O717" i="9" s="1"/>
  <c r="O718" i="9" a="1"/>
  <c r="O718" i="9" s="1"/>
  <c r="O719" i="9" a="1"/>
  <c r="O719" i="9" s="1"/>
  <c r="O720" i="9" a="1"/>
  <c r="O720" i="9" s="1"/>
  <c r="O721" i="9" a="1"/>
  <c r="O721" i="9" s="1"/>
  <c r="O722" i="9" a="1"/>
  <c r="O722" i="9" s="1"/>
  <c r="O723" i="9" a="1"/>
  <c r="O723" i="9" s="1"/>
  <c r="O724" i="9" a="1"/>
  <c r="O724" i="9" s="1"/>
  <c r="O725" i="9" a="1"/>
  <c r="O725" i="9" s="1"/>
  <c r="O726" i="9" a="1"/>
  <c r="O726" i="9" s="1"/>
  <c r="O727" i="9" a="1"/>
  <c r="O727" i="9" s="1"/>
  <c r="O728" i="9" a="1"/>
  <c r="O728" i="9" s="1"/>
  <c r="O729" i="9" a="1"/>
  <c r="O729" i="9" s="1"/>
  <c r="O730" i="9" a="1"/>
  <c r="O730" i="9" s="1"/>
  <c r="O731" i="9" a="1"/>
  <c r="O731" i="9" s="1"/>
  <c r="O732" i="9" a="1"/>
  <c r="O732" i="9" s="1"/>
  <c r="O733" i="9" a="1"/>
  <c r="O733" i="9" s="1"/>
  <c r="O734" i="9" a="1"/>
  <c r="O734" i="9" s="1"/>
  <c r="O735" i="9" a="1"/>
  <c r="O735" i="9" s="1"/>
  <c r="O736" i="9" a="1"/>
  <c r="O736" i="9" s="1"/>
  <c r="O737" i="9" a="1"/>
  <c r="O737" i="9" s="1"/>
  <c r="O738" i="9" a="1"/>
  <c r="O738" i="9" s="1"/>
  <c r="O739" i="9" a="1"/>
  <c r="O739" i="9" s="1"/>
  <c r="O740" i="9" a="1"/>
  <c r="O740" i="9" s="1"/>
  <c r="O741" i="9" a="1"/>
  <c r="O741" i="9" s="1"/>
  <c r="O742" i="9" a="1"/>
  <c r="O742" i="9" s="1"/>
  <c r="O743" i="9" a="1"/>
  <c r="O743" i="9" s="1"/>
  <c r="O744" i="9" a="1"/>
  <c r="O744" i="9" s="1"/>
  <c r="O745" i="9" a="1"/>
  <c r="O745" i="9" s="1"/>
  <c r="O746" i="9" a="1"/>
  <c r="O746" i="9" s="1"/>
  <c r="O747" i="9" a="1"/>
  <c r="O747" i="9" s="1"/>
  <c r="O748" i="9" a="1"/>
  <c r="O748" i="9" s="1"/>
  <c r="O749" i="9" a="1"/>
  <c r="O749" i="9" s="1"/>
  <c r="O750" i="9" a="1"/>
  <c r="O750" i="9" s="1"/>
  <c r="O751" i="9" a="1"/>
  <c r="O751" i="9" s="1"/>
  <c r="O752" i="9" a="1"/>
  <c r="O752" i="9" s="1"/>
  <c r="O753" i="9" a="1"/>
  <c r="O753" i="9" s="1"/>
  <c r="O754" i="9" a="1"/>
  <c r="O754" i="9" s="1"/>
  <c r="O755" i="9" a="1"/>
  <c r="O755" i="9" s="1"/>
  <c r="O756" i="9" a="1"/>
  <c r="O756" i="9" s="1"/>
  <c r="O757" i="9" a="1"/>
  <c r="O757" i="9" s="1"/>
  <c r="O758" i="9" a="1"/>
  <c r="O758" i="9" s="1"/>
  <c r="O759" i="9" a="1"/>
  <c r="O759" i="9" s="1"/>
  <c r="O760" i="9" a="1"/>
  <c r="O760" i="9" s="1"/>
  <c r="O761" i="9" a="1"/>
  <c r="O761" i="9" s="1"/>
  <c r="O762" i="9" a="1"/>
  <c r="O762" i="9" s="1"/>
  <c r="O763" i="9" a="1"/>
  <c r="O763" i="9" s="1"/>
  <c r="O764" i="9" a="1"/>
  <c r="O764" i="9" s="1"/>
  <c r="O765" i="9" a="1"/>
  <c r="O765" i="9" s="1"/>
  <c r="O766" i="9" a="1"/>
  <c r="O766" i="9" s="1"/>
  <c r="O767" i="9" a="1"/>
  <c r="O767" i="9" s="1"/>
  <c r="O768" i="9" a="1"/>
  <c r="O768" i="9" s="1"/>
  <c r="O769" i="9" a="1"/>
  <c r="O769" i="9" s="1"/>
  <c r="O770" i="9" a="1"/>
  <c r="O770" i="9" s="1"/>
  <c r="O771" i="9" a="1"/>
  <c r="O771" i="9" s="1"/>
  <c r="O772" i="9" a="1"/>
  <c r="O772" i="9" s="1"/>
  <c r="O773" i="9" a="1"/>
  <c r="O773" i="9" s="1"/>
  <c r="O774" i="9" a="1"/>
  <c r="O774" i="9" s="1"/>
  <c r="O775" i="9" a="1"/>
  <c r="O775" i="9" s="1"/>
  <c r="O776" i="9" a="1"/>
  <c r="O776" i="9" s="1"/>
  <c r="O777" i="9" a="1"/>
  <c r="O777" i="9" s="1"/>
  <c r="O778" i="9" a="1"/>
  <c r="O778" i="9" s="1"/>
  <c r="O779" i="9" a="1"/>
  <c r="O779" i="9" s="1"/>
  <c r="O780" i="9" a="1"/>
  <c r="O780" i="9" s="1"/>
  <c r="O781" i="9" a="1"/>
  <c r="O781" i="9" s="1"/>
  <c r="O782" i="9" a="1"/>
  <c r="O782" i="9" s="1"/>
  <c r="O783" i="9" a="1"/>
  <c r="O783" i="9" s="1"/>
  <c r="O784" i="9" a="1"/>
  <c r="O784" i="9" s="1"/>
  <c r="O785" i="9" a="1"/>
  <c r="O785" i="9" s="1"/>
  <c r="O786" i="9" a="1"/>
  <c r="O786" i="9" s="1"/>
  <c r="O787" i="9" a="1"/>
  <c r="O787" i="9" s="1"/>
  <c r="O788" i="9" a="1"/>
  <c r="O788" i="9" s="1"/>
  <c r="O789" i="9" a="1"/>
  <c r="O789" i="9" s="1"/>
  <c r="O790" i="9" a="1"/>
  <c r="O790" i="9" s="1"/>
  <c r="O791" i="9" a="1"/>
  <c r="O791" i="9" s="1"/>
  <c r="O792" i="9" a="1"/>
  <c r="O792" i="9" s="1"/>
  <c r="O793" i="9" a="1"/>
  <c r="O793" i="9" s="1"/>
  <c r="O794" i="9" a="1"/>
  <c r="O794" i="9" s="1"/>
  <c r="O795" i="9" a="1"/>
  <c r="O795" i="9" s="1"/>
  <c r="O796" i="9" a="1"/>
  <c r="O796" i="9" s="1"/>
  <c r="O797" i="9" a="1"/>
  <c r="O797" i="9" s="1"/>
  <c r="O798" i="9" a="1"/>
  <c r="O798" i="9" s="1"/>
  <c r="O799" i="9" a="1"/>
  <c r="O799" i="9" s="1"/>
  <c r="O800" i="9" a="1"/>
  <c r="O800" i="9" s="1"/>
  <c r="O801" i="9" a="1"/>
  <c r="O801" i="9" s="1"/>
  <c r="O802" i="9" a="1"/>
  <c r="O802" i="9" s="1"/>
  <c r="O803" i="9" a="1"/>
  <c r="O803" i="9" s="1"/>
  <c r="O804" i="9" a="1"/>
  <c r="O804" i="9" s="1"/>
  <c r="O805" i="9" a="1"/>
  <c r="O805" i="9" s="1"/>
  <c r="O806" i="9" a="1"/>
  <c r="O806" i="9" s="1"/>
  <c r="O807" i="9" a="1"/>
  <c r="O807" i="9" s="1"/>
  <c r="O808" i="9" a="1"/>
  <c r="O808" i="9" s="1"/>
  <c r="O809" i="9" a="1"/>
  <c r="O809" i="9" s="1"/>
  <c r="O810" i="9" a="1"/>
  <c r="O810" i="9" s="1"/>
  <c r="O811" i="9" a="1"/>
  <c r="O811" i="9" s="1"/>
  <c r="O812" i="9" a="1"/>
  <c r="O812" i="9" s="1"/>
  <c r="O813" i="9" a="1"/>
  <c r="O813" i="9" s="1"/>
  <c r="O814" i="9" a="1"/>
  <c r="O814" i="9" s="1"/>
  <c r="O815" i="9" a="1"/>
  <c r="O815" i="9" s="1"/>
  <c r="O816" i="9" a="1"/>
  <c r="O816" i="9" s="1"/>
  <c r="O817" i="9" a="1"/>
  <c r="O817" i="9" s="1"/>
  <c r="O818" i="9" a="1"/>
  <c r="O818" i="9" s="1"/>
  <c r="O819" i="9" a="1"/>
  <c r="O819" i="9" s="1"/>
  <c r="O820" i="9" a="1"/>
  <c r="O820" i="9" s="1"/>
  <c r="O821" i="9" a="1"/>
  <c r="O821" i="9" s="1"/>
  <c r="O822" i="9" a="1"/>
  <c r="O822" i="9" s="1"/>
  <c r="O823" i="9" a="1"/>
  <c r="O823" i="9" s="1"/>
  <c r="O824" i="9" a="1"/>
  <c r="O824" i="9" s="1"/>
  <c r="O825" i="9" a="1"/>
  <c r="O825" i="9" s="1"/>
  <c r="O826" i="9" a="1"/>
  <c r="O826" i="9" s="1"/>
  <c r="O827" i="9" a="1"/>
  <c r="O827" i="9" s="1"/>
  <c r="O828" i="9" a="1"/>
  <c r="O828" i="9" s="1"/>
  <c r="O829" i="9" a="1"/>
  <c r="O829" i="9" s="1"/>
  <c r="O830" i="9" a="1"/>
  <c r="O830" i="9" s="1"/>
  <c r="O831" i="9" a="1"/>
  <c r="O831" i="9" s="1"/>
  <c r="O832" i="9" a="1"/>
  <c r="O832" i="9" s="1"/>
  <c r="O833" i="9" a="1"/>
  <c r="O833" i="9" s="1"/>
  <c r="O834" i="9" a="1"/>
  <c r="O834" i="9" s="1"/>
  <c r="O835" i="9" a="1"/>
  <c r="O835" i="9" s="1"/>
  <c r="O836" i="9" a="1"/>
  <c r="O836" i="9" s="1"/>
  <c r="O837" i="9" a="1"/>
  <c r="O837" i="9" s="1"/>
  <c r="O838" i="9" a="1"/>
  <c r="O838" i="9" s="1"/>
  <c r="O839" i="9" a="1"/>
  <c r="O839" i="9" s="1"/>
  <c r="O840" i="9" a="1"/>
  <c r="O840" i="9" s="1"/>
  <c r="O841" i="9" a="1"/>
  <c r="O841" i="9" s="1"/>
  <c r="O842" i="9" a="1"/>
  <c r="O842" i="9" s="1"/>
  <c r="O843" i="9" a="1"/>
  <c r="O843" i="9" s="1"/>
  <c r="O844" i="9" a="1"/>
  <c r="O844" i="9" s="1"/>
  <c r="O845" i="9" a="1"/>
  <c r="O845" i="9" s="1"/>
  <c r="O846" i="9" a="1"/>
  <c r="O846" i="9" s="1"/>
  <c r="O847" i="9" a="1"/>
  <c r="O847" i="9" s="1"/>
  <c r="O848" i="9" a="1"/>
  <c r="O848" i="9" s="1"/>
  <c r="O849" i="9" a="1"/>
  <c r="O849" i="9" s="1"/>
  <c r="O850" i="9" a="1"/>
  <c r="O850" i="9" s="1"/>
  <c r="O851" i="9" a="1"/>
  <c r="O851" i="9" s="1"/>
  <c r="O852" i="9" a="1"/>
  <c r="O852" i="9" s="1"/>
  <c r="O853" i="9" a="1"/>
  <c r="O853" i="9" s="1"/>
  <c r="O854" i="9" a="1"/>
  <c r="O854" i="9" s="1"/>
  <c r="O855" i="9" a="1"/>
  <c r="O855" i="9" s="1"/>
  <c r="O856" i="9" a="1"/>
  <c r="O856" i="9" s="1"/>
  <c r="O857" i="9" a="1"/>
  <c r="O857" i="9" s="1"/>
  <c r="O858" i="9" a="1"/>
  <c r="O858" i="9" s="1"/>
  <c r="O859" i="9" a="1"/>
  <c r="O859" i="9" s="1"/>
  <c r="O860" i="9" a="1"/>
  <c r="O860" i="9" s="1"/>
  <c r="O861" i="9" a="1"/>
  <c r="O861" i="9" s="1"/>
  <c r="O862" i="9" a="1"/>
  <c r="O862" i="9" s="1"/>
  <c r="O863" i="9" a="1"/>
  <c r="O863" i="9" s="1"/>
  <c r="O864" i="9" a="1"/>
  <c r="O864" i="9" s="1"/>
  <c r="O865" i="9" a="1"/>
  <c r="O865" i="9" s="1"/>
  <c r="O866" i="9" a="1"/>
  <c r="O866" i="9" s="1"/>
  <c r="O867" i="9" a="1"/>
  <c r="O867" i="9" s="1"/>
  <c r="O868" i="9" a="1"/>
  <c r="O868" i="9" s="1"/>
  <c r="O869" i="9" a="1"/>
  <c r="O869" i="9" s="1"/>
  <c r="O870" i="9" a="1"/>
  <c r="O870" i="9" s="1"/>
  <c r="O871" i="9" a="1"/>
  <c r="O871" i="9" s="1"/>
  <c r="O872" i="9" a="1"/>
  <c r="O872" i="9" s="1"/>
  <c r="O873" i="9" a="1"/>
  <c r="O873" i="9" s="1"/>
  <c r="O874" i="9" a="1"/>
  <c r="O874" i="9" s="1"/>
  <c r="O875" i="9" a="1"/>
  <c r="O875" i="9" s="1"/>
  <c r="O876" i="9" a="1"/>
  <c r="O876" i="9" s="1"/>
  <c r="O877" i="9" a="1"/>
  <c r="O877" i="9" s="1"/>
  <c r="O878" i="9" a="1"/>
  <c r="O878" i="9" s="1"/>
  <c r="O879" i="9" a="1"/>
  <c r="O879" i="9" s="1"/>
  <c r="O880" i="9" a="1"/>
  <c r="O880" i="9" s="1"/>
  <c r="O881" i="9" a="1"/>
  <c r="O881" i="9" s="1"/>
  <c r="O882" i="9" a="1"/>
  <c r="O882" i="9" s="1"/>
  <c r="O883" i="9" a="1"/>
  <c r="O883" i="9" s="1"/>
  <c r="O884" i="9" a="1"/>
  <c r="O884" i="9" s="1"/>
  <c r="O885" i="9" a="1"/>
  <c r="O885" i="9" s="1"/>
  <c r="O886" i="9" a="1"/>
  <c r="O886" i="9" s="1"/>
  <c r="O887" i="9" a="1"/>
  <c r="O887" i="9" s="1"/>
  <c r="O888" i="9" a="1"/>
  <c r="O888" i="9" s="1"/>
  <c r="O889" i="9" a="1"/>
  <c r="O889" i="9" s="1"/>
  <c r="O890" i="9" a="1"/>
  <c r="O890" i="9" s="1"/>
  <c r="O891" i="9" a="1"/>
  <c r="O891" i="9" s="1"/>
  <c r="O892" i="9" a="1"/>
  <c r="O892" i="9" s="1"/>
  <c r="O893" i="9" a="1"/>
  <c r="O893" i="9" s="1"/>
  <c r="O894" i="9" a="1"/>
  <c r="O894" i="9" s="1"/>
  <c r="O895" i="9" a="1"/>
  <c r="O895" i="9" s="1"/>
  <c r="O896" i="9" a="1"/>
  <c r="O896" i="9" s="1"/>
  <c r="O897" i="9" a="1"/>
  <c r="O897" i="9" s="1"/>
  <c r="O898" i="9" a="1"/>
  <c r="O898" i="9" s="1"/>
  <c r="O899" i="9" a="1"/>
  <c r="O899" i="9" s="1"/>
  <c r="O900" i="9" a="1"/>
  <c r="O900" i="9" s="1"/>
  <c r="O901" i="9" a="1"/>
  <c r="O901" i="9" s="1"/>
  <c r="O902" i="9" a="1"/>
  <c r="O902" i="9" s="1"/>
  <c r="O903" i="9" a="1"/>
  <c r="O903" i="9" s="1"/>
  <c r="O904" i="9" a="1"/>
  <c r="O904" i="9" s="1"/>
  <c r="O905" i="9" a="1"/>
  <c r="O905" i="9" s="1"/>
  <c r="O906" i="9" a="1"/>
  <c r="O906" i="9" s="1"/>
  <c r="O907" i="9" a="1"/>
  <c r="O907" i="9" s="1"/>
  <c r="O908" i="9" a="1"/>
  <c r="O908" i="9" s="1"/>
  <c r="O909" i="9" a="1"/>
  <c r="O909" i="9" s="1"/>
  <c r="O910" i="9" a="1"/>
  <c r="O910" i="9" s="1"/>
  <c r="O911" i="9" a="1"/>
  <c r="O911" i="9" s="1"/>
  <c r="O912" i="9" a="1"/>
  <c r="O912" i="9" s="1"/>
  <c r="O913" i="9" a="1"/>
  <c r="O913" i="9" s="1"/>
  <c r="O914" i="9" a="1"/>
  <c r="O914" i="9" s="1"/>
  <c r="O915" i="9" a="1"/>
  <c r="O915" i="9" s="1"/>
  <c r="O916" i="9" a="1"/>
  <c r="O916" i="9" s="1"/>
  <c r="O917" i="9" a="1"/>
  <c r="O917" i="9" s="1"/>
  <c r="O918" i="9" a="1"/>
  <c r="O918" i="9" s="1"/>
  <c r="O919" i="9" a="1"/>
  <c r="O919" i="9" s="1"/>
  <c r="O920" i="9" a="1"/>
  <c r="O920" i="9" s="1"/>
  <c r="O921" i="9" a="1"/>
  <c r="O921" i="9" s="1"/>
  <c r="O922" i="9" a="1"/>
  <c r="O922" i="9" s="1"/>
  <c r="O923" i="9" a="1"/>
  <c r="O923" i="9" s="1"/>
  <c r="O924" i="9" a="1"/>
  <c r="O924" i="9" s="1"/>
  <c r="O925" i="9" a="1"/>
  <c r="O925" i="9" s="1"/>
  <c r="O926" i="9" a="1"/>
  <c r="O926" i="9" s="1"/>
  <c r="O927" i="9" a="1"/>
  <c r="O927" i="9" s="1"/>
  <c r="O928" i="9" a="1"/>
  <c r="O928" i="9" s="1"/>
  <c r="O929" i="9" a="1"/>
  <c r="O929" i="9" s="1"/>
  <c r="O930" i="9" a="1"/>
  <c r="O930" i="9" s="1"/>
  <c r="O931" i="9" a="1"/>
  <c r="O931" i="9" s="1"/>
  <c r="O932" i="9" a="1"/>
  <c r="O932" i="9" s="1"/>
  <c r="O933" i="9" a="1"/>
  <c r="O933" i="9" s="1"/>
  <c r="O934" i="9" a="1"/>
  <c r="O934" i="9" s="1"/>
  <c r="O935" i="9" a="1"/>
  <c r="O935" i="9" s="1"/>
  <c r="O936" i="9" a="1"/>
  <c r="O936" i="9" s="1"/>
  <c r="O937" i="9" a="1"/>
  <c r="O937" i="9" s="1"/>
  <c r="O938" i="9" a="1"/>
  <c r="O938" i="9" s="1"/>
  <c r="O939" i="9" a="1"/>
  <c r="O939" i="9" s="1"/>
  <c r="O940" i="9" a="1"/>
  <c r="O940" i="9" s="1"/>
  <c r="O941" i="9" a="1"/>
  <c r="O941" i="9" s="1"/>
  <c r="O942" i="9" a="1"/>
  <c r="O942" i="9" s="1"/>
  <c r="O943" i="9" a="1"/>
  <c r="O943" i="9" s="1"/>
  <c r="O944" i="9" a="1"/>
  <c r="O944" i="9" s="1"/>
  <c r="O945" i="9" a="1"/>
  <c r="O945" i="9" s="1"/>
  <c r="O946" i="9" a="1"/>
  <c r="O946" i="9" s="1"/>
  <c r="O947" i="9" a="1"/>
  <c r="O947" i="9" s="1"/>
  <c r="O948" i="9" a="1"/>
  <c r="O948" i="9" s="1"/>
  <c r="O949" i="9" a="1"/>
  <c r="O949" i="9" s="1"/>
  <c r="O950" i="9" a="1"/>
  <c r="O950" i="9" s="1"/>
  <c r="O951" i="9" a="1"/>
  <c r="O951" i="9" s="1"/>
  <c r="O952" i="9" a="1"/>
  <c r="O952" i="9" s="1"/>
  <c r="O953" i="9" a="1"/>
  <c r="O953" i="9" s="1"/>
  <c r="O954" i="9" a="1"/>
  <c r="O954" i="9" s="1"/>
  <c r="O955" i="9" a="1"/>
  <c r="O955" i="9" s="1"/>
  <c r="O956" i="9" a="1"/>
  <c r="O956" i="9" s="1"/>
  <c r="O957" i="9" a="1"/>
  <c r="O957" i="9" s="1"/>
  <c r="O958" i="9" a="1"/>
  <c r="O958" i="9" s="1"/>
  <c r="O959" i="9" a="1"/>
  <c r="O959" i="9" s="1"/>
  <c r="O960" i="9" a="1"/>
  <c r="O960" i="9" s="1"/>
  <c r="O961" i="9" a="1"/>
  <c r="O961" i="9" s="1"/>
  <c r="O962" i="9" a="1"/>
  <c r="O962" i="9" s="1"/>
  <c r="O963" i="9" a="1"/>
  <c r="O963" i="9" s="1"/>
  <c r="O964" i="9" a="1"/>
  <c r="O964" i="9" s="1"/>
  <c r="O965" i="9" a="1"/>
  <c r="O965" i="9" s="1"/>
  <c r="O966" i="9" a="1"/>
  <c r="O966" i="9" s="1"/>
  <c r="O967" i="9" a="1"/>
  <c r="O967" i="9" s="1"/>
  <c r="O968" i="9" a="1"/>
  <c r="O968" i="9" s="1"/>
  <c r="O969" i="9" a="1"/>
  <c r="O969" i="9" s="1"/>
  <c r="O970" i="9" a="1"/>
  <c r="O970" i="9" s="1"/>
  <c r="O971" i="9" a="1"/>
  <c r="O971" i="9" s="1"/>
  <c r="O972" i="9" a="1"/>
  <c r="O972" i="9" s="1"/>
  <c r="O973" i="9" a="1"/>
  <c r="O973" i="9" s="1"/>
  <c r="O974" i="9" a="1"/>
  <c r="O974" i="9" s="1"/>
  <c r="O975" i="9" a="1"/>
  <c r="O975" i="9" s="1"/>
  <c r="O976" i="9" a="1"/>
  <c r="O976" i="9" s="1"/>
  <c r="O977" i="9" a="1"/>
  <c r="O977" i="9" s="1"/>
  <c r="O978" i="9" a="1"/>
  <c r="O978" i="9" s="1"/>
  <c r="O979" i="9" a="1"/>
  <c r="O979" i="9" s="1"/>
  <c r="O980" i="9" a="1"/>
  <c r="O980" i="9" s="1"/>
  <c r="O981" i="9" a="1"/>
  <c r="O981" i="9"/>
  <c r="O982" i="9" a="1"/>
  <c r="O982" i="9" s="1"/>
  <c r="O983" i="9" a="1"/>
  <c r="O983" i="9" s="1"/>
  <c r="O984" i="9" a="1"/>
  <c r="O984" i="9" s="1"/>
  <c r="O985" i="9" a="1"/>
  <c r="O985" i="9" s="1"/>
  <c r="O986" i="9" a="1"/>
  <c r="O986" i="9" s="1"/>
  <c r="O987" i="9" a="1"/>
  <c r="O987" i="9" s="1"/>
  <c r="O988" i="9" a="1"/>
  <c r="O988" i="9" s="1"/>
  <c r="O989" i="9" a="1"/>
  <c r="O989" i="9" s="1"/>
  <c r="O990" i="9" a="1"/>
  <c r="O990" i="9" s="1"/>
  <c r="O991" i="9" a="1"/>
  <c r="O991" i="9" s="1"/>
  <c r="O992" i="9" a="1"/>
  <c r="O992" i="9" s="1"/>
  <c r="O993" i="9" a="1"/>
  <c r="O993" i="9" s="1"/>
  <c r="O994" i="9" a="1"/>
  <c r="O994" i="9" s="1"/>
  <c r="O995" i="9" a="1"/>
  <c r="O995" i="9" s="1"/>
  <c r="O996" i="9" a="1"/>
  <c r="O996" i="9" s="1"/>
  <c r="O997" i="9" a="1"/>
  <c r="O997" i="9" s="1"/>
  <c r="O998" i="9" a="1"/>
  <c r="O998" i="9" s="1"/>
  <c r="O999" i="9" a="1"/>
  <c r="O999" i="9" s="1"/>
  <c r="O1000" i="9" a="1"/>
  <c r="O1000" i="9" s="1"/>
  <c r="O1001" i="9" a="1"/>
  <c r="O1001" i="9" s="1"/>
  <c r="L2" i="9" a="1"/>
  <c r="L2" i="9" s="1"/>
  <c r="L3" i="9" a="1"/>
  <c r="L3" i="9" s="1"/>
  <c r="L4" i="9" a="1"/>
  <c r="L4" i="9" s="1"/>
  <c r="L5" i="9" a="1"/>
  <c r="L5" i="9" s="1"/>
  <c r="L7" i="9" a="1"/>
  <c r="L7" i="9" s="1"/>
  <c r="L8" i="9" a="1"/>
  <c r="L8" i="9" s="1"/>
  <c r="L9" i="9" a="1"/>
  <c r="L9" i="9" s="1"/>
  <c r="L10" i="9" a="1"/>
  <c r="L10" i="9" s="1"/>
  <c r="L11" i="9" a="1"/>
  <c r="L11" i="9" s="1"/>
  <c r="L12" i="9" a="1"/>
  <c r="L12" i="9" s="1"/>
  <c r="L13" i="9" a="1"/>
  <c r="L13" i="9" s="1"/>
  <c r="L14" i="9" a="1"/>
  <c r="L14" i="9" s="1"/>
  <c r="L15" i="9" a="1"/>
  <c r="L15" i="9" s="1"/>
  <c r="L16" i="9" a="1"/>
  <c r="L16" i="9" s="1"/>
  <c r="L17" i="9" a="1"/>
  <c r="L17" i="9" s="1"/>
  <c r="L18" i="9" a="1"/>
  <c r="L18" i="9" s="1"/>
  <c r="L19" i="9" a="1"/>
  <c r="L19" i="9" s="1"/>
  <c r="L20" i="9" a="1"/>
  <c r="L20" i="9" s="1"/>
  <c r="L21" i="9" a="1"/>
  <c r="L21" i="9" s="1"/>
  <c r="L22" i="9" a="1"/>
  <c r="L22" i="9" s="1"/>
  <c r="L23" i="9" a="1"/>
  <c r="L23" i="9" s="1"/>
  <c r="L24" i="9" a="1"/>
  <c r="L24" i="9" s="1"/>
  <c r="L25" i="9" a="1"/>
  <c r="L25" i="9" s="1"/>
  <c r="L26" i="9" a="1"/>
  <c r="L26" i="9" s="1"/>
  <c r="L27" i="9" a="1"/>
  <c r="L27" i="9" s="1"/>
  <c r="L28" i="9" a="1"/>
  <c r="L28" i="9" s="1"/>
  <c r="L29" i="9" a="1"/>
  <c r="L29" i="9" s="1"/>
  <c r="L30" i="9" a="1"/>
  <c r="L30" i="9" s="1"/>
  <c r="L31" i="9" a="1"/>
  <c r="L31" i="9" s="1"/>
  <c r="L32" i="9" a="1"/>
  <c r="L32" i="9" s="1"/>
  <c r="L33" i="9" a="1"/>
  <c r="L33" i="9" s="1"/>
  <c r="L34" i="9" a="1"/>
  <c r="L34" i="9" s="1"/>
  <c r="L35" i="9" a="1"/>
  <c r="L35" i="9" s="1"/>
  <c r="L36" i="9" a="1"/>
  <c r="L36" i="9" s="1"/>
  <c r="L37" i="9" a="1"/>
  <c r="L37" i="9" s="1"/>
  <c r="L38" i="9" a="1"/>
  <c r="L38" i="9" s="1"/>
  <c r="L39" i="9" a="1"/>
  <c r="L39" i="9" s="1"/>
  <c r="L40" i="9" a="1"/>
  <c r="L40" i="9" s="1"/>
  <c r="L41" i="9" a="1"/>
  <c r="L41" i="9" s="1"/>
  <c r="L42" i="9" a="1"/>
  <c r="L42" i="9" s="1"/>
  <c r="L43" i="9" a="1"/>
  <c r="L43" i="9" s="1"/>
  <c r="L44" i="9" a="1"/>
  <c r="L44" i="9" s="1"/>
  <c r="L45" i="9" a="1"/>
  <c r="L45" i="9" s="1"/>
  <c r="L46" i="9" a="1"/>
  <c r="L46" i="9" s="1"/>
  <c r="L47" i="9" a="1"/>
  <c r="L47" i="9" s="1"/>
  <c r="L48" i="9" a="1"/>
  <c r="L48" i="9" s="1"/>
  <c r="L49" i="9" a="1"/>
  <c r="L49" i="9" s="1"/>
  <c r="L50" i="9" a="1"/>
  <c r="L50" i="9" s="1"/>
  <c r="L51" i="9" a="1"/>
  <c r="L51" i="9" s="1"/>
  <c r="L52" i="9" a="1"/>
  <c r="L52" i="9" s="1"/>
  <c r="L53" i="9" a="1"/>
  <c r="L53" i="9" s="1"/>
  <c r="L54" i="9" a="1"/>
  <c r="L54" i="9" s="1"/>
  <c r="L55" i="9" a="1"/>
  <c r="L55" i="9" s="1"/>
  <c r="L56" i="9" a="1"/>
  <c r="L56" i="9" s="1"/>
  <c r="L57" i="9" a="1"/>
  <c r="L57" i="9" s="1"/>
  <c r="L58" i="9" a="1"/>
  <c r="L58" i="9" s="1"/>
  <c r="L59" i="9" a="1"/>
  <c r="L59" i="9" s="1"/>
  <c r="L60" i="9" a="1"/>
  <c r="L60" i="9" s="1"/>
  <c r="L61" i="9" a="1"/>
  <c r="L61" i="9" s="1"/>
  <c r="L62" i="9" a="1"/>
  <c r="L62" i="9" s="1"/>
  <c r="L63" i="9" a="1"/>
  <c r="L63" i="9" s="1"/>
  <c r="L64" i="9" a="1"/>
  <c r="L64" i="9" s="1"/>
  <c r="L65" i="9" a="1"/>
  <c r="L65" i="9" s="1"/>
  <c r="L66" i="9" a="1"/>
  <c r="L66" i="9" s="1"/>
  <c r="L67" i="9" a="1"/>
  <c r="L67" i="9" s="1"/>
  <c r="L68" i="9" a="1"/>
  <c r="L68" i="9" s="1"/>
  <c r="L69" i="9" a="1"/>
  <c r="L69" i="9" s="1"/>
  <c r="L70" i="9" a="1"/>
  <c r="L70" i="9" s="1"/>
  <c r="L71" i="9" a="1"/>
  <c r="L71" i="9" s="1"/>
  <c r="L72" i="9" a="1"/>
  <c r="L72" i="9" s="1"/>
  <c r="L73" i="9" a="1"/>
  <c r="L73" i="9" s="1"/>
  <c r="L74" i="9" a="1"/>
  <c r="L74" i="9" s="1"/>
  <c r="L75" i="9" a="1"/>
  <c r="L75" i="9" s="1"/>
  <c r="L76" i="9" a="1"/>
  <c r="L76" i="9" s="1"/>
  <c r="L77" i="9" a="1"/>
  <c r="L77" i="9" s="1"/>
  <c r="L78" i="9" a="1"/>
  <c r="L78" i="9" s="1"/>
  <c r="L79" i="9" a="1"/>
  <c r="L79" i="9" s="1"/>
  <c r="L80" i="9" a="1"/>
  <c r="L80" i="9" s="1"/>
  <c r="L81" i="9" a="1"/>
  <c r="L81" i="9" s="1"/>
  <c r="L82" i="9" a="1"/>
  <c r="L82" i="9" s="1"/>
  <c r="L83" i="9" a="1"/>
  <c r="L83" i="9" s="1"/>
  <c r="L84" i="9" a="1"/>
  <c r="L84" i="9" s="1"/>
  <c r="L85" i="9" a="1"/>
  <c r="L85" i="9" s="1"/>
  <c r="L86" i="9" a="1"/>
  <c r="L86" i="9" s="1"/>
  <c r="L87" i="9" a="1"/>
  <c r="L87" i="9" s="1"/>
  <c r="L88" i="9" a="1"/>
  <c r="L88" i="9" s="1"/>
  <c r="L89" i="9" a="1"/>
  <c r="L89" i="9" s="1"/>
  <c r="L90" i="9" a="1"/>
  <c r="L90" i="9" s="1"/>
  <c r="L91" i="9" a="1"/>
  <c r="L91" i="9" s="1"/>
  <c r="L92" i="9" a="1"/>
  <c r="L92" i="9" s="1"/>
  <c r="L93" i="9" a="1"/>
  <c r="L93" i="9" s="1"/>
  <c r="L94" i="9" a="1"/>
  <c r="L94" i="9" s="1"/>
  <c r="L95" i="9" a="1"/>
  <c r="L95" i="9" s="1"/>
  <c r="L96" i="9" a="1"/>
  <c r="L96" i="9" s="1"/>
  <c r="L97" i="9" a="1"/>
  <c r="L97" i="9" s="1"/>
  <c r="L98" i="9" a="1"/>
  <c r="L98" i="9" s="1"/>
  <c r="L99" i="9" a="1"/>
  <c r="L99" i="9" s="1"/>
  <c r="L100" i="9" a="1"/>
  <c r="L100" i="9" s="1"/>
  <c r="L101" i="9" a="1"/>
  <c r="L101" i="9" s="1"/>
  <c r="L102" i="9" a="1"/>
  <c r="L102" i="9" s="1"/>
  <c r="L103" i="9" a="1"/>
  <c r="L103" i="9" s="1"/>
  <c r="L104" i="9" a="1"/>
  <c r="L104" i="9" s="1"/>
  <c r="L105" i="9" a="1"/>
  <c r="L105" i="9" s="1"/>
  <c r="L106" i="9" a="1"/>
  <c r="L106" i="9" s="1"/>
  <c r="L107" i="9" a="1"/>
  <c r="L107" i="9" s="1"/>
  <c r="L108" i="9" a="1"/>
  <c r="L108" i="9" s="1"/>
  <c r="L109" i="9" a="1"/>
  <c r="L109" i="9" s="1"/>
  <c r="L110" i="9" a="1"/>
  <c r="L110" i="9" s="1"/>
  <c r="L111" i="9" a="1"/>
  <c r="L111" i="9" s="1"/>
  <c r="L112" i="9" a="1"/>
  <c r="L112" i="9" s="1"/>
  <c r="L113" i="9" a="1"/>
  <c r="L113" i="9" s="1"/>
  <c r="L114" i="9" a="1"/>
  <c r="L114" i="9" s="1"/>
  <c r="L115" i="9" a="1"/>
  <c r="L115" i="9" s="1"/>
  <c r="L116" i="9" a="1"/>
  <c r="L116" i="9" s="1"/>
  <c r="L117" i="9" a="1"/>
  <c r="L117" i="9" s="1"/>
  <c r="L118" i="9" a="1"/>
  <c r="L118" i="9" s="1"/>
  <c r="L119" i="9" a="1"/>
  <c r="L119" i="9" s="1"/>
  <c r="L120" i="9" a="1"/>
  <c r="L120" i="9" s="1"/>
  <c r="L121" i="9" a="1"/>
  <c r="L121" i="9" s="1"/>
  <c r="L122" i="9" a="1"/>
  <c r="L122" i="9" s="1"/>
  <c r="L123" i="9" a="1"/>
  <c r="L123" i="9" s="1"/>
  <c r="L124" i="9" a="1"/>
  <c r="L124" i="9" s="1"/>
  <c r="L125" i="9" a="1"/>
  <c r="L125" i="9" s="1"/>
  <c r="L126" i="9" a="1"/>
  <c r="L126" i="9" s="1"/>
  <c r="L127" i="9" a="1"/>
  <c r="L127" i="9" s="1"/>
  <c r="L128" i="9" a="1"/>
  <c r="L128" i="9" s="1"/>
  <c r="L129" i="9" a="1"/>
  <c r="L129" i="9" s="1"/>
  <c r="L130" i="9" a="1"/>
  <c r="L130" i="9" s="1"/>
  <c r="L131" i="9" a="1"/>
  <c r="L131" i="9" s="1"/>
  <c r="L132" i="9" a="1"/>
  <c r="L132" i="9" s="1"/>
  <c r="L133" i="9" a="1"/>
  <c r="L133" i="9" s="1"/>
  <c r="L134" i="9" a="1"/>
  <c r="L134" i="9" s="1"/>
  <c r="L135" i="9" a="1"/>
  <c r="L135" i="9" s="1"/>
  <c r="L136" i="9" a="1"/>
  <c r="L136" i="9" s="1"/>
  <c r="L137" i="9" a="1"/>
  <c r="L137" i="9" s="1"/>
  <c r="L138" i="9" a="1"/>
  <c r="L138" i="9" s="1"/>
  <c r="L139" i="9" a="1"/>
  <c r="L139" i="9" s="1"/>
  <c r="L140" i="9" a="1"/>
  <c r="L140" i="9" s="1"/>
  <c r="L141" i="9" a="1"/>
  <c r="L141" i="9" s="1"/>
  <c r="L142" i="9" a="1"/>
  <c r="L142" i="9" s="1"/>
  <c r="L143" i="9" a="1"/>
  <c r="L143" i="9" s="1"/>
  <c r="L144" i="9" a="1"/>
  <c r="L144" i="9" s="1"/>
  <c r="L145" i="9" a="1"/>
  <c r="L145" i="9" s="1"/>
  <c r="L146" i="9" a="1"/>
  <c r="L146" i="9" s="1"/>
  <c r="L147" i="9" a="1"/>
  <c r="L147" i="9" s="1"/>
  <c r="L148" i="9" a="1"/>
  <c r="L148" i="9" s="1"/>
  <c r="L149" i="9" a="1"/>
  <c r="L149" i="9" s="1"/>
  <c r="L150" i="9" a="1"/>
  <c r="L150" i="9" s="1"/>
  <c r="L151" i="9" a="1"/>
  <c r="L151" i="9" s="1"/>
  <c r="L152" i="9" a="1"/>
  <c r="L152" i="9" s="1"/>
  <c r="L153" i="9" a="1"/>
  <c r="L153" i="9" s="1"/>
  <c r="L154" i="9" a="1"/>
  <c r="L154" i="9" s="1"/>
  <c r="L155" i="9" a="1"/>
  <c r="L155" i="9" s="1"/>
  <c r="L156" i="9" a="1"/>
  <c r="L156" i="9" s="1"/>
  <c r="L157" i="9" a="1"/>
  <c r="L157" i="9" s="1"/>
  <c r="L158" i="9" a="1"/>
  <c r="L158" i="9" s="1"/>
  <c r="L159" i="9" a="1"/>
  <c r="L159" i="9" s="1"/>
  <c r="L160" i="9" a="1"/>
  <c r="L160" i="9" s="1"/>
  <c r="L161" i="9" a="1"/>
  <c r="L161" i="9" s="1"/>
  <c r="L162" i="9" a="1"/>
  <c r="L162" i="9" s="1"/>
  <c r="L163" i="9" a="1"/>
  <c r="L163" i="9" s="1"/>
  <c r="L164" i="9" a="1"/>
  <c r="L164" i="9" s="1"/>
  <c r="L165" i="9" a="1"/>
  <c r="L165" i="9" s="1"/>
  <c r="L166" i="9" a="1"/>
  <c r="L166" i="9" s="1"/>
  <c r="L167" i="9" a="1"/>
  <c r="L167" i="9" s="1"/>
  <c r="L168" i="9" a="1"/>
  <c r="L168" i="9" s="1"/>
  <c r="L169" i="9" a="1"/>
  <c r="L169" i="9" s="1"/>
  <c r="L170" i="9" a="1"/>
  <c r="L170" i="9" s="1"/>
  <c r="L171" i="9" a="1"/>
  <c r="L171" i="9" s="1"/>
  <c r="L172" i="9" a="1"/>
  <c r="L172" i="9" s="1"/>
  <c r="L173" i="9" a="1"/>
  <c r="L173" i="9" s="1"/>
  <c r="L174" i="9" a="1"/>
  <c r="L174" i="9" s="1"/>
  <c r="L175" i="9" a="1"/>
  <c r="L175" i="9" s="1"/>
  <c r="L176" i="9" a="1"/>
  <c r="L176" i="9" s="1"/>
  <c r="L177" i="9" a="1"/>
  <c r="L177" i="9" s="1"/>
  <c r="L178" i="9" a="1"/>
  <c r="L178" i="9" s="1"/>
  <c r="L179" i="9" a="1"/>
  <c r="L179" i="9" s="1"/>
  <c r="L180" i="9" a="1"/>
  <c r="L180" i="9" s="1"/>
  <c r="L181" i="9" a="1"/>
  <c r="L181" i="9" s="1"/>
  <c r="L182" i="9" a="1"/>
  <c r="L182" i="9" s="1"/>
  <c r="L183" i="9" a="1"/>
  <c r="L183" i="9" s="1"/>
  <c r="L184" i="9" a="1"/>
  <c r="L184" i="9" s="1"/>
  <c r="L185" i="9" a="1"/>
  <c r="L185" i="9" s="1"/>
  <c r="L186" i="9" a="1"/>
  <c r="L186" i="9" s="1"/>
  <c r="L187" i="9" a="1"/>
  <c r="L187" i="9" s="1"/>
  <c r="L188" i="9" a="1"/>
  <c r="L188" i="9" s="1"/>
  <c r="L189" i="9" a="1"/>
  <c r="L189" i="9" s="1"/>
  <c r="L190" i="9" a="1"/>
  <c r="L190" i="9" s="1"/>
  <c r="L191" i="9" a="1"/>
  <c r="L191" i="9" s="1"/>
  <c r="L192" i="9" a="1"/>
  <c r="L192" i="9" s="1"/>
  <c r="L193" i="9" a="1"/>
  <c r="L193" i="9" s="1"/>
  <c r="L194" i="9" a="1"/>
  <c r="L194" i="9" s="1"/>
  <c r="L195" i="9" a="1"/>
  <c r="L195" i="9" s="1"/>
  <c r="L196" i="9" a="1"/>
  <c r="L196" i="9" s="1"/>
  <c r="L197" i="9" a="1"/>
  <c r="L197" i="9" s="1"/>
  <c r="L198" i="9" a="1"/>
  <c r="L198" i="9" s="1"/>
  <c r="L199" i="9" a="1"/>
  <c r="L199" i="9" s="1"/>
  <c r="L200" i="9" a="1"/>
  <c r="L200" i="9" s="1"/>
  <c r="L201" i="9" a="1"/>
  <c r="L201" i="9" s="1"/>
  <c r="L202" i="9" a="1"/>
  <c r="L202" i="9" s="1"/>
  <c r="L203" i="9" a="1"/>
  <c r="L203" i="9" s="1"/>
  <c r="L204" i="9" a="1"/>
  <c r="L204" i="9" s="1"/>
  <c r="L205" i="9" a="1"/>
  <c r="L205" i="9" s="1"/>
  <c r="L206" i="9" a="1"/>
  <c r="L206" i="9" s="1"/>
  <c r="L207" i="9" a="1"/>
  <c r="L207" i="9" s="1"/>
  <c r="L208" i="9" a="1"/>
  <c r="L208" i="9" s="1"/>
  <c r="L209" i="9" a="1"/>
  <c r="L209" i="9" s="1"/>
  <c r="L210" i="9" a="1"/>
  <c r="L210" i="9" s="1"/>
  <c r="L211" i="9" a="1"/>
  <c r="L211" i="9" s="1"/>
  <c r="L212" i="9" a="1"/>
  <c r="L212" i="9" s="1"/>
  <c r="L213" i="9" a="1"/>
  <c r="L213" i="9" s="1"/>
  <c r="L214" i="9" a="1"/>
  <c r="L214" i="9" s="1"/>
  <c r="L215" i="9" a="1"/>
  <c r="L215" i="9" s="1"/>
  <c r="L216" i="9" a="1"/>
  <c r="L216" i="9" s="1"/>
  <c r="L217" i="9" a="1"/>
  <c r="L217" i="9" s="1"/>
  <c r="L218" i="9" a="1"/>
  <c r="L218" i="9" s="1"/>
  <c r="L219" i="9" a="1"/>
  <c r="L219" i="9" s="1"/>
  <c r="L220" i="9" a="1"/>
  <c r="L220" i="9" s="1"/>
  <c r="L221" i="9" a="1"/>
  <c r="L221" i="9" s="1"/>
  <c r="L222" i="9" a="1"/>
  <c r="L222" i="9" s="1"/>
  <c r="L223" i="9" a="1"/>
  <c r="L223" i="9" s="1"/>
  <c r="L224" i="9" a="1"/>
  <c r="L224" i="9" s="1"/>
  <c r="L225" i="9" a="1"/>
  <c r="L225" i="9" s="1"/>
  <c r="L226" i="9" a="1"/>
  <c r="L226" i="9" s="1"/>
  <c r="L227" i="9" a="1"/>
  <c r="L227" i="9" s="1"/>
  <c r="L228" i="9" a="1"/>
  <c r="L228" i="9" s="1"/>
  <c r="L229" i="9" a="1"/>
  <c r="L229" i="9" s="1"/>
  <c r="L230" i="9" a="1"/>
  <c r="L230" i="9" s="1"/>
  <c r="L231" i="9" a="1"/>
  <c r="L231" i="9" s="1"/>
  <c r="L232" i="9" a="1"/>
  <c r="L232" i="9" s="1"/>
  <c r="L233" i="9" a="1"/>
  <c r="L233" i="9" s="1"/>
  <c r="L234" i="9" a="1"/>
  <c r="L234" i="9" s="1"/>
  <c r="L235" i="9" a="1"/>
  <c r="L235" i="9" s="1"/>
  <c r="L236" i="9" a="1"/>
  <c r="L236" i="9" s="1"/>
  <c r="L237" i="9" a="1"/>
  <c r="L237" i="9" s="1"/>
  <c r="L238" i="9" a="1"/>
  <c r="L238" i="9" s="1"/>
  <c r="L239" i="9" a="1"/>
  <c r="L239" i="9" s="1"/>
  <c r="L240" i="9" a="1"/>
  <c r="L240" i="9" s="1"/>
  <c r="L241" i="9" a="1"/>
  <c r="L241" i="9" s="1"/>
  <c r="L242" i="9" a="1"/>
  <c r="L242" i="9" s="1"/>
  <c r="L243" i="9" a="1"/>
  <c r="L243" i="9" s="1"/>
  <c r="L244" i="9" a="1"/>
  <c r="L244" i="9" s="1"/>
  <c r="L245" i="9" a="1"/>
  <c r="L245" i="9" s="1"/>
  <c r="L246" i="9" a="1"/>
  <c r="L246" i="9" s="1"/>
  <c r="L247" i="9" a="1"/>
  <c r="L247" i="9" s="1"/>
  <c r="L248" i="9" a="1"/>
  <c r="L248" i="9" s="1"/>
  <c r="L249" i="9" a="1"/>
  <c r="L249" i="9" s="1"/>
  <c r="L250" i="9" a="1"/>
  <c r="L250" i="9" s="1"/>
  <c r="L251" i="9" a="1"/>
  <c r="L251" i="9" s="1"/>
  <c r="L252" i="9" a="1"/>
  <c r="L252" i="9" s="1"/>
  <c r="L253" i="9" a="1"/>
  <c r="L253" i="9" s="1"/>
  <c r="L254" i="9" a="1"/>
  <c r="L254" i="9" s="1"/>
  <c r="L255" i="9" a="1"/>
  <c r="L255" i="9" s="1"/>
  <c r="L256" i="9" a="1"/>
  <c r="L256" i="9" s="1"/>
  <c r="L257" i="9" a="1"/>
  <c r="L257" i="9" s="1"/>
  <c r="L258" i="9" a="1"/>
  <c r="L258" i="9" s="1"/>
  <c r="L259" i="9" a="1"/>
  <c r="L259" i="9" s="1"/>
  <c r="L260" i="9" a="1"/>
  <c r="L260" i="9" s="1"/>
  <c r="L261" i="9" a="1"/>
  <c r="L261" i="9" s="1"/>
  <c r="L262" i="9" a="1"/>
  <c r="L262" i="9" s="1"/>
  <c r="L263" i="9" a="1"/>
  <c r="L263" i="9" s="1"/>
  <c r="L264" i="9" a="1"/>
  <c r="L264" i="9" s="1"/>
  <c r="L265" i="9" a="1"/>
  <c r="L265" i="9" s="1"/>
  <c r="L266" i="9" a="1"/>
  <c r="L266" i="9" s="1"/>
  <c r="L267" i="9" a="1"/>
  <c r="L267" i="9" s="1"/>
  <c r="L268" i="9" a="1"/>
  <c r="L268" i="9" s="1"/>
  <c r="L269" i="9" a="1"/>
  <c r="L269" i="9" s="1"/>
  <c r="L270" i="9" a="1"/>
  <c r="L270" i="9" s="1"/>
  <c r="L271" i="9" a="1"/>
  <c r="L271" i="9" s="1"/>
  <c r="L272" i="9" a="1"/>
  <c r="L272" i="9" s="1"/>
  <c r="L273" i="9" a="1"/>
  <c r="L273" i="9" s="1"/>
  <c r="L274" i="9" a="1"/>
  <c r="L274" i="9" s="1"/>
  <c r="L275" i="9" a="1"/>
  <c r="L275" i="9" s="1"/>
  <c r="L276" i="9" a="1"/>
  <c r="L276" i="9" s="1"/>
  <c r="L277" i="9" a="1"/>
  <c r="L277" i="9" s="1"/>
  <c r="L278" i="9" a="1"/>
  <c r="L278" i="9" s="1"/>
  <c r="L279" i="9" a="1"/>
  <c r="L279" i="9" s="1"/>
  <c r="L280" i="9" a="1"/>
  <c r="L280" i="9" s="1"/>
  <c r="L281" i="9" a="1"/>
  <c r="L281" i="9" s="1"/>
  <c r="L282" i="9" a="1"/>
  <c r="L282" i="9" s="1"/>
  <c r="L283" i="9" a="1"/>
  <c r="L283" i="9" s="1"/>
  <c r="L284" i="9" a="1"/>
  <c r="L284" i="9" s="1"/>
  <c r="L285" i="9" a="1"/>
  <c r="L285" i="9" s="1"/>
  <c r="L286" i="9" a="1"/>
  <c r="L286" i="9" s="1"/>
  <c r="L287" i="9" a="1"/>
  <c r="L287" i="9" s="1"/>
  <c r="L288" i="9" a="1"/>
  <c r="L288" i="9" s="1"/>
  <c r="L289" i="9" a="1"/>
  <c r="L289" i="9" s="1"/>
  <c r="L290" i="9" a="1"/>
  <c r="L290" i="9" s="1"/>
  <c r="L291" i="9" a="1"/>
  <c r="L291" i="9" s="1"/>
  <c r="L292" i="9" a="1"/>
  <c r="L292" i="9" s="1"/>
  <c r="L293" i="9" a="1"/>
  <c r="L293" i="9" s="1"/>
  <c r="L294" i="9" a="1"/>
  <c r="L294" i="9" s="1"/>
  <c r="L295" i="9" a="1"/>
  <c r="L295" i="9" s="1"/>
  <c r="L296" i="9" a="1"/>
  <c r="L296" i="9" s="1"/>
  <c r="L297" i="9" a="1"/>
  <c r="L297" i="9" s="1"/>
  <c r="L298" i="9" a="1"/>
  <c r="L298" i="9" s="1"/>
  <c r="L299" i="9" a="1"/>
  <c r="L299" i="9" s="1"/>
  <c r="L300" i="9" a="1"/>
  <c r="L300" i="9" s="1"/>
  <c r="L301" i="9" a="1"/>
  <c r="L301" i="9" s="1"/>
  <c r="L302" i="9" a="1"/>
  <c r="L302" i="9" s="1"/>
  <c r="L303" i="9" a="1"/>
  <c r="L303" i="9" s="1"/>
  <c r="L304" i="9" a="1"/>
  <c r="L304" i="9" s="1"/>
  <c r="L305" i="9" a="1"/>
  <c r="L305" i="9" s="1"/>
  <c r="L306" i="9" a="1"/>
  <c r="L306" i="9" s="1"/>
  <c r="L307" i="9" a="1"/>
  <c r="L307" i="9" s="1"/>
  <c r="L308" i="9" a="1"/>
  <c r="L308" i="9" s="1"/>
  <c r="L309" i="9" a="1"/>
  <c r="L309" i="9" s="1"/>
  <c r="L310" i="9" a="1"/>
  <c r="L310" i="9" s="1"/>
  <c r="L311" i="9" a="1"/>
  <c r="L311" i="9" s="1"/>
  <c r="L312" i="9" a="1"/>
  <c r="L312" i="9" s="1"/>
  <c r="L313" i="9" a="1"/>
  <c r="L313" i="9" s="1"/>
  <c r="L314" i="9" a="1"/>
  <c r="L314" i="9" s="1"/>
  <c r="L315" i="9" a="1"/>
  <c r="L315" i="9" s="1"/>
  <c r="L316" i="9" a="1"/>
  <c r="L316" i="9" s="1"/>
  <c r="L317" i="9" a="1"/>
  <c r="L317" i="9" s="1"/>
  <c r="L318" i="9" a="1"/>
  <c r="L318" i="9" s="1"/>
  <c r="L319" i="9" a="1"/>
  <c r="L319" i="9" s="1"/>
  <c r="L320" i="9" a="1"/>
  <c r="L320" i="9" s="1"/>
  <c r="L321" i="9" a="1"/>
  <c r="L321" i="9" s="1"/>
  <c r="L322" i="9" a="1"/>
  <c r="L322" i="9" s="1"/>
  <c r="L323" i="9" a="1"/>
  <c r="L323" i="9" s="1"/>
  <c r="L324" i="9" a="1"/>
  <c r="L324" i="9" s="1"/>
  <c r="L325" i="9" a="1"/>
  <c r="L325" i="9" s="1"/>
  <c r="L326" i="9" a="1"/>
  <c r="L326" i="9" s="1"/>
  <c r="L327" i="9" a="1"/>
  <c r="L327" i="9" s="1"/>
  <c r="L328" i="9" a="1"/>
  <c r="L328" i="9" s="1"/>
  <c r="L329" i="9" a="1"/>
  <c r="L329" i="9" s="1"/>
  <c r="L330" i="9" a="1"/>
  <c r="L330" i="9" s="1"/>
  <c r="L331" i="9" a="1"/>
  <c r="L331" i="9" s="1"/>
  <c r="L332" i="9" a="1"/>
  <c r="L332" i="9" s="1"/>
  <c r="L333" i="9" a="1"/>
  <c r="L333" i="9" s="1"/>
  <c r="L334" i="9" a="1"/>
  <c r="L334" i="9" s="1"/>
  <c r="L335" i="9" a="1"/>
  <c r="L335" i="9" s="1"/>
  <c r="L336" i="9" a="1"/>
  <c r="L336" i="9" s="1"/>
  <c r="L337" i="9" a="1"/>
  <c r="L337" i="9" s="1"/>
  <c r="L338" i="9" a="1"/>
  <c r="L338" i="9" s="1"/>
  <c r="L339" i="9" a="1"/>
  <c r="L339" i="9" s="1"/>
  <c r="L340" i="9" a="1"/>
  <c r="L340" i="9" s="1"/>
  <c r="L341" i="9" a="1"/>
  <c r="L341" i="9" s="1"/>
  <c r="L342" i="9" a="1"/>
  <c r="L342" i="9" s="1"/>
  <c r="L343" i="9" a="1"/>
  <c r="L343" i="9" s="1"/>
  <c r="L344" i="9" a="1"/>
  <c r="L344" i="9" s="1"/>
  <c r="L345" i="9" a="1"/>
  <c r="L345" i="9" s="1"/>
  <c r="L346" i="9" a="1"/>
  <c r="L346" i="9" s="1"/>
  <c r="L347" i="9" a="1"/>
  <c r="L347" i="9" s="1"/>
  <c r="L348" i="9" a="1"/>
  <c r="L348" i="9" s="1"/>
  <c r="L349" i="9" a="1"/>
  <c r="L349" i="9" s="1"/>
  <c r="L350" i="9" a="1"/>
  <c r="L350" i="9" s="1"/>
  <c r="L351" i="9" a="1"/>
  <c r="L351" i="9" s="1"/>
  <c r="L352" i="9" a="1"/>
  <c r="L352" i="9" s="1"/>
  <c r="L353" i="9" a="1"/>
  <c r="L353" i="9" s="1"/>
  <c r="L354" i="9" a="1"/>
  <c r="L354" i="9" s="1"/>
  <c r="L355" i="9" a="1"/>
  <c r="L355" i="9" s="1"/>
  <c r="L356" i="9" a="1"/>
  <c r="L356" i="9" s="1"/>
  <c r="L357" i="9" a="1"/>
  <c r="L357" i="9" s="1"/>
  <c r="L358" i="9" a="1"/>
  <c r="L358" i="9" s="1"/>
  <c r="L359" i="9" a="1"/>
  <c r="L359" i="9" s="1"/>
  <c r="L360" i="9" a="1"/>
  <c r="L360" i="9" s="1"/>
  <c r="L361" i="9" a="1"/>
  <c r="L361" i="9" s="1"/>
  <c r="L362" i="9" a="1"/>
  <c r="L362" i="9" s="1"/>
  <c r="L363" i="9" a="1"/>
  <c r="L363" i="9" s="1"/>
  <c r="L364" i="9" a="1"/>
  <c r="L364" i="9" s="1"/>
  <c r="L365" i="9" a="1"/>
  <c r="L365" i="9" s="1"/>
  <c r="L366" i="9" a="1"/>
  <c r="L366" i="9" s="1"/>
  <c r="L367" i="9" a="1"/>
  <c r="L367" i="9" s="1"/>
  <c r="L368" i="9" a="1"/>
  <c r="L368" i="9" s="1"/>
  <c r="L369" i="9" a="1"/>
  <c r="L369" i="9" s="1"/>
  <c r="L370" i="9" a="1"/>
  <c r="L370" i="9" s="1"/>
  <c r="L371" i="9" a="1"/>
  <c r="L371" i="9" s="1"/>
  <c r="L372" i="9" a="1"/>
  <c r="L372" i="9" s="1"/>
  <c r="L373" i="9" a="1"/>
  <c r="L373" i="9" s="1"/>
  <c r="L374" i="9" a="1"/>
  <c r="L374" i="9" s="1"/>
  <c r="L375" i="9" a="1"/>
  <c r="L375" i="9" s="1"/>
  <c r="L376" i="9" a="1"/>
  <c r="L376" i="9" s="1"/>
  <c r="L377" i="9" a="1"/>
  <c r="L377" i="9" s="1"/>
  <c r="L378" i="9" a="1"/>
  <c r="L378" i="9" s="1"/>
  <c r="L379" i="9" a="1"/>
  <c r="L379" i="9" s="1"/>
  <c r="L380" i="9" a="1"/>
  <c r="L380" i="9" s="1"/>
  <c r="L381" i="9" a="1"/>
  <c r="L381" i="9" s="1"/>
  <c r="L382" i="9" a="1"/>
  <c r="L382" i="9" s="1"/>
  <c r="L383" i="9" a="1"/>
  <c r="L383" i="9" s="1"/>
  <c r="L384" i="9" a="1"/>
  <c r="L384" i="9" s="1"/>
  <c r="L385" i="9" a="1"/>
  <c r="L385" i="9" s="1"/>
  <c r="L386" i="9" a="1"/>
  <c r="L386" i="9" s="1"/>
  <c r="L387" i="9" a="1"/>
  <c r="L387" i="9" s="1"/>
  <c r="L388" i="9" a="1"/>
  <c r="L388" i="9" s="1"/>
  <c r="L389" i="9" a="1"/>
  <c r="L389" i="9" s="1"/>
  <c r="L390" i="9" a="1"/>
  <c r="L390" i="9" s="1"/>
  <c r="L391" i="9" a="1"/>
  <c r="L391" i="9" s="1"/>
  <c r="L392" i="9" a="1"/>
  <c r="L392" i="9" s="1"/>
  <c r="L393" i="9" a="1"/>
  <c r="L393" i="9" s="1"/>
  <c r="L394" i="9" a="1"/>
  <c r="L394" i="9" s="1"/>
  <c r="L395" i="9" a="1"/>
  <c r="L395" i="9" s="1"/>
  <c r="L396" i="9" a="1"/>
  <c r="L396" i="9" s="1"/>
  <c r="L397" i="9" a="1"/>
  <c r="L397" i="9" s="1"/>
  <c r="L398" i="9" a="1"/>
  <c r="L398" i="9" s="1"/>
  <c r="L399" i="9" a="1"/>
  <c r="L399" i="9" s="1"/>
  <c r="L400" i="9" a="1"/>
  <c r="L400" i="9" s="1"/>
  <c r="L401" i="9" a="1"/>
  <c r="L401" i="9" s="1"/>
  <c r="L402" i="9" a="1"/>
  <c r="L402" i="9" s="1"/>
  <c r="L403" i="9" a="1"/>
  <c r="L403" i="9" s="1"/>
  <c r="L404" i="9" a="1"/>
  <c r="L404" i="9" s="1"/>
  <c r="L405" i="9" a="1"/>
  <c r="L405" i="9" s="1"/>
  <c r="L406" i="9" a="1"/>
  <c r="L406" i="9" s="1"/>
  <c r="L407" i="9" a="1"/>
  <c r="L407" i="9" s="1"/>
  <c r="L408" i="9" a="1"/>
  <c r="L408" i="9" s="1"/>
  <c r="L409" i="9" a="1"/>
  <c r="L409" i="9" s="1"/>
  <c r="L410" i="9" a="1"/>
  <c r="L410" i="9" s="1"/>
  <c r="L411" i="9" a="1"/>
  <c r="L411" i="9" s="1"/>
  <c r="L412" i="9" a="1"/>
  <c r="L412" i="9" s="1"/>
  <c r="L413" i="9" a="1"/>
  <c r="L413" i="9" s="1"/>
  <c r="L414" i="9" a="1"/>
  <c r="L414" i="9" s="1"/>
  <c r="L415" i="9" a="1"/>
  <c r="L415" i="9" s="1"/>
  <c r="L416" i="9" a="1"/>
  <c r="L416" i="9" s="1"/>
  <c r="L417" i="9" a="1"/>
  <c r="L417" i="9" s="1"/>
  <c r="L418" i="9" a="1"/>
  <c r="L418" i="9" s="1"/>
  <c r="L419" i="9" a="1"/>
  <c r="L419" i="9" s="1"/>
  <c r="L420" i="9" a="1"/>
  <c r="L420" i="9" s="1"/>
  <c r="L421" i="9" a="1"/>
  <c r="L421" i="9" s="1"/>
  <c r="L422" i="9" a="1"/>
  <c r="L422" i="9" s="1"/>
  <c r="L423" i="9" a="1"/>
  <c r="L423" i="9" s="1"/>
  <c r="L424" i="9" a="1"/>
  <c r="L424" i="9" s="1"/>
  <c r="L425" i="9" a="1"/>
  <c r="L425" i="9" s="1"/>
  <c r="L426" i="9" a="1"/>
  <c r="L426" i="9" s="1"/>
  <c r="L427" i="9" a="1"/>
  <c r="L427" i="9" s="1"/>
  <c r="L428" i="9" a="1"/>
  <c r="L428" i="9" s="1"/>
  <c r="L429" i="9" a="1"/>
  <c r="L429" i="9" s="1"/>
  <c r="L430" i="9" a="1"/>
  <c r="L430" i="9" s="1"/>
  <c r="L431" i="9" a="1"/>
  <c r="L431" i="9" s="1"/>
  <c r="L432" i="9" a="1"/>
  <c r="L432" i="9" s="1"/>
  <c r="L433" i="9" a="1"/>
  <c r="L433" i="9" s="1"/>
  <c r="L434" i="9" a="1"/>
  <c r="L434" i="9" s="1"/>
  <c r="L435" i="9" a="1"/>
  <c r="L435" i="9" s="1"/>
  <c r="L436" i="9" a="1"/>
  <c r="L436" i="9" s="1"/>
  <c r="L437" i="9" a="1"/>
  <c r="L437" i="9" s="1"/>
  <c r="L438" i="9" a="1"/>
  <c r="L438" i="9" s="1"/>
  <c r="L439" i="9" a="1"/>
  <c r="L439" i="9" s="1"/>
  <c r="L440" i="9" a="1"/>
  <c r="L440" i="9" s="1"/>
  <c r="L441" i="9" a="1"/>
  <c r="L441" i="9" s="1"/>
  <c r="L442" i="9" a="1"/>
  <c r="L442" i="9" s="1"/>
  <c r="L443" i="9" a="1"/>
  <c r="L443" i="9" s="1"/>
  <c r="L444" i="9" a="1"/>
  <c r="L444" i="9" s="1"/>
  <c r="L445" i="9" a="1"/>
  <c r="L445" i="9" s="1"/>
  <c r="L446" i="9" a="1"/>
  <c r="L446" i="9" s="1"/>
  <c r="L447" i="9" a="1"/>
  <c r="L447" i="9" s="1"/>
  <c r="L448" i="9" a="1"/>
  <c r="L448" i="9" s="1"/>
  <c r="L449" i="9" a="1"/>
  <c r="L449" i="9" s="1"/>
  <c r="L450" i="9" a="1"/>
  <c r="L450" i="9" s="1"/>
  <c r="L451" i="9" a="1"/>
  <c r="L451" i="9" s="1"/>
  <c r="L452" i="9" a="1"/>
  <c r="L452" i="9" s="1"/>
  <c r="L453" i="9" a="1"/>
  <c r="L453" i="9" s="1"/>
  <c r="L454" i="9" a="1"/>
  <c r="L454" i="9" s="1"/>
  <c r="L455" i="9" a="1"/>
  <c r="L455" i="9" s="1"/>
  <c r="L456" i="9" a="1"/>
  <c r="L456" i="9" s="1"/>
  <c r="L457" i="9" a="1"/>
  <c r="L457" i="9" s="1"/>
  <c r="L458" i="9" a="1"/>
  <c r="L458" i="9" s="1"/>
  <c r="L459" i="9" a="1"/>
  <c r="L459" i="9" s="1"/>
  <c r="L460" i="9" a="1"/>
  <c r="L460" i="9" s="1"/>
  <c r="L461" i="9" a="1"/>
  <c r="L461" i="9" s="1"/>
  <c r="L462" i="9" a="1"/>
  <c r="L462" i="9" s="1"/>
  <c r="L463" i="9" a="1"/>
  <c r="L463" i="9" s="1"/>
  <c r="L464" i="9" a="1"/>
  <c r="L464" i="9" s="1"/>
  <c r="L465" i="9" a="1"/>
  <c r="L465" i="9" s="1"/>
  <c r="L466" i="9" a="1"/>
  <c r="L466" i="9" s="1"/>
  <c r="L467" i="9" a="1"/>
  <c r="L467" i="9" s="1"/>
  <c r="L468" i="9" a="1"/>
  <c r="L468" i="9" s="1"/>
  <c r="L469" i="9" a="1"/>
  <c r="L469" i="9" s="1"/>
  <c r="L470" i="9" a="1"/>
  <c r="L470" i="9" s="1"/>
  <c r="L471" i="9" a="1"/>
  <c r="L471" i="9" s="1"/>
  <c r="L472" i="9" a="1"/>
  <c r="L472" i="9" s="1"/>
  <c r="L473" i="9" a="1"/>
  <c r="L473" i="9" s="1"/>
  <c r="L474" i="9" a="1"/>
  <c r="L474" i="9" s="1"/>
  <c r="L475" i="9" a="1"/>
  <c r="L475" i="9" s="1"/>
  <c r="L476" i="9" a="1"/>
  <c r="L476" i="9" s="1"/>
  <c r="L477" i="9" a="1"/>
  <c r="L477" i="9" s="1"/>
  <c r="L478" i="9" a="1"/>
  <c r="L478" i="9" s="1"/>
  <c r="L479" i="9" a="1"/>
  <c r="L479" i="9" s="1"/>
  <c r="L480" i="9" a="1"/>
  <c r="L480" i="9" s="1"/>
  <c r="L481" i="9" a="1"/>
  <c r="L481" i="9" s="1"/>
  <c r="L482" i="9" a="1"/>
  <c r="L482" i="9" s="1"/>
  <c r="L483" i="9" a="1"/>
  <c r="L483" i="9" s="1"/>
  <c r="L484" i="9" a="1"/>
  <c r="L484" i="9" s="1"/>
  <c r="L485" i="9" a="1"/>
  <c r="L485" i="9" s="1"/>
  <c r="L486" i="9" a="1"/>
  <c r="L486" i="9" s="1"/>
  <c r="L487" i="9" a="1"/>
  <c r="L487" i="9" s="1"/>
  <c r="L488" i="9" a="1"/>
  <c r="L488" i="9" s="1"/>
  <c r="L489" i="9" a="1"/>
  <c r="L489" i="9" s="1"/>
  <c r="L490" i="9" a="1"/>
  <c r="L490" i="9" s="1"/>
  <c r="L491" i="9" a="1"/>
  <c r="L491" i="9" s="1"/>
  <c r="L492" i="9" a="1"/>
  <c r="L492" i="9" s="1"/>
  <c r="L493" i="9" a="1"/>
  <c r="L493" i="9" s="1"/>
  <c r="L494" i="9" a="1"/>
  <c r="L494" i="9" s="1"/>
  <c r="L495" i="9" a="1"/>
  <c r="L495" i="9" s="1"/>
  <c r="L496" i="9" a="1"/>
  <c r="L496" i="9" s="1"/>
  <c r="L497" i="9" a="1"/>
  <c r="L497" i="9" s="1"/>
  <c r="L498" i="9" a="1"/>
  <c r="L498" i="9" s="1"/>
  <c r="L499" i="9" a="1"/>
  <c r="L499" i="9" s="1"/>
  <c r="L500" i="9" a="1"/>
  <c r="L500" i="9" s="1"/>
  <c r="L501" i="9" a="1"/>
  <c r="L501" i="9" s="1"/>
  <c r="L502" i="9" a="1"/>
  <c r="L502" i="9" s="1"/>
  <c r="L503" i="9" a="1"/>
  <c r="L503" i="9" s="1"/>
  <c r="L504" i="9" a="1"/>
  <c r="L504" i="9" s="1"/>
  <c r="L505" i="9" a="1"/>
  <c r="L505" i="9" s="1"/>
  <c r="L506" i="9" a="1"/>
  <c r="L506" i="9" s="1"/>
  <c r="L507" i="9" a="1"/>
  <c r="L507" i="9" s="1"/>
  <c r="L508" i="9" a="1"/>
  <c r="L508" i="9" s="1"/>
  <c r="L509" i="9" a="1"/>
  <c r="L509" i="9" s="1"/>
  <c r="L510" i="9" a="1"/>
  <c r="L510" i="9" s="1"/>
  <c r="L511" i="9" a="1"/>
  <c r="L511" i="9" s="1"/>
  <c r="L512" i="9" a="1"/>
  <c r="L512" i="9" s="1"/>
  <c r="L513" i="9" a="1"/>
  <c r="L513" i="9" s="1"/>
  <c r="L514" i="9" a="1"/>
  <c r="L514" i="9" s="1"/>
  <c r="L515" i="9" a="1"/>
  <c r="L515" i="9" s="1"/>
  <c r="L516" i="9" a="1"/>
  <c r="L516" i="9" s="1"/>
  <c r="L517" i="9" a="1"/>
  <c r="L517" i="9" s="1"/>
  <c r="L518" i="9" a="1"/>
  <c r="L518" i="9" s="1"/>
  <c r="L519" i="9" a="1"/>
  <c r="L519" i="9" s="1"/>
  <c r="L520" i="9" a="1"/>
  <c r="L520" i="9" s="1"/>
  <c r="L521" i="9" a="1"/>
  <c r="L521" i="9" s="1"/>
  <c r="L522" i="9" a="1"/>
  <c r="L522" i="9" s="1"/>
  <c r="L523" i="9" a="1"/>
  <c r="L523" i="9" s="1"/>
  <c r="L524" i="9" a="1"/>
  <c r="L524" i="9" s="1"/>
  <c r="L525" i="9" a="1"/>
  <c r="L525" i="9" s="1"/>
  <c r="L526" i="9" a="1"/>
  <c r="L526" i="9" s="1"/>
  <c r="L527" i="9" a="1"/>
  <c r="L527" i="9" s="1"/>
  <c r="L528" i="9" a="1"/>
  <c r="L528" i="9" s="1"/>
  <c r="L529" i="9" a="1"/>
  <c r="L529" i="9" s="1"/>
  <c r="L530" i="9" a="1"/>
  <c r="L530" i="9" s="1"/>
  <c r="L531" i="9" a="1"/>
  <c r="L531" i="9" s="1"/>
  <c r="L532" i="9" a="1"/>
  <c r="L532" i="9" s="1"/>
  <c r="L533" i="9" a="1"/>
  <c r="L533" i="9" s="1"/>
  <c r="L534" i="9" a="1"/>
  <c r="L534" i="9" s="1"/>
  <c r="L535" i="9" a="1"/>
  <c r="L535" i="9" s="1"/>
  <c r="L536" i="9" a="1"/>
  <c r="L536" i="9" s="1"/>
  <c r="L537" i="9" a="1"/>
  <c r="L537" i="9" s="1"/>
  <c r="L538" i="9" a="1"/>
  <c r="L538" i="9" s="1"/>
  <c r="L539" i="9" a="1"/>
  <c r="L539" i="9" s="1"/>
  <c r="L540" i="9" a="1"/>
  <c r="L540" i="9" s="1"/>
  <c r="L541" i="9" a="1"/>
  <c r="L541" i="9" s="1"/>
  <c r="L542" i="9" a="1"/>
  <c r="L542" i="9" s="1"/>
  <c r="L543" i="9" a="1"/>
  <c r="L543" i="9" s="1"/>
  <c r="L544" i="9" a="1"/>
  <c r="L544" i="9" s="1"/>
  <c r="L545" i="9" a="1"/>
  <c r="L545" i="9" s="1"/>
  <c r="L546" i="9" a="1"/>
  <c r="L546" i="9" s="1"/>
  <c r="L547" i="9" a="1"/>
  <c r="L547" i="9" s="1"/>
  <c r="L548" i="9" a="1"/>
  <c r="L548" i="9" s="1"/>
  <c r="L549" i="9" a="1"/>
  <c r="L549" i="9" s="1"/>
  <c r="L550" i="9" a="1"/>
  <c r="L550" i="9" s="1"/>
  <c r="L551" i="9" a="1"/>
  <c r="L551" i="9" s="1"/>
  <c r="L552" i="9" a="1"/>
  <c r="L552" i="9" s="1"/>
  <c r="L553" i="9" a="1"/>
  <c r="L553" i="9" s="1"/>
  <c r="L554" i="9" a="1"/>
  <c r="L554" i="9" s="1"/>
  <c r="L555" i="9" a="1"/>
  <c r="L555" i="9" s="1"/>
  <c r="L556" i="9" a="1"/>
  <c r="L556" i="9" s="1"/>
  <c r="L557" i="9" a="1"/>
  <c r="L557" i="9" s="1"/>
  <c r="L558" i="9" a="1"/>
  <c r="L558" i="9" s="1"/>
  <c r="L559" i="9" a="1"/>
  <c r="L559" i="9" s="1"/>
  <c r="L560" i="9" a="1"/>
  <c r="L560" i="9" s="1"/>
  <c r="L561" i="9" a="1"/>
  <c r="L561" i="9" s="1"/>
  <c r="L562" i="9" a="1"/>
  <c r="L562" i="9" s="1"/>
  <c r="L563" i="9" a="1"/>
  <c r="L563" i="9" s="1"/>
  <c r="L564" i="9" a="1"/>
  <c r="L564" i="9" s="1"/>
  <c r="L565" i="9" a="1"/>
  <c r="L565" i="9" s="1"/>
  <c r="L566" i="9" a="1"/>
  <c r="L566" i="9"/>
  <c r="L567" i="9" a="1"/>
  <c r="L567" i="9" s="1"/>
  <c r="L568" i="9" a="1"/>
  <c r="L568" i="9" s="1"/>
  <c r="L569" i="9" a="1"/>
  <c r="L569" i="9" s="1"/>
  <c r="L570" i="9" a="1"/>
  <c r="L570" i="9" s="1"/>
  <c r="L571" i="9" a="1"/>
  <c r="L571" i="9" s="1"/>
  <c r="L572" i="9" a="1"/>
  <c r="L572" i="9" s="1"/>
  <c r="L573" i="9" a="1"/>
  <c r="L573" i="9" s="1"/>
  <c r="L574" i="9" a="1"/>
  <c r="L574" i="9" s="1"/>
  <c r="L575" i="9" a="1"/>
  <c r="L575" i="9" s="1"/>
  <c r="L576" i="9" a="1"/>
  <c r="L576" i="9" s="1"/>
  <c r="L577" i="9" a="1"/>
  <c r="L577" i="9" s="1"/>
  <c r="L578" i="9" a="1"/>
  <c r="L578" i="9" s="1"/>
  <c r="L579" i="9" a="1"/>
  <c r="L579" i="9" s="1"/>
  <c r="L580" i="9" a="1"/>
  <c r="L580" i="9" s="1"/>
  <c r="L581" i="9" a="1"/>
  <c r="L581" i="9" s="1"/>
  <c r="L582" i="9" a="1"/>
  <c r="L582" i="9" s="1"/>
  <c r="L583" i="9" a="1"/>
  <c r="L583" i="9" s="1"/>
  <c r="L584" i="9" a="1"/>
  <c r="L584" i="9" s="1"/>
  <c r="L585" i="9" a="1"/>
  <c r="L585" i="9" s="1"/>
  <c r="L586" i="9" a="1"/>
  <c r="L586" i="9" s="1"/>
  <c r="L587" i="9" a="1"/>
  <c r="L587" i="9" s="1"/>
  <c r="L588" i="9" a="1"/>
  <c r="L588" i="9" s="1"/>
  <c r="L589" i="9" a="1"/>
  <c r="L589" i="9" s="1"/>
  <c r="L590" i="9" a="1"/>
  <c r="L590" i="9" s="1"/>
  <c r="L591" i="9" a="1"/>
  <c r="L591" i="9" s="1"/>
  <c r="L592" i="9" a="1"/>
  <c r="L592" i="9" s="1"/>
  <c r="L593" i="9" a="1"/>
  <c r="L593" i="9" s="1"/>
  <c r="L594" i="9" a="1"/>
  <c r="L594" i="9" s="1"/>
  <c r="L595" i="9" a="1"/>
  <c r="L595" i="9" s="1"/>
  <c r="L596" i="9" a="1"/>
  <c r="L596" i="9" s="1"/>
  <c r="L597" i="9" a="1"/>
  <c r="L597" i="9" s="1"/>
  <c r="L598" i="9" a="1"/>
  <c r="L598" i="9" s="1"/>
  <c r="L599" i="9" a="1"/>
  <c r="L599" i="9" s="1"/>
  <c r="L600" i="9" a="1"/>
  <c r="L600" i="9" s="1"/>
  <c r="L601" i="9" a="1"/>
  <c r="L601" i="9" s="1"/>
  <c r="L602" i="9" a="1"/>
  <c r="L602" i="9" s="1"/>
  <c r="L603" i="9" a="1"/>
  <c r="L603" i="9" s="1"/>
  <c r="L604" i="9" a="1"/>
  <c r="L604" i="9" s="1"/>
  <c r="L605" i="9" a="1"/>
  <c r="L605" i="9" s="1"/>
  <c r="L606" i="9" a="1"/>
  <c r="L606" i="9" s="1"/>
  <c r="L607" i="9" a="1"/>
  <c r="L607" i="9" s="1"/>
  <c r="L608" i="9" a="1"/>
  <c r="L608" i="9" s="1"/>
  <c r="L609" i="9" a="1"/>
  <c r="L609" i="9" s="1"/>
  <c r="L610" i="9" a="1"/>
  <c r="L610" i="9" s="1"/>
  <c r="L611" i="9" a="1"/>
  <c r="L611" i="9" s="1"/>
  <c r="L612" i="9" a="1"/>
  <c r="L612" i="9" s="1"/>
  <c r="L613" i="9" a="1"/>
  <c r="L613" i="9" s="1"/>
  <c r="L614" i="9" a="1"/>
  <c r="L614" i="9" s="1"/>
  <c r="L615" i="9" a="1"/>
  <c r="L615" i="9" s="1"/>
  <c r="L616" i="9" a="1"/>
  <c r="L616" i="9" s="1"/>
  <c r="L617" i="9" a="1"/>
  <c r="L617" i="9" s="1"/>
  <c r="L618" i="9" a="1"/>
  <c r="L618" i="9" s="1"/>
  <c r="L619" i="9" a="1"/>
  <c r="L619" i="9" s="1"/>
  <c r="L620" i="9" a="1"/>
  <c r="L620" i="9" s="1"/>
  <c r="L621" i="9" a="1"/>
  <c r="L621" i="9" s="1"/>
  <c r="L622" i="9" a="1"/>
  <c r="L622" i="9" s="1"/>
  <c r="L623" i="9" a="1"/>
  <c r="L623" i="9" s="1"/>
  <c r="L624" i="9" a="1"/>
  <c r="L624" i="9" s="1"/>
  <c r="L625" i="9" a="1"/>
  <c r="L625" i="9" s="1"/>
  <c r="L626" i="9" a="1"/>
  <c r="L626" i="9" s="1"/>
  <c r="L627" i="9" a="1"/>
  <c r="L627" i="9" s="1"/>
  <c r="L628" i="9" a="1"/>
  <c r="L628" i="9" s="1"/>
  <c r="L629" i="9" a="1"/>
  <c r="L629" i="9" s="1"/>
  <c r="L630" i="9" a="1"/>
  <c r="L630" i="9" s="1"/>
  <c r="L631" i="9" a="1"/>
  <c r="L631" i="9" s="1"/>
  <c r="L632" i="9" a="1"/>
  <c r="L632" i="9" s="1"/>
  <c r="L633" i="9" a="1"/>
  <c r="L633" i="9" s="1"/>
  <c r="L634" i="9" a="1"/>
  <c r="L634" i="9" s="1"/>
  <c r="L635" i="9" a="1"/>
  <c r="L635" i="9" s="1"/>
  <c r="L636" i="9" a="1"/>
  <c r="L636" i="9" s="1"/>
  <c r="L637" i="9" a="1"/>
  <c r="L637" i="9" s="1"/>
  <c r="L638" i="9" a="1"/>
  <c r="L638" i="9" s="1"/>
  <c r="L639" i="9" a="1"/>
  <c r="L639" i="9" s="1"/>
  <c r="L640" i="9" a="1"/>
  <c r="L640" i="9" s="1"/>
  <c r="L641" i="9" a="1"/>
  <c r="L641" i="9" s="1"/>
  <c r="L642" i="9" a="1"/>
  <c r="L642" i="9" s="1"/>
  <c r="L643" i="9" a="1"/>
  <c r="L643" i="9" s="1"/>
  <c r="L644" i="9" a="1"/>
  <c r="L644" i="9" s="1"/>
  <c r="L645" i="9" a="1"/>
  <c r="L645" i="9" s="1"/>
  <c r="L646" i="9" a="1"/>
  <c r="L646" i="9" s="1"/>
  <c r="L647" i="9" a="1"/>
  <c r="L647" i="9" s="1"/>
  <c r="L648" i="9" a="1"/>
  <c r="L648" i="9" s="1"/>
  <c r="L649" i="9" a="1"/>
  <c r="L649" i="9" s="1"/>
  <c r="L650" i="9" a="1"/>
  <c r="L650" i="9" s="1"/>
  <c r="L651" i="9" a="1"/>
  <c r="L651" i="9" s="1"/>
  <c r="L652" i="9" a="1"/>
  <c r="L652" i="9" s="1"/>
  <c r="L653" i="9" a="1"/>
  <c r="L653" i="9" s="1"/>
  <c r="L654" i="9" a="1"/>
  <c r="L654" i="9" s="1"/>
  <c r="L655" i="9" a="1"/>
  <c r="L655" i="9" s="1"/>
  <c r="L656" i="9" a="1"/>
  <c r="L656" i="9" s="1"/>
  <c r="L657" i="9" a="1"/>
  <c r="L657" i="9" s="1"/>
  <c r="L658" i="9" a="1"/>
  <c r="L658" i="9" s="1"/>
  <c r="L659" i="9" a="1"/>
  <c r="L659" i="9" s="1"/>
  <c r="L660" i="9" a="1"/>
  <c r="L660" i="9" s="1"/>
  <c r="L661" i="9" a="1"/>
  <c r="L661" i="9" s="1"/>
  <c r="L662" i="9" a="1"/>
  <c r="L662" i="9" s="1"/>
  <c r="L663" i="9" a="1"/>
  <c r="L663" i="9" s="1"/>
  <c r="L664" i="9" a="1"/>
  <c r="L664" i="9" s="1"/>
  <c r="L665" i="9" a="1"/>
  <c r="L665" i="9" s="1"/>
  <c r="L666" i="9" a="1"/>
  <c r="L666" i="9" s="1"/>
  <c r="L667" i="9" a="1"/>
  <c r="L667" i="9" s="1"/>
  <c r="L668" i="9" a="1"/>
  <c r="L668" i="9" s="1"/>
  <c r="L669" i="9" a="1"/>
  <c r="L669" i="9" s="1"/>
  <c r="L670" i="9" a="1"/>
  <c r="L670" i="9" s="1"/>
  <c r="L671" i="9" a="1"/>
  <c r="L671" i="9" s="1"/>
  <c r="L672" i="9" a="1"/>
  <c r="L672" i="9" s="1"/>
  <c r="L673" i="9" a="1"/>
  <c r="L673" i="9" s="1"/>
  <c r="L674" i="9" a="1"/>
  <c r="L674" i="9" s="1"/>
  <c r="L675" i="9" a="1"/>
  <c r="L675" i="9" s="1"/>
  <c r="L676" i="9" a="1"/>
  <c r="L676" i="9" s="1"/>
  <c r="L677" i="9" a="1"/>
  <c r="L677" i="9" s="1"/>
  <c r="L678" i="9" a="1"/>
  <c r="L678" i="9" s="1"/>
  <c r="L679" i="9" a="1"/>
  <c r="L679" i="9" s="1"/>
  <c r="L680" i="9" a="1"/>
  <c r="L680" i="9" s="1"/>
  <c r="L681" i="9" a="1"/>
  <c r="L681" i="9" s="1"/>
  <c r="L682" i="9" a="1"/>
  <c r="L682" i="9" s="1"/>
  <c r="L683" i="9" a="1"/>
  <c r="L683" i="9" s="1"/>
  <c r="L684" i="9" a="1"/>
  <c r="L684" i="9" s="1"/>
  <c r="L685" i="9" a="1"/>
  <c r="L685" i="9" s="1"/>
  <c r="L686" i="9" a="1"/>
  <c r="L686" i="9" s="1"/>
  <c r="L687" i="9" a="1"/>
  <c r="L687" i="9" s="1"/>
  <c r="L688" i="9" a="1"/>
  <c r="L688" i="9" s="1"/>
  <c r="L689" i="9" a="1"/>
  <c r="L689" i="9" s="1"/>
  <c r="L690" i="9" a="1"/>
  <c r="L690" i="9" s="1"/>
  <c r="L691" i="9" a="1"/>
  <c r="L691" i="9" s="1"/>
  <c r="L692" i="9" a="1"/>
  <c r="L692" i="9" s="1"/>
  <c r="L693" i="9" a="1"/>
  <c r="L693" i="9" s="1"/>
  <c r="L694" i="9" a="1"/>
  <c r="L694" i="9" s="1"/>
  <c r="L695" i="9" a="1"/>
  <c r="L695" i="9" s="1"/>
  <c r="L696" i="9" a="1"/>
  <c r="L696" i="9" s="1"/>
  <c r="L697" i="9" a="1"/>
  <c r="L697" i="9" s="1"/>
  <c r="L698" i="9" a="1"/>
  <c r="L698" i="9" s="1"/>
  <c r="L699" i="9" a="1"/>
  <c r="L699" i="9" s="1"/>
  <c r="L700" i="9" a="1"/>
  <c r="L700" i="9" s="1"/>
  <c r="L701" i="9" a="1"/>
  <c r="L701" i="9" s="1"/>
  <c r="L702" i="9" a="1"/>
  <c r="L702" i="9" s="1"/>
  <c r="L703" i="9" a="1"/>
  <c r="L703" i="9" s="1"/>
  <c r="L704" i="9" a="1"/>
  <c r="L704" i="9" s="1"/>
  <c r="L705" i="9" a="1"/>
  <c r="L705" i="9" s="1"/>
  <c r="L706" i="9" a="1"/>
  <c r="L706" i="9" s="1"/>
  <c r="L707" i="9" a="1"/>
  <c r="L707" i="9" s="1"/>
  <c r="L708" i="9" a="1"/>
  <c r="L708" i="9" s="1"/>
  <c r="L709" i="9" a="1"/>
  <c r="L709" i="9" s="1"/>
  <c r="L710" i="9" a="1"/>
  <c r="L710" i="9" s="1"/>
  <c r="L711" i="9" a="1"/>
  <c r="L711" i="9" s="1"/>
  <c r="L712" i="9" a="1"/>
  <c r="L712" i="9" s="1"/>
  <c r="L713" i="9" a="1"/>
  <c r="L713" i="9" s="1"/>
  <c r="L714" i="9" a="1"/>
  <c r="L714" i="9" s="1"/>
  <c r="L715" i="9" a="1"/>
  <c r="L715" i="9" s="1"/>
  <c r="L716" i="9" a="1"/>
  <c r="L716" i="9" s="1"/>
  <c r="L717" i="9" a="1"/>
  <c r="L717" i="9" s="1"/>
  <c r="L718" i="9" a="1"/>
  <c r="L718" i="9" s="1"/>
  <c r="L719" i="9" a="1"/>
  <c r="L719" i="9" s="1"/>
  <c r="L720" i="9" a="1"/>
  <c r="L720" i="9" s="1"/>
  <c r="L721" i="9" a="1"/>
  <c r="L721" i="9" s="1"/>
  <c r="L722" i="9" a="1"/>
  <c r="L722" i="9" s="1"/>
  <c r="L723" i="9" a="1"/>
  <c r="L723" i="9" s="1"/>
  <c r="L724" i="9" a="1"/>
  <c r="L724" i="9" s="1"/>
  <c r="L725" i="9" a="1"/>
  <c r="L725" i="9" s="1"/>
  <c r="L726" i="9" a="1"/>
  <c r="L726" i="9" s="1"/>
  <c r="L727" i="9" a="1"/>
  <c r="L727" i="9" s="1"/>
  <c r="L728" i="9" a="1"/>
  <c r="L728" i="9" s="1"/>
  <c r="L729" i="9" a="1"/>
  <c r="L729" i="9" s="1"/>
  <c r="L730" i="9" a="1"/>
  <c r="L730" i="9" s="1"/>
  <c r="L731" i="9" a="1"/>
  <c r="L731" i="9" s="1"/>
  <c r="L732" i="9" a="1"/>
  <c r="L732" i="9" s="1"/>
  <c r="L733" i="9" a="1"/>
  <c r="L733" i="9" s="1"/>
  <c r="L734" i="9" a="1"/>
  <c r="L734" i="9" s="1"/>
  <c r="L735" i="9" a="1"/>
  <c r="L735" i="9" s="1"/>
  <c r="L736" i="9" a="1"/>
  <c r="L736" i="9" s="1"/>
  <c r="L737" i="9" a="1"/>
  <c r="L737" i="9" s="1"/>
  <c r="L738" i="9" a="1"/>
  <c r="L738" i="9" s="1"/>
  <c r="L739" i="9" a="1"/>
  <c r="L739" i="9" s="1"/>
  <c r="L740" i="9" a="1"/>
  <c r="L740" i="9" s="1"/>
  <c r="L741" i="9" a="1"/>
  <c r="L741" i="9" s="1"/>
  <c r="L742" i="9" a="1"/>
  <c r="L742" i="9" s="1"/>
  <c r="L743" i="9" a="1"/>
  <c r="L743" i="9" s="1"/>
  <c r="L744" i="9" a="1"/>
  <c r="L744" i="9" s="1"/>
  <c r="L745" i="9" a="1"/>
  <c r="L745" i="9" s="1"/>
  <c r="L746" i="9" a="1"/>
  <c r="L746" i="9" s="1"/>
  <c r="L747" i="9" a="1"/>
  <c r="L747" i="9" s="1"/>
  <c r="L748" i="9" a="1"/>
  <c r="L748" i="9" s="1"/>
  <c r="L749" i="9" a="1"/>
  <c r="L749" i="9" s="1"/>
  <c r="L750" i="9" a="1"/>
  <c r="L750" i="9" s="1"/>
  <c r="L751" i="9" a="1"/>
  <c r="L751" i="9" s="1"/>
  <c r="L752" i="9" a="1"/>
  <c r="L752" i="9" s="1"/>
  <c r="L753" i="9" a="1"/>
  <c r="L753" i="9" s="1"/>
  <c r="L754" i="9" a="1"/>
  <c r="L754" i="9" s="1"/>
  <c r="L755" i="9" a="1"/>
  <c r="L755" i="9" s="1"/>
  <c r="L756" i="9" a="1"/>
  <c r="L756" i="9" s="1"/>
  <c r="L757" i="9" a="1"/>
  <c r="L757" i="9" s="1"/>
  <c r="L758" i="9" a="1"/>
  <c r="L758" i="9" s="1"/>
  <c r="L759" i="9" a="1"/>
  <c r="L759" i="9" s="1"/>
  <c r="L760" i="9" a="1"/>
  <c r="L760" i="9" s="1"/>
  <c r="L761" i="9" a="1"/>
  <c r="L761" i="9" s="1"/>
  <c r="L762" i="9" a="1"/>
  <c r="L762" i="9" s="1"/>
  <c r="L763" i="9" a="1"/>
  <c r="L763" i="9" s="1"/>
  <c r="L764" i="9" a="1"/>
  <c r="L764" i="9" s="1"/>
  <c r="L765" i="9" a="1"/>
  <c r="L765" i="9" s="1"/>
  <c r="L766" i="9" a="1"/>
  <c r="L766" i="9" s="1"/>
  <c r="L767" i="9" a="1"/>
  <c r="L767" i="9" s="1"/>
  <c r="L768" i="9" a="1"/>
  <c r="L768" i="9" s="1"/>
  <c r="L769" i="9" a="1"/>
  <c r="L769" i="9" s="1"/>
  <c r="L770" i="9" a="1"/>
  <c r="L770" i="9" s="1"/>
  <c r="L771" i="9" a="1"/>
  <c r="L771" i="9" s="1"/>
  <c r="L772" i="9" a="1"/>
  <c r="L772" i="9" s="1"/>
  <c r="L773" i="9" a="1"/>
  <c r="L773" i="9" s="1"/>
  <c r="L774" i="9" a="1"/>
  <c r="L774" i="9" s="1"/>
  <c r="L775" i="9" a="1"/>
  <c r="L775" i="9" s="1"/>
  <c r="L776" i="9" a="1"/>
  <c r="L776" i="9" s="1"/>
  <c r="L777" i="9" a="1"/>
  <c r="L777" i="9" s="1"/>
  <c r="L778" i="9" a="1"/>
  <c r="L778" i="9" s="1"/>
  <c r="L779" i="9" a="1"/>
  <c r="L779" i="9" s="1"/>
  <c r="L780" i="9" a="1"/>
  <c r="L780" i="9" s="1"/>
  <c r="L781" i="9" a="1"/>
  <c r="L781" i="9" s="1"/>
  <c r="L782" i="9" a="1"/>
  <c r="L782" i="9" s="1"/>
  <c r="L783" i="9" a="1"/>
  <c r="L783" i="9" s="1"/>
  <c r="L784" i="9" a="1"/>
  <c r="L784" i="9" s="1"/>
  <c r="L785" i="9" a="1"/>
  <c r="L785" i="9" s="1"/>
  <c r="L786" i="9" a="1"/>
  <c r="L786" i="9" s="1"/>
  <c r="L787" i="9" a="1"/>
  <c r="L787" i="9" s="1"/>
  <c r="L788" i="9" a="1"/>
  <c r="L788" i="9" s="1"/>
  <c r="L789" i="9" a="1"/>
  <c r="L789" i="9" s="1"/>
  <c r="L790" i="9" a="1"/>
  <c r="L790" i="9" s="1"/>
  <c r="L791" i="9" a="1"/>
  <c r="L791" i="9" s="1"/>
  <c r="L792" i="9" a="1"/>
  <c r="L792" i="9" s="1"/>
  <c r="L793" i="9" a="1"/>
  <c r="L793" i="9" s="1"/>
  <c r="L794" i="9" a="1"/>
  <c r="L794" i="9" s="1"/>
  <c r="L795" i="9" a="1"/>
  <c r="L795" i="9" s="1"/>
  <c r="L796" i="9" a="1"/>
  <c r="L796" i="9" s="1"/>
  <c r="L797" i="9" a="1"/>
  <c r="L797" i="9" s="1"/>
  <c r="L798" i="9" a="1"/>
  <c r="L798" i="9" s="1"/>
  <c r="L799" i="9" a="1"/>
  <c r="L799" i="9" s="1"/>
  <c r="L800" i="9" a="1"/>
  <c r="L800" i="9" s="1"/>
  <c r="L801" i="9" a="1"/>
  <c r="L801" i="9" s="1"/>
  <c r="L802" i="9" a="1"/>
  <c r="L802" i="9" s="1"/>
  <c r="L803" i="9" a="1"/>
  <c r="L803" i="9" s="1"/>
  <c r="L804" i="9" a="1"/>
  <c r="L804" i="9" s="1"/>
  <c r="L805" i="9" a="1"/>
  <c r="L805" i="9" s="1"/>
  <c r="L806" i="9" a="1"/>
  <c r="L806" i="9" s="1"/>
  <c r="L807" i="9" a="1"/>
  <c r="L807" i="9" s="1"/>
  <c r="L808" i="9" a="1"/>
  <c r="L808" i="9" s="1"/>
  <c r="L809" i="9" a="1"/>
  <c r="L809" i="9" s="1"/>
  <c r="L810" i="9" a="1"/>
  <c r="L810" i="9" s="1"/>
  <c r="L811" i="9" a="1"/>
  <c r="L811" i="9" s="1"/>
  <c r="L812" i="9" a="1"/>
  <c r="L812" i="9" s="1"/>
  <c r="L813" i="9" a="1"/>
  <c r="L813" i="9" s="1"/>
  <c r="L814" i="9" a="1"/>
  <c r="L814" i="9" s="1"/>
  <c r="L815" i="9" a="1"/>
  <c r="L815" i="9" s="1"/>
  <c r="L816" i="9" a="1"/>
  <c r="L816" i="9" s="1"/>
  <c r="L817" i="9" a="1"/>
  <c r="L817" i="9" s="1"/>
  <c r="L818" i="9" a="1"/>
  <c r="L818" i="9" s="1"/>
  <c r="L819" i="9" a="1"/>
  <c r="L819" i="9" s="1"/>
  <c r="L820" i="9" a="1"/>
  <c r="L820" i="9" s="1"/>
  <c r="L821" i="9" a="1"/>
  <c r="L821" i="9" s="1"/>
  <c r="L822" i="9" a="1"/>
  <c r="L822" i="9" s="1"/>
  <c r="L823" i="9" a="1"/>
  <c r="L823" i="9" s="1"/>
  <c r="L824" i="9" a="1"/>
  <c r="L824" i="9" s="1"/>
  <c r="L825" i="9" a="1"/>
  <c r="L825" i="9" s="1"/>
  <c r="L826" i="9" a="1"/>
  <c r="L826" i="9" s="1"/>
  <c r="L827" i="9" a="1"/>
  <c r="L827" i="9" s="1"/>
  <c r="L828" i="9" a="1"/>
  <c r="L828" i="9" s="1"/>
  <c r="L829" i="9" a="1"/>
  <c r="L829" i="9" s="1"/>
  <c r="L830" i="9" a="1"/>
  <c r="L830" i="9" s="1"/>
  <c r="L831" i="9" a="1"/>
  <c r="L831" i="9" s="1"/>
  <c r="L832" i="9" a="1"/>
  <c r="L832" i="9" s="1"/>
  <c r="L833" i="9" a="1"/>
  <c r="L833" i="9" s="1"/>
  <c r="L834" i="9" a="1"/>
  <c r="L834" i="9" s="1"/>
  <c r="L835" i="9" a="1"/>
  <c r="L835" i="9" s="1"/>
  <c r="L836" i="9" a="1"/>
  <c r="L836" i="9" s="1"/>
  <c r="L837" i="9" a="1"/>
  <c r="L837" i="9" s="1"/>
  <c r="L838" i="9" a="1"/>
  <c r="L838" i="9" s="1"/>
  <c r="L839" i="9" a="1"/>
  <c r="L839" i="9" s="1"/>
  <c r="L840" i="9" a="1"/>
  <c r="L840" i="9" s="1"/>
  <c r="L841" i="9" a="1"/>
  <c r="L841" i="9" s="1"/>
  <c r="L842" i="9" a="1"/>
  <c r="L842" i="9" s="1"/>
  <c r="L843" i="9" a="1"/>
  <c r="L843" i="9" s="1"/>
  <c r="L844" i="9" a="1"/>
  <c r="L844" i="9" s="1"/>
  <c r="L845" i="9" a="1"/>
  <c r="L845" i="9" s="1"/>
  <c r="L846" i="9" a="1"/>
  <c r="L846" i="9" s="1"/>
  <c r="L847" i="9" a="1"/>
  <c r="L847" i="9" s="1"/>
  <c r="L848" i="9" a="1"/>
  <c r="L848" i="9" s="1"/>
  <c r="L849" i="9" a="1"/>
  <c r="L849" i="9" s="1"/>
  <c r="L850" i="9" a="1"/>
  <c r="L850" i="9" s="1"/>
  <c r="L851" i="9" a="1"/>
  <c r="L851" i="9" s="1"/>
  <c r="L852" i="9" a="1"/>
  <c r="L852" i="9" s="1"/>
  <c r="L853" i="9" a="1"/>
  <c r="L853" i="9" s="1"/>
  <c r="L854" i="9" a="1"/>
  <c r="L854" i="9" s="1"/>
  <c r="L855" i="9" a="1"/>
  <c r="L855" i="9" s="1"/>
  <c r="L856" i="9" a="1"/>
  <c r="L856" i="9" s="1"/>
  <c r="L857" i="9" a="1"/>
  <c r="L857" i="9" s="1"/>
  <c r="L858" i="9" a="1"/>
  <c r="L858" i="9" s="1"/>
  <c r="L859" i="9" a="1"/>
  <c r="L859" i="9" s="1"/>
  <c r="L860" i="9" a="1"/>
  <c r="L860" i="9" s="1"/>
  <c r="L861" i="9" a="1"/>
  <c r="L861" i="9" s="1"/>
  <c r="L862" i="9" a="1"/>
  <c r="L862" i="9" s="1"/>
  <c r="L863" i="9" a="1"/>
  <c r="L863" i="9" s="1"/>
  <c r="L864" i="9" a="1"/>
  <c r="L864" i="9" s="1"/>
  <c r="L865" i="9" a="1"/>
  <c r="L865" i="9" s="1"/>
  <c r="L866" i="9" a="1"/>
  <c r="L866" i="9" s="1"/>
  <c r="L867" i="9" a="1"/>
  <c r="L867" i="9" s="1"/>
  <c r="L868" i="9" a="1"/>
  <c r="L868" i="9" s="1"/>
  <c r="L869" i="9" a="1"/>
  <c r="L869" i="9" s="1"/>
  <c r="L870" i="9" a="1"/>
  <c r="L870" i="9" s="1"/>
  <c r="L871" i="9" a="1"/>
  <c r="L871" i="9" s="1"/>
  <c r="L872" i="9" a="1"/>
  <c r="L872" i="9" s="1"/>
  <c r="L873" i="9" a="1"/>
  <c r="L873" i="9" s="1"/>
  <c r="L874" i="9" a="1"/>
  <c r="L874" i="9" s="1"/>
  <c r="L875" i="9" a="1"/>
  <c r="L875" i="9" s="1"/>
  <c r="L876" i="9" a="1"/>
  <c r="L876" i="9" s="1"/>
  <c r="L877" i="9" a="1"/>
  <c r="L877" i="9" s="1"/>
  <c r="L878" i="9" a="1"/>
  <c r="L878" i="9" s="1"/>
  <c r="L879" i="9" a="1"/>
  <c r="L879" i="9" s="1"/>
  <c r="L880" i="9" a="1"/>
  <c r="L880" i="9" s="1"/>
  <c r="L881" i="9" a="1"/>
  <c r="L881" i="9" s="1"/>
  <c r="L882" i="9" a="1"/>
  <c r="L882" i="9" s="1"/>
  <c r="L883" i="9" a="1"/>
  <c r="L883" i="9" s="1"/>
  <c r="L884" i="9" a="1"/>
  <c r="L884" i="9" s="1"/>
  <c r="L885" i="9" a="1"/>
  <c r="L885" i="9" s="1"/>
  <c r="L886" i="9" a="1"/>
  <c r="L886" i="9" s="1"/>
  <c r="L887" i="9" a="1"/>
  <c r="L887" i="9" s="1"/>
  <c r="L888" i="9" a="1"/>
  <c r="L888" i="9" s="1"/>
  <c r="L889" i="9" a="1"/>
  <c r="L889" i="9" s="1"/>
  <c r="L890" i="9" a="1"/>
  <c r="L890" i="9" s="1"/>
  <c r="L891" i="9" a="1"/>
  <c r="L891" i="9" s="1"/>
  <c r="L892" i="9" a="1"/>
  <c r="L892" i="9" s="1"/>
  <c r="L893" i="9" a="1"/>
  <c r="L893" i="9" s="1"/>
  <c r="L894" i="9" a="1"/>
  <c r="L894" i="9" s="1"/>
  <c r="L895" i="9" a="1"/>
  <c r="L895" i="9" s="1"/>
  <c r="L896" i="9" a="1"/>
  <c r="L896" i="9" s="1"/>
  <c r="L897" i="9" a="1"/>
  <c r="L897" i="9" s="1"/>
  <c r="L898" i="9" a="1"/>
  <c r="L898" i="9" s="1"/>
  <c r="L899" i="9" a="1"/>
  <c r="L899" i="9" s="1"/>
  <c r="L900" i="9" a="1"/>
  <c r="L900" i="9" s="1"/>
  <c r="L901" i="9" a="1"/>
  <c r="L901" i="9" s="1"/>
  <c r="L902" i="9" a="1"/>
  <c r="L902" i="9" s="1"/>
  <c r="L903" i="9" a="1"/>
  <c r="L903" i="9" s="1"/>
  <c r="L904" i="9" a="1"/>
  <c r="L904" i="9" s="1"/>
  <c r="L905" i="9" a="1"/>
  <c r="L905" i="9" s="1"/>
  <c r="L906" i="9" a="1"/>
  <c r="L906" i="9" s="1"/>
  <c r="L907" i="9" a="1"/>
  <c r="L907" i="9" s="1"/>
  <c r="L908" i="9" a="1"/>
  <c r="L908" i="9" s="1"/>
  <c r="L909" i="9" a="1"/>
  <c r="L909" i="9" s="1"/>
  <c r="L910" i="9" a="1"/>
  <c r="L910" i="9" s="1"/>
  <c r="L911" i="9" a="1"/>
  <c r="L911" i="9" s="1"/>
  <c r="L912" i="9" a="1"/>
  <c r="L912" i="9" s="1"/>
  <c r="L913" i="9" a="1"/>
  <c r="L913" i="9" s="1"/>
  <c r="L914" i="9" a="1"/>
  <c r="L914" i="9" s="1"/>
  <c r="L915" i="9" a="1"/>
  <c r="L915" i="9" s="1"/>
  <c r="L916" i="9" a="1"/>
  <c r="L916" i="9" s="1"/>
  <c r="L917" i="9" a="1"/>
  <c r="L917" i="9" s="1"/>
  <c r="L918" i="9" a="1"/>
  <c r="L918" i="9" s="1"/>
  <c r="L919" i="9" a="1"/>
  <c r="L919" i="9" s="1"/>
  <c r="L920" i="9" a="1"/>
  <c r="L920" i="9" s="1"/>
  <c r="L921" i="9" a="1"/>
  <c r="L921" i="9" s="1"/>
  <c r="L922" i="9" a="1"/>
  <c r="L922" i="9" s="1"/>
  <c r="L923" i="9" a="1"/>
  <c r="L923" i="9" s="1"/>
  <c r="L924" i="9" a="1"/>
  <c r="L924" i="9" s="1"/>
  <c r="L925" i="9" a="1"/>
  <c r="L925" i="9" s="1"/>
  <c r="L926" i="9" a="1"/>
  <c r="L926" i="9" s="1"/>
  <c r="L927" i="9" a="1"/>
  <c r="L927" i="9" s="1"/>
  <c r="L928" i="9" a="1"/>
  <c r="L928" i="9" s="1"/>
  <c r="L929" i="9" a="1"/>
  <c r="L929" i="9" s="1"/>
  <c r="L930" i="9" a="1"/>
  <c r="L930" i="9" s="1"/>
  <c r="L931" i="9" a="1"/>
  <c r="L931" i="9" s="1"/>
  <c r="L932" i="9" a="1"/>
  <c r="L932" i="9" s="1"/>
  <c r="L933" i="9" a="1"/>
  <c r="L933" i="9" s="1"/>
  <c r="L934" i="9" a="1"/>
  <c r="L934" i="9" s="1"/>
  <c r="L935" i="9" a="1"/>
  <c r="L935" i="9" s="1"/>
  <c r="L936" i="9" a="1"/>
  <c r="L936" i="9" s="1"/>
  <c r="L937" i="9" a="1"/>
  <c r="L937" i="9" s="1"/>
  <c r="L938" i="9" a="1"/>
  <c r="L938" i="9" s="1"/>
  <c r="L939" i="9" a="1"/>
  <c r="L939" i="9" s="1"/>
  <c r="L940" i="9" a="1"/>
  <c r="L940" i="9" s="1"/>
  <c r="L941" i="9" a="1"/>
  <c r="L941" i="9" s="1"/>
  <c r="L942" i="9" a="1"/>
  <c r="L942" i="9" s="1"/>
  <c r="L943" i="9" a="1"/>
  <c r="L943" i="9" s="1"/>
  <c r="L944" i="9" a="1"/>
  <c r="L944" i="9" s="1"/>
  <c r="L945" i="9" a="1"/>
  <c r="L945" i="9" s="1"/>
  <c r="L946" i="9" a="1"/>
  <c r="L946" i="9" s="1"/>
  <c r="L947" i="9" a="1"/>
  <c r="L947" i="9" s="1"/>
  <c r="L948" i="9" a="1"/>
  <c r="L948" i="9" s="1"/>
  <c r="L949" i="9" a="1"/>
  <c r="L949" i="9" s="1"/>
  <c r="L950" i="9" a="1"/>
  <c r="L950" i="9" s="1"/>
  <c r="L951" i="9" a="1"/>
  <c r="L951" i="9" s="1"/>
  <c r="L952" i="9" a="1"/>
  <c r="L952" i="9" s="1"/>
  <c r="L953" i="9" a="1"/>
  <c r="L953" i="9" s="1"/>
  <c r="L954" i="9" a="1"/>
  <c r="L954" i="9" s="1"/>
  <c r="L955" i="9" a="1"/>
  <c r="L955" i="9" s="1"/>
  <c r="L956" i="9" a="1"/>
  <c r="L956" i="9" s="1"/>
  <c r="L957" i="9" a="1"/>
  <c r="L957" i="9" s="1"/>
  <c r="L958" i="9" a="1"/>
  <c r="L958" i="9" s="1"/>
  <c r="L959" i="9" a="1"/>
  <c r="L959" i="9" s="1"/>
  <c r="L960" i="9" a="1"/>
  <c r="L960" i="9" s="1"/>
  <c r="L961" i="9" a="1"/>
  <c r="L961" i="9" s="1"/>
  <c r="L962" i="9" a="1"/>
  <c r="L962" i="9" s="1"/>
  <c r="L963" i="9" a="1"/>
  <c r="L963" i="9" s="1"/>
  <c r="L964" i="9" a="1"/>
  <c r="L964" i="9" s="1"/>
  <c r="L965" i="9" a="1"/>
  <c r="L965" i="9" s="1"/>
  <c r="L966" i="9" a="1"/>
  <c r="L966" i="9" s="1"/>
  <c r="L967" i="9" a="1"/>
  <c r="L967" i="9" s="1"/>
  <c r="L968" i="9" a="1"/>
  <c r="L968" i="9" s="1"/>
  <c r="L969" i="9" a="1"/>
  <c r="L969" i="9" s="1"/>
  <c r="L970" i="9" a="1"/>
  <c r="L970" i="9" s="1"/>
  <c r="L971" i="9" a="1"/>
  <c r="L971" i="9" s="1"/>
  <c r="L972" i="9" a="1"/>
  <c r="L972" i="9" s="1"/>
  <c r="L973" i="9" a="1"/>
  <c r="L973" i="9" s="1"/>
  <c r="L974" i="9" a="1"/>
  <c r="L974" i="9" s="1"/>
  <c r="L975" i="9" a="1"/>
  <c r="L975" i="9" s="1"/>
  <c r="L976" i="9" a="1"/>
  <c r="L976" i="9" s="1"/>
  <c r="L977" i="9" a="1"/>
  <c r="L977" i="9" s="1"/>
  <c r="L978" i="9" a="1"/>
  <c r="L978" i="9" s="1"/>
  <c r="L979" i="9" a="1"/>
  <c r="L979" i="9" s="1"/>
  <c r="L980" i="9" a="1"/>
  <c r="L980" i="9" s="1"/>
  <c r="L981" i="9" a="1"/>
  <c r="L981" i="9" s="1"/>
  <c r="L982" i="9" a="1"/>
  <c r="L982" i="9" s="1"/>
  <c r="L983" i="9" a="1"/>
  <c r="L983" i="9" s="1"/>
  <c r="L984" i="9" a="1"/>
  <c r="L984" i="9" s="1"/>
  <c r="L985" i="9" a="1"/>
  <c r="L985" i="9" s="1"/>
  <c r="L986" i="9" a="1"/>
  <c r="L986" i="9" s="1"/>
  <c r="L987" i="9" a="1"/>
  <c r="L987" i="9" s="1"/>
  <c r="L988" i="9" a="1"/>
  <c r="L988" i="9" s="1"/>
  <c r="L989" i="9" a="1"/>
  <c r="L989" i="9" s="1"/>
  <c r="L990" i="9" a="1"/>
  <c r="L990" i="9" s="1"/>
  <c r="L991" i="9" a="1"/>
  <c r="L991" i="9" s="1"/>
  <c r="L992" i="9" a="1"/>
  <c r="L992" i="9" s="1"/>
  <c r="L993" i="9" a="1"/>
  <c r="L993" i="9" s="1"/>
  <c r="L994" i="9" a="1"/>
  <c r="L994" i="9" s="1"/>
  <c r="L995" i="9" a="1"/>
  <c r="L995" i="9" s="1"/>
  <c r="L996" i="9" a="1"/>
  <c r="L996" i="9" s="1"/>
  <c r="L997" i="9" a="1"/>
  <c r="L997" i="9" s="1"/>
  <c r="L998" i="9" a="1"/>
  <c r="L998" i="9" s="1"/>
  <c r="L999" i="9" a="1"/>
  <c r="L999" i="9" s="1"/>
  <c r="L1000" i="9" a="1"/>
  <c r="L1000" i="9" s="1"/>
  <c r="L1001" i="9" a="1"/>
  <c r="L1001" i="9" s="1"/>
  <c r="U2" i="9" a="1"/>
  <c r="U2" i="9" s="1"/>
  <c r="U3" i="9" a="1"/>
  <c r="U3" i="9" s="1"/>
  <c r="U4" i="9" a="1"/>
  <c r="U4" i="9" s="1"/>
  <c r="U5" i="9" a="1"/>
  <c r="U5" i="9" s="1"/>
  <c r="U6" i="9" a="1"/>
  <c r="U6" i="9" s="1"/>
  <c r="U7" i="9" a="1"/>
  <c r="U7" i="9" s="1"/>
  <c r="U8" i="9" a="1"/>
  <c r="U8" i="9" s="1"/>
  <c r="U9" i="9" a="1"/>
  <c r="U9" i="9" s="1"/>
  <c r="U10" i="9" a="1"/>
  <c r="U10" i="9" s="1"/>
  <c r="U11" i="9" a="1"/>
  <c r="U11" i="9" s="1"/>
  <c r="U12" i="9" a="1"/>
  <c r="U12" i="9" s="1"/>
  <c r="U13" i="9" a="1"/>
  <c r="U13" i="9" s="1"/>
  <c r="U14" i="9" a="1"/>
  <c r="U14" i="9" s="1"/>
  <c r="U15" i="9" a="1"/>
  <c r="U15" i="9" s="1"/>
  <c r="U16" i="9" a="1"/>
  <c r="U16" i="9" s="1"/>
  <c r="U17" i="9" a="1"/>
  <c r="U17" i="9" s="1"/>
  <c r="U18" i="9" a="1"/>
  <c r="U18" i="9" s="1"/>
  <c r="U19" i="9" a="1"/>
  <c r="U19" i="9" s="1"/>
  <c r="U20" i="9" a="1"/>
  <c r="U20" i="9" s="1"/>
  <c r="U21" i="9" a="1"/>
  <c r="U21" i="9" s="1"/>
  <c r="U22" i="9" a="1"/>
  <c r="U22" i="9" s="1"/>
  <c r="U23" i="9" a="1"/>
  <c r="U23" i="9" s="1"/>
  <c r="U24" i="9" a="1"/>
  <c r="U24" i="9" s="1"/>
  <c r="U25" i="9" a="1"/>
  <c r="U25" i="9" s="1"/>
  <c r="U26" i="9" a="1"/>
  <c r="U26" i="9" s="1"/>
  <c r="U27" i="9" a="1"/>
  <c r="U27" i="9" s="1"/>
  <c r="U28" i="9" a="1"/>
  <c r="U28" i="9" s="1"/>
  <c r="U29" i="9" a="1"/>
  <c r="U29" i="9" s="1"/>
  <c r="U30" i="9" a="1"/>
  <c r="U30" i="9" s="1"/>
  <c r="U31" i="9" a="1"/>
  <c r="U31" i="9" s="1"/>
  <c r="U32" i="9" a="1"/>
  <c r="U32" i="9" s="1"/>
  <c r="U33" i="9" a="1"/>
  <c r="U33" i="9" s="1"/>
  <c r="U34" i="9" a="1"/>
  <c r="U34" i="9" s="1"/>
  <c r="U35" i="9" a="1"/>
  <c r="U35" i="9" s="1"/>
  <c r="U36" i="9" a="1"/>
  <c r="U36" i="9" s="1"/>
  <c r="U37" i="9" a="1"/>
  <c r="U37" i="9" s="1"/>
  <c r="U38" i="9" a="1"/>
  <c r="U38" i="9" s="1"/>
  <c r="U39" i="9" a="1"/>
  <c r="U39" i="9" s="1"/>
  <c r="U40" i="9" a="1"/>
  <c r="U40" i="9" s="1"/>
  <c r="U41" i="9" a="1"/>
  <c r="U41" i="9" s="1"/>
  <c r="U42" i="9" a="1"/>
  <c r="U42" i="9" s="1"/>
  <c r="U43" i="9" a="1"/>
  <c r="U43" i="9" s="1"/>
  <c r="U44" i="9" a="1"/>
  <c r="U44" i="9" s="1"/>
  <c r="U45" i="9" a="1"/>
  <c r="U45" i="9" s="1"/>
  <c r="U46" i="9" a="1"/>
  <c r="U46" i="9" s="1"/>
  <c r="U47" i="9" a="1"/>
  <c r="U47" i="9" s="1"/>
  <c r="U48" i="9" a="1"/>
  <c r="U48" i="9" s="1"/>
  <c r="U49" i="9" a="1"/>
  <c r="U49" i="9" s="1"/>
  <c r="U50" i="9" a="1"/>
  <c r="U50" i="9" s="1"/>
  <c r="U51" i="9" a="1"/>
  <c r="U51" i="9" s="1"/>
  <c r="U52" i="9" a="1"/>
  <c r="U52" i="9" s="1"/>
  <c r="U53" i="9" a="1"/>
  <c r="U53" i="9" s="1"/>
  <c r="U54" i="9" a="1"/>
  <c r="U54" i="9" s="1"/>
  <c r="U55" i="9" a="1"/>
  <c r="U55" i="9" s="1"/>
  <c r="U56" i="9" a="1"/>
  <c r="U56" i="9" s="1"/>
  <c r="U57" i="9" a="1"/>
  <c r="U57" i="9" s="1"/>
  <c r="U58" i="9" a="1"/>
  <c r="U58" i="9" s="1"/>
  <c r="U59" i="9" a="1"/>
  <c r="U59" i="9" s="1"/>
  <c r="U60" i="9" a="1"/>
  <c r="U60" i="9" s="1"/>
  <c r="U61" i="9" a="1"/>
  <c r="U61" i="9" s="1"/>
  <c r="U62" i="9" a="1"/>
  <c r="U62" i="9" s="1"/>
  <c r="U63" i="9" a="1"/>
  <c r="U63" i="9" s="1"/>
  <c r="U64" i="9" a="1"/>
  <c r="U64" i="9" s="1"/>
  <c r="U65" i="9" a="1"/>
  <c r="U65" i="9" s="1"/>
  <c r="U66" i="9" a="1"/>
  <c r="U66" i="9" s="1"/>
  <c r="U67" i="9" a="1"/>
  <c r="U67" i="9" s="1"/>
  <c r="U68" i="9" a="1"/>
  <c r="U68" i="9" s="1"/>
  <c r="U69" i="9" a="1"/>
  <c r="U69" i="9" s="1"/>
  <c r="U70" i="9" a="1"/>
  <c r="U70" i="9" s="1"/>
  <c r="U71" i="9" a="1"/>
  <c r="U71" i="9" s="1"/>
  <c r="U72" i="9" a="1"/>
  <c r="U72" i="9" s="1"/>
  <c r="U73" i="9" a="1"/>
  <c r="U73" i="9" s="1"/>
  <c r="U74" i="9" a="1"/>
  <c r="U74" i="9" s="1"/>
  <c r="U75" i="9" a="1"/>
  <c r="U75" i="9" s="1"/>
  <c r="U76" i="9" a="1"/>
  <c r="U76" i="9" s="1"/>
  <c r="U77" i="9" a="1"/>
  <c r="U77" i="9" s="1"/>
  <c r="U78" i="9" a="1"/>
  <c r="U78" i="9" s="1"/>
  <c r="U79" i="9" a="1"/>
  <c r="U79" i="9" s="1"/>
  <c r="U80" i="9" a="1"/>
  <c r="U80" i="9" s="1"/>
  <c r="U81" i="9" a="1"/>
  <c r="U81" i="9" s="1"/>
  <c r="U82" i="9" a="1"/>
  <c r="U82" i="9" s="1"/>
  <c r="U83" i="9" a="1"/>
  <c r="U83" i="9" s="1"/>
  <c r="U84" i="9" a="1"/>
  <c r="U84" i="9" s="1"/>
  <c r="U85" i="9" a="1"/>
  <c r="U85" i="9" s="1"/>
  <c r="U86" i="9" a="1"/>
  <c r="U86" i="9" s="1"/>
  <c r="U87" i="9" a="1"/>
  <c r="U87" i="9" s="1"/>
  <c r="U88" i="9" a="1"/>
  <c r="U88" i="9" s="1"/>
  <c r="U89" i="9" a="1"/>
  <c r="U89" i="9" s="1"/>
  <c r="U90" i="9" a="1"/>
  <c r="U90" i="9" s="1"/>
  <c r="U91" i="9" a="1"/>
  <c r="U91" i="9" s="1"/>
  <c r="U92" i="9" a="1"/>
  <c r="U92" i="9" s="1"/>
  <c r="U93" i="9" a="1"/>
  <c r="U93" i="9" s="1"/>
  <c r="U94" i="9" a="1"/>
  <c r="U94" i="9" s="1"/>
  <c r="U95" i="9" a="1"/>
  <c r="U95" i="9" s="1"/>
  <c r="U96" i="9" a="1"/>
  <c r="U96" i="9" s="1"/>
  <c r="U97" i="9" a="1"/>
  <c r="U97" i="9" s="1"/>
  <c r="U98" i="9" a="1"/>
  <c r="U98" i="9" s="1"/>
  <c r="U99" i="9" a="1"/>
  <c r="U99" i="9" s="1"/>
  <c r="U100" i="9" a="1"/>
  <c r="U100" i="9" s="1"/>
  <c r="U101" i="9" a="1"/>
  <c r="U101" i="9" s="1"/>
  <c r="U102" i="9" a="1"/>
  <c r="U102" i="9" s="1"/>
  <c r="U103" i="9" a="1"/>
  <c r="U103" i="9" s="1"/>
  <c r="U104" i="9" a="1"/>
  <c r="U104" i="9" s="1"/>
  <c r="U105" i="9" a="1"/>
  <c r="U105" i="9" s="1"/>
  <c r="U106" i="9" a="1"/>
  <c r="U106" i="9" s="1"/>
  <c r="U107" i="9" a="1"/>
  <c r="U107" i="9" s="1"/>
  <c r="U108" i="9" a="1"/>
  <c r="U108" i="9" s="1"/>
  <c r="U109" i="9" a="1"/>
  <c r="U109" i="9" s="1"/>
  <c r="U110" i="9" a="1"/>
  <c r="U110" i="9" s="1"/>
  <c r="U111" i="9" a="1"/>
  <c r="U111" i="9" s="1"/>
  <c r="U112" i="9" a="1"/>
  <c r="U112" i="9" s="1"/>
  <c r="U113" i="9" a="1"/>
  <c r="U113" i="9" s="1"/>
  <c r="U114" i="9" a="1"/>
  <c r="U114" i="9" s="1"/>
  <c r="U115" i="9" a="1"/>
  <c r="U115" i="9" s="1"/>
  <c r="U116" i="9" a="1"/>
  <c r="U116" i="9" s="1"/>
  <c r="U117" i="9" a="1"/>
  <c r="U117" i="9" s="1"/>
  <c r="U118" i="9" a="1"/>
  <c r="U118" i="9" s="1"/>
  <c r="U119" i="9" a="1"/>
  <c r="U119" i="9" s="1"/>
  <c r="U120" i="9" a="1"/>
  <c r="U120" i="9" s="1"/>
  <c r="U121" i="9" a="1"/>
  <c r="U121" i="9" s="1"/>
  <c r="U122" i="9" a="1"/>
  <c r="U122" i="9" s="1"/>
  <c r="U123" i="9" a="1"/>
  <c r="U123" i="9" s="1"/>
  <c r="U124" i="9" a="1"/>
  <c r="U124" i="9" s="1"/>
  <c r="U125" i="9" a="1"/>
  <c r="U125" i="9" s="1"/>
  <c r="U126" i="9" a="1"/>
  <c r="U126" i="9" s="1"/>
  <c r="U127" i="9" a="1"/>
  <c r="U127" i="9" s="1"/>
  <c r="U128" i="9" a="1"/>
  <c r="U128" i="9" s="1"/>
  <c r="U129" i="9" a="1"/>
  <c r="U129" i="9" s="1"/>
  <c r="U130" i="9" a="1"/>
  <c r="U130" i="9" s="1"/>
  <c r="U131" i="9" a="1"/>
  <c r="U131" i="9" s="1"/>
  <c r="U132" i="9" a="1"/>
  <c r="U132" i="9" s="1"/>
  <c r="U133" i="9" a="1"/>
  <c r="U133" i="9" s="1"/>
  <c r="U134" i="9" a="1"/>
  <c r="U134" i="9" s="1"/>
  <c r="U135" i="9" a="1"/>
  <c r="U135" i="9" s="1"/>
  <c r="U136" i="9" a="1"/>
  <c r="U136" i="9" s="1"/>
  <c r="U137" i="9" a="1"/>
  <c r="U137" i="9" s="1"/>
  <c r="U138" i="9" a="1"/>
  <c r="U138" i="9" s="1"/>
  <c r="U139" i="9" a="1"/>
  <c r="U139" i="9" s="1"/>
  <c r="U140" i="9" a="1"/>
  <c r="U140" i="9" s="1"/>
  <c r="U141" i="9" a="1"/>
  <c r="U141" i="9" s="1"/>
  <c r="U142" i="9" a="1"/>
  <c r="U142" i="9" s="1"/>
  <c r="U143" i="9" a="1"/>
  <c r="U143" i="9" s="1"/>
  <c r="U144" i="9" a="1"/>
  <c r="U144" i="9" s="1"/>
  <c r="U145" i="9" a="1"/>
  <c r="U145" i="9" s="1"/>
  <c r="U146" i="9" a="1"/>
  <c r="U146" i="9" s="1"/>
  <c r="U147" i="9" a="1"/>
  <c r="U147" i="9" s="1"/>
  <c r="U148" i="9" a="1"/>
  <c r="U148" i="9" s="1"/>
  <c r="U149" i="9" a="1"/>
  <c r="U149" i="9" s="1"/>
  <c r="U150" i="9" a="1"/>
  <c r="U150" i="9" s="1"/>
  <c r="U151" i="9" a="1"/>
  <c r="U151" i="9" s="1"/>
  <c r="U152" i="9" a="1"/>
  <c r="U152" i="9" s="1"/>
  <c r="U153" i="9" a="1"/>
  <c r="U153" i="9" s="1"/>
  <c r="U154" i="9" a="1"/>
  <c r="U154" i="9" s="1"/>
  <c r="U155" i="9" a="1"/>
  <c r="U155" i="9" s="1"/>
  <c r="U156" i="9" a="1"/>
  <c r="U156" i="9" s="1"/>
  <c r="U157" i="9" a="1"/>
  <c r="U157" i="9" s="1"/>
  <c r="U158" i="9" a="1"/>
  <c r="U158" i="9" s="1"/>
  <c r="U159" i="9" a="1"/>
  <c r="U159" i="9" s="1"/>
  <c r="U160" i="9" a="1"/>
  <c r="U160" i="9" s="1"/>
  <c r="U161" i="9" a="1"/>
  <c r="U161" i="9" s="1"/>
  <c r="U162" i="9" a="1"/>
  <c r="U162" i="9" s="1"/>
  <c r="U163" i="9" a="1"/>
  <c r="U163" i="9" s="1"/>
  <c r="U164" i="9" a="1"/>
  <c r="U164" i="9" s="1"/>
  <c r="U165" i="9" a="1"/>
  <c r="U165" i="9" s="1"/>
  <c r="U166" i="9" a="1"/>
  <c r="U166" i="9" s="1"/>
  <c r="U167" i="9" a="1"/>
  <c r="U167" i="9" s="1"/>
  <c r="U168" i="9" a="1"/>
  <c r="U168" i="9" s="1"/>
  <c r="U169" i="9" a="1"/>
  <c r="U169" i="9" s="1"/>
  <c r="U170" i="9" a="1"/>
  <c r="U170" i="9" s="1"/>
  <c r="U171" i="9" a="1"/>
  <c r="U171" i="9" s="1"/>
  <c r="U172" i="9" a="1"/>
  <c r="U172" i="9" s="1"/>
  <c r="U173" i="9" a="1"/>
  <c r="U173" i="9" s="1"/>
  <c r="U174" i="9" a="1"/>
  <c r="U174" i="9" s="1"/>
  <c r="U175" i="9" a="1"/>
  <c r="U175" i="9" s="1"/>
  <c r="U176" i="9" a="1"/>
  <c r="U176" i="9" s="1"/>
  <c r="U177" i="9" a="1"/>
  <c r="U177" i="9" s="1"/>
  <c r="U178" i="9" a="1"/>
  <c r="U178" i="9" s="1"/>
  <c r="U179" i="9" a="1"/>
  <c r="U179" i="9" s="1"/>
  <c r="U180" i="9" a="1"/>
  <c r="U180" i="9" s="1"/>
  <c r="U181" i="9" a="1"/>
  <c r="U181" i="9" s="1"/>
  <c r="U182" i="9" a="1"/>
  <c r="U182" i="9" s="1"/>
  <c r="U183" i="9" a="1"/>
  <c r="U183" i="9" s="1"/>
  <c r="U184" i="9" a="1"/>
  <c r="U184" i="9" s="1"/>
  <c r="U185" i="9" a="1"/>
  <c r="U185" i="9" s="1"/>
  <c r="U186" i="9" a="1"/>
  <c r="U186" i="9" s="1"/>
  <c r="U187" i="9" a="1"/>
  <c r="U187" i="9" s="1"/>
  <c r="U188" i="9" a="1"/>
  <c r="U188" i="9" s="1"/>
  <c r="U189" i="9" a="1"/>
  <c r="U189" i="9" s="1"/>
  <c r="U190" i="9" a="1"/>
  <c r="U190" i="9" s="1"/>
  <c r="U191" i="9" a="1"/>
  <c r="U191" i="9" s="1"/>
  <c r="U192" i="9" a="1"/>
  <c r="U192" i="9" s="1"/>
  <c r="U193" i="9" a="1"/>
  <c r="U193" i="9" s="1"/>
  <c r="U194" i="9" a="1"/>
  <c r="U194" i="9" s="1"/>
  <c r="U195" i="9" a="1"/>
  <c r="U195" i="9" s="1"/>
  <c r="U196" i="9" a="1"/>
  <c r="U196" i="9" s="1"/>
  <c r="U197" i="9" a="1"/>
  <c r="U197" i="9" s="1"/>
  <c r="U198" i="9" a="1"/>
  <c r="U198" i="9" s="1"/>
  <c r="U199" i="9" a="1"/>
  <c r="U199" i="9" s="1"/>
  <c r="U200" i="9" a="1"/>
  <c r="U200" i="9" s="1"/>
  <c r="U201" i="9" a="1"/>
  <c r="U201" i="9" s="1"/>
  <c r="U202" i="9" a="1"/>
  <c r="U202" i="9" s="1"/>
  <c r="U203" i="9" a="1"/>
  <c r="U203" i="9" s="1"/>
  <c r="U204" i="9" a="1"/>
  <c r="U204" i="9" s="1"/>
  <c r="U205" i="9" a="1"/>
  <c r="U205" i="9" s="1"/>
  <c r="U206" i="9" a="1"/>
  <c r="U206" i="9" s="1"/>
  <c r="U207" i="9" a="1"/>
  <c r="U207" i="9" s="1"/>
  <c r="U208" i="9" a="1"/>
  <c r="U208" i="9" s="1"/>
  <c r="U209" i="9" a="1"/>
  <c r="U209" i="9" s="1"/>
  <c r="U210" i="9" a="1"/>
  <c r="U210" i="9" s="1"/>
  <c r="U211" i="9" a="1"/>
  <c r="U211" i="9" s="1"/>
  <c r="U212" i="9" a="1"/>
  <c r="U212" i="9" s="1"/>
  <c r="U213" i="9" a="1"/>
  <c r="U213" i="9" s="1"/>
  <c r="U214" i="9" a="1"/>
  <c r="U214" i="9" s="1"/>
  <c r="U215" i="9" a="1"/>
  <c r="U215" i="9" s="1"/>
  <c r="U216" i="9" a="1"/>
  <c r="U216" i="9" s="1"/>
  <c r="U217" i="9" a="1"/>
  <c r="U217" i="9" s="1"/>
  <c r="U218" i="9" a="1"/>
  <c r="U218" i="9" s="1"/>
  <c r="U219" i="9" a="1"/>
  <c r="U219" i="9" s="1"/>
  <c r="U220" i="9" a="1"/>
  <c r="U220" i="9" s="1"/>
  <c r="U221" i="9" a="1"/>
  <c r="U221" i="9" s="1"/>
  <c r="U222" i="9" a="1"/>
  <c r="U222" i="9" s="1"/>
  <c r="U223" i="9" a="1"/>
  <c r="U223" i="9" s="1"/>
  <c r="U224" i="9" a="1"/>
  <c r="U224" i="9" s="1"/>
  <c r="U225" i="9" a="1"/>
  <c r="U225" i="9" s="1"/>
  <c r="U226" i="9" a="1"/>
  <c r="U226" i="9" s="1"/>
  <c r="U227" i="9" a="1"/>
  <c r="U227" i="9" s="1"/>
  <c r="U228" i="9" a="1"/>
  <c r="U228" i="9" s="1"/>
  <c r="U229" i="9" a="1"/>
  <c r="U229" i="9" s="1"/>
  <c r="U230" i="9" a="1"/>
  <c r="U230" i="9" s="1"/>
  <c r="U231" i="9" a="1"/>
  <c r="U231" i="9" s="1"/>
  <c r="U232" i="9" a="1"/>
  <c r="U232" i="9" s="1"/>
  <c r="U233" i="9" a="1"/>
  <c r="U233" i="9" s="1"/>
  <c r="U234" i="9" a="1"/>
  <c r="U234" i="9" s="1"/>
  <c r="U235" i="9" a="1"/>
  <c r="U235" i="9" s="1"/>
  <c r="U236" i="9" a="1"/>
  <c r="U236" i="9" s="1"/>
  <c r="U237" i="9" a="1"/>
  <c r="U237" i="9" s="1"/>
  <c r="U238" i="9" a="1"/>
  <c r="U238" i="9" s="1"/>
  <c r="U239" i="9" a="1"/>
  <c r="U239" i="9" s="1"/>
  <c r="U240" i="9" a="1"/>
  <c r="U240" i="9" s="1"/>
  <c r="U241" i="9" a="1"/>
  <c r="U241" i="9" s="1"/>
  <c r="U242" i="9" a="1"/>
  <c r="U242" i="9" s="1"/>
  <c r="U243" i="9" a="1"/>
  <c r="U243" i="9" s="1"/>
  <c r="U244" i="9" a="1"/>
  <c r="U244" i="9" s="1"/>
  <c r="U245" i="9" a="1"/>
  <c r="U245" i="9" s="1"/>
  <c r="U246" i="9" a="1"/>
  <c r="U246" i="9" s="1"/>
  <c r="U247" i="9" a="1"/>
  <c r="U247" i="9" s="1"/>
  <c r="U248" i="9" a="1"/>
  <c r="U248" i="9" s="1"/>
  <c r="U249" i="9" a="1"/>
  <c r="U249" i="9" s="1"/>
  <c r="U250" i="9" a="1"/>
  <c r="U250" i="9" s="1"/>
  <c r="U251" i="9" a="1"/>
  <c r="U251" i="9" s="1"/>
  <c r="U252" i="9" a="1"/>
  <c r="U252" i="9" s="1"/>
  <c r="U253" i="9" a="1"/>
  <c r="U253" i="9" s="1"/>
  <c r="U254" i="9" a="1"/>
  <c r="U254" i="9" s="1"/>
  <c r="U255" i="9" a="1"/>
  <c r="U255" i="9" s="1"/>
  <c r="U256" i="9" a="1"/>
  <c r="U256" i="9" s="1"/>
  <c r="U257" i="9" a="1"/>
  <c r="U257" i="9" s="1"/>
  <c r="U258" i="9" a="1"/>
  <c r="U258" i="9" s="1"/>
  <c r="U259" i="9" a="1"/>
  <c r="U259" i="9" s="1"/>
  <c r="U260" i="9" a="1"/>
  <c r="U260" i="9" s="1"/>
  <c r="U261" i="9" a="1"/>
  <c r="U261" i="9" s="1"/>
  <c r="U262" i="9" a="1"/>
  <c r="U262" i="9" s="1"/>
  <c r="U263" i="9" a="1"/>
  <c r="U263" i="9" s="1"/>
  <c r="U264" i="9" a="1"/>
  <c r="U264" i="9" s="1"/>
  <c r="U265" i="9" a="1"/>
  <c r="U265" i="9" s="1"/>
  <c r="U266" i="9" a="1"/>
  <c r="U266" i="9" s="1"/>
  <c r="U267" i="9" a="1"/>
  <c r="U267" i="9" s="1"/>
  <c r="U268" i="9" a="1"/>
  <c r="U268" i="9" s="1"/>
  <c r="U269" i="9" a="1"/>
  <c r="U269" i="9" s="1"/>
  <c r="U270" i="9" a="1"/>
  <c r="U270" i="9" s="1"/>
  <c r="U271" i="9" a="1"/>
  <c r="U271" i="9" s="1"/>
  <c r="U272" i="9" a="1"/>
  <c r="U272" i="9" s="1"/>
  <c r="U273" i="9" a="1"/>
  <c r="U273" i="9" s="1"/>
  <c r="U274" i="9" a="1"/>
  <c r="U274" i="9" s="1"/>
  <c r="U275" i="9" a="1"/>
  <c r="U275" i="9" s="1"/>
  <c r="U276" i="9" a="1"/>
  <c r="U276" i="9" s="1"/>
  <c r="U277" i="9" a="1"/>
  <c r="U277" i="9" s="1"/>
  <c r="U278" i="9" a="1"/>
  <c r="U278" i="9" s="1"/>
  <c r="U279" i="9" a="1"/>
  <c r="U279" i="9" s="1"/>
  <c r="U280" i="9" a="1"/>
  <c r="U280" i="9" s="1"/>
  <c r="U281" i="9" a="1"/>
  <c r="U281" i="9" s="1"/>
  <c r="U282" i="9" a="1"/>
  <c r="U282" i="9" s="1"/>
  <c r="U283" i="9" a="1"/>
  <c r="U283" i="9" s="1"/>
  <c r="U284" i="9" a="1"/>
  <c r="U284" i="9" s="1"/>
  <c r="U285" i="9" a="1"/>
  <c r="U285" i="9" s="1"/>
  <c r="U286" i="9" a="1"/>
  <c r="U286" i="9" s="1"/>
  <c r="U287" i="9" a="1"/>
  <c r="U287" i="9" s="1"/>
  <c r="U288" i="9" a="1"/>
  <c r="U288" i="9" s="1"/>
  <c r="U289" i="9" a="1"/>
  <c r="U289" i="9" s="1"/>
  <c r="U290" i="9" a="1"/>
  <c r="U290" i="9" s="1"/>
  <c r="U291" i="9" a="1"/>
  <c r="U291" i="9" s="1"/>
  <c r="U292" i="9" a="1"/>
  <c r="U292" i="9" s="1"/>
  <c r="U293" i="9" a="1"/>
  <c r="U293" i="9" s="1"/>
  <c r="U294" i="9" a="1"/>
  <c r="U294" i="9" s="1"/>
  <c r="U295" i="9" a="1"/>
  <c r="U295" i="9" s="1"/>
  <c r="U296" i="9" a="1"/>
  <c r="U296" i="9" s="1"/>
  <c r="U297" i="9" a="1"/>
  <c r="U297" i="9" s="1"/>
  <c r="U298" i="9" a="1"/>
  <c r="U298" i="9" s="1"/>
  <c r="U299" i="9" a="1"/>
  <c r="U299" i="9" s="1"/>
  <c r="U300" i="9" a="1"/>
  <c r="U300" i="9" s="1"/>
  <c r="U301" i="9" a="1"/>
  <c r="U301" i="9" s="1"/>
  <c r="U302" i="9" a="1"/>
  <c r="U302" i="9" s="1"/>
  <c r="U303" i="9" a="1"/>
  <c r="U303" i="9" s="1"/>
  <c r="U304" i="9" a="1"/>
  <c r="U304" i="9" s="1"/>
  <c r="U305" i="9" a="1"/>
  <c r="U305" i="9" s="1"/>
  <c r="U306" i="9" a="1"/>
  <c r="U306" i="9" s="1"/>
  <c r="U307" i="9" a="1"/>
  <c r="U307" i="9" s="1"/>
  <c r="U308" i="9" a="1"/>
  <c r="U308" i="9" s="1"/>
  <c r="U309" i="9" a="1"/>
  <c r="U309" i="9" s="1"/>
  <c r="U310" i="9" a="1"/>
  <c r="U310" i="9" s="1"/>
  <c r="U311" i="9" a="1"/>
  <c r="U311" i="9" s="1"/>
  <c r="U312" i="9" a="1"/>
  <c r="U312" i="9" s="1"/>
  <c r="U313" i="9" a="1"/>
  <c r="U313" i="9" s="1"/>
  <c r="U314" i="9" a="1"/>
  <c r="U314" i="9" s="1"/>
  <c r="U315" i="9" a="1"/>
  <c r="U315" i="9" s="1"/>
  <c r="U316" i="9" a="1"/>
  <c r="U316" i="9" s="1"/>
  <c r="U317" i="9" a="1"/>
  <c r="U317" i="9" s="1"/>
  <c r="U318" i="9" a="1"/>
  <c r="U318" i="9" s="1"/>
  <c r="U319" i="9" a="1"/>
  <c r="U319" i="9" s="1"/>
  <c r="U320" i="9" a="1"/>
  <c r="U320" i="9" s="1"/>
  <c r="U321" i="9" a="1"/>
  <c r="U321" i="9" s="1"/>
  <c r="U322" i="9" a="1"/>
  <c r="U322" i="9" s="1"/>
  <c r="U323" i="9" a="1"/>
  <c r="U323" i="9" s="1"/>
  <c r="U324" i="9" a="1"/>
  <c r="U324" i="9" s="1"/>
  <c r="U325" i="9" a="1"/>
  <c r="U325" i="9" s="1"/>
  <c r="U326" i="9" a="1"/>
  <c r="U326" i="9" s="1"/>
  <c r="U327" i="9" a="1"/>
  <c r="U327" i="9" s="1"/>
  <c r="U328" i="9" a="1"/>
  <c r="U328" i="9" s="1"/>
  <c r="U329" i="9" a="1"/>
  <c r="U329" i="9" s="1"/>
  <c r="U330" i="9" a="1"/>
  <c r="U330" i="9" s="1"/>
  <c r="U331" i="9" a="1"/>
  <c r="U331" i="9" s="1"/>
  <c r="U332" i="9" a="1"/>
  <c r="U332" i="9" s="1"/>
  <c r="U333" i="9" a="1"/>
  <c r="U333" i="9" s="1"/>
  <c r="U334" i="9" a="1"/>
  <c r="U334" i="9" s="1"/>
  <c r="U335" i="9" a="1"/>
  <c r="U335" i="9" s="1"/>
  <c r="U336" i="9" a="1"/>
  <c r="U336" i="9" s="1"/>
  <c r="U337" i="9" a="1"/>
  <c r="U337" i="9" s="1"/>
  <c r="U338" i="9" a="1"/>
  <c r="U338" i="9" s="1"/>
  <c r="U339" i="9" a="1"/>
  <c r="U339" i="9" s="1"/>
  <c r="U340" i="9" a="1"/>
  <c r="U340" i="9" s="1"/>
  <c r="U341" i="9" a="1"/>
  <c r="U341" i="9" s="1"/>
  <c r="U342" i="9" a="1"/>
  <c r="U342" i="9" s="1"/>
  <c r="U343" i="9" a="1"/>
  <c r="U343" i="9" s="1"/>
  <c r="U344" i="9" a="1"/>
  <c r="U344" i="9" s="1"/>
  <c r="U345" i="9" a="1"/>
  <c r="U345" i="9" s="1"/>
  <c r="U346" i="9" a="1"/>
  <c r="U346" i="9" s="1"/>
  <c r="U347" i="9" a="1"/>
  <c r="U347" i="9" s="1"/>
  <c r="U348" i="9" a="1"/>
  <c r="U348" i="9" s="1"/>
  <c r="U349" i="9" a="1"/>
  <c r="U349" i="9" s="1"/>
  <c r="U350" i="9" a="1"/>
  <c r="U350" i="9" s="1"/>
  <c r="U351" i="9" a="1"/>
  <c r="U351" i="9" s="1"/>
  <c r="U352" i="9" a="1"/>
  <c r="U352" i="9" s="1"/>
  <c r="U353" i="9" a="1"/>
  <c r="U353" i="9" s="1"/>
  <c r="U354" i="9" a="1"/>
  <c r="U354" i="9" s="1"/>
  <c r="U355" i="9" a="1"/>
  <c r="U355" i="9" s="1"/>
  <c r="U356" i="9" a="1"/>
  <c r="U356" i="9" s="1"/>
  <c r="U357" i="9" a="1"/>
  <c r="U357" i="9" s="1"/>
  <c r="U358" i="9" a="1"/>
  <c r="U358" i="9" s="1"/>
  <c r="U359" i="9" a="1"/>
  <c r="U359" i="9" s="1"/>
  <c r="U360" i="9" a="1"/>
  <c r="U360" i="9" s="1"/>
  <c r="U361" i="9" a="1"/>
  <c r="U361" i="9"/>
  <c r="U362" i="9" a="1"/>
  <c r="U362" i="9" s="1"/>
  <c r="U363" i="9" a="1"/>
  <c r="U363" i="9" s="1"/>
  <c r="U364" i="9" a="1"/>
  <c r="U364" i="9" s="1"/>
  <c r="U365" i="9" a="1"/>
  <c r="U365" i="9" s="1"/>
  <c r="U366" i="9" a="1"/>
  <c r="U366" i="9" s="1"/>
  <c r="U367" i="9" a="1"/>
  <c r="U367" i="9" s="1"/>
  <c r="U368" i="9" a="1"/>
  <c r="U368" i="9" s="1"/>
  <c r="U369" i="9" a="1"/>
  <c r="U369" i="9" s="1"/>
  <c r="U370" i="9" a="1"/>
  <c r="U370" i="9" s="1"/>
  <c r="U371" i="9" a="1"/>
  <c r="U371" i="9" s="1"/>
  <c r="U372" i="9" a="1"/>
  <c r="U372" i="9" s="1"/>
  <c r="U373" i="9" a="1"/>
  <c r="U373" i="9" s="1"/>
  <c r="U374" i="9" a="1"/>
  <c r="U374" i="9" s="1"/>
  <c r="U375" i="9" a="1"/>
  <c r="U375" i="9" s="1"/>
  <c r="U376" i="9" a="1"/>
  <c r="U376" i="9" s="1"/>
  <c r="U377" i="9" a="1"/>
  <c r="U377" i="9" s="1"/>
  <c r="U378" i="9" a="1"/>
  <c r="U378" i="9" s="1"/>
  <c r="U379" i="9" a="1"/>
  <c r="U379" i="9" s="1"/>
  <c r="U380" i="9" a="1"/>
  <c r="U380" i="9" s="1"/>
  <c r="U381" i="9" a="1"/>
  <c r="U381" i="9" s="1"/>
  <c r="U382" i="9" a="1"/>
  <c r="U382" i="9" s="1"/>
  <c r="U383" i="9" a="1"/>
  <c r="U383" i="9" s="1"/>
  <c r="U384" i="9" a="1"/>
  <c r="U384" i="9" s="1"/>
  <c r="U385" i="9" a="1"/>
  <c r="U385" i="9" s="1"/>
  <c r="U386" i="9" a="1"/>
  <c r="U386" i="9" s="1"/>
  <c r="U387" i="9" a="1"/>
  <c r="U387" i="9" s="1"/>
  <c r="U388" i="9" a="1"/>
  <c r="U388" i="9" s="1"/>
  <c r="U389" i="9" a="1"/>
  <c r="U389" i="9" s="1"/>
  <c r="U390" i="9" a="1"/>
  <c r="U390" i="9" s="1"/>
  <c r="U391" i="9" a="1"/>
  <c r="U391" i="9" s="1"/>
  <c r="U392" i="9" a="1"/>
  <c r="U392" i="9" s="1"/>
  <c r="U393" i="9" a="1"/>
  <c r="U393" i="9" s="1"/>
  <c r="U394" i="9" a="1"/>
  <c r="U394" i="9" s="1"/>
  <c r="U395" i="9" a="1"/>
  <c r="U395" i="9" s="1"/>
  <c r="U396" i="9" a="1"/>
  <c r="U396" i="9" s="1"/>
  <c r="U397" i="9" a="1"/>
  <c r="U397" i="9" s="1"/>
  <c r="U398" i="9" a="1"/>
  <c r="U398" i="9" s="1"/>
  <c r="U399" i="9" a="1"/>
  <c r="U399" i="9" s="1"/>
  <c r="U400" i="9" a="1"/>
  <c r="U400" i="9" s="1"/>
  <c r="U401" i="9" a="1"/>
  <c r="U401" i="9" s="1"/>
  <c r="U402" i="9" a="1"/>
  <c r="U402" i="9" s="1"/>
  <c r="U403" i="9" a="1"/>
  <c r="U403" i="9" s="1"/>
  <c r="U404" i="9" a="1"/>
  <c r="U404" i="9" s="1"/>
  <c r="U405" i="9" a="1"/>
  <c r="U405" i="9" s="1"/>
  <c r="U406" i="9" a="1"/>
  <c r="U406" i="9" s="1"/>
  <c r="U407" i="9" a="1"/>
  <c r="U407" i="9" s="1"/>
  <c r="U408" i="9" a="1"/>
  <c r="U408" i="9" s="1"/>
  <c r="U409" i="9" a="1"/>
  <c r="U409" i="9" s="1"/>
  <c r="U410" i="9" a="1"/>
  <c r="U410" i="9" s="1"/>
  <c r="U411" i="9" a="1"/>
  <c r="U411" i="9" s="1"/>
  <c r="U412" i="9" a="1"/>
  <c r="U412" i="9" s="1"/>
  <c r="U413" i="9" a="1"/>
  <c r="U413" i="9" s="1"/>
  <c r="U414" i="9" a="1"/>
  <c r="U414" i="9" s="1"/>
  <c r="U415" i="9" a="1"/>
  <c r="U415" i="9" s="1"/>
  <c r="U416" i="9" a="1"/>
  <c r="U416" i="9" s="1"/>
  <c r="U417" i="9" a="1"/>
  <c r="U417" i="9" s="1"/>
  <c r="U418" i="9" a="1"/>
  <c r="U418" i="9" s="1"/>
  <c r="U419" i="9" a="1"/>
  <c r="U419" i="9" s="1"/>
  <c r="U420" i="9" a="1"/>
  <c r="U420" i="9" s="1"/>
  <c r="U421" i="9" a="1"/>
  <c r="U421" i="9" s="1"/>
  <c r="U422" i="9" a="1"/>
  <c r="U422" i="9" s="1"/>
  <c r="U423" i="9" a="1"/>
  <c r="U423" i="9" s="1"/>
  <c r="U424" i="9" a="1"/>
  <c r="U424" i="9" s="1"/>
  <c r="U425" i="9" a="1"/>
  <c r="U425" i="9" s="1"/>
  <c r="U426" i="9" a="1"/>
  <c r="U426" i="9" s="1"/>
  <c r="U427" i="9" a="1"/>
  <c r="U427" i="9" s="1"/>
  <c r="U428" i="9" a="1"/>
  <c r="U428" i="9" s="1"/>
  <c r="U429" i="9" a="1"/>
  <c r="U429" i="9" s="1"/>
  <c r="U430" i="9" a="1"/>
  <c r="U430" i="9" s="1"/>
  <c r="U431" i="9" a="1"/>
  <c r="U431" i="9" s="1"/>
  <c r="U432" i="9" a="1"/>
  <c r="U432" i="9" s="1"/>
  <c r="U433" i="9" a="1"/>
  <c r="U433" i="9" s="1"/>
  <c r="U434" i="9" a="1"/>
  <c r="U434" i="9" s="1"/>
  <c r="U435" i="9" a="1"/>
  <c r="U435" i="9" s="1"/>
  <c r="U436" i="9" a="1"/>
  <c r="U436" i="9" s="1"/>
  <c r="U437" i="9" a="1"/>
  <c r="U437" i="9" s="1"/>
  <c r="U438" i="9" a="1"/>
  <c r="U438" i="9" s="1"/>
  <c r="U439" i="9" a="1"/>
  <c r="U439" i="9" s="1"/>
  <c r="U440" i="9" a="1"/>
  <c r="U440" i="9" s="1"/>
  <c r="U441" i="9" a="1"/>
  <c r="U441" i="9" s="1"/>
  <c r="U442" i="9" a="1"/>
  <c r="U442" i="9" s="1"/>
  <c r="U443" i="9" a="1"/>
  <c r="U443" i="9" s="1"/>
  <c r="U444" i="9" a="1"/>
  <c r="U444" i="9" s="1"/>
  <c r="U445" i="9" a="1"/>
  <c r="U445" i="9" s="1"/>
  <c r="U446" i="9" a="1"/>
  <c r="U446" i="9" s="1"/>
  <c r="U447" i="9" a="1"/>
  <c r="U447" i="9" s="1"/>
  <c r="U448" i="9" a="1"/>
  <c r="U448" i="9" s="1"/>
  <c r="U449" i="9" a="1"/>
  <c r="U449" i="9" s="1"/>
  <c r="U450" i="9" a="1"/>
  <c r="U450" i="9" s="1"/>
  <c r="U451" i="9" a="1"/>
  <c r="U451" i="9" s="1"/>
  <c r="U452" i="9" a="1"/>
  <c r="U452" i="9" s="1"/>
  <c r="U453" i="9" a="1"/>
  <c r="U453" i="9" s="1"/>
  <c r="U454" i="9" a="1"/>
  <c r="U454" i="9" s="1"/>
  <c r="U455" i="9" a="1"/>
  <c r="U455" i="9" s="1"/>
  <c r="U456" i="9" a="1"/>
  <c r="U456" i="9" s="1"/>
  <c r="U457" i="9" a="1"/>
  <c r="U457" i="9" s="1"/>
  <c r="U458" i="9" a="1"/>
  <c r="U458" i="9" s="1"/>
  <c r="U459" i="9" a="1"/>
  <c r="U459" i="9" s="1"/>
  <c r="U460" i="9" a="1"/>
  <c r="U460" i="9" s="1"/>
  <c r="U461" i="9" a="1"/>
  <c r="U461" i="9" s="1"/>
  <c r="U462" i="9" a="1"/>
  <c r="U462" i="9" s="1"/>
  <c r="U463" i="9" a="1"/>
  <c r="U463" i="9" s="1"/>
  <c r="U464" i="9" a="1"/>
  <c r="U464" i="9" s="1"/>
  <c r="U465" i="9" a="1"/>
  <c r="U465" i="9" s="1"/>
  <c r="U466" i="9" a="1"/>
  <c r="U466" i="9" s="1"/>
  <c r="U467" i="9" a="1"/>
  <c r="U467" i="9" s="1"/>
  <c r="U468" i="9" a="1"/>
  <c r="U468" i="9" s="1"/>
  <c r="U469" i="9" a="1"/>
  <c r="U469" i="9" s="1"/>
  <c r="U470" i="9" a="1"/>
  <c r="U470" i="9"/>
  <c r="U471" i="9" a="1"/>
  <c r="U471" i="9" s="1"/>
  <c r="U472" i="9" a="1"/>
  <c r="U472" i="9" s="1"/>
  <c r="U473" i="9" a="1"/>
  <c r="U473" i="9" s="1"/>
  <c r="U474" i="9" a="1"/>
  <c r="U474" i="9" s="1"/>
  <c r="U475" i="9" a="1"/>
  <c r="U475" i="9" s="1"/>
  <c r="U476" i="9" a="1"/>
  <c r="U476" i="9" s="1"/>
  <c r="U477" i="9" a="1"/>
  <c r="U477" i="9" s="1"/>
  <c r="U478" i="9" a="1"/>
  <c r="U478" i="9" s="1"/>
  <c r="U479" i="9" a="1"/>
  <c r="U479" i="9" s="1"/>
  <c r="U480" i="9" a="1"/>
  <c r="U480" i="9" s="1"/>
  <c r="U481" i="9" a="1"/>
  <c r="U481" i="9" s="1"/>
  <c r="U482" i="9" a="1"/>
  <c r="U482" i="9" s="1"/>
  <c r="U483" i="9" a="1"/>
  <c r="U483" i="9" s="1"/>
  <c r="U484" i="9" a="1"/>
  <c r="U484" i="9" s="1"/>
  <c r="U485" i="9" a="1"/>
  <c r="U485" i="9" s="1"/>
  <c r="U486" i="9" a="1"/>
  <c r="U486" i="9" s="1"/>
  <c r="U487" i="9" a="1"/>
  <c r="U487" i="9" s="1"/>
  <c r="U488" i="9" a="1"/>
  <c r="U488" i="9" s="1"/>
  <c r="U489" i="9" a="1"/>
  <c r="U489" i="9" s="1"/>
  <c r="U490" i="9" a="1"/>
  <c r="U490" i="9" s="1"/>
  <c r="U491" i="9" a="1"/>
  <c r="U491" i="9" s="1"/>
  <c r="U492" i="9" a="1"/>
  <c r="U492" i="9" s="1"/>
  <c r="U493" i="9" a="1"/>
  <c r="U493" i="9" s="1"/>
  <c r="U494" i="9" a="1"/>
  <c r="U494" i="9" s="1"/>
  <c r="U495" i="9" a="1"/>
  <c r="U495" i="9" s="1"/>
  <c r="U496" i="9" a="1"/>
  <c r="U496" i="9" s="1"/>
  <c r="U497" i="9" a="1"/>
  <c r="U497" i="9" s="1"/>
  <c r="U498" i="9" a="1"/>
  <c r="U498" i="9" s="1"/>
  <c r="U499" i="9" a="1"/>
  <c r="U499" i="9" s="1"/>
  <c r="U500" i="9" a="1"/>
  <c r="U500" i="9" s="1"/>
  <c r="U501" i="9" a="1"/>
  <c r="U501" i="9" s="1"/>
  <c r="U502" i="9" a="1"/>
  <c r="U502" i="9" s="1"/>
  <c r="U503" i="9" a="1"/>
  <c r="U503" i="9" s="1"/>
  <c r="U504" i="9" a="1"/>
  <c r="U504" i="9" s="1"/>
  <c r="U505" i="9" a="1"/>
  <c r="U505" i="9" s="1"/>
  <c r="U506" i="9" a="1"/>
  <c r="U506" i="9" s="1"/>
  <c r="U507" i="9" a="1"/>
  <c r="U507" i="9" s="1"/>
  <c r="U508" i="9" a="1"/>
  <c r="U508" i="9" s="1"/>
  <c r="U509" i="9" a="1"/>
  <c r="U509" i="9" s="1"/>
  <c r="U510" i="9" a="1"/>
  <c r="U510" i="9" s="1"/>
  <c r="U511" i="9" a="1"/>
  <c r="U511" i="9" s="1"/>
  <c r="U512" i="9" a="1"/>
  <c r="U512" i="9" s="1"/>
  <c r="U513" i="9" a="1"/>
  <c r="U513" i="9" s="1"/>
  <c r="U514" i="9" a="1"/>
  <c r="U514" i="9" s="1"/>
  <c r="U515" i="9" a="1"/>
  <c r="U515" i="9" s="1"/>
  <c r="U516" i="9" a="1"/>
  <c r="U516" i="9" s="1"/>
  <c r="U517" i="9" a="1"/>
  <c r="U517" i="9" s="1"/>
  <c r="U518" i="9" a="1"/>
  <c r="U518" i="9" s="1"/>
  <c r="U519" i="9" a="1"/>
  <c r="U519" i="9" s="1"/>
  <c r="U520" i="9" a="1"/>
  <c r="U520" i="9" s="1"/>
  <c r="U521" i="9" a="1"/>
  <c r="U521" i="9" s="1"/>
  <c r="U522" i="9" a="1"/>
  <c r="U522" i="9" s="1"/>
  <c r="U523" i="9" a="1"/>
  <c r="U523" i="9" s="1"/>
  <c r="U524" i="9" a="1"/>
  <c r="U524" i="9" s="1"/>
  <c r="U525" i="9" a="1"/>
  <c r="U525" i="9" s="1"/>
  <c r="U526" i="9" a="1"/>
  <c r="U526" i="9" s="1"/>
  <c r="U527" i="9" a="1"/>
  <c r="U527" i="9" s="1"/>
  <c r="U528" i="9" a="1"/>
  <c r="U528" i="9"/>
  <c r="U529" i="9" a="1"/>
  <c r="U529" i="9" s="1"/>
  <c r="U530" i="9" a="1"/>
  <c r="U530" i="9" s="1"/>
  <c r="U531" i="9" a="1"/>
  <c r="U531" i="9" s="1"/>
  <c r="U532" i="9" a="1"/>
  <c r="U532" i="9" s="1"/>
  <c r="U533" i="9" a="1"/>
  <c r="U533" i="9" s="1"/>
  <c r="U534" i="9" a="1"/>
  <c r="U534" i="9" s="1"/>
  <c r="U535" i="9" a="1"/>
  <c r="U535" i="9" s="1"/>
  <c r="U536" i="9" a="1"/>
  <c r="U536" i="9" s="1"/>
  <c r="U537" i="9" a="1"/>
  <c r="U537" i="9" s="1"/>
  <c r="U538" i="9" a="1"/>
  <c r="U538" i="9" s="1"/>
  <c r="U539" i="9" a="1"/>
  <c r="U539" i="9" s="1"/>
  <c r="U540" i="9" a="1"/>
  <c r="U540" i="9" s="1"/>
  <c r="U541" i="9" a="1"/>
  <c r="U541" i="9" s="1"/>
  <c r="U542" i="9" a="1"/>
  <c r="U542" i="9" s="1"/>
  <c r="U543" i="9" a="1"/>
  <c r="U543" i="9" s="1"/>
  <c r="U544" i="9" a="1"/>
  <c r="U544" i="9" s="1"/>
  <c r="U545" i="9" a="1"/>
  <c r="U545" i="9" s="1"/>
  <c r="U546" i="9" a="1"/>
  <c r="U546" i="9" s="1"/>
  <c r="U547" i="9" a="1"/>
  <c r="U547" i="9" s="1"/>
  <c r="U548" i="9" a="1"/>
  <c r="U548" i="9" s="1"/>
  <c r="U549" i="9" a="1"/>
  <c r="U549" i="9" s="1"/>
  <c r="U550" i="9" a="1"/>
  <c r="U550" i="9" s="1"/>
  <c r="U551" i="9" a="1"/>
  <c r="U551" i="9" s="1"/>
  <c r="U552" i="9" a="1"/>
  <c r="U552" i="9" s="1"/>
  <c r="U553" i="9" a="1"/>
  <c r="U553" i="9" s="1"/>
  <c r="U554" i="9" a="1"/>
  <c r="U554" i="9" s="1"/>
  <c r="U555" i="9" a="1"/>
  <c r="U555" i="9" s="1"/>
  <c r="U556" i="9" a="1"/>
  <c r="U556" i="9" s="1"/>
  <c r="U557" i="9" a="1"/>
  <c r="U557" i="9" s="1"/>
  <c r="U558" i="9" a="1"/>
  <c r="U558" i="9" s="1"/>
  <c r="U559" i="9" a="1"/>
  <c r="U559" i="9" s="1"/>
  <c r="U560" i="9" a="1"/>
  <c r="U560" i="9" s="1"/>
  <c r="U561" i="9" a="1"/>
  <c r="U561" i="9" s="1"/>
  <c r="U562" i="9" a="1"/>
  <c r="U562" i="9" s="1"/>
  <c r="U563" i="9" a="1"/>
  <c r="U563" i="9" s="1"/>
  <c r="U564" i="9" a="1"/>
  <c r="U564" i="9" s="1"/>
  <c r="U565" i="9" a="1"/>
  <c r="U565" i="9" s="1"/>
  <c r="U566" i="9" a="1"/>
  <c r="U566" i="9" s="1"/>
  <c r="U567" i="9" a="1"/>
  <c r="U567" i="9" s="1"/>
  <c r="U568" i="9" a="1"/>
  <c r="U568" i="9" s="1"/>
  <c r="U569" i="9" a="1"/>
  <c r="U569" i="9" s="1"/>
  <c r="U570" i="9" a="1"/>
  <c r="U570" i="9" s="1"/>
  <c r="U571" i="9" a="1"/>
  <c r="U571" i="9" s="1"/>
  <c r="U572" i="9" a="1"/>
  <c r="U572" i="9" s="1"/>
  <c r="U573" i="9" a="1"/>
  <c r="U573" i="9" s="1"/>
  <c r="U574" i="9" a="1"/>
  <c r="U574" i="9" s="1"/>
  <c r="U575" i="9" a="1"/>
  <c r="U575" i="9" s="1"/>
  <c r="U576" i="9" a="1"/>
  <c r="U576" i="9" s="1"/>
  <c r="U577" i="9" a="1"/>
  <c r="U577" i="9" s="1"/>
  <c r="U578" i="9" a="1"/>
  <c r="U578" i="9" s="1"/>
  <c r="U579" i="9" a="1"/>
  <c r="U579" i="9" s="1"/>
  <c r="U580" i="9" a="1"/>
  <c r="U580" i="9" s="1"/>
  <c r="U581" i="9" a="1"/>
  <c r="U581" i="9" s="1"/>
  <c r="U582" i="9" a="1"/>
  <c r="U582" i="9" s="1"/>
  <c r="U583" i="9" a="1"/>
  <c r="U583" i="9" s="1"/>
  <c r="U584" i="9" a="1"/>
  <c r="U584" i="9" s="1"/>
  <c r="U585" i="9" a="1"/>
  <c r="U585" i="9" s="1"/>
  <c r="U586" i="9" a="1"/>
  <c r="U586" i="9" s="1"/>
  <c r="U587" i="9" a="1"/>
  <c r="U587" i="9" s="1"/>
  <c r="U588" i="9" a="1"/>
  <c r="U588" i="9" s="1"/>
  <c r="U589" i="9" a="1"/>
  <c r="U589" i="9" s="1"/>
  <c r="U590" i="9" a="1"/>
  <c r="U590" i="9" s="1"/>
  <c r="U591" i="9" a="1"/>
  <c r="U591" i="9" s="1"/>
  <c r="U592" i="9" a="1"/>
  <c r="U592" i="9" s="1"/>
  <c r="U593" i="9" a="1"/>
  <c r="U593" i="9" s="1"/>
  <c r="U594" i="9" a="1"/>
  <c r="U594" i="9" s="1"/>
  <c r="U595" i="9" a="1"/>
  <c r="U595" i="9" s="1"/>
  <c r="U596" i="9" a="1"/>
  <c r="U596" i="9" s="1"/>
  <c r="U597" i="9" a="1"/>
  <c r="U597" i="9" s="1"/>
  <c r="U598" i="9" a="1"/>
  <c r="U598" i="9" s="1"/>
  <c r="U599" i="9" a="1"/>
  <c r="U599" i="9" s="1"/>
  <c r="U600" i="9" a="1"/>
  <c r="U600" i="9" s="1"/>
  <c r="U601" i="9" a="1"/>
  <c r="U601" i="9" s="1"/>
  <c r="U602" i="9" a="1"/>
  <c r="U602" i="9" s="1"/>
  <c r="U603" i="9" a="1"/>
  <c r="U603" i="9" s="1"/>
  <c r="U604" i="9" a="1"/>
  <c r="U604" i="9" s="1"/>
  <c r="U605" i="9" a="1"/>
  <c r="U605" i="9" s="1"/>
  <c r="U606" i="9" a="1"/>
  <c r="U606" i="9" s="1"/>
  <c r="U607" i="9" a="1"/>
  <c r="U607" i="9" s="1"/>
  <c r="U608" i="9" a="1"/>
  <c r="U608" i="9" s="1"/>
  <c r="U609" i="9" a="1"/>
  <c r="U609" i="9" s="1"/>
  <c r="U610" i="9" a="1"/>
  <c r="U610" i="9" s="1"/>
  <c r="U611" i="9" a="1"/>
  <c r="U611" i="9" s="1"/>
  <c r="U612" i="9" a="1"/>
  <c r="U612" i="9" s="1"/>
  <c r="U613" i="9" a="1"/>
  <c r="U613" i="9" s="1"/>
  <c r="U614" i="9" a="1"/>
  <c r="U614" i="9" s="1"/>
  <c r="U615" i="9" a="1"/>
  <c r="U615" i="9" s="1"/>
  <c r="U616" i="9" a="1"/>
  <c r="U616" i="9" s="1"/>
  <c r="U617" i="9" a="1"/>
  <c r="U617" i="9" s="1"/>
  <c r="U618" i="9" a="1"/>
  <c r="U618" i="9" s="1"/>
  <c r="U619" i="9" a="1"/>
  <c r="U619" i="9" s="1"/>
  <c r="U620" i="9" a="1"/>
  <c r="U620" i="9" s="1"/>
  <c r="U621" i="9" a="1"/>
  <c r="U621" i="9" s="1"/>
  <c r="U622" i="9" a="1"/>
  <c r="U622" i="9" s="1"/>
  <c r="U623" i="9" a="1"/>
  <c r="U623" i="9" s="1"/>
  <c r="U624" i="9" a="1"/>
  <c r="U624" i="9" s="1"/>
  <c r="U625" i="9" a="1"/>
  <c r="U625" i="9" s="1"/>
  <c r="U626" i="9" a="1"/>
  <c r="U626" i="9" s="1"/>
  <c r="U627" i="9" a="1"/>
  <c r="U627" i="9" s="1"/>
  <c r="U628" i="9" a="1"/>
  <c r="U628" i="9" s="1"/>
  <c r="U629" i="9" a="1"/>
  <c r="U629" i="9" s="1"/>
  <c r="U630" i="9" a="1"/>
  <c r="U630" i="9" s="1"/>
  <c r="U631" i="9" a="1"/>
  <c r="U631" i="9" s="1"/>
  <c r="U632" i="9" a="1"/>
  <c r="U632" i="9" s="1"/>
  <c r="U633" i="9" a="1"/>
  <c r="U633" i="9" s="1"/>
  <c r="U634" i="9" a="1"/>
  <c r="U634" i="9" s="1"/>
  <c r="U635" i="9" a="1"/>
  <c r="U635" i="9" s="1"/>
  <c r="U636" i="9" a="1"/>
  <c r="U636" i="9" s="1"/>
  <c r="U637" i="9" a="1"/>
  <c r="U637" i="9" s="1"/>
  <c r="U638" i="9" a="1"/>
  <c r="U638" i="9" s="1"/>
  <c r="U639" i="9" a="1"/>
  <c r="U639" i="9" s="1"/>
  <c r="U640" i="9" a="1"/>
  <c r="U640" i="9" s="1"/>
  <c r="U641" i="9" a="1"/>
  <c r="U641" i="9" s="1"/>
  <c r="U642" i="9" a="1"/>
  <c r="U642" i="9" s="1"/>
  <c r="U643" i="9" a="1"/>
  <c r="U643" i="9" s="1"/>
  <c r="U644" i="9" a="1"/>
  <c r="U644" i="9" s="1"/>
  <c r="U645" i="9" a="1"/>
  <c r="U645" i="9" s="1"/>
  <c r="U646" i="9" a="1"/>
  <c r="U646" i="9" s="1"/>
  <c r="U647" i="9" a="1"/>
  <c r="U647" i="9" s="1"/>
  <c r="U648" i="9" a="1"/>
  <c r="U648" i="9" s="1"/>
  <c r="U649" i="9" a="1"/>
  <c r="U649" i="9" s="1"/>
  <c r="U650" i="9" a="1"/>
  <c r="U650" i="9" s="1"/>
  <c r="U651" i="9" a="1"/>
  <c r="U651" i="9" s="1"/>
  <c r="U652" i="9" a="1"/>
  <c r="U652" i="9" s="1"/>
  <c r="U653" i="9" a="1"/>
  <c r="U653" i="9" s="1"/>
  <c r="U654" i="9" a="1"/>
  <c r="U654" i="9" s="1"/>
  <c r="U655" i="9" a="1"/>
  <c r="U655" i="9" s="1"/>
  <c r="U656" i="9" a="1"/>
  <c r="U656" i="9" s="1"/>
  <c r="U657" i="9" a="1"/>
  <c r="U657" i="9" s="1"/>
  <c r="U658" i="9" a="1"/>
  <c r="U658" i="9" s="1"/>
  <c r="U659" i="9" a="1"/>
  <c r="U659" i="9" s="1"/>
  <c r="U660" i="9" a="1"/>
  <c r="U660" i="9" s="1"/>
  <c r="U661" i="9" a="1"/>
  <c r="U661" i="9" s="1"/>
  <c r="U662" i="9" a="1"/>
  <c r="U662" i="9" s="1"/>
  <c r="U663" i="9" a="1"/>
  <c r="U663" i="9" s="1"/>
  <c r="U664" i="9" a="1"/>
  <c r="U664" i="9" s="1"/>
  <c r="U665" i="9" a="1"/>
  <c r="U665" i="9" s="1"/>
  <c r="U666" i="9" a="1"/>
  <c r="U666" i="9" s="1"/>
  <c r="U667" i="9" a="1"/>
  <c r="U667" i="9" s="1"/>
  <c r="U668" i="9" a="1"/>
  <c r="U668" i="9" s="1"/>
  <c r="U669" i="9" a="1"/>
  <c r="U669" i="9" s="1"/>
  <c r="U670" i="9" a="1"/>
  <c r="U670" i="9" s="1"/>
  <c r="U671" i="9" a="1"/>
  <c r="U671" i="9" s="1"/>
  <c r="U672" i="9" a="1"/>
  <c r="U672" i="9" s="1"/>
  <c r="U673" i="9" a="1"/>
  <c r="U673" i="9" s="1"/>
  <c r="U674" i="9" a="1"/>
  <c r="U674" i="9" s="1"/>
  <c r="U675" i="9" a="1"/>
  <c r="U675" i="9" s="1"/>
  <c r="U676" i="9" a="1"/>
  <c r="U676" i="9" s="1"/>
  <c r="U677" i="9" a="1"/>
  <c r="U677" i="9" s="1"/>
  <c r="U678" i="9" a="1"/>
  <c r="U678" i="9" s="1"/>
  <c r="U679" i="9" a="1"/>
  <c r="U679" i="9" s="1"/>
  <c r="U680" i="9" a="1"/>
  <c r="U680" i="9" s="1"/>
  <c r="U681" i="9" a="1"/>
  <c r="U681" i="9" s="1"/>
  <c r="U682" i="9" a="1"/>
  <c r="U682" i="9" s="1"/>
  <c r="U683" i="9" a="1"/>
  <c r="U683" i="9" s="1"/>
  <c r="U684" i="9" a="1"/>
  <c r="U684" i="9" s="1"/>
  <c r="U685" i="9" a="1"/>
  <c r="U685" i="9" s="1"/>
  <c r="U686" i="9" a="1"/>
  <c r="U686" i="9" s="1"/>
  <c r="U687" i="9" a="1"/>
  <c r="U687" i="9" s="1"/>
  <c r="U688" i="9" a="1"/>
  <c r="U688" i="9" s="1"/>
  <c r="U689" i="9" a="1"/>
  <c r="U689" i="9" s="1"/>
  <c r="U690" i="9" a="1"/>
  <c r="U690" i="9" s="1"/>
  <c r="U691" i="9" a="1"/>
  <c r="U691" i="9" s="1"/>
  <c r="U692" i="9" a="1"/>
  <c r="U692" i="9" s="1"/>
  <c r="U693" i="9" a="1"/>
  <c r="U693" i="9" s="1"/>
  <c r="U694" i="9" a="1"/>
  <c r="U694" i="9" s="1"/>
  <c r="U695" i="9" a="1"/>
  <c r="U695" i="9" s="1"/>
  <c r="U696" i="9" a="1"/>
  <c r="U696" i="9" s="1"/>
  <c r="U697" i="9" a="1"/>
  <c r="U697" i="9" s="1"/>
  <c r="U698" i="9" a="1"/>
  <c r="U698" i="9" s="1"/>
  <c r="U699" i="9" a="1"/>
  <c r="U699" i="9" s="1"/>
  <c r="U700" i="9" a="1"/>
  <c r="U700" i="9"/>
  <c r="U701" i="9" a="1"/>
  <c r="U701" i="9" s="1"/>
  <c r="U702" i="9" a="1"/>
  <c r="U702" i="9" s="1"/>
  <c r="U703" i="9" a="1"/>
  <c r="U703" i="9" s="1"/>
  <c r="U704" i="9" a="1"/>
  <c r="U704" i="9" s="1"/>
  <c r="U705" i="9" a="1"/>
  <c r="U705" i="9" s="1"/>
  <c r="U706" i="9" a="1"/>
  <c r="U706" i="9" s="1"/>
  <c r="U707" i="9" a="1"/>
  <c r="U707" i="9" s="1"/>
  <c r="U708" i="9" a="1"/>
  <c r="U708" i="9" s="1"/>
  <c r="U709" i="9" a="1"/>
  <c r="U709" i="9" s="1"/>
  <c r="U710" i="9" a="1"/>
  <c r="U710" i="9" s="1"/>
  <c r="U711" i="9" a="1"/>
  <c r="U711" i="9" s="1"/>
  <c r="U712" i="9" a="1"/>
  <c r="U712" i="9" s="1"/>
  <c r="U713" i="9" a="1"/>
  <c r="U713" i="9" s="1"/>
  <c r="U714" i="9" a="1"/>
  <c r="U714" i="9" s="1"/>
  <c r="U715" i="9" a="1"/>
  <c r="U715" i="9" s="1"/>
  <c r="U716" i="9" a="1"/>
  <c r="U716" i="9" s="1"/>
  <c r="U717" i="9" a="1"/>
  <c r="U717" i="9" s="1"/>
  <c r="U718" i="9" a="1"/>
  <c r="U718" i="9" s="1"/>
  <c r="U719" i="9" a="1"/>
  <c r="U719" i="9" s="1"/>
  <c r="U720" i="9" a="1"/>
  <c r="U720" i="9" s="1"/>
  <c r="U721" i="9" a="1"/>
  <c r="U721" i="9" s="1"/>
  <c r="U722" i="9" a="1"/>
  <c r="U722" i="9" s="1"/>
  <c r="U723" i="9" a="1"/>
  <c r="U723" i="9" s="1"/>
  <c r="U724" i="9" a="1"/>
  <c r="U724" i="9" s="1"/>
  <c r="U725" i="9" a="1"/>
  <c r="U725" i="9" s="1"/>
  <c r="U726" i="9" a="1"/>
  <c r="U726" i="9" s="1"/>
  <c r="U727" i="9" a="1"/>
  <c r="U727" i="9" s="1"/>
  <c r="U728" i="9" a="1"/>
  <c r="U728" i="9" s="1"/>
  <c r="U729" i="9" a="1"/>
  <c r="U729" i="9" s="1"/>
  <c r="U730" i="9" a="1"/>
  <c r="U730" i="9" s="1"/>
  <c r="U731" i="9" a="1"/>
  <c r="U731" i="9" s="1"/>
  <c r="U732" i="9" a="1"/>
  <c r="U732" i="9" s="1"/>
  <c r="U733" i="9" a="1"/>
  <c r="U733" i="9" s="1"/>
  <c r="U734" i="9" a="1"/>
  <c r="U734" i="9" s="1"/>
  <c r="U735" i="9" a="1"/>
  <c r="U735" i="9" s="1"/>
  <c r="U736" i="9" a="1"/>
  <c r="U736" i="9" s="1"/>
  <c r="U737" i="9" a="1"/>
  <c r="U737" i="9" s="1"/>
  <c r="U738" i="9" a="1"/>
  <c r="U738" i="9" s="1"/>
  <c r="U739" i="9" a="1"/>
  <c r="U739" i="9" s="1"/>
  <c r="U740" i="9" a="1"/>
  <c r="U740" i="9" s="1"/>
  <c r="U741" i="9" a="1"/>
  <c r="U741" i="9" s="1"/>
  <c r="U742" i="9" a="1"/>
  <c r="U742" i="9" s="1"/>
  <c r="U743" i="9" a="1"/>
  <c r="U743" i="9" s="1"/>
  <c r="U744" i="9" a="1"/>
  <c r="U744" i="9" s="1"/>
  <c r="U745" i="9" a="1"/>
  <c r="U745" i="9" s="1"/>
  <c r="U746" i="9" a="1"/>
  <c r="U746" i="9" s="1"/>
  <c r="U747" i="9" a="1"/>
  <c r="U747" i="9" s="1"/>
  <c r="U748" i="9" a="1"/>
  <c r="U748" i="9" s="1"/>
  <c r="U749" i="9" a="1"/>
  <c r="U749" i="9" s="1"/>
  <c r="U750" i="9" a="1"/>
  <c r="U750" i="9" s="1"/>
  <c r="U751" i="9" a="1"/>
  <c r="U751" i="9" s="1"/>
  <c r="U752" i="9" a="1"/>
  <c r="U752" i="9" s="1"/>
  <c r="U753" i="9" a="1"/>
  <c r="U753" i="9" s="1"/>
  <c r="U754" i="9" a="1"/>
  <c r="U754" i="9" s="1"/>
  <c r="U755" i="9" a="1"/>
  <c r="U755" i="9" s="1"/>
  <c r="U756" i="9" a="1"/>
  <c r="U756" i="9" s="1"/>
  <c r="U757" i="9" a="1"/>
  <c r="U757" i="9" s="1"/>
  <c r="U758" i="9" a="1"/>
  <c r="U758" i="9" s="1"/>
  <c r="U759" i="9" a="1"/>
  <c r="U759" i="9" s="1"/>
  <c r="U760" i="9" a="1"/>
  <c r="U760" i="9" s="1"/>
  <c r="U761" i="9" a="1"/>
  <c r="U761" i="9" s="1"/>
  <c r="U762" i="9" a="1"/>
  <c r="U762" i="9" s="1"/>
  <c r="U763" i="9" a="1"/>
  <c r="U763" i="9" s="1"/>
  <c r="U764" i="9" a="1"/>
  <c r="U764" i="9" s="1"/>
  <c r="U765" i="9" a="1"/>
  <c r="U765" i="9" s="1"/>
  <c r="U766" i="9" a="1"/>
  <c r="U766" i="9" s="1"/>
  <c r="U767" i="9" a="1"/>
  <c r="U767" i="9" s="1"/>
  <c r="U768" i="9" a="1"/>
  <c r="U768" i="9" s="1"/>
  <c r="U769" i="9" a="1"/>
  <c r="U769" i="9" s="1"/>
  <c r="U770" i="9" a="1"/>
  <c r="U770" i="9" s="1"/>
  <c r="U771" i="9" a="1"/>
  <c r="U771" i="9" s="1"/>
  <c r="U772" i="9" a="1"/>
  <c r="U772" i="9" s="1"/>
  <c r="U773" i="9" a="1"/>
  <c r="U773" i="9" s="1"/>
  <c r="U774" i="9" a="1"/>
  <c r="U774" i="9" s="1"/>
  <c r="U775" i="9" a="1"/>
  <c r="U775" i="9" s="1"/>
  <c r="U776" i="9" a="1"/>
  <c r="U776" i="9" s="1"/>
  <c r="U777" i="9" a="1"/>
  <c r="U777" i="9" s="1"/>
  <c r="U778" i="9" a="1"/>
  <c r="U778" i="9" s="1"/>
  <c r="U779" i="9" a="1"/>
  <c r="U779" i="9" s="1"/>
  <c r="U780" i="9" a="1"/>
  <c r="U780" i="9" s="1"/>
  <c r="U781" i="9" a="1"/>
  <c r="U781" i="9" s="1"/>
  <c r="U782" i="9" a="1"/>
  <c r="U782" i="9" s="1"/>
  <c r="U783" i="9" a="1"/>
  <c r="U783" i="9" s="1"/>
  <c r="U784" i="9" a="1"/>
  <c r="U784" i="9" s="1"/>
  <c r="U785" i="9" a="1"/>
  <c r="U785" i="9" s="1"/>
  <c r="U786" i="9" a="1"/>
  <c r="U786" i="9" s="1"/>
  <c r="U787" i="9" a="1"/>
  <c r="U787" i="9" s="1"/>
  <c r="U788" i="9" a="1"/>
  <c r="U788" i="9" s="1"/>
  <c r="U789" i="9" a="1"/>
  <c r="U789" i="9" s="1"/>
  <c r="U790" i="9" a="1"/>
  <c r="U790" i="9" s="1"/>
  <c r="U791" i="9" a="1"/>
  <c r="U791" i="9" s="1"/>
  <c r="U792" i="9" a="1"/>
  <c r="U792" i="9" s="1"/>
  <c r="U793" i="9" a="1"/>
  <c r="U793" i="9" s="1"/>
  <c r="U794" i="9" a="1"/>
  <c r="U794" i="9" s="1"/>
  <c r="U795" i="9" a="1"/>
  <c r="U795" i="9" s="1"/>
  <c r="U796" i="9" a="1"/>
  <c r="U796" i="9" s="1"/>
  <c r="U797" i="9" a="1"/>
  <c r="U797" i="9" s="1"/>
  <c r="U798" i="9" a="1"/>
  <c r="U798" i="9" s="1"/>
  <c r="U799" i="9" a="1"/>
  <c r="U799" i="9" s="1"/>
  <c r="U800" i="9" a="1"/>
  <c r="U800" i="9" s="1"/>
  <c r="U801" i="9" a="1"/>
  <c r="U801" i="9" s="1"/>
  <c r="U802" i="9" a="1"/>
  <c r="U802" i="9" s="1"/>
  <c r="U803" i="9" a="1"/>
  <c r="U803" i="9" s="1"/>
  <c r="U804" i="9" a="1"/>
  <c r="U804" i="9" s="1"/>
  <c r="U805" i="9" a="1"/>
  <c r="U805" i="9" s="1"/>
  <c r="U806" i="9" a="1"/>
  <c r="U806" i="9" s="1"/>
  <c r="U807" i="9" a="1"/>
  <c r="U807" i="9" s="1"/>
  <c r="U808" i="9" a="1"/>
  <c r="U808" i="9" s="1"/>
  <c r="U809" i="9" a="1"/>
  <c r="U809" i="9" s="1"/>
  <c r="U810" i="9" a="1"/>
  <c r="U810" i="9" s="1"/>
  <c r="U811" i="9" a="1"/>
  <c r="U811" i="9" s="1"/>
  <c r="U812" i="9" a="1"/>
  <c r="U812" i="9" s="1"/>
  <c r="U813" i="9" a="1"/>
  <c r="U813" i="9" s="1"/>
  <c r="U814" i="9" a="1"/>
  <c r="U814" i="9" s="1"/>
  <c r="U815" i="9" a="1"/>
  <c r="U815" i="9" s="1"/>
  <c r="U816" i="9" a="1"/>
  <c r="U816" i="9" s="1"/>
  <c r="U817" i="9" a="1"/>
  <c r="U817" i="9" s="1"/>
  <c r="U818" i="9" a="1"/>
  <c r="U818" i="9" s="1"/>
  <c r="U819" i="9" a="1"/>
  <c r="U819" i="9" s="1"/>
  <c r="U820" i="9" a="1"/>
  <c r="U820" i="9" s="1"/>
  <c r="U821" i="9" a="1"/>
  <c r="U821" i="9" s="1"/>
  <c r="U822" i="9" a="1"/>
  <c r="U822" i="9" s="1"/>
  <c r="U823" i="9" a="1"/>
  <c r="U823" i="9" s="1"/>
  <c r="U824" i="9" a="1"/>
  <c r="U824" i="9" s="1"/>
  <c r="U825" i="9" a="1"/>
  <c r="U825" i="9" s="1"/>
  <c r="U826" i="9" a="1"/>
  <c r="U826" i="9" s="1"/>
  <c r="U827" i="9" a="1"/>
  <c r="U827" i="9" s="1"/>
  <c r="U828" i="9" a="1"/>
  <c r="U828" i="9" s="1"/>
  <c r="U829" i="9" a="1"/>
  <c r="U829" i="9" s="1"/>
  <c r="U830" i="9" a="1"/>
  <c r="U830" i="9" s="1"/>
  <c r="U831" i="9" a="1"/>
  <c r="U831" i="9" s="1"/>
  <c r="U832" i="9" a="1"/>
  <c r="U832" i="9" s="1"/>
  <c r="U833" i="9" a="1"/>
  <c r="U833" i="9" s="1"/>
  <c r="U834" i="9" a="1"/>
  <c r="U834" i="9" s="1"/>
  <c r="U835" i="9" a="1"/>
  <c r="U835" i="9" s="1"/>
  <c r="U836" i="9" a="1"/>
  <c r="U836" i="9" s="1"/>
  <c r="U837" i="9" a="1"/>
  <c r="U837" i="9" s="1"/>
  <c r="U838" i="9" a="1"/>
  <c r="U838" i="9" s="1"/>
  <c r="U839" i="9" a="1"/>
  <c r="U839" i="9" s="1"/>
  <c r="U840" i="9" a="1"/>
  <c r="U840" i="9" s="1"/>
  <c r="U841" i="9" a="1"/>
  <c r="U841" i="9" s="1"/>
  <c r="U842" i="9" a="1"/>
  <c r="U842" i="9" s="1"/>
  <c r="U843" i="9" a="1"/>
  <c r="U843" i="9" s="1"/>
  <c r="U844" i="9" a="1"/>
  <c r="U844" i="9" s="1"/>
  <c r="U845" i="9" a="1"/>
  <c r="U845" i="9" s="1"/>
  <c r="U846" i="9" a="1"/>
  <c r="U846" i="9" s="1"/>
  <c r="U847" i="9" a="1"/>
  <c r="U847" i="9" s="1"/>
  <c r="U848" i="9" a="1"/>
  <c r="U848" i="9" s="1"/>
  <c r="U849" i="9" a="1"/>
  <c r="U849" i="9" s="1"/>
  <c r="U850" i="9" a="1"/>
  <c r="U850" i="9" s="1"/>
  <c r="U851" i="9" a="1"/>
  <c r="U851" i="9" s="1"/>
  <c r="U852" i="9" a="1"/>
  <c r="U852" i="9" s="1"/>
  <c r="U853" i="9" a="1"/>
  <c r="U853" i="9" s="1"/>
  <c r="U854" i="9" a="1"/>
  <c r="U854" i="9" s="1"/>
  <c r="U855" i="9" a="1"/>
  <c r="U855" i="9" s="1"/>
  <c r="U856" i="9" a="1"/>
  <c r="U856" i="9" s="1"/>
  <c r="U857" i="9" a="1"/>
  <c r="U857" i="9" s="1"/>
  <c r="U858" i="9" a="1"/>
  <c r="U858" i="9" s="1"/>
  <c r="U859" i="9" a="1"/>
  <c r="U859" i="9" s="1"/>
  <c r="U860" i="9" a="1"/>
  <c r="U860" i="9" s="1"/>
  <c r="U861" i="9" a="1"/>
  <c r="U861" i="9" s="1"/>
  <c r="U862" i="9" a="1"/>
  <c r="U862" i="9" s="1"/>
  <c r="U863" i="9" a="1"/>
  <c r="U863" i="9" s="1"/>
  <c r="U864" i="9" a="1"/>
  <c r="U864" i="9" s="1"/>
  <c r="U865" i="9" a="1"/>
  <c r="U865" i="9" s="1"/>
  <c r="U866" i="9" a="1"/>
  <c r="U866" i="9" s="1"/>
  <c r="U867" i="9" a="1"/>
  <c r="U867" i="9" s="1"/>
  <c r="U868" i="9" a="1"/>
  <c r="U868" i="9" s="1"/>
  <c r="U869" i="9" a="1"/>
  <c r="U869" i="9" s="1"/>
  <c r="U870" i="9" a="1"/>
  <c r="U870" i="9" s="1"/>
  <c r="U871" i="9" a="1"/>
  <c r="U871" i="9" s="1"/>
  <c r="U872" i="9" a="1"/>
  <c r="U872" i="9" s="1"/>
  <c r="U873" i="9" a="1"/>
  <c r="U873" i="9" s="1"/>
  <c r="U874" i="9" a="1"/>
  <c r="U874" i="9" s="1"/>
  <c r="U875" i="9" a="1"/>
  <c r="U875" i="9" s="1"/>
  <c r="U876" i="9" a="1"/>
  <c r="U876" i="9" s="1"/>
  <c r="U877" i="9" a="1"/>
  <c r="U877" i="9" s="1"/>
  <c r="U878" i="9" a="1"/>
  <c r="U878" i="9" s="1"/>
  <c r="U879" i="9" a="1"/>
  <c r="U879" i="9" s="1"/>
  <c r="U880" i="9" a="1"/>
  <c r="U880" i="9" s="1"/>
  <c r="U881" i="9" a="1"/>
  <c r="U881" i="9" s="1"/>
  <c r="U882" i="9" a="1"/>
  <c r="U882" i="9" s="1"/>
  <c r="U883" i="9" a="1"/>
  <c r="U883" i="9" s="1"/>
  <c r="U884" i="9" a="1"/>
  <c r="U884" i="9" s="1"/>
  <c r="U885" i="9" a="1"/>
  <c r="U885" i="9"/>
  <c r="U886" i="9" a="1"/>
  <c r="U886" i="9" s="1"/>
  <c r="U887" i="9" a="1"/>
  <c r="U887" i="9" s="1"/>
  <c r="U888" i="9" a="1"/>
  <c r="U888" i="9" s="1"/>
  <c r="U889" i="9" a="1"/>
  <c r="U889" i="9" s="1"/>
  <c r="U890" i="9" a="1"/>
  <c r="U890" i="9" s="1"/>
  <c r="U891" i="9" a="1"/>
  <c r="U891" i="9" s="1"/>
  <c r="U892" i="9" a="1"/>
  <c r="U892" i="9" s="1"/>
  <c r="U893" i="9" a="1"/>
  <c r="U893" i="9" s="1"/>
  <c r="U894" i="9" a="1"/>
  <c r="U894" i="9" s="1"/>
  <c r="U895" i="9" a="1"/>
  <c r="U895" i="9" s="1"/>
  <c r="U896" i="9" a="1"/>
  <c r="U896" i="9" s="1"/>
  <c r="U897" i="9" a="1"/>
  <c r="U897" i="9" s="1"/>
  <c r="U898" i="9" a="1"/>
  <c r="U898" i="9" s="1"/>
  <c r="U899" i="9" a="1"/>
  <c r="U899" i="9" s="1"/>
  <c r="U900" i="9" a="1"/>
  <c r="U900" i="9" s="1"/>
  <c r="U901" i="9" a="1"/>
  <c r="U901" i="9" s="1"/>
  <c r="U902" i="9" a="1"/>
  <c r="U902" i="9" s="1"/>
  <c r="U903" i="9" a="1"/>
  <c r="U903" i="9" s="1"/>
  <c r="U904" i="9" a="1"/>
  <c r="U904" i="9" s="1"/>
  <c r="U905" i="9" a="1"/>
  <c r="U905" i="9" s="1"/>
  <c r="U906" i="9" a="1"/>
  <c r="U906" i="9" s="1"/>
  <c r="U907" i="9" a="1"/>
  <c r="U907" i="9" s="1"/>
  <c r="U908" i="9" a="1"/>
  <c r="U908" i="9" s="1"/>
  <c r="U909" i="9" a="1"/>
  <c r="U909" i="9" s="1"/>
  <c r="U910" i="9" a="1"/>
  <c r="U910" i="9" s="1"/>
  <c r="U911" i="9" a="1"/>
  <c r="U911" i="9" s="1"/>
  <c r="U912" i="9" a="1"/>
  <c r="U912" i="9" s="1"/>
  <c r="U913" i="9" a="1"/>
  <c r="U913" i="9" s="1"/>
  <c r="U914" i="9" a="1"/>
  <c r="U914" i="9" s="1"/>
  <c r="U915" i="9" a="1"/>
  <c r="U915" i="9" s="1"/>
  <c r="U916" i="9" a="1"/>
  <c r="U916" i="9" s="1"/>
  <c r="U917" i="9" a="1"/>
  <c r="U917" i="9" s="1"/>
  <c r="U918" i="9" a="1"/>
  <c r="U918" i="9" s="1"/>
  <c r="U919" i="9" a="1"/>
  <c r="U919" i="9" s="1"/>
  <c r="U920" i="9" a="1"/>
  <c r="U920" i="9" s="1"/>
  <c r="U921" i="9" a="1"/>
  <c r="U921" i="9" s="1"/>
  <c r="U922" i="9" a="1"/>
  <c r="U922" i="9" s="1"/>
  <c r="U923" i="9" a="1"/>
  <c r="U923" i="9" s="1"/>
  <c r="U924" i="9" a="1"/>
  <c r="U924" i="9" s="1"/>
  <c r="U925" i="9" a="1"/>
  <c r="U925" i="9" s="1"/>
  <c r="U926" i="9" a="1"/>
  <c r="U926" i="9" s="1"/>
  <c r="U927" i="9" a="1"/>
  <c r="U927" i="9" s="1"/>
  <c r="U928" i="9" a="1"/>
  <c r="U928" i="9" s="1"/>
  <c r="U929" i="9" a="1"/>
  <c r="U929" i="9" s="1"/>
  <c r="U930" i="9" a="1"/>
  <c r="U930" i="9" s="1"/>
  <c r="U931" i="9" a="1"/>
  <c r="U931" i="9" s="1"/>
  <c r="U932" i="9" a="1"/>
  <c r="U932" i="9" s="1"/>
  <c r="U933" i="9" a="1"/>
  <c r="U933" i="9" s="1"/>
  <c r="U934" i="9" a="1"/>
  <c r="U934" i="9" s="1"/>
  <c r="U935" i="9" a="1"/>
  <c r="U935" i="9" s="1"/>
  <c r="U936" i="9" a="1"/>
  <c r="U936" i="9" s="1"/>
  <c r="U937" i="9" a="1"/>
  <c r="U937" i="9" s="1"/>
  <c r="U938" i="9" a="1"/>
  <c r="U938" i="9" s="1"/>
  <c r="U939" i="9" a="1"/>
  <c r="U939" i="9" s="1"/>
  <c r="U940" i="9" a="1"/>
  <c r="U940" i="9" s="1"/>
  <c r="U941" i="9" a="1"/>
  <c r="U941" i="9" s="1"/>
  <c r="U942" i="9" a="1"/>
  <c r="U942" i="9" s="1"/>
  <c r="U943" i="9" a="1"/>
  <c r="U943" i="9" s="1"/>
  <c r="U944" i="9" a="1"/>
  <c r="U944" i="9" s="1"/>
  <c r="U945" i="9" a="1"/>
  <c r="U945" i="9" s="1"/>
  <c r="U946" i="9" a="1"/>
  <c r="U946" i="9" s="1"/>
  <c r="U947" i="9" a="1"/>
  <c r="U947" i="9" s="1"/>
  <c r="U948" i="9" a="1"/>
  <c r="U948" i="9" s="1"/>
  <c r="U949" i="9" a="1"/>
  <c r="U949" i="9" s="1"/>
  <c r="U950" i="9" a="1"/>
  <c r="U950" i="9" s="1"/>
  <c r="U951" i="9" a="1"/>
  <c r="U951" i="9" s="1"/>
  <c r="U952" i="9" a="1"/>
  <c r="U952" i="9" s="1"/>
  <c r="U953" i="9" a="1"/>
  <c r="U953" i="9" s="1"/>
  <c r="U954" i="9" a="1"/>
  <c r="U954" i="9" s="1"/>
  <c r="U955" i="9" a="1"/>
  <c r="U955" i="9" s="1"/>
  <c r="U956" i="9" a="1"/>
  <c r="U956" i="9" s="1"/>
  <c r="U957" i="9" a="1"/>
  <c r="U957" i="9" s="1"/>
  <c r="U958" i="9" a="1"/>
  <c r="U958" i="9" s="1"/>
  <c r="U959" i="9" a="1"/>
  <c r="U959" i="9" s="1"/>
  <c r="U960" i="9" a="1"/>
  <c r="U960" i="9" s="1"/>
  <c r="U961" i="9" a="1"/>
  <c r="U961" i="9" s="1"/>
  <c r="U962" i="9" a="1"/>
  <c r="U962" i="9" s="1"/>
  <c r="U963" i="9" a="1"/>
  <c r="U963" i="9" s="1"/>
  <c r="U964" i="9" a="1"/>
  <c r="U964" i="9" s="1"/>
  <c r="U965" i="9" a="1"/>
  <c r="U965" i="9" s="1"/>
  <c r="U966" i="9" a="1"/>
  <c r="U966" i="9" s="1"/>
  <c r="U967" i="9" a="1"/>
  <c r="U967" i="9" s="1"/>
  <c r="U968" i="9" a="1"/>
  <c r="U968" i="9" s="1"/>
  <c r="U969" i="9" a="1"/>
  <c r="U969" i="9" s="1"/>
  <c r="U970" i="9" a="1"/>
  <c r="U970" i="9" s="1"/>
  <c r="U971" i="9" a="1"/>
  <c r="U971" i="9" s="1"/>
  <c r="U972" i="9" a="1"/>
  <c r="U972" i="9" s="1"/>
  <c r="U973" i="9" a="1"/>
  <c r="U973" i="9" s="1"/>
  <c r="U974" i="9" a="1"/>
  <c r="U974" i="9" s="1"/>
  <c r="U975" i="9" a="1"/>
  <c r="U975" i="9" s="1"/>
  <c r="U976" i="9" a="1"/>
  <c r="U976" i="9" s="1"/>
  <c r="U977" i="9" a="1"/>
  <c r="U977" i="9" s="1"/>
  <c r="U978" i="9" a="1"/>
  <c r="U978" i="9" s="1"/>
  <c r="U979" i="9" a="1"/>
  <c r="U979" i="9" s="1"/>
  <c r="U980" i="9" a="1"/>
  <c r="U980" i="9" s="1"/>
  <c r="U981" i="9" a="1"/>
  <c r="U981" i="9" s="1"/>
  <c r="U982" i="9" a="1"/>
  <c r="U982" i="9" s="1"/>
  <c r="U983" i="9" a="1"/>
  <c r="U983" i="9" s="1"/>
  <c r="U984" i="9" a="1"/>
  <c r="U984" i="9" s="1"/>
  <c r="U985" i="9" a="1"/>
  <c r="U985" i="9" s="1"/>
  <c r="U986" i="9" a="1"/>
  <c r="U986" i="9" s="1"/>
  <c r="U987" i="9" a="1"/>
  <c r="U987" i="9" s="1"/>
  <c r="U988" i="9" a="1"/>
  <c r="U988" i="9" s="1"/>
  <c r="U989" i="9" a="1"/>
  <c r="U989" i="9" s="1"/>
  <c r="U990" i="9" a="1"/>
  <c r="U990" i="9" s="1"/>
  <c r="U991" i="9" a="1"/>
  <c r="U991" i="9" s="1"/>
  <c r="U992" i="9" a="1"/>
  <c r="U992" i="9" s="1"/>
  <c r="U993" i="9" a="1"/>
  <c r="U993" i="9" s="1"/>
  <c r="U994" i="9" a="1"/>
  <c r="U994" i="9" s="1"/>
  <c r="U995" i="9" a="1"/>
  <c r="U995" i="9" s="1"/>
  <c r="U996" i="9" a="1"/>
  <c r="U996" i="9" s="1"/>
  <c r="U997" i="9" a="1"/>
  <c r="U997" i="9" s="1"/>
  <c r="U998" i="9" a="1"/>
  <c r="U998" i="9" s="1"/>
  <c r="U999" i="9" a="1"/>
  <c r="U999" i="9" s="1"/>
  <c r="U1000" i="9" a="1"/>
  <c r="U1000" i="9" s="1"/>
  <c r="U1001" i="9" a="1"/>
  <c r="U1001" i="9" s="1"/>
  <c r="G2" i="7" a="1"/>
  <c r="G2" i="7" s="1"/>
  <c r="G5" i="7" a="1"/>
  <c r="G5" i="7" s="1"/>
  <c r="G3" i="7" a="1"/>
  <c r="G3" i="7" s="1"/>
  <c r="G4" i="7" a="1"/>
  <c r="G4" i="7" s="1"/>
  <c r="G6" i="7" a="1"/>
  <c r="G6" i="7" s="1"/>
  <c r="G7" i="7" a="1"/>
  <c r="G7" i="7" s="1"/>
  <c r="G8" i="7" a="1"/>
  <c r="G8" i="7" s="1"/>
  <c r="G9" i="7" a="1"/>
  <c r="G9" i="7" s="1"/>
  <c r="G10" i="7" a="1"/>
  <c r="G10" i="7" s="1"/>
  <c r="G11" i="7" a="1"/>
  <c r="G11" i="7" s="1"/>
  <c r="G12" i="7" a="1"/>
  <c r="G12" i="7" s="1"/>
  <c r="G13" i="7" a="1"/>
  <c r="G13" i="7" s="1"/>
  <c r="G14" i="7" a="1"/>
  <c r="G14" i="7" s="1"/>
  <c r="G15" i="7" a="1"/>
  <c r="G15" i="7" s="1"/>
  <c r="G16" i="7" a="1"/>
  <c r="G16" i="7" s="1"/>
  <c r="G17" i="7" a="1"/>
  <c r="G17" i="7" s="1"/>
  <c r="G18" i="7" a="1"/>
  <c r="G18" i="7" s="1"/>
  <c r="G19" i="7" a="1"/>
  <c r="G19" i="7" s="1"/>
  <c r="G20" i="7" a="1"/>
  <c r="G20" i="7" s="1"/>
  <c r="G21" i="7" a="1"/>
  <c r="G21" i="7" s="1"/>
  <c r="G22" i="7" a="1"/>
  <c r="G22" i="7" s="1"/>
  <c r="G23" i="7" a="1"/>
  <c r="G23" i="7" s="1"/>
  <c r="G24" i="7" a="1"/>
  <c r="G24" i="7"/>
  <c r="G25" i="7" a="1"/>
  <c r="G25" i="7"/>
  <c r="G26" i="7" a="1"/>
  <c r="G26" i="7" s="1"/>
  <c r="G27" i="7" a="1"/>
  <c r="G27" i="7" s="1"/>
  <c r="G28" i="7" a="1"/>
  <c r="G28" i="7" s="1"/>
  <c r="G29" i="7" a="1"/>
  <c r="G29" i="7" s="1"/>
  <c r="G30" i="7" a="1"/>
  <c r="G30" i="7" s="1"/>
  <c r="G31" i="7" a="1"/>
  <c r="G31" i="7" s="1"/>
  <c r="G32" i="7" a="1"/>
  <c r="G32" i="7" s="1"/>
  <c r="G33" i="7" a="1"/>
  <c r="G33" i="7" s="1"/>
  <c r="G34" i="7" a="1"/>
  <c r="G34" i="7" s="1"/>
  <c r="G35" i="7" a="1"/>
  <c r="G35" i="7" s="1"/>
  <c r="G36" i="7" a="1"/>
  <c r="G36" i="7" s="1"/>
  <c r="G37" i="7" a="1"/>
  <c r="G37" i="7" s="1"/>
  <c r="G38" i="7" a="1"/>
  <c r="G38" i="7" s="1"/>
  <c r="G39" i="7" a="1"/>
  <c r="G39" i="7" s="1"/>
  <c r="G40" i="7" a="1"/>
  <c r="G40" i="7"/>
  <c r="G41" i="7" a="1"/>
  <c r="G41" i="7" s="1"/>
  <c r="G42" i="7" a="1"/>
  <c r="G42" i="7" s="1"/>
  <c r="G43" i="7" a="1"/>
  <c r="G43" i="7" s="1"/>
  <c r="G44" i="7" a="1"/>
  <c r="G44" i="7" s="1"/>
  <c r="G45" i="7" a="1"/>
  <c r="G45" i="7" s="1"/>
  <c r="G46" i="7" a="1"/>
  <c r="G46" i="7" s="1"/>
  <c r="G47" i="7" a="1"/>
  <c r="G47" i="7" s="1"/>
  <c r="G48" i="7" a="1"/>
  <c r="G48" i="7" s="1"/>
  <c r="G49" i="7" a="1"/>
  <c r="G49" i="7"/>
  <c r="G50" i="7" a="1"/>
  <c r="G50" i="7" s="1"/>
  <c r="G51" i="7" a="1"/>
  <c r="G51" i="7" s="1"/>
  <c r="G52" i="7" a="1"/>
  <c r="G52" i="7" s="1"/>
  <c r="G53" i="7" a="1"/>
  <c r="G53" i="7" s="1"/>
  <c r="G54" i="7" a="1"/>
  <c r="G54" i="7" s="1"/>
  <c r="G55" i="7" a="1"/>
  <c r="G55" i="7" s="1"/>
  <c r="G56" i="7" a="1"/>
  <c r="G56" i="7" s="1"/>
  <c r="G57" i="7" a="1"/>
  <c r="G57" i="7" s="1"/>
  <c r="G58" i="7" a="1"/>
  <c r="G58" i="7" s="1"/>
  <c r="G59" i="7" a="1"/>
  <c r="G59" i="7" s="1"/>
  <c r="G60" i="7" a="1"/>
  <c r="G60" i="7" s="1"/>
  <c r="G61" i="7" a="1"/>
  <c r="G61" i="7" s="1"/>
  <c r="G62" i="7" a="1"/>
  <c r="G62" i="7" s="1"/>
  <c r="G63" i="7" a="1"/>
  <c r="G63" i="7" s="1"/>
  <c r="G64" i="7" a="1"/>
  <c r="G64" i="7"/>
  <c r="G65" i="7" a="1"/>
  <c r="G65" i="7"/>
  <c r="G66" i="7" a="1"/>
  <c r="G66" i="7" s="1"/>
  <c r="G67" i="7" a="1"/>
  <c r="G67" i="7" s="1"/>
  <c r="G68" i="7" a="1"/>
  <c r="G68" i="7" s="1"/>
  <c r="G69" i="7" a="1"/>
  <c r="G69" i="7" s="1"/>
  <c r="G70" i="7" a="1"/>
  <c r="G70" i="7" s="1"/>
  <c r="G71" i="7" a="1"/>
  <c r="G71" i="7" s="1"/>
  <c r="G72" i="7" a="1"/>
  <c r="G72" i="7" s="1"/>
  <c r="G73" i="7" a="1"/>
  <c r="G73" i="7" s="1"/>
  <c r="G74" i="7" a="1"/>
  <c r="G74" i="7" s="1"/>
  <c r="G75" i="7" a="1"/>
  <c r="G75" i="7" s="1"/>
  <c r="G76" i="7" a="1"/>
  <c r="G76" i="7" s="1"/>
  <c r="G77" i="7" a="1"/>
  <c r="G77" i="7" s="1"/>
  <c r="G78" i="7" a="1"/>
  <c r="G78" i="7" s="1"/>
  <c r="G79" i="7" a="1"/>
  <c r="G79" i="7" s="1"/>
  <c r="G80" i="7" a="1"/>
  <c r="G80" i="7" s="1"/>
  <c r="G81" i="7" a="1"/>
  <c r="G81" i="7" s="1"/>
  <c r="G82" i="7" a="1"/>
  <c r="G82" i="7" s="1"/>
  <c r="G83" i="7" a="1"/>
  <c r="G83" i="7" s="1"/>
  <c r="G84" i="7" a="1"/>
  <c r="G84" i="7" s="1"/>
  <c r="G85" i="7" a="1"/>
  <c r="G85" i="7" s="1"/>
  <c r="G86" i="7" a="1"/>
  <c r="G86" i="7" s="1"/>
  <c r="G87" i="7" a="1"/>
  <c r="G87" i="7" s="1"/>
  <c r="G88" i="7" a="1"/>
  <c r="G88" i="7" s="1"/>
  <c r="G89" i="7" a="1"/>
  <c r="G89" i="7"/>
  <c r="G90" i="7" a="1"/>
  <c r="G90" i="7" s="1"/>
  <c r="G91" i="7" a="1"/>
  <c r="G91" i="7" s="1"/>
  <c r="G92" i="7" a="1"/>
  <c r="G92" i="7" s="1"/>
  <c r="G93" i="7" a="1"/>
  <c r="G93" i="7" s="1"/>
  <c r="G94" i="7" a="1"/>
  <c r="G94" i="7" s="1"/>
  <c r="G95" i="7" a="1"/>
  <c r="G95" i="7" s="1"/>
  <c r="G96" i="7" a="1"/>
  <c r="G96" i="7" s="1"/>
  <c r="G97" i="7" a="1"/>
  <c r="G97" i="7" s="1"/>
  <c r="G98" i="7" a="1"/>
  <c r="G98" i="7" s="1"/>
  <c r="G99" i="7" a="1"/>
  <c r="G99" i="7" s="1"/>
  <c r="G100" i="7" a="1"/>
  <c r="G100" i="7" s="1"/>
  <c r="G101" i="7" a="1"/>
  <c r="G101" i="7" s="1"/>
  <c r="G102" i="7" a="1"/>
  <c r="G102" i="7" s="1"/>
  <c r="G103" i="7" a="1"/>
  <c r="G103" i="7" s="1"/>
  <c r="G104" i="7" a="1"/>
  <c r="G104" i="7"/>
  <c r="G105" i="7" a="1"/>
  <c r="G105" i="7"/>
  <c r="G106" i="7" a="1"/>
  <c r="G106" i="7" s="1"/>
  <c r="G107" i="7" a="1"/>
  <c r="G107" i="7" s="1"/>
  <c r="G108" i="7" a="1"/>
  <c r="G108" i="7" s="1"/>
  <c r="G109" i="7" a="1"/>
  <c r="G109" i="7" s="1"/>
  <c r="G110" i="7" a="1"/>
  <c r="G110" i="7" s="1"/>
  <c r="G111" i="7" a="1"/>
  <c r="G111" i="7" s="1"/>
  <c r="G112" i="7" a="1"/>
  <c r="G112" i="7" s="1"/>
  <c r="G113" i="7" a="1"/>
  <c r="G113" i="7" s="1"/>
  <c r="G114" i="7" a="1"/>
  <c r="G114" i="7" s="1"/>
  <c r="G115" i="7" a="1"/>
  <c r="G115" i="7" s="1"/>
  <c r="G116" i="7" a="1"/>
  <c r="G116" i="7" s="1"/>
  <c r="G117" i="7" a="1"/>
  <c r="G117" i="7" s="1"/>
  <c r="G118" i="7" a="1"/>
  <c r="G118" i="7" s="1"/>
  <c r="G119" i="7" a="1"/>
  <c r="G119" i="7" s="1"/>
  <c r="G120" i="7" a="1"/>
  <c r="G120" i="7" s="1"/>
  <c r="G121" i="7" a="1"/>
  <c r="G121" i="7" s="1"/>
  <c r="G122" i="7" a="1"/>
  <c r="G122" i="7" s="1"/>
  <c r="G123" i="7" a="1"/>
  <c r="G123" i="7" s="1"/>
  <c r="G124" i="7" a="1"/>
  <c r="G124" i="7" s="1"/>
  <c r="G125" i="7" a="1"/>
  <c r="G125" i="7" s="1"/>
  <c r="G126" i="7" a="1"/>
  <c r="G126" i="7" s="1"/>
  <c r="G127" i="7" a="1"/>
  <c r="G127" i="7" s="1"/>
  <c r="G128" i="7" a="1"/>
  <c r="G128" i="7"/>
  <c r="G129" i="7" a="1"/>
  <c r="G129" i="7"/>
  <c r="G130" i="7" a="1"/>
  <c r="G130" i="7" s="1"/>
  <c r="G131" i="7" a="1"/>
  <c r="G131" i="7" s="1"/>
  <c r="G132" i="7" a="1"/>
  <c r="G132" i="7" s="1"/>
  <c r="G133" i="7" a="1"/>
  <c r="G133" i="7" s="1"/>
  <c r="G134" i="7" a="1"/>
  <c r="G134" i="7" s="1"/>
  <c r="G135" i="7" a="1"/>
  <c r="G135" i="7" s="1"/>
  <c r="G136" i="7" a="1"/>
  <c r="G136" i="7" s="1"/>
  <c r="G137" i="7" a="1"/>
  <c r="G137" i="7" s="1"/>
  <c r="G138" i="7" a="1"/>
  <c r="G138" i="7" s="1"/>
  <c r="G139" i="7" a="1"/>
  <c r="G139" i="7" s="1"/>
  <c r="G140" i="7" a="1"/>
  <c r="G140" i="7" s="1"/>
  <c r="G141" i="7" a="1"/>
  <c r="G141" i="7" s="1"/>
  <c r="G142" i="7" a="1"/>
  <c r="G142" i="7" s="1"/>
  <c r="G143" i="7" a="1"/>
  <c r="G143" i="7" s="1"/>
  <c r="G144" i="7" a="1"/>
  <c r="G144" i="7"/>
  <c r="G145" i="7" a="1"/>
  <c r="G145" i="7" s="1"/>
  <c r="G146" i="7" a="1"/>
  <c r="G146" i="7" s="1"/>
  <c r="G147" i="7" a="1"/>
  <c r="G147" i="7" s="1"/>
  <c r="G148" i="7" a="1"/>
  <c r="G148" i="7" s="1"/>
  <c r="G149" i="7" a="1"/>
  <c r="G149" i="7" s="1"/>
  <c r="G150" i="7" a="1"/>
  <c r="G150" i="7" s="1"/>
  <c r="G151" i="7" a="1"/>
  <c r="G151" i="7" s="1"/>
  <c r="G152" i="7" a="1"/>
  <c r="G152" i="7" s="1"/>
  <c r="G153" i="7" a="1"/>
  <c r="G153" i="7"/>
  <c r="G154" i="7" a="1"/>
  <c r="G154" i="7" s="1"/>
  <c r="G155" i="7" a="1"/>
  <c r="G155" i="7" s="1"/>
  <c r="G156" i="7" a="1"/>
  <c r="G156" i="7" s="1"/>
  <c r="G157" i="7" a="1"/>
  <c r="G157" i="7" s="1"/>
  <c r="G158" i="7" a="1"/>
  <c r="G158" i="7" s="1"/>
  <c r="G159" i="7" a="1"/>
  <c r="G159" i="7" s="1"/>
  <c r="G160" i="7" a="1"/>
  <c r="G160" i="7" s="1"/>
  <c r="G161" i="7" a="1"/>
  <c r="G161" i="7" s="1"/>
  <c r="G162" i="7" a="1"/>
  <c r="G162" i="7" s="1"/>
  <c r="G163" i="7" a="1"/>
  <c r="G163" i="7" s="1"/>
  <c r="G164" i="7" a="1"/>
  <c r="G164" i="7" s="1"/>
  <c r="G165" i="7" a="1"/>
  <c r="G165" i="7" s="1"/>
  <c r="G166" i="7" a="1"/>
  <c r="G166" i="7" s="1"/>
  <c r="G167" i="7" a="1"/>
  <c r="G167" i="7" s="1"/>
  <c r="G168" i="7" a="1"/>
  <c r="G168" i="7"/>
  <c r="G169" i="7" a="1"/>
  <c r="G169" i="7"/>
  <c r="G170" i="7" a="1"/>
  <c r="G170" i="7" s="1"/>
  <c r="G171" i="7" a="1"/>
  <c r="G171" i="7" s="1"/>
  <c r="G172" i="7" a="1"/>
  <c r="G172" i="7" s="1"/>
  <c r="G173" i="7" a="1"/>
  <c r="G173" i="7" s="1"/>
  <c r="G174" i="7" a="1"/>
  <c r="G174" i="7" s="1"/>
  <c r="G175" i="7" a="1"/>
  <c r="G175" i="7" s="1"/>
  <c r="G176" i="7" a="1"/>
  <c r="G176" i="7" s="1"/>
  <c r="G177" i="7" a="1"/>
  <c r="G177" i="7" s="1"/>
  <c r="G178" i="7" a="1"/>
  <c r="G178" i="7" s="1"/>
  <c r="G179" i="7" a="1"/>
  <c r="G179" i="7" s="1"/>
  <c r="G180" i="7" a="1"/>
  <c r="G180" i="7" s="1"/>
  <c r="G181" i="7" a="1"/>
  <c r="G181" i="7" s="1"/>
  <c r="G182" i="7" a="1"/>
  <c r="G182" i="7" s="1"/>
  <c r="G183" i="7" a="1"/>
  <c r="G183" i="7" s="1"/>
  <c r="G184" i="7" a="1"/>
  <c r="G184" i="7"/>
  <c r="G185" i="7" a="1"/>
  <c r="G185" i="7"/>
  <c r="G186" i="7" a="1"/>
  <c r="G186" i="7" s="1"/>
  <c r="G187" i="7" a="1"/>
  <c r="G187" i="7" s="1"/>
  <c r="G188" i="7" a="1"/>
  <c r="G188" i="7" s="1"/>
  <c r="G189" i="7" a="1"/>
  <c r="G189" i="7" s="1"/>
  <c r="G190" i="7" a="1"/>
  <c r="G190" i="7" s="1"/>
  <c r="G191" i="7" a="1"/>
  <c r="G191" i="7" s="1"/>
  <c r="G192" i="7" a="1"/>
  <c r="G192" i="7"/>
  <c r="G193" i="7" a="1"/>
  <c r="G193" i="7"/>
  <c r="G194" i="7" a="1"/>
  <c r="G194" i="7" s="1"/>
  <c r="G195" i="7" a="1"/>
  <c r="G195" i="7" s="1"/>
  <c r="G196" i="7" a="1"/>
  <c r="G196" i="7" s="1"/>
  <c r="G197" i="7" a="1"/>
  <c r="G197" i="7" s="1"/>
  <c r="G198" i="7" a="1"/>
  <c r="G198" i="7" s="1"/>
  <c r="G199" i="7" a="1"/>
  <c r="G199" i="7" s="1"/>
  <c r="G200" i="7" a="1"/>
  <c r="G200" i="7" s="1"/>
  <c r="G201" i="7" a="1"/>
  <c r="G201" i="7" s="1"/>
  <c r="G202" i="7" a="1"/>
  <c r="G202" i="7" s="1"/>
  <c r="G203" i="7" a="1"/>
  <c r="G203" i="7" s="1"/>
  <c r="G204" i="7" a="1"/>
  <c r="G204" i="7" s="1"/>
  <c r="G205" i="7" a="1"/>
  <c r="G205" i="7" s="1"/>
  <c r="G206" i="7" a="1"/>
  <c r="G206" i="7" s="1"/>
  <c r="G207" i="7" a="1"/>
  <c r="G207" i="7" s="1"/>
  <c r="G208" i="7" a="1"/>
  <c r="G208" i="7"/>
  <c r="G209" i="7" a="1"/>
  <c r="G209" i="7" s="1"/>
  <c r="G210" i="7" a="1"/>
  <c r="G210" i="7" s="1"/>
  <c r="G211" i="7" a="1"/>
  <c r="G211" i="7" s="1"/>
  <c r="G212" i="7" a="1"/>
  <c r="G212" i="7" s="1"/>
  <c r="G213" i="7" a="1"/>
  <c r="G213" i="7" s="1"/>
  <c r="G214" i="7" a="1"/>
  <c r="G214" i="7" s="1"/>
  <c r="G215" i="7" a="1"/>
  <c r="G215" i="7" s="1"/>
  <c r="G216" i="7" a="1"/>
  <c r="G216" i="7" s="1"/>
  <c r="G217" i="7" a="1"/>
  <c r="G217" i="7"/>
  <c r="G218" i="7" a="1"/>
  <c r="G218" i="7" s="1"/>
  <c r="G219" i="7" a="1"/>
  <c r="G219" i="7" s="1"/>
  <c r="G220" i="7" a="1"/>
  <c r="G220" i="7" s="1"/>
  <c r="G221" i="7" a="1"/>
  <c r="G221" i="7" s="1"/>
  <c r="G222" i="7" a="1"/>
  <c r="G222" i="7" s="1"/>
  <c r="G223" i="7" a="1"/>
  <c r="G223" i="7" s="1"/>
  <c r="G224" i="7" a="1"/>
  <c r="G224" i="7"/>
  <c r="G225" i="7" a="1"/>
  <c r="G225" i="7" s="1"/>
  <c r="G226" i="7" a="1"/>
  <c r="G226" i="7" s="1"/>
  <c r="G227" i="7" a="1"/>
  <c r="G227" i="7" s="1"/>
  <c r="G228" i="7" a="1"/>
  <c r="G228" i="7" s="1"/>
  <c r="G229" i="7" a="1"/>
  <c r="G229" i="7" s="1"/>
  <c r="G230" i="7" a="1"/>
  <c r="G230" i="7" s="1"/>
  <c r="G231" i="7" a="1"/>
  <c r="G231" i="7" s="1"/>
  <c r="G232" i="7" a="1"/>
  <c r="G232" i="7"/>
  <c r="G233" i="7" a="1"/>
  <c r="G233" i="7"/>
  <c r="G234" i="7" a="1"/>
  <c r="G234" i="7" s="1"/>
  <c r="G235" i="7" a="1"/>
  <c r="G235" i="7" s="1"/>
  <c r="G236" i="7" a="1"/>
  <c r="G236" i="7" s="1"/>
  <c r="G237" i="7" a="1"/>
  <c r="G237" i="7" s="1"/>
  <c r="G238" i="7" a="1"/>
  <c r="G238" i="7" s="1"/>
  <c r="G239" i="7" a="1"/>
  <c r="G239" i="7" s="1"/>
  <c r="G240" i="7" a="1"/>
  <c r="G240" i="7" s="1"/>
  <c r="G241" i="7" a="1"/>
  <c r="G241" i="7" s="1"/>
  <c r="G242" i="7" a="1"/>
  <c r="G242" i="7" s="1"/>
  <c r="G243" i="7" a="1"/>
  <c r="G243" i="7" s="1"/>
  <c r="G244" i="7" a="1"/>
  <c r="G244" i="7" s="1"/>
  <c r="G245" i="7" a="1"/>
  <c r="G245" i="7" s="1"/>
  <c r="G246" i="7" a="1"/>
  <c r="G246" i="7" s="1"/>
  <c r="G247" i="7" a="1"/>
  <c r="G247" i="7" s="1"/>
  <c r="G248" i="7" a="1"/>
  <c r="G248" i="7" s="1"/>
  <c r="G249" i="7" a="1"/>
  <c r="G249" i="7" s="1"/>
  <c r="G250" i="7" a="1"/>
  <c r="G250" i="7" s="1"/>
  <c r="G251" i="7" a="1"/>
  <c r="G251" i="7" s="1"/>
  <c r="G252" i="7" a="1"/>
  <c r="G252" i="7" s="1"/>
  <c r="G253" i="7" a="1"/>
  <c r="G253" i="7" s="1"/>
  <c r="G254" i="7" a="1"/>
  <c r="G254" i="7" s="1"/>
  <c r="G255" i="7" a="1"/>
  <c r="G255" i="7" s="1"/>
  <c r="G256" i="7" a="1"/>
  <c r="G256" i="7"/>
  <c r="G257" i="7" a="1"/>
  <c r="G257" i="7"/>
  <c r="G258" i="7" a="1"/>
  <c r="G258" i="7" s="1"/>
  <c r="G259" i="7" a="1"/>
  <c r="G259" i="7" s="1"/>
  <c r="G260" i="7" a="1"/>
  <c r="G260" i="7" s="1"/>
  <c r="G261" i="7" a="1"/>
  <c r="G261" i="7" s="1"/>
  <c r="G262" i="7" a="1"/>
  <c r="G262" i="7" s="1"/>
  <c r="G263" i="7" a="1"/>
  <c r="G263" i="7" s="1"/>
  <c r="G264" i="7" a="1"/>
  <c r="G264" i="7" s="1"/>
  <c r="G265" i="7" a="1"/>
  <c r="G265" i="7" s="1"/>
  <c r="G266" i="7" a="1"/>
  <c r="G266" i="7" s="1"/>
  <c r="G267" i="7" a="1"/>
  <c r="G267" i="7" s="1"/>
  <c r="G268" i="7" a="1"/>
  <c r="G268" i="7" s="1"/>
  <c r="G269" i="7" a="1"/>
  <c r="G269" i="7" s="1"/>
  <c r="G270" i="7" a="1"/>
  <c r="G270" i="7" s="1"/>
  <c r="G271" i="7" a="1"/>
  <c r="G271" i="7" s="1"/>
  <c r="G272" i="7" a="1"/>
  <c r="G272" i="7"/>
  <c r="G273" i="7" a="1"/>
  <c r="G273" i="7" s="1"/>
  <c r="G274" i="7" a="1"/>
  <c r="G274" i="7" s="1"/>
  <c r="G275" i="7" a="1"/>
  <c r="G275" i="7" s="1"/>
  <c r="G276" i="7" a="1"/>
  <c r="G276" i="7" s="1"/>
  <c r="G277" i="7" a="1"/>
  <c r="G277" i="7" s="1"/>
  <c r="G278" i="7" a="1"/>
  <c r="G278" i="7" s="1"/>
  <c r="G279" i="7" a="1"/>
  <c r="G279" i="7" s="1"/>
  <c r="G280" i="7" a="1"/>
  <c r="G280" i="7" s="1"/>
  <c r="G281" i="7" a="1"/>
  <c r="G281" i="7"/>
  <c r="G282" i="7" a="1"/>
  <c r="G282" i="7" s="1"/>
  <c r="G283" i="7" a="1"/>
  <c r="G283" i="7" s="1"/>
  <c r="G284" i="7" a="1"/>
  <c r="G284" i="7" s="1"/>
  <c r="G285" i="7" a="1"/>
  <c r="G285" i="7" s="1"/>
  <c r="G286" i="7" a="1"/>
  <c r="G286" i="7" s="1"/>
  <c r="G287" i="7" a="1"/>
  <c r="G287" i="7" s="1"/>
  <c r="G288" i="7" a="1"/>
  <c r="G288" i="7" s="1"/>
  <c r="G289" i="7" a="1"/>
  <c r="G289" i="7" s="1"/>
  <c r="G290" i="7" a="1"/>
  <c r="G290" i="7" s="1"/>
  <c r="G291" i="7" a="1"/>
  <c r="G291" i="7" s="1"/>
  <c r="G292" i="7" a="1"/>
  <c r="G292" i="7" s="1"/>
  <c r="G293" i="7" a="1"/>
  <c r="G293" i="7" s="1"/>
  <c r="G294" i="7" a="1"/>
  <c r="G294" i="7" s="1"/>
  <c r="G295" i="7" a="1"/>
  <c r="G295" i="7" s="1"/>
  <c r="G296" i="7" a="1"/>
  <c r="G296" i="7"/>
  <c r="G297" i="7" a="1"/>
  <c r="G297" i="7"/>
  <c r="G298" i="7" a="1"/>
  <c r="G298" i="7" s="1"/>
  <c r="G299" i="7" a="1"/>
  <c r="G299" i="7" s="1"/>
  <c r="G300" i="7" a="1"/>
  <c r="G300" i="7" s="1"/>
  <c r="G301" i="7" a="1"/>
  <c r="G301" i="7" s="1"/>
  <c r="G302" i="7" a="1"/>
  <c r="G302" i="7" s="1"/>
  <c r="G303" i="7" a="1"/>
  <c r="G303" i="7" s="1"/>
  <c r="G304" i="7" a="1"/>
  <c r="G304" i="7" s="1"/>
  <c r="G305" i="7" a="1"/>
  <c r="G305" i="7" s="1"/>
  <c r="G306" i="7" a="1"/>
  <c r="G306" i="7" s="1"/>
  <c r="G307" i="7" a="1"/>
  <c r="G307" i="7" s="1"/>
  <c r="G308" i="7" a="1"/>
  <c r="G308" i="7" s="1"/>
  <c r="G309" i="7" a="1"/>
  <c r="G309" i="7" s="1"/>
  <c r="G310" i="7" a="1"/>
  <c r="G310" i="7" s="1"/>
  <c r="G311" i="7" a="1"/>
  <c r="G311" i="7" s="1"/>
  <c r="G312" i="7" a="1"/>
  <c r="G312" i="7" s="1"/>
  <c r="G313" i="7" a="1"/>
  <c r="G313" i="7" s="1"/>
  <c r="G314" i="7" a="1"/>
  <c r="G314" i="7" s="1"/>
  <c r="G315" i="7" a="1"/>
  <c r="G315" i="7" s="1"/>
  <c r="G316" i="7" a="1"/>
  <c r="G316" i="7" s="1"/>
  <c r="G317" i="7" a="1"/>
  <c r="G317" i="7" s="1"/>
  <c r="G318" i="7" a="1"/>
  <c r="G318" i="7" s="1"/>
  <c r="G319" i="7" a="1"/>
  <c r="G319" i="7" s="1"/>
  <c r="G320" i="7" a="1"/>
  <c r="G320" i="7"/>
  <c r="G321" i="7" a="1"/>
  <c r="G321" i="7"/>
  <c r="G322" i="7" a="1"/>
  <c r="G322" i="7" s="1"/>
  <c r="G323" i="7" a="1"/>
  <c r="G323" i="7" s="1"/>
  <c r="G324" i="7" a="1"/>
  <c r="G324" i="7" s="1"/>
  <c r="G325" i="7" a="1"/>
  <c r="G325" i="7" s="1"/>
  <c r="G326" i="7" a="1"/>
  <c r="G326" i="7" s="1"/>
  <c r="G327" i="7" a="1"/>
  <c r="G327" i="7" s="1"/>
  <c r="G328" i="7" a="1"/>
  <c r="G328" i="7" s="1"/>
  <c r="G329" i="7" a="1"/>
  <c r="G329" i="7" s="1"/>
  <c r="G330" i="7" a="1"/>
  <c r="G330" i="7" s="1"/>
  <c r="G331" i="7" a="1"/>
  <c r="G331" i="7" s="1"/>
  <c r="G332" i="7" a="1"/>
  <c r="G332" i="7" s="1"/>
  <c r="G333" i="7" a="1"/>
  <c r="G333" i="7" s="1"/>
  <c r="G334" i="7" a="1"/>
  <c r="G334" i="7" s="1"/>
  <c r="G335" i="7" a="1"/>
  <c r="G335" i="7" s="1"/>
  <c r="G336" i="7" a="1"/>
  <c r="G336" i="7"/>
  <c r="G337" i="7" a="1"/>
  <c r="G337" i="7" s="1"/>
  <c r="G338" i="7" a="1"/>
  <c r="G338" i="7" s="1"/>
  <c r="G339" i="7" a="1"/>
  <c r="G339" i="7" s="1"/>
  <c r="G340" i="7" a="1"/>
  <c r="G340" i="7" s="1"/>
  <c r="G341" i="7" a="1"/>
  <c r="G341" i="7" s="1"/>
  <c r="G342" i="7" a="1"/>
  <c r="G342" i="7" s="1"/>
  <c r="G343" i="7" a="1"/>
  <c r="G343" i="7" s="1"/>
  <c r="G344" i="7" a="1"/>
  <c r="G344" i="7" s="1"/>
  <c r="G345" i="7" a="1"/>
  <c r="G345" i="7"/>
  <c r="G346" i="7" a="1"/>
  <c r="G346" i="7" s="1"/>
  <c r="G347" i="7" a="1"/>
  <c r="G347" i="7" s="1"/>
  <c r="G348" i="7" a="1"/>
  <c r="G348" i="7" s="1"/>
  <c r="G349" i="7" a="1"/>
  <c r="G349" i="7" s="1"/>
  <c r="G350" i="7" a="1"/>
  <c r="G350" i="7" s="1"/>
  <c r="G351" i="7" a="1"/>
  <c r="G351" i="7" s="1"/>
  <c r="G352" i="7" a="1"/>
  <c r="G352" i="7" s="1"/>
  <c r="G353" i="7" a="1"/>
  <c r="G353" i="7" s="1"/>
  <c r="G354" i="7" a="1"/>
  <c r="G354" i="7" s="1"/>
  <c r="G355" i="7" a="1"/>
  <c r="G355" i="7" s="1"/>
  <c r="G356" i="7" a="1"/>
  <c r="G356" i="7" s="1"/>
  <c r="G357" i="7" a="1"/>
  <c r="G357" i="7" s="1"/>
  <c r="G358" i="7" a="1"/>
  <c r="G358" i="7" s="1"/>
  <c r="G359" i="7" a="1"/>
  <c r="G359" i="7" s="1"/>
  <c r="G360" i="7" a="1"/>
  <c r="G360" i="7"/>
  <c r="G361" i="7" a="1"/>
  <c r="G361" i="7"/>
  <c r="G362" i="7" a="1"/>
  <c r="G362" i="7" s="1"/>
  <c r="G363" i="7" a="1"/>
  <c r="G363" i="7" s="1"/>
  <c r="G364" i="7" a="1"/>
  <c r="G364" i="7" s="1"/>
  <c r="G365" i="7" a="1"/>
  <c r="G365" i="7" s="1"/>
  <c r="G366" i="7" a="1"/>
  <c r="G366" i="7" s="1"/>
  <c r="G367" i="7" a="1"/>
  <c r="G367" i="7" s="1"/>
  <c r="G368" i="7" a="1"/>
  <c r="G368" i="7" s="1"/>
  <c r="G369" i="7" a="1"/>
  <c r="G369" i="7" s="1"/>
  <c r="G370" i="7" a="1"/>
  <c r="G370" i="7" s="1"/>
  <c r="G371" i="7" a="1"/>
  <c r="G371" i="7" s="1"/>
  <c r="G372" i="7" a="1"/>
  <c r="G372" i="7" s="1"/>
  <c r="G373" i="7" a="1"/>
  <c r="G373" i="7" s="1"/>
  <c r="G374" i="7" a="1"/>
  <c r="G374" i="7" s="1"/>
  <c r="G375" i="7" a="1"/>
  <c r="G375" i="7" s="1"/>
  <c r="G376" i="7" a="1"/>
  <c r="G376" i="7" s="1"/>
  <c r="G377" i="7" a="1"/>
  <c r="G377" i="7" s="1"/>
  <c r="G378" i="7" a="1"/>
  <c r="G378" i="7" s="1"/>
  <c r="G379" i="7" a="1"/>
  <c r="G379" i="7" s="1"/>
  <c r="G380" i="7" a="1"/>
  <c r="G380" i="7" s="1"/>
  <c r="G381" i="7" a="1"/>
  <c r="G381" i="7" s="1"/>
  <c r="G382" i="7" a="1"/>
  <c r="G382" i="7" s="1"/>
  <c r="G383" i="7" a="1"/>
  <c r="G383" i="7" s="1"/>
  <c r="G384" i="7" a="1"/>
  <c r="G384" i="7"/>
  <c r="G385" i="7" a="1"/>
  <c r="G385" i="7"/>
  <c r="G386" i="7" a="1"/>
  <c r="G386" i="7" s="1"/>
  <c r="G387" i="7" a="1"/>
  <c r="G387" i="7" s="1"/>
  <c r="G388" i="7" a="1"/>
  <c r="G388" i="7" s="1"/>
  <c r="G389" i="7" a="1"/>
  <c r="G389" i="7" s="1"/>
  <c r="G390" i="7" a="1"/>
  <c r="G390" i="7" s="1"/>
  <c r="G391" i="7" a="1"/>
  <c r="G391" i="7" s="1"/>
  <c r="G392" i="7" a="1"/>
  <c r="G392" i="7" s="1"/>
  <c r="G393" i="7" a="1"/>
  <c r="G393" i="7" s="1"/>
  <c r="G394" i="7" a="1"/>
  <c r="G394" i="7" s="1"/>
  <c r="G395" i="7" a="1"/>
  <c r="G395" i="7" s="1"/>
  <c r="G396" i="7" a="1"/>
  <c r="G396" i="7" s="1"/>
  <c r="G397" i="7" a="1"/>
  <c r="G397" i="7" s="1"/>
  <c r="G398" i="7" a="1"/>
  <c r="G398" i="7" s="1"/>
  <c r="G399" i="7" a="1"/>
  <c r="G399" i="7" s="1"/>
  <c r="G400" i="7" a="1"/>
  <c r="G400" i="7"/>
  <c r="G401" i="7" a="1"/>
  <c r="G401" i="7" s="1"/>
  <c r="G402" i="7" a="1"/>
  <c r="G402" i="7" s="1"/>
  <c r="G403" i="7" a="1"/>
  <c r="G403" i="7" s="1"/>
  <c r="G404" i="7" a="1"/>
  <c r="G404" i="7" s="1"/>
  <c r="G405" i="7" a="1"/>
  <c r="G405" i="7" s="1"/>
  <c r="G406" i="7" a="1"/>
  <c r="G406" i="7" s="1"/>
  <c r="G407" i="7" a="1"/>
  <c r="G407" i="7" s="1"/>
  <c r="G408" i="7" a="1"/>
  <c r="G408" i="7" s="1"/>
  <c r="G409" i="7" a="1"/>
  <c r="G409" i="7"/>
  <c r="G410" i="7" a="1"/>
  <c r="G410" i="7" s="1"/>
  <c r="G411" i="7" a="1"/>
  <c r="G411" i="7" s="1"/>
  <c r="G412" i="7" a="1"/>
  <c r="G412" i="7" s="1"/>
  <c r="G413" i="7" a="1"/>
  <c r="G413" i="7" s="1"/>
  <c r="G414" i="7" a="1"/>
  <c r="G414" i="7" s="1"/>
  <c r="G415" i="7" a="1"/>
  <c r="G415" i="7" s="1"/>
  <c r="G416" i="7" a="1"/>
  <c r="G416" i="7"/>
  <c r="G417" i="7" a="1"/>
  <c r="G417" i="7" s="1"/>
  <c r="G418" i="7" a="1"/>
  <c r="G418" i="7" s="1"/>
  <c r="G419" i="7" a="1"/>
  <c r="G419" i="7" s="1"/>
  <c r="G420" i="7" a="1"/>
  <c r="G420" i="7" s="1"/>
  <c r="G421" i="7" a="1"/>
  <c r="G421" i="7" s="1"/>
  <c r="G422" i="7" a="1"/>
  <c r="G422" i="7" s="1"/>
  <c r="G423" i="7" a="1"/>
  <c r="G423" i="7" s="1"/>
  <c r="G424" i="7" a="1"/>
  <c r="G424" i="7"/>
  <c r="G425" i="7" a="1"/>
  <c r="G425" i="7"/>
  <c r="G426" i="7" a="1"/>
  <c r="G426" i="7" s="1"/>
  <c r="G427" i="7" a="1"/>
  <c r="G427" i="7" s="1"/>
  <c r="G428" i="7" a="1"/>
  <c r="G428" i="7" s="1"/>
  <c r="G429" i="7" a="1"/>
  <c r="G429" i="7" s="1"/>
  <c r="G430" i="7" a="1"/>
  <c r="G430" i="7" s="1"/>
  <c r="G431" i="7" a="1"/>
  <c r="G431" i="7" s="1"/>
  <c r="G432" i="7" a="1"/>
  <c r="G432" i="7" s="1"/>
  <c r="G433" i="7" a="1"/>
  <c r="G433" i="7" s="1"/>
  <c r="G434" i="7" a="1"/>
  <c r="G434" i="7" s="1"/>
  <c r="G435" i="7" a="1"/>
  <c r="G435" i="7" s="1"/>
  <c r="G436" i="7" a="1"/>
  <c r="G436" i="7" s="1"/>
  <c r="G437" i="7" a="1"/>
  <c r="G437" i="7" s="1"/>
  <c r="G438" i="7" a="1"/>
  <c r="G438" i="7" s="1"/>
  <c r="G439" i="7" a="1"/>
  <c r="G439" i="7" s="1"/>
  <c r="G440" i="7" a="1"/>
  <c r="G440" i="7" s="1"/>
  <c r="G441" i="7" a="1"/>
  <c r="G441" i="7" s="1"/>
  <c r="G442" i="7" a="1"/>
  <c r="G442" i="7" s="1"/>
  <c r="G443" i="7" a="1"/>
  <c r="G443" i="7" s="1"/>
  <c r="G444" i="7" a="1"/>
  <c r="G444" i="7" s="1"/>
  <c r="G445" i="7" a="1"/>
  <c r="G445" i="7" s="1"/>
  <c r="G446" i="7" a="1"/>
  <c r="G446" i="7" s="1"/>
  <c r="G447" i="7" a="1"/>
  <c r="G447" i="7" s="1"/>
  <c r="G448" i="7" a="1"/>
  <c r="G448" i="7"/>
  <c r="G449" i="7" a="1"/>
  <c r="G449" i="7"/>
  <c r="G450" i="7" a="1"/>
  <c r="G450" i="7" s="1"/>
  <c r="G451" i="7" a="1"/>
  <c r="G451" i="7" s="1"/>
  <c r="G452" i="7" a="1"/>
  <c r="G452" i="7" s="1"/>
  <c r="G453" i="7" a="1"/>
  <c r="G453" i="7" s="1"/>
  <c r="G454" i="7" a="1"/>
  <c r="G454" i="7" s="1"/>
  <c r="G455" i="7" a="1"/>
  <c r="G455" i="7" s="1"/>
  <c r="G456" i="7" a="1"/>
  <c r="G456" i="7" s="1"/>
  <c r="G457" i="7" a="1"/>
  <c r="G457" i="7" s="1"/>
  <c r="G458" i="7" a="1"/>
  <c r="G458" i="7" s="1"/>
  <c r="G459" i="7" a="1"/>
  <c r="G459" i="7" s="1"/>
  <c r="G460" i="7" a="1"/>
  <c r="G460" i="7" s="1"/>
  <c r="G461" i="7" a="1"/>
  <c r="G461" i="7" s="1"/>
  <c r="G462" i="7" a="1"/>
  <c r="G462" i="7" s="1"/>
  <c r="G463" i="7" a="1"/>
  <c r="G463" i="7" s="1"/>
  <c r="G464" i="7" a="1"/>
  <c r="G464" i="7"/>
  <c r="G465" i="7" a="1"/>
  <c r="G465" i="7" s="1"/>
  <c r="G466" i="7" a="1"/>
  <c r="G466" i="7" s="1"/>
  <c r="G467" i="7" a="1"/>
  <c r="G467" i="7" s="1"/>
  <c r="G468" i="7" a="1"/>
  <c r="G468" i="7" s="1"/>
  <c r="G469" i="7" a="1"/>
  <c r="G469" i="7" s="1"/>
  <c r="G470" i="7" a="1"/>
  <c r="G470" i="7" s="1"/>
  <c r="G471" i="7" a="1"/>
  <c r="G471" i="7" s="1"/>
  <c r="G472" i="7" a="1"/>
  <c r="G472" i="7" s="1"/>
  <c r="G473" i="7" a="1"/>
  <c r="G473" i="7"/>
  <c r="G474" i="7" a="1"/>
  <c r="G474" i="7" s="1"/>
  <c r="G475" i="7" a="1"/>
  <c r="G475" i="7" s="1"/>
  <c r="G476" i="7" a="1"/>
  <c r="G476" i="7" s="1"/>
  <c r="G477" i="7" a="1"/>
  <c r="G477" i="7" s="1"/>
  <c r="G478" i="7" a="1"/>
  <c r="G478" i="7" s="1"/>
  <c r="G479" i="7" a="1"/>
  <c r="G479" i="7" s="1"/>
  <c r="G480" i="7" a="1"/>
  <c r="G480" i="7" s="1"/>
  <c r="G481" i="7" a="1"/>
  <c r="G481" i="7" s="1"/>
  <c r="G482" i="7" a="1"/>
  <c r="G482" i="7" s="1"/>
  <c r="G483" i="7" a="1"/>
  <c r="G483" i="7" s="1"/>
  <c r="G484" i="7" a="1"/>
  <c r="G484" i="7" s="1"/>
  <c r="G485" i="7" a="1"/>
  <c r="G485" i="7" s="1"/>
  <c r="G486" i="7" a="1"/>
  <c r="G486" i="7" s="1"/>
  <c r="G487" i="7" a="1"/>
  <c r="G487" i="7" s="1"/>
  <c r="G488" i="7" a="1"/>
  <c r="G488" i="7"/>
  <c r="G489" i="7" a="1"/>
  <c r="G489" i="7"/>
  <c r="G490" i="7" a="1"/>
  <c r="G490" i="7" s="1"/>
  <c r="G491" i="7" a="1"/>
  <c r="G491" i="7" s="1"/>
  <c r="G492" i="7" a="1"/>
  <c r="G492" i="7" s="1"/>
  <c r="G493" i="7" a="1"/>
  <c r="G493" i="7" s="1"/>
  <c r="G494" i="7" a="1"/>
  <c r="G494" i="7" s="1"/>
  <c r="G495" i="7" a="1"/>
  <c r="G495" i="7" s="1"/>
  <c r="G496" i="7" a="1"/>
  <c r="G496" i="7" s="1"/>
  <c r="G497" i="7" a="1"/>
  <c r="G497" i="7" s="1"/>
  <c r="G498" i="7" a="1"/>
  <c r="G498" i="7" s="1"/>
  <c r="G499" i="7" a="1"/>
  <c r="G499" i="7" s="1"/>
  <c r="G500" i="7" a="1"/>
  <c r="G500" i="7" s="1"/>
  <c r="G501" i="7" a="1"/>
  <c r="G501" i="7" s="1"/>
  <c r="G502" i="7" a="1"/>
  <c r="G502" i="7" s="1"/>
  <c r="G503" i="7" a="1"/>
  <c r="G503" i="7" s="1"/>
  <c r="G504" i="7" a="1"/>
  <c r="G504" i="7" s="1"/>
  <c r="G505" i="7" a="1"/>
  <c r="G505" i="7" s="1"/>
  <c r="G506" i="7" a="1"/>
  <c r="G506" i="7" s="1"/>
  <c r="G507" i="7" a="1"/>
  <c r="G507" i="7" s="1"/>
  <c r="G508" i="7" a="1"/>
  <c r="G508" i="7" s="1"/>
  <c r="G509" i="7" a="1"/>
  <c r="G509" i="7" s="1"/>
  <c r="G510" i="7" a="1"/>
  <c r="G510" i="7" s="1"/>
  <c r="G511" i="7" a="1"/>
  <c r="G511" i="7" s="1"/>
  <c r="G512" i="7" a="1"/>
  <c r="G512" i="7"/>
  <c r="G513" i="7" a="1"/>
  <c r="G513" i="7"/>
  <c r="G514" i="7" a="1"/>
  <c r="G514" i="7" s="1"/>
  <c r="G515" i="7" a="1"/>
  <c r="G515" i="7" s="1"/>
  <c r="G516" i="7" a="1"/>
  <c r="G516" i="7" s="1"/>
  <c r="G517" i="7" a="1"/>
  <c r="G517" i="7" s="1"/>
  <c r="G518" i="7" a="1"/>
  <c r="G518" i="7" s="1"/>
  <c r="G519" i="7" a="1"/>
  <c r="G519" i="7" s="1"/>
  <c r="G520" i="7" a="1"/>
  <c r="G520" i="7" s="1"/>
  <c r="G521" i="7" a="1"/>
  <c r="G521" i="7" s="1"/>
  <c r="G522" i="7" a="1"/>
  <c r="G522" i="7" s="1"/>
  <c r="G523" i="7" a="1"/>
  <c r="G523" i="7" s="1"/>
  <c r="G524" i="7" a="1"/>
  <c r="G524" i="7" s="1"/>
  <c r="G525" i="7" a="1"/>
  <c r="G525" i="7" s="1"/>
  <c r="G526" i="7" a="1"/>
  <c r="G526" i="7" s="1"/>
  <c r="G527" i="7" a="1"/>
  <c r="G527" i="7" s="1"/>
  <c r="G528" i="7" a="1"/>
  <c r="G528" i="7"/>
  <c r="G529" i="7" a="1"/>
  <c r="G529" i="7" s="1"/>
  <c r="G530" i="7" a="1"/>
  <c r="G530" i="7" s="1"/>
  <c r="G531" i="7" a="1"/>
  <c r="G531" i="7" s="1"/>
  <c r="G532" i="7" a="1"/>
  <c r="G532" i="7" s="1"/>
  <c r="G533" i="7" a="1"/>
  <c r="G533" i="7" s="1"/>
  <c r="G534" i="7" a="1"/>
  <c r="G534" i="7" s="1"/>
  <c r="G535" i="7" a="1"/>
  <c r="G535" i="7" s="1"/>
  <c r="G536" i="7" a="1"/>
  <c r="G536" i="7" s="1"/>
  <c r="G537" i="7" a="1"/>
  <c r="G537" i="7"/>
  <c r="G538" i="7" a="1"/>
  <c r="G538" i="7" s="1"/>
  <c r="G539" i="7" a="1"/>
  <c r="G539" i="7" s="1"/>
  <c r="G540" i="7" a="1"/>
  <c r="G540" i="7" s="1"/>
  <c r="G541" i="7" a="1"/>
  <c r="G541" i="7" s="1"/>
  <c r="G542" i="7" a="1"/>
  <c r="G542" i="7" s="1"/>
  <c r="G543" i="7" a="1"/>
  <c r="G543" i="7" s="1"/>
  <c r="G544" i="7" a="1"/>
  <c r="G544" i="7" s="1"/>
  <c r="G545" i="7" a="1"/>
  <c r="G545" i="7" s="1"/>
  <c r="G546" i="7" a="1"/>
  <c r="G546" i="7" s="1"/>
  <c r="G547" i="7" a="1"/>
  <c r="G547" i="7" s="1"/>
  <c r="G548" i="7" a="1"/>
  <c r="G548" i="7" s="1"/>
  <c r="G549" i="7" a="1"/>
  <c r="G549" i="7" s="1"/>
  <c r="G550" i="7" a="1"/>
  <c r="G550" i="7" s="1"/>
  <c r="G551" i="7" a="1"/>
  <c r="G551" i="7" s="1"/>
  <c r="G552" i="7" a="1"/>
  <c r="G552" i="7"/>
  <c r="G553" i="7" a="1"/>
  <c r="G553" i="7"/>
  <c r="G554" i="7" a="1"/>
  <c r="G554" i="7" s="1"/>
  <c r="G555" i="7" a="1"/>
  <c r="G555" i="7" s="1"/>
  <c r="G556" i="7" a="1"/>
  <c r="G556" i="7" s="1"/>
  <c r="G557" i="7" a="1"/>
  <c r="G557" i="7" s="1"/>
  <c r="G558" i="7" a="1"/>
  <c r="G558" i="7" s="1"/>
  <c r="G559" i="7" a="1"/>
  <c r="G559" i="7" s="1"/>
  <c r="G560" i="7" a="1"/>
  <c r="G560" i="7" s="1"/>
  <c r="G561" i="7" a="1"/>
  <c r="G561" i="7" s="1"/>
  <c r="G562" i="7" a="1"/>
  <c r="G562" i="7" s="1"/>
  <c r="G563" i="7" a="1"/>
  <c r="G563" i="7" s="1"/>
  <c r="G564" i="7" a="1"/>
  <c r="G564" i="7" s="1"/>
  <c r="G565" i="7" a="1"/>
  <c r="G565" i="7" s="1"/>
  <c r="G566" i="7" a="1"/>
  <c r="G566" i="7" s="1"/>
  <c r="G567" i="7" a="1"/>
  <c r="G567" i="7" s="1"/>
  <c r="G568" i="7" a="1"/>
  <c r="G568" i="7" s="1"/>
  <c r="G569" i="7" a="1"/>
  <c r="G569" i="7" s="1"/>
  <c r="G570" i="7" a="1"/>
  <c r="G570" i="7" s="1"/>
  <c r="G571" i="7" a="1"/>
  <c r="G571" i="7" s="1"/>
  <c r="G572" i="7" a="1"/>
  <c r="G572" i="7" s="1"/>
  <c r="G573" i="7" a="1"/>
  <c r="G573" i="7" s="1"/>
  <c r="G574" i="7" a="1"/>
  <c r="G574" i="7" s="1"/>
  <c r="G575" i="7" a="1"/>
  <c r="G575" i="7" s="1"/>
  <c r="G576" i="7" a="1"/>
  <c r="G576" i="7"/>
  <c r="G577" i="7" a="1"/>
  <c r="G577" i="7"/>
  <c r="G578" i="7" a="1"/>
  <c r="G578" i="7" s="1"/>
  <c r="G579" i="7" a="1"/>
  <c r="G579" i="7" s="1"/>
  <c r="G580" i="7" a="1"/>
  <c r="G580" i="7" s="1"/>
  <c r="G581" i="7" a="1"/>
  <c r="G581" i="7" s="1"/>
  <c r="G582" i="7" a="1"/>
  <c r="G582" i="7" s="1"/>
  <c r="G583" i="7" a="1"/>
  <c r="G583" i="7" s="1"/>
  <c r="G584" i="7" a="1"/>
  <c r="G584" i="7" s="1"/>
  <c r="G585" i="7" a="1"/>
  <c r="G585" i="7" s="1"/>
  <c r="G586" i="7" a="1"/>
  <c r="G586" i="7" s="1"/>
  <c r="G587" i="7" a="1"/>
  <c r="G587" i="7" s="1"/>
  <c r="G588" i="7" a="1"/>
  <c r="G588" i="7" s="1"/>
  <c r="G589" i="7" a="1"/>
  <c r="G589" i="7" s="1"/>
  <c r="G590" i="7" a="1"/>
  <c r="G590" i="7" s="1"/>
  <c r="G591" i="7" a="1"/>
  <c r="G591" i="7" s="1"/>
  <c r="G592" i="7" a="1"/>
  <c r="G592" i="7"/>
  <c r="G593" i="7" a="1"/>
  <c r="G593" i="7" s="1"/>
  <c r="G594" i="7" a="1"/>
  <c r="G594" i="7" s="1"/>
  <c r="G595" i="7" a="1"/>
  <c r="G595" i="7" s="1"/>
  <c r="G596" i="7" a="1"/>
  <c r="G596" i="7" s="1"/>
  <c r="G597" i="7" a="1"/>
  <c r="G597" i="7" s="1"/>
  <c r="G598" i="7" a="1"/>
  <c r="G598" i="7" s="1"/>
  <c r="G599" i="7" a="1"/>
  <c r="G599" i="7" s="1"/>
  <c r="G600" i="7" a="1"/>
  <c r="G600" i="7" s="1"/>
  <c r="G601" i="7" a="1"/>
  <c r="G601" i="7"/>
  <c r="G602" i="7" a="1"/>
  <c r="G602" i="7" s="1"/>
  <c r="G603" i="7" a="1"/>
  <c r="G603" i="7" s="1"/>
  <c r="G604" i="7" a="1"/>
  <c r="G604" i="7" s="1"/>
  <c r="G605" i="7" a="1"/>
  <c r="G605" i="7" s="1"/>
  <c r="G606" i="7" a="1"/>
  <c r="G606" i="7" s="1"/>
  <c r="G607" i="7" a="1"/>
  <c r="G607" i="7" s="1"/>
  <c r="G608" i="7" a="1"/>
  <c r="G608" i="7" s="1"/>
  <c r="G609" i="7" a="1"/>
  <c r="G609" i="7" s="1"/>
  <c r="G610" i="7" a="1"/>
  <c r="G610" i="7" s="1"/>
  <c r="G611" i="7" a="1"/>
  <c r="G611" i="7" s="1"/>
  <c r="C14" i="6"/>
  <c r="C13" i="6"/>
  <c r="C12" i="6"/>
  <c r="C11" i="6"/>
  <c r="C10" i="6"/>
  <c r="C9" i="6"/>
  <c r="C8" i="6"/>
  <c r="C7" i="6"/>
  <c r="C6" i="6"/>
  <c r="C5" i="6"/>
  <c r="C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tc={552A1E05-35DD-4BF7-9158-896A0F48FB27}</author>
  </authors>
  <commentList>
    <comment ref="A1" authorId="0" shapeId="0" xr:uid="{552A1E05-35DD-4BF7-9158-896A0F48FB27}">
      <text>
        <t>[Threaded comment]
Your version of Excel allows you to read this threaded comment; however, any edits to it will get removed if the file is opened in a newer version of Excel. Learn more: https://go.microsoft.com/fwlink/?linkid=870924
Comment:
    This datashet is incomplete if we check the 2 and 3, so dataset 1 and 2 should be combined so that we can merge 3 with that.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<sst xmlns="http://schemas.openxmlformats.org/spreadsheetml/2006/main" count="257" uniqueCount="149">
  <si>
    <t>yr</t>
  </si>
  <si>
    <t>mnth</t>
  </si>
  <si>
    <t>hr</t>
  </si>
  <si>
    <t>holiday</t>
  </si>
  <si>
    <t>weekday</t>
  </si>
  <si>
    <t>Unnamed: 0</t>
  </si>
  <si>
    <t>registered Customer</t>
  </si>
  <si>
    <t>Casual Customer</t>
  </si>
  <si>
    <t>Total Customer</t>
  </si>
  <si>
    <t>Instant</t>
  </si>
  <si>
    <t>Date</t>
  </si>
  <si>
    <t>Season</t>
  </si>
  <si>
    <t>Weather_Situation</t>
  </si>
  <si>
    <t>Temperature</t>
  </si>
  <si>
    <t>Row Labels</t>
  </si>
  <si>
    <t>Grand Total</t>
  </si>
  <si>
    <t>Column Labels</t>
  </si>
  <si>
    <t>Count of Weather_Situation</t>
  </si>
  <si>
    <t>Daywise weather situation</t>
  </si>
  <si>
    <t>Average of Temperature</t>
  </si>
  <si>
    <t>Daily Average temperature</t>
  </si>
  <si>
    <t>Total number of instances</t>
  </si>
  <si>
    <t>Days Count</t>
  </si>
  <si>
    <t>Average Temp</t>
  </si>
  <si>
    <t>Max_Temp</t>
  </si>
  <si>
    <t>Min_Temp</t>
  </si>
  <si>
    <t>Most visited day</t>
  </si>
  <si>
    <t>Least visited day</t>
  </si>
  <si>
    <t>Average Visited day</t>
  </si>
  <si>
    <t>Value</t>
  </si>
  <si>
    <t>Weather situation based on the days</t>
  </si>
  <si>
    <t>cnt</t>
  </si>
  <si>
    <t>Min atemp</t>
  </si>
  <si>
    <t>Max atemp</t>
  </si>
  <si>
    <t>Min humidity</t>
  </si>
  <si>
    <t>Max humidity</t>
  </si>
  <si>
    <t>Average humidity</t>
  </si>
  <si>
    <t>Min windspeed</t>
  </si>
  <si>
    <t>Max windspeed</t>
  </si>
  <si>
    <t>Average windspeed</t>
  </si>
  <si>
    <t>Data anylysis</t>
  </si>
  <si>
    <t>Values</t>
  </si>
  <si>
    <t>Days</t>
  </si>
  <si>
    <t>Casual Customers</t>
  </si>
  <si>
    <t>Registered Customers</t>
  </si>
  <si>
    <t>Time Category</t>
  </si>
  <si>
    <t>Analysis</t>
  </si>
  <si>
    <t>Weather_Situations</t>
  </si>
  <si>
    <t>Time of day</t>
  </si>
  <si>
    <t>Temp Category</t>
  </si>
  <si>
    <t>Rides Demand</t>
  </si>
  <si>
    <t>Humid Cat</t>
  </si>
  <si>
    <t>Windspeed category</t>
  </si>
  <si>
    <t>Daily Bikerides by Customers Type</t>
  </si>
  <si>
    <t>Day</t>
  </si>
  <si>
    <t>Sum of Casual Customer</t>
  </si>
  <si>
    <t>Sum of registered Customer</t>
  </si>
  <si>
    <t>Hours</t>
  </si>
  <si>
    <t>Sum of cnt</t>
  </si>
  <si>
    <t>Average of atemp</t>
  </si>
  <si>
    <t>Jan</t>
  </si>
  <si>
    <t>Feb</t>
  </si>
  <si>
    <t>🚲  Total Riders</t>
  </si>
  <si>
    <t>⚡ Avg/Hr</t>
  </si>
  <si>
    <t>🏆  Peak Hours</t>
  </si>
  <si>
    <t xml:space="preserve">Median Riders/Hr 📊  </t>
  </si>
  <si>
    <t>✅ Registered Riders</t>
  </si>
  <si>
    <t>👥 Casual Riders</t>
  </si>
  <si>
    <t>Weather Conditions</t>
  </si>
  <si>
    <t>Condition</t>
  </si>
  <si>
    <t>Riders</t>
  </si>
  <si>
    <t>Share</t>
  </si>
  <si>
    <t>Avg/Hr</t>
  </si>
  <si>
    <t>Peak</t>
  </si>
  <si>
    <t>Dry</t>
  </si>
  <si>
    <t>High Humidity</t>
  </si>
  <si>
    <t>Humid</t>
  </si>
  <si>
    <t>Less Humidity</t>
  </si>
  <si>
    <t>Total Riders</t>
  </si>
  <si>
    <t>Humidity</t>
  </si>
  <si>
    <t>Year</t>
  </si>
  <si>
    <t>Month</t>
  </si>
  <si>
    <t>Hour</t>
  </si>
  <si>
    <t>Holiday</t>
  </si>
  <si>
    <t>Weekday</t>
  </si>
  <si>
    <t>Atemp</t>
  </si>
  <si>
    <t>Windspeed</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</si>
  <si>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</si>
  <si>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</si>
  <si>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</si>
  <si>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</si>
  <si>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</si>
  <si>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</si>
  <si>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</si>
  <si>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</si>
  <si>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</si>
  <si>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</si>
  <si>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</si>
  <si>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</si>
  <si>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</si>
  <si>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</si>
  <si>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</si>
  <si>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</si>
  <si>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</si>
  <si>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</si>
  <si>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</si>
  <si>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</si>
  <si>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</si>
  <si>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</si>
  <si>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</si>
  <si>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</si>
  <si>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</si>
  <si>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</si>
  <si>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</si>
  <si>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</si>
  <si>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</si>
  <si>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</si>
  <si>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</si>
  <si>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</si>
  <si>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</si>
  <si>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</si>
  <si>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</si>
  <si>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</si>
  <si>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</si>
  <si>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</si>
  <si>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</si>
  <si>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</si>
  <si>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</si>
  <si>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</si>
  <si>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</si>
  <si>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</si>
  <si>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</si>
  <si>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Total Rides</t>
  </si>
  <si>
    <t>Weathersit</t>
  </si>
  <si>
    <t>Temp</t>
  </si>
  <si>
    <t>FALSE</t>
  </si>
  <si>
    <t>TRUE</t>
  </si>
  <si>
    <t>Average of Weather_Situation</t>
  </si>
  <si>
    <t>Count of holiday</t>
  </si>
  <si>
    <t>Weather</t>
  </si>
  <si>
    <t>Average atemp</t>
  </si>
  <si>
    <t>Max Rides</t>
  </si>
  <si>
    <t>Minimum Rides</t>
  </si>
  <si>
    <t>Total Customers</t>
  </si>
  <si>
    <t>This data shows the Customers based on the Windspeed</t>
  </si>
  <si>
    <t>Registered Customer</t>
  </si>
  <si>
    <t>Total</t>
  </si>
  <si>
    <t>Column1</t>
  </si>
  <si>
    <t>time of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</si>
</sst>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000000000"/>
  </numFmts>
  <fonts count="17" x14ac:knownFonts="1">
    <font>
      <sz val="10"/>
      <color rgb="FF000000"/>
      <name val="Arial"/>
      <scheme val="minor"/>
    </font>
    <font>
      <sz val="11"/>
      <color theme="1"/>
      <name val="Arial"/>
      <family val="2"/>
      <scheme val="minor"/>
    </font>
    <font>
      <sz val="11"/>
      <color theme="1"/>
      <name val="Arial"/>
      <family val="2"/>
      <scheme val="minor"/>
    </font>
    <font>
      <sz val="10"/>
      <color theme="1"/>
      <name val="Arial"/>
      <scheme val="minor"/>
    </font>
    <font>
      <sz val="11"/>
      <color theme="1"/>
      <name val="Arial"/>
      <scheme val="minor"/>
    </font>
    <font>
      <sz val="10"/>
      <color theme="1"/>
      <name val="Arial"/>
      <family val="2"/>
      <scheme val="minor"/>
    </font>
    <font>
      <sz val="10"/>
      <color rgb="FF000000"/>
      <name val="Arial"/>
      <family val="2"/>
      <scheme val="minor"/>
    </font>
    <font>
      <sz val="10"/>
      <color rgb="FF002060"/>
      <name val="Arial"/>
      <family val="2"/>
      <scheme val="minor"/>
    </font>
    <font>
      <sz val="14"/>
      <color rgb="FFFF0000"/>
      <name val="Arial"/>
      <family val="2"/>
      <scheme val="minor"/>
    </font>
    <font>
      <sz val="10"/>
      <name val="Arial"/>
      <family val="2"/>
      <scheme val="minor"/>
    </font>
    <font>
      <b/>
      <sz val="20"/>
      <color theme="0"/>
      <name val="Arial"/>
      <family val="2"/>
      <scheme val="minor"/>
    </font>
    <font>
      <sz val="20"/>
      <color theme="1"/>
      <name val="Arial"/>
      <family val="2"/>
      <scheme val="minor"/>
    </font>
    <font>
      <b/>
      <i/>
      <sz val="18"/>
      <color theme="0"/>
      <name val="Arial"/>
      <scheme val="minor"/>
    </font>
    <font>
      <b/>
      <sz val="14"/>
      <color theme="0"/>
      <name val="Arial"/>
      <scheme val="minor"/>
    </font>
    <font>
      <b/>
      <sz val="12"/>
      <color theme="0"/>
      <name val="Arial"/>
      <scheme val="minor"/>
    </font>
    <font>
      <sz val="10"/>
      <name val="Arial"/>
      <scheme val="minor"/>
    </font>
    <font>
      <sz val="16"/>
      <color rgb="FF000000"/>
      <name val="Arial"/>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2" tint="-4.9989318521683403E-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0" fontId="4" fillId="0" borderId="0"/>
    <xf numFmtId="0" fontId="6" fillId="0" borderId="0"/>
  </cellStyleXfs>
  <cellXfs count="113">
    <xf numFmtId="0" fontId="0" fillId="0" borderId="0" xfId="0"/>
    <xf numFmtId="0" fontId="4" fillId="0" borderId="0" xfId="1"/>
    <xf numFmtId="0" fontId="3" fillId="0" borderId="1" xfId="0" applyFont="1" applyBorder="1"/>
    <xf numFmtId="164" fontId="3" fillId="0" borderId="1" xfId="0" applyNumberFormat="1" applyFont="1" applyBorder="1"/>
    <xf numFmtId="0" fontId="5" fillId="0" borderId="1" xfId="1" applyFont="1" applyBorder="1" applyAlignment="1">
      <alignment horizontal="center"/>
    </xf>
    <xf numFmtId="0" fontId="0" fillId="0" borderId="1" xfId="0" pivotButton="1" applyBorder="1" applyAlignment="1">
      <alignment horizontal="center" vertical="center"/>
    </xf>
    <xf numFmtId="0" fontId="0" fillId="0" borderId="1" xfId="0" applyBorder="1" applyAlignment="1">
      <alignment horizontal="center" vertical="center"/>
    </xf>
    <xf numFmtId="0" fontId="3" fillId="0" borderId="11" xfId="0" applyFont="1" applyBorder="1"/>
    <xf numFmtId="0" fontId="5" fillId="0" borderId="12" xfId="1" applyFont="1" applyBorder="1" applyAlignment="1">
      <alignment horizontal="center"/>
    </xf>
    <xf numFmtId="0" fontId="3" fillId="0" borderId="15" xfId="0" applyFont="1" applyBorder="1"/>
    <xf numFmtId="164" fontId="3" fillId="0" borderId="16" xfId="0" applyNumberFormat="1" applyFont="1" applyBorder="1"/>
    <xf numFmtId="0" fontId="3" fillId="0" borderId="16" xfId="0" applyFont="1" applyBorder="1"/>
    <xf numFmtId="0" fontId="5" fillId="0" borderId="16" xfId="1" applyFont="1" applyBorder="1" applyAlignment="1">
      <alignment horizontal="center"/>
    </xf>
    <xf numFmtId="0" fontId="5" fillId="0" borderId="17" xfId="1" applyFont="1" applyBorder="1" applyAlignment="1">
      <alignment horizontal="center"/>
    </xf>
    <xf numFmtId="2" fontId="3" fillId="0" borderId="1" xfId="0" applyNumberFormat="1" applyFont="1" applyBorder="1"/>
    <xf numFmtId="0" fontId="3" fillId="7" borderId="13" xfId="0" applyFont="1" applyFill="1" applyBorder="1"/>
    <xf numFmtId="0" fontId="3" fillId="7" borderId="14" xfId="0" applyFont="1" applyFill="1" applyBorder="1"/>
    <xf numFmtId="0" fontId="5" fillId="7" borderId="14" xfId="1" applyFont="1" applyFill="1" applyBorder="1" applyAlignment="1">
      <alignment horizontal="center"/>
    </xf>
    <xf numFmtId="0" fontId="5" fillId="7" borderId="18" xfId="1" applyFont="1" applyFill="1" applyBorder="1" applyAlignment="1">
      <alignment horizontal="center"/>
    </xf>
    <xf numFmtId="2" fontId="3" fillId="0" borderId="16" xfId="0" applyNumberFormat="1" applyFont="1" applyBorder="1"/>
    <xf numFmtId="0" fontId="5" fillId="7" borderId="14" xfId="0" applyFont="1" applyFill="1" applyBorder="1"/>
    <xf numFmtId="2" fontId="3" fillId="0" borderId="12" xfId="0" applyNumberFormat="1" applyFont="1" applyBorder="1"/>
    <xf numFmtId="0" fontId="3" fillId="0" borderId="13" xfId="0" applyFont="1" applyBorder="1"/>
    <xf numFmtId="0" fontId="3" fillId="0" borderId="14" xfId="0" applyFont="1" applyBorder="1"/>
    <xf numFmtId="0" fontId="3" fillId="0" borderId="18" xfId="0" applyFont="1" applyBorder="1"/>
    <xf numFmtId="2" fontId="3" fillId="0" borderId="17" xfId="0" applyNumberFormat="1" applyFont="1" applyBorder="1"/>
    <xf numFmtId="0" fontId="5" fillId="0" borderId="11" xfId="1" applyFont="1" applyBorder="1" applyAlignment="1">
      <alignment horizontal="center"/>
    </xf>
    <xf numFmtId="0" fontId="5" fillId="2" borderId="20" xfId="1" applyFont="1" applyFill="1" applyBorder="1" applyAlignment="1">
      <alignment horizontal="center"/>
    </xf>
    <xf numFmtId="0" fontId="5" fillId="2" borderId="21" xfId="1" applyFont="1" applyFill="1" applyBorder="1" applyAlignment="1">
      <alignment horizontal="center"/>
    </xf>
    <xf numFmtId="0" fontId="5" fillId="2" borderId="19" xfId="1" applyFont="1" applyFill="1" applyBorder="1" applyAlignment="1">
      <alignment horizontal="center"/>
    </xf>
    <xf numFmtId="0" fontId="5" fillId="0" borderId="15" xfId="1" applyFont="1" applyBorder="1" applyAlignment="1">
      <alignment horizontal="center"/>
    </xf>
    <xf numFmtId="2" fontId="3" fillId="0" borderId="1" xfId="0" applyNumberFormat="1" applyFont="1" applyBorder="1" applyAlignment="1">
      <alignment horizontal="center" vertical="center"/>
    </xf>
    <xf numFmtId="2" fontId="3" fillId="0" borderId="16" xfId="0" applyNumberFormat="1" applyFont="1" applyBorder="1" applyAlignment="1">
      <alignment horizontal="center" vertical="center"/>
    </xf>
    <xf numFmtId="0" fontId="3" fillId="0" borderId="1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5" fillId="0" borderId="1" xfId="1" applyFont="1" applyBorder="1" applyAlignment="1">
      <alignment horizontal="center" vertical="center"/>
    </xf>
    <xf numFmtId="0" fontId="5" fillId="0" borderId="12" xfId="1" applyFont="1" applyBorder="1" applyAlignment="1">
      <alignment horizontal="center" vertical="center"/>
    </xf>
    <xf numFmtId="0" fontId="5" fillId="0" borderId="14" xfId="0" applyFont="1" applyBorder="1" applyAlignment="1">
      <alignment horizontal="center" vertical="center"/>
    </xf>
    <xf numFmtId="0" fontId="5" fillId="0" borderId="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164" fontId="3" fillId="0" borderId="16" xfId="0" applyNumberFormat="1"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5" fillId="0" borderId="16" xfId="0" applyFont="1" applyBorder="1" applyAlignment="1">
      <alignment horizontal="center" vertical="center"/>
    </xf>
    <xf numFmtId="0" fontId="0" fillId="0" borderId="0" xfId="0" pivotButton="1"/>
    <xf numFmtId="0" fontId="0" fillId="0" borderId="0" xfId="0" applyAlignment="1">
      <alignment horizontal="left"/>
    </xf>
    <xf numFmtId="0" fontId="0" fillId="7" borderId="1" xfId="0" applyFill="1" applyBorder="1" applyAlignment="1">
      <alignment horizontal="center"/>
    </xf>
    <xf numFmtId="0" fontId="0" fillId="7" borderId="0" xfId="0" applyFill="1"/>
    <xf numFmtId="0" fontId="0" fillId="7" borderId="1" xfId="0" applyFill="1" applyBorder="1" applyAlignment="1">
      <alignment horizontal="center" vertical="center"/>
    </xf>
    <xf numFmtId="0" fontId="0" fillId="7" borderId="0" xfId="0" applyFill="1" applyAlignment="1">
      <alignment horizontal="left"/>
    </xf>
    <xf numFmtId="166" fontId="0" fillId="7" borderId="0" xfId="0" applyNumberFormat="1" applyFill="1"/>
    <xf numFmtId="0" fontId="9" fillId="7" borderId="1" xfId="0" applyFont="1" applyFill="1" applyBorder="1" applyAlignment="1">
      <alignment horizontal="center" vertical="center"/>
    </xf>
    <xf numFmtId="0" fontId="11" fillId="0" borderId="23" xfId="0" applyFont="1" applyBorder="1" applyAlignment="1">
      <alignment vertical="center"/>
    </xf>
    <xf numFmtId="0" fontId="11" fillId="0" borderId="24" xfId="0" applyFont="1" applyBorder="1" applyAlignment="1">
      <alignment vertical="center"/>
    </xf>
    <xf numFmtId="0" fontId="13" fillId="8" borderId="6" xfId="0" applyFont="1" applyFill="1" applyBorder="1" applyAlignment="1">
      <alignment horizontal="center" vertical="center"/>
    </xf>
    <xf numFmtId="0" fontId="13" fillId="8" borderId="14" xfId="0" applyFont="1" applyFill="1" applyBorder="1" applyAlignment="1">
      <alignment horizontal="center" vertical="center"/>
    </xf>
    <xf numFmtId="0" fontId="13" fillId="8" borderId="7" xfId="0" applyFont="1" applyFill="1" applyBorder="1" applyAlignment="1">
      <alignment horizontal="center" vertical="center"/>
    </xf>
    <xf numFmtId="0" fontId="14" fillId="8" borderId="2" xfId="0" applyFont="1" applyFill="1" applyBorder="1" applyAlignment="1">
      <alignment horizontal="center" vertical="center"/>
    </xf>
    <xf numFmtId="0" fontId="14" fillId="8" borderId="4" xfId="0" applyFont="1" applyFill="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15" fillId="7" borderId="1" xfId="0" applyFont="1" applyFill="1" applyBorder="1" applyAlignment="1">
      <alignment horizontal="center"/>
    </xf>
    <xf numFmtId="0" fontId="0" fillId="0" borderId="0" xfId="0" applyAlignment="1">
      <alignment horizontal="left" indent="1"/>
    </xf>
    <xf numFmtId="0" fontId="3" fillId="0" borderId="12" xfId="0" applyFont="1" applyBorder="1"/>
    <xf numFmtId="0" fontId="3" fillId="0" borderId="17" xfId="0" applyFont="1" applyBorder="1"/>
    <xf numFmtId="0" fontId="2" fillId="7" borderId="1" xfId="1" applyFont="1" applyFill="1" applyBorder="1" applyAlignment="1">
      <alignment horizontal="center" vertical="center"/>
    </xf>
    <xf numFmtId="0" fontId="4" fillId="7" borderId="1" xfId="1" applyFill="1" applyBorder="1" applyAlignment="1">
      <alignment horizontal="center" vertical="center"/>
    </xf>
    <xf numFmtId="2" fontId="4" fillId="7" borderId="1" xfId="1" applyNumberFormat="1" applyFill="1" applyBorder="1" applyAlignment="1">
      <alignment horizontal="center" vertical="center"/>
    </xf>
    <xf numFmtId="0" fontId="1" fillId="7" borderId="1" xfId="1" applyFont="1" applyFill="1" applyBorder="1" applyAlignment="1">
      <alignment horizontal="center" vertical="center"/>
    </xf>
    <xf numFmtId="0" fontId="0" fillId="10" borderId="1" xfId="0" applyFill="1" applyBorder="1" applyAlignment="1">
      <alignment horizontal="center" vertical="center"/>
    </xf>
    <xf numFmtId="0" fontId="16" fillId="7" borderId="1" xfId="0" applyFont="1" applyFill="1" applyBorder="1" applyAlignment="1">
      <alignment horizontal="center" vertical="center"/>
    </xf>
    <xf numFmtId="0" fontId="8" fillId="5" borderId="1" xfId="0" applyFont="1" applyFill="1" applyBorder="1" applyAlignment="1">
      <alignment horizontal="center" vertical="center"/>
    </xf>
    <xf numFmtId="0" fontId="12" fillId="9" borderId="26" xfId="0" applyFont="1" applyFill="1" applyBorder="1" applyAlignment="1">
      <alignment horizontal="center" vertical="center"/>
    </xf>
    <xf numFmtId="0" fontId="12" fillId="9" borderId="27" xfId="0" applyFont="1" applyFill="1" applyBorder="1" applyAlignment="1">
      <alignment horizontal="center" vertical="center"/>
    </xf>
    <xf numFmtId="0" fontId="12" fillId="9" borderId="28" xfId="0" applyFont="1" applyFill="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8" borderId="8" xfId="0" applyFont="1" applyFill="1" applyBorder="1" applyAlignment="1">
      <alignment horizontal="center" vertical="center"/>
    </xf>
    <xf numFmtId="0" fontId="10" fillId="8" borderId="22" xfId="0" applyFont="1" applyFill="1" applyBorder="1" applyAlignment="1">
      <alignment horizontal="center" vertical="center"/>
    </xf>
    <xf numFmtId="0" fontId="10" fillId="8" borderId="22" xfId="0" applyFont="1" applyFill="1" applyBorder="1" applyAlignment="1">
      <alignment horizontal="center" vertical="center" wrapText="1"/>
    </xf>
    <xf numFmtId="0" fontId="10" fillId="8" borderId="9" xfId="0" applyFont="1" applyFill="1" applyBorder="1" applyAlignment="1">
      <alignment horizontal="center" vertical="center"/>
    </xf>
    <xf numFmtId="0" fontId="6" fillId="0" borderId="0" xfId="2"/>
    <xf numFmtId="0" fontId="6" fillId="0" borderId="37" xfId="2" applyBorder="1"/>
    <xf numFmtId="0" fontId="6" fillId="0" borderId="36" xfId="2" applyBorder="1"/>
    <xf numFmtId="0" fontId="6" fillId="0" borderId="35" xfId="2" applyBorder="1"/>
    <xf numFmtId="0" fontId="6" fillId="0" borderId="34" xfId="2" applyBorder="1"/>
    <xf numFmtId="0" fontId="6" fillId="0" borderId="33" xfId="2" applyBorder="1"/>
    <xf numFmtId="0" fontId="6" fillId="0" borderId="32" xfId="2" applyBorder="1"/>
    <xf numFmtId="0" fontId="6" fillId="0" borderId="31" xfId="2" applyBorder="1"/>
    <xf numFmtId="0" fontId="6" fillId="0" borderId="30" xfId="2" applyBorder="1"/>
    <xf numFmtId="0" fontId="6" fillId="0" borderId="29" xfId="2" applyBorder="1"/>
    <xf numFmtId="0" fontId="6" fillId="0" borderId="0" xfId="2" applyAlignment="1">
      <alignment horizontal="left"/>
    </xf>
    <xf numFmtId="2" fontId="6" fillId="0" borderId="0" xfId="2" applyNumberFormat="1"/>
    <xf numFmtId="0" fontId="6" fillId="0" borderId="1" xfId="2" applyBorder="1" applyAlignment="1">
      <alignment horizontal="center"/>
    </xf>
    <xf numFmtId="0" fontId="9" fillId="6" borderId="10" xfId="2" applyFont="1" applyFill="1" applyBorder="1" applyAlignment="1">
      <alignment horizontal="center" vertical="center"/>
    </xf>
    <xf numFmtId="0" fontId="9" fillId="6" borderId="0" xfId="2" applyFont="1" applyFill="1" applyAlignment="1">
      <alignment horizontal="center" vertical="center"/>
    </xf>
    <xf numFmtId="0" fontId="6" fillId="0" borderId="1" xfId="2" applyBorder="1" applyAlignment="1">
      <alignment horizontal="center" vertical="center"/>
    </xf>
    <xf numFmtId="2" fontId="6" fillId="0" borderId="1" xfId="2" applyNumberFormat="1" applyBorder="1" applyAlignment="1">
      <alignment horizontal="center" vertical="center"/>
    </xf>
    <xf numFmtId="165" fontId="6" fillId="5" borderId="5" xfId="2" applyNumberFormat="1" applyFill="1" applyBorder="1" applyAlignment="1">
      <alignment horizontal="center" vertical="center"/>
    </xf>
    <xf numFmtId="0" fontId="6" fillId="5" borderId="4" xfId="2" applyFill="1" applyBorder="1" applyAlignment="1">
      <alignment horizontal="center" vertical="center"/>
    </xf>
    <xf numFmtId="0" fontId="6" fillId="5" borderId="3" xfId="2" applyFill="1" applyBorder="1" applyAlignment="1">
      <alignment horizontal="center" vertical="center"/>
    </xf>
    <xf numFmtId="0" fontId="6" fillId="5" borderId="2" xfId="2" applyFill="1" applyBorder="1" applyAlignment="1">
      <alignment horizontal="center" vertical="center"/>
    </xf>
    <xf numFmtId="2" fontId="6" fillId="5" borderId="3" xfId="2" applyNumberFormat="1" applyFill="1" applyBorder="1" applyAlignment="1">
      <alignment horizontal="center" vertical="center"/>
    </xf>
    <xf numFmtId="0" fontId="6" fillId="5" borderId="7" xfId="2" applyFill="1" applyBorder="1" applyAlignment="1">
      <alignment horizontal="center" vertical="center"/>
    </xf>
    <xf numFmtId="0" fontId="6" fillId="5" borderId="6" xfId="2" applyFill="1" applyBorder="1" applyAlignment="1">
      <alignment horizontal="center" vertical="center"/>
    </xf>
    <xf numFmtId="0" fontId="7" fillId="4" borderId="9" xfId="2" applyFont="1" applyFill="1" applyBorder="1" applyAlignment="1">
      <alignment horizontal="center" vertical="center"/>
    </xf>
    <xf numFmtId="0" fontId="7" fillId="4" borderId="8" xfId="2" applyFont="1" applyFill="1" applyBorder="1" applyAlignment="1">
      <alignment horizontal="center" vertical="center"/>
    </xf>
    <xf numFmtId="0" fontId="6" fillId="3" borderId="1" xfId="2" applyFill="1" applyBorder="1" applyAlignment="1">
      <alignment horizontal="center" vertical="center"/>
    </xf>
    <xf numFmtId="0" fontId="16" fillId="3" borderId="10" xfId="2" applyFont="1" applyFill="1" applyBorder="1" applyAlignment="1">
      <alignment horizontal="center"/>
    </xf>
    <xf numFmtId="0" fontId="16" fillId="3" borderId="18" xfId="2" applyFont="1" applyFill="1" applyBorder="1" applyAlignment="1">
      <alignment horizontal="center"/>
    </xf>
  </cellXfs>
  <cellStyles count="3">
    <cellStyle name="Normal" xfId="0" builtinId="0"/>
    <cellStyle name="Normal 2" xfId="1" xr:uid="{3CFFC916-C8A8-48CD-9B9E-C17008CC52BC}"/>
    <cellStyle name="Normal 2 2" xfId="2" xr:uid="{BB5963FD-C818-4F3F-BACD-EFB42C128D24}"/>
  </cellStyles>
  <dxfs count="39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0"/>
        <color theme="1"/>
        <name val="Arial"/>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numFmt numFmtId="164"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dxf>
    <dxf>
      <border outline="0">
        <bottom style="thin">
          <color indexed="64"/>
        </bottom>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6" formatCode="0.0000000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0"/>
        <color theme="1"/>
        <name val="Arial"/>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top style="thin">
          <color indexed="64"/>
        </top>
        <bottom/>
      </border>
      <protection locked="1" hidden="0"/>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numFmt numFmtId="164"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outline="0">
        <left/>
        <right style="thin">
          <color indexed="64"/>
        </right>
        <top style="thin">
          <color indexed="64"/>
        </top>
        <bottom/>
      </border>
    </dxf>
    <dxf>
      <font>
        <b val="0"/>
        <i val="0"/>
        <strike val="0"/>
        <condense val="0"/>
        <extend val="0"/>
        <outline val="0"/>
        <shadow val="0"/>
        <u val="none"/>
        <vertAlign val="baseline"/>
        <sz val="10"/>
        <color theme="1"/>
        <name val="Arial"/>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theme="2" tint="-4.9989318521683403E-2"/>
        </patternFill>
      </fill>
    </dxf>
    <dxf>
      <fill>
        <patternFill>
          <bgColor theme="2" tint="-4.9989318521683403E-2"/>
        </patternFill>
      </fill>
    </dxf>
    <dxf>
      <fill>
        <patternFill>
          <bgColor theme="2" tint="-4.9989318521683403E-2"/>
        </patternFill>
      </fill>
    </dxf>
    <dxf>
      <fill>
        <patternFill>
          <bgColor theme="2" tint="-4.9989318521683403E-2"/>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solid">
          <fgColor indexed="64"/>
          <bgColor theme="9"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minor"/>
      </font>
      <numFmt numFmtId="2"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numFmt numFmtId="164"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Arial"/>
        <scheme val="minor"/>
      </font>
    </dxf>
    <dxf>
      <border outline="0">
        <bottom style="thin">
          <color indexed="64"/>
        </bottom>
      </border>
    </dxf>
    <dxf>
      <font>
        <b val="0"/>
        <i val="0"/>
        <strike val="0"/>
        <condense val="0"/>
        <extend val="0"/>
        <outline val="0"/>
        <shadow val="0"/>
        <u val="none"/>
        <vertAlign val="baseline"/>
        <sz val="10"/>
        <color theme="1"/>
        <name val="Arial"/>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minor"/>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numFmt numFmtId="164" formatCode="dd\-mm\-yyyy"/>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numFmt numFmtId="164"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border diagonalUp="0" diagonalDown="0" outline="0">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9"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5.xml"/><Relationship Id="rId25" Type="http://schemas.microsoft.com/office/2007/relationships/slicerCache" Target="slicerCaches/slicerCache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6.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5.xml"/><Relationship Id="rId27" Type="http://schemas.microsoft.com/office/2007/relationships/slicerCache" Target="slicerCaches/slicerCache10.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tx2">
                    <a:lumMod val="75000"/>
                    <a:lumOff val="25000"/>
                  </a:schemeClr>
                </a:solidFill>
                <a:latin typeface="+mj-lt"/>
                <a:ea typeface="+mj-ea"/>
                <a:cs typeface="+mj-cs"/>
              </a:defRPr>
            </a:pPr>
            <a:r>
              <a:rPr lang="en-US" b="1">
                <a:solidFill>
                  <a:schemeClr val="tx2">
                    <a:lumMod val="75000"/>
                    <a:lumOff val="25000"/>
                  </a:schemeClr>
                </a:solidFill>
              </a:rPr>
              <a:t>Chart</a:t>
            </a:r>
            <a:r>
              <a:rPr lang="en-US" b="1" baseline="0">
                <a:solidFill>
                  <a:schemeClr val="tx2">
                    <a:lumMod val="75000"/>
                    <a:lumOff val="25000"/>
                  </a:schemeClr>
                </a:solidFill>
              </a:rPr>
              <a:t> shows daily Temperature</a:t>
            </a:r>
          </a:p>
        </c:rich>
      </c:tx>
      <c:overlay val="0"/>
      <c:spPr>
        <a:solidFill>
          <a:schemeClr val="accent5">
            <a:lumMod val="60000"/>
            <a:lumOff val="40000"/>
          </a:schemeClr>
        </a:solidFill>
        <a:ln>
          <a:solidFill>
            <a:schemeClr val="accent3"/>
          </a:solidFill>
        </a:ln>
        <a:effectLst/>
      </c:spPr>
      <c:txPr>
        <a:bodyPr rot="0" spcFirstLastPara="1" vertOverflow="ellipsis" vert="horz" wrap="square" anchor="ctr" anchorCtr="1"/>
        <a:lstStyle/>
        <a:p>
          <a:pPr>
            <a:defRPr sz="1600" b="1" i="0" u="none" strike="noStrike" kern="1200" cap="none" spc="0" normalizeH="0" baseline="0">
              <a:solidFill>
                <a:schemeClr val="tx2">
                  <a:lumMod val="75000"/>
                  <a:lumOff val="25000"/>
                </a:schemeClr>
              </a:solidFill>
              <a:latin typeface="+mj-lt"/>
              <a:ea typeface="+mj-ea"/>
              <a:cs typeface="+mj-cs"/>
            </a:defRPr>
          </a:pPr>
          <a:endParaRPr lang="en-US"/>
        </a:p>
      </c:txPr>
    </c:title>
    <c:autoTitleDeleted val="0"/>
    <c:plotArea>
      <c:layout/>
      <c:scatterChart>
        <c:scatterStyle val="lineMarker"/>
        <c:varyColors val="0"/>
        <c:ser>
          <c:idx val="0"/>
          <c:order val="0"/>
          <c:tx>
            <c:strRef>
              <c:f>Dataset_1!$M$1</c:f>
              <c:strCache>
                <c:ptCount val="1"/>
                <c:pt idx="0">
                  <c:v>Temperature</c:v>
                </c:pt>
              </c:strCache>
            </c:strRef>
          </c:tx>
          <c:spPr>
            <a:ln w="25400" cap="rnd">
              <a:noFill/>
              <a:round/>
            </a:ln>
            <a:effectLst/>
          </c:spPr>
          <c:marker>
            <c:symbol val="diamond"/>
            <c:size val="6"/>
            <c:spPr>
              <a:solidFill>
                <a:schemeClr val="lt1"/>
              </a:solidFill>
              <a:ln w="15875">
                <a:solidFill>
                  <a:schemeClr val="accent1"/>
                </a:solidFill>
                <a:round/>
              </a:ln>
              <a:effectLst/>
            </c:spPr>
          </c:marker>
          <c:xVal>
            <c:numRef>
              <c:f>Dataset_1!$I$2:$I$611</c:f>
              <c:numCache>
                <c:formatCode>General</c:formatCode>
                <c:ptCount val="610"/>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numCache>
            </c:numRef>
          </c:xVal>
          <c:yVal>
            <c:numRef>
              <c:f>Dataset_1!$M$2:$M$611</c:f>
              <c:numCache>
                <c:formatCode>0.00</c:formatCode>
                <c:ptCount val="61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numCache>
            </c:numRef>
          </c:yVal>
          <c:smooth val="0"/>
          <c:extLst>
            <c:ext xmlns:c16="http://schemas.microsoft.com/office/drawing/2014/chart" uri="{C3380CC4-5D6E-409C-BE32-E72D297353CC}">
              <c16:uniqueId val="{00000000-6746-4726-80D2-9C978F7B85D8}"/>
            </c:ext>
          </c:extLst>
        </c:ser>
        <c:dLbls>
          <c:showLegendKey val="0"/>
          <c:showVal val="0"/>
          <c:showCatName val="0"/>
          <c:showSerName val="0"/>
          <c:showPercent val="0"/>
          <c:showBubbleSize val="0"/>
        </c:dLbls>
        <c:axId val="1384247087"/>
        <c:axId val="1341861967"/>
      </c:scatterChart>
      <c:valAx>
        <c:axId val="1384247087"/>
        <c:scaling>
          <c:orientation val="minMax"/>
          <c:max val="6"/>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Days</a:t>
                </a:r>
              </a:p>
            </c:rich>
          </c:tx>
          <c:layout>
            <c:manualLayout>
              <c:xMode val="edge"/>
              <c:yMode val="edge"/>
              <c:x val="0.45567016622922135"/>
              <c:y val="0.8919211140274132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41861967"/>
        <c:crosses val="autoZero"/>
        <c:crossBetween val="midCat"/>
      </c:valAx>
      <c:valAx>
        <c:axId val="134186196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Temperature</a:t>
                </a:r>
              </a:p>
            </c:rich>
          </c:tx>
          <c:layout>
            <c:manualLayout>
              <c:xMode val="edge"/>
              <c:yMode val="edge"/>
              <c:x val="3.0555555555555555E-2"/>
              <c:y val="0.3478353747448236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84247087"/>
        <c:crosses val="autoZero"/>
        <c:crossBetween val="midCat"/>
      </c:valAx>
      <c:spPr>
        <a:pattFill prst="ltDnDiag">
          <a:fgClr>
            <a:schemeClr val="dk1">
              <a:lumMod val="15000"/>
              <a:lumOff val="85000"/>
            </a:schemeClr>
          </a:fgClr>
          <a:bgClr>
            <a:schemeClr val="lt1"/>
          </a:bgClr>
        </a:pattFill>
        <a:ln>
          <a:solidFill>
            <a:schemeClr val="accent3"/>
          </a:solid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Excel.xlsx]Findings on DB1!PivotTable3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'Findings on DB1'!$B$44</c:f>
              <c:strCache>
                <c:ptCount val="1"/>
                <c:pt idx="0">
                  <c:v>Average of Weather_Situation</c:v>
                </c:pt>
              </c:strCache>
            </c:strRef>
          </c:tx>
          <c:spPr>
            <a:solidFill>
              <a:schemeClr val="accent1"/>
            </a:solidFill>
            <a:ln>
              <a:noFill/>
            </a:ln>
            <a:effectLst/>
          </c:spPr>
          <c:invertIfNegative val="0"/>
          <c:cat>
            <c:strRef>
              <c:f>'Findings on DB1'!$A$45:$A$47</c:f>
              <c:strCache>
                <c:ptCount val="2"/>
                <c:pt idx="0">
                  <c:v>FALSE</c:v>
                </c:pt>
                <c:pt idx="1">
                  <c:v>TRUE</c:v>
                </c:pt>
              </c:strCache>
            </c:strRef>
          </c:cat>
          <c:val>
            <c:numRef>
              <c:f>'Findings on DB1'!$B$45:$B$47</c:f>
              <c:numCache>
                <c:formatCode>0.00</c:formatCode>
                <c:ptCount val="2"/>
                <c:pt idx="0">
                  <c:v>1.4488054607508531</c:v>
                </c:pt>
                <c:pt idx="1">
                  <c:v>2.1666666666666665</c:v>
                </c:pt>
              </c:numCache>
            </c:numRef>
          </c:val>
          <c:extLst>
            <c:ext xmlns:c16="http://schemas.microsoft.com/office/drawing/2014/chart" uri="{C3380CC4-5D6E-409C-BE32-E72D297353CC}">
              <c16:uniqueId val="{00000000-9358-4737-9027-D36A429A21A3}"/>
            </c:ext>
          </c:extLst>
        </c:ser>
        <c:ser>
          <c:idx val="1"/>
          <c:order val="1"/>
          <c:tx>
            <c:strRef>
              <c:f>'Findings on DB1'!$C$44</c:f>
              <c:strCache>
                <c:ptCount val="1"/>
                <c:pt idx="0">
                  <c:v>Count of holiday</c:v>
                </c:pt>
              </c:strCache>
            </c:strRef>
          </c:tx>
          <c:spPr>
            <a:solidFill>
              <a:schemeClr val="accent2"/>
            </a:solidFill>
            <a:ln>
              <a:noFill/>
            </a:ln>
            <a:effectLst/>
          </c:spPr>
          <c:invertIfNegative val="0"/>
          <c:cat>
            <c:strRef>
              <c:f>'Findings on DB1'!$A$45:$A$47</c:f>
              <c:strCache>
                <c:ptCount val="2"/>
                <c:pt idx="0">
                  <c:v>FALSE</c:v>
                </c:pt>
                <c:pt idx="1">
                  <c:v>TRUE</c:v>
                </c:pt>
              </c:strCache>
            </c:strRef>
          </c:cat>
          <c:val>
            <c:numRef>
              <c:f>'Findings on DB1'!$C$45:$C$47</c:f>
              <c:numCache>
                <c:formatCode>0.00</c:formatCode>
                <c:ptCount val="2"/>
                <c:pt idx="0">
                  <c:v>586</c:v>
                </c:pt>
                <c:pt idx="1">
                  <c:v>24</c:v>
                </c:pt>
              </c:numCache>
            </c:numRef>
          </c:val>
          <c:extLst>
            <c:ext xmlns:c16="http://schemas.microsoft.com/office/drawing/2014/chart" uri="{C3380CC4-5D6E-409C-BE32-E72D297353CC}">
              <c16:uniqueId val="{00000001-9358-4737-9027-D36A429A21A3}"/>
            </c:ext>
          </c:extLst>
        </c:ser>
        <c:dLbls>
          <c:showLegendKey val="0"/>
          <c:showVal val="0"/>
          <c:showCatName val="0"/>
          <c:showSerName val="0"/>
          <c:showPercent val="0"/>
          <c:showBubbleSize val="0"/>
        </c:dLbls>
        <c:gapWidth val="219"/>
        <c:axId val="439939696"/>
        <c:axId val="439941136"/>
      </c:barChart>
      <c:catAx>
        <c:axId val="43993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41136"/>
        <c:crosses val="autoZero"/>
        <c:auto val="1"/>
        <c:lblAlgn val="ctr"/>
        <c:lblOffset val="100"/>
        <c:noMultiLvlLbl val="0"/>
      </c:catAx>
      <c:valAx>
        <c:axId val="439941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3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Excel.xlsx]Findings on DB1!PivotTable5</c:name>
    <c:fmtId val="1"/>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349416864"/>
        <c:axId val="1349418304"/>
      </c:barChart>
      <c:catAx>
        <c:axId val="1349416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18304"/>
        <c:crosses val="autoZero"/>
        <c:auto val="1"/>
        <c:lblAlgn val="ctr"/>
        <c:lblOffset val="100"/>
        <c:noMultiLvlLbl val="0"/>
      </c:catAx>
      <c:valAx>
        <c:axId val="134941830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Excel.xlsx]Findings on DB2!PivotTable4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0" cap="none" spc="0">
                <a:ln w="0"/>
                <a:solidFill>
                  <a:schemeClr val="dk1"/>
                </a:solidFill>
                <a:effectLst>
                  <a:outerShdw blurRad="38100" dist="19050" dir="2700000" algn="tl" rotWithShape="0">
                    <a:schemeClr val="dk1">
                      <a:alpha val="40000"/>
                    </a:schemeClr>
                  </a:outerShdw>
                </a:effectLst>
                <a:latin typeface="+mn-lt"/>
                <a:ea typeface="+mn-ea"/>
                <a:cs typeface="+mn-cs"/>
              </a:rPr>
              <a:t>Windspeed</a:t>
            </a:r>
            <a:r>
              <a:rPr lang="en-IN" b="0" cap="none" spc="0" baseline="0">
                <a:ln w="0"/>
                <a:solidFill>
                  <a:schemeClr val="dk1"/>
                </a:solidFill>
                <a:effectLst>
                  <a:outerShdw blurRad="38100" dist="19050" dir="2700000" algn="tl" rotWithShape="0">
                    <a:schemeClr val="dk1">
                      <a:alpha val="40000"/>
                    </a:schemeClr>
                  </a:outerShdw>
                </a:effectLst>
                <a:latin typeface="+mn-lt"/>
                <a:ea typeface="+mn-ea"/>
                <a:cs typeface="+mn-cs"/>
              </a:rPr>
              <a:t> V/s Customers</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'Findings on DB2'!$G$3</c:f>
              <c:strCache>
                <c:ptCount val="1"/>
                <c:pt idx="0">
                  <c:v>Casual Customers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'Findings on DB2'!$F$4:$F$24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'Findings on DB2'!$G$4:$G$24</c:f>
              <c:numCache>
                <c:formatCode>General</c:formatCode>
                <c:ptCount val="20"/>
                <c:pt idx="0">
                  <c:v>253</c:v>
                </c:pt>
                <c:pt idx="1">
                  <c:v>116</c:v>
                </c:pt>
                <c:pt idx="2">
                  <c:v>122</c:v>
                </c:pt>
                <c:pt idx="3">
                  <c:v>164</c:v>
                </c:pt>
                <c:pt idx="4">
                  <c:v>251</c:v>
                </c:pt>
                <c:pt idx="5">
                  <c:v>238</c:v>
                </c:pt>
                <c:pt idx="6">
                  <c:v>206</c:v>
                </c:pt>
                <c:pt idx="7">
                  <c:v>358</c:v>
                </c:pt>
                <c:pt idx="8">
                  <c:v>305</c:v>
                </c:pt>
                <c:pt idx="9">
                  <c:v>272</c:v>
                </c:pt>
                <c:pt idx="10">
                  <c:v>160</c:v>
                </c:pt>
                <c:pt idx="11">
                  <c:v>74</c:v>
                </c:pt>
                <c:pt idx="12">
                  <c:v>67</c:v>
                </c:pt>
                <c:pt idx="13">
                  <c:v>17</c:v>
                </c:pt>
                <c:pt idx="14">
                  <c:v>48</c:v>
                </c:pt>
                <c:pt idx="15">
                  <c:v>46</c:v>
                </c:pt>
                <c:pt idx="16">
                  <c:v>12</c:v>
                </c:pt>
                <c:pt idx="17">
                  <c:v>10</c:v>
                </c:pt>
                <c:pt idx="18">
                  <c:v>5</c:v>
                </c:pt>
                <c:pt idx="19">
                  <c:v>22</c:v>
                </c:pt>
              </c:numCache>
            </c:numRef>
          </c:val>
          <c:smooth val="0"/>
          <c:extLst>
            <c:ext xmlns:c16="http://schemas.microsoft.com/office/drawing/2014/chart" uri="{C3380CC4-5D6E-409C-BE32-E72D297353CC}">
              <c16:uniqueId val="{00000000-44A7-4118-B226-F77DF04025B6}"/>
            </c:ext>
          </c:extLst>
        </c:ser>
        <c:ser>
          <c:idx val="1"/>
          <c:order val="1"/>
          <c:tx>
            <c:strRef>
              <c:f>'Findings on DB2'!$H$3</c:f>
              <c:strCache>
                <c:ptCount val="1"/>
                <c:pt idx="0">
                  <c:v>Registered Customers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'Findings on DB2'!$F$4:$F$24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'Findings on DB2'!$H$4:$H$24</c:f>
              <c:numCache>
                <c:formatCode>General</c:formatCode>
                <c:ptCount val="20"/>
                <c:pt idx="0">
                  <c:v>3151</c:v>
                </c:pt>
                <c:pt idx="1">
                  <c:v>2362</c:v>
                </c:pt>
                <c:pt idx="2">
                  <c:v>2530</c:v>
                </c:pt>
                <c:pt idx="3">
                  <c:v>2329</c:v>
                </c:pt>
                <c:pt idx="4">
                  <c:v>3118</c:v>
                </c:pt>
                <c:pt idx="5">
                  <c:v>2789</c:v>
                </c:pt>
                <c:pt idx="6">
                  <c:v>2338</c:v>
                </c:pt>
                <c:pt idx="7">
                  <c:v>2425</c:v>
                </c:pt>
                <c:pt idx="8">
                  <c:v>2519</c:v>
                </c:pt>
                <c:pt idx="9">
                  <c:v>1426</c:v>
                </c:pt>
                <c:pt idx="10">
                  <c:v>2177</c:v>
                </c:pt>
                <c:pt idx="11">
                  <c:v>1177</c:v>
                </c:pt>
                <c:pt idx="12">
                  <c:v>801</c:v>
                </c:pt>
                <c:pt idx="13">
                  <c:v>442</c:v>
                </c:pt>
                <c:pt idx="14">
                  <c:v>622</c:v>
                </c:pt>
                <c:pt idx="15">
                  <c:v>358</c:v>
                </c:pt>
                <c:pt idx="16">
                  <c:v>83</c:v>
                </c:pt>
                <c:pt idx="17">
                  <c:v>257</c:v>
                </c:pt>
                <c:pt idx="18">
                  <c:v>64</c:v>
                </c:pt>
                <c:pt idx="19">
                  <c:v>184</c:v>
                </c:pt>
              </c:numCache>
            </c:numRef>
          </c:val>
          <c:smooth val="0"/>
          <c:extLst>
            <c:ext xmlns:c16="http://schemas.microsoft.com/office/drawing/2014/chart" uri="{C3380CC4-5D6E-409C-BE32-E72D297353CC}">
              <c16:uniqueId val="{00000001-44A7-4118-B226-F77DF04025B6}"/>
            </c:ext>
          </c:extLst>
        </c:ser>
        <c:ser>
          <c:idx val="2"/>
          <c:order val="2"/>
          <c:tx>
            <c:strRef>
              <c:f>'Findings on DB2'!$I$3</c:f>
              <c:strCache>
                <c:ptCount val="1"/>
                <c:pt idx="0">
                  <c:v>Total Customers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'Findings on DB2'!$F$4:$F$24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'Findings on DB2'!$I$4:$I$24</c:f>
              <c:numCache>
                <c:formatCode>General</c:formatCode>
                <c:ptCount val="20"/>
                <c:pt idx="0">
                  <c:v>3404</c:v>
                </c:pt>
                <c:pt idx="1">
                  <c:v>2478</c:v>
                </c:pt>
                <c:pt idx="2">
                  <c:v>2652</c:v>
                </c:pt>
                <c:pt idx="3">
                  <c:v>2493</c:v>
                </c:pt>
                <c:pt idx="4">
                  <c:v>3369</c:v>
                </c:pt>
                <c:pt idx="5">
                  <c:v>3027</c:v>
                </c:pt>
                <c:pt idx="6">
                  <c:v>2544</c:v>
                </c:pt>
                <c:pt idx="7">
                  <c:v>2783</c:v>
                </c:pt>
                <c:pt idx="8">
                  <c:v>2824</c:v>
                </c:pt>
                <c:pt idx="9">
                  <c:v>1698</c:v>
                </c:pt>
                <c:pt idx="10">
                  <c:v>2337</c:v>
                </c:pt>
                <c:pt idx="11">
                  <c:v>1251</c:v>
                </c:pt>
                <c:pt idx="12">
                  <c:v>868</c:v>
                </c:pt>
                <c:pt idx="13">
                  <c:v>459</c:v>
                </c:pt>
                <c:pt idx="14">
                  <c:v>670</c:v>
                </c:pt>
                <c:pt idx="15">
                  <c:v>404</c:v>
                </c:pt>
                <c:pt idx="16">
                  <c:v>95</c:v>
                </c:pt>
                <c:pt idx="17">
                  <c:v>267</c:v>
                </c:pt>
                <c:pt idx="18">
                  <c:v>69</c:v>
                </c:pt>
                <c:pt idx="19">
                  <c:v>206</c:v>
                </c:pt>
              </c:numCache>
            </c:numRef>
          </c:val>
          <c:smooth val="0"/>
          <c:extLst>
            <c:ext xmlns:c16="http://schemas.microsoft.com/office/drawing/2014/chart" uri="{C3380CC4-5D6E-409C-BE32-E72D297353CC}">
              <c16:uniqueId val="{00000002-44A7-4118-B226-F77DF04025B6}"/>
            </c:ext>
          </c:extLst>
        </c:ser>
        <c:dLbls>
          <c:showLegendKey val="0"/>
          <c:showVal val="0"/>
          <c:showCatName val="0"/>
          <c:showSerName val="0"/>
          <c:showPercent val="0"/>
          <c:showBubbleSize val="0"/>
        </c:dLbls>
        <c:marker val="1"/>
        <c:smooth val="0"/>
        <c:axId val="1349408224"/>
        <c:axId val="1349406304"/>
      </c:lineChart>
      <c:catAx>
        <c:axId val="1349408224"/>
        <c:scaling>
          <c:orientation val="minMax"/>
        </c:scaling>
        <c:delete val="0"/>
        <c:axPos val="b"/>
        <c:title>
          <c:tx>
            <c:rich>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200" b="0" cap="none" spc="0">
                    <a:ln w="0"/>
                    <a:solidFill>
                      <a:schemeClr val="tx1"/>
                    </a:solidFill>
                    <a:effectLst>
                      <a:outerShdw blurRad="38100" dist="19050" dir="2700000" algn="tl" rotWithShape="0">
                        <a:schemeClr val="dk1">
                          <a:alpha val="40000"/>
                        </a:schemeClr>
                      </a:outerShdw>
                    </a:effectLst>
                  </a:rPr>
                  <a:t>Windspeed</a:t>
                </a:r>
              </a:p>
            </c:rich>
          </c:tx>
          <c:layout>
            <c:manualLayout>
              <c:xMode val="edge"/>
              <c:yMode val="edge"/>
              <c:x val="0.42495936283826591"/>
              <c:y val="0.89657801039332896"/>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06304"/>
        <c:crosses val="autoZero"/>
        <c:auto val="1"/>
        <c:lblAlgn val="ctr"/>
        <c:lblOffset val="100"/>
        <c:noMultiLvlLbl val="0"/>
      </c:catAx>
      <c:valAx>
        <c:axId val="134940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0" cap="none" spc="0">
                    <a:ln w="0"/>
                    <a:solidFill>
                      <a:schemeClr val="tx1"/>
                    </a:solidFill>
                    <a:effectLst>
                      <a:outerShdw blurRad="38100" dist="19050" dir="2700000" algn="tl" rotWithShape="0">
                        <a:schemeClr val="dk1">
                          <a:alpha val="40000"/>
                        </a:schemeClr>
                      </a:outerShdw>
                    </a:effectLst>
                  </a:rPr>
                  <a:t>Customers</a:t>
                </a:r>
              </a:p>
            </c:rich>
          </c:tx>
          <c:layout>
            <c:manualLayout>
              <c:xMode val="edge"/>
              <c:yMode val="edge"/>
              <c:x val="1.6091954022988506E-2"/>
              <c:y val="0.327095166823155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Excel.xlsx]Findings on DB2!PivotTable6</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'Findings on DB2'!$B$50</c:f>
              <c:strCache>
                <c:ptCount val="1"/>
                <c:pt idx="0">
                  <c:v>Sum of Casual Customer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 on DB2'!$A$51:$A$112</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'Findings on DB2'!$B$51:$B$112</c:f>
              <c:numCache>
                <c:formatCode>General</c:formatCode>
                <c:ptCount val="61"/>
                <c:pt idx="0">
                  <c:v>8</c:v>
                </c:pt>
                <c:pt idx="1">
                  <c:v>6</c:v>
                </c:pt>
                <c:pt idx="2">
                  <c:v>18</c:v>
                </c:pt>
                <c:pt idx="3">
                  <c:v>11</c:v>
                </c:pt>
                <c:pt idx="4">
                  <c:v>90</c:v>
                </c:pt>
                <c:pt idx="5">
                  <c:v>8</c:v>
                </c:pt>
                <c:pt idx="6">
                  <c:v>65</c:v>
                </c:pt>
                <c:pt idx="7">
                  <c:v>34</c:v>
                </c:pt>
                <c:pt idx="8">
                  <c:v>41</c:v>
                </c:pt>
                <c:pt idx="9">
                  <c:v>52</c:v>
                </c:pt>
                <c:pt idx="10">
                  <c:v>85</c:v>
                </c:pt>
                <c:pt idx="11">
                  <c:v>105</c:v>
                </c:pt>
                <c:pt idx="12">
                  <c:v>130</c:v>
                </c:pt>
                <c:pt idx="13">
                  <c:v>137</c:v>
                </c:pt>
                <c:pt idx="14">
                  <c:v>62</c:v>
                </c:pt>
                <c:pt idx="15">
                  <c:v>97</c:v>
                </c:pt>
                <c:pt idx="16">
                  <c:v>71</c:v>
                </c:pt>
                <c:pt idx="17">
                  <c:v>61</c:v>
                </c:pt>
                <c:pt idx="18">
                  <c:v>63</c:v>
                </c:pt>
                <c:pt idx="19">
                  <c:v>59</c:v>
                </c:pt>
                <c:pt idx="20">
                  <c:v>77</c:v>
                </c:pt>
                <c:pt idx="21">
                  <c:v>28</c:v>
                </c:pt>
                <c:pt idx="22">
                  <c:v>154</c:v>
                </c:pt>
                <c:pt idx="23">
                  <c:v>37</c:v>
                </c:pt>
                <c:pt idx="24">
                  <c:v>59</c:v>
                </c:pt>
                <c:pt idx="25">
                  <c:v>43</c:v>
                </c:pt>
                <c:pt idx="26">
                  <c:v>118</c:v>
                </c:pt>
                <c:pt idx="27">
                  <c:v>36</c:v>
                </c:pt>
                <c:pt idx="28">
                  <c:v>1</c:v>
                </c:pt>
                <c:pt idx="29">
                  <c:v>13</c:v>
                </c:pt>
                <c:pt idx="30">
                  <c:v>63</c:v>
                </c:pt>
                <c:pt idx="31">
                  <c:v>88</c:v>
                </c:pt>
                <c:pt idx="32">
                  <c:v>23</c:v>
                </c:pt>
                <c:pt idx="33">
                  <c:v>18</c:v>
                </c:pt>
                <c:pt idx="34">
                  <c:v>56</c:v>
                </c:pt>
                <c:pt idx="35">
                  <c:v>18</c:v>
                </c:pt>
                <c:pt idx="36">
                  <c:v>5</c:v>
                </c:pt>
                <c:pt idx="37">
                  <c:v>17</c:v>
                </c:pt>
                <c:pt idx="38">
                  <c:v>12</c:v>
                </c:pt>
                <c:pt idx="39">
                  <c:v>32</c:v>
                </c:pt>
                <c:pt idx="40">
                  <c:v>37</c:v>
                </c:pt>
                <c:pt idx="41">
                  <c:v>31</c:v>
                </c:pt>
                <c:pt idx="42">
                  <c:v>2</c:v>
                </c:pt>
                <c:pt idx="43">
                  <c:v>59</c:v>
                </c:pt>
                <c:pt idx="44">
                  <c:v>1</c:v>
                </c:pt>
                <c:pt idx="45">
                  <c:v>25</c:v>
                </c:pt>
                <c:pt idx="46">
                  <c:v>82</c:v>
                </c:pt>
                <c:pt idx="47">
                  <c:v>20</c:v>
                </c:pt>
                <c:pt idx="48">
                  <c:v>6</c:v>
                </c:pt>
                <c:pt idx="49">
                  <c:v>25</c:v>
                </c:pt>
                <c:pt idx="50">
                  <c:v>69</c:v>
                </c:pt>
                <c:pt idx="51">
                  <c:v>35</c:v>
                </c:pt>
                <c:pt idx="52">
                  <c:v>60</c:v>
                </c:pt>
                <c:pt idx="53">
                  <c:v>57</c:v>
                </c:pt>
                <c:pt idx="54">
                  <c:v>23</c:v>
                </c:pt>
                <c:pt idx="55">
                  <c:v>29</c:v>
                </c:pt>
                <c:pt idx="56">
                  <c:v>34</c:v>
                </c:pt>
                <c:pt idx="57">
                  <c:v>1</c:v>
                </c:pt>
                <c:pt idx="58">
                  <c:v>32</c:v>
                </c:pt>
                <c:pt idx="59">
                  <c:v>16</c:v>
                </c:pt>
                <c:pt idx="60">
                  <c:v>1</c:v>
                </c:pt>
              </c:numCache>
            </c:numRef>
          </c:val>
          <c:extLst>
            <c:ext xmlns:c16="http://schemas.microsoft.com/office/drawing/2014/chart" uri="{C3380CC4-5D6E-409C-BE32-E72D297353CC}">
              <c16:uniqueId val="{00000000-6010-4177-A9D1-69CE37121059}"/>
            </c:ext>
          </c:extLst>
        </c:ser>
        <c:ser>
          <c:idx val="1"/>
          <c:order val="1"/>
          <c:tx>
            <c:strRef>
              <c:f>'Findings on DB2'!$C$50</c:f>
              <c:strCache>
                <c:ptCount val="1"/>
                <c:pt idx="0">
                  <c:v>Sum of registered Customer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 on DB2'!$A$51:$A$112</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'Findings on DB2'!$C$51:$C$112</c:f>
              <c:numCache>
                <c:formatCode>General</c:formatCode>
                <c:ptCount val="61"/>
                <c:pt idx="0">
                  <c:v>65</c:v>
                </c:pt>
                <c:pt idx="1">
                  <c:v>56</c:v>
                </c:pt>
                <c:pt idx="2">
                  <c:v>264</c:v>
                </c:pt>
                <c:pt idx="3">
                  <c:v>67</c:v>
                </c:pt>
                <c:pt idx="4">
                  <c:v>724</c:v>
                </c:pt>
                <c:pt idx="5">
                  <c:v>68</c:v>
                </c:pt>
                <c:pt idx="6">
                  <c:v>703</c:v>
                </c:pt>
                <c:pt idx="7">
                  <c:v>364</c:v>
                </c:pt>
                <c:pt idx="8">
                  <c:v>299</c:v>
                </c:pt>
                <c:pt idx="9">
                  <c:v>243</c:v>
                </c:pt>
                <c:pt idx="10">
                  <c:v>585</c:v>
                </c:pt>
                <c:pt idx="11">
                  <c:v>482</c:v>
                </c:pt>
                <c:pt idx="12">
                  <c:v>1095</c:v>
                </c:pt>
                <c:pt idx="13">
                  <c:v>1188</c:v>
                </c:pt>
                <c:pt idx="14">
                  <c:v>364</c:v>
                </c:pt>
                <c:pt idx="15">
                  <c:v>1539</c:v>
                </c:pt>
                <c:pt idx="16">
                  <c:v>856</c:v>
                </c:pt>
                <c:pt idx="17">
                  <c:v>419</c:v>
                </c:pt>
                <c:pt idx="18">
                  <c:v>547</c:v>
                </c:pt>
                <c:pt idx="19">
                  <c:v>562</c:v>
                </c:pt>
                <c:pt idx="20">
                  <c:v>718</c:v>
                </c:pt>
                <c:pt idx="21">
                  <c:v>351</c:v>
                </c:pt>
                <c:pt idx="22">
                  <c:v>2315</c:v>
                </c:pt>
                <c:pt idx="23">
                  <c:v>779</c:v>
                </c:pt>
                <c:pt idx="24">
                  <c:v>929</c:v>
                </c:pt>
                <c:pt idx="25">
                  <c:v>1448</c:v>
                </c:pt>
                <c:pt idx="26">
                  <c:v>1878</c:v>
                </c:pt>
                <c:pt idx="27">
                  <c:v>322</c:v>
                </c:pt>
                <c:pt idx="28">
                  <c:v>7</c:v>
                </c:pt>
                <c:pt idx="29">
                  <c:v>341</c:v>
                </c:pt>
                <c:pt idx="30">
                  <c:v>1401</c:v>
                </c:pt>
                <c:pt idx="31">
                  <c:v>652</c:v>
                </c:pt>
                <c:pt idx="32">
                  <c:v>423</c:v>
                </c:pt>
                <c:pt idx="33">
                  <c:v>163</c:v>
                </c:pt>
                <c:pt idx="34">
                  <c:v>1386</c:v>
                </c:pt>
                <c:pt idx="35">
                  <c:v>327</c:v>
                </c:pt>
                <c:pt idx="36">
                  <c:v>156</c:v>
                </c:pt>
                <c:pt idx="37">
                  <c:v>103</c:v>
                </c:pt>
                <c:pt idx="38">
                  <c:v>157</c:v>
                </c:pt>
                <c:pt idx="39">
                  <c:v>527</c:v>
                </c:pt>
                <c:pt idx="40">
                  <c:v>365</c:v>
                </c:pt>
                <c:pt idx="41">
                  <c:v>137</c:v>
                </c:pt>
                <c:pt idx="42">
                  <c:v>160</c:v>
                </c:pt>
                <c:pt idx="43">
                  <c:v>886</c:v>
                </c:pt>
                <c:pt idx="44">
                  <c:v>26</c:v>
                </c:pt>
                <c:pt idx="45">
                  <c:v>129</c:v>
                </c:pt>
                <c:pt idx="46">
                  <c:v>118</c:v>
                </c:pt>
                <c:pt idx="47">
                  <c:v>720</c:v>
                </c:pt>
                <c:pt idx="48">
                  <c:v>34</c:v>
                </c:pt>
                <c:pt idx="49">
                  <c:v>105</c:v>
                </c:pt>
                <c:pt idx="50">
                  <c:v>127</c:v>
                </c:pt>
                <c:pt idx="51">
                  <c:v>542</c:v>
                </c:pt>
                <c:pt idx="52">
                  <c:v>209</c:v>
                </c:pt>
                <c:pt idx="53">
                  <c:v>228</c:v>
                </c:pt>
                <c:pt idx="54">
                  <c:v>677</c:v>
                </c:pt>
                <c:pt idx="55">
                  <c:v>433</c:v>
                </c:pt>
                <c:pt idx="56">
                  <c:v>94</c:v>
                </c:pt>
                <c:pt idx="57">
                  <c:v>89</c:v>
                </c:pt>
                <c:pt idx="58">
                  <c:v>1154</c:v>
                </c:pt>
                <c:pt idx="59">
                  <c:v>38</c:v>
                </c:pt>
                <c:pt idx="60">
                  <c:v>8</c:v>
                </c:pt>
              </c:numCache>
            </c:numRef>
          </c:val>
          <c:extLst>
            <c:ext xmlns:c16="http://schemas.microsoft.com/office/drawing/2014/chart" uri="{C3380CC4-5D6E-409C-BE32-E72D297353CC}">
              <c16:uniqueId val="{00000002-6010-4177-A9D1-69CE37121059}"/>
            </c:ext>
          </c:extLst>
        </c:ser>
        <c:ser>
          <c:idx val="2"/>
          <c:order val="2"/>
          <c:tx>
            <c:strRef>
              <c:f>'Findings on DB2'!$D$50</c:f>
              <c:strCache>
                <c:ptCount val="1"/>
                <c:pt idx="0">
                  <c:v>Sum of cnt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 on DB2'!$A$51:$A$112</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'Findings on DB2'!$D$51:$D$112</c:f>
              <c:numCache>
                <c:formatCode>General</c:formatCode>
                <c:ptCount val="61"/>
                <c:pt idx="0">
                  <c:v>73</c:v>
                </c:pt>
                <c:pt idx="1">
                  <c:v>62</c:v>
                </c:pt>
                <c:pt idx="2">
                  <c:v>282</c:v>
                </c:pt>
                <c:pt idx="3">
                  <c:v>78</c:v>
                </c:pt>
                <c:pt idx="4">
                  <c:v>814</c:v>
                </c:pt>
                <c:pt idx="5">
                  <c:v>76</c:v>
                </c:pt>
                <c:pt idx="6">
                  <c:v>768</c:v>
                </c:pt>
                <c:pt idx="7">
                  <c:v>398</c:v>
                </c:pt>
                <c:pt idx="8">
                  <c:v>340</c:v>
                </c:pt>
                <c:pt idx="9">
                  <c:v>295</c:v>
                </c:pt>
                <c:pt idx="10">
                  <c:v>670</c:v>
                </c:pt>
                <c:pt idx="11">
                  <c:v>587</c:v>
                </c:pt>
                <c:pt idx="12">
                  <c:v>1225</c:v>
                </c:pt>
                <c:pt idx="13">
                  <c:v>1325</c:v>
                </c:pt>
                <c:pt idx="14">
                  <c:v>426</c:v>
                </c:pt>
                <c:pt idx="15">
                  <c:v>1636</c:v>
                </c:pt>
                <c:pt idx="16">
                  <c:v>927</c:v>
                </c:pt>
                <c:pt idx="17">
                  <c:v>480</c:v>
                </c:pt>
                <c:pt idx="18">
                  <c:v>610</c:v>
                </c:pt>
                <c:pt idx="19">
                  <c:v>621</c:v>
                </c:pt>
                <c:pt idx="20">
                  <c:v>795</c:v>
                </c:pt>
                <c:pt idx="21">
                  <c:v>379</c:v>
                </c:pt>
                <c:pt idx="22">
                  <c:v>2469</c:v>
                </c:pt>
                <c:pt idx="23">
                  <c:v>816</c:v>
                </c:pt>
                <c:pt idx="24">
                  <c:v>988</c:v>
                </c:pt>
                <c:pt idx="25">
                  <c:v>1491</c:v>
                </c:pt>
                <c:pt idx="26">
                  <c:v>1996</c:v>
                </c:pt>
                <c:pt idx="27">
                  <c:v>358</c:v>
                </c:pt>
                <c:pt idx="28">
                  <c:v>8</c:v>
                </c:pt>
                <c:pt idx="29">
                  <c:v>354</c:v>
                </c:pt>
                <c:pt idx="30">
                  <c:v>1464</c:v>
                </c:pt>
                <c:pt idx="31">
                  <c:v>740</c:v>
                </c:pt>
                <c:pt idx="32">
                  <c:v>446</c:v>
                </c:pt>
                <c:pt idx="33">
                  <c:v>181</c:v>
                </c:pt>
                <c:pt idx="34">
                  <c:v>1442</c:v>
                </c:pt>
                <c:pt idx="35">
                  <c:v>345</c:v>
                </c:pt>
                <c:pt idx="36">
                  <c:v>161</c:v>
                </c:pt>
                <c:pt idx="37">
                  <c:v>120</c:v>
                </c:pt>
                <c:pt idx="38">
                  <c:v>169</c:v>
                </c:pt>
                <c:pt idx="39">
                  <c:v>559</c:v>
                </c:pt>
                <c:pt idx="40">
                  <c:v>402</c:v>
                </c:pt>
                <c:pt idx="41">
                  <c:v>168</c:v>
                </c:pt>
                <c:pt idx="42">
                  <c:v>162</c:v>
                </c:pt>
                <c:pt idx="43">
                  <c:v>945</c:v>
                </c:pt>
                <c:pt idx="44">
                  <c:v>27</c:v>
                </c:pt>
                <c:pt idx="45">
                  <c:v>154</c:v>
                </c:pt>
                <c:pt idx="46">
                  <c:v>200</c:v>
                </c:pt>
                <c:pt idx="47">
                  <c:v>740</c:v>
                </c:pt>
                <c:pt idx="48">
                  <c:v>40</c:v>
                </c:pt>
                <c:pt idx="49">
                  <c:v>130</c:v>
                </c:pt>
                <c:pt idx="50">
                  <c:v>196</c:v>
                </c:pt>
                <c:pt idx="51">
                  <c:v>577</c:v>
                </c:pt>
                <c:pt idx="52">
                  <c:v>269</c:v>
                </c:pt>
                <c:pt idx="53">
                  <c:v>285</c:v>
                </c:pt>
                <c:pt idx="54">
                  <c:v>700</c:v>
                </c:pt>
                <c:pt idx="55">
                  <c:v>462</c:v>
                </c:pt>
                <c:pt idx="56">
                  <c:v>128</c:v>
                </c:pt>
                <c:pt idx="57">
                  <c:v>90</c:v>
                </c:pt>
                <c:pt idx="58">
                  <c:v>1186</c:v>
                </c:pt>
                <c:pt idx="59">
                  <c:v>54</c:v>
                </c:pt>
                <c:pt idx="60">
                  <c:v>9</c:v>
                </c:pt>
              </c:numCache>
            </c:numRef>
          </c:val>
          <c:extLst>
            <c:ext xmlns:c16="http://schemas.microsoft.com/office/drawing/2014/chart" uri="{C3380CC4-5D6E-409C-BE32-E72D297353CC}">
              <c16:uniqueId val="{00000003-6010-4177-A9D1-69CE37121059}"/>
            </c:ext>
          </c:extLst>
        </c:ser>
        <c:dLbls>
          <c:showLegendKey val="0"/>
          <c:showVal val="0"/>
          <c:showCatName val="0"/>
          <c:showSerName val="0"/>
          <c:showPercent val="0"/>
          <c:showBubbleSize val="0"/>
        </c:dLbls>
        <c:gapWidth val="100"/>
        <c:overlap val="-24"/>
        <c:axId val="1349422624"/>
        <c:axId val="1349414464"/>
      </c:barChart>
      <c:catAx>
        <c:axId val="1349422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414464"/>
        <c:crosses val="autoZero"/>
        <c:auto val="1"/>
        <c:lblAlgn val="ctr"/>
        <c:lblOffset val="100"/>
        <c:noMultiLvlLbl val="0"/>
      </c:catAx>
      <c:valAx>
        <c:axId val="1349414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42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Excel.xlsx]Analysis on DB1&amp;2!PivotTable1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Daywise Rides based on the Customer Type</a:t>
            </a:r>
          </a:p>
        </c:rich>
      </c:tx>
      <c:layout>
        <c:manualLayout>
          <c:xMode val="edge"/>
          <c:yMode val="edge"/>
          <c:x val="0.15997206647369591"/>
          <c:y val="0.11472003499562555"/>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on DB1&amp;2'!$B$8</c:f>
              <c:strCache>
                <c:ptCount val="1"/>
                <c:pt idx="0">
                  <c:v>Casual Customers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on DB1&amp;2'!$A$9:$A$16</c:f>
              <c:strCache>
                <c:ptCount val="7"/>
                <c:pt idx="0">
                  <c:v>0</c:v>
                </c:pt>
                <c:pt idx="1">
                  <c:v>1</c:v>
                </c:pt>
                <c:pt idx="2">
                  <c:v>2</c:v>
                </c:pt>
                <c:pt idx="3">
                  <c:v>3</c:v>
                </c:pt>
                <c:pt idx="4">
                  <c:v>4</c:v>
                </c:pt>
                <c:pt idx="5">
                  <c:v>5</c:v>
                </c:pt>
                <c:pt idx="6">
                  <c:v>6</c:v>
                </c:pt>
              </c:strCache>
            </c:strRef>
          </c:cat>
          <c:val>
            <c:numRef>
              <c:f>'Analysis on DB1&amp;2'!$B$9:$B$16</c:f>
              <c:numCache>
                <c:formatCode>General</c:formatCode>
                <c:ptCount val="7"/>
                <c:pt idx="0">
                  <c:v>94</c:v>
                </c:pt>
                <c:pt idx="1">
                  <c:v>93</c:v>
                </c:pt>
                <c:pt idx="2">
                  <c:v>80</c:v>
                </c:pt>
                <c:pt idx="3">
                  <c:v>84</c:v>
                </c:pt>
                <c:pt idx="4">
                  <c:v>79</c:v>
                </c:pt>
                <c:pt idx="5">
                  <c:v>85</c:v>
                </c:pt>
                <c:pt idx="6">
                  <c:v>95</c:v>
                </c:pt>
              </c:numCache>
            </c:numRef>
          </c:val>
          <c:extLst>
            <c:ext xmlns:c16="http://schemas.microsoft.com/office/drawing/2014/chart" uri="{C3380CC4-5D6E-409C-BE32-E72D297353CC}">
              <c16:uniqueId val="{00000000-8B91-40DE-938B-F296B70058E5}"/>
            </c:ext>
          </c:extLst>
        </c:ser>
        <c:ser>
          <c:idx val="1"/>
          <c:order val="1"/>
          <c:tx>
            <c:strRef>
              <c:f>'Analysis on DB1&amp;2'!$C$8</c:f>
              <c:strCache>
                <c:ptCount val="1"/>
                <c:pt idx="0">
                  <c:v>Registered Customers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on DB1&amp;2'!$A$9:$A$16</c:f>
              <c:strCache>
                <c:ptCount val="7"/>
                <c:pt idx="0">
                  <c:v>0</c:v>
                </c:pt>
                <c:pt idx="1">
                  <c:v>1</c:v>
                </c:pt>
                <c:pt idx="2">
                  <c:v>2</c:v>
                </c:pt>
                <c:pt idx="3">
                  <c:v>3</c:v>
                </c:pt>
                <c:pt idx="4">
                  <c:v>4</c:v>
                </c:pt>
                <c:pt idx="5">
                  <c:v>5</c:v>
                </c:pt>
                <c:pt idx="6">
                  <c:v>6</c:v>
                </c:pt>
              </c:strCache>
            </c:strRef>
          </c:cat>
          <c:val>
            <c:numRef>
              <c:f>'Analysis on DB1&amp;2'!$C$9:$C$16</c:f>
              <c:numCache>
                <c:formatCode>General</c:formatCode>
                <c:ptCount val="7"/>
                <c:pt idx="0">
                  <c:v>94</c:v>
                </c:pt>
                <c:pt idx="1">
                  <c:v>93</c:v>
                </c:pt>
                <c:pt idx="2">
                  <c:v>80</c:v>
                </c:pt>
                <c:pt idx="3">
                  <c:v>84</c:v>
                </c:pt>
                <c:pt idx="4">
                  <c:v>79</c:v>
                </c:pt>
                <c:pt idx="5">
                  <c:v>85</c:v>
                </c:pt>
                <c:pt idx="6">
                  <c:v>95</c:v>
                </c:pt>
              </c:numCache>
            </c:numRef>
          </c:val>
          <c:extLst>
            <c:ext xmlns:c16="http://schemas.microsoft.com/office/drawing/2014/chart" uri="{C3380CC4-5D6E-409C-BE32-E72D297353CC}">
              <c16:uniqueId val="{00000002-8B91-40DE-938B-F296B70058E5}"/>
            </c:ext>
          </c:extLst>
        </c:ser>
        <c:dLbls>
          <c:dLblPos val="outEnd"/>
          <c:showLegendKey val="0"/>
          <c:showVal val="1"/>
          <c:showCatName val="0"/>
          <c:showSerName val="0"/>
          <c:showPercent val="0"/>
          <c:showBubbleSize val="0"/>
        </c:dLbls>
        <c:gapWidth val="80"/>
        <c:overlap val="25"/>
        <c:axId val="783277775"/>
        <c:axId val="780093007"/>
      </c:barChart>
      <c:catAx>
        <c:axId val="78327777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Days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80093007"/>
        <c:crosses val="autoZero"/>
        <c:auto val="1"/>
        <c:lblAlgn val="ctr"/>
        <c:lblOffset val="100"/>
        <c:noMultiLvlLbl val="0"/>
      </c:catAx>
      <c:valAx>
        <c:axId val="780093007"/>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Rides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8327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Data!Daily bike rides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Daily customer</a:t>
            </a:r>
            <a:r>
              <a:rPr lang="en-IN" baseline="0"/>
              <a:t> Rides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'Descriptive Data'!$C$16</c:f>
              <c:strCache>
                <c:ptCount val="1"/>
                <c:pt idx="0">
                  <c:v>Casual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'Descriptive Data'!$B$17:$B$24</c:f>
              <c:strCache>
                <c:ptCount val="7"/>
                <c:pt idx="0">
                  <c:v>0</c:v>
                </c:pt>
                <c:pt idx="1">
                  <c:v>1</c:v>
                </c:pt>
                <c:pt idx="2">
                  <c:v>2</c:v>
                </c:pt>
                <c:pt idx="3">
                  <c:v>3</c:v>
                </c:pt>
                <c:pt idx="4">
                  <c:v>4</c:v>
                </c:pt>
                <c:pt idx="5">
                  <c:v>5</c:v>
                </c:pt>
                <c:pt idx="6">
                  <c:v>6</c:v>
                </c:pt>
              </c:strCache>
            </c:strRef>
          </c:cat>
          <c:val>
            <c:numRef>
              <c:f>'Descriptive Data'!$C$17:$C$24</c:f>
              <c:numCache>
                <c:formatCode>General</c:formatCode>
                <c:ptCount val="7"/>
                <c:pt idx="0">
                  <c:v>1477</c:v>
                </c:pt>
                <c:pt idx="1">
                  <c:v>534</c:v>
                </c:pt>
                <c:pt idx="2">
                  <c:v>457</c:v>
                </c:pt>
                <c:pt idx="3">
                  <c:v>344</c:v>
                </c:pt>
                <c:pt idx="4">
                  <c:v>332</c:v>
                </c:pt>
                <c:pt idx="5">
                  <c:v>552</c:v>
                </c:pt>
                <c:pt idx="6">
                  <c:v>1225</c:v>
                </c:pt>
              </c:numCache>
            </c:numRef>
          </c:val>
          <c:extLst>
            <c:ext xmlns:c16="http://schemas.microsoft.com/office/drawing/2014/chart" uri="{C3380CC4-5D6E-409C-BE32-E72D297353CC}">
              <c16:uniqueId val="{00000000-EB82-4A60-9164-C2B2B8A7EC29}"/>
            </c:ext>
          </c:extLst>
        </c:ser>
        <c:ser>
          <c:idx val="1"/>
          <c:order val="1"/>
          <c:tx>
            <c:strRef>
              <c:f>'Descriptive Data'!$D$16</c:f>
              <c:strCache>
                <c:ptCount val="1"/>
                <c:pt idx="0">
                  <c:v>Registered Customers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'Descriptive Data'!$B$17:$B$24</c:f>
              <c:strCache>
                <c:ptCount val="7"/>
                <c:pt idx="0">
                  <c:v>0</c:v>
                </c:pt>
                <c:pt idx="1">
                  <c:v>1</c:v>
                </c:pt>
                <c:pt idx="2">
                  <c:v>2</c:v>
                </c:pt>
                <c:pt idx="3">
                  <c:v>3</c:v>
                </c:pt>
                <c:pt idx="4">
                  <c:v>4</c:v>
                </c:pt>
                <c:pt idx="5">
                  <c:v>5</c:v>
                </c:pt>
                <c:pt idx="6">
                  <c:v>6</c:v>
                </c:pt>
              </c:strCache>
            </c:strRef>
          </c:cat>
          <c:val>
            <c:numRef>
              <c:f>'Descriptive Data'!$D$17:$D$24</c:f>
              <c:numCache>
                <c:formatCode>General</c:formatCode>
                <c:ptCount val="7"/>
                <c:pt idx="0">
                  <c:v>6644</c:v>
                </c:pt>
                <c:pt idx="1">
                  <c:v>7916</c:v>
                </c:pt>
                <c:pt idx="2">
                  <c:v>7926</c:v>
                </c:pt>
                <c:pt idx="3">
                  <c:v>7705</c:v>
                </c:pt>
                <c:pt idx="4">
                  <c:v>8126</c:v>
                </c:pt>
                <c:pt idx="5">
                  <c:v>8543</c:v>
                </c:pt>
                <c:pt idx="6">
                  <c:v>6523</c:v>
                </c:pt>
              </c:numCache>
            </c:numRef>
          </c:val>
          <c:extLst>
            <c:ext xmlns:c16="http://schemas.microsoft.com/office/drawing/2014/chart" uri="{C3380CC4-5D6E-409C-BE32-E72D297353CC}">
              <c16:uniqueId val="{00000001-EB82-4A60-9164-C2B2B8A7EC29}"/>
            </c:ext>
          </c:extLst>
        </c:ser>
        <c:dLbls>
          <c:dLblPos val="inEnd"/>
          <c:showLegendKey val="0"/>
          <c:showVal val="1"/>
          <c:showCatName val="0"/>
          <c:showSerName val="0"/>
          <c:showPercent val="0"/>
          <c:showBubbleSize val="0"/>
        </c:dLbls>
        <c:gapWidth val="115"/>
        <c:overlap val="-20"/>
        <c:axId val="227826335"/>
        <c:axId val="142660271"/>
      </c:barChart>
      <c:catAx>
        <c:axId val="2278263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60271"/>
        <c:crosses val="autoZero"/>
        <c:auto val="1"/>
        <c:lblAlgn val="ctr"/>
        <c:lblOffset val="100"/>
        <c:noMultiLvlLbl val="0"/>
      </c:catAx>
      <c:valAx>
        <c:axId val="142660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782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Data!Hourly bike rides</c:name>
    <c:fmtId val="3"/>
  </c:pivotSource>
  <c:chart>
    <c:title>
      <c:tx>
        <c:rich>
          <a:bodyPr rot="0" spcFirstLastPara="1" vertOverflow="ellipsis" vert="horz" wrap="square" anchor="ctr" anchorCtr="1"/>
          <a:lstStyle/>
          <a:p>
            <a:pPr>
              <a:defRPr sz="1600" b="1" i="0" u="none" strike="noStrike" kern="1200" cap="none" spc="50" baseline="0">
                <a:ln w="0"/>
                <a:solidFill>
                  <a:schemeClr val="dk1"/>
                </a:solidFill>
                <a:effectLst>
                  <a:innerShdw blurRad="63500" dist="50800" dir="13500000">
                    <a:srgbClr val="000000">
                      <a:alpha val="50000"/>
                    </a:srgbClr>
                  </a:innerShdw>
                </a:effectLst>
                <a:latin typeface="+mn-lt"/>
                <a:ea typeface="+mn-ea"/>
                <a:cs typeface="+mn-cs"/>
              </a:defRPr>
            </a:pPr>
            <a:r>
              <a:rPr lang="en-IN">
                <a:solidFill>
                  <a:schemeClr val="dk1"/>
                </a:solidFill>
                <a:latin typeface="+mn-lt"/>
                <a:ea typeface="+mn-ea"/>
                <a:cs typeface="+mn-cs"/>
              </a:rPr>
              <a:t>Hourly Bike Rides</a:t>
            </a:r>
            <a:endParaRPr lang="en-IN"/>
          </a:p>
        </c:rich>
      </c:tx>
      <c:layout>
        <c:manualLayout>
          <c:xMode val="edge"/>
          <c:yMode val="edge"/>
          <c:x val="0.35121278941565592"/>
          <c:y val="7.9558905404204155E-2"/>
        </c:manualLayout>
      </c:layout>
      <c:overlay val="0"/>
      <c:spPr>
        <a:solidFill>
          <a:schemeClr val="lt1"/>
        </a:solidFill>
        <a:ln w="12700" cap="flat" cmpd="sng" algn="ctr">
          <a:solidFill>
            <a:schemeClr val="accent3"/>
          </a:solidFill>
          <a:prstDash val="solid"/>
          <a:miter lim="800000"/>
        </a:ln>
        <a:effectLst/>
      </c:spPr>
      <c:txPr>
        <a:bodyPr rot="0" spcFirstLastPara="1" vertOverflow="ellipsis" vert="horz" wrap="square" anchor="ctr" anchorCtr="1"/>
        <a:lstStyle/>
        <a:p>
          <a:pPr>
            <a:defRPr sz="1600" b="1" i="0" u="none" strike="noStrike" kern="1200" cap="none" spc="50" baseline="0">
              <a:ln w="0"/>
              <a:solidFill>
                <a:schemeClr val="dk1"/>
              </a:solidFill>
              <a:effectLst>
                <a:innerShdw blurRad="63500" dist="50800" dir="13500000">
                  <a:srgbClr val="000000">
                    <a:alpha val="50000"/>
                  </a:srgbClr>
                </a:inn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Data'!$C$40</c:f>
              <c:strCache>
                <c:ptCount val="1"/>
                <c:pt idx="0">
                  <c:v>Casual Customers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Data'!$B$41:$B$65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'Descriptive Data'!$C$41:$C$65</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0-AD36-439B-9032-B9722EED037A}"/>
            </c:ext>
          </c:extLst>
        </c:ser>
        <c:ser>
          <c:idx val="1"/>
          <c:order val="1"/>
          <c:tx>
            <c:strRef>
              <c:f>'Descriptive Data'!$D$40</c:f>
              <c:strCache>
                <c:ptCount val="1"/>
                <c:pt idx="0">
                  <c:v>Registered Customers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Data'!$B$41:$B$65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'Descriptive Data'!$D$41:$D$65</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AD36-439B-9032-B9722EED037A}"/>
            </c:ext>
          </c:extLst>
        </c:ser>
        <c:dLbls>
          <c:showLegendKey val="0"/>
          <c:showVal val="0"/>
          <c:showCatName val="0"/>
          <c:showSerName val="0"/>
          <c:showPercent val="0"/>
          <c:showBubbleSize val="0"/>
        </c:dLbls>
        <c:gapWidth val="100"/>
        <c:overlap val="-24"/>
        <c:axId val="1758679264"/>
        <c:axId val="7042895"/>
      </c:barChart>
      <c:catAx>
        <c:axId val="1758679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7042895"/>
        <c:crosses val="autoZero"/>
        <c:auto val="1"/>
        <c:lblAlgn val="ctr"/>
        <c:lblOffset val="100"/>
        <c:noMultiLvlLbl val="0"/>
      </c:catAx>
      <c:valAx>
        <c:axId val="7042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75867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Data!PivotTable5</c:name>
    <c:fmtId val="0"/>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b="1" cap="none" spc="0">
                <a:ln w="9525">
                  <a:solidFill>
                    <a:schemeClr val="bg1"/>
                  </a:solidFill>
                  <a:prstDash val="solid"/>
                </a:ln>
                <a:solidFill>
                  <a:schemeClr val="lt1"/>
                </a:solidFill>
                <a:effectLst>
                  <a:outerShdw blurRad="12700" dist="38100" dir="2700000" algn="tl" rotWithShape="0">
                    <a:schemeClr val="bg1">
                      <a:lumMod val="50000"/>
                    </a:schemeClr>
                  </a:outerShdw>
                </a:effectLst>
                <a:latin typeface="+mn-lt"/>
                <a:ea typeface="+mn-ea"/>
                <a:cs typeface="+mn-cs"/>
              </a:rPr>
              <a:t>Relation btw</a:t>
            </a:r>
            <a:r>
              <a:rPr lang="en-US" b="1" cap="none" spc="0" baseline="0">
                <a:ln w="9525">
                  <a:solidFill>
                    <a:schemeClr val="bg1"/>
                  </a:solidFill>
                  <a:prstDash val="solid"/>
                </a:ln>
                <a:solidFill>
                  <a:schemeClr val="lt1"/>
                </a:solidFill>
                <a:effectLst>
                  <a:outerShdw blurRad="12700" dist="38100" dir="2700000" algn="tl" rotWithShape="0">
                    <a:schemeClr val="bg1">
                      <a:lumMod val="50000"/>
                    </a:schemeClr>
                  </a:outerShdw>
                </a:effectLst>
                <a:latin typeface="+mn-lt"/>
                <a:ea typeface="+mn-ea"/>
                <a:cs typeface="+mn-cs"/>
              </a:rPr>
              <a:t> Weather and Casual Rides</a:t>
            </a:r>
            <a:endParaRPr lang="en-US"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endParaRPr>
          </a:p>
        </c:rich>
      </c:tx>
      <c:layout>
        <c:manualLayout>
          <c:xMode val="edge"/>
          <c:yMode val="edge"/>
          <c:x val="0.23068789063237602"/>
          <c:y val="9.6201516477107021E-2"/>
        </c:manualLayout>
      </c:layout>
      <c:overlay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027724277271097"/>
          <c:y val="0.33092373869932928"/>
          <c:w val="0.42788053022149208"/>
          <c:h val="0.66083770778652673"/>
        </c:manualLayout>
      </c:layout>
      <c:pieChart>
        <c:varyColors val="1"/>
        <c:ser>
          <c:idx val="0"/>
          <c:order val="0"/>
          <c:tx>
            <c:strRef>
              <c:f>'Descriptive Data'!$C$75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AF-43C7-BF24-BC1E970146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AF-43C7-BF24-BC1E970146B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AF-43C7-BF24-BC1E970146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BAF-43C7-BF24-BC1E970146B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'Descriptive Data'!$B$76:$B$80</c:f>
              <c:strCache>
                <c:ptCount val="4"/>
                <c:pt idx="0">
                  <c:v>1</c:v>
                </c:pt>
                <c:pt idx="1">
                  <c:v>2</c:v>
                </c:pt>
                <c:pt idx="2">
                  <c:v>3</c:v>
                </c:pt>
                <c:pt idx="3">
                  <c:v>4</c:v>
                </c:pt>
              </c:strCache>
            </c:strRef>
          </c:cat>
          <c:val>
            <c:numRef>
              <c:f>'Descriptive Data'!$C$76:$C$80</c:f>
              <c:numCache>
                <c:formatCode>General</c:formatCode>
                <c:ptCount val="4"/>
                <c:pt idx="0">
                  <c:v>3211</c:v>
                </c:pt>
                <c:pt idx="1">
                  <c:v>1538</c:v>
                </c:pt>
                <c:pt idx="2">
                  <c:v>171</c:v>
                </c:pt>
                <c:pt idx="3">
                  <c:v>1</c:v>
                </c:pt>
              </c:numCache>
            </c:numRef>
          </c:val>
          <c:extLst>
            <c:ext xmlns:c16="http://schemas.microsoft.com/office/drawing/2014/chart" uri="{C3380CC4-5D6E-409C-BE32-E72D297353CC}">
              <c16:uniqueId val="{00000002-F551-4E15-B51A-308107AAD47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Data!PivotTable39</c:name>
    <c:fmtId val="0"/>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sz="1800" b="1" i="0" u="none" strike="noStrike" kern="1200" cap="none" spc="0" baseline="0">
                <a:ln w="9525">
                  <a:solidFill>
                    <a:schemeClr val="bg1"/>
                  </a:solidFill>
                  <a:prstDash val="solid"/>
                </a:ln>
                <a:solidFill>
                  <a:schemeClr val="lt1"/>
                </a:solidFill>
                <a:effectLst>
                  <a:outerShdw blurRad="12700" dist="38100" dir="2700000" algn="tl" rotWithShape="0">
                    <a:schemeClr val="accent5">
                      <a:lumMod val="60000"/>
                      <a:lumOff val="40000"/>
                    </a:schemeClr>
                  </a:outerShdw>
                </a:effectLst>
                <a:latin typeface="+mn-lt"/>
                <a:ea typeface="+mn-ea"/>
                <a:cs typeface="+mn-cs"/>
              </a:rPr>
              <a:t>Relation btw Weather and Register Customer</a:t>
            </a:r>
            <a:endParaRPr lang="en-US" sz="1800" b="1" i="0" u="none" strike="noStrike" kern="1200"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c:rich>
      </c:tx>
      <c:layout>
        <c:manualLayout>
          <c:xMode val="edge"/>
          <c:yMode val="edge"/>
          <c:x val="0.19267561067061742"/>
          <c:y val="9.1571886847477399E-2"/>
        </c:manualLayout>
      </c:layout>
      <c:overlay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066412430153548"/>
          <c:y val="0.31564596092155145"/>
          <c:w val="0.39727198734304553"/>
          <c:h val="0.63342811315252256"/>
        </c:manualLayout>
      </c:layout>
      <c:pieChart>
        <c:varyColors val="1"/>
        <c:ser>
          <c:idx val="0"/>
          <c:order val="0"/>
          <c:tx>
            <c:strRef>
              <c:f>'Descriptive Data'!$H$69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3B-4BC5-929E-029A37CC0A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3B-4BC5-929E-029A37CC0AB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33B-4BC5-929E-029A37CC0AB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33B-4BC5-929E-029A37CC0AB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'Descriptive Data'!$G$70:$G$74</c:f>
              <c:strCache>
                <c:ptCount val="4"/>
                <c:pt idx="0">
                  <c:v>1</c:v>
                </c:pt>
                <c:pt idx="1">
                  <c:v>2</c:v>
                </c:pt>
                <c:pt idx="2">
                  <c:v>3</c:v>
                </c:pt>
                <c:pt idx="3">
                  <c:v>4</c:v>
                </c:pt>
              </c:strCache>
            </c:strRef>
          </c:cat>
          <c:val>
            <c:numRef>
              <c:f>'Descriptive Data'!$H$70:$H$74</c:f>
              <c:numCache>
                <c:formatCode>General</c:formatCode>
                <c:ptCount val="4"/>
                <c:pt idx="0">
                  <c:v>34162</c:v>
                </c:pt>
                <c:pt idx="1">
                  <c:v>16568</c:v>
                </c:pt>
                <c:pt idx="2">
                  <c:v>2618</c:v>
                </c:pt>
                <c:pt idx="3">
                  <c:v>35</c:v>
                </c:pt>
              </c:numCache>
            </c:numRef>
          </c:val>
          <c:extLst>
            <c:ext xmlns:c16="http://schemas.microsoft.com/office/drawing/2014/chart" uri="{C3380CC4-5D6E-409C-BE32-E72D297353CC}">
              <c16:uniqueId val="{00000000-D73A-442C-A29D-5F3AFC8D2AF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Data!PivotTable41</c:name>
    <c:fmtId val="0"/>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b="0" cap="none" spc="0">
                <a:ln w="0"/>
                <a:solidFill>
                  <a:schemeClr val="lt1"/>
                </a:solidFill>
                <a:effectLst>
                  <a:outerShdw blurRad="38100" dist="19050" dir="2700000" algn="tl" rotWithShape="0">
                    <a:schemeClr val="dk1">
                      <a:alpha val="40000"/>
                    </a:schemeClr>
                  </a:outerShdw>
                </a:effectLst>
                <a:latin typeface="+mn-lt"/>
                <a:ea typeface="+mn-ea"/>
                <a:cs typeface="+mn-cs"/>
              </a:rPr>
              <a:t>Daily Temp</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42448699594368894"/>
          <c:y val="0.12471953342552065"/>
        </c:manualLayout>
      </c:layout>
      <c:overlay val="0"/>
      <c:spPr>
        <a:solidFill>
          <a:schemeClr val="accent4"/>
        </a:solidFill>
        <a:ln w="19050" cap="flat" cmpd="sng" algn="ctr">
          <a:solidFill>
            <a:schemeClr val="lt1"/>
          </a:solidFill>
          <a:prstDash val="solid"/>
          <a:miter lim="800000"/>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'Descriptive Data'!$C$91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516-4A52-BB4E-0E7A516E9185}"/>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7516-4A52-BB4E-0E7A516E9185}"/>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7516-4A52-BB4E-0E7A516E9185}"/>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7516-4A52-BB4E-0E7A516E9185}"/>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7516-4A52-BB4E-0E7A516E9185}"/>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7516-4A52-BB4E-0E7A516E9185}"/>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7516-4A52-BB4E-0E7A516E91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'Descriptive Data'!$B$92:$B$99</c:f>
              <c:strCache>
                <c:ptCount val="7"/>
                <c:pt idx="0">
                  <c:v>0</c:v>
                </c:pt>
                <c:pt idx="1">
                  <c:v>1</c:v>
                </c:pt>
                <c:pt idx="2">
                  <c:v>2</c:v>
                </c:pt>
                <c:pt idx="3">
                  <c:v>3</c:v>
                </c:pt>
                <c:pt idx="4">
                  <c:v>4</c:v>
                </c:pt>
                <c:pt idx="5">
                  <c:v>5</c:v>
                </c:pt>
                <c:pt idx="6">
                  <c:v>6</c:v>
                </c:pt>
              </c:strCache>
            </c:strRef>
          </c:cat>
          <c:val>
            <c:numRef>
              <c:f>'Descriptive Data'!$C$92:$C$99</c:f>
              <c:numCache>
                <c:formatCode>0.0000000000</c:formatCode>
                <c:ptCount val="7"/>
                <c:pt idx="0">
                  <c:v>0.23524390243902446</c:v>
                </c:pt>
                <c:pt idx="1">
                  <c:v>0.18818791946308716</c:v>
                </c:pt>
                <c:pt idx="2">
                  <c:v>0.20299212598425193</c:v>
                </c:pt>
                <c:pt idx="3">
                  <c:v>0.21801526717557226</c:v>
                </c:pt>
                <c:pt idx="4">
                  <c:v>0.19296000000000002</c:v>
                </c:pt>
                <c:pt idx="5">
                  <c:v>0.18971014492753613</c:v>
                </c:pt>
                <c:pt idx="6">
                  <c:v>0.20867469879518055</c:v>
                </c:pt>
              </c:numCache>
            </c:numRef>
          </c:val>
          <c:extLst>
            <c:ext xmlns:c16="http://schemas.microsoft.com/office/drawing/2014/chart" uri="{C3380CC4-5D6E-409C-BE32-E72D297353CC}">
              <c16:uniqueId val="{0000000A-005F-4B8B-BC4A-936A931B3542}"/>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Data!PivotTable42</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Daily Assumed Temp.</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3"/>
          </a:solidFill>
          <a:ln>
            <a:noFill/>
          </a:ln>
          <a:effectLst>
            <a:outerShdw blurRad="63500" sx="102000" sy="102000" algn="ctr" rotWithShape="0">
              <a:prstClr val="black">
                <a:alpha val="20000"/>
              </a:prstClr>
            </a:outerShdw>
          </a:effectLst>
        </c:spPr>
      </c:pivotFmt>
      <c:pivotFmt>
        <c:idx val="3"/>
        <c:spPr>
          <a:solidFill>
            <a:schemeClr val="accent5"/>
          </a:solidFill>
          <a:ln>
            <a:noFill/>
          </a:ln>
          <a:effectLst>
            <a:outerShdw blurRad="63500" sx="102000" sy="102000" algn="ctr" rotWithShape="0">
              <a:prstClr val="black">
                <a:alpha val="20000"/>
              </a:prstClr>
            </a:outerShdw>
          </a:effectLst>
        </c:spPr>
      </c:pivotFmt>
      <c:pivotFmt>
        <c:idx val="4"/>
        <c:spPr>
          <a:solidFill>
            <a:schemeClr val="accent1">
              <a:lumMod val="60000"/>
            </a:schemeClr>
          </a:solidFill>
          <a:ln>
            <a:noFill/>
          </a:ln>
          <a:effectLst>
            <a:outerShdw blurRad="63500" sx="102000" sy="102000" algn="ctr" rotWithShape="0">
              <a:prstClr val="black">
                <a:alpha val="20000"/>
              </a:prstClr>
            </a:outerShdw>
          </a:effectLst>
        </c:spPr>
      </c:pivotFmt>
      <c:pivotFmt>
        <c:idx val="5"/>
        <c:spPr>
          <a:solidFill>
            <a:schemeClr val="accent3">
              <a:lumMod val="60000"/>
            </a:schemeClr>
          </a:solidFill>
          <a:ln>
            <a:noFill/>
          </a:ln>
          <a:effectLst>
            <a:outerShdw blurRad="63500" sx="102000" sy="102000" algn="ctr" rotWithShape="0">
              <a:prstClr val="black">
                <a:alpha val="20000"/>
              </a:prstClr>
            </a:outerShdw>
          </a:effectLst>
        </c:spPr>
      </c:pivotFmt>
      <c:pivotFmt>
        <c:idx val="6"/>
        <c:spPr>
          <a:solidFill>
            <a:schemeClr val="accent5">
              <a:lumMod val="60000"/>
            </a:schemeClr>
          </a:solidFill>
          <a:ln>
            <a:noFill/>
          </a:ln>
          <a:effectLst>
            <a:outerShdw blurRad="63500" sx="102000" sy="102000" algn="ctr" rotWithShape="0">
              <a:prstClr val="black">
                <a:alpha val="20000"/>
              </a:prstClr>
            </a:outerShdw>
          </a:effectLst>
        </c:spPr>
      </c:pivotFmt>
      <c:pivotFmt>
        <c:idx val="7"/>
        <c:spPr>
          <a:solidFill>
            <a:schemeClr val="accent1">
              <a:lumMod val="80000"/>
              <a:lumOff val="2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'Descriptive Data'!$I$89</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901E-43EE-BE28-4506004C2F37}"/>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01E-43EE-BE28-4506004C2F37}"/>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901E-43EE-BE28-4506004C2F37}"/>
              </c:ext>
            </c:extLst>
          </c:dPt>
          <c:dPt>
            <c:idx val="3"/>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01E-43EE-BE28-4506004C2F37}"/>
              </c:ext>
            </c:extLst>
          </c:dPt>
          <c:dPt>
            <c:idx val="4"/>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901E-43EE-BE28-4506004C2F37}"/>
              </c:ext>
            </c:extLst>
          </c:dPt>
          <c:dPt>
            <c:idx val="5"/>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01E-43EE-BE28-4506004C2F37}"/>
              </c:ext>
            </c:extLst>
          </c:dPt>
          <c:dPt>
            <c:idx val="6"/>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901E-43EE-BE28-4506004C2F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Data'!$H$90:$H$97</c:f>
              <c:strCache>
                <c:ptCount val="7"/>
                <c:pt idx="0">
                  <c:v>0</c:v>
                </c:pt>
                <c:pt idx="1">
                  <c:v>1</c:v>
                </c:pt>
                <c:pt idx="2">
                  <c:v>2</c:v>
                </c:pt>
                <c:pt idx="3">
                  <c:v>3</c:v>
                </c:pt>
                <c:pt idx="4">
                  <c:v>4</c:v>
                </c:pt>
                <c:pt idx="5">
                  <c:v>5</c:v>
                </c:pt>
                <c:pt idx="6">
                  <c:v>6</c:v>
                </c:pt>
              </c:strCache>
            </c:strRef>
          </c:cat>
          <c:val>
            <c:numRef>
              <c:f>'Descriptive Data'!$I$90:$I$97</c:f>
              <c:numCache>
                <c:formatCode>General</c:formatCode>
                <c:ptCount val="7"/>
                <c:pt idx="0">
                  <c:v>0.23390731707317097</c:v>
                </c:pt>
                <c:pt idx="1">
                  <c:v>0.19560939597315438</c:v>
                </c:pt>
                <c:pt idx="2">
                  <c:v>0.21608897637795269</c:v>
                </c:pt>
                <c:pt idx="3">
                  <c:v>0.21640763358778611</c:v>
                </c:pt>
                <c:pt idx="4">
                  <c:v>0.19515679999999977</c:v>
                </c:pt>
                <c:pt idx="5">
                  <c:v>0.20301304347826074</c:v>
                </c:pt>
                <c:pt idx="6">
                  <c:v>0.21756325301204801</c:v>
                </c:pt>
              </c:numCache>
            </c:numRef>
          </c:val>
          <c:extLst>
            <c:ext xmlns:c16="http://schemas.microsoft.com/office/drawing/2014/chart" uri="{C3380CC4-5D6E-409C-BE32-E72D297353CC}">
              <c16:uniqueId val="{00000000-901E-43EE-BE28-4506004C2F3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Data!PivotTable59</c:name>
    <c:fmtId val="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latin typeface="+mn-lt"/>
                <a:ea typeface="+mn-ea"/>
                <a:cs typeface="+mn-cs"/>
              </a:rPr>
              <a:t>Daily Total Rides</a:t>
            </a:r>
            <a:endParaRPr lang="en-US"/>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'Descriptive Data'!$C$105</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'Descriptive Data'!$B$106:$B$113</c:f>
              <c:strCache>
                <c:ptCount val="7"/>
                <c:pt idx="0">
                  <c:v>0</c:v>
                </c:pt>
                <c:pt idx="1">
                  <c:v>1</c:v>
                </c:pt>
                <c:pt idx="2">
                  <c:v>2</c:v>
                </c:pt>
                <c:pt idx="3">
                  <c:v>3</c:v>
                </c:pt>
                <c:pt idx="4">
                  <c:v>4</c:v>
                </c:pt>
                <c:pt idx="5">
                  <c:v>5</c:v>
                </c:pt>
                <c:pt idx="6">
                  <c:v>6</c:v>
                </c:pt>
              </c:strCache>
            </c:strRef>
          </c:cat>
          <c:val>
            <c:numRef>
              <c:f>'Descriptive Data'!$C$106:$C$113</c:f>
              <c:numCache>
                <c:formatCode>General</c:formatCode>
                <c:ptCount val="7"/>
                <c:pt idx="0">
                  <c:v>8121</c:v>
                </c:pt>
                <c:pt idx="1">
                  <c:v>8450</c:v>
                </c:pt>
                <c:pt idx="2">
                  <c:v>8383</c:v>
                </c:pt>
                <c:pt idx="3">
                  <c:v>8049</c:v>
                </c:pt>
                <c:pt idx="4">
                  <c:v>8458</c:v>
                </c:pt>
                <c:pt idx="5">
                  <c:v>9095</c:v>
                </c:pt>
                <c:pt idx="6">
                  <c:v>7748</c:v>
                </c:pt>
              </c:numCache>
            </c:numRef>
          </c:val>
          <c:smooth val="0"/>
          <c:extLst>
            <c:ext xmlns:c16="http://schemas.microsoft.com/office/drawing/2014/chart" uri="{C3380CC4-5D6E-409C-BE32-E72D297353CC}">
              <c16:uniqueId val="{00000002-8752-4B46-94A5-E16D89E8F796}"/>
            </c:ext>
          </c:extLst>
        </c:ser>
        <c:dLbls>
          <c:dLblPos val="ctr"/>
          <c:showLegendKey val="0"/>
          <c:showVal val="1"/>
          <c:showCatName val="0"/>
          <c:showSerName val="0"/>
          <c:showPercent val="0"/>
          <c:showBubbleSize val="0"/>
        </c:dLbls>
        <c:marker val="1"/>
        <c:smooth val="0"/>
        <c:axId val="271315151"/>
        <c:axId val="7033295"/>
      </c:lineChart>
      <c:catAx>
        <c:axId val="2713151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33295"/>
        <c:crosses val="autoZero"/>
        <c:auto val="1"/>
        <c:lblAlgn val="ctr"/>
        <c:lblOffset val="100"/>
        <c:noMultiLvlLbl val="0"/>
      </c:catAx>
      <c:valAx>
        <c:axId val="7033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131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Data!PivotTable60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Data'!$C$130</c:f>
              <c:strCache>
                <c:ptCount val="1"/>
                <c:pt idx="0">
                  <c:v>Total</c:v>
                </c:pt>
              </c:strCache>
            </c:strRef>
          </c:tx>
          <c:spPr>
            <a:solidFill>
              <a:schemeClr val="accent1"/>
            </a:solidFill>
            <a:ln>
              <a:noFill/>
            </a:ln>
            <a:effectLst/>
          </c:spPr>
          <c:invertIfNegative val="0"/>
          <c:cat>
            <c:strRef>
              <c:f>'Descriptive Data'!$B$131:$B$133</c:f>
              <c:strCache>
                <c:ptCount val="2"/>
                <c:pt idx="0">
                  <c:v>Jan</c:v>
                </c:pt>
                <c:pt idx="1">
                  <c:v>Feb</c:v>
                </c:pt>
              </c:strCache>
            </c:strRef>
          </c:cat>
          <c:val>
            <c:numRef>
              <c:f>'Descriptive Data'!$C$131:$C$133</c:f>
              <c:numCache>
                <c:formatCode>General</c:formatCode>
                <c:ptCount val="2"/>
                <c:pt idx="0">
                  <c:v>38189</c:v>
                </c:pt>
                <c:pt idx="1">
                  <c:v>20115</c:v>
                </c:pt>
              </c:numCache>
            </c:numRef>
          </c:val>
          <c:extLst>
            <c:ext xmlns:c16="http://schemas.microsoft.com/office/drawing/2014/chart" uri="{C3380CC4-5D6E-409C-BE32-E72D297353CC}">
              <c16:uniqueId val="{00000000-0148-441A-874A-C7DF179A16EE}"/>
            </c:ext>
          </c:extLst>
        </c:ser>
        <c:dLbls>
          <c:showLegendKey val="0"/>
          <c:showVal val="0"/>
          <c:showCatName val="0"/>
          <c:showSerName val="0"/>
          <c:showPercent val="0"/>
          <c:showBubbleSize val="0"/>
        </c:dLbls>
        <c:gapWidth val="219"/>
        <c:overlap val="-27"/>
        <c:axId val="442869727"/>
        <c:axId val="7037135"/>
      </c:barChart>
      <c:catAx>
        <c:axId val="44286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135"/>
        <c:crosses val="autoZero"/>
        <c:auto val="1"/>
        <c:lblAlgn val="ctr"/>
        <c:lblOffset val="100"/>
        <c:noMultiLvlLbl val="0"/>
      </c:catAx>
      <c:valAx>
        <c:axId val="703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86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'Descriptive Data'!$B$143</c:f>
              <c:strCache>
                <c:ptCount val="1"/>
                <c:pt idx="0">
                  <c:v>Casual Customers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'Descriptive Data'!$A$144:$A$148</c:f>
              <c:strCache>
                <c:ptCount val="4"/>
                <c:pt idx="0">
                  <c:v>Dry</c:v>
                </c:pt>
                <c:pt idx="1">
                  <c:v>High Humidity</c:v>
                </c:pt>
                <c:pt idx="2">
                  <c:v>Humid</c:v>
                </c:pt>
                <c:pt idx="3">
                  <c:v>Less Humidity</c:v>
                </c:pt>
              </c:strCache>
            </c:strRef>
          </c:cat>
          <c:val>
            <c:numRef>
              <c:f>'Descriptive Data'!$B$144:$B$148</c:f>
              <c:numCache>
                <c:formatCode>General</c:formatCode>
                <c:ptCount val="4"/>
                <c:pt idx="0">
                  <c:v>1788</c:v>
                </c:pt>
                <c:pt idx="1">
                  <c:v>1221</c:v>
                </c:pt>
                <c:pt idx="2">
                  <c:v>130</c:v>
                </c:pt>
                <c:pt idx="3">
                  <c:v>1782</c:v>
                </c:pt>
              </c:numCache>
            </c:numRef>
          </c:val>
          <c:smooth val="0"/>
          <c:extLst>
            <c:ext xmlns:c16="http://schemas.microsoft.com/office/drawing/2014/chart" uri="{C3380CC4-5D6E-409C-BE32-E72D297353CC}">
              <c16:uniqueId val="{00000000-5AB3-48BA-B704-BD6E034DA8D3}"/>
            </c:ext>
          </c:extLst>
        </c:ser>
        <c:ser>
          <c:idx val="1"/>
          <c:order val="1"/>
          <c:tx>
            <c:strRef>
              <c:f>'Descriptive Data'!$C$143</c:f>
              <c:strCache>
                <c:ptCount val="1"/>
                <c:pt idx="0">
                  <c:v>Registered Customers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'Descriptive Data'!$A$144:$A$148</c:f>
              <c:strCache>
                <c:ptCount val="4"/>
                <c:pt idx="0">
                  <c:v>Dry</c:v>
                </c:pt>
                <c:pt idx="1">
                  <c:v>High Humidity</c:v>
                </c:pt>
                <c:pt idx="2">
                  <c:v>Humid</c:v>
                </c:pt>
                <c:pt idx="3">
                  <c:v>Less Humidity</c:v>
                </c:pt>
              </c:strCache>
            </c:strRef>
          </c:cat>
          <c:val>
            <c:numRef>
              <c:f>'Descriptive Data'!$C$144:$C$148</c:f>
              <c:numCache>
                <c:formatCode>General</c:formatCode>
                <c:ptCount val="4"/>
                <c:pt idx="0">
                  <c:v>13881</c:v>
                </c:pt>
                <c:pt idx="1">
                  <c:v>15163</c:v>
                </c:pt>
                <c:pt idx="2">
                  <c:v>1388</c:v>
                </c:pt>
                <c:pt idx="3">
                  <c:v>22951</c:v>
                </c:pt>
              </c:numCache>
            </c:numRef>
          </c:val>
          <c:smooth val="0"/>
          <c:extLst>
            <c:ext xmlns:c16="http://schemas.microsoft.com/office/drawing/2014/chart" uri="{C3380CC4-5D6E-409C-BE32-E72D297353CC}">
              <c16:uniqueId val="{00000002-5AB3-48BA-B704-BD6E034DA8D3}"/>
            </c:ext>
          </c:extLst>
        </c:ser>
        <c:ser>
          <c:idx val="2"/>
          <c:order val="2"/>
          <c:tx>
            <c:strRef>
              <c:f>'Descriptive Data'!$D$143</c:f>
              <c:strCache>
                <c:ptCount val="1"/>
                <c:pt idx="0">
                  <c:v>Total Riders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'Descriptive Data'!$A$144:$A$148</c:f>
              <c:strCache>
                <c:ptCount val="4"/>
                <c:pt idx="0">
                  <c:v>Dry</c:v>
                </c:pt>
                <c:pt idx="1">
                  <c:v>High Humidity</c:v>
                </c:pt>
                <c:pt idx="2">
                  <c:v>Humid</c:v>
                </c:pt>
                <c:pt idx="3">
                  <c:v>Less Humidity</c:v>
                </c:pt>
              </c:strCache>
            </c:strRef>
          </c:cat>
          <c:val>
            <c:numRef>
              <c:f>'Descriptive Data'!$D$144:$D$148</c:f>
              <c:numCache>
                <c:formatCode>General</c:formatCode>
                <c:ptCount val="4"/>
                <c:pt idx="0">
                  <c:v>15669</c:v>
                </c:pt>
                <c:pt idx="1">
                  <c:v>16384</c:v>
                </c:pt>
                <c:pt idx="2">
                  <c:v>1518</c:v>
                </c:pt>
                <c:pt idx="3">
                  <c:v>24733</c:v>
                </c:pt>
              </c:numCache>
            </c:numRef>
          </c:val>
          <c:smooth val="0"/>
          <c:extLst>
            <c:ext xmlns:c16="http://schemas.microsoft.com/office/drawing/2014/chart" uri="{C3380CC4-5D6E-409C-BE32-E72D297353CC}">
              <c16:uniqueId val="{00000003-5AB3-48BA-B704-BD6E034DA8D3}"/>
            </c:ext>
          </c:extLst>
        </c:ser>
        <c:dLbls>
          <c:showLegendKey val="0"/>
          <c:showVal val="0"/>
          <c:showCatName val="0"/>
          <c:showSerName val="0"/>
          <c:showPercent val="0"/>
          <c:showBubbleSize val="0"/>
        </c:dLbls>
        <c:marker val="1"/>
        <c:smooth val="0"/>
        <c:axId val="624254383"/>
        <c:axId val="624264943"/>
      </c:lineChart>
      <c:catAx>
        <c:axId val="62425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64943"/>
        <c:crosses val="autoZero"/>
        <c:auto val="1"/>
        <c:lblAlgn val="ctr"/>
        <c:lblOffset val="100"/>
        <c:noMultiLvlLbl val="0"/>
      </c:catAx>
      <c:valAx>
        <c:axId val="62426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54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Data'!$A$172</c:f>
              <c:strCache>
                <c:ptCount val="1"/>
                <c:pt idx="0">
                  <c:v>Registered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Data'!$A$173</c:f>
              <c:strCache>
                <c:ptCount val="1"/>
                <c:pt idx="0">
                  <c:v>Total</c:v>
                </c:pt>
              </c:strCache>
            </c:strRef>
          </c:cat>
          <c:val>
            <c:numRef>
              <c:f>'Descriptive Data'!$A$173</c:f>
              <c:numCache>
                <c:formatCode>General</c:formatCode>
                <c:ptCount val="1"/>
                <c:pt idx="0">
                  <c:v>53383</c:v>
                </c:pt>
              </c:numCache>
            </c:numRef>
          </c:val>
          <c:extLst>
            <c:ext xmlns:c16="http://schemas.microsoft.com/office/drawing/2014/chart" uri="{C3380CC4-5D6E-409C-BE32-E72D297353CC}">
              <c16:uniqueId val="{00000000-58AC-4B80-A156-93FAFEE25595}"/>
            </c:ext>
          </c:extLst>
        </c:ser>
        <c:ser>
          <c:idx val="1"/>
          <c:order val="1"/>
          <c:tx>
            <c:strRef>
              <c:f>'Descriptive Data'!$B$172</c:f>
              <c:strCache>
                <c:ptCount val="1"/>
                <c:pt idx="0">
                  <c:v>Casual Customers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Data'!$A$173</c:f>
              <c:strCache>
                <c:ptCount val="1"/>
                <c:pt idx="0">
                  <c:v>Total</c:v>
                </c:pt>
              </c:strCache>
            </c:strRef>
          </c:cat>
          <c:val>
            <c:numRef>
              <c:f>'Descriptive Data'!$B$173</c:f>
              <c:numCache>
                <c:formatCode>General</c:formatCode>
                <c:ptCount val="1"/>
                <c:pt idx="0">
                  <c:v>4921</c:v>
                </c:pt>
              </c:numCache>
            </c:numRef>
          </c:val>
          <c:extLst>
            <c:ext xmlns:c16="http://schemas.microsoft.com/office/drawing/2014/chart" uri="{C3380CC4-5D6E-409C-BE32-E72D297353CC}">
              <c16:uniqueId val="{00000002-58AC-4B80-A156-93FAFEE25595}"/>
            </c:ext>
          </c:extLst>
        </c:ser>
        <c:dLbls>
          <c:dLblPos val="outEnd"/>
          <c:showLegendKey val="0"/>
          <c:showVal val="1"/>
          <c:showCatName val="0"/>
          <c:showSerName val="0"/>
          <c:showPercent val="0"/>
          <c:showBubbleSize val="0"/>
        </c:dLbls>
        <c:gapWidth val="219"/>
        <c:overlap val="-27"/>
        <c:axId val="1722226304"/>
        <c:axId val="1722226784"/>
      </c:barChart>
      <c:catAx>
        <c:axId val="17222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26784"/>
        <c:crosses val="autoZero"/>
        <c:auto val="1"/>
        <c:lblAlgn val="ctr"/>
        <c:lblOffset val="100"/>
        <c:noMultiLvlLbl val="0"/>
      </c:catAx>
      <c:valAx>
        <c:axId val="172222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'Descriptive Data'!$B$190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'Descriptive Data'!$A$191:$A$238</c:f>
              <c:multiLvlStrCache>
                <c:ptCount val="45"/>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lvl>
                <c:lvl>
                  <c:pt idx="0">
                    <c:v>Jan</c:v>
                  </c:pt>
                  <c:pt idx="31">
                    <c:v>Feb</c:v>
                  </c:pt>
                </c:lvl>
              </c:multiLvlStrCache>
            </c:multiLvlStrRef>
          </c:cat>
          <c:val>
            <c:numRef>
              <c:f>'Descriptive Data'!$B$191:$B$238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9826-4DA3-AB58-D51A4E019E32}"/>
            </c:ext>
          </c:extLst>
        </c:ser>
        <c:dLbls>
          <c:showLegendKey val="0"/>
          <c:showVal val="0"/>
          <c:showCatName val="0"/>
          <c:showSerName val="0"/>
          <c:showPercent val="0"/>
          <c:showBubbleSize val="0"/>
        </c:dLbls>
        <c:marker val="1"/>
        <c:smooth val="0"/>
        <c:axId val="776192128"/>
        <c:axId val="776193088"/>
      </c:lineChart>
      <c:catAx>
        <c:axId val="77619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193088"/>
        <c:crosses val="autoZero"/>
        <c:auto val="1"/>
        <c:lblAlgn val="ctr"/>
        <c:lblOffset val="100"/>
        <c:noMultiLvlLbl val="0"/>
      </c:catAx>
      <c:valAx>
        <c:axId val="77619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19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 Singh Bike Sharing Demand Analysis Project Using Excel.xlsx]Descriptive Data!PivotTable4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Data'!$C$209</c:f>
              <c:strCache>
                <c:ptCount val="1"/>
                <c:pt idx="0">
                  <c:v>Registered Customers</c:v>
                </c:pt>
              </c:strCache>
            </c:strRef>
          </c:tx>
          <c:spPr>
            <a:solidFill>
              <a:schemeClr val="accent1"/>
            </a:solidFill>
            <a:ln>
              <a:noFill/>
            </a:ln>
            <a:effectLst/>
          </c:spPr>
          <c:invertIfNegative val="0"/>
          <c:cat>
            <c:strRef>
              <c:f>'Descriptive Data'!$C$210</c:f>
              <c:strCache>
                <c:ptCount val="1"/>
                <c:pt idx="0">
                  <c:v>Total</c:v>
                </c:pt>
              </c:strCache>
            </c:strRef>
          </c:cat>
          <c:val>
            <c:numRef>
              <c:f>'Descriptive Data'!$C$210</c:f>
              <c:numCache>
                <c:formatCode>General</c:formatCode>
                <c:ptCount val="1"/>
                <c:pt idx="0">
                  <c:v>53383</c:v>
                </c:pt>
              </c:numCache>
            </c:numRef>
          </c:val>
          <c:extLst>
            <c:ext xmlns:c16="http://schemas.microsoft.com/office/drawing/2014/chart" uri="{C3380CC4-5D6E-409C-BE32-E72D297353CC}">
              <c16:uniqueId val="{00000000-7B73-4502-B46A-786C40BF0AA9}"/>
            </c:ext>
          </c:extLst>
        </c:ser>
        <c:ser>
          <c:idx val="1"/>
          <c:order val="1"/>
          <c:tx>
            <c:strRef>
              <c:f>'Descriptive Data'!$D$209</c:f>
              <c:strCache>
                <c:ptCount val="1"/>
                <c:pt idx="0">
                  <c:v>Total Rides</c:v>
                </c:pt>
              </c:strCache>
            </c:strRef>
          </c:tx>
          <c:spPr>
            <a:solidFill>
              <a:schemeClr val="accent2"/>
            </a:solidFill>
            <a:ln>
              <a:noFill/>
            </a:ln>
            <a:effectLst/>
          </c:spPr>
          <c:invertIfNegative val="0"/>
          <c:cat>
            <c:strRef>
              <c:f>'Descriptive Data'!$C$210</c:f>
              <c:strCache>
                <c:ptCount val="1"/>
                <c:pt idx="0">
                  <c:v>Total</c:v>
                </c:pt>
              </c:strCache>
            </c:strRef>
          </c:cat>
          <c:val>
            <c:numRef>
              <c:f>'Descriptive Data'!$D$210</c:f>
              <c:numCache>
                <c:formatCode>General</c:formatCode>
                <c:ptCount val="1"/>
                <c:pt idx="0">
                  <c:v>58304</c:v>
                </c:pt>
              </c:numCache>
            </c:numRef>
          </c:val>
          <c:extLst>
            <c:ext xmlns:c16="http://schemas.microsoft.com/office/drawing/2014/chart" uri="{C3380CC4-5D6E-409C-BE32-E72D297353CC}">
              <c16:uniqueId val="{00000002-7B73-4502-B46A-786C40BF0AA9}"/>
            </c:ext>
          </c:extLst>
        </c:ser>
        <c:dLbls>
          <c:showLegendKey val="0"/>
          <c:showVal val="0"/>
          <c:showCatName val="0"/>
          <c:showSerName val="0"/>
          <c:showPercent val="0"/>
          <c:showBubbleSize val="0"/>
        </c:dLbls>
        <c:gapWidth val="219"/>
        <c:axId val="675197328"/>
        <c:axId val="675199248"/>
      </c:barChart>
      <c:catAx>
        <c:axId val="67519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99248"/>
        <c:crosses val="autoZero"/>
        <c:auto val="1"/>
        <c:lblAlgn val="ctr"/>
        <c:lblOffset val="100"/>
        <c:noMultiLvlLbl val="0"/>
      </c:catAx>
      <c:valAx>
        <c:axId val="67519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9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chart" Target="../charts/chart18.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213360</xdr:colOff>
      <xdr:row>17</xdr:row>
      <xdr:rowOff>7620</xdr:rowOff>
    </xdr:from>
    <xdr:to>
      <xdr:col>6</xdr:col>
      <xdr:colOff>518160</xdr:colOff>
      <xdr:row>37</xdr:row>
      <xdr:rowOff>76200</xdr:rowOff>
    </xdr:to>
    <xdr:graphicFrame macro="">
      <xdr:nvGraphicFramePr>
        <xdr:cNvPr id="2" name="Chart 1">
          <a:extLst>
            <a:ext uri="{FF2B5EF4-FFF2-40B4-BE49-F238E27FC236}">
              <a16:creationId xmlns:a16="http://schemas.microsoft.com/office/drawing/2014/main" id="{647E0005-5A80-4533-AF80-61BA171AE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43</xdr:row>
      <xdr:rowOff>133350</xdr:rowOff>
    </xdr:from>
    <xdr:to>
      <xdr:col>9</xdr:col>
      <xdr:colOff>7620</xdr:colOff>
      <xdr:row>60</xdr:row>
      <xdr:rowOff>26670</xdr:rowOff>
    </xdr:to>
    <xdr:graphicFrame macro="">
      <xdr:nvGraphicFramePr>
        <xdr:cNvPr id="3" name="Chart 2">
          <a:extLst>
            <a:ext uri="{FF2B5EF4-FFF2-40B4-BE49-F238E27FC236}">
              <a16:creationId xmlns:a16="http://schemas.microsoft.com/office/drawing/2014/main" id="{7C68CF94-0F79-425F-87A3-38CC41BAB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906780</xdr:colOff>
      <xdr:row>61</xdr:row>
      <xdr:rowOff>125730</xdr:rowOff>
    </xdr:from>
    <xdr:to>
      <xdr:col>7</xdr:col>
      <xdr:colOff>1043940</xdr:colOff>
      <xdr:row>78</xdr:row>
      <xdr:rowOff>19050</xdr:rowOff>
    </xdr:to>
    <xdr:graphicFrame macro="">
      <xdr:nvGraphicFramePr>
        <xdr:cNvPr id="4" name="Chart 3">
          <a:extLst>
            <a:ext uri="{FF2B5EF4-FFF2-40B4-BE49-F238E27FC236}">
              <a16:creationId xmlns:a16="http://schemas.microsoft.com/office/drawing/2014/main" id="{FF69D1BA-F85A-4336-831C-30E2BD92B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24</xdr:row>
      <xdr:rowOff>163830</xdr:rowOff>
    </xdr:from>
    <xdr:to>
      <xdr:col>9</xdr:col>
      <xdr:colOff>30480</xdr:colOff>
      <xdr:row>44</xdr:row>
      <xdr:rowOff>38100</xdr:rowOff>
    </xdr:to>
    <xdr:graphicFrame macro="">
      <xdr:nvGraphicFramePr>
        <xdr:cNvPr id="2" name="Chart 1">
          <a:extLst>
            <a:ext uri="{FF2B5EF4-FFF2-40B4-BE49-F238E27FC236}">
              <a16:creationId xmlns:a16="http://schemas.microsoft.com/office/drawing/2014/main" id="{C8A7C144-E0C1-3845-57B7-6EB78F21C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213360</xdr:colOff>
      <xdr:row>55</xdr:row>
      <xdr:rowOff>106680</xdr:rowOff>
    </xdr:from>
    <xdr:to>
      <xdr:col>11</xdr:col>
      <xdr:colOff>53340</xdr:colOff>
      <xdr:row>79</xdr:row>
      <xdr:rowOff>34290</xdr:rowOff>
    </xdr:to>
    <xdr:graphicFrame macro="">
      <xdr:nvGraphicFramePr>
        <xdr:cNvPr id="3" name="Chart 2">
          <a:extLst>
            <a:ext uri="{FF2B5EF4-FFF2-40B4-BE49-F238E27FC236}">
              <a16:creationId xmlns:a16="http://schemas.microsoft.com/office/drawing/2014/main" id="{06D8B259-E8A5-83C1-1395-A75D248C7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7620</xdr:colOff>
      <xdr:row>51</xdr:row>
      <xdr:rowOff>76200</xdr:rowOff>
    </xdr:from>
    <xdr:to>
      <xdr:col>15</xdr:col>
      <xdr:colOff>7620</xdr:colOff>
      <xdr:row>79</xdr:row>
      <xdr:rowOff>144780</xdr:rowOff>
    </xdr:to>
    <mc:AlternateContent xmlns:mc="http://schemas.openxmlformats.org/markup-compatibility/2006" xmlns:a14="http://schemas.microsoft.com/office/drawing/2010/main">
      <mc:Choice Requires="a14">
        <xdr:graphicFrame macro="">
          <xdr:nvGraphicFramePr>
            <xdr:cNvPr id="4" name="hum">
              <a:extLst>
                <a:ext uri="{FF2B5EF4-FFF2-40B4-BE49-F238E27FC236}">
                  <a16:creationId xmlns:a16="http://schemas.microsoft.com/office/drawing/2014/main" id="{D72D9C2B-E16B-D14E-949D-E5D411D7E4F0}"/>
                </a:ext>
              </a:extLst>
            </xdr:cNvPr>
            <xdr:cNvGraphicFramePr/>
          </xdr:nvGraphicFramePr>
          <xdr:xfrm>
            <a:off x="0" y="0"/>
            <a:ext cx="0" cy="0"/>
          </xdr:xfrm>
          <a:graphic>
            <a:graphicData uri="http://schemas.microsoft.com/office/drawing/2010/slicer">
              <sle:slicer xmlns:sle="http://schemas.microsoft.com/office/drawing/2010/slicer" name="hum"/>
            </a:graphicData>
          </a:graphic>
        </xdr:graphicFrame>
      </mc:Choice>
      <mc:Fallback xmlns="">
        <xdr:sp macro="" textlink="">
          <xdr:nvSpPr>
            <xdr:cNvPr id="0" name=""/>
            <xdr:cNvSpPr>
              <a:spLocks noTextEdit="1"/>
            </xdr:cNvSpPr>
          </xdr:nvSpPr>
          <xdr:spPr>
            <a:xfrm>
              <a:off x="12946380" y="8923020"/>
              <a:ext cx="1828800" cy="476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1</xdr:row>
      <xdr:rowOff>133350</xdr:rowOff>
    </xdr:from>
    <xdr:to>
      <xdr:col>15</xdr:col>
      <xdr:colOff>457200</xdr:colOff>
      <xdr:row>22</xdr:row>
      <xdr:rowOff>137160</xdr:rowOff>
    </xdr:to>
    <xdr:graphicFrame macro="">
      <xdr:nvGraphicFramePr>
        <xdr:cNvPr id="2" name="Chart 1">
          <a:extLst>
            <a:ext uri="{FF2B5EF4-FFF2-40B4-BE49-F238E27FC236}">
              <a16:creationId xmlns:a16="http://schemas.microsoft.com/office/drawing/2014/main" id="{8BBEC777-6D5F-E687-9960-273E7E014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129540</xdr:colOff>
      <xdr:row>1</xdr:row>
      <xdr:rowOff>160020</xdr:rowOff>
    </xdr:from>
    <xdr:to>
      <xdr:col>19</xdr:col>
      <xdr:colOff>129540</xdr:colOff>
      <xdr:row>22</xdr:row>
      <xdr:rowOff>91440</xdr:rowOff>
    </xdr:to>
    <mc:AlternateContent xmlns:mc="http://schemas.openxmlformats.org/markup-compatibility/2006" xmlns:a14="http://schemas.microsoft.com/office/drawing/2010/main">
      <mc:Choice Requires="a14">
        <xdr:graphicFrame macro="">
          <xdr:nvGraphicFramePr>
            <xdr:cNvPr id="3" name="hr">
              <a:extLst>
                <a:ext uri="{FF2B5EF4-FFF2-40B4-BE49-F238E27FC236}">
                  <a16:creationId xmlns:a16="http://schemas.microsoft.com/office/drawing/2014/main" id="{D1086C01-222D-F9C4-243D-89F57DDC5625}"/>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11437620" y="327660"/>
              <a:ext cx="1828800" cy="3451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571500</xdr:colOff>
      <xdr:row>5</xdr:row>
      <xdr:rowOff>144781</xdr:rowOff>
    </xdr:from>
    <xdr:to>
      <xdr:col>4</xdr:col>
      <xdr:colOff>274320</xdr:colOff>
      <xdr:row>13</xdr:row>
      <xdr:rowOff>114301</xdr:rowOff>
    </xdr:to>
    <mc:AlternateContent xmlns:mc="http://schemas.openxmlformats.org/markup-compatibility/2006" xmlns:a14="http://schemas.microsoft.com/office/drawing/2010/main">
      <mc:Choice Requires="a14">
        <xdr:graphicFrame macro="">
          <xdr:nvGraphicFramePr>
            <xdr:cNvPr id="2" name="Temp Category">
              <a:extLst>
                <a:ext uri="{FF2B5EF4-FFF2-40B4-BE49-F238E27FC236}">
                  <a16:creationId xmlns:a16="http://schemas.microsoft.com/office/drawing/2014/main" id="{B9251B58-E982-B759-8D90-7F8F8DFC1818}"/>
                </a:ext>
              </a:extLst>
            </xdr:cNvPr>
            <xdr:cNvGraphicFramePr/>
          </xdr:nvGraphicFramePr>
          <xdr:xfrm>
            <a:off x="0" y="0"/>
            <a:ext cx="0" cy="0"/>
          </xdr:xfrm>
          <a:graphic>
            <a:graphicData uri="http://schemas.microsoft.com/office/drawing/2010/slicer">
              <sle:slicer xmlns:sle="http://schemas.microsoft.com/office/drawing/2010/slicer" name="Temp Category"/>
            </a:graphicData>
          </a:graphic>
        </xdr:graphicFrame>
      </mc:Choice>
      <mc:Fallback xmlns="">
        <xdr:sp macro="" textlink="">
          <xdr:nvSpPr>
            <xdr:cNvPr id="0" name=""/>
            <xdr:cNvSpPr>
              <a:spLocks noTextEdit="1"/>
            </xdr:cNvSpPr>
          </xdr:nvSpPr>
          <xdr:spPr>
            <a:xfrm>
              <a:off x="571500" y="144781"/>
              <a:ext cx="349758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449580</xdr:colOff>
      <xdr:row>5</xdr:row>
      <xdr:rowOff>95250</xdr:rowOff>
    </xdr:from>
    <xdr:to>
      <xdr:col>12</xdr:col>
      <xdr:colOff>22860</xdr:colOff>
      <xdr:row>25</xdr:row>
      <xdr:rowOff>83820</xdr:rowOff>
    </xdr:to>
    <xdr:graphicFrame macro="">
      <xdr:nvGraphicFramePr>
        <xdr:cNvPr id="3" name="Daily customer Rides">
          <a:extLst>
            <a:ext uri="{FF2B5EF4-FFF2-40B4-BE49-F238E27FC236}">
              <a16:creationId xmlns:a16="http://schemas.microsoft.com/office/drawing/2014/main" id="{4B91D26C-3BC7-3709-9D42-46DD84ED7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320040</xdr:colOff>
      <xdr:row>39</xdr:row>
      <xdr:rowOff>22860</xdr:rowOff>
    </xdr:from>
    <xdr:to>
      <xdr:col>10</xdr:col>
      <xdr:colOff>556260</xdr:colOff>
      <xdr:row>64</xdr:row>
      <xdr:rowOff>106680</xdr:rowOff>
    </xdr:to>
    <xdr:graphicFrame macro="">
      <xdr:nvGraphicFramePr>
        <xdr:cNvPr id="5" name="Hourly Bike Rides">
          <a:extLst>
            <a:ext uri="{FF2B5EF4-FFF2-40B4-BE49-F238E27FC236}">
              <a16:creationId xmlns:a16="http://schemas.microsoft.com/office/drawing/2014/main" id="{7FBDC30A-B388-27CD-1583-BFF85B99A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1013460</xdr:colOff>
      <xdr:row>46</xdr:row>
      <xdr:rowOff>22860</xdr:rowOff>
    </xdr:from>
    <xdr:to>
      <xdr:col>12</xdr:col>
      <xdr:colOff>617220</xdr:colOff>
      <xdr:row>55</xdr:row>
      <xdr:rowOff>129540</xdr:rowOff>
    </xdr:to>
    <mc:AlternateContent xmlns:mc="http://schemas.openxmlformats.org/markup-compatibility/2006" xmlns:a14="http://schemas.microsoft.com/office/drawing/2010/main">
      <mc:Choice Requires="a14">
        <xdr:graphicFrame macro="">
          <xdr:nvGraphicFramePr>
            <xdr:cNvPr id="9" name="Time of day">
              <a:extLst>
                <a:ext uri="{FF2B5EF4-FFF2-40B4-BE49-F238E27FC236}">
                  <a16:creationId xmlns:a16="http://schemas.microsoft.com/office/drawing/2014/main" id="{5C850003-5197-1AB7-3CB1-26D27C0233BD}"/>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mlns="">
        <xdr:sp macro="" textlink="">
          <xdr:nvSpPr>
            <xdr:cNvPr id="0" name=""/>
            <xdr:cNvSpPr>
              <a:spLocks noTextEdit="1"/>
            </xdr:cNvSpPr>
          </xdr:nvSpPr>
          <xdr:spPr>
            <a:xfrm>
              <a:off x="11750040" y="6896100"/>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411480</xdr:colOff>
      <xdr:row>67</xdr:row>
      <xdr:rowOff>41910</xdr:rowOff>
    </xdr:from>
    <xdr:to>
      <xdr:col>4</xdr:col>
      <xdr:colOff>1051560</xdr:colOff>
      <xdr:row>83</xdr:row>
      <xdr:rowOff>102870</xdr:rowOff>
    </xdr:to>
    <xdr:graphicFrame macro="">
      <xdr:nvGraphicFramePr>
        <xdr:cNvPr id="10" name="Chart 9">
          <a:extLst>
            <a:ext uri="{FF2B5EF4-FFF2-40B4-BE49-F238E27FC236}">
              <a16:creationId xmlns:a16="http://schemas.microsoft.com/office/drawing/2014/main" id="{8F36AF60-CDC8-5F49-9231-38C837D07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1059180</xdr:colOff>
      <xdr:row>67</xdr:row>
      <xdr:rowOff>34290</xdr:rowOff>
    </xdr:from>
    <xdr:to>
      <xdr:col>9</xdr:col>
      <xdr:colOff>472440</xdr:colOff>
      <xdr:row>83</xdr:row>
      <xdr:rowOff>95250</xdr:rowOff>
    </xdr:to>
    <xdr:graphicFrame macro="">
      <xdr:nvGraphicFramePr>
        <xdr:cNvPr id="15" name="Chart 14">
          <a:extLst>
            <a:ext uri="{FF2B5EF4-FFF2-40B4-BE49-F238E27FC236}">
              <a16:creationId xmlns:a16="http://schemas.microsoft.com/office/drawing/2014/main" id="{B759EE83-EE86-B9F0-9E27-056600C94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83</xdr:row>
      <xdr:rowOff>91440</xdr:rowOff>
    </xdr:from>
    <xdr:to>
      <xdr:col>4</xdr:col>
      <xdr:colOff>1074420</xdr:colOff>
      <xdr:row>99</xdr:row>
      <xdr:rowOff>163830</xdr:rowOff>
    </xdr:to>
    <xdr:graphicFrame macro="">
      <xdr:nvGraphicFramePr>
        <xdr:cNvPr id="17" name="Chart 16">
          <a:extLst>
            <a:ext uri="{FF2B5EF4-FFF2-40B4-BE49-F238E27FC236}">
              <a16:creationId xmlns:a16="http://schemas.microsoft.com/office/drawing/2014/main" id="{303BD0EB-AA4B-FF73-6DA2-86DD08B56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1059180</xdr:colOff>
      <xdr:row>83</xdr:row>
      <xdr:rowOff>102870</xdr:rowOff>
    </xdr:from>
    <xdr:to>
      <xdr:col>9</xdr:col>
      <xdr:colOff>495300</xdr:colOff>
      <xdr:row>99</xdr:row>
      <xdr:rowOff>163830</xdr:rowOff>
    </xdr:to>
    <xdr:graphicFrame macro="">
      <xdr:nvGraphicFramePr>
        <xdr:cNvPr id="18" name="Chart 17">
          <a:extLst>
            <a:ext uri="{FF2B5EF4-FFF2-40B4-BE49-F238E27FC236}">
              <a16:creationId xmlns:a16="http://schemas.microsoft.com/office/drawing/2014/main" id="{EE9C39FF-0B2D-C5C6-367F-B3E6C07E4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419100</xdr:colOff>
      <xdr:row>102</xdr:row>
      <xdr:rowOff>57150</xdr:rowOff>
    </xdr:from>
    <xdr:to>
      <xdr:col>5</xdr:col>
      <xdr:colOff>762000</xdr:colOff>
      <xdr:row>121</xdr:row>
      <xdr:rowOff>129540</xdr:rowOff>
    </xdr:to>
    <xdr:graphicFrame macro="">
      <xdr:nvGraphicFramePr>
        <xdr:cNvPr id="19" name="Chart 18">
          <a:extLst>
            <a:ext uri="{FF2B5EF4-FFF2-40B4-BE49-F238E27FC236}">
              <a16:creationId xmlns:a16="http://schemas.microsoft.com/office/drawing/2014/main" id="{19C66A6B-2D3A-C2E5-A991-3219E2AA6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365760</xdr:colOff>
      <xdr:row>102</xdr:row>
      <xdr:rowOff>38101</xdr:rowOff>
    </xdr:from>
    <xdr:to>
      <xdr:col>7</xdr:col>
      <xdr:colOff>1082040</xdr:colOff>
      <xdr:row>111</xdr:row>
      <xdr:rowOff>106681</xdr:rowOff>
    </xdr:to>
    <mc:AlternateContent xmlns:mc="http://schemas.openxmlformats.org/markup-compatibility/2006" xmlns:a14="http://schemas.microsoft.com/office/drawing/2010/main">
      <mc:Choice Requires="a14">
        <xdr:graphicFrame macro="">
          <xdr:nvGraphicFramePr>
            <xdr:cNvPr id="20" name="Time of day 1">
              <a:extLst>
                <a:ext uri="{FF2B5EF4-FFF2-40B4-BE49-F238E27FC236}">
                  <a16:creationId xmlns:a16="http://schemas.microsoft.com/office/drawing/2014/main" id="{D9F20D77-89AC-BADC-C127-FE2380B1E55F}"/>
                </a:ext>
              </a:extLst>
            </xdr:cNvPr>
            <xdr:cNvGraphicFramePr/>
          </xdr:nvGraphicFramePr>
          <xdr:xfrm>
            <a:off x="0" y="0"/>
            <a:ext cx="0" cy="0"/>
          </xdr:xfrm>
          <a:graphic>
            <a:graphicData uri="http://schemas.microsoft.com/office/drawing/2010/slicer">
              <sle:slicer xmlns:sle="http://schemas.microsoft.com/office/drawing/2010/slicer" name="Time of day 1"/>
            </a:graphicData>
          </a:graphic>
        </xdr:graphicFrame>
      </mc:Choice>
      <mc:Fallback xmlns="">
        <xdr:sp macro="" textlink="">
          <xdr:nvSpPr>
            <xdr:cNvPr id="0" name=""/>
            <xdr:cNvSpPr>
              <a:spLocks noTextEdit="1"/>
            </xdr:cNvSpPr>
          </xdr:nvSpPr>
          <xdr:spPr>
            <a:xfrm>
              <a:off x="6164580" y="1629918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111</xdr:row>
      <xdr:rowOff>106680</xdr:rowOff>
    </xdr:from>
    <xdr:to>
      <xdr:col>7</xdr:col>
      <xdr:colOff>1082040</xdr:colOff>
      <xdr:row>120</xdr:row>
      <xdr:rowOff>114301</xdr:rowOff>
    </xdr:to>
    <mc:AlternateContent xmlns:mc="http://schemas.openxmlformats.org/markup-compatibility/2006" xmlns:a14="http://schemas.microsoft.com/office/drawing/2010/main">
      <mc:Choice Requires="a14">
        <xdr:graphicFrame macro="">
          <xdr:nvGraphicFramePr>
            <xdr:cNvPr id="21" name="Temp Category 1">
              <a:extLst>
                <a:ext uri="{FF2B5EF4-FFF2-40B4-BE49-F238E27FC236}">
                  <a16:creationId xmlns:a16="http://schemas.microsoft.com/office/drawing/2014/main" id="{4DCD15B5-7900-FBA3-317A-2AF7DD5905F4}"/>
                </a:ext>
              </a:extLst>
            </xdr:cNvPr>
            <xdr:cNvGraphicFramePr/>
          </xdr:nvGraphicFramePr>
          <xdr:xfrm>
            <a:off x="0" y="0"/>
            <a:ext cx="0" cy="0"/>
          </xdr:xfrm>
          <a:graphic>
            <a:graphicData uri="http://schemas.microsoft.com/office/drawing/2010/slicer">
              <sle:slicer xmlns:sle="http://schemas.microsoft.com/office/drawing/2010/slicer" name="Temp Category 1"/>
            </a:graphicData>
          </a:graphic>
        </xdr:graphicFrame>
      </mc:Choice>
      <mc:Fallback xmlns="">
        <xdr:sp macro="" textlink="">
          <xdr:nvSpPr>
            <xdr:cNvPr id="0" name=""/>
            <xdr:cNvSpPr>
              <a:spLocks noTextEdit="1"/>
            </xdr:cNvSpPr>
          </xdr:nvSpPr>
          <xdr:spPr>
            <a:xfrm>
              <a:off x="6164580" y="17876520"/>
              <a:ext cx="1828800" cy="1516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723900</xdr:colOff>
      <xdr:row>102</xdr:row>
      <xdr:rowOff>1</xdr:rowOff>
    </xdr:from>
    <xdr:to>
      <xdr:col>10</xdr:col>
      <xdr:colOff>327660</xdr:colOff>
      <xdr:row>109</xdr:row>
      <xdr:rowOff>106680</xdr:rowOff>
    </xdr:to>
    <mc:AlternateContent xmlns:mc="http://schemas.openxmlformats.org/markup-compatibility/2006" xmlns:a14="http://schemas.microsoft.com/office/drawing/2010/main">
      <mc:Choice Requires="a14">
        <xdr:graphicFrame macro="">
          <xdr:nvGraphicFramePr>
            <xdr:cNvPr id="22" name="Humid Cat">
              <a:extLst>
                <a:ext uri="{FF2B5EF4-FFF2-40B4-BE49-F238E27FC236}">
                  <a16:creationId xmlns:a16="http://schemas.microsoft.com/office/drawing/2014/main" id="{72D675D0-7382-33BB-B49C-8768FA9C7850}"/>
                </a:ext>
              </a:extLst>
            </xdr:cNvPr>
            <xdr:cNvGraphicFramePr/>
          </xdr:nvGraphicFramePr>
          <xdr:xfrm>
            <a:off x="0" y="0"/>
            <a:ext cx="0" cy="0"/>
          </xdr:xfrm>
          <a:graphic>
            <a:graphicData uri="http://schemas.microsoft.com/office/drawing/2010/slicer">
              <sle:slicer xmlns:sle="http://schemas.microsoft.com/office/drawing/2010/slicer" name="Humid Cat"/>
            </a:graphicData>
          </a:graphic>
        </xdr:graphicFrame>
      </mc:Choice>
      <mc:Fallback xmlns="">
        <xdr:sp macro="" textlink="">
          <xdr:nvSpPr>
            <xdr:cNvPr id="0" name=""/>
            <xdr:cNvSpPr>
              <a:spLocks noTextEdit="1"/>
            </xdr:cNvSpPr>
          </xdr:nvSpPr>
          <xdr:spPr>
            <a:xfrm>
              <a:off x="9227820" y="16261081"/>
              <a:ext cx="18288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723900</xdr:colOff>
      <xdr:row>109</xdr:row>
      <xdr:rowOff>91441</xdr:rowOff>
    </xdr:from>
    <xdr:to>
      <xdr:col>10</xdr:col>
      <xdr:colOff>327660</xdr:colOff>
      <xdr:row>117</xdr:row>
      <xdr:rowOff>114301</xdr:rowOff>
    </xdr:to>
    <mc:AlternateContent xmlns:mc="http://schemas.openxmlformats.org/markup-compatibility/2006" xmlns:a14="http://schemas.microsoft.com/office/drawing/2010/main">
      <mc:Choice Requires="a14">
        <xdr:graphicFrame macro="">
          <xdr:nvGraphicFramePr>
            <xdr:cNvPr id="23" name="Weather_Situation">
              <a:extLst>
                <a:ext uri="{FF2B5EF4-FFF2-40B4-BE49-F238E27FC236}">
                  <a16:creationId xmlns:a16="http://schemas.microsoft.com/office/drawing/2014/main" id="{925CE001-AD52-30B1-0329-E8F8FEDE0DE8}"/>
                </a:ext>
              </a:extLst>
            </xdr:cNvPr>
            <xdr:cNvGraphicFramePr/>
          </xdr:nvGraphicFramePr>
          <xdr:xfrm>
            <a:off x="0" y="0"/>
            <a:ext cx="0" cy="0"/>
          </xdr:xfrm>
          <a:graphic>
            <a:graphicData uri="http://schemas.microsoft.com/office/drawing/2010/slicer">
              <sle:slicer xmlns:sle="http://schemas.microsoft.com/office/drawing/2010/slicer" name="Weather_Situation"/>
            </a:graphicData>
          </a:graphic>
        </xdr:graphicFrame>
      </mc:Choice>
      <mc:Fallback xmlns="">
        <xdr:sp macro="" textlink="">
          <xdr:nvSpPr>
            <xdr:cNvPr id="0" name=""/>
            <xdr:cNvSpPr>
              <a:spLocks noTextEdit="1"/>
            </xdr:cNvSpPr>
          </xdr:nvSpPr>
          <xdr:spPr>
            <a:xfrm>
              <a:off x="9227820" y="1752600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716280</xdr:colOff>
      <xdr:row>117</xdr:row>
      <xdr:rowOff>121921</xdr:rowOff>
    </xdr:from>
    <xdr:to>
      <xdr:col>10</xdr:col>
      <xdr:colOff>342900</xdr:colOff>
      <xdr:row>123</xdr:row>
      <xdr:rowOff>152401</xdr:rowOff>
    </xdr:to>
    <mc:AlternateContent xmlns:mc="http://schemas.openxmlformats.org/markup-compatibility/2006" xmlns:a14="http://schemas.microsoft.com/office/drawing/2010/main">
      <mc:Choice Requires="a14">
        <xdr:graphicFrame macro="">
          <xdr:nvGraphicFramePr>
            <xdr:cNvPr id="24" name="Windspeed category">
              <a:extLst>
                <a:ext uri="{FF2B5EF4-FFF2-40B4-BE49-F238E27FC236}">
                  <a16:creationId xmlns:a16="http://schemas.microsoft.com/office/drawing/2014/main" id="{3D224FE3-0975-499C-ADDC-7D21E26409A1}"/>
                </a:ext>
              </a:extLst>
            </xdr:cNvPr>
            <xdr:cNvGraphicFramePr/>
          </xdr:nvGraphicFramePr>
          <xdr:xfrm>
            <a:off x="0" y="0"/>
            <a:ext cx="0" cy="0"/>
          </xdr:xfrm>
          <a:graphic>
            <a:graphicData uri="http://schemas.microsoft.com/office/drawing/2010/slicer">
              <sle:slicer xmlns:sle="http://schemas.microsoft.com/office/drawing/2010/slicer" name="Windspeed category"/>
            </a:graphicData>
          </a:graphic>
        </xdr:graphicFrame>
      </mc:Choice>
      <mc:Fallback xmlns="">
        <xdr:sp macro="" textlink="">
          <xdr:nvSpPr>
            <xdr:cNvPr id="0" name=""/>
            <xdr:cNvSpPr>
              <a:spLocks noTextEdit="1"/>
            </xdr:cNvSpPr>
          </xdr:nvSpPr>
          <xdr:spPr>
            <a:xfrm>
              <a:off x="9220200" y="18897601"/>
              <a:ext cx="185166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1341120</xdr:colOff>
      <xdr:row>123</xdr:row>
      <xdr:rowOff>125730</xdr:rowOff>
    </xdr:from>
    <xdr:to>
      <xdr:col>9</xdr:col>
      <xdr:colOff>815340</xdr:colOff>
      <xdr:row>140</xdr:row>
      <xdr:rowOff>19050</xdr:rowOff>
    </xdr:to>
    <xdr:graphicFrame macro="">
      <xdr:nvGraphicFramePr>
        <xdr:cNvPr id="25" name="Chart 24">
          <a:extLst>
            <a:ext uri="{FF2B5EF4-FFF2-40B4-BE49-F238E27FC236}">
              <a16:creationId xmlns:a16="http://schemas.microsoft.com/office/drawing/2014/main" id="{8D8703F6-B419-4DC7-5E18-1FFD4F487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106680</xdr:colOff>
      <xdr:row>141</xdr:row>
      <xdr:rowOff>72390</xdr:rowOff>
    </xdr:from>
    <xdr:to>
      <xdr:col>12</xdr:col>
      <xdr:colOff>327660</xdr:colOff>
      <xdr:row>157</xdr:row>
      <xdr:rowOff>133350</xdr:rowOff>
    </xdr:to>
    <xdr:graphicFrame macro="">
      <xdr:nvGraphicFramePr>
        <xdr:cNvPr id="4" name="Chart 3">
          <a:extLst>
            <a:ext uri="{FF2B5EF4-FFF2-40B4-BE49-F238E27FC236}">
              <a16:creationId xmlns:a16="http://schemas.microsoft.com/office/drawing/2014/main" id="{4A82C11F-E737-929C-16A3-AE0B1FD4A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148</xdr:row>
      <xdr:rowOff>22861</xdr:rowOff>
    </xdr:from>
    <xdr:to>
      <xdr:col>2</xdr:col>
      <xdr:colOff>198120</xdr:colOff>
      <xdr:row>156</xdr:row>
      <xdr:rowOff>7621</xdr:rowOff>
    </xdr:to>
    <mc:AlternateContent xmlns:mc="http://schemas.openxmlformats.org/markup-compatibility/2006" xmlns:a14="http://schemas.microsoft.com/office/drawing/2010/main">
      <mc:Choice Requires="a14">
        <xdr:graphicFrame macro="">
          <xdr:nvGraphicFramePr>
            <xdr:cNvPr id="6" name="Temp Category 2">
              <a:extLst>
                <a:ext uri="{FF2B5EF4-FFF2-40B4-BE49-F238E27FC236}">
                  <a16:creationId xmlns:a16="http://schemas.microsoft.com/office/drawing/2014/main" id="{602F562F-85E2-49E4-0B56-897386ACE480}"/>
                </a:ext>
              </a:extLst>
            </xdr:cNvPr>
            <xdr:cNvGraphicFramePr/>
          </xdr:nvGraphicFramePr>
          <xdr:xfrm>
            <a:off x="0" y="0"/>
            <a:ext cx="0" cy="0"/>
          </xdr:xfrm>
          <a:graphic>
            <a:graphicData uri="http://schemas.microsoft.com/office/drawing/2010/slicer">
              <sle:slicer xmlns:sle="http://schemas.microsoft.com/office/drawing/2010/slicer" name="Temp Category 2"/>
            </a:graphicData>
          </a:graphic>
        </xdr:graphicFrame>
      </mc:Choice>
      <mc:Fallback xmlns="">
        <xdr:sp macro="" textlink="">
          <xdr:nvSpPr>
            <xdr:cNvPr id="0" name=""/>
            <xdr:cNvSpPr>
              <a:spLocks noTextEdit="1"/>
            </xdr:cNvSpPr>
          </xdr:nvSpPr>
          <xdr:spPr>
            <a:xfrm>
              <a:off x="0" y="2513838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792480</xdr:colOff>
      <xdr:row>169</xdr:row>
      <xdr:rowOff>41910</xdr:rowOff>
    </xdr:from>
    <xdr:to>
      <xdr:col>8</xdr:col>
      <xdr:colOff>480060</xdr:colOff>
      <xdr:row>185</xdr:row>
      <xdr:rowOff>102870</xdr:rowOff>
    </xdr:to>
    <xdr:graphicFrame macro="">
      <xdr:nvGraphicFramePr>
        <xdr:cNvPr id="7" name="Chart 6">
          <a:extLst>
            <a:ext uri="{FF2B5EF4-FFF2-40B4-BE49-F238E27FC236}">
              <a16:creationId xmlns:a16="http://schemas.microsoft.com/office/drawing/2014/main" id="{0024F012-8408-ED9A-7B7F-707406EFD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518160</xdr:colOff>
      <xdr:row>188</xdr:row>
      <xdr:rowOff>156210</xdr:rowOff>
    </xdr:from>
    <xdr:to>
      <xdr:col>7</xdr:col>
      <xdr:colOff>640080</xdr:colOff>
      <xdr:row>205</xdr:row>
      <xdr:rowOff>49530</xdr:rowOff>
    </xdr:to>
    <xdr:graphicFrame macro="">
      <xdr:nvGraphicFramePr>
        <xdr:cNvPr id="8" name="Chart 7">
          <a:extLst>
            <a:ext uri="{FF2B5EF4-FFF2-40B4-BE49-F238E27FC236}">
              <a16:creationId xmlns:a16="http://schemas.microsoft.com/office/drawing/2014/main" id="{C81AEB4A-ABC6-0EEB-8079-BE8350360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518160</xdr:colOff>
      <xdr:row>207</xdr:row>
      <xdr:rowOff>72390</xdr:rowOff>
    </xdr:from>
    <xdr:to>
      <xdr:col>9</xdr:col>
      <xdr:colOff>472440</xdr:colOff>
      <xdr:row>223</xdr:row>
      <xdr:rowOff>133350</xdr:rowOff>
    </xdr:to>
    <xdr:graphicFrame macro="">
      <xdr:nvGraphicFramePr>
        <xdr:cNvPr id="11" name="Chart 10">
          <a:extLst>
            <a:ext uri="{FF2B5EF4-FFF2-40B4-BE49-F238E27FC236}">
              <a16:creationId xmlns:a16="http://schemas.microsoft.com/office/drawing/2014/main" id="{DBA13208-9E12-239F-0511-DFC25B01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hiva/Shiva%20Dataset_1.xlsx" TargetMode="External"/><Relationship Id="rId2" Type="http://schemas.openxmlformats.org/officeDocument/2006/relationships/externalLinkPath" Target="file:///D:\Shiva\Shiva%20Dataset_1.xlsx" TargetMode="External"/><Relationship Id="rId1" Type="http://schemas.openxmlformats.org/officeDocument/2006/relationships/externalLinkPath" Target="/Shiva/Shiva%20Dataset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et1"/>
      <sheetName val="DB1 edited"/>
      <sheetName val="Findings on DB1"/>
    </sheetNames>
    <sheetDataSet>
      <sheetData sheetId="0"/>
      <sheetData sheetId="1"/>
      <sheetData sheetId="2">
        <row r="44">
          <cell r="B44" t="str">
            <v>Average of Weather_Situation</v>
          </cell>
          <cell r="C44" t="str">
            <v>Count of holiday</v>
          </cell>
        </row>
        <row r="45">
          <cell r="A45" t="str">
            <v>FALSE</v>
          </cell>
          <cell r="B45">
            <v>1.4488054607508531</v>
          </cell>
          <cell r="C45">
            <v>586</v>
          </cell>
        </row>
        <row r="46">
          <cell r="A46" t="str">
            <v>TRUE</v>
          </cell>
          <cell r="B46">
            <v>2.1666666666666665</v>
          </cell>
          <cell r="C46">
            <v>24</v>
          </cell>
        </row>
        <row r="47">
          <cell r="A47" t="str">
            <v>Grand Total</v>
          </cell>
          <cell r="B47">
            <v>1.4770491803278689</v>
          </cell>
          <cell r="C47">
            <v>610</v>
          </cell>
        </row>
      </sheetData>
    </sheetDataSet>
  </externalBook>
</externalLink>
</file>

<file path=xl/persons/person.xml><?xml version="1.0" encoding="utf-8"?>
<personList xmlns="http://schemas.microsoft.com/office/spreadsheetml/2018/threadedcomments" xmlns:x="http://schemas.openxmlformats.org/spreadsheetml/2006/main">
  <person displayName="Shilpa Singh" id="{8E915010-52D4-4B7B-8773-A74363B439EC}" userId="630858de8ca5c45b"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i" refreshedDate="46217.637124768517" createdVersion="8" refreshedVersion="8" minRefreshableVersion="3" recordCount="610" xr:uid="{A6EF1CB0-CCC5-43B4-BE86-0C6B5F339774}">
  <cacheSource type="worksheet">
    <worksheetSource name="Combined12"/>
  </cacheSource>
  <cacheFields count="16">
    <cacheField name="Instant" numFmtId="0">
      <sharedItems containsSemiMixedTypes="0" containsString="0" containsNumber="1" containsInteger="1" minValue="1" maxValue="610"/>
    </cacheField>
    <cacheField name="Date"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_Situation" numFmtId="0">
      <sharedItems containsSemiMixedTypes="0" containsString="0" containsNumber="1" containsInteger="1" minValue="1" maxValue="4"/>
    </cacheField>
    <cacheField name="Temperature" numFmtId="2">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Customer" numFmtId="0">
      <sharedItems containsSemiMixedTypes="0" containsString="0" containsNumber="1" containsInteger="1" minValue="0" maxValue="47"/>
    </cacheField>
    <cacheField name="registered Customer"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pivotCacheId="14410544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i" refreshedDate="46219.179802777777" createdVersion="8" refreshedVersion="8" minRefreshableVersion="3" recordCount="1000" xr:uid="{95F58D59-B7A6-4BEA-8C44-9DD4DE484A9A}">
  <cacheSource type="worksheet">
    <worksheetSource name="Table4"/>
  </cacheSource>
  <cacheFields count="23">
    <cacheField name="Instant" numFmtId="0">
      <sharedItems containsSemiMixedTypes="0" containsString="0" containsNumber="1" containsInteger="1" minValue="1" maxValue="1000"/>
    </cacheField>
    <cacheField name="Date" numFmtId="16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of day" numFmtId="0">
      <sharedItems count="5">
        <s v="Night"/>
        <s v="Early Morning"/>
        <s v="Morning"/>
        <s v="Afternoon"/>
        <s v="Evening"/>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_Situation" numFmtId="0">
      <sharedItems containsSemiMixedTypes="0" containsString="0" containsNumber="1" containsInteger="1" minValue="1" maxValue="4" count="4">
        <n v="1"/>
        <n v="2"/>
        <n v="3"/>
        <n v="4"/>
      </sharedItems>
    </cacheField>
    <cacheField name="Temperature" numFmtId="0">
      <sharedItems containsSemiMixedTypes="0" containsString="0" containsNumber="1" minValue="0.02" maxValue="0.46"/>
    </cacheField>
    <cacheField name="Temp Category" numFmtId="2">
      <sharedItems count="4">
        <s v="Mild"/>
        <s v="Warm"/>
        <s v="Hot"/>
        <s v="Cold"/>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Humid Cat" numFmtId="0">
      <sharedItems count="4">
        <s v="High Humidity"/>
        <s v="Less Humidity"/>
        <s v="Dry"/>
        <s v="Humid"/>
      </sharedItems>
    </cacheField>
    <cacheField name="windspeed" numFmtId="0">
      <sharedItems containsSemiMixedTypes="0" containsString="0" containsNumber="1" minValue="0" maxValue="0.58209999999999995"/>
    </cacheField>
    <cacheField name="Windspeed category" numFmtId="0">
      <sharedItems count="3">
        <s v="Low Windspeed"/>
        <s v="Medium Windspeed"/>
        <s v="High Windspeed"/>
      </sharedItems>
    </cacheField>
    <cacheField name="Casual Customer"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Customer"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Rides Demand" numFmtId="0">
      <sharedItems count="3">
        <s v="Low"/>
        <s v="Medium"/>
        <s v="High"/>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9469148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i" refreshedDate="46228.558328587962" createdVersion="8" refreshedVersion="8" minRefreshableVersion="3" recordCount="610" xr:uid="{9B118DF6-5088-4B72-95F9-4F8CD9ECB048}">
  <cacheSource type="worksheet">
    <worksheetSource name="Table3"/>
  </cacheSource>
  <cacheFields count="8">
    <cacheField name="Unnamed: 0" numFmtId="0">
      <sharedItems containsSemiMixedTypes="0" containsString="0" containsNumber="1" containsInteger="1" minValue="0" maxValue="609"/>
    </cacheField>
    <cacheField name="instant" numFmtId="0">
      <sharedItems containsSemiMixedTypes="0" containsString="0" containsNumber="1" containsInteger="1" minValue="1" maxValue="610"/>
    </cacheField>
    <cacheField name="atemp" numFmtId="0">
      <sharedItems containsSemiMixedTypes="0" containsString="0" containsNumber="1" minValue="0" maxValue="0.45450000000000002"/>
    </cacheField>
    <cacheField name="hum" numFmtId="0">
      <sharedItems containsSemiMixedTypes="0" containsString="0" containsNumber="1" minValue="0.21" maxValue="1" count="61">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Customer" numFmtId="0">
      <sharedItems containsSemiMixedTypes="0" containsString="0" containsNumber="1" containsInteger="1" minValue="0" maxValue="47"/>
    </cacheField>
    <cacheField name="registered Customer"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pivotCacheId="103307153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i" refreshedDate="46216.048909490739" createdVersion="8" refreshedVersion="8" minRefreshableVersion="3" recordCount="610" xr:uid="{0F5A96C9-C1C4-4748-A4B5-614B8E9A0FE5}">
  <cacheSource type="worksheet">
    <worksheetSource ref="A1:M611" sheet="Dataset_1"/>
  </cacheSource>
  <cacheFields count="10">
    <cacheField name="Instant" numFmtId="0">
      <sharedItems containsSemiMixedTypes="0" containsString="0" containsNumber="1" containsInteger="1" minValue="1" maxValue="610"/>
    </cacheField>
    <cacheField name="Date"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_Situation" numFmtId="0">
      <sharedItems containsSemiMixedTypes="0" containsString="0" containsNumber="1" containsInteger="1" minValue="1" maxValue="4" count="4">
        <n v="1"/>
        <n v="2"/>
        <n v="3"/>
        <n v="4"/>
      </sharedItems>
    </cacheField>
    <cacheField name="Temperature" numFmtId="2">
      <sharedItems containsSemiMixedTypes="0" containsString="0" containsNumber="1" minValue="0.02" maxValue="0.4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i" refreshedDate="46228.217225462962" createdVersion="8" refreshedVersion="8" minRefreshableVersion="3" recordCount="610" xr:uid="{3EC689B7-2827-4A90-8ACF-A47CA731D1C5}">
  <cacheSource type="worksheet">
    <worksheetSource name="Table1"/>
  </cacheSource>
  <cacheFields count="10">
    <cacheField name="Instant" numFmtId="0">
      <sharedItems containsSemiMixedTypes="0" containsString="0" containsNumber="1" containsInteger="1" minValue="1" maxValue="610"/>
    </cacheField>
    <cacheField name="Date"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ount="2">
        <b v="0"/>
        <b v="1"/>
      </sharedItems>
    </cacheField>
    <cacheField name="weekday" numFmtId="0">
      <sharedItems containsSemiMixedTypes="0" containsString="0" containsNumber="1" containsInteger="1" minValue="0" maxValue="6"/>
    </cacheField>
    <cacheField name="Weather_Situation" numFmtId="0">
      <sharedItems containsSemiMixedTypes="0" containsString="0" containsNumber="1" containsInteger="1" minValue="1" maxValue="4"/>
    </cacheField>
    <cacheField name="Temperature" numFmtId="2">
      <sharedItems containsSemiMixedTypes="0" containsString="0" containsNumber="1" minValue="0.02" maxValue="0.4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x v="0"/>
    <b v="0"/>
    <x v="0"/>
    <n v="1"/>
    <x v="0"/>
    <n v="0.28789999999999999"/>
    <n v="0.81"/>
    <n v="0"/>
    <n v="3"/>
    <n v="13"/>
    <n v="16"/>
  </r>
  <r>
    <n v="2"/>
    <d v="2011-01-01T00:00:00"/>
    <n v="1"/>
    <n v="0"/>
    <n v="1"/>
    <x v="1"/>
    <b v="0"/>
    <x v="0"/>
    <n v="1"/>
    <x v="1"/>
    <n v="0.2727"/>
    <n v="0.8"/>
    <n v="0"/>
    <n v="8"/>
    <n v="32"/>
    <n v="40"/>
  </r>
  <r>
    <n v="3"/>
    <d v="2011-01-01T00:00:00"/>
    <n v="1"/>
    <n v="0"/>
    <n v="1"/>
    <x v="2"/>
    <b v="0"/>
    <x v="0"/>
    <n v="1"/>
    <x v="1"/>
    <n v="0.2727"/>
    <n v="0.8"/>
    <n v="0"/>
    <n v="5"/>
    <n v="27"/>
    <n v="32"/>
  </r>
  <r>
    <n v="4"/>
    <d v="2011-01-01T00:00:00"/>
    <n v="1"/>
    <n v="0"/>
    <n v="1"/>
    <x v="3"/>
    <b v="0"/>
    <x v="0"/>
    <n v="1"/>
    <x v="0"/>
    <n v="0.28789999999999999"/>
    <n v="0.75"/>
    <n v="0"/>
    <n v="3"/>
    <n v="10"/>
    <n v="13"/>
  </r>
  <r>
    <n v="5"/>
    <d v="2011-01-01T00:00:00"/>
    <n v="1"/>
    <n v="0"/>
    <n v="1"/>
    <x v="4"/>
    <b v="0"/>
    <x v="0"/>
    <n v="1"/>
    <x v="0"/>
    <n v="0.28789999999999999"/>
    <n v="0.75"/>
    <n v="0"/>
    <n v="0"/>
    <n v="1"/>
    <n v="1"/>
  </r>
  <r>
    <n v="6"/>
    <d v="2011-01-01T00:00:00"/>
    <n v="1"/>
    <n v="0"/>
    <n v="1"/>
    <x v="5"/>
    <b v="0"/>
    <x v="0"/>
    <n v="2"/>
    <x v="0"/>
    <n v="0.2576"/>
    <n v="0.75"/>
    <n v="8.9599999999999999E-2"/>
    <n v="0"/>
    <n v="1"/>
    <n v="1"/>
  </r>
  <r>
    <n v="7"/>
    <d v="2011-01-01T00:00:00"/>
    <n v="1"/>
    <n v="0"/>
    <n v="1"/>
    <x v="6"/>
    <b v="0"/>
    <x v="0"/>
    <n v="1"/>
    <x v="1"/>
    <n v="0.2727"/>
    <n v="0.8"/>
    <n v="0"/>
    <n v="2"/>
    <n v="0"/>
    <n v="2"/>
  </r>
  <r>
    <n v="8"/>
    <d v="2011-01-01T00:00:00"/>
    <n v="1"/>
    <n v="0"/>
    <n v="1"/>
    <x v="7"/>
    <b v="0"/>
    <x v="0"/>
    <n v="1"/>
    <x v="2"/>
    <n v="0.2576"/>
    <n v="0.86"/>
    <n v="0"/>
    <n v="1"/>
    <n v="2"/>
    <n v="3"/>
  </r>
  <r>
    <n v="9"/>
    <d v="2011-01-01T00:00:00"/>
    <n v="1"/>
    <n v="0"/>
    <n v="1"/>
    <x v="8"/>
    <b v="0"/>
    <x v="0"/>
    <n v="1"/>
    <x v="0"/>
    <n v="0.19989999999999999"/>
    <n v="0.75"/>
    <n v="0"/>
    <n v="1"/>
    <n v="7"/>
    <n v="8"/>
  </r>
  <r>
    <n v="10"/>
    <d v="2011-01-01T00:00:00"/>
    <n v="1"/>
    <n v="0"/>
    <n v="1"/>
    <x v="9"/>
    <b v="0"/>
    <x v="0"/>
    <n v="1"/>
    <x v="3"/>
    <n v="0.34849999999999998"/>
    <n v="0.76"/>
    <n v="0"/>
    <n v="8"/>
    <n v="6"/>
    <n v="14"/>
  </r>
  <r>
    <n v="11"/>
    <d v="2011-01-01T00:00:00"/>
    <n v="1"/>
    <n v="0"/>
    <n v="1"/>
    <x v="10"/>
    <b v="0"/>
    <x v="0"/>
    <n v="1"/>
    <x v="4"/>
    <n v="0.39389999999999997"/>
    <n v="0.76"/>
    <n v="0.25369999999999998"/>
    <n v="12"/>
    <n v="24"/>
    <n v="36"/>
  </r>
  <r>
    <n v="12"/>
    <d v="2011-01-01T00:00:00"/>
    <n v="1"/>
    <n v="0"/>
    <n v="1"/>
    <x v="11"/>
    <b v="0"/>
    <x v="0"/>
    <n v="1"/>
    <x v="5"/>
    <n v="0.33329999999999999"/>
    <n v="0.81"/>
    <n v="0.28360000000000002"/>
    <n v="26"/>
    <n v="30"/>
    <n v="56"/>
  </r>
  <r>
    <n v="13"/>
    <d v="2011-01-01T00:00:00"/>
    <n v="1"/>
    <n v="0"/>
    <n v="1"/>
    <x v="12"/>
    <b v="0"/>
    <x v="0"/>
    <n v="1"/>
    <x v="6"/>
    <n v="0.42420000000000002"/>
    <n v="0.77"/>
    <n v="0.28360000000000002"/>
    <n v="29"/>
    <n v="55"/>
    <n v="84"/>
  </r>
  <r>
    <n v="14"/>
    <d v="2011-01-01T00:00:00"/>
    <n v="1"/>
    <n v="0"/>
    <n v="1"/>
    <x v="13"/>
    <b v="0"/>
    <x v="0"/>
    <n v="2"/>
    <x v="7"/>
    <n v="0.45450000000000002"/>
    <n v="0.72"/>
    <n v="0.29849999999999999"/>
    <n v="47"/>
    <n v="47"/>
    <n v="94"/>
  </r>
  <r>
    <n v="15"/>
    <d v="2011-01-01T00:00:00"/>
    <n v="1"/>
    <n v="0"/>
    <n v="1"/>
    <x v="14"/>
    <b v="0"/>
    <x v="0"/>
    <n v="2"/>
    <x v="7"/>
    <n v="0.45450000000000002"/>
    <n v="0.72"/>
    <n v="0.28360000000000002"/>
    <n v="35"/>
    <n v="71"/>
    <n v="106"/>
  </r>
  <r>
    <n v="16"/>
    <d v="2011-01-01T00:00:00"/>
    <n v="1"/>
    <n v="0"/>
    <n v="1"/>
    <x v="15"/>
    <b v="0"/>
    <x v="0"/>
    <n v="2"/>
    <x v="8"/>
    <n v="0.43940000000000001"/>
    <n v="0.77"/>
    <n v="0.29849999999999999"/>
    <n v="40"/>
    <n v="70"/>
    <n v="110"/>
  </r>
  <r>
    <n v="17"/>
    <d v="2011-01-01T00:00:00"/>
    <n v="1"/>
    <n v="0"/>
    <n v="1"/>
    <x v="16"/>
    <b v="0"/>
    <x v="0"/>
    <n v="2"/>
    <x v="6"/>
    <n v="0.42420000000000002"/>
    <n v="0.82"/>
    <n v="0.29849999999999999"/>
    <n v="41"/>
    <n v="52"/>
    <n v="93"/>
  </r>
  <r>
    <n v="18"/>
    <d v="2011-01-01T00:00:00"/>
    <n v="1"/>
    <n v="0"/>
    <n v="1"/>
    <x v="17"/>
    <b v="0"/>
    <x v="0"/>
    <n v="2"/>
    <x v="8"/>
    <n v="0.19989999999999999"/>
    <n v="0.82"/>
    <n v="0.28360000000000002"/>
    <n v="15"/>
    <n v="52"/>
    <n v="67"/>
  </r>
  <r>
    <n v="19"/>
    <d v="2011-01-01T00:00:00"/>
    <n v="1"/>
    <n v="0"/>
    <n v="1"/>
    <x v="18"/>
    <b v="0"/>
    <x v="0"/>
    <n v="3"/>
    <x v="6"/>
    <n v="0.42420000000000002"/>
    <n v="0.88"/>
    <n v="0.25369999999999998"/>
    <n v="9"/>
    <n v="26"/>
    <n v="35"/>
  </r>
  <r>
    <n v="20"/>
    <d v="2011-01-01T00:00:00"/>
    <n v="1"/>
    <n v="0"/>
    <n v="1"/>
    <x v="19"/>
    <b v="0"/>
    <x v="0"/>
    <n v="3"/>
    <x v="6"/>
    <n v="0.42420000000000002"/>
    <n v="0.88"/>
    <n v="0.25369999999999998"/>
    <n v="6"/>
    <n v="31"/>
    <n v="37"/>
  </r>
  <r>
    <n v="21"/>
    <d v="2011-01-01T00:00:00"/>
    <n v="1"/>
    <n v="0"/>
    <n v="1"/>
    <x v="20"/>
    <b v="0"/>
    <x v="0"/>
    <n v="2"/>
    <x v="9"/>
    <n v="0.40910000000000002"/>
    <n v="0.87"/>
    <n v="0.25369999999999998"/>
    <n v="11"/>
    <n v="25"/>
    <n v="36"/>
  </r>
  <r>
    <n v="22"/>
    <d v="2011-01-01T00:00:00"/>
    <n v="1"/>
    <n v="0"/>
    <n v="1"/>
    <x v="21"/>
    <b v="0"/>
    <x v="0"/>
    <n v="2"/>
    <x v="9"/>
    <n v="0.40910000000000002"/>
    <n v="0.87"/>
    <n v="0.19400000000000001"/>
    <n v="3"/>
    <n v="31"/>
    <n v="34"/>
  </r>
  <r>
    <n v="23"/>
    <d v="2011-01-01T00:00:00"/>
    <n v="1"/>
    <n v="0"/>
    <n v="1"/>
    <x v="22"/>
    <b v="0"/>
    <x v="0"/>
    <n v="2"/>
    <x v="9"/>
    <n v="0.40910000000000002"/>
    <n v="0.94"/>
    <n v="0.22389999999999999"/>
    <n v="11"/>
    <n v="17"/>
    <n v="28"/>
  </r>
  <r>
    <n v="24"/>
    <d v="2011-01-01T00:00:00"/>
    <n v="1"/>
    <n v="0"/>
    <n v="1"/>
    <x v="23"/>
    <b v="0"/>
    <x v="0"/>
    <n v="2"/>
    <x v="7"/>
    <n v="0.19989999999999999"/>
    <n v="0.88"/>
    <n v="0.29849999999999999"/>
    <n v="15"/>
    <n v="24"/>
    <n v="39"/>
  </r>
  <r>
    <n v="25"/>
    <d v="2011-01-02T00:00:00"/>
    <n v="1"/>
    <n v="0"/>
    <n v="1"/>
    <x v="0"/>
    <b v="0"/>
    <x v="1"/>
    <n v="2"/>
    <x v="7"/>
    <n v="0.45450000000000002"/>
    <n v="0.88"/>
    <n v="0.29849999999999999"/>
    <n v="4"/>
    <n v="13"/>
    <n v="17"/>
  </r>
  <r>
    <n v="26"/>
    <d v="2011-01-02T00:00:00"/>
    <n v="1"/>
    <n v="0"/>
    <n v="1"/>
    <x v="1"/>
    <b v="0"/>
    <x v="1"/>
    <n v="2"/>
    <x v="8"/>
    <n v="0.43940000000000001"/>
    <n v="0.94"/>
    <n v="0.25369999999999998"/>
    <n v="1"/>
    <n v="16"/>
    <n v="17"/>
  </r>
  <r>
    <n v="27"/>
    <d v="2011-01-02T00:00:00"/>
    <n v="1"/>
    <n v="0"/>
    <n v="1"/>
    <x v="2"/>
    <b v="0"/>
    <x v="1"/>
    <n v="2"/>
    <x v="6"/>
    <n v="0.42420000000000002"/>
    <n v="1"/>
    <n v="0.28360000000000002"/>
    <n v="1"/>
    <n v="8"/>
    <n v="9"/>
  </r>
  <r>
    <n v="28"/>
    <d v="2011-01-02T00:00:00"/>
    <n v="1"/>
    <n v="0"/>
    <n v="1"/>
    <x v="3"/>
    <b v="0"/>
    <x v="1"/>
    <n v="2"/>
    <x v="7"/>
    <n v="0.45450000000000002"/>
    <n v="0.94"/>
    <n v="0.19400000000000001"/>
    <n v="2"/>
    <n v="4"/>
    <n v="6"/>
  </r>
  <r>
    <n v="29"/>
    <d v="2011-01-02T00:00:00"/>
    <n v="1"/>
    <n v="0"/>
    <n v="1"/>
    <x v="4"/>
    <b v="0"/>
    <x v="1"/>
    <n v="2"/>
    <x v="7"/>
    <n v="0.19989999999999999"/>
    <n v="0.94"/>
    <n v="0.19400000000000001"/>
    <n v="2"/>
    <n v="1"/>
    <n v="3"/>
  </r>
  <r>
    <n v="30"/>
    <d v="2011-01-02T00:00:00"/>
    <n v="1"/>
    <n v="0"/>
    <n v="1"/>
    <x v="6"/>
    <b v="0"/>
    <x v="1"/>
    <n v="3"/>
    <x v="6"/>
    <n v="0.42420000000000002"/>
    <n v="0.77"/>
    <n v="0.29849999999999999"/>
    <n v="0"/>
    <n v="2"/>
    <n v="2"/>
  </r>
  <r>
    <n v="31"/>
    <d v="2011-01-02T00:00:00"/>
    <n v="1"/>
    <n v="0"/>
    <n v="1"/>
    <x v="7"/>
    <b v="0"/>
    <x v="1"/>
    <n v="2"/>
    <x v="9"/>
    <n v="0.40910000000000002"/>
    <n v="0.76"/>
    <n v="0.19400000000000001"/>
    <n v="0"/>
    <n v="1"/>
    <n v="1"/>
  </r>
  <r>
    <n v="32"/>
    <d v="2011-01-02T00:00:00"/>
    <n v="1"/>
    <n v="0"/>
    <n v="1"/>
    <x v="8"/>
    <b v="0"/>
    <x v="1"/>
    <n v="3"/>
    <x v="9"/>
    <n v="0.40910000000000002"/>
    <n v="0.71"/>
    <n v="0.22389999999999999"/>
    <n v="0"/>
    <n v="8"/>
    <n v="8"/>
  </r>
  <r>
    <n v="33"/>
    <d v="2011-01-02T00:00:00"/>
    <n v="1"/>
    <n v="0"/>
    <n v="1"/>
    <x v="9"/>
    <b v="0"/>
    <x v="1"/>
    <n v="2"/>
    <x v="4"/>
    <n v="0.19989999999999999"/>
    <n v="0.76"/>
    <n v="0.22389999999999999"/>
    <n v="1"/>
    <n v="19"/>
    <n v="20"/>
  </r>
  <r>
    <n v="34"/>
    <d v="2011-01-02T00:00:00"/>
    <n v="1"/>
    <n v="0"/>
    <n v="1"/>
    <x v="10"/>
    <b v="0"/>
    <x v="1"/>
    <n v="2"/>
    <x v="5"/>
    <n v="0.34849999999999998"/>
    <n v="0.81"/>
    <n v="0.22389999999999999"/>
    <n v="7"/>
    <n v="46"/>
    <n v="53"/>
  </r>
  <r>
    <n v="35"/>
    <d v="2011-01-02T00:00:00"/>
    <n v="1"/>
    <n v="0"/>
    <n v="1"/>
    <x v="11"/>
    <b v="0"/>
    <x v="1"/>
    <n v="2"/>
    <x v="5"/>
    <n v="0.33329999999999999"/>
    <n v="0.71"/>
    <n v="0.25369999999999998"/>
    <n v="16"/>
    <n v="54"/>
    <n v="70"/>
  </r>
  <r>
    <n v="36"/>
    <d v="2011-01-02T00:00:00"/>
    <n v="1"/>
    <n v="0"/>
    <n v="1"/>
    <x v="12"/>
    <b v="0"/>
    <x v="1"/>
    <n v="2"/>
    <x v="5"/>
    <n v="0.33329999999999999"/>
    <n v="0.66"/>
    <n v="0.29849999999999999"/>
    <n v="20"/>
    <n v="73"/>
    <n v="93"/>
  </r>
  <r>
    <n v="37"/>
    <d v="2011-01-02T00:00:00"/>
    <n v="1"/>
    <n v="0"/>
    <n v="1"/>
    <x v="13"/>
    <b v="0"/>
    <x v="1"/>
    <n v="2"/>
    <x v="5"/>
    <n v="0.34849999999999998"/>
    <n v="0.66"/>
    <n v="0.1343"/>
    <n v="11"/>
    <n v="64"/>
    <n v="75"/>
  </r>
  <r>
    <n v="38"/>
    <d v="2011-01-02T00:00:00"/>
    <n v="1"/>
    <n v="0"/>
    <n v="1"/>
    <x v="14"/>
    <b v="0"/>
    <x v="1"/>
    <n v="3"/>
    <x v="5"/>
    <n v="0.19989999999999999"/>
    <n v="0.76"/>
    <n v="0.19400000000000001"/>
    <n v="4"/>
    <n v="55"/>
    <n v="59"/>
  </r>
  <r>
    <n v="39"/>
    <d v="2011-01-02T00:00:00"/>
    <n v="1"/>
    <n v="0"/>
    <n v="1"/>
    <x v="15"/>
    <b v="0"/>
    <x v="1"/>
    <n v="3"/>
    <x v="10"/>
    <n v="0.33329999999999999"/>
    <n v="0.81"/>
    <n v="0.16420000000000001"/>
    <n v="19"/>
    <n v="55"/>
    <n v="74"/>
  </r>
  <r>
    <n v="40"/>
    <d v="2011-01-02T00:00:00"/>
    <n v="1"/>
    <n v="0"/>
    <n v="1"/>
    <x v="16"/>
    <b v="0"/>
    <x v="1"/>
    <n v="3"/>
    <x v="10"/>
    <n v="0.33329999999999999"/>
    <n v="0.71"/>
    <n v="0.16420000000000001"/>
    <n v="9"/>
    <n v="67"/>
    <n v="76"/>
  </r>
  <r>
    <n v="41"/>
    <d v="2011-01-02T00:00:00"/>
    <n v="1"/>
    <n v="0"/>
    <n v="1"/>
    <x v="17"/>
    <b v="0"/>
    <x v="1"/>
    <n v="1"/>
    <x v="10"/>
    <n v="0.33329999999999999"/>
    <n v="0.56999999999999995"/>
    <n v="0.19400000000000001"/>
    <n v="7"/>
    <n v="58"/>
    <n v="65"/>
  </r>
  <r>
    <n v="42"/>
    <d v="2011-01-02T00:00:00"/>
    <n v="1"/>
    <n v="0"/>
    <n v="1"/>
    <x v="18"/>
    <b v="0"/>
    <x v="1"/>
    <n v="2"/>
    <x v="5"/>
    <n v="0.33329999999999999"/>
    <n v="0.46"/>
    <n v="0.32840000000000003"/>
    <n v="10"/>
    <n v="43"/>
    <n v="53"/>
  </r>
  <r>
    <n v="43"/>
    <d v="2011-01-02T00:00:00"/>
    <n v="1"/>
    <n v="0"/>
    <n v="1"/>
    <x v="19"/>
    <b v="0"/>
    <x v="1"/>
    <n v="1"/>
    <x v="3"/>
    <n v="0.28789999999999999"/>
    <n v="0.42"/>
    <n v="0.44779999999999998"/>
    <n v="1"/>
    <n v="29"/>
    <n v="30"/>
  </r>
  <r>
    <n v="44"/>
    <d v="2011-01-02T00:00:00"/>
    <n v="1"/>
    <n v="0"/>
    <n v="1"/>
    <x v="20"/>
    <b v="0"/>
    <x v="1"/>
    <n v="1"/>
    <x v="11"/>
    <n v="0.19989999999999999"/>
    <n v="0.39"/>
    <n v="0.35820000000000002"/>
    <n v="5"/>
    <n v="17"/>
    <n v="22"/>
  </r>
  <r>
    <n v="45"/>
    <d v="2011-01-02T00:00:00"/>
    <n v="1"/>
    <n v="0"/>
    <n v="1"/>
    <x v="21"/>
    <b v="0"/>
    <x v="1"/>
    <n v="1"/>
    <x v="12"/>
    <n v="0.2273"/>
    <n v="0.44"/>
    <n v="0.32840000000000003"/>
    <n v="11"/>
    <n v="20"/>
    <n v="31"/>
  </r>
  <r>
    <n v="46"/>
    <d v="2011-01-02T00:00:00"/>
    <n v="1"/>
    <n v="0"/>
    <n v="1"/>
    <x v="22"/>
    <b v="0"/>
    <x v="1"/>
    <n v="1"/>
    <x v="0"/>
    <n v="0.21210000000000001"/>
    <n v="0.44"/>
    <n v="0.29849999999999999"/>
    <n v="0"/>
    <n v="9"/>
    <n v="9"/>
  </r>
  <r>
    <n v="47"/>
    <d v="2011-01-02T00:00:00"/>
    <n v="1"/>
    <n v="0"/>
    <n v="1"/>
    <x v="23"/>
    <b v="0"/>
    <x v="1"/>
    <n v="1"/>
    <x v="1"/>
    <n v="0.2273"/>
    <n v="0.47"/>
    <n v="0.16420000000000001"/>
    <n v="0"/>
    <n v="8"/>
    <n v="8"/>
  </r>
  <r>
    <n v="48"/>
    <d v="2011-01-03T00:00:00"/>
    <n v="1"/>
    <n v="0"/>
    <n v="1"/>
    <x v="0"/>
    <b v="0"/>
    <x v="2"/>
    <n v="1"/>
    <x v="1"/>
    <n v="0.19700000000000001"/>
    <n v="0.44"/>
    <n v="0.35820000000000002"/>
    <n v="0"/>
    <n v="5"/>
    <n v="5"/>
  </r>
  <r>
    <n v="49"/>
    <d v="2011-01-03T00:00:00"/>
    <n v="1"/>
    <n v="0"/>
    <n v="1"/>
    <x v="1"/>
    <b v="0"/>
    <x v="2"/>
    <n v="1"/>
    <x v="2"/>
    <n v="0.19989999999999999"/>
    <n v="0.44"/>
    <n v="0.41789999999999999"/>
    <n v="0"/>
    <n v="2"/>
    <n v="2"/>
  </r>
  <r>
    <n v="50"/>
    <d v="2011-01-03T00:00:00"/>
    <n v="1"/>
    <n v="0"/>
    <n v="1"/>
    <x v="4"/>
    <b v="0"/>
    <x v="2"/>
    <n v="1"/>
    <x v="13"/>
    <n v="0.13639999999999999"/>
    <n v="0.47"/>
    <n v="0.3881"/>
    <n v="0"/>
    <n v="1"/>
    <n v="1"/>
  </r>
  <r>
    <n v="51"/>
    <d v="2011-01-03T00:00:00"/>
    <n v="1"/>
    <n v="0"/>
    <n v="1"/>
    <x v="5"/>
    <b v="0"/>
    <x v="2"/>
    <n v="1"/>
    <x v="13"/>
    <n v="0.13639999999999999"/>
    <n v="0.47"/>
    <n v="0.28360000000000002"/>
    <n v="0"/>
    <n v="3"/>
    <n v="3"/>
  </r>
  <r>
    <n v="52"/>
    <d v="2011-01-03T00:00:00"/>
    <n v="1"/>
    <n v="0"/>
    <n v="1"/>
    <x v="6"/>
    <b v="0"/>
    <x v="2"/>
    <n v="1"/>
    <x v="14"/>
    <n v="0.1061"/>
    <n v="0.5"/>
    <n v="0.3881"/>
    <n v="0"/>
    <n v="30"/>
    <n v="30"/>
  </r>
  <r>
    <n v="53"/>
    <d v="2011-01-03T00:00:00"/>
    <n v="1"/>
    <n v="0"/>
    <n v="1"/>
    <x v="7"/>
    <b v="0"/>
    <x v="2"/>
    <n v="1"/>
    <x v="14"/>
    <n v="0.13639999999999999"/>
    <n v="0.5"/>
    <n v="0.19400000000000001"/>
    <n v="1"/>
    <n v="63"/>
    <n v="64"/>
  </r>
  <r>
    <n v="54"/>
    <d v="2011-01-03T00:00:00"/>
    <n v="1"/>
    <n v="0"/>
    <n v="1"/>
    <x v="8"/>
    <b v="0"/>
    <x v="2"/>
    <n v="1"/>
    <x v="14"/>
    <n v="0.1212"/>
    <n v="0.5"/>
    <n v="0.28360000000000002"/>
    <n v="1"/>
    <n v="153"/>
    <n v="154"/>
  </r>
  <r>
    <n v="55"/>
    <d v="2011-01-03T00:00:00"/>
    <n v="1"/>
    <n v="0"/>
    <n v="1"/>
    <x v="9"/>
    <b v="0"/>
    <x v="2"/>
    <n v="1"/>
    <x v="13"/>
    <n v="0.13639999999999999"/>
    <n v="0.43"/>
    <n v="0.3881"/>
    <n v="7"/>
    <n v="81"/>
    <n v="88"/>
  </r>
  <r>
    <n v="56"/>
    <d v="2011-01-03T00:00:00"/>
    <n v="1"/>
    <n v="0"/>
    <n v="1"/>
    <x v="10"/>
    <b v="0"/>
    <x v="2"/>
    <n v="1"/>
    <x v="15"/>
    <n v="0.16669999999999999"/>
    <n v="0.43"/>
    <n v="0.25369999999999998"/>
    <n v="11"/>
    <n v="33"/>
    <n v="44"/>
  </r>
  <r>
    <n v="57"/>
    <d v="2011-01-03T00:00:00"/>
    <n v="1"/>
    <n v="0"/>
    <n v="1"/>
    <x v="11"/>
    <b v="0"/>
    <x v="2"/>
    <n v="1"/>
    <x v="2"/>
    <n v="0.18179999999999999"/>
    <n v="0.4"/>
    <n v="0.32840000000000003"/>
    <n v="10"/>
    <n v="41"/>
    <n v="51"/>
  </r>
  <r>
    <n v="58"/>
    <d v="2011-01-03T00:00:00"/>
    <n v="1"/>
    <n v="0"/>
    <n v="1"/>
    <x v="12"/>
    <b v="0"/>
    <x v="2"/>
    <n v="1"/>
    <x v="1"/>
    <n v="0.21210000000000001"/>
    <n v="0.35"/>
    <n v="0.29849999999999999"/>
    <n v="13"/>
    <n v="48"/>
    <n v="61"/>
  </r>
  <r>
    <n v="59"/>
    <d v="2011-01-03T00:00:00"/>
    <n v="1"/>
    <n v="0"/>
    <n v="1"/>
    <x v="13"/>
    <b v="0"/>
    <x v="2"/>
    <n v="1"/>
    <x v="0"/>
    <n v="0.19989999999999999"/>
    <n v="0.35"/>
    <n v="0.28360000000000002"/>
    <n v="8"/>
    <n v="53"/>
    <n v="61"/>
  </r>
  <r>
    <n v="60"/>
    <d v="2011-01-03T00:00:00"/>
    <n v="1"/>
    <n v="0"/>
    <n v="1"/>
    <x v="14"/>
    <b v="0"/>
    <x v="2"/>
    <n v="1"/>
    <x v="12"/>
    <n v="0.2424"/>
    <n v="0.3"/>
    <n v="0.28360000000000002"/>
    <n v="11"/>
    <n v="66"/>
    <n v="77"/>
  </r>
  <r>
    <n v="61"/>
    <d v="2011-01-03T00:00:00"/>
    <n v="1"/>
    <n v="0"/>
    <n v="1"/>
    <x v="15"/>
    <b v="0"/>
    <x v="2"/>
    <n v="1"/>
    <x v="12"/>
    <n v="0.2424"/>
    <n v="0.3"/>
    <n v="0.25369999999999998"/>
    <n v="14"/>
    <n v="58"/>
    <n v="72"/>
  </r>
  <r>
    <n v="62"/>
    <d v="2011-01-03T00:00:00"/>
    <n v="1"/>
    <n v="0"/>
    <n v="1"/>
    <x v="16"/>
    <b v="0"/>
    <x v="2"/>
    <n v="1"/>
    <x v="12"/>
    <n v="0.2424"/>
    <n v="0.3"/>
    <n v="0.25369999999999998"/>
    <n v="9"/>
    <n v="67"/>
    <n v="76"/>
  </r>
  <r>
    <n v="63"/>
    <d v="2011-01-03T00:00:00"/>
    <n v="1"/>
    <n v="0"/>
    <n v="1"/>
    <x v="17"/>
    <b v="0"/>
    <x v="2"/>
    <n v="1"/>
    <x v="0"/>
    <n v="0.2273"/>
    <n v="0.3"/>
    <n v="0.22389999999999999"/>
    <n v="11"/>
    <n v="146"/>
    <n v="157"/>
  </r>
  <r>
    <n v="64"/>
    <d v="2011-01-03T00:00:00"/>
    <n v="1"/>
    <n v="0"/>
    <n v="1"/>
    <x v="18"/>
    <b v="0"/>
    <x v="2"/>
    <n v="1"/>
    <x v="0"/>
    <n v="0.2576"/>
    <n v="0.32"/>
    <n v="0.1045"/>
    <n v="9"/>
    <n v="148"/>
    <n v="157"/>
  </r>
  <r>
    <n v="65"/>
    <d v="2011-01-03T00:00:00"/>
    <n v="1"/>
    <n v="0"/>
    <n v="1"/>
    <x v="19"/>
    <b v="0"/>
    <x v="2"/>
    <n v="1"/>
    <x v="2"/>
    <n v="0.2576"/>
    <n v="0.47"/>
    <n v="0"/>
    <n v="8"/>
    <n v="102"/>
    <n v="110"/>
  </r>
  <r>
    <n v="66"/>
    <d v="2011-01-03T00:00:00"/>
    <n v="1"/>
    <n v="0"/>
    <n v="1"/>
    <x v="20"/>
    <b v="0"/>
    <x v="2"/>
    <n v="1"/>
    <x v="2"/>
    <n v="0.19989999999999999"/>
    <n v="0.47"/>
    <n v="0.1045"/>
    <n v="3"/>
    <n v="49"/>
    <n v="52"/>
  </r>
  <r>
    <n v="67"/>
    <d v="2011-01-03T00:00:00"/>
    <n v="1"/>
    <n v="0"/>
    <n v="1"/>
    <x v="21"/>
    <b v="0"/>
    <x v="2"/>
    <n v="1"/>
    <x v="15"/>
    <n v="0.19700000000000001"/>
    <n v="0.64"/>
    <n v="0.1343"/>
    <n v="3"/>
    <n v="49"/>
    <n v="52"/>
  </r>
  <r>
    <n v="68"/>
    <d v="2011-01-03T00:00:00"/>
    <n v="1"/>
    <n v="0"/>
    <n v="1"/>
    <x v="22"/>
    <b v="0"/>
    <x v="2"/>
    <n v="1"/>
    <x v="14"/>
    <n v="0.1515"/>
    <n v="0.69"/>
    <n v="0.1343"/>
    <n v="0"/>
    <n v="20"/>
    <n v="20"/>
  </r>
  <r>
    <n v="69"/>
    <d v="2011-01-03T00:00:00"/>
    <n v="1"/>
    <n v="0"/>
    <n v="1"/>
    <x v="23"/>
    <b v="0"/>
    <x v="2"/>
    <n v="1"/>
    <x v="15"/>
    <n v="0.21210000000000001"/>
    <n v="0.55000000000000004"/>
    <n v="0.1045"/>
    <n v="1"/>
    <n v="11"/>
    <n v="12"/>
  </r>
  <r>
    <n v="70"/>
    <d v="2011-01-04T00:00:00"/>
    <n v="1"/>
    <n v="0"/>
    <n v="1"/>
    <x v="0"/>
    <b v="0"/>
    <x v="3"/>
    <n v="1"/>
    <x v="13"/>
    <n v="0.19989999999999999"/>
    <n v="0.55000000000000004"/>
    <n v="0.1045"/>
    <n v="0"/>
    <n v="5"/>
    <n v="5"/>
  </r>
  <r>
    <n v="71"/>
    <d v="2011-01-04T00:00:00"/>
    <n v="1"/>
    <n v="0"/>
    <n v="1"/>
    <x v="1"/>
    <b v="0"/>
    <x v="3"/>
    <n v="1"/>
    <x v="13"/>
    <n v="0.18179999999999999"/>
    <n v="0.59"/>
    <n v="0.1045"/>
    <n v="0"/>
    <n v="2"/>
    <n v="2"/>
  </r>
  <r>
    <n v="72"/>
    <d v="2011-01-04T00:00:00"/>
    <n v="1"/>
    <n v="0"/>
    <n v="1"/>
    <x v="2"/>
    <b v="0"/>
    <x v="3"/>
    <n v="1"/>
    <x v="14"/>
    <n v="0.1515"/>
    <n v="0.63"/>
    <n v="0.1343"/>
    <n v="0"/>
    <n v="1"/>
    <n v="1"/>
  </r>
  <r>
    <n v="73"/>
    <d v="2011-01-04T00:00:00"/>
    <n v="1"/>
    <n v="0"/>
    <n v="1"/>
    <x v="4"/>
    <b v="0"/>
    <x v="3"/>
    <n v="1"/>
    <x v="14"/>
    <n v="0.18179999999999999"/>
    <n v="0.63"/>
    <n v="8.9599999999999999E-2"/>
    <n v="0"/>
    <n v="2"/>
    <n v="2"/>
  </r>
  <r>
    <n v="74"/>
    <d v="2011-01-04T00:00:00"/>
    <n v="1"/>
    <n v="0"/>
    <n v="1"/>
    <x v="5"/>
    <b v="0"/>
    <x v="3"/>
    <n v="1"/>
    <x v="16"/>
    <n v="0.1515"/>
    <n v="0.68"/>
    <n v="0.1045"/>
    <n v="0"/>
    <n v="4"/>
    <n v="4"/>
  </r>
  <r>
    <n v="75"/>
    <d v="2011-01-04T00:00:00"/>
    <n v="1"/>
    <n v="0"/>
    <n v="1"/>
    <x v="6"/>
    <b v="0"/>
    <x v="3"/>
    <n v="1"/>
    <x v="16"/>
    <n v="0.1515"/>
    <n v="0.74"/>
    <n v="0.1045"/>
    <n v="0"/>
    <n v="36"/>
    <n v="36"/>
  </r>
  <r>
    <n v="76"/>
    <d v="2011-01-04T00:00:00"/>
    <n v="1"/>
    <n v="0"/>
    <n v="1"/>
    <x v="7"/>
    <b v="0"/>
    <x v="3"/>
    <n v="1"/>
    <x v="16"/>
    <n v="0.1515"/>
    <n v="0.74"/>
    <n v="0.1343"/>
    <n v="2"/>
    <n v="92"/>
    <n v="94"/>
  </r>
  <r>
    <n v="77"/>
    <d v="2011-01-04T00:00:00"/>
    <n v="1"/>
    <n v="0"/>
    <n v="1"/>
    <x v="8"/>
    <b v="0"/>
    <x v="3"/>
    <n v="1"/>
    <x v="14"/>
    <n v="0.1515"/>
    <n v="0.69"/>
    <n v="0.16420000000000001"/>
    <n v="2"/>
    <n v="177"/>
    <n v="179"/>
  </r>
  <r>
    <n v="78"/>
    <d v="2011-01-04T00:00:00"/>
    <n v="1"/>
    <n v="0"/>
    <n v="1"/>
    <x v="9"/>
    <b v="0"/>
    <x v="3"/>
    <n v="1"/>
    <x v="13"/>
    <n v="0.1515"/>
    <n v="0.64"/>
    <n v="0.22389999999999999"/>
    <n v="2"/>
    <n v="98"/>
    <n v="100"/>
  </r>
  <r>
    <n v="79"/>
    <d v="2011-01-04T00:00:00"/>
    <n v="1"/>
    <n v="0"/>
    <n v="1"/>
    <x v="10"/>
    <b v="0"/>
    <x v="3"/>
    <n v="2"/>
    <x v="13"/>
    <n v="0.13639999999999999"/>
    <n v="0.69"/>
    <n v="0.32840000000000003"/>
    <n v="5"/>
    <n v="37"/>
    <n v="42"/>
  </r>
  <r>
    <n v="80"/>
    <d v="2011-01-04T00:00:00"/>
    <n v="1"/>
    <n v="0"/>
    <n v="1"/>
    <x v="11"/>
    <b v="0"/>
    <x v="3"/>
    <n v="1"/>
    <x v="1"/>
    <n v="0.21210000000000001"/>
    <n v="0.51"/>
    <n v="0.29849999999999999"/>
    <n v="7"/>
    <n v="50"/>
    <n v="57"/>
  </r>
  <r>
    <n v="81"/>
    <d v="2011-01-04T00:00:00"/>
    <n v="1"/>
    <n v="0"/>
    <n v="1"/>
    <x v="12"/>
    <b v="0"/>
    <x v="3"/>
    <n v="1"/>
    <x v="1"/>
    <n v="0.2273"/>
    <n v="0.51"/>
    <n v="0.16420000000000001"/>
    <n v="12"/>
    <n v="66"/>
    <n v="78"/>
  </r>
  <r>
    <n v="82"/>
    <d v="2011-01-04T00:00:00"/>
    <n v="1"/>
    <n v="0"/>
    <n v="1"/>
    <x v="13"/>
    <b v="0"/>
    <x v="3"/>
    <n v="1"/>
    <x v="0"/>
    <n v="0.2273"/>
    <n v="0.56000000000000005"/>
    <n v="0.19400000000000001"/>
    <n v="18"/>
    <n v="79"/>
    <n v="97"/>
  </r>
  <r>
    <n v="83"/>
    <d v="2011-01-04T00:00:00"/>
    <n v="1"/>
    <n v="0"/>
    <n v="1"/>
    <x v="14"/>
    <b v="0"/>
    <x v="3"/>
    <n v="1"/>
    <x v="12"/>
    <n v="0.2576"/>
    <n v="0.52"/>
    <n v="0.22389999999999999"/>
    <n v="9"/>
    <n v="54"/>
    <n v="63"/>
  </r>
  <r>
    <n v="84"/>
    <d v="2011-01-04T00:00:00"/>
    <n v="1"/>
    <n v="0"/>
    <n v="1"/>
    <x v="15"/>
    <b v="0"/>
    <x v="3"/>
    <n v="1"/>
    <x v="17"/>
    <n v="0.2727"/>
    <n v="0.52"/>
    <n v="0.25369999999999998"/>
    <n v="17"/>
    <n v="48"/>
    <n v="65"/>
  </r>
  <r>
    <n v="85"/>
    <d v="2011-01-04T00:00:00"/>
    <n v="1"/>
    <n v="0"/>
    <n v="1"/>
    <x v="16"/>
    <b v="0"/>
    <x v="3"/>
    <n v="1"/>
    <x v="11"/>
    <n v="0.28789999999999999"/>
    <n v="0.49"/>
    <n v="0.25369999999999998"/>
    <n v="15"/>
    <n v="68"/>
    <n v="83"/>
  </r>
  <r>
    <n v="86"/>
    <d v="2011-01-04T00:00:00"/>
    <n v="1"/>
    <n v="0"/>
    <n v="1"/>
    <x v="17"/>
    <b v="0"/>
    <x v="3"/>
    <n v="1"/>
    <x v="17"/>
    <n v="0.2727"/>
    <n v="0.48"/>
    <n v="0.22389999999999999"/>
    <n v="10"/>
    <n v="202"/>
    <n v="212"/>
  </r>
  <r>
    <n v="87"/>
    <d v="2011-01-04T00:00:00"/>
    <n v="1"/>
    <n v="0"/>
    <n v="1"/>
    <x v="18"/>
    <b v="0"/>
    <x v="3"/>
    <n v="1"/>
    <x v="12"/>
    <n v="0.2576"/>
    <n v="0.48"/>
    <n v="0.19400000000000001"/>
    <n v="3"/>
    <n v="179"/>
    <n v="182"/>
  </r>
  <r>
    <n v="88"/>
    <d v="2011-01-04T00:00:00"/>
    <n v="1"/>
    <n v="0"/>
    <n v="1"/>
    <x v="19"/>
    <b v="0"/>
    <x v="3"/>
    <n v="1"/>
    <x v="0"/>
    <n v="0.2576"/>
    <n v="0.48"/>
    <n v="0.1045"/>
    <n v="2"/>
    <n v="110"/>
    <n v="112"/>
  </r>
  <r>
    <n v="89"/>
    <d v="2011-01-04T00:00:00"/>
    <n v="1"/>
    <n v="0"/>
    <n v="1"/>
    <x v="20"/>
    <b v="0"/>
    <x v="3"/>
    <n v="1"/>
    <x v="0"/>
    <n v="0.2576"/>
    <n v="0.48"/>
    <n v="0.1045"/>
    <n v="1"/>
    <n v="53"/>
    <n v="54"/>
  </r>
  <r>
    <n v="90"/>
    <d v="2011-01-04T00:00:00"/>
    <n v="1"/>
    <n v="0"/>
    <n v="1"/>
    <x v="21"/>
    <b v="0"/>
    <x v="3"/>
    <n v="1"/>
    <x v="1"/>
    <n v="0.2727"/>
    <n v="0.64"/>
    <n v="0"/>
    <n v="0"/>
    <n v="48"/>
    <n v="48"/>
  </r>
  <r>
    <n v="91"/>
    <d v="2011-01-04T00:00:00"/>
    <n v="1"/>
    <n v="0"/>
    <n v="1"/>
    <x v="22"/>
    <b v="0"/>
    <x v="3"/>
    <n v="1"/>
    <x v="1"/>
    <n v="0.2576"/>
    <n v="0.64"/>
    <n v="8.9599999999999999E-2"/>
    <n v="1"/>
    <n v="34"/>
    <n v="35"/>
  </r>
  <r>
    <n v="92"/>
    <d v="2011-01-04T00:00:00"/>
    <n v="1"/>
    <n v="0"/>
    <n v="1"/>
    <x v="23"/>
    <b v="0"/>
    <x v="3"/>
    <n v="1"/>
    <x v="2"/>
    <n v="0.2273"/>
    <n v="0.69"/>
    <n v="8.9599999999999999E-2"/>
    <n v="2"/>
    <n v="9"/>
    <n v="11"/>
  </r>
  <r>
    <n v="93"/>
    <d v="2011-01-05T00:00:00"/>
    <n v="1"/>
    <n v="0"/>
    <n v="1"/>
    <x v="0"/>
    <b v="0"/>
    <x v="4"/>
    <n v="1"/>
    <x v="2"/>
    <n v="0.2576"/>
    <n v="0.64"/>
    <n v="0"/>
    <n v="0"/>
    <n v="6"/>
    <n v="6"/>
  </r>
  <r>
    <n v="94"/>
    <d v="2011-01-05T00:00:00"/>
    <n v="1"/>
    <n v="0"/>
    <n v="1"/>
    <x v="1"/>
    <b v="0"/>
    <x v="4"/>
    <n v="1"/>
    <x v="13"/>
    <n v="0.19700000000000001"/>
    <n v="0.74"/>
    <n v="8.9599999999999999E-2"/>
    <n v="0"/>
    <n v="6"/>
    <n v="6"/>
  </r>
  <r>
    <n v="95"/>
    <d v="2011-01-05T00:00:00"/>
    <n v="1"/>
    <n v="0"/>
    <n v="1"/>
    <x v="2"/>
    <b v="0"/>
    <x v="4"/>
    <n v="1"/>
    <x v="13"/>
    <n v="0.19700000000000001"/>
    <n v="0.74"/>
    <n v="8.9599999999999999E-2"/>
    <n v="0"/>
    <n v="2"/>
    <n v="2"/>
  </r>
  <r>
    <n v="96"/>
    <d v="2011-01-05T00:00:00"/>
    <n v="1"/>
    <n v="0"/>
    <n v="1"/>
    <x v="4"/>
    <b v="0"/>
    <x v="4"/>
    <n v="1"/>
    <x v="0"/>
    <n v="0.2273"/>
    <n v="0.48"/>
    <n v="0.22389999999999999"/>
    <n v="0"/>
    <n v="2"/>
    <n v="2"/>
  </r>
  <r>
    <n v="97"/>
    <d v="2011-01-05T00:00:00"/>
    <n v="1"/>
    <n v="0"/>
    <n v="1"/>
    <x v="5"/>
    <b v="0"/>
    <x v="4"/>
    <n v="1"/>
    <x v="1"/>
    <n v="0.2273"/>
    <n v="0.47"/>
    <n v="0.16420000000000001"/>
    <n v="0"/>
    <n v="3"/>
    <n v="3"/>
  </r>
  <r>
    <n v="98"/>
    <d v="2011-01-05T00:00:00"/>
    <n v="1"/>
    <n v="0"/>
    <n v="1"/>
    <x v="6"/>
    <b v="0"/>
    <x v="4"/>
    <n v="1"/>
    <x v="2"/>
    <n v="0.19700000000000001"/>
    <n v="0.47"/>
    <n v="0.22389999999999999"/>
    <n v="0"/>
    <n v="33"/>
    <n v="33"/>
  </r>
  <r>
    <n v="99"/>
    <d v="2011-01-05T00:00:00"/>
    <n v="1"/>
    <n v="0"/>
    <n v="1"/>
    <x v="7"/>
    <b v="0"/>
    <x v="4"/>
    <n v="1"/>
    <x v="15"/>
    <n v="0.18179999999999999"/>
    <n v="0.43"/>
    <n v="0.19400000000000001"/>
    <n v="1"/>
    <n v="87"/>
    <n v="88"/>
  </r>
  <r>
    <n v="100"/>
    <d v="2011-01-05T00:00:00"/>
    <n v="1"/>
    <n v="0"/>
    <n v="1"/>
    <x v="8"/>
    <b v="0"/>
    <x v="4"/>
    <n v="1"/>
    <x v="2"/>
    <n v="0.18179999999999999"/>
    <n v="0.4"/>
    <n v="0.29849999999999999"/>
    <n v="3"/>
    <n v="192"/>
    <n v="195"/>
  </r>
  <r>
    <n v="101"/>
    <d v="2011-01-05T00:00:00"/>
    <n v="1"/>
    <n v="0"/>
    <n v="1"/>
    <x v="9"/>
    <b v="0"/>
    <x v="4"/>
    <n v="1"/>
    <x v="1"/>
    <n v="0.19700000000000001"/>
    <n v="0.37"/>
    <n v="0.32840000000000003"/>
    <n v="6"/>
    <n v="109"/>
    <n v="115"/>
  </r>
  <r>
    <n v="102"/>
    <d v="2011-01-05T00:00:00"/>
    <n v="1"/>
    <n v="0"/>
    <n v="1"/>
    <x v="10"/>
    <b v="0"/>
    <x v="4"/>
    <n v="1"/>
    <x v="1"/>
    <n v="0.19700000000000001"/>
    <n v="0.37"/>
    <n v="0.32840000000000003"/>
    <n v="4"/>
    <n v="53"/>
    <n v="57"/>
  </r>
  <r>
    <n v="103"/>
    <d v="2011-01-05T00:00:00"/>
    <n v="1"/>
    <n v="0"/>
    <n v="1"/>
    <x v="11"/>
    <b v="0"/>
    <x v="4"/>
    <n v="1"/>
    <x v="12"/>
    <n v="0.2273"/>
    <n v="0.33"/>
    <n v="0.32840000000000003"/>
    <n v="12"/>
    <n v="34"/>
    <n v="46"/>
  </r>
  <r>
    <n v="104"/>
    <d v="2011-01-05T00:00:00"/>
    <n v="1"/>
    <n v="0"/>
    <n v="1"/>
    <x v="12"/>
    <b v="0"/>
    <x v="4"/>
    <n v="1"/>
    <x v="12"/>
    <n v="0.2273"/>
    <n v="0.33"/>
    <n v="0.32840000000000003"/>
    <n v="5"/>
    <n v="74"/>
    <n v="79"/>
  </r>
  <r>
    <n v="105"/>
    <d v="2011-01-05T00:00:00"/>
    <n v="1"/>
    <n v="0"/>
    <n v="1"/>
    <x v="13"/>
    <b v="0"/>
    <x v="4"/>
    <n v="1"/>
    <x v="17"/>
    <n v="0.2576"/>
    <n v="0.3"/>
    <n v="0.29849999999999999"/>
    <n v="6"/>
    <n v="65"/>
    <n v="71"/>
  </r>
  <r>
    <n v="106"/>
    <d v="2011-01-05T00:00:00"/>
    <n v="1"/>
    <n v="0"/>
    <n v="1"/>
    <x v="14"/>
    <b v="0"/>
    <x v="4"/>
    <n v="1"/>
    <x v="11"/>
    <n v="0.28789999999999999"/>
    <n v="0.28000000000000003"/>
    <n v="0.19400000000000001"/>
    <n v="10"/>
    <n v="52"/>
    <n v="62"/>
  </r>
  <r>
    <n v="107"/>
    <d v="2011-01-05T00:00:00"/>
    <n v="1"/>
    <n v="0"/>
    <n v="1"/>
    <x v="15"/>
    <b v="0"/>
    <x v="4"/>
    <n v="1"/>
    <x v="11"/>
    <n v="0.28789999999999999"/>
    <n v="0.28000000000000003"/>
    <n v="0.19400000000000001"/>
    <n v="7"/>
    <n v="55"/>
    <n v="62"/>
  </r>
  <r>
    <n v="108"/>
    <d v="2011-01-05T00:00:00"/>
    <n v="1"/>
    <n v="0"/>
    <n v="1"/>
    <x v="16"/>
    <b v="0"/>
    <x v="4"/>
    <n v="1"/>
    <x v="11"/>
    <n v="0.31819999999999998"/>
    <n v="0.28000000000000003"/>
    <n v="8.9599999999999999E-2"/>
    <n v="4"/>
    <n v="85"/>
    <n v="89"/>
  </r>
  <r>
    <n v="109"/>
    <d v="2011-01-05T00:00:00"/>
    <n v="1"/>
    <n v="0"/>
    <n v="1"/>
    <x v="17"/>
    <b v="0"/>
    <x v="4"/>
    <n v="1"/>
    <x v="0"/>
    <n v="0.2273"/>
    <n v="0.38"/>
    <n v="0.19400000000000001"/>
    <n v="4"/>
    <n v="186"/>
    <n v="190"/>
  </r>
  <r>
    <n v="110"/>
    <d v="2011-01-05T00:00:00"/>
    <n v="1"/>
    <n v="0"/>
    <n v="1"/>
    <x v="18"/>
    <b v="0"/>
    <x v="4"/>
    <n v="1"/>
    <x v="0"/>
    <n v="0.2424"/>
    <n v="0.38"/>
    <n v="0.1343"/>
    <n v="3"/>
    <n v="166"/>
    <n v="169"/>
  </r>
  <r>
    <n v="111"/>
    <d v="2011-01-05T00:00:00"/>
    <n v="1"/>
    <n v="0"/>
    <n v="1"/>
    <x v="19"/>
    <b v="0"/>
    <x v="4"/>
    <n v="1"/>
    <x v="0"/>
    <n v="0.2576"/>
    <n v="0.38"/>
    <n v="0.1045"/>
    <n v="5"/>
    <n v="127"/>
    <n v="132"/>
  </r>
  <r>
    <n v="112"/>
    <d v="2011-01-05T00:00:00"/>
    <n v="1"/>
    <n v="0"/>
    <n v="1"/>
    <x v="20"/>
    <b v="0"/>
    <x v="4"/>
    <n v="1"/>
    <x v="1"/>
    <n v="0.2273"/>
    <n v="0.47"/>
    <n v="0.16420000000000001"/>
    <n v="7"/>
    <n v="82"/>
    <n v="89"/>
  </r>
  <r>
    <n v="113"/>
    <d v="2011-01-05T00:00:00"/>
    <n v="1"/>
    <n v="0"/>
    <n v="1"/>
    <x v="21"/>
    <b v="0"/>
    <x v="4"/>
    <n v="1"/>
    <x v="2"/>
    <n v="0.19700000000000001"/>
    <n v="0.51"/>
    <n v="0.19400000000000001"/>
    <n v="3"/>
    <n v="40"/>
    <n v="43"/>
  </r>
  <r>
    <n v="114"/>
    <d v="2011-01-05T00:00:00"/>
    <n v="1"/>
    <n v="0"/>
    <n v="1"/>
    <x v="22"/>
    <b v="0"/>
    <x v="4"/>
    <n v="1"/>
    <x v="15"/>
    <n v="0.19700000000000001"/>
    <n v="0.55000000000000004"/>
    <n v="0.1343"/>
    <n v="1"/>
    <n v="41"/>
    <n v="42"/>
  </r>
  <r>
    <n v="115"/>
    <d v="2011-01-05T00:00:00"/>
    <n v="1"/>
    <n v="0"/>
    <n v="1"/>
    <x v="23"/>
    <b v="0"/>
    <x v="4"/>
    <n v="1"/>
    <x v="2"/>
    <n v="0.2576"/>
    <n v="0.47"/>
    <n v="0"/>
    <n v="1"/>
    <n v="18"/>
    <n v="19"/>
  </r>
  <r>
    <n v="116"/>
    <d v="2011-01-06T00:00:00"/>
    <n v="1"/>
    <n v="0"/>
    <n v="1"/>
    <x v="0"/>
    <b v="0"/>
    <x v="5"/>
    <n v="1"/>
    <x v="15"/>
    <n v="0.2424"/>
    <n v="0.55000000000000004"/>
    <n v="0"/>
    <n v="0"/>
    <n v="11"/>
    <n v="11"/>
  </r>
  <r>
    <n v="117"/>
    <d v="2011-01-06T00:00:00"/>
    <n v="1"/>
    <n v="0"/>
    <n v="1"/>
    <x v="1"/>
    <b v="0"/>
    <x v="5"/>
    <n v="1"/>
    <x v="13"/>
    <n v="0.2273"/>
    <n v="0.64"/>
    <n v="0"/>
    <n v="0"/>
    <n v="4"/>
    <n v="4"/>
  </r>
  <r>
    <n v="118"/>
    <d v="2011-01-06T00:00:00"/>
    <n v="1"/>
    <n v="0"/>
    <n v="1"/>
    <x v="2"/>
    <b v="0"/>
    <x v="5"/>
    <n v="1"/>
    <x v="13"/>
    <n v="0.2273"/>
    <n v="0.64"/>
    <n v="0"/>
    <n v="0"/>
    <n v="2"/>
    <n v="2"/>
  </r>
  <r>
    <n v="119"/>
    <d v="2011-01-06T00:00:00"/>
    <n v="1"/>
    <n v="0"/>
    <n v="1"/>
    <x v="4"/>
    <b v="0"/>
    <x v="5"/>
    <n v="2"/>
    <x v="13"/>
    <n v="0.19700000000000001"/>
    <n v="0.64"/>
    <n v="8.9599999999999999E-2"/>
    <n v="0"/>
    <n v="1"/>
    <n v="1"/>
  </r>
  <r>
    <n v="120"/>
    <d v="2011-01-06T00:00:00"/>
    <n v="1"/>
    <n v="0"/>
    <n v="1"/>
    <x v="5"/>
    <b v="0"/>
    <x v="5"/>
    <n v="2"/>
    <x v="14"/>
    <n v="0.18179999999999999"/>
    <n v="0.69"/>
    <n v="8.9599999999999999E-2"/>
    <n v="0"/>
    <n v="4"/>
    <n v="4"/>
  </r>
  <r>
    <n v="121"/>
    <d v="2011-01-06T00:00:00"/>
    <n v="1"/>
    <n v="0"/>
    <n v="1"/>
    <x v="6"/>
    <b v="0"/>
    <x v="5"/>
    <n v="2"/>
    <x v="14"/>
    <n v="0.16669999999999999"/>
    <n v="0.63"/>
    <n v="0.1045"/>
    <n v="0"/>
    <n v="36"/>
    <n v="36"/>
  </r>
  <r>
    <n v="122"/>
    <d v="2011-01-06T00:00:00"/>
    <n v="1"/>
    <n v="0"/>
    <n v="1"/>
    <x v="7"/>
    <b v="0"/>
    <x v="5"/>
    <n v="2"/>
    <x v="13"/>
    <n v="0.2273"/>
    <n v="0.59"/>
    <n v="0"/>
    <n v="0"/>
    <n v="95"/>
    <n v="95"/>
  </r>
  <r>
    <n v="123"/>
    <d v="2011-01-06T00:00:00"/>
    <n v="1"/>
    <n v="0"/>
    <n v="1"/>
    <x v="8"/>
    <b v="0"/>
    <x v="5"/>
    <n v="1"/>
    <x v="13"/>
    <n v="0.2273"/>
    <n v="0.59"/>
    <n v="0"/>
    <n v="3"/>
    <n v="216"/>
    <n v="219"/>
  </r>
  <r>
    <n v="124"/>
    <d v="2011-01-06T00:00:00"/>
    <n v="1"/>
    <n v="0"/>
    <n v="1"/>
    <x v="9"/>
    <b v="0"/>
    <x v="5"/>
    <n v="2"/>
    <x v="15"/>
    <n v="0.2424"/>
    <n v="0.51"/>
    <n v="0"/>
    <n v="6"/>
    <n v="116"/>
    <n v="122"/>
  </r>
  <r>
    <n v="125"/>
    <d v="2011-01-06T00:00:00"/>
    <n v="1"/>
    <n v="0"/>
    <n v="1"/>
    <x v="10"/>
    <b v="0"/>
    <x v="5"/>
    <n v="1"/>
    <x v="2"/>
    <n v="0.2576"/>
    <n v="0.47"/>
    <n v="0"/>
    <n v="3"/>
    <n v="42"/>
    <n v="45"/>
  </r>
  <r>
    <n v="126"/>
    <d v="2011-01-06T00:00:00"/>
    <n v="1"/>
    <n v="0"/>
    <n v="1"/>
    <x v="11"/>
    <b v="0"/>
    <x v="5"/>
    <n v="1"/>
    <x v="1"/>
    <n v="0.2576"/>
    <n v="0.44"/>
    <n v="8.9599999999999999E-2"/>
    <n v="2"/>
    <n v="57"/>
    <n v="59"/>
  </r>
  <r>
    <n v="127"/>
    <d v="2011-01-06T00:00:00"/>
    <n v="1"/>
    <n v="0"/>
    <n v="1"/>
    <x v="12"/>
    <b v="0"/>
    <x v="5"/>
    <n v="1"/>
    <x v="12"/>
    <n v="0.28789999999999999"/>
    <n v="0.35"/>
    <n v="0"/>
    <n v="6"/>
    <n v="78"/>
    <n v="84"/>
  </r>
  <r>
    <n v="128"/>
    <d v="2011-01-06T00:00:00"/>
    <n v="1"/>
    <n v="0"/>
    <n v="1"/>
    <x v="13"/>
    <b v="0"/>
    <x v="5"/>
    <n v="1"/>
    <x v="12"/>
    <n v="0.2727"/>
    <n v="0.35"/>
    <n v="0.1045"/>
    <n v="12"/>
    <n v="55"/>
    <n v="67"/>
  </r>
  <r>
    <n v="129"/>
    <d v="2011-01-06T00:00:00"/>
    <n v="1"/>
    <n v="0"/>
    <n v="1"/>
    <x v="14"/>
    <b v="0"/>
    <x v="5"/>
    <n v="1"/>
    <x v="17"/>
    <n v="0.2727"/>
    <n v="0.36"/>
    <n v="0.16420000000000001"/>
    <n v="11"/>
    <n v="59"/>
    <n v="70"/>
  </r>
  <r>
    <n v="130"/>
    <d v="2011-01-06T00:00:00"/>
    <n v="1"/>
    <n v="0"/>
    <n v="1"/>
    <x v="15"/>
    <b v="0"/>
    <x v="5"/>
    <n v="1"/>
    <x v="17"/>
    <n v="0.2727"/>
    <n v="0.36"/>
    <n v="0"/>
    <n v="8"/>
    <n v="54"/>
    <n v="62"/>
  </r>
  <r>
    <n v="131"/>
    <d v="2011-01-06T00:00:00"/>
    <n v="1"/>
    <n v="0"/>
    <n v="1"/>
    <x v="16"/>
    <b v="0"/>
    <x v="5"/>
    <n v="1"/>
    <x v="12"/>
    <n v="0.2576"/>
    <n v="0.38"/>
    <n v="0.16420000000000001"/>
    <n v="12"/>
    <n v="74"/>
    <n v="86"/>
  </r>
  <r>
    <n v="132"/>
    <d v="2011-01-06T00:00:00"/>
    <n v="1"/>
    <n v="0"/>
    <n v="1"/>
    <x v="17"/>
    <b v="0"/>
    <x v="5"/>
    <n v="1"/>
    <x v="1"/>
    <n v="0.2273"/>
    <n v="0.51"/>
    <n v="0.16420000000000001"/>
    <n v="9"/>
    <n v="163"/>
    <n v="172"/>
  </r>
  <r>
    <n v="133"/>
    <d v="2011-01-06T00:00:00"/>
    <n v="1"/>
    <n v="0"/>
    <n v="1"/>
    <x v="18"/>
    <b v="0"/>
    <x v="5"/>
    <n v="1"/>
    <x v="1"/>
    <n v="0.2273"/>
    <n v="0.51"/>
    <n v="0.1343"/>
    <n v="5"/>
    <n v="158"/>
    <n v="163"/>
  </r>
  <r>
    <n v="134"/>
    <d v="2011-01-06T00:00:00"/>
    <n v="1"/>
    <n v="0"/>
    <n v="1"/>
    <x v="19"/>
    <b v="0"/>
    <x v="5"/>
    <n v="1"/>
    <x v="1"/>
    <n v="0.2576"/>
    <n v="0.55000000000000004"/>
    <n v="8.9599999999999999E-2"/>
    <n v="3"/>
    <n v="109"/>
    <n v="112"/>
  </r>
  <r>
    <n v="135"/>
    <d v="2011-01-06T00:00:00"/>
    <n v="1"/>
    <n v="0"/>
    <n v="1"/>
    <x v="20"/>
    <b v="0"/>
    <x v="5"/>
    <n v="1"/>
    <x v="2"/>
    <n v="0.21210000000000001"/>
    <n v="0.51"/>
    <n v="0.16420000000000001"/>
    <n v="3"/>
    <n v="66"/>
    <n v="69"/>
  </r>
  <r>
    <n v="136"/>
    <d v="2011-01-06T00:00:00"/>
    <n v="1"/>
    <n v="0"/>
    <n v="1"/>
    <x v="21"/>
    <b v="0"/>
    <x v="5"/>
    <n v="2"/>
    <x v="1"/>
    <n v="0.21210000000000001"/>
    <n v="0.55000000000000004"/>
    <n v="0.22389999999999999"/>
    <n v="0"/>
    <n v="48"/>
    <n v="48"/>
  </r>
  <r>
    <n v="137"/>
    <d v="2011-01-06T00:00:00"/>
    <n v="1"/>
    <n v="0"/>
    <n v="1"/>
    <x v="22"/>
    <b v="0"/>
    <x v="5"/>
    <n v="2"/>
    <x v="1"/>
    <n v="0.21210000000000001"/>
    <n v="0.51"/>
    <n v="0.28360000000000002"/>
    <n v="1"/>
    <n v="51"/>
    <n v="52"/>
  </r>
  <r>
    <n v="138"/>
    <d v="2011-01-06T00:00:00"/>
    <n v="1"/>
    <n v="0"/>
    <n v="1"/>
    <x v="23"/>
    <b v="0"/>
    <x v="5"/>
    <n v="2"/>
    <x v="2"/>
    <n v="0.19700000000000001"/>
    <n v="0.59"/>
    <n v="0.19400000000000001"/>
    <n v="4"/>
    <n v="19"/>
    <n v="23"/>
  </r>
  <r>
    <n v="139"/>
    <d v="2011-01-07T00:00:00"/>
    <n v="1"/>
    <n v="0"/>
    <n v="1"/>
    <x v="0"/>
    <b v="0"/>
    <x v="6"/>
    <n v="2"/>
    <x v="2"/>
    <n v="0.19700000000000001"/>
    <n v="0.64"/>
    <n v="0.19400000000000001"/>
    <n v="4"/>
    <n v="13"/>
    <n v="17"/>
  </r>
  <r>
    <n v="140"/>
    <d v="2011-01-07T00:00:00"/>
    <n v="1"/>
    <n v="0"/>
    <n v="1"/>
    <x v="1"/>
    <b v="0"/>
    <x v="6"/>
    <n v="2"/>
    <x v="2"/>
    <n v="0.19700000000000001"/>
    <n v="0.69"/>
    <n v="0.22389999999999999"/>
    <n v="2"/>
    <n v="5"/>
    <n v="7"/>
  </r>
  <r>
    <n v="141"/>
    <d v="2011-01-07T00:00:00"/>
    <n v="1"/>
    <n v="0"/>
    <n v="1"/>
    <x v="2"/>
    <b v="0"/>
    <x v="6"/>
    <n v="2"/>
    <x v="2"/>
    <n v="0.19700000000000001"/>
    <n v="0.69"/>
    <n v="0.22389999999999999"/>
    <n v="0"/>
    <n v="1"/>
    <n v="1"/>
  </r>
  <r>
    <n v="142"/>
    <d v="2011-01-07T00:00:00"/>
    <n v="1"/>
    <n v="0"/>
    <n v="1"/>
    <x v="4"/>
    <b v="0"/>
    <x v="6"/>
    <n v="2"/>
    <x v="2"/>
    <n v="0.21210000000000001"/>
    <n v="0.69"/>
    <n v="0.1343"/>
    <n v="0"/>
    <n v="1"/>
    <n v="1"/>
  </r>
  <r>
    <n v="143"/>
    <d v="2011-01-07T00:00:00"/>
    <n v="1"/>
    <n v="0"/>
    <n v="1"/>
    <x v="5"/>
    <b v="0"/>
    <x v="6"/>
    <n v="3"/>
    <x v="1"/>
    <n v="0.2727"/>
    <n v="0.55000000000000004"/>
    <n v="0"/>
    <n v="0"/>
    <n v="5"/>
    <n v="5"/>
  </r>
  <r>
    <n v="144"/>
    <d v="2011-01-07T00:00:00"/>
    <n v="1"/>
    <n v="0"/>
    <n v="1"/>
    <x v="6"/>
    <b v="0"/>
    <x v="6"/>
    <n v="2"/>
    <x v="2"/>
    <n v="0.2576"/>
    <n v="0.69"/>
    <n v="0"/>
    <n v="8"/>
    <n v="26"/>
    <n v="34"/>
  </r>
  <r>
    <n v="145"/>
    <d v="2011-01-07T00:00:00"/>
    <n v="1"/>
    <n v="0"/>
    <n v="1"/>
    <x v="7"/>
    <b v="0"/>
    <x v="6"/>
    <n v="1"/>
    <x v="2"/>
    <n v="0.21210000000000001"/>
    <n v="0.69"/>
    <n v="0.1343"/>
    <n v="8"/>
    <n v="76"/>
    <n v="84"/>
  </r>
  <r>
    <n v="146"/>
    <d v="2011-01-07T00:00:00"/>
    <n v="1"/>
    <n v="0"/>
    <n v="1"/>
    <x v="8"/>
    <b v="0"/>
    <x v="6"/>
    <n v="1"/>
    <x v="2"/>
    <n v="0.19700000000000001"/>
    <n v="0.51"/>
    <n v="0.25369999999999998"/>
    <n v="20"/>
    <n v="190"/>
    <n v="210"/>
  </r>
  <r>
    <n v="147"/>
    <d v="2011-01-07T00:00:00"/>
    <n v="1"/>
    <n v="0"/>
    <n v="1"/>
    <x v="9"/>
    <b v="0"/>
    <x v="6"/>
    <n v="1"/>
    <x v="2"/>
    <n v="0.18179999999999999"/>
    <n v="0.47"/>
    <n v="0.29849999999999999"/>
    <n v="9"/>
    <n v="125"/>
    <n v="134"/>
  </r>
  <r>
    <n v="148"/>
    <d v="2011-01-07T00:00:00"/>
    <n v="1"/>
    <n v="0"/>
    <n v="1"/>
    <x v="10"/>
    <b v="0"/>
    <x v="6"/>
    <n v="1"/>
    <x v="1"/>
    <n v="0.19700000000000001"/>
    <n v="0.37"/>
    <n v="0.32840000000000003"/>
    <n v="16"/>
    <n v="47"/>
    <n v="63"/>
  </r>
  <r>
    <n v="149"/>
    <d v="2011-01-07T00:00:00"/>
    <n v="1"/>
    <n v="0"/>
    <n v="1"/>
    <x v="11"/>
    <b v="0"/>
    <x v="6"/>
    <n v="2"/>
    <x v="2"/>
    <n v="0.19700000000000001"/>
    <n v="0.4"/>
    <n v="0.22389999999999999"/>
    <n v="19"/>
    <n v="48"/>
    <n v="67"/>
  </r>
  <r>
    <n v="150"/>
    <d v="2011-01-07T00:00:00"/>
    <n v="1"/>
    <n v="0"/>
    <n v="1"/>
    <x v="12"/>
    <b v="0"/>
    <x v="6"/>
    <n v="2"/>
    <x v="2"/>
    <n v="0.19700000000000001"/>
    <n v="0.37"/>
    <n v="0.25369999999999998"/>
    <n v="9"/>
    <n v="50"/>
    <n v="59"/>
  </r>
  <r>
    <n v="151"/>
    <d v="2011-01-07T00:00:00"/>
    <n v="1"/>
    <n v="0"/>
    <n v="1"/>
    <x v="13"/>
    <b v="0"/>
    <x v="6"/>
    <n v="2"/>
    <x v="2"/>
    <n v="0.18179999999999999"/>
    <n v="0.37"/>
    <n v="0.28360000000000002"/>
    <n v="9"/>
    <n v="64"/>
    <n v="73"/>
  </r>
  <r>
    <n v="152"/>
    <d v="2011-01-07T00:00:00"/>
    <n v="1"/>
    <n v="0"/>
    <n v="1"/>
    <x v="14"/>
    <b v="0"/>
    <x v="6"/>
    <n v="2"/>
    <x v="2"/>
    <n v="0.19700000000000001"/>
    <n v="0.4"/>
    <n v="0.25369999999999998"/>
    <n v="7"/>
    <n v="43"/>
    <n v="50"/>
  </r>
  <r>
    <n v="153"/>
    <d v="2011-01-07T00:00:00"/>
    <n v="1"/>
    <n v="0"/>
    <n v="1"/>
    <x v="15"/>
    <b v="0"/>
    <x v="6"/>
    <n v="2"/>
    <x v="2"/>
    <n v="0.21210000000000001"/>
    <n v="0.37"/>
    <n v="0.16420000000000001"/>
    <n v="9"/>
    <n v="63"/>
    <n v="72"/>
  </r>
  <r>
    <n v="154"/>
    <d v="2011-01-07T00:00:00"/>
    <n v="1"/>
    <n v="0"/>
    <n v="1"/>
    <x v="16"/>
    <b v="0"/>
    <x v="6"/>
    <n v="2"/>
    <x v="2"/>
    <n v="0.21210000000000001"/>
    <n v="0.37"/>
    <n v="0.16420000000000001"/>
    <n v="5"/>
    <n v="82"/>
    <n v="87"/>
  </r>
  <r>
    <n v="155"/>
    <d v="2011-01-07T00:00:00"/>
    <n v="1"/>
    <n v="0"/>
    <n v="1"/>
    <x v="17"/>
    <b v="0"/>
    <x v="6"/>
    <n v="2"/>
    <x v="2"/>
    <n v="0.2576"/>
    <n v="0.37"/>
    <n v="0"/>
    <n v="9"/>
    <n v="178"/>
    <n v="187"/>
  </r>
  <r>
    <n v="156"/>
    <d v="2011-01-07T00:00:00"/>
    <n v="1"/>
    <n v="0"/>
    <n v="1"/>
    <x v="18"/>
    <b v="0"/>
    <x v="6"/>
    <n v="1"/>
    <x v="2"/>
    <n v="0.2273"/>
    <n v="0.4"/>
    <n v="8.9599999999999999E-2"/>
    <n v="7"/>
    <n v="116"/>
    <n v="123"/>
  </r>
  <r>
    <n v="157"/>
    <d v="2011-01-07T00:00:00"/>
    <n v="1"/>
    <n v="0"/>
    <n v="1"/>
    <x v="19"/>
    <b v="0"/>
    <x v="6"/>
    <n v="1"/>
    <x v="13"/>
    <n v="0.19700000000000001"/>
    <n v="0.55000000000000004"/>
    <n v="8.9599999999999999E-2"/>
    <n v="3"/>
    <n v="92"/>
    <n v="95"/>
  </r>
  <r>
    <n v="158"/>
    <d v="2011-01-07T00:00:00"/>
    <n v="1"/>
    <n v="0"/>
    <n v="1"/>
    <x v="20"/>
    <b v="0"/>
    <x v="6"/>
    <n v="1"/>
    <x v="15"/>
    <n v="0.21210000000000001"/>
    <n v="0.47"/>
    <n v="0.1045"/>
    <n v="1"/>
    <n v="50"/>
    <n v="51"/>
  </r>
  <r>
    <n v="159"/>
    <d v="2011-01-07T00:00:00"/>
    <n v="1"/>
    <n v="0"/>
    <n v="1"/>
    <x v="21"/>
    <b v="0"/>
    <x v="6"/>
    <n v="1"/>
    <x v="15"/>
    <n v="0.19700000000000001"/>
    <n v="0.47"/>
    <n v="0.1343"/>
    <n v="0"/>
    <n v="39"/>
    <n v="39"/>
  </r>
  <r>
    <n v="160"/>
    <d v="2011-01-07T00:00:00"/>
    <n v="1"/>
    <n v="0"/>
    <n v="1"/>
    <x v="22"/>
    <b v="0"/>
    <x v="6"/>
    <n v="2"/>
    <x v="15"/>
    <n v="0.19700000000000001"/>
    <n v="0.43"/>
    <n v="0.16420000000000001"/>
    <n v="2"/>
    <n v="34"/>
    <n v="36"/>
  </r>
  <r>
    <n v="161"/>
    <d v="2011-01-07T00:00:00"/>
    <n v="1"/>
    <n v="0"/>
    <n v="1"/>
    <x v="23"/>
    <b v="0"/>
    <x v="6"/>
    <n v="2"/>
    <x v="15"/>
    <n v="0.19700000000000001"/>
    <n v="0.51"/>
    <n v="0.16420000000000001"/>
    <n v="1"/>
    <n v="14"/>
    <n v="15"/>
  </r>
  <r>
    <n v="162"/>
    <d v="2011-01-08T00:00:00"/>
    <n v="1"/>
    <n v="0"/>
    <n v="1"/>
    <x v="0"/>
    <b v="0"/>
    <x v="0"/>
    <n v="2"/>
    <x v="15"/>
    <n v="0.19700000000000001"/>
    <n v="0.51"/>
    <n v="0.16420000000000001"/>
    <n v="1"/>
    <n v="24"/>
    <n v="25"/>
  </r>
  <r>
    <n v="163"/>
    <d v="2011-01-08T00:00:00"/>
    <n v="1"/>
    <n v="0"/>
    <n v="1"/>
    <x v="1"/>
    <b v="0"/>
    <x v="0"/>
    <n v="2"/>
    <x v="15"/>
    <n v="0.21210000000000001"/>
    <n v="0.55000000000000004"/>
    <n v="8.9599999999999999E-2"/>
    <n v="1"/>
    <n v="15"/>
    <n v="16"/>
  </r>
  <r>
    <n v="164"/>
    <d v="2011-01-08T00:00:00"/>
    <n v="1"/>
    <n v="0"/>
    <n v="1"/>
    <x v="2"/>
    <b v="0"/>
    <x v="0"/>
    <n v="2"/>
    <x v="15"/>
    <n v="0.2424"/>
    <n v="0.55000000000000004"/>
    <n v="0"/>
    <n v="3"/>
    <n v="13"/>
    <n v="16"/>
  </r>
  <r>
    <n v="165"/>
    <d v="2011-01-08T00:00:00"/>
    <n v="1"/>
    <n v="0"/>
    <n v="1"/>
    <x v="3"/>
    <b v="0"/>
    <x v="0"/>
    <n v="3"/>
    <x v="15"/>
    <n v="0.19700000000000001"/>
    <n v="0.55000000000000004"/>
    <n v="0.16420000000000001"/>
    <n v="0"/>
    <n v="7"/>
    <n v="7"/>
  </r>
  <r>
    <n v="166"/>
    <d v="2011-01-08T00:00:00"/>
    <n v="1"/>
    <n v="0"/>
    <n v="1"/>
    <x v="4"/>
    <b v="0"/>
    <x v="0"/>
    <n v="3"/>
    <x v="15"/>
    <n v="0.19700000000000001"/>
    <n v="0.55000000000000004"/>
    <n v="0.16420000000000001"/>
    <n v="0"/>
    <n v="1"/>
    <n v="1"/>
  </r>
  <r>
    <n v="167"/>
    <d v="2011-01-08T00:00:00"/>
    <n v="1"/>
    <n v="0"/>
    <n v="1"/>
    <x v="5"/>
    <b v="0"/>
    <x v="0"/>
    <n v="2"/>
    <x v="13"/>
    <n v="0.16669999999999999"/>
    <n v="0.74"/>
    <n v="0.16420000000000001"/>
    <n v="0"/>
    <n v="5"/>
    <n v="5"/>
  </r>
  <r>
    <n v="168"/>
    <d v="2011-01-08T00:00:00"/>
    <n v="1"/>
    <n v="0"/>
    <n v="1"/>
    <x v="6"/>
    <b v="0"/>
    <x v="0"/>
    <n v="2"/>
    <x v="13"/>
    <n v="0.16669999999999999"/>
    <n v="0.74"/>
    <n v="0.16420000000000001"/>
    <n v="0"/>
    <n v="2"/>
    <n v="2"/>
  </r>
  <r>
    <n v="169"/>
    <d v="2011-01-08T00:00:00"/>
    <n v="1"/>
    <n v="0"/>
    <n v="1"/>
    <x v="7"/>
    <b v="0"/>
    <x v="0"/>
    <n v="2"/>
    <x v="13"/>
    <n v="0.18179999999999999"/>
    <n v="0.74"/>
    <n v="0.1045"/>
    <n v="1"/>
    <n v="8"/>
    <n v="9"/>
  </r>
  <r>
    <n v="170"/>
    <d v="2011-01-08T00:00:00"/>
    <n v="1"/>
    <n v="0"/>
    <n v="1"/>
    <x v="8"/>
    <b v="0"/>
    <x v="0"/>
    <n v="3"/>
    <x v="13"/>
    <n v="0.18179999999999999"/>
    <n v="0.93"/>
    <n v="0.1045"/>
    <n v="0"/>
    <n v="15"/>
    <n v="15"/>
  </r>
  <r>
    <n v="171"/>
    <d v="2011-01-08T00:00:00"/>
    <n v="1"/>
    <n v="0"/>
    <n v="1"/>
    <x v="9"/>
    <b v="0"/>
    <x v="0"/>
    <n v="3"/>
    <x v="13"/>
    <n v="0.18179999999999999"/>
    <n v="0.93"/>
    <n v="0.1045"/>
    <n v="0"/>
    <n v="20"/>
    <n v="20"/>
  </r>
  <r>
    <n v="172"/>
    <d v="2011-01-08T00:00:00"/>
    <n v="1"/>
    <n v="0"/>
    <n v="1"/>
    <x v="10"/>
    <b v="0"/>
    <x v="0"/>
    <n v="2"/>
    <x v="15"/>
    <n v="0.19700000000000001"/>
    <n v="0.8"/>
    <n v="0.16420000000000001"/>
    <n v="5"/>
    <n v="56"/>
    <n v="61"/>
  </r>
  <r>
    <n v="173"/>
    <d v="2011-01-08T00:00:00"/>
    <n v="1"/>
    <n v="0"/>
    <n v="1"/>
    <x v="11"/>
    <b v="0"/>
    <x v="0"/>
    <n v="2"/>
    <x v="2"/>
    <n v="0.18179999999999999"/>
    <n v="0.69"/>
    <n v="0.3881"/>
    <n v="2"/>
    <n v="60"/>
    <n v="62"/>
  </r>
  <r>
    <n v="174"/>
    <d v="2011-01-08T00:00:00"/>
    <n v="1"/>
    <n v="0"/>
    <n v="1"/>
    <x v="12"/>
    <b v="0"/>
    <x v="0"/>
    <n v="2"/>
    <x v="2"/>
    <n v="0.18179999999999999"/>
    <n v="0.59"/>
    <n v="0.35820000000000002"/>
    <n v="8"/>
    <n v="90"/>
    <n v="98"/>
  </r>
  <r>
    <n v="175"/>
    <d v="2011-01-08T00:00:00"/>
    <n v="1"/>
    <n v="0"/>
    <n v="1"/>
    <x v="13"/>
    <b v="0"/>
    <x v="0"/>
    <n v="1"/>
    <x v="2"/>
    <n v="0.18179999999999999"/>
    <n v="0.44"/>
    <n v="0.32840000000000003"/>
    <n v="7"/>
    <n v="95"/>
    <n v="102"/>
  </r>
  <r>
    <n v="176"/>
    <d v="2011-01-08T00:00:00"/>
    <n v="1"/>
    <n v="0"/>
    <n v="1"/>
    <x v="14"/>
    <b v="0"/>
    <x v="0"/>
    <n v="1"/>
    <x v="2"/>
    <n v="0.16669999999999999"/>
    <n v="0.32"/>
    <n v="0.49249999999999999"/>
    <n v="12"/>
    <n v="83"/>
    <n v="95"/>
  </r>
  <r>
    <n v="177"/>
    <d v="2011-01-08T00:00:00"/>
    <n v="1"/>
    <n v="0"/>
    <n v="1"/>
    <x v="15"/>
    <b v="0"/>
    <x v="0"/>
    <n v="1"/>
    <x v="2"/>
    <n v="0.16669999999999999"/>
    <n v="0.32"/>
    <n v="0.44779999999999998"/>
    <n v="5"/>
    <n v="69"/>
    <n v="74"/>
  </r>
  <r>
    <n v="178"/>
    <d v="2011-01-08T00:00:00"/>
    <n v="1"/>
    <n v="0"/>
    <n v="1"/>
    <x v="16"/>
    <b v="0"/>
    <x v="0"/>
    <n v="1"/>
    <x v="15"/>
    <n v="0.13639999999999999"/>
    <n v="0.28999999999999998"/>
    <n v="0.44779999999999998"/>
    <n v="8"/>
    <n v="68"/>
    <n v="76"/>
  </r>
  <r>
    <n v="179"/>
    <d v="2011-01-08T00:00:00"/>
    <n v="1"/>
    <n v="0"/>
    <n v="1"/>
    <x v="17"/>
    <b v="0"/>
    <x v="0"/>
    <n v="1"/>
    <x v="13"/>
    <n v="0.1212"/>
    <n v="0.37"/>
    <n v="0.55220000000000002"/>
    <n v="5"/>
    <n v="64"/>
    <n v="69"/>
  </r>
  <r>
    <n v="180"/>
    <d v="2011-01-08T00:00:00"/>
    <n v="1"/>
    <n v="0"/>
    <n v="1"/>
    <x v="18"/>
    <b v="0"/>
    <x v="0"/>
    <n v="1"/>
    <x v="14"/>
    <n v="0.1212"/>
    <n v="0.39"/>
    <n v="0.29849999999999999"/>
    <n v="3"/>
    <n v="52"/>
    <n v="55"/>
  </r>
  <r>
    <n v="181"/>
    <d v="2011-01-08T00:00:00"/>
    <n v="1"/>
    <n v="0"/>
    <n v="1"/>
    <x v="19"/>
    <b v="0"/>
    <x v="0"/>
    <n v="1"/>
    <x v="14"/>
    <n v="0.1212"/>
    <n v="0.36"/>
    <n v="0.25369999999999998"/>
    <n v="4"/>
    <n v="26"/>
    <n v="30"/>
  </r>
  <r>
    <n v="182"/>
    <d v="2011-01-08T00:00:00"/>
    <n v="1"/>
    <n v="0"/>
    <n v="1"/>
    <x v="20"/>
    <b v="0"/>
    <x v="0"/>
    <n v="1"/>
    <x v="16"/>
    <n v="0.1212"/>
    <n v="0.36"/>
    <n v="0.25369999999999998"/>
    <n v="0"/>
    <n v="28"/>
    <n v="28"/>
  </r>
  <r>
    <n v="183"/>
    <d v="2011-01-08T00:00:00"/>
    <n v="1"/>
    <n v="0"/>
    <n v="1"/>
    <x v="21"/>
    <b v="0"/>
    <x v="0"/>
    <n v="1"/>
    <x v="16"/>
    <n v="0.1061"/>
    <n v="0.39"/>
    <n v="0.35820000000000002"/>
    <n v="2"/>
    <n v="35"/>
    <n v="37"/>
  </r>
  <r>
    <n v="184"/>
    <d v="2011-01-08T00:00:00"/>
    <n v="1"/>
    <n v="0"/>
    <n v="1"/>
    <x v="22"/>
    <b v="0"/>
    <x v="0"/>
    <n v="1"/>
    <x v="16"/>
    <n v="0.1061"/>
    <n v="0.36"/>
    <n v="0.3881"/>
    <n v="1"/>
    <n v="33"/>
    <n v="34"/>
  </r>
  <r>
    <n v="185"/>
    <d v="2011-01-08T00:00:00"/>
    <n v="1"/>
    <n v="0"/>
    <n v="1"/>
    <x v="23"/>
    <b v="0"/>
    <x v="0"/>
    <n v="1"/>
    <x v="18"/>
    <n v="6.0600000000000001E-2"/>
    <n v="0.39"/>
    <n v="0.44779999999999998"/>
    <n v="0"/>
    <n v="22"/>
    <n v="22"/>
  </r>
  <r>
    <n v="186"/>
    <d v="2011-01-09T00:00:00"/>
    <n v="1"/>
    <n v="0"/>
    <n v="1"/>
    <x v="0"/>
    <b v="0"/>
    <x v="1"/>
    <n v="1"/>
    <x v="18"/>
    <n v="7.5800000000000006E-2"/>
    <n v="0.42"/>
    <n v="0.3881"/>
    <n v="1"/>
    <n v="24"/>
    <n v="25"/>
  </r>
  <r>
    <n v="187"/>
    <d v="2011-01-09T00:00:00"/>
    <n v="1"/>
    <n v="0"/>
    <n v="1"/>
    <x v="1"/>
    <b v="0"/>
    <x v="1"/>
    <n v="1"/>
    <x v="18"/>
    <n v="6.0600000000000001E-2"/>
    <n v="0.42"/>
    <n v="0.4627"/>
    <n v="0"/>
    <n v="12"/>
    <n v="12"/>
  </r>
  <r>
    <n v="188"/>
    <d v="2011-01-09T00:00:00"/>
    <n v="1"/>
    <n v="0"/>
    <n v="1"/>
    <x v="2"/>
    <b v="0"/>
    <x v="1"/>
    <n v="1"/>
    <x v="18"/>
    <n v="6.0600000000000001E-2"/>
    <n v="0.46"/>
    <n v="0.4627"/>
    <n v="0"/>
    <n v="11"/>
    <n v="11"/>
  </r>
  <r>
    <n v="189"/>
    <d v="2011-01-09T00:00:00"/>
    <n v="1"/>
    <n v="0"/>
    <n v="1"/>
    <x v="3"/>
    <b v="0"/>
    <x v="1"/>
    <n v="1"/>
    <x v="18"/>
    <n v="7.5800000000000006E-2"/>
    <n v="0.46"/>
    <n v="0.41789999999999999"/>
    <n v="0"/>
    <n v="4"/>
    <n v="4"/>
  </r>
  <r>
    <n v="190"/>
    <d v="2011-01-09T00:00:00"/>
    <n v="1"/>
    <n v="0"/>
    <n v="1"/>
    <x v="4"/>
    <b v="0"/>
    <x v="1"/>
    <n v="1"/>
    <x v="19"/>
    <n v="9.0899999999999995E-2"/>
    <n v="0.53"/>
    <n v="0.19400000000000001"/>
    <n v="0"/>
    <n v="1"/>
    <n v="1"/>
  </r>
  <r>
    <n v="191"/>
    <d v="2011-01-09T00:00:00"/>
    <n v="1"/>
    <n v="0"/>
    <n v="1"/>
    <x v="5"/>
    <b v="0"/>
    <x v="1"/>
    <n v="1"/>
    <x v="19"/>
    <n v="9.0899999999999995E-2"/>
    <n v="0.53"/>
    <n v="0.19400000000000001"/>
    <n v="0"/>
    <n v="1"/>
    <n v="1"/>
  </r>
  <r>
    <n v="192"/>
    <d v="2011-01-09T00:00:00"/>
    <n v="1"/>
    <n v="0"/>
    <n v="1"/>
    <x v="6"/>
    <b v="0"/>
    <x v="1"/>
    <n v="1"/>
    <x v="18"/>
    <n v="9.0899999999999995E-2"/>
    <n v="0.49"/>
    <n v="0.28360000000000002"/>
    <n v="0"/>
    <n v="1"/>
    <n v="1"/>
  </r>
  <r>
    <n v="193"/>
    <d v="2011-01-09T00:00:00"/>
    <n v="1"/>
    <n v="0"/>
    <n v="1"/>
    <x v="7"/>
    <b v="0"/>
    <x v="1"/>
    <n v="1"/>
    <x v="19"/>
    <n v="9.0899999999999995E-2"/>
    <n v="0.53"/>
    <n v="0.19400000000000001"/>
    <n v="1"/>
    <n v="5"/>
    <n v="6"/>
  </r>
  <r>
    <n v="194"/>
    <d v="2011-01-09T00:00:00"/>
    <n v="1"/>
    <n v="0"/>
    <n v="1"/>
    <x v="8"/>
    <b v="0"/>
    <x v="1"/>
    <n v="1"/>
    <x v="18"/>
    <n v="9.0899999999999995E-2"/>
    <n v="0.49"/>
    <n v="0.28360000000000002"/>
    <n v="0"/>
    <n v="10"/>
    <n v="10"/>
  </r>
  <r>
    <n v="195"/>
    <d v="2011-01-09T00:00:00"/>
    <n v="1"/>
    <n v="0"/>
    <n v="1"/>
    <x v="9"/>
    <b v="0"/>
    <x v="1"/>
    <n v="1"/>
    <x v="16"/>
    <n v="7.5800000000000006E-2"/>
    <n v="0.46"/>
    <n v="0.52239999999999998"/>
    <n v="0"/>
    <n v="19"/>
    <n v="19"/>
  </r>
  <r>
    <n v="196"/>
    <d v="2011-01-09T00:00:00"/>
    <n v="1"/>
    <n v="0"/>
    <n v="1"/>
    <x v="10"/>
    <b v="0"/>
    <x v="1"/>
    <n v="1"/>
    <x v="14"/>
    <n v="0.1061"/>
    <n v="0.43"/>
    <n v="0.3881"/>
    <n v="0"/>
    <n v="49"/>
    <n v="49"/>
  </r>
  <r>
    <n v="197"/>
    <d v="2011-01-09T00:00:00"/>
    <n v="1"/>
    <n v="0"/>
    <n v="1"/>
    <x v="11"/>
    <b v="0"/>
    <x v="1"/>
    <n v="1"/>
    <x v="13"/>
    <n v="0.1212"/>
    <n v="0.4"/>
    <n v="0.52239999999999998"/>
    <n v="2"/>
    <n v="47"/>
    <n v="49"/>
  </r>
  <r>
    <n v="198"/>
    <d v="2011-01-09T00:00:00"/>
    <n v="1"/>
    <n v="0"/>
    <n v="1"/>
    <x v="12"/>
    <b v="0"/>
    <x v="1"/>
    <n v="1"/>
    <x v="15"/>
    <n v="0.13639999999999999"/>
    <n v="0.37"/>
    <n v="0.44779999999999998"/>
    <n v="4"/>
    <n v="79"/>
    <n v="83"/>
  </r>
  <r>
    <n v="199"/>
    <d v="2011-01-09T00:00:00"/>
    <n v="1"/>
    <n v="0"/>
    <n v="1"/>
    <x v="13"/>
    <b v="0"/>
    <x v="1"/>
    <n v="1"/>
    <x v="2"/>
    <n v="0.16669999999999999"/>
    <n v="0.34"/>
    <n v="0.44779999999999998"/>
    <n v="6"/>
    <n v="69"/>
    <n v="75"/>
  </r>
  <r>
    <n v="200"/>
    <d v="2011-01-09T00:00:00"/>
    <n v="1"/>
    <n v="0"/>
    <n v="1"/>
    <x v="14"/>
    <b v="0"/>
    <x v="1"/>
    <n v="1"/>
    <x v="1"/>
    <n v="0.18179999999999999"/>
    <n v="0.32"/>
    <n v="0.4627"/>
    <n v="8"/>
    <n v="64"/>
    <n v="72"/>
  </r>
  <r>
    <n v="201"/>
    <d v="2011-01-09T00:00:00"/>
    <n v="1"/>
    <n v="0"/>
    <n v="1"/>
    <x v="15"/>
    <b v="0"/>
    <x v="1"/>
    <n v="1"/>
    <x v="1"/>
    <n v="0.19700000000000001"/>
    <n v="0.35"/>
    <n v="0.35820000000000002"/>
    <n v="5"/>
    <n v="77"/>
    <n v="82"/>
  </r>
  <r>
    <n v="202"/>
    <d v="2011-01-09T00:00:00"/>
    <n v="1"/>
    <n v="0"/>
    <n v="1"/>
    <x v="16"/>
    <b v="0"/>
    <x v="1"/>
    <n v="1"/>
    <x v="2"/>
    <n v="0.16669999999999999"/>
    <n v="0.34"/>
    <n v="0.44779999999999998"/>
    <n v="13"/>
    <n v="79"/>
    <n v="92"/>
  </r>
  <r>
    <n v="203"/>
    <d v="2011-01-09T00:00:00"/>
    <n v="1"/>
    <n v="0"/>
    <n v="1"/>
    <x v="17"/>
    <b v="0"/>
    <x v="1"/>
    <n v="1"/>
    <x v="15"/>
    <n v="0.1515"/>
    <n v="0.37"/>
    <n v="0.3881"/>
    <n v="3"/>
    <n v="59"/>
    <n v="62"/>
  </r>
  <r>
    <n v="204"/>
    <d v="2011-01-09T00:00:00"/>
    <n v="1"/>
    <n v="0"/>
    <n v="1"/>
    <x v="18"/>
    <b v="0"/>
    <x v="1"/>
    <n v="1"/>
    <x v="13"/>
    <n v="0.13639999999999999"/>
    <n v="0.4"/>
    <n v="0.32840000000000003"/>
    <n v="4"/>
    <n v="44"/>
    <n v="48"/>
  </r>
  <r>
    <n v="205"/>
    <d v="2011-01-09T00:00:00"/>
    <n v="1"/>
    <n v="0"/>
    <n v="1"/>
    <x v="19"/>
    <b v="0"/>
    <x v="1"/>
    <n v="1"/>
    <x v="13"/>
    <n v="0.13639999999999999"/>
    <n v="0.43"/>
    <n v="0.32840000000000003"/>
    <n v="1"/>
    <n v="40"/>
    <n v="41"/>
  </r>
  <r>
    <n v="206"/>
    <d v="2011-01-09T00:00:00"/>
    <n v="1"/>
    <n v="0"/>
    <n v="1"/>
    <x v="20"/>
    <b v="0"/>
    <x v="1"/>
    <n v="1"/>
    <x v="14"/>
    <n v="0.1212"/>
    <n v="0.46"/>
    <n v="0.25369999999999998"/>
    <n v="0"/>
    <n v="38"/>
    <n v="38"/>
  </r>
  <r>
    <n v="207"/>
    <d v="2011-01-09T00:00:00"/>
    <n v="1"/>
    <n v="0"/>
    <n v="1"/>
    <x v="21"/>
    <b v="0"/>
    <x v="1"/>
    <n v="1"/>
    <x v="14"/>
    <n v="0.1061"/>
    <n v="0.46"/>
    <n v="0.41789999999999999"/>
    <n v="1"/>
    <n v="19"/>
    <n v="20"/>
  </r>
  <r>
    <n v="208"/>
    <d v="2011-01-09T00:00:00"/>
    <n v="1"/>
    <n v="0"/>
    <n v="1"/>
    <x v="22"/>
    <b v="0"/>
    <x v="1"/>
    <n v="1"/>
    <x v="14"/>
    <n v="0.1212"/>
    <n v="0.46"/>
    <n v="0.29849999999999999"/>
    <n v="5"/>
    <n v="10"/>
    <n v="15"/>
  </r>
  <r>
    <n v="209"/>
    <d v="2011-01-09T00:00:00"/>
    <n v="1"/>
    <n v="0"/>
    <n v="1"/>
    <x v="23"/>
    <b v="0"/>
    <x v="1"/>
    <n v="1"/>
    <x v="16"/>
    <n v="0.13639999999999999"/>
    <n v="0.5"/>
    <n v="0.19400000000000001"/>
    <n v="0"/>
    <n v="6"/>
    <n v="6"/>
  </r>
  <r>
    <n v="210"/>
    <d v="2011-01-10T00:00:00"/>
    <n v="1"/>
    <n v="0"/>
    <n v="1"/>
    <x v="0"/>
    <b v="0"/>
    <x v="2"/>
    <n v="1"/>
    <x v="16"/>
    <n v="0.1212"/>
    <n v="0.5"/>
    <n v="0.28360000000000002"/>
    <n v="2"/>
    <n v="3"/>
    <n v="5"/>
  </r>
  <r>
    <n v="211"/>
    <d v="2011-01-10T00:00:00"/>
    <n v="1"/>
    <n v="0"/>
    <n v="1"/>
    <x v="1"/>
    <b v="0"/>
    <x v="2"/>
    <n v="1"/>
    <x v="16"/>
    <n v="0.1212"/>
    <n v="0.5"/>
    <n v="0.28360000000000002"/>
    <n v="1"/>
    <n v="0"/>
    <n v="1"/>
  </r>
  <r>
    <n v="212"/>
    <d v="2011-01-10T00:00:00"/>
    <n v="1"/>
    <n v="0"/>
    <n v="1"/>
    <x v="2"/>
    <b v="0"/>
    <x v="2"/>
    <n v="1"/>
    <x v="16"/>
    <n v="0.1212"/>
    <n v="0.5"/>
    <n v="0.22389999999999999"/>
    <n v="0"/>
    <n v="3"/>
    <n v="3"/>
  </r>
  <r>
    <n v="213"/>
    <d v="2011-01-10T00:00:00"/>
    <n v="1"/>
    <n v="0"/>
    <n v="1"/>
    <x v="3"/>
    <b v="0"/>
    <x v="2"/>
    <n v="1"/>
    <x v="16"/>
    <n v="0.1212"/>
    <n v="0.5"/>
    <n v="0.22389999999999999"/>
    <n v="0"/>
    <n v="1"/>
    <n v="1"/>
  </r>
  <r>
    <n v="214"/>
    <d v="2011-01-10T00:00:00"/>
    <n v="1"/>
    <n v="0"/>
    <n v="1"/>
    <x v="4"/>
    <b v="0"/>
    <x v="2"/>
    <n v="1"/>
    <x v="18"/>
    <n v="0.1212"/>
    <n v="0.54"/>
    <n v="0.1343"/>
    <n v="1"/>
    <n v="2"/>
    <n v="3"/>
  </r>
  <r>
    <n v="215"/>
    <d v="2011-01-10T00:00:00"/>
    <n v="1"/>
    <n v="0"/>
    <n v="1"/>
    <x v="5"/>
    <b v="0"/>
    <x v="2"/>
    <n v="1"/>
    <x v="18"/>
    <n v="0.1061"/>
    <n v="0.54"/>
    <n v="0.25369999999999998"/>
    <n v="0"/>
    <n v="3"/>
    <n v="3"/>
  </r>
  <r>
    <n v="216"/>
    <d v="2011-01-10T00:00:00"/>
    <n v="1"/>
    <n v="0"/>
    <n v="1"/>
    <x v="6"/>
    <b v="0"/>
    <x v="2"/>
    <n v="1"/>
    <x v="16"/>
    <n v="0.1212"/>
    <n v="0.5"/>
    <n v="0.28360000000000002"/>
    <n v="0"/>
    <n v="31"/>
    <n v="31"/>
  </r>
  <r>
    <n v="217"/>
    <d v="2011-01-10T00:00:00"/>
    <n v="1"/>
    <n v="0"/>
    <n v="1"/>
    <x v="7"/>
    <b v="0"/>
    <x v="2"/>
    <n v="1"/>
    <x v="16"/>
    <n v="0.1212"/>
    <n v="0.5"/>
    <n v="0.22389999999999999"/>
    <n v="2"/>
    <n v="75"/>
    <n v="77"/>
  </r>
  <r>
    <n v="218"/>
    <d v="2011-01-10T00:00:00"/>
    <n v="1"/>
    <n v="0"/>
    <n v="1"/>
    <x v="8"/>
    <b v="0"/>
    <x v="2"/>
    <n v="2"/>
    <x v="16"/>
    <n v="0.1212"/>
    <n v="0.5"/>
    <n v="0.28360000000000002"/>
    <n v="4"/>
    <n v="184"/>
    <n v="188"/>
  </r>
  <r>
    <n v="219"/>
    <d v="2011-01-10T00:00:00"/>
    <n v="1"/>
    <n v="0"/>
    <n v="1"/>
    <x v="9"/>
    <b v="0"/>
    <x v="2"/>
    <n v="2"/>
    <x v="14"/>
    <n v="0.1212"/>
    <n v="0.5"/>
    <n v="0.25369999999999998"/>
    <n v="2"/>
    <n v="92"/>
    <n v="94"/>
  </r>
  <r>
    <n v="220"/>
    <d v="2011-01-10T00:00:00"/>
    <n v="1"/>
    <n v="0"/>
    <n v="1"/>
    <x v="10"/>
    <b v="0"/>
    <x v="2"/>
    <n v="2"/>
    <x v="14"/>
    <n v="0.1212"/>
    <n v="0.5"/>
    <n v="0.29849999999999999"/>
    <n v="0"/>
    <n v="31"/>
    <n v="31"/>
  </r>
  <r>
    <n v="221"/>
    <d v="2011-01-10T00:00:00"/>
    <n v="1"/>
    <n v="0"/>
    <n v="1"/>
    <x v="11"/>
    <b v="0"/>
    <x v="2"/>
    <n v="2"/>
    <x v="13"/>
    <n v="0.13639999999999999"/>
    <n v="0.47"/>
    <n v="0.28360000000000002"/>
    <n v="2"/>
    <n v="28"/>
    <n v="30"/>
  </r>
  <r>
    <n v="222"/>
    <d v="2011-01-10T00:00:00"/>
    <n v="1"/>
    <n v="0"/>
    <n v="1"/>
    <x v="12"/>
    <b v="0"/>
    <x v="2"/>
    <n v="2"/>
    <x v="2"/>
    <n v="0.18179999999999999"/>
    <n v="0.4"/>
    <n v="0.28360000000000002"/>
    <n v="5"/>
    <n v="47"/>
    <n v="52"/>
  </r>
  <r>
    <n v="223"/>
    <d v="2011-01-10T00:00:00"/>
    <n v="1"/>
    <n v="0"/>
    <n v="1"/>
    <x v="13"/>
    <b v="0"/>
    <x v="2"/>
    <n v="2"/>
    <x v="2"/>
    <n v="0.18179999999999999"/>
    <n v="0.4"/>
    <n v="0.28360000000000002"/>
    <n v="4"/>
    <n v="50"/>
    <n v="54"/>
  </r>
  <r>
    <n v="224"/>
    <d v="2011-01-10T00:00:00"/>
    <n v="1"/>
    <n v="0"/>
    <n v="1"/>
    <x v="14"/>
    <b v="0"/>
    <x v="2"/>
    <n v="2"/>
    <x v="2"/>
    <n v="0.19700000000000001"/>
    <n v="0.4"/>
    <n v="0.22389999999999999"/>
    <n v="0"/>
    <n v="47"/>
    <n v="47"/>
  </r>
  <r>
    <n v="225"/>
    <d v="2011-01-10T00:00:00"/>
    <n v="1"/>
    <n v="0"/>
    <n v="1"/>
    <x v="15"/>
    <b v="0"/>
    <x v="2"/>
    <n v="2"/>
    <x v="2"/>
    <n v="0.19700000000000001"/>
    <n v="0.4"/>
    <n v="0.22389999999999999"/>
    <n v="2"/>
    <n v="43"/>
    <n v="45"/>
  </r>
  <r>
    <n v="226"/>
    <d v="2011-01-10T00:00:00"/>
    <n v="1"/>
    <n v="0"/>
    <n v="1"/>
    <x v="16"/>
    <b v="0"/>
    <x v="2"/>
    <n v="1"/>
    <x v="2"/>
    <n v="0.21210000000000001"/>
    <n v="0.4"/>
    <n v="0.1343"/>
    <n v="4"/>
    <n v="70"/>
    <n v="74"/>
  </r>
  <r>
    <n v="227"/>
    <d v="2011-01-10T00:00:00"/>
    <n v="1"/>
    <n v="0"/>
    <n v="1"/>
    <x v="17"/>
    <b v="0"/>
    <x v="2"/>
    <n v="1"/>
    <x v="2"/>
    <n v="0.2273"/>
    <n v="0.4"/>
    <n v="0.1045"/>
    <n v="4"/>
    <n v="174"/>
    <n v="178"/>
  </r>
  <r>
    <n v="228"/>
    <d v="2011-01-10T00:00:00"/>
    <n v="1"/>
    <n v="0"/>
    <n v="1"/>
    <x v="18"/>
    <b v="0"/>
    <x v="2"/>
    <n v="1"/>
    <x v="2"/>
    <n v="0.19700000000000001"/>
    <n v="0.4"/>
    <n v="0.22389999999999999"/>
    <n v="1"/>
    <n v="154"/>
    <n v="155"/>
  </r>
  <r>
    <n v="229"/>
    <d v="2011-01-10T00:00:00"/>
    <n v="1"/>
    <n v="0"/>
    <n v="1"/>
    <x v="19"/>
    <b v="0"/>
    <x v="2"/>
    <n v="1"/>
    <x v="13"/>
    <n v="0.16669999999999999"/>
    <n v="0.47"/>
    <n v="0.16420000000000001"/>
    <n v="3"/>
    <n v="92"/>
    <n v="95"/>
  </r>
  <r>
    <n v="230"/>
    <d v="2011-01-10T00:00:00"/>
    <n v="1"/>
    <n v="0"/>
    <n v="1"/>
    <x v="20"/>
    <b v="0"/>
    <x v="2"/>
    <n v="1"/>
    <x v="13"/>
    <n v="0.16669999999999999"/>
    <n v="0.5"/>
    <n v="0.16420000000000001"/>
    <n v="1"/>
    <n v="73"/>
    <n v="74"/>
  </r>
  <r>
    <n v="231"/>
    <d v="2011-01-10T00:00:00"/>
    <n v="1"/>
    <n v="0"/>
    <n v="1"/>
    <x v="21"/>
    <b v="0"/>
    <x v="2"/>
    <n v="1"/>
    <x v="14"/>
    <n v="0.13639999999999999"/>
    <n v="0.59"/>
    <n v="0.19400000000000001"/>
    <n v="1"/>
    <n v="37"/>
    <n v="38"/>
  </r>
  <r>
    <n v="232"/>
    <d v="2011-01-10T00:00:00"/>
    <n v="1"/>
    <n v="0"/>
    <n v="1"/>
    <x v="22"/>
    <b v="0"/>
    <x v="2"/>
    <n v="1"/>
    <x v="14"/>
    <n v="0.1515"/>
    <n v="0.59"/>
    <n v="0.16420000000000001"/>
    <n v="2"/>
    <n v="22"/>
    <n v="24"/>
  </r>
  <r>
    <n v="233"/>
    <d v="2011-01-10T00:00:00"/>
    <n v="1"/>
    <n v="0"/>
    <n v="1"/>
    <x v="23"/>
    <b v="0"/>
    <x v="2"/>
    <n v="1"/>
    <x v="14"/>
    <n v="0.1515"/>
    <n v="0.59"/>
    <n v="0.16420000000000001"/>
    <n v="0"/>
    <n v="18"/>
    <n v="18"/>
  </r>
  <r>
    <n v="234"/>
    <d v="2011-01-11T00:00:00"/>
    <n v="1"/>
    <n v="0"/>
    <n v="1"/>
    <x v="0"/>
    <b v="0"/>
    <x v="3"/>
    <n v="1"/>
    <x v="14"/>
    <n v="0.16669999999999999"/>
    <n v="0.59"/>
    <n v="0.1045"/>
    <n v="2"/>
    <n v="10"/>
    <n v="12"/>
  </r>
  <r>
    <n v="235"/>
    <d v="2011-01-11T00:00:00"/>
    <n v="1"/>
    <n v="0"/>
    <n v="1"/>
    <x v="1"/>
    <b v="0"/>
    <x v="3"/>
    <n v="1"/>
    <x v="14"/>
    <n v="0.1515"/>
    <n v="0.59"/>
    <n v="0.16420000000000001"/>
    <n v="0"/>
    <n v="3"/>
    <n v="3"/>
  </r>
  <r>
    <n v="236"/>
    <d v="2011-01-11T00:00:00"/>
    <n v="1"/>
    <n v="0"/>
    <n v="1"/>
    <x v="2"/>
    <b v="0"/>
    <x v="3"/>
    <n v="2"/>
    <x v="13"/>
    <n v="0.1515"/>
    <n v="0.55000000000000004"/>
    <n v="0.19400000000000001"/>
    <n v="0"/>
    <n v="3"/>
    <n v="3"/>
  </r>
  <r>
    <n v="237"/>
    <d v="2011-01-11T00:00:00"/>
    <n v="1"/>
    <n v="0"/>
    <n v="1"/>
    <x v="5"/>
    <b v="0"/>
    <x v="3"/>
    <n v="2"/>
    <x v="13"/>
    <n v="0.18179999999999999"/>
    <n v="0.55000000000000004"/>
    <n v="0.1343"/>
    <n v="0"/>
    <n v="6"/>
    <n v="6"/>
  </r>
  <r>
    <n v="238"/>
    <d v="2011-01-11T00:00:00"/>
    <n v="1"/>
    <n v="0"/>
    <n v="1"/>
    <x v="6"/>
    <b v="0"/>
    <x v="3"/>
    <n v="2"/>
    <x v="13"/>
    <n v="0.18179999999999999"/>
    <n v="0.55000000000000004"/>
    <n v="0.1343"/>
    <n v="0"/>
    <n v="27"/>
    <n v="27"/>
  </r>
  <r>
    <n v="239"/>
    <d v="2011-01-11T00:00:00"/>
    <n v="1"/>
    <n v="0"/>
    <n v="1"/>
    <x v="7"/>
    <b v="0"/>
    <x v="3"/>
    <n v="2"/>
    <x v="13"/>
    <n v="0.2273"/>
    <n v="0.55000000000000004"/>
    <n v="0"/>
    <n v="2"/>
    <n v="97"/>
    <n v="99"/>
  </r>
  <r>
    <n v="240"/>
    <d v="2011-01-11T00:00:00"/>
    <n v="1"/>
    <n v="0"/>
    <n v="1"/>
    <x v="8"/>
    <b v="0"/>
    <x v="3"/>
    <n v="2"/>
    <x v="15"/>
    <n v="0.21210000000000001"/>
    <n v="0.51"/>
    <n v="8.9599999999999999E-2"/>
    <n v="3"/>
    <n v="214"/>
    <n v="217"/>
  </r>
  <r>
    <n v="241"/>
    <d v="2011-01-11T00:00:00"/>
    <n v="1"/>
    <n v="0"/>
    <n v="1"/>
    <x v="9"/>
    <b v="0"/>
    <x v="3"/>
    <n v="2"/>
    <x v="15"/>
    <n v="0.19700000000000001"/>
    <n v="0.51"/>
    <n v="0.16420000000000001"/>
    <n v="3"/>
    <n v="127"/>
    <n v="130"/>
  </r>
  <r>
    <n v="242"/>
    <d v="2011-01-11T00:00:00"/>
    <n v="1"/>
    <n v="0"/>
    <n v="1"/>
    <x v="10"/>
    <b v="0"/>
    <x v="3"/>
    <n v="2"/>
    <x v="2"/>
    <n v="0.21210000000000001"/>
    <n v="0.51"/>
    <n v="0.16420000000000001"/>
    <n v="3"/>
    <n v="51"/>
    <n v="54"/>
  </r>
  <r>
    <n v="243"/>
    <d v="2011-01-11T00:00:00"/>
    <n v="1"/>
    <n v="0"/>
    <n v="1"/>
    <x v="11"/>
    <b v="0"/>
    <x v="3"/>
    <n v="2"/>
    <x v="2"/>
    <n v="0.21210000000000001"/>
    <n v="0.47"/>
    <n v="0.1343"/>
    <n v="4"/>
    <n v="31"/>
    <n v="35"/>
  </r>
  <r>
    <n v="244"/>
    <d v="2011-01-11T00:00:00"/>
    <n v="1"/>
    <n v="0"/>
    <n v="1"/>
    <x v="12"/>
    <b v="0"/>
    <x v="3"/>
    <n v="2"/>
    <x v="2"/>
    <n v="0.2273"/>
    <n v="0.51"/>
    <n v="0.1045"/>
    <n v="2"/>
    <n v="55"/>
    <n v="57"/>
  </r>
  <r>
    <n v="245"/>
    <d v="2011-01-11T00:00:00"/>
    <n v="1"/>
    <n v="0"/>
    <n v="1"/>
    <x v="13"/>
    <b v="0"/>
    <x v="3"/>
    <n v="2"/>
    <x v="2"/>
    <n v="0.2273"/>
    <n v="0.59"/>
    <n v="8.9599999999999999E-2"/>
    <n v="6"/>
    <n v="46"/>
    <n v="52"/>
  </r>
  <r>
    <n v="246"/>
    <d v="2011-01-11T00:00:00"/>
    <n v="1"/>
    <n v="0"/>
    <n v="1"/>
    <x v="14"/>
    <b v="0"/>
    <x v="3"/>
    <n v="2"/>
    <x v="2"/>
    <n v="0.2273"/>
    <n v="0.59"/>
    <n v="8.9599999999999999E-2"/>
    <n v="3"/>
    <n v="60"/>
    <n v="63"/>
  </r>
  <r>
    <n v="247"/>
    <d v="2011-01-11T00:00:00"/>
    <n v="1"/>
    <n v="0"/>
    <n v="1"/>
    <x v="15"/>
    <b v="0"/>
    <x v="3"/>
    <n v="2"/>
    <x v="13"/>
    <n v="0.19700000000000001"/>
    <n v="0.8"/>
    <n v="8.9599999999999999E-2"/>
    <n v="2"/>
    <n v="45"/>
    <n v="47"/>
  </r>
  <r>
    <n v="248"/>
    <d v="2011-01-11T00:00:00"/>
    <n v="1"/>
    <n v="0"/>
    <n v="1"/>
    <x v="16"/>
    <b v="0"/>
    <x v="3"/>
    <n v="2"/>
    <x v="13"/>
    <n v="0.1515"/>
    <n v="0.86"/>
    <n v="0.22389999999999999"/>
    <n v="4"/>
    <n v="72"/>
    <n v="76"/>
  </r>
  <r>
    <n v="249"/>
    <d v="2011-01-11T00:00:00"/>
    <n v="1"/>
    <n v="0"/>
    <n v="1"/>
    <x v="17"/>
    <b v="0"/>
    <x v="3"/>
    <n v="2"/>
    <x v="13"/>
    <n v="0.1515"/>
    <n v="0.86"/>
    <n v="0.22389999999999999"/>
    <n v="6"/>
    <n v="130"/>
    <n v="136"/>
  </r>
  <r>
    <n v="250"/>
    <d v="2011-01-11T00:00:00"/>
    <n v="1"/>
    <n v="0"/>
    <n v="1"/>
    <x v="18"/>
    <b v="0"/>
    <x v="3"/>
    <n v="3"/>
    <x v="13"/>
    <n v="0.18179999999999999"/>
    <n v="0.93"/>
    <n v="0.1045"/>
    <n v="1"/>
    <n v="94"/>
    <n v="95"/>
  </r>
  <r>
    <n v="251"/>
    <d v="2011-01-11T00:00:00"/>
    <n v="1"/>
    <n v="0"/>
    <n v="1"/>
    <x v="19"/>
    <b v="0"/>
    <x v="3"/>
    <n v="3"/>
    <x v="13"/>
    <n v="0.2273"/>
    <n v="0.93"/>
    <n v="0"/>
    <n v="0"/>
    <n v="51"/>
    <n v="51"/>
  </r>
  <r>
    <n v="252"/>
    <d v="2011-01-11T00:00:00"/>
    <n v="1"/>
    <n v="0"/>
    <n v="1"/>
    <x v="20"/>
    <b v="0"/>
    <x v="3"/>
    <n v="3"/>
    <x v="13"/>
    <n v="0.1515"/>
    <n v="0.93"/>
    <n v="0.19400000000000001"/>
    <n v="0"/>
    <n v="32"/>
    <n v="32"/>
  </r>
  <r>
    <n v="253"/>
    <d v="2011-01-11T00:00:00"/>
    <n v="1"/>
    <n v="0"/>
    <n v="1"/>
    <x v="21"/>
    <b v="0"/>
    <x v="3"/>
    <n v="3"/>
    <x v="13"/>
    <n v="0.19700000000000001"/>
    <n v="0.86"/>
    <n v="8.9599999999999999E-2"/>
    <n v="0"/>
    <n v="20"/>
    <n v="20"/>
  </r>
  <r>
    <n v="254"/>
    <d v="2011-01-11T00:00:00"/>
    <n v="1"/>
    <n v="0"/>
    <n v="1"/>
    <x v="22"/>
    <b v="0"/>
    <x v="3"/>
    <n v="3"/>
    <x v="13"/>
    <n v="0.18179999999999999"/>
    <n v="0.93"/>
    <n v="0.1045"/>
    <n v="1"/>
    <n v="28"/>
    <n v="29"/>
  </r>
  <r>
    <n v="255"/>
    <d v="2011-01-11T00:00:00"/>
    <n v="1"/>
    <n v="0"/>
    <n v="1"/>
    <x v="23"/>
    <b v="0"/>
    <x v="3"/>
    <n v="3"/>
    <x v="13"/>
    <n v="0.19700000000000001"/>
    <n v="0.93"/>
    <n v="8.9599999999999999E-2"/>
    <n v="1"/>
    <n v="18"/>
    <n v="19"/>
  </r>
  <r>
    <n v="256"/>
    <d v="2011-01-12T00:00:00"/>
    <n v="1"/>
    <n v="0"/>
    <n v="1"/>
    <x v="0"/>
    <b v="0"/>
    <x v="4"/>
    <n v="2"/>
    <x v="13"/>
    <n v="0.19700000000000001"/>
    <n v="0.86"/>
    <n v="8.9599999999999999E-2"/>
    <n v="0"/>
    <n v="7"/>
    <n v="7"/>
  </r>
  <r>
    <n v="257"/>
    <d v="2011-01-12T00:00:00"/>
    <n v="1"/>
    <n v="0"/>
    <n v="1"/>
    <x v="1"/>
    <b v="0"/>
    <x v="4"/>
    <n v="2"/>
    <x v="13"/>
    <n v="0.18179999999999999"/>
    <n v="0.86"/>
    <n v="0.1045"/>
    <n v="0"/>
    <n v="6"/>
    <n v="6"/>
  </r>
  <r>
    <n v="258"/>
    <d v="2011-01-12T00:00:00"/>
    <n v="1"/>
    <n v="0"/>
    <n v="1"/>
    <x v="2"/>
    <b v="0"/>
    <x v="4"/>
    <n v="1"/>
    <x v="14"/>
    <n v="0.1515"/>
    <n v="0.86"/>
    <n v="0.1343"/>
    <n v="0"/>
    <n v="1"/>
    <n v="1"/>
  </r>
  <r>
    <n v="259"/>
    <d v="2011-01-12T00:00:00"/>
    <n v="1"/>
    <n v="0"/>
    <n v="1"/>
    <x v="5"/>
    <b v="0"/>
    <x v="4"/>
    <n v="1"/>
    <x v="14"/>
    <n v="0.1515"/>
    <n v="0.86"/>
    <n v="0.16420000000000001"/>
    <n v="0"/>
    <n v="5"/>
    <n v="5"/>
  </r>
  <r>
    <n v="260"/>
    <d v="2011-01-12T00:00:00"/>
    <n v="1"/>
    <n v="0"/>
    <n v="1"/>
    <x v="6"/>
    <b v="0"/>
    <x v="4"/>
    <n v="1"/>
    <x v="16"/>
    <n v="0.1515"/>
    <n v="0.93"/>
    <n v="0.1343"/>
    <n v="0"/>
    <n v="16"/>
    <n v="16"/>
  </r>
  <r>
    <n v="261"/>
    <d v="2011-01-12T00:00:00"/>
    <n v="1"/>
    <n v="0"/>
    <n v="1"/>
    <x v="7"/>
    <b v="0"/>
    <x v="4"/>
    <n v="1"/>
    <x v="14"/>
    <n v="0.1515"/>
    <n v="0.69"/>
    <n v="0.1343"/>
    <n v="0"/>
    <n v="54"/>
    <n v="54"/>
  </r>
  <r>
    <n v="262"/>
    <d v="2011-01-12T00:00:00"/>
    <n v="1"/>
    <n v="0"/>
    <n v="1"/>
    <x v="8"/>
    <b v="0"/>
    <x v="4"/>
    <n v="1"/>
    <x v="13"/>
    <n v="0.16669999999999999"/>
    <n v="0.59"/>
    <n v="0.16420000000000001"/>
    <n v="3"/>
    <n v="125"/>
    <n v="128"/>
  </r>
  <r>
    <n v="263"/>
    <d v="2011-01-12T00:00:00"/>
    <n v="1"/>
    <n v="0"/>
    <n v="1"/>
    <x v="9"/>
    <b v="0"/>
    <x v="4"/>
    <n v="1"/>
    <x v="13"/>
    <n v="0.13639999999999999"/>
    <n v="0.59"/>
    <n v="0.32840000000000003"/>
    <n v="3"/>
    <n v="78"/>
    <n v="81"/>
  </r>
  <r>
    <n v="264"/>
    <d v="2011-01-12T00:00:00"/>
    <n v="1"/>
    <n v="0"/>
    <n v="1"/>
    <x v="10"/>
    <b v="0"/>
    <x v="4"/>
    <n v="1"/>
    <x v="15"/>
    <n v="0.18179999999999999"/>
    <n v="0.55000000000000004"/>
    <n v="0.22389999999999999"/>
    <n v="0"/>
    <n v="39"/>
    <n v="39"/>
  </r>
  <r>
    <n v="265"/>
    <d v="2011-01-12T00:00:00"/>
    <n v="1"/>
    <n v="0"/>
    <n v="1"/>
    <x v="11"/>
    <b v="0"/>
    <x v="4"/>
    <n v="1"/>
    <x v="2"/>
    <n v="0.18179999999999999"/>
    <n v="0.51"/>
    <n v="0.3881"/>
    <n v="3"/>
    <n v="32"/>
    <n v="35"/>
  </r>
  <r>
    <n v="266"/>
    <d v="2011-01-12T00:00:00"/>
    <n v="1"/>
    <n v="0"/>
    <n v="1"/>
    <x v="12"/>
    <b v="0"/>
    <x v="4"/>
    <n v="1"/>
    <x v="2"/>
    <n v="0.1515"/>
    <n v="0.47"/>
    <n v="0.58209999999999995"/>
    <n v="3"/>
    <n v="52"/>
    <n v="55"/>
  </r>
  <r>
    <n v="267"/>
    <d v="2011-01-12T00:00:00"/>
    <n v="1"/>
    <n v="0"/>
    <n v="1"/>
    <x v="13"/>
    <b v="0"/>
    <x v="4"/>
    <n v="1"/>
    <x v="1"/>
    <n v="0.19700000000000001"/>
    <n v="0.44"/>
    <n v="0.35820000000000002"/>
    <n v="0"/>
    <n v="49"/>
    <n v="49"/>
  </r>
  <r>
    <n v="268"/>
    <d v="2011-01-12T00:00:00"/>
    <n v="1"/>
    <n v="0"/>
    <n v="1"/>
    <x v="14"/>
    <b v="0"/>
    <x v="4"/>
    <n v="1"/>
    <x v="2"/>
    <n v="0.18179999999999999"/>
    <n v="0.47"/>
    <n v="0.32840000000000003"/>
    <n v="0"/>
    <n v="44"/>
    <n v="44"/>
  </r>
  <r>
    <n v="269"/>
    <d v="2011-01-12T00:00:00"/>
    <n v="1"/>
    <n v="0"/>
    <n v="1"/>
    <x v="15"/>
    <b v="0"/>
    <x v="4"/>
    <n v="1"/>
    <x v="2"/>
    <n v="0.16669999999999999"/>
    <n v="0.47"/>
    <n v="0.41789999999999999"/>
    <n v="1"/>
    <n v="48"/>
    <n v="49"/>
  </r>
  <r>
    <n v="270"/>
    <d v="2011-01-12T00:00:00"/>
    <n v="1"/>
    <n v="0"/>
    <n v="1"/>
    <x v="16"/>
    <b v="0"/>
    <x v="4"/>
    <n v="1"/>
    <x v="1"/>
    <n v="0.19700000000000001"/>
    <n v="0.44"/>
    <n v="0.32840000000000003"/>
    <n v="5"/>
    <n v="63"/>
    <n v="68"/>
  </r>
  <r>
    <n v="271"/>
    <d v="2011-01-12T00:00:00"/>
    <n v="1"/>
    <n v="0"/>
    <n v="1"/>
    <x v="17"/>
    <b v="0"/>
    <x v="4"/>
    <n v="1"/>
    <x v="2"/>
    <n v="0.18179999999999999"/>
    <n v="0.47"/>
    <n v="0.35820000000000002"/>
    <n v="0"/>
    <n v="139"/>
    <n v="139"/>
  </r>
  <r>
    <n v="272"/>
    <d v="2011-01-12T00:00:00"/>
    <n v="1"/>
    <n v="0"/>
    <n v="1"/>
    <x v="18"/>
    <b v="0"/>
    <x v="4"/>
    <n v="1"/>
    <x v="2"/>
    <n v="0.1515"/>
    <n v="0.47"/>
    <n v="0.52239999999999998"/>
    <n v="2"/>
    <n v="135"/>
    <n v="137"/>
  </r>
  <r>
    <n v="273"/>
    <d v="2011-01-12T00:00:00"/>
    <n v="1"/>
    <n v="0"/>
    <n v="1"/>
    <x v="19"/>
    <b v="0"/>
    <x v="4"/>
    <n v="1"/>
    <x v="15"/>
    <n v="0.1515"/>
    <n v="0.47"/>
    <n v="0.41789999999999999"/>
    <n v="1"/>
    <n v="82"/>
    <n v="83"/>
  </r>
  <r>
    <n v="274"/>
    <d v="2011-01-12T00:00:00"/>
    <n v="1"/>
    <n v="0"/>
    <n v="1"/>
    <x v="20"/>
    <b v="0"/>
    <x v="4"/>
    <n v="1"/>
    <x v="13"/>
    <n v="0.13639999999999999"/>
    <n v="0.5"/>
    <n v="0.32840000000000003"/>
    <n v="2"/>
    <n v="54"/>
    <n v="56"/>
  </r>
  <r>
    <n v="275"/>
    <d v="2011-01-12T00:00:00"/>
    <n v="1"/>
    <n v="0"/>
    <n v="1"/>
    <x v="21"/>
    <b v="0"/>
    <x v="4"/>
    <n v="1"/>
    <x v="13"/>
    <n v="0.13639999999999999"/>
    <n v="0.55000000000000004"/>
    <n v="0.32840000000000003"/>
    <n v="0"/>
    <n v="57"/>
    <n v="57"/>
  </r>
  <r>
    <n v="276"/>
    <d v="2011-01-12T00:00:00"/>
    <n v="1"/>
    <n v="0"/>
    <n v="1"/>
    <x v="22"/>
    <b v="0"/>
    <x v="4"/>
    <n v="1"/>
    <x v="13"/>
    <n v="0.1212"/>
    <n v="0.55000000000000004"/>
    <n v="0.44779999999999998"/>
    <n v="1"/>
    <n v="32"/>
    <n v="33"/>
  </r>
  <r>
    <n v="277"/>
    <d v="2011-01-12T00:00:00"/>
    <n v="1"/>
    <n v="0"/>
    <n v="1"/>
    <x v="23"/>
    <b v="0"/>
    <x v="4"/>
    <n v="1"/>
    <x v="14"/>
    <n v="0.1061"/>
    <n v="0.59"/>
    <n v="0.41789999999999999"/>
    <n v="1"/>
    <n v="19"/>
    <n v="20"/>
  </r>
  <r>
    <n v="278"/>
    <d v="2011-01-13T00:00:00"/>
    <n v="1"/>
    <n v="0"/>
    <n v="1"/>
    <x v="0"/>
    <b v="0"/>
    <x v="5"/>
    <n v="1"/>
    <x v="14"/>
    <n v="0.1212"/>
    <n v="0.59"/>
    <n v="0.28360000000000002"/>
    <n v="1"/>
    <n v="6"/>
    <n v="7"/>
  </r>
  <r>
    <n v="279"/>
    <d v="2011-01-13T00:00:00"/>
    <n v="1"/>
    <n v="0"/>
    <n v="1"/>
    <x v="1"/>
    <b v="0"/>
    <x v="5"/>
    <n v="1"/>
    <x v="14"/>
    <n v="0.1212"/>
    <n v="0.5"/>
    <n v="0.28360000000000002"/>
    <n v="0"/>
    <n v="2"/>
    <n v="2"/>
  </r>
  <r>
    <n v="280"/>
    <d v="2011-01-13T00:00:00"/>
    <n v="1"/>
    <n v="0"/>
    <n v="1"/>
    <x v="2"/>
    <b v="0"/>
    <x v="5"/>
    <n v="1"/>
    <x v="14"/>
    <n v="0.1212"/>
    <n v="0.5"/>
    <n v="0.35820000000000002"/>
    <n v="0"/>
    <n v="2"/>
    <n v="2"/>
  </r>
  <r>
    <n v="281"/>
    <d v="2011-01-13T00:00:00"/>
    <n v="1"/>
    <n v="0"/>
    <n v="1"/>
    <x v="3"/>
    <b v="0"/>
    <x v="5"/>
    <n v="1"/>
    <x v="14"/>
    <n v="0.1212"/>
    <n v="0.5"/>
    <n v="0.32840000000000003"/>
    <n v="0"/>
    <n v="3"/>
    <n v="3"/>
  </r>
  <r>
    <n v="282"/>
    <d v="2011-01-13T00:00:00"/>
    <n v="1"/>
    <n v="0"/>
    <n v="1"/>
    <x v="4"/>
    <b v="0"/>
    <x v="5"/>
    <n v="1"/>
    <x v="14"/>
    <n v="0.1212"/>
    <n v="0.5"/>
    <n v="0.25369999999999998"/>
    <n v="0"/>
    <n v="4"/>
    <n v="4"/>
  </r>
  <r>
    <n v="283"/>
    <d v="2011-01-13T00:00:00"/>
    <n v="1"/>
    <n v="0"/>
    <n v="1"/>
    <x v="5"/>
    <b v="0"/>
    <x v="5"/>
    <n v="1"/>
    <x v="14"/>
    <n v="0.1212"/>
    <n v="0.5"/>
    <n v="0.29849999999999999"/>
    <n v="0"/>
    <n v="3"/>
    <n v="3"/>
  </r>
  <r>
    <n v="284"/>
    <d v="2011-01-13T00:00:00"/>
    <n v="1"/>
    <n v="0"/>
    <n v="1"/>
    <x v="6"/>
    <b v="0"/>
    <x v="5"/>
    <n v="1"/>
    <x v="16"/>
    <n v="0.1515"/>
    <n v="0.54"/>
    <n v="0.1343"/>
    <n v="0"/>
    <n v="28"/>
    <n v="28"/>
  </r>
  <r>
    <n v="285"/>
    <d v="2011-01-13T00:00:00"/>
    <n v="1"/>
    <n v="0"/>
    <n v="1"/>
    <x v="7"/>
    <b v="0"/>
    <x v="5"/>
    <n v="1"/>
    <x v="16"/>
    <n v="0.1515"/>
    <n v="0.54"/>
    <n v="0.1343"/>
    <n v="0"/>
    <n v="72"/>
    <n v="72"/>
  </r>
  <r>
    <n v="286"/>
    <d v="2011-01-13T00:00:00"/>
    <n v="1"/>
    <n v="0"/>
    <n v="1"/>
    <x v="8"/>
    <b v="0"/>
    <x v="5"/>
    <n v="1"/>
    <x v="14"/>
    <n v="0.13639999999999999"/>
    <n v="0.5"/>
    <n v="0.19400000000000001"/>
    <n v="5"/>
    <n v="197"/>
    <n v="202"/>
  </r>
  <r>
    <n v="287"/>
    <d v="2011-01-13T00:00:00"/>
    <n v="1"/>
    <n v="0"/>
    <n v="1"/>
    <x v="9"/>
    <b v="0"/>
    <x v="5"/>
    <n v="1"/>
    <x v="14"/>
    <n v="0.1212"/>
    <n v="0.5"/>
    <n v="0.32840000000000003"/>
    <n v="2"/>
    <n v="137"/>
    <n v="139"/>
  </r>
  <r>
    <n v="288"/>
    <d v="2011-01-13T00:00:00"/>
    <n v="1"/>
    <n v="0"/>
    <n v="1"/>
    <x v="10"/>
    <b v="0"/>
    <x v="5"/>
    <n v="2"/>
    <x v="13"/>
    <n v="0.13639999999999999"/>
    <n v="0.5"/>
    <n v="0.35820000000000002"/>
    <n v="2"/>
    <n v="36"/>
    <n v="38"/>
  </r>
  <r>
    <n v="289"/>
    <d v="2011-01-13T00:00:00"/>
    <n v="1"/>
    <n v="0"/>
    <n v="1"/>
    <x v="11"/>
    <b v="0"/>
    <x v="5"/>
    <n v="2"/>
    <x v="2"/>
    <n v="0.16669999999999999"/>
    <n v="0.44"/>
    <n v="0.44779999999999998"/>
    <n v="4"/>
    <n v="33"/>
    <n v="37"/>
  </r>
  <r>
    <n v="290"/>
    <d v="2011-01-13T00:00:00"/>
    <n v="1"/>
    <n v="0"/>
    <n v="1"/>
    <x v="12"/>
    <b v="0"/>
    <x v="5"/>
    <n v="1"/>
    <x v="2"/>
    <n v="0.16669999999999999"/>
    <n v="0.44"/>
    <n v="0.41789999999999999"/>
    <n v="3"/>
    <n v="49"/>
    <n v="52"/>
  </r>
  <r>
    <n v="291"/>
    <d v="2011-01-13T00:00:00"/>
    <n v="1"/>
    <n v="0"/>
    <n v="1"/>
    <x v="13"/>
    <b v="0"/>
    <x v="5"/>
    <n v="1"/>
    <x v="1"/>
    <n v="0.19700000000000001"/>
    <n v="0.41"/>
    <n v="0.44779999999999998"/>
    <n v="2"/>
    <n v="81"/>
    <n v="83"/>
  </r>
  <r>
    <n v="292"/>
    <d v="2011-01-13T00:00:00"/>
    <n v="1"/>
    <n v="0"/>
    <n v="1"/>
    <x v="14"/>
    <b v="0"/>
    <x v="5"/>
    <n v="1"/>
    <x v="1"/>
    <n v="0.19700000000000001"/>
    <n v="0.41"/>
    <n v="0.3881"/>
    <n v="3"/>
    <n v="39"/>
    <n v="42"/>
  </r>
  <r>
    <n v="293"/>
    <d v="2011-01-13T00:00:00"/>
    <n v="1"/>
    <n v="0"/>
    <n v="1"/>
    <x v="15"/>
    <b v="0"/>
    <x v="5"/>
    <n v="1"/>
    <x v="0"/>
    <n v="0.21210000000000001"/>
    <n v="0.38"/>
    <n v="0.29849999999999999"/>
    <n v="5"/>
    <n v="55"/>
    <n v="60"/>
  </r>
  <r>
    <n v="294"/>
    <d v="2011-01-13T00:00:00"/>
    <n v="1"/>
    <n v="0"/>
    <n v="1"/>
    <x v="16"/>
    <b v="0"/>
    <x v="5"/>
    <n v="1"/>
    <x v="0"/>
    <n v="0.21210000000000001"/>
    <n v="0.38"/>
    <n v="0.35820000000000002"/>
    <n v="2"/>
    <n v="76"/>
    <n v="78"/>
  </r>
  <r>
    <n v="295"/>
    <d v="2011-01-13T00:00:00"/>
    <n v="1"/>
    <n v="0"/>
    <n v="1"/>
    <x v="17"/>
    <b v="0"/>
    <x v="5"/>
    <n v="1"/>
    <x v="2"/>
    <n v="0.18179999999999999"/>
    <n v="0.4"/>
    <n v="0.28360000000000002"/>
    <n v="4"/>
    <n v="158"/>
    <n v="162"/>
  </r>
  <r>
    <n v="296"/>
    <d v="2011-01-13T00:00:00"/>
    <n v="1"/>
    <n v="0"/>
    <n v="1"/>
    <x v="18"/>
    <b v="0"/>
    <x v="5"/>
    <n v="1"/>
    <x v="2"/>
    <n v="0.18179999999999999"/>
    <n v="0.4"/>
    <n v="0.32840000000000003"/>
    <n v="3"/>
    <n v="141"/>
    <n v="144"/>
  </r>
  <r>
    <n v="297"/>
    <d v="2011-01-13T00:00:00"/>
    <n v="1"/>
    <n v="0"/>
    <n v="1"/>
    <x v="19"/>
    <b v="0"/>
    <x v="5"/>
    <n v="1"/>
    <x v="13"/>
    <n v="0.1515"/>
    <n v="0.47"/>
    <n v="0.25369999999999998"/>
    <n v="1"/>
    <n v="98"/>
    <n v="99"/>
  </r>
  <r>
    <n v="298"/>
    <d v="2011-01-13T00:00:00"/>
    <n v="1"/>
    <n v="0"/>
    <n v="1"/>
    <x v="20"/>
    <b v="0"/>
    <x v="5"/>
    <n v="1"/>
    <x v="13"/>
    <n v="0.1515"/>
    <n v="0.47"/>
    <n v="0.22389999999999999"/>
    <n v="0"/>
    <n v="64"/>
    <n v="64"/>
  </r>
  <r>
    <n v="299"/>
    <d v="2011-01-13T00:00:00"/>
    <n v="1"/>
    <n v="0"/>
    <n v="1"/>
    <x v="21"/>
    <b v="0"/>
    <x v="5"/>
    <n v="1"/>
    <x v="14"/>
    <n v="0.1212"/>
    <n v="0.46"/>
    <n v="0.29849999999999999"/>
    <n v="0"/>
    <n v="40"/>
    <n v="40"/>
  </r>
  <r>
    <n v="300"/>
    <d v="2011-01-13T00:00:00"/>
    <n v="1"/>
    <n v="0"/>
    <n v="1"/>
    <x v="22"/>
    <b v="0"/>
    <x v="5"/>
    <n v="1"/>
    <x v="14"/>
    <n v="0.1212"/>
    <n v="0.46"/>
    <n v="0.32840000000000003"/>
    <n v="0"/>
    <n v="30"/>
    <n v="30"/>
  </r>
  <r>
    <n v="301"/>
    <d v="2011-01-13T00:00:00"/>
    <n v="1"/>
    <n v="0"/>
    <n v="1"/>
    <x v="23"/>
    <b v="0"/>
    <x v="5"/>
    <n v="1"/>
    <x v="16"/>
    <n v="0.13639999999999999"/>
    <n v="0.5"/>
    <n v="0.19400000000000001"/>
    <n v="1"/>
    <n v="14"/>
    <n v="15"/>
  </r>
  <r>
    <n v="302"/>
    <d v="2011-01-14T00:00:00"/>
    <n v="1"/>
    <n v="0"/>
    <n v="1"/>
    <x v="0"/>
    <b v="0"/>
    <x v="6"/>
    <n v="1"/>
    <x v="16"/>
    <n v="0.13639999999999999"/>
    <n v="0.5"/>
    <n v="0.19400000000000001"/>
    <n v="0"/>
    <n v="14"/>
    <n v="14"/>
  </r>
  <r>
    <n v="303"/>
    <d v="2011-01-14T00:00:00"/>
    <n v="1"/>
    <n v="0"/>
    <n v="1"/>
    <x v="1"/>
    <b v="0"/>
    <x v="6"/>
    <n v="1"/>
    <x v="18"/>
    <n v="0.1212"/>
    <n v="0.54"/>
    <n v="0.16420000000000001"/>
    <n v="0"/>
    <n v="5"/>
    <n v="5"/>
  </r>
  <r>
    <n v="304"/>
    <d v="2011-01-14T00:00:00"/>
    <n v="1"/>
    <n v="0"/>
    <n v="1"/>
    <x v="2"/>
    <b v="0"/>
    <x v="6"/>
    <n v="1"/>
    <x v="18"/>
    <n v="0.1212"/>
    <n v="0.54"/>
    <n v="0.1343"/>
    <n v="0"/>
    <n v="1"/>
    <n v="1"/>
  </r>
  <r>
    <n v="305"/>
    <d v="2011-01-14T00:00:00"/>
    <n v="1"/>
    <n v="0"/>
    <n v="1"/>
    <x v="3"/>
    <b v="0"/>
    <x v="6"/>
    <n v="1"/>
    <x v="18"/>
    <n v="0.13639999999999999"/>
    <n v="0.54"/>
    <n v="0.1045"/>
    <n v="0"/>
    <n v="1"/>
    <n v="1"/>
  </r>
  <r>
    <n v="306"/>
    <d v="2011-01-14T00:00:00"/>
    <n v="1"/>
    <n v="0"/>
    <n v="1"/>
    <x v="5"/>
    <b v="0"/>
    <x v="6"/>
    <n v="1"/>
    <x v="18"/>
    <n v="0.13639999999999999"/>
    <n v="0.54"/>
    <n v="8.9599999999999999E-2"/>
    <n v="0"/>
    <n v="8"/>
    <n v="8"/>
  </r>
  <r>
    <n v="307"/>
    <d v="2011-01-14T00:00:00"/>
    <n v="1"/>
    <n v="0"/>
    <n v="1"/>
    <x v="6"/>
    <b v="0"/>
    <x v="6"/>
    <n v="1"/>
    <x v="18"/>
    <n v="0.18179999999999999"/>
    <n v="0.54"/>
    <n v="0"/>
    <n v="0"/>
    <n v="17"/>
    <n v="17"/>
  </r>
  <r>
    <n v="308"/>
    <d v="2011-01-14T00:00:00"/>
    <n v="1"/>
    <n v="0"/>
    <n v="1"/>
    <x v="7"/>
    <b v="0"/>
    <x v="6"/>
    <n v="1"/>
    <x v="18"/>
    <n v="0.1212"/>
    <n v="0.74"/>
    <n v="0.16420000000000001"/>
    <n v="0"/>
    <n v="70"/>
    <n v="70"/>
  </r>
  <r>
    <n v="309"/>
    <d v="2011-01-14T00:00:00"/>
    <n v="1"/>
    <n v="0"/>
    <n v="1"/>
    <x v="8"/>
    <b v="0"/>
    <x v="6"/>
    <n v="1"/>
    <x v="16"/>
    <n v="0.16669999999999999"/>
    <n v="0.68"/>
    <n v="0"/>
    <n v="2"/>
    <n v="156"/>
    <n v="158"/>
  </r>
  <r>
    <n v="310"/>
    <d v="2011-01-14T00:00:00"/>
    <n v="1"/>
    <n v="0"/>
    <n v="1"/>
    <x v="9"/>
    <b v="0"/>
    <x v="6"/>
    <n v="1"/>
    <x v="14"/>
    <n v="0.1515"/>
    <n v="0.69"/>
    <n v="0.1343"/>
    <n v="0"/>
    <n v="117"/>
    <n v="117"/>
  </r>
  <r>
    <n v="311"/>
    <d v="2011-01-14T00:00:00"/>
    <n v="1"/>
    <n v="0"/>
    <n v="1"/>
    <x v="10"/>
    <b v="0"/>
    <x v="6"/>
    <n v="1"/>
    <x v="15"/>
    <n v="0.18179999999999999"/>
    <n v="0.55000000000000004"/>
    <n v="0.19400000000000001"/>
    <n v="4"/>
    <n v="40"/>
    <n v="44"/>
  </r>
  <r>
    <n v="312"/>
    <d v="2011-01-14T00:00:00"/>
    <n v="1"/>
    <n v="0"/>
    <n v="1"/>
    <x v="11"/>
    <b v="0"/>
    <x v="6"/>
    <n v="1"/>
    <x v="15"/>
    <n v="0.16669999999999999"/>
    <n v="0.51"/>
    <n v="0.28360000000000002"/>
    <n v="6"/>
    <n v="47"/>
    <n v="53"/>
  </r>
  <r>
    <n v="313"/>
    <d v="2011-01-14T00:00:00"/>
    <n v="1"/>
    <n v="0"/>
    <n v="1"/>
    <x v="12"/>
    <b v="0"/>
    <x v="6"/>
    <n v="1"/>
    <x v="2"/>
    <n v="0.19700000000000001"/>
    <n v="0.44"/>
    <n v="0.25369999999999998"/>
    <n v="2"/>
    <n v="59"/>
    <n v="61"/>
  </r>
  <r>
    <n v="314"/>
    <d v="2011-01-14T00:00:00"/>
    <n v="1"/>
    <n v="0"/>
    <n v="1"/>
    <x v="13"/>
    <b v="0"/>
    <x v="6"/>
    <n v="1"/>
    <x v="1"/>
    <n v="0.19700000000000001"/>
    <n v="0.37"/>
    <n v="0.3881"/>
    <n v="4"/>
    <n v="73"/>
    <n v="77"/>
  </r>
  <r>
    <n v="315"/>
    <d v="2011-01-14T00:00:00"/>
    <n v="1"/>
    <n v="0"/>
    <n v="1"/>
    <x v="14"/>
    <b v="0"/>
    <x v="6"/>
    <n v="1"/>
    <x v="1"/>
    <n v="0.21210000000000001"/>
    <n v="0.41"/>
    <n v="0.28360000000000002"/>
    <n v="5"/>
    <n v="59"/>
    <n v="64"/>
  </r>
  <r>
    <n v="316"/>
    <d v="2011-01-14T00:00:00"/>
    <n v="1"/>
    <n v="0"/>
    <n v="1"/>
    <x v="15"/>
    <b v="0"/>
    <x v="6"/>
    <n v="1"/>
    <x v="0"/>
    <n v="0.2424"/>
    <n v="0.38"/>
    <n v="0.16420000000000001"/>
    <n v="9"/>
    <n v="59"/>
    <n v="68"/>
  </r>
  <r>
    <n v="317"/>
    <d v="2011-01-14T00:00:00"/>
    <n v="1"/>
    <n v="0"/>
    <n v="1"/>
    <x v="16"/>
    <b v="0"/>
    <x v="6"/>
    <n v="1"/>
    <x v="1"/>
    <n v="0.2424"/>
    <n v="0.41"/>
    <n v="0.1045"/>
    <n v="3"/>
    <n v="87"/>
    <n v="90"/>
  </r>
  <r>
    <n v="318"/>
    <d v="2011-01-14T00:00:00"/>
    <n v="1"/>
    <n v="0"/>
    <n v="1"/>
    <x v="17"/>
    <b v="0"/>
    <x v="6"/>
    <n v="1"/>
    <x v="1"/>
    <n v="0.2273"/>
    <n v="0.41"/>
    <n v="0.16420000000000001"/>
    <n v="4"/>
    <n v="155"/>
    <n v="159"/>
  </r>
  <r>
    <n v="319"/>
    <d v="2011-01-14T00:00:00"/>
    <n v="1"/>
    <n v="0"/>
    <n v="1"/>
    <x v="18"/>
    <b v="0"/>
    <x v="6"/>
    <n v="1"/>
    <x v="2"/>
    <n v="0.2576"/>
    <n v="0.47"/>
    <n v="0"/>
    <n v="5"/>
    <n v="134"/>
    <n v="139"/>
  </r>
  <r>
    <n v="320"/>
    <d v="2011-01-14T00:00:00"/>
    <n v="1"/>
    <n v="0"/>
    <n v="1"/>
    <x v="19"/>
    <b v="0"/>
    <x v="6"/>
    <n v="1"/>
    <x v="13"/>
    <n v="0.19700000000000001"/>
    <n v="0.59"/>
    <n v="8.9599999999999999E-2"/>
    <n v="3"/>
    <n v="89"/>
    <n v="92"/>
  </r>
  <r>
    <n v="321"/>
    <d v="2011-01-14T00:00:00"/>
    <n v="1"/>
    <n v="0"/>
    <n v="1"/>
    <x v="20"/>
    <b v="0"/>
    <x v="6"/>
    <n v="1"/>
    <x v="15"/>
    <n v="0.2424"/>
    <n v="0.59"/>
    <n v="0"/>
    <n v="0"/>
    <n v="68"/>
    <n v="68"/>
  </r>
  <r>
    <n v="322"/>
    <d v="2011-01-14T00:00:00"/>
    <n v="1"/>
    <n v="0"/>
    <n v="1"/>
    <x v="21"/>
    <b v="0"/>
    <x v="6"/>
    <n v="1"/>
    <x v="13"/>
    <n v="0.2273"/>
    <n v="0.69"/>
    <n v="0"/>
    <n v="4"/>
    <n v="48"/>
    <n v="52"/>
  </r>
  <r>
    <n v="323"/>
    <d v="2011-01-14T00:00:00"/>
    <n v="1"/>
    <n v="0"/>
    <n v="1"/>
    <x v="22"/>
    <b v="0"/>
    <x v="6"/>
    <n v="2"/>
    <x v="13"/>
    <n v="0.2273"/>
    <n v="0.69"/>
    <n v="0"/>
    <n v="2"/>
    <n v="34"/>
    <n v="36"/>
  </r>
  <r>
    <n v="324"/>
    <d v="2011-01-14T00:00:00"/>
    <n v="1"/>
    <n v="0"/>
    <n v="1"/>
    <x v="23"/>
    <b v="0"/>
    <x v="6"/>
    <n v="2"/>
    <x v="15"/>
    <n v="0.2424"/>
    <n v="0.55000000000000004"/>
    <n v="0"/>
    <n v="1"/>
    <n v="26"/>
    <n v="27"/>
  </r>
  <r>
    <n v="325"/>
    <d v="2011-01-15T00:00:00"/>
    <n v="1"/>
    <n v="0"/>
    <n v="1"/>
    <x v="0"/>
    <b v="0"/>
    <x v="0"/>
    <n v="1"/>
    <x v="15"/>
    <n v="0.2424"/>
    <n v="0.55000000000000004"/>
    <n v="0"/>
    <n v="3"/>
    <n v="25"/>
    <n v="28"/>
  </r>
  <r>
    <n v="326"/>
    <d v="2011-01-15T00:00:00"/>
    <n v="1"/>
    <n v="0"/>
    <n v="1"/>
    <x v="1"/>
    <b v="0"/>
    <x v="0"/>
    <n v="2"/>
    <x v="13"/>
    <n v="0.19700000000000001"/>
    <n v="0.59"/>
    <n v="8.9599999999999999E-2"/>
    <n v="2"/>
    <n v="18"/>
    <n v="20"/>
  </r>
  <r>
    <n v="327"/>
    <d v="2011-01-15T00:00:00"/>
    <n v="1"/>
    <n v="0"/>
    <n v="1"/>
    <x v="2"/>
    <b v="0"/>
    <x v="0"/>
    <n v="2"/>
    <x v="13"/>
    <n v="0.19700000000000001"/>
    <n v="0.59"/>
    <n v="8.9599999999999999E-2"/>
    <n v="0"/>
    <n v="12"/>
    <n v="12"/>
  </r>
  <r>
    <n v="328"/>
    <d v="2011-01-15T00:00:00"/>
    <n v="1"/>
    <n v="0"/>
    <n v="1"/>
    <x v="3"/>
    <b v="0"/>
    <x v="0"/>
    <n v="2"/>
    <x v="13"/>
    <n v="0.2273"/>
    <n v="0.59"/>
    <n v="0"/>
    <n v="1"/>
    <n v="7"/>
    <n v="8"/>
  </r>
  <r>
    <n v="329"/>
    <d v="2011-01-15T00:00:00"/>
    <n v="1"/>
    <n v="0"/>
    <n v="1"/>
    <x v="4"/>
    <b v="0"/>
    <x v="0"/>
    <n v="2"/>
    <x v="13"/>
    <n v="0.2273"/>
    <n v="0.59"/>
    <n v="0"/>
    <n v="0"/>
    <n v="5"/>
    <n v="5"/>
  </r>
  <r>
    <n v="330"/>
    <d v="2011-01-15T00:00:00"/>
    <n v="1"/>
    <n v="0"/>
    <n v="1"/>
    <x v="5"/>
    <b v="0"/>
    <x v="0"/>
    <n v="1"/>
    <x v="13"/>
    <n v="0.2273"/>
    <n v="0.59"/>
    <n v="0"/>
    <n v="0"/>
    <n v="1"/>
    <n v="1"/>
  </r>
  <r>
    <n v="331"/>
    <d v="2011-01-15T00:00:00"/>
    <n v="1"/>
    <n v="0"/>
    <n v="1"/>
    <x v="6"/>
    <b v="0"/>
    <x v="0"/>
    <n v="1"/>
    <x v="14"/>
    <n v="0.16669999999999999"/>
    <n v="0.63"/>
    <n v="0.1045"/>
    <n v="1"/>
    <n v="2"/>
    <n v="3"/>
  </r>
  <r>
    <n v="332"/>
    <d v="2011-01-15T00:00:00"/>
    <n v="1"/>
    <n v="0"/>
    <n v="1"/>
    <x v="7"/>
    <b v="0"/>
    <x v="0"/>
    <n v="1"/>
    <x v="14"/>
    <n v="0.21210000000000001"/>
    <n v="0.63"/>
    <n v="0"/>
    <n v="1"/>
    <n v="9"/>
    <n v="10"/>
  </r>
  <r>
    <n v="333"/>
    <d v="2011-01-15T00:00:00"/>
    <n v="1"/>
    <n v="0"/>
    <n v="1"/>
    <x v="8"/>
    <b v="0"/>
    <x v="0"/>
    <n v="1"/>
    <x v="14"/>
    <n v="0.1515"/>
    <n v="0.63"/>
    <n v="0.1343"/>
    <n v="1"/>
    <n v="22"/>
    <n v="23"/>
  </r>
  <r>
    <n v="334"/>
    <d v="2011-01-15T00:00:00"/>
    <n v="1"/>
    <n v="0"/>
    <n v="1"/>
    <x v="9"/>
    <b v="0"/>
    <x v="0"/>
    <n v="1"/>
    <x v="13"/>
    <n v="0.18179999999999999"/>
    <n v="0.64"/>
    <n v="0.1343"/>
    <n v="2"/>
    <n v="31"/>
    <n v="33"/>
  </r>
  <r>
    <n v="335"/>
    <d v="2011-01-15T00:00:00"/>
    <n v="1"/>
    <n v="0"/>
    <n v="1"/>
    <x v="10"/>
    <b v="0"/>
    <x v="0"/>
    <n v="1"/>
    <x v="15"/>
    <n v="0.19700000000000001"/>
    <n v="0.59"/>
    <n v="0.16420000000000001"/>
    <n v="2"/>
    <n v="57"/>
    <n v="59"/>
  </r>
  <r>
    <n v="336"/>
    <d v="2011-01-15T00:00:00"/>
    <n v="1"/>
    <n v="0"/>
    <n v="1"/>
    <x v="11"/>
    <b v="0"/>
    <x v="0"/>
    <n v="1"/>
    <x v="2"/>
    <n v="0.19700000000000001"/>
    <n v="0.55000000000000004"/>
    <n v="0.22389999999999999"/>
    <n v="18"/>
    <n v="54"/>
    <n v="72"/>
  </r>
  <r>
    <n v="337"/>
    <d v="2011-01-15T00:00:00"/>
    <n v="1"/>
    <n v="0"/>
    <n v="1"/>
    <x v="12"/>
    <b v="0"/>
    <x v="0"/>
    <n v="1"/>
    <x v="0"/>
    <n v="0.2273"/>
    <n v="0.48"/>
    <n v="0.22389999999999999"/>
    <n v="15"/>
    <n v="74"/>
    <n v="89"/>
  </r>
  <r>
    <n v="338"/>
    <d v="2011-01-15T00:00:00"/>
    <n v="1"/>
    <n v="0"/>
    <n v="1"/>
    <x v="13"/>
    <b v="0"/>
    <x v="0"/>
    <n v="1"/>
    <x v="17"/>
    <n v="0.2576"/>
    <n v="0.38"/>
    <n v="0.29849999999999999"/>
    <n v="21"/>
    <n v="80"/>
    <n v="101"/>
  </r>
  <r>
    <n v="339"/>
    <d v="2011-01-15T00:00:00"/>
    <n v="1"/>
    <n v="0"/>
    <n v="1"/>
    <x v="14"/>
    <b v="0"/>
    <x v="0"/>
    <n v="1"/>
    <x v="11"/>
    <n v="0.28789999999999999"/>
    <n v="0.39"/>
    <n v="0.28360000000000002"/>
    <n v="26"/>
    <n v="92"/>
    <n v="118"/>
  </r>
  <r>
    <n v="340"/>
    <d v="2011-01-15T00:00:00"/>
    <n v="1"/>
    <n v="0"/>
    <n v="1"/>
    <x v="15"/>
    <b v="0"/>
    <x v="0"/>
    <n v="2"/>
    <x v="3"/>
    <n v="0.31819999999999998"/>
    <n v="0.36"/>
    <n v="0.19400000000000001"/>
    <n v="21"/>
    <n v="108"/>
    <n v="129"/>
  </r>
  <r>
    <n v="341"/>
    <d v="2011-01-15T00:00:00"/>
    <n v="1"/>
    <n v="0"/>
    <n v="1"/>
    <x v="16"/>
    <b v="0"/>
    <x v="0"/>
    <n v="2"/>
    <x v="10"/>
    <n v="0.33329999999999999"/>
    <n v="0.34"/>
    <n v="0.19400000000000001"/>
    <n v="33"/>
    <n v="95"/>
    <n v="128"/>
  </r>
  <r>
    <n v="342"/>
    <d v="2011-01-15T00:00:00"/>
    <n v="1"/>
    <n v="0"/>
    <n v="1"/>
    <x v="17"/>
    <b v="0"/>
    <x v="0"/>
    <n v="2"/>
    <x v="3"/>
    <n v="0.30299999999999999"/>
    <n v="0.36"/>
    <n v="0.28360000000000002"/>
    <n v="29"/>
    <n v="54"/>
    <n v="83"/>
  </r>
  <r>
    <n v="343"/>
    <d v="2011-01-15T00:00:00"/>
    <n v="1"/>
    <n v="0"/>
    <n v="1"/>
    <x v="18"/>
    <b v="0"/>
    <x v="0"/>
    <n v="2"/>
    <x v="11"/>
    <n v="0.28789999999999999"/>
    <n v="0.45"/>
    <n v="0.25369999999999998"/>
    <n v="15"/>
    <n v="69"/>
    <n v="84"/>
  </r>
  <r>
    <n v="344"/>
    <d v="2011-01-15T00:00:00"/>
    <n v="1"/>
    <n v="0"/>
    <n v="1"/>
    <x v="19"/>
    <b v="0"/>
    <x v="0"/>
    <n v="2"/>
    <x v="3"/>
    <n v="0.30299999999999999"/>
    <n v="0.39"/>
    <n v="0.25369999999999998"/>
    <n v="14"/>
    <n v="60"/>
    <n v="74"/>
  </r>
  <r>
    <n v="345"/>
    <d v="2011-01-15T00:00:00"/>
    <n v="1"/>
    <n v="0"/>
    <n v="1"/>
    <x v="20"/>
    <b v="0"/>
    <x v="0"/>
    <n v="2"/>
    <x v="3"/>
    <n v="0.30299999999999999"/>
    <n v="0.39"/>
    <n v="0.25369999999999998"/>
    <n v="6"/>
    <n v="35"/>
    <n v="41"/>
  </r>
  <r>
    <n v="346"/>
    <d v="2011-01-15T00:00:00"/>
    <n v="1"/>
    <n v="0"/>
    <n v="1"/>
    <x v="21"/>
    <b v="0"/>
    <x v="0"/>
    <n v="2"/>
    <x v="3"/>
    <n v="0.30299999999999999"/>
    <n v="0.39"/>
    <n v="0.22389999999999999"/>
    <n v="6"/>
    <n v="51"/>
    <n v="57"/>
  </r>
  <r>
    <n v="347"/>
    <d v="2011-01-15T00:00:00"/>
    <n v="1"/>
    <n v="0"/>
    <n v="1"/>
    <x v="22"/>
    <b v="0"/>
    <x v="0"/>
    <n v="2"/>
    <x v="11"/>
    <n v="0.31819999999999998"/>
    <n v="0.42"/>
    <n v="0.1045"/>
    <n v="0"/>
    <n v="26"/>
    <n v="26"/>
  </r>
  <r>
    <n v="348"/>
    <d v="2011-01-15T00:00:00"/>
    <n v="1"/>
    <n v="0"/>
    <n v="1"/>
    <x v="23"/>
    <b v="0"/>
    <x v="0"/>
    <n v="1"/>
    <x v="11"/>
    <n v="0.28789999999999999"/>
    <n v="0.45"/>
    <n v="0.28360000000000002"/>
    <n v="5"/>
    <n v="39"/>
    <n v="44"/>
  </r>
  <r>
    <n v="349"/>
    <d v="2011-01-16T00:00:00"/>
    <n v="1"/>
    <n v="0"/>
    <n v="1"/>
    <x v="0"/>
    <b v="0"/>
    <x v="1"/>
    <n v="1"/>
    <x v="12"/>
    <n v="0.30299999999999999"/>
    <n v="0.56000000000000005"/>
    <n v="0"/>
    <n v="6"/>
    <n v="33"/>
    <n v="39"/>
  </r>
  <r>
    <n v="350"/>
    <d v="2011-01-16T00:00:00"/>
    <n v="1"/>
    <n v="0"/>
    <n v="1"/>
    <x v="1"/>
    <b v="0"/>
    <x v="1"/>
    <n v="1"/>
    <x v="12"/>
    <n v="0.2727"/>
    <n v="0.56000000000000005"/>
    <n v="0.1343"/>
    <n v="4"/>
    <n v="19"/>
    <n v="23"/>
  </r>
  <r>
    <n v="351"/>
    <d v="2011-01-16T00:00:00"/>
    <n v="1"/>
    <n v="0"/>
    <n v="1"/>
    <x v="2"/>
    <b v="0"/>
    <x v="1"/>
    <n v="1"/>
    <x v="12"/>
    <n v="0.28789999999999999"/>
    <n v="0.56000000000000005"/>
    <n v="8.9599999999999999E-2"/>
    <n v="3"/>
    <n v="13"/>
    <n v="16"/>
  </r>
  <r>
    <n v="352"/>
    <d v="2011-01-16T00:00:00"/>
    <n v="1"/>
    <n v="0"/>
    <n v="1"/>
    <x v="3"/>
    <b v="0"/>
    <x v="1"/>
    <n v="1"/>
    <x v="1"/>
    <n v="0.2727"/>
    <n v="0.69"/>
    <n v="0"/>
    <n v="9"/>
    <n v="6"/>
    <n v="15"/>
  </r>
  <r>
    <n v="353"/>
    <d v="2011-01-16T00:00:00"/>
    <n v="1"/>
    <n v="0"/>
    <n v="1"/>
    <x v="4"/>
    <b v="0"/>
    <x v="1"/>
    <n v="1"/>
    <x v="12"/>
    <n v="0.2576"/>
    <n v="0.56000000000000005"/>
    <n v="0.16420000000000001"/>
    <n v="0"/>
    <n v="1"/>
    <n v="1"/>
  </r>
  <r>
    <n v="354"/>
    <d v="2011-01-16T00:00:00"/>
    <n v="1"/>
    <n v="0"/>
    <n v="1"/>
    <x v="5"/>
    <b v="0"/>
    <x v="1"/>
    <n v="2"/>
    <x v="12"/>
    <n v="0.2576"/>
    <n v="0.56000000000000005"/>
    <n v="0.16420000000000001"/>
    <n v="1"/>
    <n v="1"/>
    <n v="2"/>
  </r>
  <r>
    <n v="355"/>
    <d v="2011-01-16T00:00:00"/>
    <n v="1"/>
    <n v="0"/>
    <n v="1"/>
    <x v="6"/>
    <b v="0"/>
    <x v="1"/>
    <n v="2"/>
    <x v="12"/>
    <n v="0.2576"/>
    <n v="0.56000000000000005"/>
    <n v="0.16420000000000001"/>
    <n v="0"/>
    <n v="1"/>
    <n v="1"/>
  </r>
  <r>
    <n v="356"/>
    <d v="2011-01-16T00:00:00"/>
    <n v="1"/>
    <n v="0"/>
    <n v="1"/>
    <x v="7"/>
    <b v="0"/>
    <x v="1"/>
    <n v="2"/>
    <x v="0"/>
    <n v="0.21210000000000001"/>
    <n v="0.56000000000000005"/>
    <n v="0.29849999999999999"/>
    <n v="0"/>
    <n v="3"/>
    <n v="3"/>
  </r>
  <r>
    <n v="357"/>
    <d v="2011-01-16T00:00:00"/>
    <n v="1"/>
    <n v="0"/>
    <n v="1"/>
    <x v="8"/>
    <b v="0"/>
    <x v="1"/>
    <n v="1"/>
    <x v="1"/>
    <n v="0.21210000000000001"/>
    <n v="0.55000000000000004"/>
    <n v="0.28360000000000002"/>
    <n v="0"/>
    <n v="18"/>
    <n v="18"/>
  </r>
  <r>
    <n v="358"/>
    <d v="2011-01-16T00:00:00"/>
    <n v="1"/>
    <n v="0"/>
    <n v="1"/>
    <x v="9"/>
    <b v="0"/>
    <x v="1"/>
    <n v="1"/>
    <x v="1"/>
    <n v="0.21210000000000001"/>
    <n v="0.51"/>
    <n v="0.25369999999999998"/>
    <n v="3"/>
    <n v="29"/>
    <n v="32"/>
  </r>
  <r>
    <n v="359"/>
    <d v="2011-01-16T00:00:00"/>
    <n v="1"/>
    <n v="0"/>
    <n v="1"/>
    <x v="10"/>
    <b v="0"/>
    <x v="1"/>
    <n v="1"/>
    <x v="1"/>
    <n v="0.21210000000000001"/>
    <n v="0.51"/>
    <n v="0.28360000000000002"/>
    <n v="8"/>
    <n v="71"/>
    <n v="79"/>
  </r>
  <r>
    <n v="360"/>
    <d v="2011-01-16T00:00:00"/>
    <n v="1"/>
    <n v="0"/>
    <n v="1"/>
    <x v="11"/>
    <b v="0"/>
    <x v="1"/>
    <n v="1"/>
    <x v="0"/>
    <n v="0.2273"/>
    <n v="0.44"/>
    <n v="0.25369999999999998"/>
    <n v="23"/>
    <n v="70"/>
    <n v="93"/>
  </r>
  <r>
    <n v="361"/>
    <d v="2011-01-16T00:00:00"/>
    <n v="1"/>
    <n v="0"/>
    <n v="1"/>
    <x v="12"/>
    <b v="0"/>
    <x v="1"/>
    <n v="1"/>
    <x v="0"/>
    <n v="0.21210000000000001"/>
    <n v="0.41"/>
    <n v="0.28360000000000002"/>
    <n v="29"/>
    <n v="75"/>
    <n v="104"/>
  </r>
  <r>
    <n v="362"/>
    <d v="2011-01-16T00:00:00"/>
    <n v="1"/>
    <n v="0"/>
    <n v="1"/>
    <x v="13"/>
    <b v="0"/>
    <x v="1"/>
    <n v="1"/>
    <x v="12"/>
    <n v="0.2273"/>
    <n v="0.35"/>
    <n v="0.29849999999999999"/>
    <n v="23"/>
    <n v="95"/>
    <n v="118"/>
  </r>
  <r>
    <n v="363"/>
    <d v="2011-01-16T00:00:00"/>
    <n v="1"/>
    <n v="0"/>
    <n v="1"/>
    <x v="14"/>
    <b v="0"/>
    <x v="1"/>
    <n v="1"/>
    <x v="17"/>
    <n v="0.2727"/>
    <n v="0.36"/>
    <n v="0.25369999999999998"/>
    <n v="22"/>
    <n v="69"/>
    <n v="91"/>
  </r>
  <r>
    <n v="364"/>
    <d v="2011-01-16T00:00:00"/>
    <n v="1"/>
    <n v="0"/>
    <n v="1"/>
    <x v="15"/>
    <b v="0"/>
    <x v="1"/>
    <n v="1"/>
    <x v="12"/>
    <n v="0.2424"/>
    <n v="0.38"/>
    <n v="0.25369999999999998"/>
    <n v="35"/>
    <n v="78"/>
    <n v="113"/>
  </r>
  <r>
    <n v="365"/>
    <d v="2011-01-16T00:00:00"/>
    <n v="1"/>
    <n v="0"/>
    <n v="1"/>
    <x v="16"/>
    <b v="0"/>
    <x v="1"/>
    <n v="1"/>
    <x v="0"/>
    <n v="0.2273"/>
    <n v="0.38"/>
    <n v="0.22389999999999999"/>
    <n v="22"/>
    <n v="77"/>
    <n v="99"/>
  </r>
  <r>
    <n v="366"/>
    <d v="2011-01-16T00:00:00"/>
    <n v="1"/>
    <n v="0"/>
    <n v="1"/>
    <x v="17"/>
    <b v="0"/>
    <x v="1"/>
    <n v="1"/>
    <x v="1"/>
    <n v="0.21210000000000001"/>
    <n v="0.37"/>
    <n v="0.25369999999999998"/>
    <n v="23"/>
    <n v="82"/>
    <n v="105"/>
  </r>
  <r>
    <n v="367"/>
    <d v="2011-01-16T00:00:00"/>
    <n v="1"/>
    <n v="0"/>
    <n v="1"/>
    <x v="18"/>
    <b v="0"/>
    <x v="1"/>
    <n v="1"/>
    <x v="2"/>
    <n v="0.21210000000000001"/>
    <n v="0.4"/>
    <n v="0.16420000000000001"/>
    <n v="11"/>
    <n v="56"/>
    <n v="67"/>
  </r>
  <r>
    <n v="368"/>
    <d v="2011-01-16T00:00:00"/>
    <n v="1"/>
    <n v="0"/>
    <n v="1"/>
    <x v="19"/>
    <b v="0"/>
    <x v="1"/>
    <n v="1"/>
    <x v="15"/>
    <n v="0.19700000000000001"/>
    <n v="0.47"/>
    <n v="0.1343"/>
    <n v="14"/>
    <n v="47"/>
    <n v="61"/>
  </r>
  <r>
    <n v="369"/>
    <d v="2011-01-16T00:00:00"/>
    <n v="1"/>
    <n v="0"/>
    <n v="1"/>
    <x v="20"/>
    <b v="0"/>
    <x v="1"/>
    <n v="1"/>
    <x v="15"/>
    <n v="0.19700000000000001"/>
    <n v="0.47"/>
    <n v="0.16420000000000001"/>
    <n v="7"/>
    <n v="50"/>
    <n v="57"/>
  </r>
  <r>
    <n v="370"/>
    <d v="2011-01-16T00:00:00"/>
    <n v="1"/>
    <n v="0"/>
    <n v="1"/>
    <x v="21"/>
    <b v="0"/>
    <x v="1"/>
    <n v="1"/>
    <x v="15"/>
    <n v="0.19700000000000001"/>
    <n v="0.51"/>
    <n v="0.16420000000000001"/>
    <n v="6"/>
    <n v="22"/>
    <n v="28"/>
  </r>
  <r>
    <n v="371"/>
    <d v="2011-01-16T00:00:00"/>
    <n v="1"/>
    <n v="0"/>
    <n v="1"/>
    <x v="22"/>
    <b v="0"/>
    <x v="1"/>
    <n v="2"/>
    <x v="2"/>
    <n v="0.21210000000000001"/>
    <n v="0.49"/>
    <n v="0.1343"/>
    <n v="2"/>
    <n v="19"/>
    <n v="21"/>
  </r>
  <r>
    <n v="372"/>
    <d v="2011-01-16T00:00:00"/>
    <n v="1"/>
    <n v="0"/>
    <n v="1"/>
    <x v="23"/>
    <b v="0"/>
    <x v="1"/>
    <n v="2"/>
    <x v="2"/>
    <n v="0.2273"/>
    <n v="0.4"/>
    <n v="0.1045"/>
    <n v="0"/>
    <n v="18"/>
    <n v="18"/>
  </r>
  <r>
    <n v="373"/>
    <d v="2011-01-17T00:00:00"/>
    <n v="1"/>
    <n v="0"/>
    <n v="1"/>
    <x v="0"/>
    <b v="1"/>
    <x v="2"/>
    <n v="2"/>
    <x v="2"/>
    <n v="0.19700000000000001"/>
    <n v="0.47"/>
    <n v="0.22389999999999999"/>
    <n v="1"/>
    <n v="16"/>
    <n v="17"/>
  </r>
  <r>
    <n v="374"/>
    <d v="2011-01-17T00:00:00"/>
    <n v="1"/>
    <n v="0"/>
    <n v="1"/>
    <x v="1"/>
    <b v="1"/>
    <x v="2"/>
    <n v="2"/>
    <x v="2"/>
    <n v="0.19700000000000001"/>
    <n v="0.44"/>
    <n v="0.19400000000000001"/>
    <n v="1"/>
    <n v="15"/>
    <n v="16"/>
  </r>
  <r>
    <n v="375"/>
    <d v="2011-01-17T00:00:00"/>
    <n v="1"/>
    <n v="0"/>
    <n v="1"/>
    <x v="2"/>
    <b v="1"/>
    <x v="2"/>
    <n v="2"/>
    <x v="15"/>
    <n v="0.16669999999999999"/>
    <n v="0.43"/>
    <n v="0.25369999999999998"/>
    <n v="0"/>
    <n v="8"/>
    <n v="8"/>
  </r>
  <r>
    <n v="376"/>
    <d v="2011-01-17T00:00:00"/>
    <n v="1"/>
    <n v="0"/>
    <n v="1"/>
    <x v="3"/>
    <b v="1"/>
    <x v="2"/>
    <n v="2"/>
    <x v="15"/>
    <n v="0.18179999999999999"/>
    <n v="0.43"/>
    <n v="0.19400000000000001"/>
    <n v="0"/>
    <n v="2"/>
    <n v="2"/>
  </r>
  <r>
    <n v="377"/>
    <d v="2011-01-17T00:00:00"/>
    <n v="1"/>
    <n v="0"/>
    <n v="1"/>
    <x v="4"/>
    <b v="1"/>
    <x v="2"/>
    <n v="2"/>
    <x v="15"/>
    <n v="0.19700000000000001"/>
    <n v="0.43"/>
    <n v="0.1343"/>
    <n v="1"/>
    <n v="2"/>
    <n v="3"/>
  </r>
  <r>
    <n v="378"/>
    <d v="2011-01-17T00:00:00"/>
    <n v="1"/>
    <n v="0"/>
    <n v="1"/>
    <x v="5"/>
    <b v="1"/>
    <x v="2"/>
    <n v="2"/>
    <x v="15"/>
    <n v="0.19700000000000001"/>
    <n v="0.43"/>
    <n v="0.16420000000000001"/>
    <n v="0"/>
    <n v="1"/>
    <n v="1"/>
  </r>
  <r>
    <n v="379"/>
    <d v="2011-01-17T00:00:00"/>
    <n v="1"/>
    <n v="0"/>
    <n v="1"/>
    <x v="6"/>
    <b v="1"/>
    <x v="2"/>
    <n v="2"/>
    <x v="15"/>
    <n v="0.18179999999999999"/>
    <n v="0.43"/>
    <n v="0.19400000000000001"/>
    <n v="0"/>
    <n v="5"/>
    <n v="5"/>
  </r>
  <r>
    <n v="380"/>
    <d v="2011-01-17T00:00:00"/>
    <n v="1"/>
    <n v="0"/>
    <n v="1"/>
    <x v="7"/>
    <b v="1"/>
    <x v="2"/>
    <n v="2"/>
    <x v="13"/>
    <n v="0.18179999999999999"/>
    <n v="0.5"/>
    <n v="0.1343"/>
    <n v="4"/>
    <n v="9"/>
    <n v="13"/>
  </r>
  <r>
    <n v="381"/>
    <d v="2011-01-17T00:00:00"/>
    <n v="1"/>
    <n v="0"/>
    <n v="1"/>
    <x v="8"/>
    <b v="1"/>
    <x v="2"/>
    <n v="2"/>
    <x v="13"/>
    <n v="0.1515"/>
    <n v="0.47"/>
    <n v="0.22389999999999999"/>
    <n v="3"/>
    <n v="30"/>
    <n v="33"/>
  </r>
  <r>
    <n v="382"/>
    <d v="2011-01-17T00:00:00"/>
    <n v="1"/>
    <n v="0"/>
    <n v="1"/>
    <x v="9"/>
    <b v="1"/>
    <x v="2"/>
    <n v="2"/>
    <x v="13"/>
    <n v="0.1515"/>
    <n v="0.47"/>
    <n v="0.22389999999999999"/>
    <n v="8"/>
    <n v="39"/>
    <n v="47"/>
  </r>
  <r>
    <n v="383"/>
    <d v="2011-01-17T00:00:00"/>
    <n v="1"/>
    <n v="0"/>
    <n v="1"/>
    <x v="10"/>
    <b v="1"/>
    <x v="2"/>
    <n v="2"/>
    <x v="13"/>
    <n v="0.1515"/>
    <n v="0.5"/>
    <n v="0.25369999999999998"/>
    <n v="7"/>
    <n v="50"/>
    <n v="57"/>
  </r>
  <r>
    <n v="384"/>
    <d v="2011-01-17T00:00:00"/>
    <n v="1"/>
    <n v="0"/>
    <n v="1"/>
    <x v="11"/>
    <b v="1"/>
    <x v="2"/>
    <n v="2"/>
    <x v="13"/>
    <n v="0.1515"/>
    <n v="0.55000000000000004"/>
    <n v="0.19400000000000001"/>
    <n v="9"/>
    <n v="55"/>
    <n v="64"/>
  </r>
  <r>
    <n v="385"/>
    <d v="2011-01-17T00:00:00"/>
    <n v="1"/>
    <n v="0"/>
    <n v="1"/>
    <x v="12"/>
    <b v="1"/>
    <x v="2"/>
    <n v="2"/>
    <x v="15"/>
    <n v="0.19700000000000001"/>
    <n v="0.47"/>
    <n v="0.1343"/>
    <n v="10"/>
    <n v="70"/>
    <n v="80"/>
  </r>
  <r>
    <n v="386"/>
    <d v="2011-01-17T00:00:00"/>
    <n v="1"/>
    <n v="0"/>
    <n v="1"/>
    <x v="13"/>
    <b v="1"/>
    <x v="2"/>
    <n v="2"/>
    <x v="15"/>
    <n v="0.19700000000000001"/>
    <n v="0.47"/>
    <n v="0.1343"/>
    <n v="13"/>
    <n v="80"/>
    <n v="93"/>
  </r>
  <r>
    <n v="387"/>
    <d v="2011-01-17T00:00:00"/>
    <n v="1"/>
    <n v="0"/>
    <n v="1"/>
    <x v="14"/>
    <b v="1"/>
    <x v="2"/>
    <n v="2"/>
    <x v="15"/>
    <n v="0.21210000000000001"/>
    <n v="0.43"/>
    <n v="0.1045"/>
    <n v="12"/>
    <n v="74"/>
    <n v="86"/>
  </r>
  <r>
    <n v="388"/>
    <d v="2011-01-17T00:00:00"/>
    <n v="1"/>
    <n v="0"/>
    <n v="1"/>
    <x v="15"/>
    <b v="1"/>
    <x v="2"/>
    <n v="2"/>
    <x v="2"/>
    <n v="0.21210000000000001"/>
    <n v="0.47"/>
    <n v="0.16420000000000001"/>
    <n v="21"/>
    <n v="72"/>
    <n v="93"/>
  </r>
  <r>
    <n v="389"/>
    <d v="2011-01-17T00:00:00"/>
    <n v="1"/>
    <n v="0"/>
    <n v="1"/>
    <x v="16"/>
    <b v="1"/>
    <x v="2"/>
    <n v="2"/>
    <x v="2"/>
    <n v="0.21210000000000001"/>
    <n v="0.47"/>
    <n v="0.16420000000000001"/>
    <n v="6"/>
    <n v="76"/>
    <n v="82"/>
  </r>
  <r>
    <n v="390"/>
    <d v="2011-01-17T00:00:00"/>
    <n v="1"/>
    <n v="0"/>
    <n v="1"/>
    <x v="17"/>
    <b v="1"/>
    <x v="2"/>
    <n v="1"/>
    <x v="2"/>
    <n v="0.19700000000000001"/>
    <n v="0.51"/>
    <n v="0.19400000000000001"/>
    <n v="4"/>
    <n v="67"/>
    <n v="71"/>
  </r>
  <r>
    <n v="391"/>
    <d v="2011-01-17T00:00:00"/>
    <n v="1"/>
    <n v="0"/>
    <n v="1"/>
    <x v="18"/>
    <b v="1"/>
    <x v="2"/>
    <n v="2"/>
    <x v="15"/>
    <n v="0.16669999999999999"/>
    <n v="0.55000000000000004"/>
    <n v="0.25369999999999998"/>
    <n v="7"/>
    <n v="85"/>
    <n v="92"/>
  </r>
  <r>
    <n v="392"/>
    <d v="2011-01-17T00:00:00"/>
    <n v="1"/>
    <n v="0"/>
    <n v="1"/>
    <x v="19"/>
    <b v="1"/>
    <x v="2"/>
    <n v="3"/>
    <x v="15"/>
    <n v="0.18179999999999999"/>
    <n v="0.59"/>
    <n v="0.19400000000000001"/>
    <n v="2"/>
    <n v="58"/>
    <n v="60"/>
  </r>
  <r>
    <n v="393"/>
    <d v="2011-01-17T00:00:00"/>
    <n v="1"/>
    <n v="0"/>
    <n v="1"/>
    <x v="20"/>
    <b v="1"/>
    <x v="2"/>
    <n v="3"/>
    <x v="13"/>
    <n v="0.1515"/>
    <n v="0.8"/>
    <n v="0.19400000000000001"/>
    <n v="4"/>
    <n v="29"/>
    <n v="33"/>
  </r>
  <r>
    <n v="394"/>
    <d v="2011-01-17T00:00:00"/>
    <n v="1"/>
    <n v="0"/>
    <n v="1"/>
    <x v="21"/>
    <b v="1"/>
    <x v="2"/>
    <n v="3"/>
    <x v="13"/>
    <n v="0.1515"/>
    <n v="0.8"/>
    <n v="0.19400000000000001"/>
    <n v="3"/>
    <n v="24"/>
    <n v="27"/>
  </r>
  <r>
    <n v="395"/>
    <d v="2011-01-17T00:00:00"/>
    <n v="1"/>
    <n v="0"/>
    <n v="1"/>
    <x v="22"/>
    <b v="1"/>
    <x v="2"/>
    <n v="3"/>
    <x v="14"/>
    <n v="0.1212"/>
    <n v="0.93"/>
    <n v="0.25369999999999998"/>
    <n v="0"/>
    <n v="13"/>
    <n v="13"/>
  </r>
  <r>
    <n v="396"/>
    <d v="2011-01-17T00:00:00"/>
    <n v="1"/>
    <n v="0"/>
    <n v="1"/>
    <x v="23"/>
    <b v="1"/>
    <x v="2"/>
    <n v="3"/>
    <x v="13"/>
    <n v="0.13639999999999999"/>
    <n v="0.86"/>
    <n v="0.28360000000000002"/>
    <n v="1"/>
    <n v="3"/>
    <n v="4"/>
  </r>
  <r>
    <n v="397"/>
    <d v="2011-01-18T00:00:00"/>
    <n v="1"/>
    <n v="0"/>
    <n v="1"/>
    <x v="12"/>
    <b v="0"/>
    <x v="3"/>
    <n v="2"/>
    <x v="2"/>
    <n v="0.18179999999999999"/>
    <n v="0.86"/>
    <n v="0.32840000000000003"/>
    <n v="0"/>
    <n v="3"/>
    <n v="3"/>
  </r>
  <r>
    <n v="398"/>
    <d v="2011-01-18T00:00:00"/>
    <n v="1"/>
    <n v="0"/>
    <n v="1"/>
    <x v="13"/>
    <b v="0"/>
    <x v="3"/>
    <n v="2"/>
    <x v="2"/>
    <n v="0.19700000000000001"/>
    <n v="0.86"/>
    <n v="0.22389999999999999"/>
    <n v="0"/>
    <n v="22"/>
    <n v="22"/>
  </r>
  <r>
    <n v="399"/>
    <d v="2011-01-18T00:00:00"/>
    <n v="1"/>
    <n v="0"/>
    <n v="1"/>
    <x v="14"/>
    <b v="0"/>
    <x v="3"/>
    <n v="2"/>
    <x v="1"/>
    <n v="0.2273"/>
    <n v="0.8"/>
    <n v="0.16420000000000001"/>
    <n v="2"/>
    <n v="26"/>
    <n v="28"/>
  </r>
  <r>
    <n v="400"/>
    <d v="2011-01-18T00:00:00"/>
    <n v="1"/>
    <n v="0"/>
    <n v="1"/>
    <x v="15"/>
    <b v="0"/>
    <x v="3"/>
    <n v="2"/>
    <x v="1"/>
    <n v="0.2273"/>
    <n v="0.87"/>
    <n v="0.16420000000000001"/>
    <n v="3"/>
    <n v="32"/>
    <n v="35"/>
  </r>
  <r>
    <n v="401"/>
    <d v="2011-01-18T00:00:00"/>
    <n v="1"/>
    <n v="0"/>
    <n v="1"/>
    <x v="16"/>
    <b v="0"/>
    <x v="3"/>
    <n v="2"/>
    <x v="1"/>
    <n v="0.2273"/>
    <n v="0.87"/>
    <n v="0.19400000000000001"/>
    <n v="0"/>
    <n v="61"/>
    <n v="61"/>
  </r>
  <r>
    <n v="402"/>
    <d v="2011-01-18T00:00:00"/>
    <n v="1"/>
    <n v="0"/>
    <n v="1"/>
    <x v="17"/>
    <b v="0"/>
    <x v="3"/>
    <n v="2"/>
    <x v="1"/>
    <n v="0.2273"/>
    <n v="0.82"/>
    <n v="0.19400000000000001"/>
    <n v="1"/>
    <n v="124"/>
    <n v="125"/>
  </r>
  <r>
    <n v="403"/>
    <d v="2011-01-18T00:00:00"/>
    <n v="1"/>
    <n v="0"/>
    <n v="1"/>
    <x v="18"/>
    <b v="0"/>
    <x v="3"/>
    <n v="2"/>
    <x v="1"/>
    <n v="0.2273"/>
    <n v="0.8"/>
    <n v="0.16420000000000001"/>
    <n v="1"/>
    <n v="132"/>
    <n v="133"/>
  </r>
  <r>
    <n v="404"/>
    <d v="2011-01-18T00:00:00"/>
    <n v="1"/>
    <n v="0"/>
    <n v="1"/>
    <x v="19"/>
    <b v="0"/>
    <x v="3"/>
    <n v="2"/>
    <x v="1"/>
    <n v="0.2273"/>
    <n v="0.8"/>
    <n v="0.1343"/>
    <n v="1"/>
    <n v="98"/>
    <n v="99"/>
  </r>
  <r>
    <n v="405"/>
    <d v="2011-01-18T00:00:00"/>
    <n v="1"/>
    <n v="0"/>
    <n v="1"/>
    <x v="20"/>
    <b v="0"/>
    <x v="3"/>
    <n v="2"/>
    <x v="1"/>
    <n v="0.2727"/>
    <n v="0.87"/>
    <n v="0"/>
    <n v="0"/>
    <n v="83"/>
    <n v="83"/>
  </r>
  <r>
    <n v="406"/>
    <d v="2011-01-18T00:00:00"/>
    <n v="1"/>
    <n v="0"/>
    <n v="1"/>
    <x v="21"/>
    <b v="0"/>
    <x v="3"/>
    <n v="2"/>
    <x v="1"/>
    <n v="0.2424"/>
    <n v="0.93"/>
    <n v="0.1045"/>
    <n v="0"/>
    <n v="41"/>
    <n v="41"/>
  </r>
  <r>
    <n v="407"/>
    <d v="2011-01-18T00:00:00"/>
    <n v="1"/>
    <n v="0"/>
    <n v="1"/>
    <x v="22"/>
    <b v="0"/>
    <x v="3"/>
    <n v="2"/>
    <x v="1"/>
    <n v="0.2576"/>
    <n v="0.93"/>
    <n v="8.9599999999999999E-2"/>
    <n v="0"/>
    <n v="33"/>
    <n v="33"/>
  </r>
  <r>
    <n v="408"/>
    <d v="2011-01-18T00:00:00"/>
    <n v="1"/>
    <n v="0"/>
    <n v="1"/>
    <x v="23"/>
    <b v="0"/>
    <x v="3"/>
    <n v="2"/>
    <x v="1"/>
    <n v="0.2727"/>
    <n v="0.93"/>
    <n v="0"/>
    <n v="1"/>
    <n v="19"/>
    <n v="20"/>
  </r>
  <r>
    <n v="409"/>
    <d v="2011-01-19T00:00:00"/>
    <n v="1"/>
    <n v="0"/>
    <n v="1"/>
    <x v="0"/>
    <b v="0"/>
    <x v="4"/>
    <n v="2"/>
    <x v="1"/>
    <n v="0.2727"/>
    <n v="0.93"/>
    <n v="0"/>
    <n v="0"/>
    <n v="3"/>
    <n v="3"/>
  </r>
  <r>
    <n v="410"/>
    <d v="2011-01-19T00:00:00"/>
    <n v="1"/>
    <n v="0"/>
    <n v="1"/>
    <x v="1"/>
    <b v="0"/>
    <x v="4"/>
    <n v="3"/>
    <x v="1"/>
    <n v="0.2273"/>
    <n v="0.93"/>
    <n v="0.1343"/>
    <n v="1"/>
    <n v="6"/>
    <n v="7"/>
  </r>
  <r>
    <n v="411"/>
    <d v="2011-01-19T00:00:00"/>
    <n v="1"/>
    <n v="0"/>
    <n v="1"/>
    <x v="2"/>
    <b v="0"/>
    <x v="4"/>
    <n v="3"/>
    <x v="1"/>
    <n v="0.2273"/>
    <n v="0.93"/>
    <n v="0.1343"/>
    <n v="0"/>
    <n v="3"/>
    <n v="3"/>
  </r>
  <r>
    <n v="412"/>
    <d v="2011-01-19T00:00:00"/>
    <n v="1"/>
    <n v="0"/>
    <n v="1"/>
    <x v="4"/>
    <b v="0"/>
    <x v="4"/>
    <n v="3"/>
    <x v="1"/>
    <n v="0.2273"/>
    <n v="0.93"/>
    <n v="0.1343"/>
    <n v="1"/>
    <n v="1"/>
    <n v="2"/>
  </r>
  <r>
    <n v="413"/>
    <d v="2011-01-19T00:00:00"/>
    <n v="1"/>
    <n v="0"/>
    <n v="1"/>
    <x v="5"/>
    <b v="0"/>
    <x v="4"/>
    <n v="2"/>
    <x v="1"/>
    <n v="0.2576"/>
    <n v="0.93"/>
    <n v="8.9599999999999999E-2"/>
    <n v="0"/>
    <n v="7"/>
    <n v="7"/>
  </r>
  <r>
    <n v="414"/>
    <d v="2011-01-19T00:00:00"/>
    <n v="1"/>
    <n v="0"/>
    <n v="1"/>
    <x v="6"/>
    <b v="0"/>
    <x v="4"/>
    <n v="2"/>
    <x v="1"/>
    <n v="0.2576"/>
    <n v="0.93"/>
    <n v="8.9599999999999999E-2"/>
    <n v="0"/>
    <n v="32"/>
    <n v="32"/>
  </r>
  <r>
    <n v="415"/>
    <d v="2011-01-19T00:00:00"/>
    <n v="1"/>
    <n v="0"/>
    <n v="1"/>
    <x v="7"/>
    <b v="0"/>
    <x v="4"/>
    <n v="2"/>
    <x v="0"/>
    <n v="0.2576"/>
    <n v="0.92"/>
    <n v="0.1045"/>
    <n v="1"/>
    <n v="89"/>
    <n v="90"/>
  </r>
  <r>
    <n v="416"/>
    <d v="2011-01-19T00:00:00"/>
    <n v="1"/>
    <n v="0"/>
    <n v="1"/>
    <x v="8"/>
    <b v="0"/>
    <x v="4"/>
    <n v="2"/>
    <x v="0"/>
    <n v="0.2576"/>
    <n v="0.93"/>
    <n v="0.1045"/>
    <n v="1"/>
    <n v="196"/>
    <n v="197"/>
  </r>
  <r>
    <n v="417"/>
    <d v="2011-01-19T00:00:00"/>
    <n v="1"/>
    <n v="0"/>
    <n v="1"/>
    <x v="9"/>
    <b v="0"/>
    <x v="4"/>
    <n v="2"/>
    <x v="0"/>
    <n v="0.2576"/>
    <n v="0.93"/>
    <n v="0.1045"/>
    <n v="2"/>
    <n v="107"/>
    <n v="109"/>
  </r>
  <r>
    <n v="418"/>
    <d v="2011-01-19T00:00:00"/>
    <n v="1"/>
    <n v="0"/>
    <n v="1"/>
    <x v="10"/>
    <b v="0"/>
    <x v="4"/>
    <n v="2"/>
    <x v="12"/>
    <n v="0.2727"/>
    <n v="0.93"/>
    <n v="0.1343"/>
    <n v="1"/>
    <n v="46"/>
    <n v="47"/>
  </r>
  <r>
    <n v="419"/>
    <d v="2011-01-19T00:00:00"/>
    <n v="1"/>
    <n v="0"/>
    <n v="1"/>
    <x v="11"/>
    <b v="0"/>
    <x v="4"/>
    <n v="2"/>
    <x v="17"/>
    <n v="0.30299999999999999"/>
    <n v="0.87"/>
    <n v="8.9599999999999999E-2"/>
    <n v="5"/>
    <n v="47"/>
    <n v="52"/>
  </r>
  <r>
    <n v="420"/>
    <d v="2011-01-19T00:00:00"/>
    <n v="1"/>
    <n v="0"/>
    <n v="1"/>
    <x v="12"/>
    <b v="0"/>
    <x v="4"/>
    <n v="2"/>
    <x v="11"/>
    <n v="0.31819999999999998"/>
    <n v="0.81"/>
    <n v="8.9599999999999999E-2"/>
    <n v="5"/>
    <n v="65"/>
    <n v="70"/>
  </r>
  <r>
    <n v="421"/>
    <d v="2011-01-19T00:00:00"/>
    <n v="1"/>
    <n v="0"/>
    <n v="1"/>
    <x v="13"/>
    <b v="0"/>
    <x v="4"/>
    <n v="1"/>
    <x v="9"/>
    <n v="0.40910000000000002"/>
    <n v="0.62"/>
    <n v="0.28360000000000002"/>
    <n v="11"/>
    <n v="67"/>
    <n v="78"/>
  </r>
  <r>
    <n v="422"/>
    <d v="2011-01-19T00:00:00"/>
    <n v="1"/>
    <n v="0"/>
    <n v="1"/>
    <x v="14"/>
    <b v="0"/>
    <x v="4"/>
    <n v="1"/>
    <x v="9"/>
    <n v="0.40910000000000002"/>
    <n v="0.57999999999999996"/>
    <n v="0.25369999999999998"/>
    <n v="7"/>
    <n v="68"/>
    <n v="75"/>
  </r>
  <r>
    <n v="423"/>
    <d v="2011-01-19T00:00:00"/>
    <n v="1"/>
    <n v="0"/>
    <n v="1"/>
    <x v="15"/>
    <b v="0"/>
    <x v="4"/>
    <n v="1"/>
    <x v="9"/>
    <n v="0.40910000000000002"/>
    <n v="0.54"/>
    <n v="0.28360000000000002"/>
    <n v="4"/>
    <n v="78"/>
    <n v="82"/>
  </r>
  <r>
    <n v="424"/>
    <d v="2011-01-19T00:00:00"/>
    <n v="1"/>
    <n v="0"/>
    <n v="1"/>
    <x v="16"/>
    <b v="0"/>
    <x v="4"/>
    <n v="1"/>
    <x v="4"/>
    <n v="0.39389999999999997"/>
    <n v="0.57999999999999996"/>
    <n v="0.3881"/>
    <n v="10"/>
    <n v="94"/>
    <n v="104"/>
  </r>
  <r>
    <n v="425"/>
    <d v="2011-01-19T00:00:00"/>
    <n v="1"/>
    <n v="0"/>
    <n v="1"/>
    <x v="17"/>
    <b v="0"/>
    <x v="4"/>
    <n v="1"/>
    <x v="5"/>
    <n v="0.33329999999999999"/>
    <n v="0.56999999999999995"/>
    <n v="0.32840000000000003"/>
    <n v="7"/>
    <n v="190"/>
    <n v="197"/>
  </r>
  <r>
    <n v="426"/>
    <d v="2011-01-19T00:00:00"/>
    <n v="1"/>
    <n v="0"/>
    <n v="1"/>
    <x v="18"/>
    <b v="0"/>
    <x v="4"/>
    <n v="1"/>
    <x v="10"/>
    <n v="0.31819999999999998"/>
    <n v="0.61"/>
    <n v="0.28360000000000002"/>
    <n v="5"/>
    <n v="156"/>
    <n v="161"/>
  </r>
  <r>
    <n v="427"/>
    <d v="2011-01-19T00:00:00"/>
    <n v="1"/>
    <n v="0"/>
    <n v="1"/>
    <x v="19"/>
    <b v="0"/>
    <x v="4"/>
    <n v="1"/>
    <x v="3"/>
    <n v="0.28789999999999999"/>
    <n v="0.56999999999999995"/>
    <n v="0.41789999999999999"/>
    <n v="4"/>
    <n v="108"/>
    <n v="112"/>
  </r>
  <r>
    <n v="428"/>
    <d v="2011-01-19T00:00:00"/>
    <n v="1"/>
    <n v="0"/>
    <n v="1"/>
    <x v="20"/>
    <b v="0"/>
    <x v="4"/>
    <n v="1"/>
    <x v="3"/>
    <n v="0.30299999999999999"/>
    <n v="0.49"/>
    <n v="0.29849999999999999"/>
    <n v="2"/>
    <n v="74"/>
    <n v="76"/>
  </r>
  <r>
    <n v="429"/>
    <d v="2011-01-19T00:00:00"/>
    <n v="1"/>
    <n v="0"/>
    <n v="1"/>
    <x v="21"/>
    <b v="0"/>
    <x v="4"/>
    <n v="1"/>
    <x v="3"/>
    <n v="0.28789999999999999"/>
    <n v="0.49"/>
    <n v="0.41789999999999999"/>
    <n v="4"/>
    <n v="55"/>
    <n v="59"/>
  </r>
  <r>
    <n v="430"/>
    <d v="2011-01-19T00:00:00"/>
    <n v="1"/>
    <n v="0"/>
    <n v="1"/>
    <x v="22"/>
    <b v="0"/>
    <x v="4"/>
    <n v="1"/>
    <x v="11"/>
    <n v="0.30299999999999999"/>
    <n v="0.52"/>
    <n v="0.16420000000000001"/>
    <n v="6"/>
    <n v="53"/>
    <n v="59"/>
  </r>
  <r>
    <n v="431"/>
    <d v="2011-01-19T00:00:00"/>
    <n v="1"/>
    <n v="0"/>
    <n v="1"/>
    <x v="23"/>
    <b v="0"/>
    <x v="4"/>
    <n v="1"/>
    <x v="11"/>
    <n v="0.2727"/>
    <n v="0.52"/>
    <n v="0.4627"/>
    <n v="1"/>
    <n v="27"/>
    <n v="28"/>
  </r>
  <r>
    <n v="432"/>
    <d v="2011-01-20T00:00:00"/>
    <n v="1"/>
    <n v="0"/>
    <n v="1"/>
    <x v="0"/>
    <b v="0"/>
    <x v="5"/>
    <n v="1"/>
    <x v="12"/>
    <n v="0.2273"/>
    <n v="0.56000000000000005"/>
    <n v="0.3881"/>
    <n v="5"/>
    <n v="8"/>
    <n v="13"/>
  </r>
  <r>
    <n v="433"/>
    <d v="2011-01-20T00:00:00"/>
    <n v="1"/>
    <n v="0"/>
    <n v="1"/>
    <x v="1"/>
    <b v="0"/>
    <x v="5"/>
    <n v="1"/>
    <x v="12"/>
    <n v="0.2727"/>
    <n v="0.56000000000000005"/>
    <n v="0"/>
    <n v="2"/>
    <n v="3"/>
    <n v="5"/>
  </r>
  <r>
    <n v="434"/>
    <d v="2011-01-20T00:00:00"/>
    <n v="1"/>
    <n v="0"/>
    <n v="1"/>
    <x v="2"/>
    <b v="0"/>
    <x v="5"/>
    <n v="1"/>
    <x v="12"/>
    <n v="0.2727"/>
    <n v="0.56000000000000005"/>
    <n v="0"/>
    <n v="0"/>
    <n v="2"/>
    <n v="2"/>
  </r>
  <r>
    <n v="435"/>
    <d v="2011-01-20T00:00:00"/>
    <n v="1"/>
    <n v="0"/>
    <n v="1"/>
    <x v="3"/>
    <b v="0"/>
    <x v="5"/>
    <n v="1"/>
    <x v="12"/>
    <n v="0.2576"/>
    <n v="0.56000000000000005"/>
    <n v="0.16420000000000001"/>
    <n v="0"/>
    <n v="1"/>
    <n v="1"/>
  </r>
  <r>
    <n v="436"/>
    <d v="2011-01-20T00:00:00"/>
    <n v="1"/>
    <n v="0"/>
    <n v="1"/>
    <x v="4"/>
    <b v="0"/>
    <x v="5"/>
    <n v="1"/>
    <x v="12"/>
    <n v="0.2576"/>
    <n v="0.56000000000000005"/>
    <n v="0.16420000000000001"/>
    <n v="0"/>
    <n v="1"/>
    <n v="1"/>
  </r>
  <r>
    <n v="437"/>
    <d v="2011-01-20T00:00:00"/>
    <n v="1"/>
    <n v="0"/>
    <n v="1"/>
    <x v="5"/>
    <b v="0"/>
    <x v="5"/>
    <n v="1"/>
    <x v="0"/>
    <n v="0.2273"/>
    <n v="0.6"/>
    <n v="0.22389999999999999"/>
    <n v="0"/>
    <n v="6"/>
    <n v="6"/>
  </r>
  <r>
    <n v="438"/>
    <d v="2011-01-20T00:00:00"/>
    <n v="1"/>
    <n v="0"/>
    <n v="1"/>
    <x v="6"/>
    <b v="0"/>
    <x v="5"/>
    <n v="1"/>
    <x v="1"/>
    <n v="0.21210000000000001"/>
    <n v="0.6"/>
    <n v="0.22389999999999999"/>
    <n v="0"/>
    <n v="35"/>
    <n v="35"/>
  </r>
  <r>
    <n v="439"/>
    <d v="2011-01-20T00:00:00"/>
    <n v="1"/>
    <n v="0"/>
    <n v="1"/>
    <x v="7"/>
    <b v="0"/>
    <x v="5"/>
    <n v="1"/>
    <x v="1"/>
    <n v="0.21210000000000001"/>
    <n v="0.55000000000000004"/>
    <n v="0.22389999999999999"/>
    <n v="1"/>
    <n v="100"/>
    <n v="101"/>
  </r>
  <r>
    <n v="440"/>
    <d v="2011-01-20T00:00:00"/>
    <n v="1"/>
    <n v="0"/>
    <n v="1"/>
    <x v="8"/>
    <b v="0"/>
    <x v="5"/>
    <n v="1"/>
    <x v="1"/>
    <n v="0.21210000000000001"/>
    <n v="0.55000000000000004"/>
    <n v="0.28360000000000002"/>
    <n v="2"/>
    <n v="247"/>
    <n v="249"/>
  </r>
  <r>
    <n v="441"/>
    <d v="2011-01-20T00:00:00"/>
    <n v="1"/>
    <n v="0"/>
    <n v="1"/>
    <x v="9"/>
    <b v="0"/>
    <x v="5"/>
    <n v="2"/>
    <x v="0"/>
    <n v="0.2273"/>
    <n v="0.52"/>
    <n v="0.22389999999999999"/>
    <n v="3"/>
    <n v="140"/>
    <n v="143"/>
  </r>
  <r>
    <n v="442"/>
    <d v="2011-01-20T00:00:00"/>
    <n v="1"/>
    <n v="0"/>
    <n v="1"/>
    <x v="10"/>
    <b v="0"/>
    <x v="5"/>
    <n v="1"/>
    <x v="12"/>
    <n v="0.2273"/>
    <n v="0.48"/>
    <n v="0.29849999999999999"/>
    <n v="1"/>
    <n v="56"/>
    <n v="57"/>
  </r>
  <r>
    <n v="443"/>
    <d v="2011-01-20T00:00:00"/>
    <n v="1"/>
    <n v="0"/>
    <n v="1"/>
    <x v="11"/>
    <b v="0"/>
    <x v="5"/>
    <n v="2"/>
    <x v="17"/>
    <n v="0.2727"/>
    <n v="0.45"/>
    <n v="0.16420000000000001"/>
    <n v="5"/>
    <n v="63"/>
    <n v="68"/>
  </r>
  <r>
    <n v="444"/>
    <d v="2011-01-20T00:00:00"/>
    <n v="1"/>
    <n v="0"/>
    <n v="1"/>
    <x v="12"/>
    <b v="0"/>
    <x v="5"/>
    <n v="2"/>
    <x v="11"/>
    <n v="0.33329999999999999"/>
    <n v="0.42"/>
    <n v="0"/>
    <n v="7"/>
    <n v="77"/>
    <n v="84"/>
  </r>
  <r>
    <n v="445"/>
    <d v="2011-01-20T00:00:00"/>
    <n v="1"/>
    <n v="0"/>
    <n v="1"/>
    <x v="13"/>
    <b v="0"/>
    <x v="5"/>
    <n v="2"/>
    <x v="17"/>
    <n v="0.28789999999999999"/>
    <n v="0.45"/>
    <n v="0.1045"/>
    <n v="12"/>
    <n v="86"/>
    <n v="98"/>
  </r>
  <r>
    <n v="446"/>
    <d v="2011-01-20T00:00:00"/>
    <n v="1"/>
    <n v="0"/>
    <n v="1"/>
    <x v="14"/>
    <b v="0"/>
    <x v="5"/>
    <n v="2"/>
    <x v="11"/>
    <n v="0.30299999999999999"/>
    <n v="0.45"/>
    <n v="0.1343"/>
    <n v="6"/>
    <n v="75"/>
    <n v="81"/>
  </r>
  <r>
    <n v="447"/>
    <d v="2011-01-20T00:00:00"/>
    <n v="1"/>
    <n v="0"/>
    <n v="1"/>
    <x v="15"/>
    <b v="0"/>
    <x v="5"/>
    <n v="2"/>
    <x v="3"/>
    <n v="0.31819999999999998"/>
    <n v="0.45"/>
    <n v="0.19400000000000001"/>
    <n v="8"/>
    <n v="62"/>
    <n v="70"/>
  </r>
  <r>
    <n v="448"/>
    <d v="2011-01-20T00:00:00"/>
    <n v="1"/>
    <n v="0"/>
    <n v="1"/>
    <x v="16"/>
    <b v="0"/>
    <x v="5"/>
    <n v="2"/>
    <x v="11"/>
    <n v="0.30299999999999999"/>
    <n v="0.49"/>
    <n v="0.1343"/>
    <n v="8"/>
    <n v="83"/>
    <n v="91"/>
  </r>
  <r>
    <n v="449"/>
    <d v="2011-01-20T00:00:00"/>
    <n v="1"/>
    <n v="0"/>
    <n v="1"/>
    <x v="17"/>
    <b v="0"/>
    <x v="5"/>
    <n v="2"/>
    <x v="11"/>
    <n v="0.31819999999999998"/>
    <n v="0.49"/>
    <n v="0.1045"/>
    <n v="8"/>
    <n v="207"/>
    <n v="215"/>
  </r>
  <r>
    <n v="450"/>
    <d v="2011-01-20T00:00:00"/>
    <n v="1"/>
    <n v="0"/>
    <n v="1"/>
    <x v="18"/>
    <b v="0"/>
    <x v="5"/>
    <n v="2"/>
    <x v="12"/>
    <n v="0.2576"/>
    <n v="0.56000000000000005"/>
    <n v="0.19400000000000001"/>
    <n v="1"/>
    <n v="184"/>
    <n v="185"/>
  </r>
  <r>
    <n v="451"/>
    <d v="2011-01-20T00:00:00"/>
    <n v="1"/>
    <n v="0"/>
    <n v="1"/>
    <x v="19"/>
    <b v="0"/>
    <x v="5"/>
    <n v="1"/>
    <x v="12"/>
    <n v="0.2273"/>
    <n v="0.56000000000000005"/>
    <n v="0.32840000000000003"/>
    <n v="6"/>
    <n v="146"/>
    <n v="152"/>
  </r>
  <r>
    <n v="452"/>
    <d v="2011-01-20T00:00:00"/>
    <n v="1"/>
    <n v="0"/>
    <n v="1"/>
    <x v="20"/>
    <b v="0"/>
    <x v="5"/>
    <n v="2"/>
    <x v="12"/>
    <n v="0.2424"/>
    <n v="0.6"/>
    <n v="0.28360000000000002"/>
    <n v="2"/>
    <n v="124"/>
    <n v="126"/>
  </r>
  <r>
    <n v="453"/>
    <d v="2011-01-20T00:00:00"/>
    <n v="1"/>
    <n v="0"/>
    <n v="1"/>
    <x v="21"/>
    <b v="0"/>
    <x v="5"/>
    <n v="2"/>
    <x v="0"/>
    <n v="0.2273"/>
    <n v="0.6"/>
    <n v="0.25369999999999998"/>
    <n v="3"/>
    <n v="54"/>
    <n v="57"/>
  </r>
  <r>
    <n v="454"/>
    <d v="2011-01-20T00:00:00"/>
    <n v="1"/>
    <n v="0"/>
    <n v="1"/>
    <x v="22"/>
    <b v="0"/>
    <x v="5"/>
    <n v="2"/>
    <x v="0"/>
    <n v="0.21210000000000001"/>
    <n v="0.65"/>
    <n v="0.28360000000000002"/>
    <n v="0"/>
    <n v="56"/>
    <n v="56"/>
  </r>
  <r>
    <n v="455"/>
    <d v="2011-01-20T00:00:00"/>
    <n v="1"/>
    <n v="0"/>
    <n v="1"/>
    <x v="23"/>
    <b v="0"/>
    <x v="5"/>
    <n v="2"/>
    <x v="0"/>
    <n v="0.21210000000000001"/>
    <n v="0.65"/>
    <n v="0.32840000000000003"/>
    <n v="3"/>
    <n v="28"/>
    <n v="31"/>
  </r>
  <r>
    <n v="456"/>
    <d v="2011-01-21T00:00:00"/>
    <n v="1"/>
    <n v="0"/>
    <n v="1"/>
    <x v="0"/>
    <b v="0"/>
    <x v="6"/>
    <n v="2"/>
    <x v="0"/>
    <n v="0.2273"/>
    <n v="0.7"/>
    <n v="0.25369999999999998"/>
    <n v="1"/>
    <n v="20"/>
    <n v="21"/>
  </r>
  <r>
    <n v="457"/>
    <d v="2011-01-21T00:00:00"/>
    <n v="1"/>
    <n v="0"/>
    <n v="1"/>
    <x v="1"/>
    <b v="0"/>
    <x v="6"/>
    <n v="2"/>
    <x v="0"/>
    <n v="0.2273"/>
    <n v="0.7"/>
    <n v="0.25369999999999998"/>
    <n v="0"/>
    <n v="6"/>
    <n v="6"/>
  </r>
  <r>
    <n v="458"/>
    <d v="2011-01-21T00:00:00"/>
    <n v="1"/>
    <n v="0"/>
    <n v="1"/>
    <x v="2"/>
    <b v="0"/>
    <x v="6"/>
    <n v="3"/>
    <x v="0"/>
    <n v="0.2424"/>
    <n v="0.75"/>
    <n v="0.16420000000000001"/>
    <n v="0"/>
    <n v="2"/>
    <n v="2"/>
  </r>
  <r>
    <n v="459"/>
    <d v="2011-01-21T00:00:00"/>
    <n v="1"/>
    <n v="0"/>
    <n v="1"/>
    <x v="3"/>
    <b v="0"/>
    <x v="6"/>
    <n v="3"/>
    <x v="1"/>
    <n v="0.21210000000000001"/>
    <n v="0.8"/>
    <n v="0.29849999999999999"/>
    <n v="0"/>
    <n v="1"/>
    <n v="1"/>
  </r>
  <r>
    <n v="460"/>
    <d v="2011-01-21T00:00:00"/>
    <n v="1"/>
    <n v="0"/>
    <n v="1"/>
    <x v="4"/>
    <b v="0"/>
    <x v="6"/>
    <n v="2"/>
    <x v="1"/>
    <n v="0.2576"/>
    <n v="0.87"/>
    <n v="8.9599999999999999E-2"/>
    <n v="0"/>
    <n v="1"/>
    <n v="1"/>
  </r>
  <r>
    <n v="461"/>
    <d v="2011-01-21T00:00:00"/>
    <n v="1"/>
    <n v="0"/>
    <n v="1"/>
    <x v="5"/>
    <b v="0"/>
    <x v="6"/>
    <n v="1"/>
    <x v="0"/>
    <n v="0.19700000000000001"/>
    <n v="0.6"/>
    <n v="0.41789999999999999"/>
    <n v="1"/>
    <n v="4"/>
    <n v="5"/>
  </r>
  <r>
    <n v="462"/>
    <d v="2011-01-21T00:00:00"/>
    <n v="1"/>
    <n v="0"/>
    <n v="1"/>
    <x v="6"/>
    <b v="0"/>
    <x v="6"/>
    <n v="1"/>
    <x v="1"/>
    <n v="0.21210000000000001"/>
    <n v="0.55000000000000004"/>
    <n v="0.25369999999999998"/>
    <n v="0"/>
    <n v="27"/>
    <n v="27"/>
  </r>
  <r>
    <n v="463"/>
    <d v="2011-01-21T00:00:00"/>
    <n v="1"/>
    <n v="0"/>
    <n v="1"/>
    <x v="7"/>
    <b v="0"/>
    <x v="6"/>
    <n v="1"/>
    <x v="2"/>
    <n v="0.18179999999999999"/>
    <n v="0.51"/>
    <n v="0.28360000000000002"/>
    <n v="2"/>
    <n v="66"/>
    <n v="68"/>
  </r>
  <r>
    <n v="464"/>
    <d v="2011-01-21T00:00:00"/>
    <n v="1"/>
    <n v="0"/>
    <n v="1"/>
    <x v="8"/>
    <b v="0"/>
    <x v="6"/>
    <n v="1"/>
    <x v="2"/>
    <n v="0.18179999999999999"/>
    <n v="0.47"/>
    <n v="0.32840000000000003"/>
    <n v="7"/>
    <n v="210"/>
    <n v="217"/>
  </r>
  <r>
    <n v="465"/>
    <d v="2011-01-21T00:00:00"/>
    <n v="1"/>
    <n v="0"/>
    <n v="1"/>
    <x v="9"/>
    <b v="0"/>
    <x v="6"/>
    <n v="1"/>
    <x v="2"/>
    <n v="0.18179999999999999"/>
    <n v="0.51"/>
    <n v="0.35820000000000002"/>
    <n v="7"/>
    <n v="159"/>
    <n v="166"/>
  </r>
  <r>
    <n v="466"/>
    <d v="2011-01-21T00:00:00"/>
    <n v="1"/>
    <n v="0"/>
    <n v="1"/>
    <x v="10"/>
    <b v="0"/>
    <x v="6"/>
    <n v="1"/>
    <x v="2"/>
    <n v="0.16669999999999999"/>
    <n v="0.47"/>
    <n v="0.4627"/>
    <n v="6"/>
    <n v="57"/>
    <n v="63"/>
  </r>
  <r>
    <n v="467"/>
    <d v="2011-01-21T00:00:00"/>
    <n v="1"/>
    <n v="0"/>
    <n v="1"/>
    <x v="11"/>
    <b v="0"/>
    <x v="6"/>
    <n v="1"/>
    <x v="1"/>
    <n v="0.18179999999999999"/>
    <n v="0.41"/>
    <n v="0.4627"/>
    <n v="6"/>
    <n v="53"/>
    <n v="59"/>
  </r>
  <r>
    <n v="468"/>
    <d v="2011-01-21T00:00:00"/>
    <n v="1"/>
    <n v="0"/>
    <n v="1"/>
    <x v="12"/>
    <b v="0"/>
    <x v="6"/>
    <n v="1"/>
    <x v="1"/>
    <n v="0.18179999999999999"/>
    <n v="0.27"/>
    <n v="0.58209999999999995"/>
    <n v="11"/>
    <n v="67"/>
    <n v="78"/>
  </r>
  <r>
    <n v="469"/>
    <d v="2011-01-21T00:00:00"/>
    <n v="1"/>
    <n v="0"/>
    <n v="1"/>
    <x v="13"/>
    <b v="0"/>
    <x v="6"/>
    <n v="1"/>
    <x v="2"/>
    <n v="0.1515"/>
    <n v="0.21"/>
    <n v="0.58209999999999995"/>
    <n v="8"/>
    <n v="65"/>
    <n v="73"/>
  </r>
  <r>
    <n v="470"/>
    <d v="2011-01-21T00:00:00"/>
    <n v="1"/>
    <n v="0"/>
    <n v="1"/>
    <x v="14"/>
    <b v="0"/>
    <x v="6"/>
    <n v="1"/>
    <x v="2"/>
    <n v="0.1515"/>
    <n v="0.25"/>
    <n v="0.52239999999999998"/>
    <n v="6"/>
    <n v="56"/>
    <n v="62"/>
  </r>
  <r>
    <n v="471"/>
    <d v="2011-01-21T00:00:00"/>
    <n v="1"/>
    <n v="0"/>
    <n v="1"/>
    <x v="15"/>
    <b v="0"/>
    <x v="6"/>
    <n v="1"/>
    <x v="13"/>
    <n v="0.1212"/>
    <n v="0.26"/>
    <n v="0.44779999999999998"/>
    <n v="4"/>
    <n v="61"/>
    <n v="65"/>
  </r>
  <r>
    <n v="472"/>
    <d v="2011-01-21T00:00:00"/>
    <n v="1"/>
    <n v="0"/>
    <n v="1"/>
    <x v="16"/>
    <b v="0"/>
    <x v="6"/>
    <n v="1"/>
    <x v="13"/>
    <n v="0.13639999999999999"/>
    <n v="0.26"/>
    <n v="0.35820000000000002"/>
    <n v="0"/>
    <n v="97"/>
    <n v="97"/>
  </r>
  <r>
    <n v="473"/>
    <d v="2011-01-21T00:00:00"/>
    <n v="1"/>
    <n v="0"/>
    <n v="1"/>
    <x v="17"/>
    <b v="0"/>
    <x v="6"/>
    <n v="1"/>
    <x v="14"/>
    <n v="0.1212"/>
    <n v="0.28000000000000003"/>
    <n v="0.35820000000000002"/>
    <n v="10"/>
    <n v="151"/>
    <n v="161"/>
  </r>
  <r>
    <n v="474"/>
    <d v="2011-01-21T00:00:00"/>
    <n v="1"/>
    <n v="0"/>
    <n v="1"/>
    <x v="18"/>
    <b v="0"/>
    <x v="6"/>
    <n v="1"/>
    <x v="16"/>
    <n v="0.1212"/>
    <n v="0.3"/>
    <n v="0.25369999999999998"/>
    <n v="1"/>
    <n v="119"/>
    <n v="120"/>
  </r>
  <r>
    <n v="475"/>
    <d v="2011-01-21T00:00:00"/>
    <n v="1"/>
    <n v="0"/>
    <n v="1"/>
    <x v="19"/>
    <b v="0"/>
    <x v="6"/>
    <n v="1"/>
    <x v="16"/>
    <n v="0.1061"/>
    <n v="0.3"/>
    <n v="0.32840000000000003"/>
    <n v="3"/>
    <n v="93"/>
    <n v="96"/>
  </r>
  <r>
    <n v="476"/>
    <d v="2011-01-21T00:00:00"/>
    <n v="1"/>
    <n v="0"/>
    <n v="1"/>
    <x v="20"/>
    <b v="0"/>
    <x v="6"/>
    <n v="1"/>
    <x v="18"/>
    <n v="7.5800000000000006E-2"/>
    <n v="0.33"/>
    <n v="0.41789999999999999"/>
    <n v="1"/>
    <n v="52"/>
    <n v="53"/>
  </r>
  <r>
    <n v="477"/>
    <d v="2011-01-21T00:00:00"/>
    <n v="1"/>
    <n v="0"/>
    <n v="1"/>
    <x v="21"/>
    <b v="0"/>
    <x v="6"/>
    <n v="1"/>
    <x v="19"/>
    <n v="7.5800000000000006E-2"/>
    <n v="0.38"/>
    <n v="0.28360000000000002"/>
    <n v="0"/>
    <n v="41"/>
    <n v="41"/>
  </r>
  <r>
    <n v="478"/>
    <d v="2011-01-21T00:00:00"/>
    <n v="1"/>
    <n v="0"/>
    <n v="1"/>
    <x v="22"/>
    <b v="0"/>
    <x v="6"/>
    <n v="1"/>
    <x v="20"/>
    <n v="3.0300000000000001E-2"/>
    <n v="0.41"/>
    <n v="0.3881"/>
    <n v="1"/>
    <n v="33"/>
    <n v="34"/>
  </r>
  <r>
    <n v="479"/>
    <d v="2011-01-21T00:00:00"/>
    <n v="1"/>
    <n v="0"/>
    <n v="1"/>
    <x v="23"/>
    <b v="0"/>
    <x v="6"/>
    <n v="1"/>
    <x v="20"/>
    <n v="4.5499999999999999E-2"/>
    <n v="0.38"/>
    <n v="0.32840000000000003"/>
    <n v="0"/>
    <n v="27"/>
    <n v="27"/>
  </r>
  <r>
    <n v="480"/>
    <d v="2011-01-22T00:00:00"/>
    <n v="1"/>
    <n v="0"/>
    <n v="1"/>
    <x v="0"/>
    <b v="0"/>
    <x v="0"/>
    <n v="1"/>
    <x v="21"/>
    <n v="3.0300000000000001E-2"/>
    <n v="0.45"/>
    <n v="0.25369999999999998"/>
    <n v="0"/>
    <n v="13"/>
    <n v="13"/>
  </r>
  <r>
    <n v="481"/>
    <d v="2011-01-22T00:00:00"/>
    <n v="1"/>
    <n v="0"/>
    <n v="1"/>
    <x v="1"/>
    <b v="0"/>
    <x v="0"/>
    <n v="2"/>
    <x v="21"/>
    <n v="0"/>
    <n v="0.41"/>
    <n v="0.3881"/>
    <n v="3"/>
    <n v="9"/>
    <n v="12"/>
  </r>
  <r>
    <n v="482"/>
    <d v="2011-01-22T00:00:00"/>
    <n v="1"/>
    <n v="0"/>
    <n v="1"/>
    <x v="2"/>
    <b v="0"/>
    <x v="0"/>
    <n v="2"/>
    <x v="21"/>
    <n v="3.0300000000000001E-2"/>
    <n v="0.41"/>
    <n v="0.25369999999999998"/>
    <n v="0"/>
    <n v="11"/>
    <n v="11"/>
  </r>
  <r>
    <n v="483"/>
    <d v="2011-01-22T00:00:00"/>
    <n v="1"/>
    <n v="0"/>
    <n v="1"/>
    <x v="3"/>
    <b v="0"/>
    <x v="0"/>
    <n v="2"/>
    <x v="21"/>
    <n v="3.0300000000000001E-2"/>
    <n v="0.41"/>
    <n v="0.28360000000000002"/>
    <n v="1"/>
    <n v="6"/>
    <n v="7"/>
  </r>
  <r>
    <n v="484"/>
    <d v="2011-01-22T00:00:00"/>
    <n v="1"/>
    <n v="0"/>
    <n v="1"/>
    <x v="4"/>
    <b v="0"/>
    <x v="0"/>
    <n v="2"/>
    <x v="22"/>
    <n v="1.52E-2"/>
    <n v="0.48"/>
    <n v="0.29849999999999999"/>
    <n v="0"/>
    <n v="3"/>
    <n v="3"/>
  </r>
  <r>
    <n v="485"/>
    <d v="2011-01-22T00:00:00"/>
    <n v="1"/>
    <n v="0"/>
    <n v="1"/>
    <x v="6"/>
    <b v="0"/>
    <x v="0"/>
    <n v="2"/>
    <x v="22"/>
    <n v="3.0300000000000001E-2"/>
    <n v="0.44"/>
    <n v="0.22389999999999999"/>
    <n v="0"/>
    <n v="2"/>
    <n v="2"/>
  </r>
  <r>
    <n v="486"/>
    <d v="2011-01-22T00:00:00"/>
    <n v="1"/>
    <n v="0"/>
    <n v="1"/>
    <x v="7"/>
    <b v="0"/>
    <x v="0"/>
    <n v="1"/>
    <x v="22"/>
    <n v="1.52E-2"/>
    <n v="0.44"/>
    <n v="0.28360000000000002"/>
    <n v="0"/>
    <n v="8"/>
    <n v="8"/>
  </r>
  <r>
    <n v="487"/>
    <d v="2011-01-22T00:00:00"/>
    <n v="1"/>
    <n v="0"/>
    <n v="1"/>
    <x v="8"/>
    <b v="0"/>
    <x v="0"/>
    <n v="1"/>
    <x v="22"/>
    <n v="0"/>
    <n v="0.44"/>
    <n v="0.32840000000000003"/>
    <n v="1"/>
    <n v="26"/>
    <n v="27"/>
  </r>
  <r>
    <n v="488"/>
    <d v="2011-01-22T00:00:00"/>
    <n v="1"/>
    <n v="0"/>
    <n v="1"/>
    <x v="9"/>
    <b v="0"/>
    <x v="0"/>
    <n v="1"/>
    <x v="21"/>
    <n v="3.0300000000000001E-2"/>
    <n v="0.41"/>
    <n v="0.25369999999999998"/>
    <n v="3"/>
    <n v="37"/>
    <n v="40"/>
  </r>
  <r>
    <n v="489"/>
    <d v="2011-01-22T00:00:00"/>
    <n v="1"/>
    <n v="0"/>
    <n v="1"/>
    <x v="10"/>
    <b v="0"/>
    <x v="0"/>
    <n v="2"/>
    <x v="21"/>
    <n v="6.0600000000000001E-2"/>
    <n v="0.41"/>
    <n v="0.16420000000000001"/>
    <n v="3"/>
    <n v="50"/>
    <n v="53"/>
  </r>
  <r>
    <n v="490"/>
    <d v="2011-01-22T00:00:00"/>
    <n v="1"/>
    <n v="0"/>
    <n v="1"/>
    <x v="11"/>
    <b v="0"/>
    <x v="0"/>
    <n v="2"/>
    <x v="20"/>
    <n v="7.5800000000000006E-2"/>
    <n v="0.38"/>
    <n v="0.1343"/>
    <n v="4"/>
    <n v="59"/>
    <n v="63"/>
  </r>
  <r>
    <n v="491"/>
    <d v="2011-01-22T00:00:00"/>
    <n v="1"/>
    <n v="0"/>
    <n v="1"/>
    <x v="12"/>
    <b v="0"/>
    <x v="0"/>
    <n v="2"/>
    <x v="20"/>
    <n v="0.1061"/>
    <n v="0.38"/>
    <n v="0.1045"/>
    <n v="10"/>
    <n v="60"/>
    <n v="70"/>
  </r>
  <r>
    <n v="492"/>
    <d v="2011-01-22T00:00:00"/>
    <n v="1"/>
    <n v="0"/>
    <n v="1"/>
    <x v="13"/>
    <b v="0"/>
    <x v="0"/>
    <n v="1"/>
    <x v="19"/>
    <n v="0.16669999999999999"/>
    <n v="0.35"/>
    <n v="0"/>
    <n v="12"/>
    <n v="72"/>
    <n v="84"/>
  </r>
  <r>
    <n v="493"/>
    <d v="2011-01-22T00:00:00"/>
    <n v="1"/>
    <n v="0"/>
    <n v="1"/>
    <x v="14"/>
    <b v="0"/>
    <x v="0"/>
    <n v="1"/>
    <x v="18"/>
    <n v="0.13639999999999999"/>
    <n v="0.33"/>
    <n v="0.1045"/>
    <n v="11"/>
    <n v="64"/>
    <n v="75"/>
  </r>
  <r>
    <n v="494"/>
    <d v="2011-01-22T00:00:00"/>
    <n v="1"/>
    <n v="0"/>
    <n v="1"/>
    <x v="15"/>
    <b v="0"/>
    <x v="0"/>
    <n v="1"/>
    <x v="16"/>
    <n v="0.1515"/>
    <n v="0.28000000000000003"/>
    <n v="0"/>
    <n v="10"/>
    <n v="93"/>
    <n v="103"/>
  </r>
  <r>
    <n v="495"/>
    <d v="2011-01-22T00:00:00"/>
    <n v="1"/>
    <n v="0"/>
    <n v="1"/>
    <x v="16"/>
    <b v="0"/>
    <x v="0"/>
    <n v="1"/>
    <x v="16"/>
    <n v="0.13639999999999999"/>
    <n v="0.28000000000000003"/>
    <n v="0.19400000000000001"/>
    <n v="11"/>
    <n v="72"/>
    <n v="83"/>
  </r>
  <r>
    <n v="496"/>
    <d v="2011-01-22T00:00:00"/>
    <n v="1"/>
    <n v="0"/>
    <n v="1"/>
    <x v="17"/>
    <b v="0"/>
    <x v="0"/>
    <n v="1"/>
    <x v="16"/>
    <n v="0.19700000000000001"/>
    <n v="0.28000000000000003"/>
    <n v="0"/>
    <n v="8"/>
    <n v="59"/>
    <n v="67"/>
  </r>
  <r>
    <n v="497"/>
    <d v="2011-01-22T00:00:00"/>
    <n v="1"/>
    <n v="0"/>
    <n v="1"/>
    <x v="18"/>
    <b v="0"/>
    <x v="0"/>
    <n v="1"/>
    <x v="19"/>
    <n v="9.0899999999999995E-2"/>
    <n v="0.35"/>
    <n v="0.19400000000000001"/>
    <n v="0"/>
    <n v="54"/>
    <n v="54"/>
  </r>
  <r>
    <n v="498"/>
    <d v="2011-01-22T00:00:00"/>
    <n v="1"/>
    <n v="0"/>
    <n v="1"/>
    <x v="19"/>
    <b v="0"/>
    <x v="0"/>
    <n v="1"/>
    <x v="19"/>
    <n v="0.1061"/>
    <n v="0.35"/>
    <n v="0.1343"/>
    <n v="6"/>
    <n v="53"/>
    <n v="59"/>
  </r>
  <r>
    <n v="499"/>
    <d v="2011-01-22T00:00:00"/>
    <n v="1"/>
    <n v="0"/>
    <n v="1"/>
    <x v="20"/>
    <b v="0"/>
    <x v="0"/>
    <n v="1"/>
    <x v="20"/>
    <n v="7.5800000000000006E-2"/>
    <n v="0.45"/>
    <n v="0.16420000000000001"/>
    <n v="1"/>
    <n v="44"/>
    <n v="45"/>
  </r>
  <r>
    <n v="500"/>
    <d v="2011-01-22T00:00:00"/>
    <n v="1"/>
    <n v="0"/>
    <n v="1"/>
    <x v="21"/>
    <b v="0"/>
    <x v="0"/>
    <n v="1"/>
    <x v="20"/>
    <n v="0.1061"/>
    <n v="0.41"/>
    <n v="8.9599999999999999E-2"/>
    <n v="0"/>
    <n v="39"/>
    <n v="39"/>
  </r>
  <r>
    <n v="501"/>
    <d v="2011-01-22T00:00:00"/>
    <n v="1"/>
    <n v="0"/>
    <n v="1"/>
    <x v="22"/>
    <b v="0"/>
    <x v="0"/>
    <n v="1"/>
    <x v="20"/>
    <n v="0.1515"/>
    <n v="0.49"/>
    <n v="0"/>
    <n v="7"/>
    <n v="23"/>
    <n v="30"/>
  </r>
  <r>
    <n v="502"/>
    <d v="2011-01-22T00:00:00"/>
    <n v="1"/>
    <n v="0"/>
    <n v="1"/>
    <x v="23"/>
    <b v="0"/>
    <x v="0"/>
    <n v="1"/>
    <x v="21"/>
    <n v="7.5800000000000006E-2"/>
    <n v="0.56999999999999995"/>
    <n v="0.1045"/>
    <n v="2"/>
    <n v="31"/>
    <n v="33"/>
  </r>
  <r>
    <n v="503"/>
    <d v="2011-01-23T00:00:00"/>
    <n v="1"/>
    <n v="0"/>
    <n v="1"/>
    <x v="0"/>
    <b v="0"/>
    <x v="1"/>
    <n v="1"/>
    <x v="21"/>
    <n v="7.5800000000000006E-2"/>
    <n v="0.56999999999999995"/>
    <n v="0.1045"/>
    <n v="2"/>
    <n v="20"/>
    <n v="22"/>
  </r>
  <r>
    <n v="504"/>
    <d v="2011-01-23T00:00:00"/>
    <n v="1"/>
    <n v="0"/>
    <n v="1"/>
    <x v="1"/>
    <b v="0"/>
    <x v="1"/>
    <n v="1"/>
    <x v="21"/>
    <n v="7.5800000000000006E-2"/>
    <n v="0.56999999999999995"/>
    <n v="0.1045"/>
    <n v="1"/>
    <n v="12"/>
    <n v="13"/>
  </r>
  <r>
    <n v="505"/>
    <d v="2011-01-23T00:00:00"/>
    <n v="1"/>
    <n v="0"/>
    <n v="1"/>
    <x v="2"/>
    <b v="0"/>
    <x v="1"/>
    <n v="1"/>
    <x v="22"/>
    <n v="6.0600000000000001E-2"/>
    <n v="0.62"/>
    <n v="0.1343"/>
    <n v="3"/>
    <n v="15"/>
    <n v="18"/>
  </r>
  <r>
    <n v="506"/>
    <d v="2011-01-23T00:00:00"/>
    <n v="1"/>
    <n v="0"/>
    <n v="1"/>
    <x v="3"/>
    <b v="0"/>
    <x v="1"/>
    <n v="1"/>
    <x v="22"/>
    <n v="6.0600000000000001E-2"/>
    <n v="0.62"/>
    <n v="0.1343"/>
    <n v="1"/>
    <n v="4"/>
    <n v="5"/>
  </r>
  <r>
    <n v="507"/>
    <d v="2011-01-23T00:00:00"/>
    <n v="1"/>
    <n v="0"/>
    <n v="1"/>
    <x v="5"/>
    <b v="0"/>
    <x v="1"/>
    <n v="2"/>
    <x v="21"/>
    <n v="7.5800000000000006E-2"/>
    <n v="0.56999999999999995"/>
    <n v="0.1045"/>
    <n v="0"/>
    <n v="3"/>
    <n v="3"/>
  </r>
  <r>
    <n v="508"/>
    <d v="2011-01-23T00:00:00"/>
    <n v="1"/>
    <n v="0"/>
    <n v="1"/>
    <x v="6"/>
    <b v="0"/>
    <x v="1"/>
    <n v="2"/>
    <x v="21"/>
    <n v="7.5800000000000006E-2"/>
    <n v="0.56999999999999995"/>
    <n v="0.1045"/>
    <n v="0"/>
    <n v="1"/>
    <n v="1"/>
  </r>
  <r>
    <n v="509"/>
    <d v="2011-01-23T00:00:00"/>
    <n v="1"/>
    <n v="0"/>
    <n v="1"/>
    <x v="7"/>
    <b v="0"/>
    <x v="1"/>
    <n v="1"/>
    <x v="19"/>
    <n v="0.1061"/>
    <n v="0.57999999999999996"/>
    <n v="0.16420000000000001"/>
    <n v="1"/>
    <n v="1"/>
    <n v="2"/>
  </r>
  <r>
    <n v="510"/>
    <d v="2011-01-23T00:00:00"/>
    <n v="1"/>
    <n v="0"/>
    <n v="1"/>
    <x v="8"/>
    <b v="0"/>
    <x v="1"/>
    <n v="1"/>
    <x v="20"/>
    <n v="7.5800000000000006E-2"/>
    <n v="0.62"/>
    <n v="0.16420000000000001"/>
    <n v="2"/>
    <n v="17"/>
    <n v="19"/>
  </r>
  <r>
    <n v="511"/>
    <d v="2011-01-23T00:00:00"/>
    <n v="1"/>
    <n v="0"/>
    <n v="1"/>
    <x v="9"/>
    <b v="0"/>
    <x v="1"/>
    <n v="1"/>
    <x v="18"/>
    <n v="7.5800000000000006E-2"/>
    <n v="0.54"/>
    <n v="0.35820000000000002"/>
    <n v="3"/>
    <n v="25"/>
    <n v="28"/>
  </r>
  <r>
    <n v="512"/>
    <d v="2011-01-23T00:00:00"/>
    <n v="1"/>
    <n v="0"/>
    <n v="1"/>
    <x v="10"/>
    <b v="0"/>
    <x v="1"/>
    <n v="1"/>
    <x v="14"/>
    <n v="0.1061"/>
    <n v="0.46"/>
    <n v="0.3881"/>
    <n v="7"/>
    <n v="51"/>
    <n v="58"/>
  </r>
  <r>
    <n v="513"/>
    <d v="2011-01-23T00:00:00"/>
    <n v="1"/>
    <n v="0"/>
    <n v="1"/>
    <x v="11"/>
    <b v="0"/>
    <x v="1"/>
    <n v="1"/>
    <x v="14"/>
    <n v="0.13639999999999999"/>
    <n v="0.43"/>
    <n v="0.22389999999999999"/>
    <n v="22"/>
    <n v="77"/>
    <n v="99"/>
  </r>
  <r>
    <n v="514"/>
    <d v="2011-01-23T00:00:00"/>
    <n v="1"/>
    <n v="0"/>
    <n v="1"/>
    <x v="12"/>
    <b v="0"/>
    <x v="1"/>
    <n v="1"/>
    <x v="13"/>
    <n v="0.1212"/>
    <n v="0.37"/>
    <n v="0.4627"/>
    <n v="24"/>
    <n v="92"/>
    <n v="116"/>
  </r>
  <r>
    <n v="515"/>
    <d v="2011-01-23T00:00:00"/>
    <n v="1"/>
    <n v="0"/>
    <n v="1"/>
    <x v="13"/>
    <b v="0"/>
    <x v="1"/>
    <n v="1"/>
    <x v="14"/>
    <n v="0.1061"/>
    <n v="0.33"/>
    <n v="0.3881"/>
    <n v="12"/>
    <n v="75"/>
    <n v="87"/>
  </r>
  <r>
    <n v="516"/>
    <d v="2011-01-23T00:00:00"/>
    <n v="1"/>
    <n v="0"/>
    <n v="1"/>
    <x v="14"/>
    <b v="0"/>
    <x v="1"/>
    <n v="1"/>
    <x v="13"/>
    <n v="0.13639999999999999"/>
    <n v="0.28000000000000003"/>
    <n v="0.35820000000000002"/>
    <n v="17"/>
    <n v="93"/>
    <n v="110"/>
  </r>
  <r>
    <n v="517"/>
    <d v="2011-01-23T00:00:00"/>
    <n v="1"/>
    <n v="0"/>
    <n v="1"/>
    <x v="15"/>
    <b v="0"/>
    <x v="1"/>
    <n v="1"/>
    <x v="13"/>
    <n v="0.13639999999999999"/>
    <n v="0.28000000000000003"/>
    <n v="0.35820000000000002"/>
    <n v="13"/>
    <n v="64"/>
    <n v="77"/>
  </r>
  <r>
    <n v="518"/>
    <d v="2011-01-23T00:00:00"/>
    <n v="1"/>
    <n v="0"/>
    <n v="1"/>
    <x v="16"/>
    <b v="0"/>
    <x v="1"/>
    <n v="1"/>
    <x v="13"/>
    <n v="0.13639999999999999"/>
    <n v="0.26"/>
    <n v="0.32840000000000003"/>
    <n v="9"/>
    <n v="56"/>
    <n v="65"/>
  </r>
  <r>
    <n v="519"/>
    <d v="2011-01-23T00:00:00"/>
    <n v="1"/>
    <n v="0"/>
    <n v="1"/>
    <x v="17"/>
    <b v="0"/>
    <x v="1"/>
    <n v="1"/>
    <x v="14"/>
    <n v="0.1061"/>
    <n v="0.26"/>
    <n v="0.3881"/>
    <n v="5"/>
    <n v="50"/>
    <n v="55"/>
  </r>
  <r>
    <n v="520"/>
    <d v="2011-01-23T00:00:00"/>
    <n v="1"/>
    <n v="0"/>
    <n v="1"/>
    <x v="18"/>
    <b v="0"/>
    <x v="1"/>
    <n v="1"/>
    <x v="16"/>
    <n v="0.1212"/>
    <n v="0.3"/>
    <n v="0.25369999999999998"/>
    <n v="5"/>
    <n v="44"/>
    <n v="49"/>
  </r>
  <r>
    <n v="521"/>
    <d v="2011-01-23T00:00:00"/>
    <n v="1"/>
    <n v="0"/>
    <n v="1"/>
    <x v="19"/>
    <b v="0"/>
    <x v="1"/>
    <n v="1"/>
    <x v="16"/>
    <n v="0.1212"/>
    <n v="0.3"/>
    <n v="0.28360000000000002"/>
    <n v="5"/>
    <n v="45"/>
    <n v="50"/>
  </r>
  <r>
    <n v="522"/>
    <d v="2011-01-23T00:00:00"/>
    <n v="1"/>
    <n v="0"/>
    <n v="1"/>
    <x v="20"/>
    <b v="0"/>
    <x v="1"/>
    <n v="1"/>
    <x v="18"/>
    <n v="0.1061"/>
    <n v="0.36"/>
    <n v="0.25369999999999998"/>
    <n v="4"/>
    <n v="31"/>
    <n v="35"/>
  </r>
  <r>
    <n v="523"/>
    <d v="2011-01-23T00:00:00"/>
    <n v="1"/>
    <n v="0"/>
    <n v="1"/>
    <x v="21"/>
    <b v="0"/>
    <x v="1"/>
    <n v="1"/>
    <x v="18"/>
    <n v="0.1061"/>
    <n v="0.36"/>
    <n v="0.19400000000000001"/>
    <n v="5"/>
    <n v="20"/>
    <n v="25"/>
  </r>
  <r>
    <n v="524"/>
    <d v="2011-01-23T00:00:00"/>
    <n v="1"/>
    <n v="0"/>
    <n v="1"/>
    <x v="22"/>
    <b v="0"/>
    <x v="1"/>
    <n v="1"/>
    <x v="19"/>
    <n v="9.0899999999999995E-2"/>
    <n v="0.38"/>
    <n v="0.19400000000000001"/>
    <n v="5"/>
    <n v="23"/>
    <n v="28"/>
  </r>
  <r>
    <n v="525"/>
    <d v="2011-01-23T00:00:00"/>
    <n v="1"/>
    <n v="0"/>
    <n v="1"/>
    <x v="23"/>
    <b v="0"/>
    <x v="1"/>
    <n v="1"/>
    <x v="20"/>
    <n v="6.0600000000000001E-2"/>
    <n v="0.41"/>
    <n v="0.22389999999999999"/>
    <n v="4"/>
    <n v="17"/>
    <n v="21"/>
  </r>
  <r>
    <n v="526"/>
    <d v="2011-01-24T00:00:00"/>
    <n v="1"/>
    <n v="0"/>
    <n v="1"/>
    <x v="0"/>
    <b v="0"/>
    <x v="2"/>
    <n v="1"/>
    <x v="20"/>
    <n v="6.0600000000000001E-2"/>
    <n v="0.41"/>
    <n v="0.19400000000000001"/>
    <n v="0"/>
    <n v="7"/>
    <n v="7"/>
  </r>
  <r>
    <n v="527"/>
    <d v="2011-01-24T00:00:00"/>
    <n v="1"/>
    <n v="0"/>
    <n v="1"/>
    <x v="1"/>
    <b v="0"/>
    <x v="2"/>
    <n v="1"/>
    <x v="21"/>
    <n v="4.5499999999999999E-2"/>
    <n v="0.45"/>
    <n v="0.19400000000000001"/>
    <n v="0"/>
    <n v="1"/>
    <n v="1"/>
  </r>
  <r>
    <n v="528"/>
    <d v="2011-01-24T00:00:00"/>
    <n v="1"/>
    <n v="0"/>
    <n v="1"/>
    <x v="3"/>
    <b v="0"/>
    <x v="2"/>
    <n v="1"/>
    <x v="21"/>
    <n v="3.0300000000000001E-2"/>
    <n v="0.45"/>
    <n v="0.25369999999999998"/>
    <n v="0"/>
    <n v="1"/>
    <n v="1"/>
  </r>
  <r>
    <n v="529"/>
    <d v="2011-01-24T00:00:00"/>
    <n v="1"/>
    <n v="0"/>
    <n v="1"/>
    <x v="4"/>
    <b v="0"/>
    <x v="2"/>
    <n v="1"/>
    <x v="22"/>
    <n v="6.0600000000000001E-2"/>
    <n v="0.48"/>
    <n v="0.1343"/>
    <n v="0"/>
    <n v="1"/>
    <n v="1"/>
  </r>
  <r>
    <n v="530"/>
    <d v="2011-01-24T00:00:00"/>
    <n v="1"/>
    <n v="0"/>
    <n v="1"/>
    <x v="5"/>
    <b v="0"/>
    <x v="2"/>
    <n v="1"/>
    <x v="22"/>
    <n v="6.0600000000000001E-2"/>
    <n v="0.48"/>
    <n v="0.1343"/>
    <n v="0"/>
    <n v="5"/>
    <n v="5"/>
  </r>
  <r>
    <n v="531"/>
    <d v="2011-01-24T00:00:00"/>
    <n v="1"/>
    <n v="0"/>
    <n v="1"/>
    <x v="6"/>
    <b v="0"/>
    <x v="2"/>
    <n v="1"/>
    <x v="22"/>
    <n v="7.5800000000000006E-2"/>
    <n v="0.48"/>
    <n v="8.9599999999999999E-2"/>
    <n v="0"/>
    <n v="15"/>
    <n v="15"/>
  </r>
  <r>
    <n v="532"/>
    <d v="2011-01-24T00:00:00"/>
    <n v="1"/>
    <n v="0"/>
    <n v="1"/>
    <x v="7"/>
    <b v="0"/>
    <x v="2"/>
    <n v="1"/>
    <x v="22"/>
    <n v="0.1212"/>
    <n v="0.48"/>
    <n v="0"/>
    <n v="5"/>
    <n v="79"/>
    <n v="84"/>
  </r>
  <r>
    <n v="533"/>
    <d v="2011-01-24T00:00:00"/>
    <n v="1"/>
    <n v="0"/>
    <n v="1"/>
    <x v="8"/>
    <b v="0"/>
    <x v="2"/>
    <n v="1"/>
    <x v="21"/>
    <n v="0.13639999999999999"/>
    <n v="0.49"/>
    <n v="0"/>
    <n v="6"/>
    <n v="171"/>
    <n v="177"/>
  </r>
  <r>
    <n v="534"/>
    <d v="2011-01-24T00:00:00"/>
    <n v="1"/>
    <n v="0"/>
    <n v="1"/>
    <x v="9"/>
    <b v="0"/>
    <x v="2"/>
    <n v="1"/>
    <x v="20"/>
    <n v="0.1515"/>
    <n v="0.41"/>
    <n v="0"/>
    <n v="4"/>
    <n v="98"/>
    <n v="102"/>
  </r>
  <r>
    <n v="535"/>
    <d v="2011-01-24T00:00:00"/>
    <n v="1"/>
    <n v="0"/>
    <n v="1"/>
    <x v="10"/>
    <b v="0"/>
    <x v="2"/>
    <n v="1"/>
    <x v="18"/>
    <n v="0.13639999999999999"/>
    <n v="0.42"/>
    <n v="0"/>
    <n v="6"/>
    <n v="34"/>
    <n v="40"/>
  </r>
  <r>
    <n v="536"/>
    <d v="2011-01-24T00:00:00"/>
    <n v="1"/>
    <n v="0"/>
    <n v="1"/>
    <x v="11"/>
    <b v="0"/>
    <x v="2"/>
    <n v="1"/>
    <x v="18"/>
    <n v="0.1212"/>
    <n v="0.46"/>
    <n v="0.1343"/>
    <n v="3"/>
    <n v="43"/>
    <n v="46"/>
  </r>
  <r>
    <n v="537"/>
    <d v="2011-01-24T00:00:00"/>
    <n v="1"/>
    <n v="0"/>
    <n v="1"/>
    <x v="12"/>
    <b v="0"/>
    <x v="2"/>
    <n v="2"/>
    <x v="16"/>
    <n v="0.13639999999999999"/>
    <n v="0.42"/>
    <n v="0.19400000000000001"/>
    <n v="11"/>
    <n v="52"/>
    <n v="63"/>
  </r>
  <r>
    <n v="538"/>
    <d v="2011-01-24T00:00:00"/>
    <n v="1"/>
    <n v="0"/>
    <n v="1"/>
    <x v="13"/>
    <b v="0"/>
    <x v="2"/>
    <n v="2"/>
    <x v="14"/>
    <n v="0.13639999999999999"/>
    <n v="0.43"/>
    <n v="0.22389999999999999"/>
    <n v="6"/>
    <n v="54"/>
    <n v="60"/>
  </r>
  <r>
    <n v="539"/>
    <d v="2011-01-24T00:00:00"/>
    <n v="1"/>
    <n v="0"/>
    <n v="1"/>
    <x v="14"/>
    <b v="0"/>
    <x v="2"/>
    <n v="2"/>
    <x v="14"/>
    <n v="0.13639999999999999"/>
    <n v="0.46"/>
    <n v="0.22389999999999999"/>
    <n v="2"/>
    <n v="43"/>
    <n v="45"/>
  </r>
  <r>
    <n v="540"/>
    <d v="2011-01-24T00:00:00"/>
    <n v="1"/>
    <n v="0"/>
    <n v="1"/>
    <x v="15"/>
    <b v="0"/>
    <x v="2"/>
    <n v="1"/>
    <x v="13"/>
    <n v="0.16669999999999999"/>
    <n v="0.4"/>
    <n v="0.16420000000000001"/>
    <n v="7"/>
    <n v="50"/>
    <n v="57"/>
  </r>
  <r>
    <n v="541"/>
    <d v="2011-01-24T00:00:00"/>
    <n v="1"/>
    <n v="0"/>
    <n v="1"/>
    <x v="16"/>
    <b v="0"/>
    <x v="2"/>
    <n v="1"/>
    <x v="13"/>
    <n v="0.1515"/>
    <n v="0.47"/>
    <n v="0.25369999999999998"/>
    <n v="4"/>
    <n v="66"/>
    <n v="70"/>
  </r>
  <r>
    <n v="542"/>
    <d v="2011-01-24T00:00:00"/>
    <n v="1"/>
    <n v="0"/>
    <n v="1"/>
    <x v="17"/>
    <b v="0"/>
    <x v="2"/>
    <n v="1"/>
    <x v="14"/>
    <n v="0.1212"/>
    <n v="0.5"/>
    <n v="0.25369999999999998"/>
    <n v="6"/>
    <n v="178"/>
    <n v="184"/>
  </r>
  <r>
    <n v="543"/>
    <d v="2011-01-24T00:00:00"/>
    <n v="1"/>
    <n v="0"/>
    <n v="1"/>
    <x v="18"/>
    <b v="0"/>
    <x v="2"/>
    <n v="1"/>
    <x v="14"/>
    <n v="0.13639999999999999"/>
    <n v="0.59"/>
    <n v="0.19400000000000001"/>
    <n v="8"/>
    <n v="145"/>
    <n v="153"/>
  </r>
  <r>
    <n v="544"/>
    <d v="2011-01-24T00:00:00"/>
    <n v="1"/>
    <n v="0"/>
    <n v="1"/>
    <x v="19"/>
    <b v="0"/>
    <x v="2"/>
    <n v="1"/>
    <x v="14"/>
    <n v="0.1515"/>
    <n v="0.54"/>
    <n v="0.16420000000000001"/>
    <n v="5"/>
    <n v="101"/>
    <n v="106"/>
  </r>
  <r>
    <n v="545"/>
    <d v="2011-01-24T00:00:00"/>
    <n v="1"/>
    <n v="0"/>
    <n v="1"/>
    <x v="20"/>
    <b v="0"/>
    <x v="2"/>
    <n v="1"/>
    <x v="14"/>
    <n v="0.13639999999999999"/>
    <n v="0.59"/>
    <n v="0.19400000000000001"/>
    <n v="1"/>
    <n v="80"/>
    <n v="81"/>
  </r>
  <r>
    <n v="546"/>
    <d v="2011-01-24T00:00:00"/>
    <n v="1"/>
    <n v="0"/>
    <n v="1"/>
    <x v="21"/>
    <b v="0"/>
    <x v="2"/>
    <n v="1"/>
    <x v="14"/>
    <n v="0.1515"/>
    <n v="0.63"/>
    <n v="0.16420000000000001"/>
    <n v="6"/>
    <n v="53"/>
    <n v="59"/>
  </r>
  <r>
    <n v="547"/>
    <d v="2011-01-24T00:00:00"/>
    <n v="1"/>
    <n v="0"/>
    <n v="1"/>
    <x v="22"/>
    <b v="0"/>
    <x v="2"/>
    <n v="2"/>
    <x v="14"/>
    <n v="0.13639999999999999"/>
    <n v="0.63"/>
    <n v="0.22389999999999999"/>
    <n v="3"/>
    <n v="32"/>
    <n v="35"/>
  </r>
  <r>
    <n v="548"/>
    <d v="2011-01-24T00:00:00"/>
    <n v="1"/>
    <n v="0"/>
    <n v="1"/>
    <x v="23"/>
    <b v="0"/>
    <x v="2"/>
    <n v="2"/>
    <x v="13"/>
    <n v="0.1515"/>
    <n v="0.64"/>
    <n v="0.25369999999999998"/>
    <n v="3"/>
    <n v="21"/>
    <n v="24"/>
  </r>
  <r>
    <n v="549"/>
    <d v="2011-01-25T00:00:00"/>
    <n v="1"/>
    <n v="0"/>
    <n v="1"/>
    <x v="0"/>
    <b v="0"/>
    <x v="3"/>
    <n v="2"/>
    <x v="13"/>
    <n v="0.13639999999999999"/>
    <n v="0.69"/>
    <n v="0.28360000000000002"/>
    <n v="3"/>
    <n v="6"/>
    <n v="9"/>
  </r>
  <r>
    <n v="550"/>
    <d v="2011-01-25T00:00:00"/>
    <n v="1"/>
    <n v="0"/>
    <n v="1"/>
    <x v="1"/>
    <b v="0"/>
    <x v="3"/>
    <n v="2"/>
    <x v="13"/>
    <n v="0.16669999999999999"/>
    <n v="0.69"/>
    <n v="0.16420000000000001"/>
    <n v="0"/>
    <n v="5"/>
    <n v="5"/>
  </r>
  <r>
    <n v="551"/>
    <d v="2011-01-25T00:00:00"/>
    <n v="1"/>
    <n v="0"/>
    <n v="1"/>
    <x v="2"/>
    <b v="0"/>
    <x v="3"/>
    <n v="1"/>
    <x v="13"/>
    <n v="0.1515"/>
    <n v="0.69"/>
    <n v="0.22389999999999999"/>
    <n v="0"/>
    <n v="2"/>
    <n v="2"/>
  </r>
  <r>
    <n v="552"/>
    <d v="2011-01-25T00:00:00"/>
    <n v="1"/>
    <n v="0"/>
    <n v="1"/>
    <x v="4"/>
    <b v="0"/>
    <x v="3"/>
    <n v="1"/>
    <x v="14"/>
    <n v="0.16669999999999999"/>
    <n v="0.74"/>
    <n v="0.1045"/>
    <n v="0"/>
    <n v="1"/>
    <n v="1"/>
  </r>
  <r>
    <n v="553"/>
    <d v="2011-01-25T00:00:00"/>
    <n v="1"/>
    <n v="0"/>
    <n v="1"/>
    <x v="5"/>
    <b v="0"/>
    <x v="3"/>
    <n v="1"/>
    <x v="14"/>
    <n v="0.13639999999999999"/>
    <n v="0.74"/>
    <n v="0.22389999999999999"/>
    <n v="0"/>
    <n v="9"/>
    <n v="9"/>
  </r>
  <r>
    <n v="554"/>
    <d v="2011-01-25T00:00:00"/>
    <n v="1"/>
    <n v="0"/>
    <n v="1"/>
    <x v="6"/>
    <b v="0"/>
    <x v="3"/>
    <n v="1"/>
    <x v="13"/>
    <n v="0.18179999999999999"/>
    <n v="0.74"/>
    <n v="0.1045"/>
    <n v="1"/>
    <n v="35"/>
    <n v="36"/>
  </r>
  <r>
    <n v="555"/>
    <d v="2011-01-25T00:00:00"/>
    <n v="1"/>
    <n v="0"/>
    <n v="1"/>
    <x v="7"/>
    <b v="0"/>
    <x v="3"/>
    <n v="1"/>
    <x v="13"/>
    <n v="0.1515"/>
    <n v="0.74"/>
    <n v="0.22389999999999999"/>
    <n v="5"/>
    <n v="103"/>
    <n v="108"/>
  </r>
  <r>
    <n v="556"/>
    <d v="2011-01-25T00:00:00"/>
    <n v="1"/>
    <n v="0"/>
    <n v="1"/>
    <x v="8"/>
    <b v="0"/>
    <x v="3"/>
    <n v="2"/>
    <x v="13"/>
    <n v="0.18179999999999999"/>
    <n v="0.74"/>
    <n v="0.1343"/>
    <n v="5"/>
    <n v="233"/>
    <n v="238"/>
  </r>
  <r>
    <n v="557"/>
    <d v="2011-01-25T00:00:00"/>
    <n v="1"/>
    <n v="0"/>
    <n v="1"/>
    <x v="9"/>
    <b v="0"/>
    <x v="3"/>
    <n v="2"/>
    <x v="2"/>
    <n v="0.2273"/>
    <n v="0.64"/>
    <n v="8.9599999999999999E-2"/>
    <n v="10"/>
    <n v="134"/>
    <n v="144"/>
  </r>
  <r>
    <n v="558"/>
    <d v="2011-01-25T00:00:00"/>
    <n v="1"/>
    <n v="0"/>
    <n v="1"/>
    <x v="10"/>
    <b v="0"/>
    <x v="3"/>
    <n v="2"/>
    <x v="1"/>
    <n v="0.2424"/>
    <n v="0.6"/>
    <n v="0.1045"/>
    <n v="6"/>
    <n v="49"/>
    <n v="55"/>
  </r>
  <r>
    <n v="559"/>
    <d v="2011-01-25T00:00:00"/>
    <n v="1"/>
    <n v="0"/>
    <n v="1"/>
    <x v="11"/>
    <b v="0"/>
    <x v="3"/>
    <n v="2"/>
    <x v="0"/>
    <n v="0.2424"/>
    <n v="0.6"/>
    <n v="0.1343"/>
    <n v="6"/>
    <n v="55"/>
    <n v="61"/>
  </r>
  <r>
    <n v="560"/>
    <d v="2011-01-25T00:00:00"/>
    <n v="1"/>
    <n v="0"/>
    <n v="1"/>
    <x v="12"/>
    <b v="0"/>
    <x v="3"/>
    <n v="2"/>
    <x v="12"/>
    <n v="0.28789999999999999"/>
    <n v="0.56000000000000005"/>
    <n v="8.9599999999999999E-2"/>
    <n v="21"/>
    <n v="85"/>
    <n v="106"/>
  </r>
  <r>
    <n v="561"/>
    <d v="2011-01-25T00:00:00"/>
    <n v="1"/>
    <n v="0"/>
    <n v="1"/>
    <x v="13"/>
    <b v="0"/>
    <x v="3"/>
    <n v="2"/>
    <x v="12"/>
    <n v="0.2727"/>
    <n v="0.56000000000000005"/>
    <n v="0.1343"/>
    <n v="21"/>
    <n v="72"/>
    <n v="93"/>
  </r>
  <r>
    <n v="562"/>
    <d v="2011-01-25T00:00:00"/>
    <n v="1"/>
    <n v="0"/>
    <n v="1"/>
    <x v="14"/>
    <b v="0"/>
    <x v="3"/>
    <n v="2"/>
    <x v="11"/>
    <n v="0.33329999999999999"/>
    <n v="0.45"/>
    <n v="0"/>
    <n v="11"/>
    <n v="57"/>
    <n v="68"/>
  </r>
  <r>
    <n v="563"/>
    <d v="2011-01-25T00:00:00"/>
    <n v="1"/>
    <n v="0"/>
    <n v="1"/>
    <x v="15"/>
    <b v="0"/>
    <x v="3"/>
    <n v="2"/>
    <x v="3"/>
    <n v="0.34849999999999998"/>
    <n v="0.42"/>
    <n v="0"/>
    <n v="21"/>
    <n v="63"/>
    <n v="84"/>
  </r>
  <r>
    <n v="564"/>
    <d v="2011-01-25T00:00:00"/>
    <n v="1"/>
    <n v="0"/>
    <n v="1"/>
    <x v="16"/>
    <b v="0"/>
    <x v="3"/>
    <n v="2"/>
    <x v="3"/>
    <n v="0.34849999999999998"/>
    <n v="0.42"/>
    <n v="0"/>
    <n v="14"/>
    <n v="102"/>
    <n v="116"/>
  </r>
  <r>
    <n v="565"/>
    <d v="2011-01-25T00:00:00"/>
    <n v="1"/>
    <n v="0"/>
    <n v="1"/>
    <x v="17"/>
    <b v="0"/>
    <x v="3"/>
    <n v="1"/>
    <x v="11"/>
    <n v="0.33329999999999999"/>
    <n v="0.45"/>
    <n v="0"/>
    <n v="14"/>
    <n v="208"/>
    <n v="222"/>
  </r>
  <r>
    <n v="566"/>
    <d v="2011-01-25T00:00:00"/>
    <n v="1"/>
    <n v="0"/>
    <n v="1"/>
    <x v="18"/>
    <b v="0"/>
    <x v="3"/>
    <n v="2"/>
    <x v="11"/>
    <n v="0.31819999999999998"/>
    <n v="0.49"/>
    <n v="8.9599999999999999E-2"/>
    <n v="7"/>
    <n v="218"/>
    <n v="225"/>
  </r>
  <r>
    <n v="567"/>
    <d v="2011-01-25T00:00:00"/>
    <n v="1"/>
    <n v="0"/>
    <n v="1"/>
    <x v="19"/>
    <b v="0"/>
    <x v="3"/>
    <n v="2"/>
    <x v="12"/>
    <n v="0.2576"/>
    <n v="0.65"/>
    <n v="0.16420000000000001"/>
    <n v="13"/>
    <n v="133"/>
    <n v="146"/>
  </r>
  <r>
    <n v="568"/>
    <d v="2011-01-25T00:00:00"/>
    <n v="1"/>
    <n v="0"/>
    <n v="1"/>
    <x v="20"/>
    <b v="0"/>
    <x v="3"/>
    <n v="1"/>
    <x v="0"/>
    <n v="0.2273"/>
    <n v="0.65"/>
    <n v="0.19400000000000001"/>
    <n v="16"/>
    <n v="103"/>
    <n v="119"/>
  </r>
  <r>
    <n v="569"/>
    <d v="2011-01-25T00:00:00"/>
    <n v="1"/>
    <n v="0"/>
    <n v="1"/>
    <x v="21"/>
    <b v="0"/>
    <x v="3"/>
    <n v="1"/>
    <x v="0"/>
    <n v="0.2273"/>
    <n v="0.65"/>
    <n v="0.19400000000000001"/>
    <n v="5"/>
    <n v="40"/>
    <n v="45"/>
  </r>
  <r>
    <n v="570"/>
    <d v="2011-01-25T00:00:00"/>
    <n v="1"/>
    <n v="0"/>
    <n v="1"/>
    <x v="22"/>
    <b v="0"/>
    <x v="3"/>
    <n v="1"/>
    <x v="1"/>
    <n v="0.2273"/>
    <n v="0.64"/>
    <n v="0.16420000000000001"/>
    <n v="4"/>
    <n v="49"/>
    <n v="53"/>
  </r>
  <r>
    <n v="571"/>
    <d v="2011-01-25T00:00:00"/>
    <n v="1"/>
    <n v="0"/>
    <n v="1"/>
    <x v="23"/>
    <b v="0"/>
    <x v="3"/>
    <n v="2"/>
    <x v="1"/>
    <n v="0.2273"/>
    <n v="0.64"/>
    <n v="0.16420000000000001"/>
    <n v="3"/>
    <n v="37"/>
    <n v="40"/>
  </r>
  <r>
    <n v="572"/>
    <d v="2011-01-26T00:00:00"/>
    <n v="1"/>
    <n v="0"/>
    <n v="1"/>
    <x v="0"/>
    <b v="0"/>
    <x v="4"/>
    <n v="2"/>
    <x v="1"/>
    <n v="0.2273"/>
    <n v="0.69"/>
    <n v="0.1343"/>
    <n v="3"/>
    <n v="14"/>
    <n v="17"/>
  </r>
  <r>
    <n v="573"/>
    <d v="2011-01-26T00:00:00"/>
    <n v="1"/>
    <n v="0"/>
    <n v="1"/>
    <x v="1"/>
    <b v="0"/>
    <x v="4"/>
    <n v="2"/>
    <x v="0"/>
    <n v="0.2424"/>
    <n v="0.65"/>
    <n v="0.1343"/>
    <n v="0"/>
    <n v="5"/>
    <n v="5"/>
  </r>
  <r>
    <n v="574"/>
    <d v="2011-01-26T00:00:00"/>
    <n v="1"/>
    <n v="0"/>
    <n v="1"/>
    <x v="2"/>
    <b v="0"/>
    <x v="4"/>
    <n v="3"/>
    <x v="1"/>
    <n v="0.2273"/>
    <n v="0.69"/>
    <n v="0.19400000000000001"/>
    <n v="3"/>
    <n v="7"/>
    <n v="10"/>
  </r>
  <r>
    <n v="575"/>
    <d v="2011-01-26T00:00:00"/>
    <n v="1"/>
    <n v="0"/>
    <n v="1"/>
    <x v="5"/>
    <b v="0"/>
    <x v="4"/>
    <n v="3"/>
    <x v="2"/>
    <n v="0.18179999999999999"/>
    <n v="0.86"/>
    <n v="0.28360000000000002"/>
    <n v="0"/>
    <n v="1"/>
    <n v="1"/>
  </r>
  <r>
    <n v="576"/>
    <d v="2011-01-26T00:00:00"/>
    <n v="1"/>
    <n v="0"/>
    <n v="1"/>
    <x v="6"/>
    <b v="0"/>
    <x v="4"/>
    <n v="3"/>
    <x v="2"/>
    <n v="0.18179999999999999"/>
    <n v="0.86"/>
    <n v="0.28360000000000002"/>
    <n v="0"/>
    <n v="8"/>
    <n v="8"/>
  </r>
  <r>
    <n v="577"/>
    <d v="2011-01-26T00:00:00"/>
    <n v="1"/>
    <n v="0"/>
    <n v="1"/>
    <x v="7"/>
    <b v="0"/>
    <x v="4"/>
    <n v="3"/>
    <x v="1"/>
    <n v="0.21210000000000001"/>
    <n v="0.87"/>
    <n v="0.29849999999999999"/>
    <n v="1"/>
    <n v="29"/>
    <n v="30"/>
  </r>
  <r>
    <n v="578"/>
    <d v="2011-01-26T00:00:00"/>
    <n v="1"/>
    <n v="0"/>
    <n v="1"/>
    <x v="8"/>
    <b v="0"/>
    <x v="4"/>
    <n v="3"/>
    <x v="1"/>
    <n v="0.21210000000000001"/>
    <n v="0.87"/>
    <n v="0.29849999999999999"/>
    <n v="3"/>
    <n v="69"/>
    <n v="72"/>
  </r>
  <r>
    <n v="579"/>
    <d v="2011-01-26T00:00:00"/>
    <n v="1"/>
    <n v="0"/>
    <n v="1"/>
    <x v="9"/>
    <b v="0"/>
    <x v="4"/>
    <n v="3"/>
    <x v="1"/>
    <n v="0.21210000000000001"/>
    <n v="0.87"/>
    <n v="0.29849999999999999"/>
    <n v="3"/>
    <n v="55"/>
    <n v="58"/>
  </r>
  <r>
    <n v="580"/>
    <d v="2011-01-26T00:00:00"/>
    <n v="1"/>
    <n v="0"/>
    <n v="1"/>
    <x v="10"/>
    <b v="0"/>
    <x v="4"/>
    <n v="3"/>
    <x v="1"/>
    <n v="0.21210000000000001"/>
    <n v="0.93"/>
    <n v="0.28360000000000002"/>
    <n v="2"/>
    <n v="26"/>
    <n v="28"/>
  </r>
  <r>
    <n v="581"/>
    <d v="2011-01-26T00:00:00"/>
    <n v="1"/>
    <n v="0"/>
    <n v="1"/>
    <x v="11"/>
    <b v="0"/>
    <x v="4"/>
    <n v="3"/>
    <x v="1"/>
    <n v="0.19700000000000001"/>
    <n v="0.93"/>
    <n v="0.32840000000000003"/>
    <n v="6"/>
    <n v="35"/>
    <n v="41"/>
  </r>
  <r>
    <n v="582"/>
    <d v="2011-01-26T00:00:00"/>
    <n v="1"/>
    <n v="0"/>
    <n v="1"/>
    <x v="12"/>
    <b v="0"/>
    <x v="4"/>
    <n v="3"/>
    <x v="1"/>
    <n v="0.19700000000000001"/>
    <n v="0.93"/>
    <n v="0.32840000000000003"/>
    <n v="7"/>
    <n v="41"/>
    <n v="48"/>
  </r>
  <r>
    <n v="583"/>
    <d v="2011-01-26T00:00:00"/>
    <n v="1"/>
    <n v="0"/>
    <n v="1"/>
    <x v="13"/>
    <b v="0"/>
    <x v="4"/>
    <n v="3"/>
    <x v="1"/>
    <n v="0.19700000000000001"/>
    <n v="0.93"/>
    <n v="0.32840000000000003"/>
    <n v="4"/>
    <n v="43"/>
    <n v="47"/>
  </r>
  <r>
    <n v="584"/>
    <d v="2011-01-26T00:00:00"/>
    <n v="1"/>
    <n v="0"/>
    <n v="1"/>
    <x v="14"/>
    <b v="0"/>
    <x v="4"/>
    <n v="3"/>
    <x v="1"/>
    <n v="0.19700000000000001"/>
    <n v="0.93"/>
    <n v="0.35820000000000002"/>
    <n v="0"/>
    <n v="36"/>
    <n v="36"/>
  </r>
  <r>
    <n v="585"/>
    <d v="2011-01-26T00:00:00"/>
    <n v="1"/>
    <n v="0"/>
    <n v="1"/>
    <x v="15"/>
    <b v="0"/>
    <x v="4"/>
    <n v="3"/>
    <x v="1"/>
    <n v="0.18179999999999999"/>
    <n v="0.93"/>
    <n v="0.4627"/>
    <n v="1"/>
    <n v="42"/>
    <n v="43"/>
  </r>
  <r>
    <n v="586"/>
    <d v="2011-01-26T00:00:00"/>
    <n v="1"/>
    <n v="0"/>
    <n v="1"/>
    <x v="16"/>
    <b v="0"/>
    <x v="4"/>
    <n v="4"/>
    <x v="1"/>
    <n v="0.19700000000000001"/>
    <n v="0.93"/>
    <n v="0.32840000000000003"/>
    <n v="1"/>
    <n v="35"/>
    <n v="36"/>
  </r>
  <r>
    <n v="587"/>
    <d v="2011-01-26T00:00:00"/>
    <n v="1"/>
    <n v="0"/>
    <n v="1"/>
    <x v="17"/>
    <b v="0"/>
    <x v="4"/>
    <n v="3"/>
    <x v="2"/>
    <n v="0.18179999999999999"/>
    <n v="0.93"/>
    <n v="0.35820000000000002"/>
    <n v="0"/>
    <n v="26"/>
    <n v="26"/>
  </r>
  <r>
    <n v="588"/>
    <d v="2011-01-27T00:00:00"/>
    <n v="1"/>
    <n v="0"/>
    <n v="1"/>
    <x v="16"/>
    <b v="0"/>
    <x v="5"/>
    <n v="1"/>
    <x v="1"/>
    <n v="0.2273"/>
    <n v="0.55000000000000004"/>
    <n v="0.19400000000000001"/>
    <n v="1"/>
    <n v="23"/>
    <n v="24"/>
  </r>
  <r>
    <n v="589"/>
    <d v="2011-01-27T00:00:00"/>
    <n v="1"/>
    <n v="0"/>
    <n v="1"/>
    <x v="17"/>
    <b v="0"/>
    <x v="5"/>
    <n v="1"/>
    <x v="1"/>
    <n v="0.2424"/>
    <n v="0.55000000000000004"/>
    <n v="0.1045"/>
    <n v="2"/>
    <n v="82"/>
    <n v="84"/>
  </r>
  <r>
    <n v="590"/>
    <d v="2011-01-27T00:00:00"/>
    <n v="1"/>
    <n v="0"/>
    <n v="1"/>
    <x v="18"/>
    <b v="0"/>
    <x v="5"/>
    <n v="1"/>
    <x v="2"/>
    <n v="0.2273"/>
    <n v="0.69"/>
    <n v="8.9599999999999999E-2"/>
    <n v="3"/>
    <n v="101"/>
    <n v="104"/>
  </r>
  <r>
    <n v="591"/>
    <d v="2011-01-27T00:00:00"/>
    <n v="1"/>
    <n v="0"/>
    <n v="1"/>
    <x v="19"/>
    <b v="0"/>
    <x v="5"/>
    <n v="1"/>
    <x v="2"/>
    <n v="0.2273"/>
    <n v="0.69"/>
    <n v="8.9599999999999999E-2"/>
    <n v="3"/>
    <n v="76"/>
    <n v="79"/>
  </r>
  <r>
    <n v="592"/>
    <d v="2011-01-27T00:00:00"/>
    <n v="1"/>
    <n v="0"/>
    <n v="1"/>
    <x v="20"/>
    <b v="0"/>
    <x v="5"/>
    <n v="1"/>
    <x v="15"/>
    <n v="0.21210000000000001"/>
    <n v="0.74"/>
    <n v="8.9599999999999999E-2"/>
    <n v="4"/>
    <n v="55"/>
    <n v="59"/>
  </r>
  <r>
    <n v="593"/>
    <d v="2011-01-27T00:00:00"/>
    <n v="1"/>
    <n v="0"/>
    <n v="1"/>
    <x v="21"/>
    <b v="0"/>
    <x v="5"/>
    <n v="1"/>
    <x v="15"/>
    <n v="0.21210000000000001"/>
    <n v="0.74"/>
    <n v="8.9599999999999999E-2"/>
    <n v="2"/>
    <n v="36"/>
    <n v="38"/>
  </r>
  <r>
    <n v="594"/>
    <d v="2011-01-27T00:00:00"/>
    <n v="1"/>
    <n v="0"/>
    <n v="1"/>
    <x v="22"/>
    <b v="0"/>
    <x v="5"/>
    <n v="1"/>
    <x v="15"/>
    <n v="0.21210000000000001"/>
    <n v="0.74"/>
    <n v="8.9599999999999999E-2"/>
    <n v="0"/>
    <n v="27"/>
    <n v="27"/>
  </r>
  <r>
    <n v="595"/>
    <d v="2011-01-27T00:00:00"/>
    <n v="1"/>
    <n v="0"/>
    <n v="1"/>
    <x v="23"/>
    <b v="0"/>
    <x v="5"/>
    <n v="1"/>
    <x v="15"/>
    <n v="0.19700000000000001"/>
    <n v="0.8"/>
    <n v="0.16420000000000001"/>
    <n v="0"/>
    <n v="16"/>
    <n v="16"/>
  </r>
  <r>
    <n v="596"/>
    <d v="2011-01-28T00:00:00"/>
    <n v="1"/>
    <n v="0"/>
    <n v="1"/>
    <x v="0"/>
    <b v="0"/>
    <x v="6"/>
    <n v="2"/>
    <x v="2"/>
    <n v="0.21210000000000001"/>
    <n v="0.75"/>
    <n v="0.1343"/>
    <n v="0"/>
    <n v="9"/>
    <n v="9"/>
  </r>
  <r>
    <n v="597"/>
    <d v="2011-01-28T00:00:00"/>
    <n v="1"/>
    <n v="0"/>
    <n v="1"/>
    <x v="1"/>
    <b v="0"/>
    <x v="6"/>
    <n v="2"/>
    <x v="2"/>
    <n v="0.21210000000000001"/>
    <n v="0.75"/>
    <n v="0.1343"/>
    <n v="1"/>
    <n v="2"/>
    <n v="3"/>
  </r>
  <r>
    <n v="598"/>
    <d v="2011-01-28T00:00:00"/>
    <n v="1"/>
    <n v="0"/>
    <n v="1"/>
    <x v="2"/>
    <b v="0"/>
    <x v="6"/>
    <n v="2"/>
    <x v="2"/>
    <n v="0.21210000000000001"/>
    <n v="0.75"/>
    <n v="0.16420000000000001"/>
    <n v="0"/>
    <n v="2"/>
    <n v="2"/>
  </r>
  <r>
    <n v="599"/>
    <d v="2011-01-28T00:00:00"/>
    <n v="1"/>
    <n v="0"/>
    <n v="1"/>
    <x v="3"/>
    <b v="0"/>
    <x v="6"/>
    <n v="2"/>
    <x v="2"/>
    <n v="0.2273"/>
    <n v="0.75"/>
    <n v="0.1045"/>
    <n v="1"/>
    <n v="0"/>
    <n v="1"/>
  </r>
  <r>
    <n v="600"/>
    <d v="2011-01-28T00:00:00"/>
    <n v="1"/>
    <n v="0"/>
    <n v="1"/>
    <x v="5"/>
    <b v="0"/>
    <x v="6"/>
    <n v="2"/>
    <x v="15"/>
    <n v="0.21210000000000001"/>
    <n v="0.8"/>
    <n v="0.1045"/>
    <n v="0"/>
    <n v="4"/>
    <n v="4"/>
  </r>
  <r>
    <n v="601"/>
    <d v="2011-01-28T00:00:00"/>
    <n v="1"/>
    <n v="0"/>
    <n v="1"/>
    <x v="6"/>
    <b v="0"/>
    <x v="6"/>
    <n v="2"/>
    <x v="15"/>
    <n v="0.19700000000000001"/>
    <n v="0.8"/>
    <n v="0.1343"/>
    <n v="0"/>
    <n v="16"/>
    <n v="16"/>
  </r>
  <r>
    <n v="602"/>
    <d v="2011-01-28T00:00:00"/>
    <n v="1"/>
    <n v="0"/>
    <n v="1"/>
    <x v="7"/>
    <b v="0"/>
    <x v="6"/>
    <n v="2"/>
    <x v="13"/>
    <n v="0.19700000000000001"/>
    <n v="0.86"/>
    <n v="8.9599999999999999E-2"/>
    <n v="2"/>
    <n v="58"/>
    <n v="60"/>
  </r>
  <r>
    <n v="603"/>
    <d v="2011-01-28T00:00:00"/>
    <n v="1"/>
    <n v="0"/>
    <n v="1"/>
    <x v="8"/>
    <b v="0"/>
    <x v="6"/>
    <n v="2"/>
    <x v="13"/>
    <n v="0.19700000000000001"/>
    <n v="0.86"/>
    <n v="8.9599999999999999E-2"/>
    <n v="2"/>
    <n v="155"/>
    <n v="157"/>
  </r>
  <r>
    <n v="604"/>
    <d v="2011-01-28T00:00:00"/>
    <n v="1"/>
    <n v="0"/>
    <n v="1"/>
    <x v="9"/>
    <b v="0"/>
    <x v="6"/>
    <n v="3"/>
    <x v="15"/>
    <n v="0.21210000000000001"/>
    <n v="0.86"/>
    <n v="8.9599999999999999E-2"/>
    <n v="6"/>
    <n v="95"/>
    <n v="101"/>
  </r>
  <r>
    <n v="605"/>
    <d v="2011-01-28T00:00:00"/>
    <n v="1"/>
    <n v="0"/>
    <n v="1"/>
    <x v="10"/>
    <b v="0"/>
    <x v="6"/>
    <n v="3"/>
    <x v="15"/>
    <n v="0.21210000000000001"/>
    <n v="0.86"/>
    <n v="0.1045"/>
    <n v="0"/>
    <n v="49"/>
    <n v="49"/>
  </r>
  <r>
    <n v="606"/>
    <d v="2011-01-28T00:00:00"/>
    <n v="1"/>
    <n v="0"/>
    <n v="1"/>
    <x v="11"/>
    <b v="0"/>
    <x v="6"/>
    <n v="3"/>
    <x v="15"/>
    <n v="0.21210000000000001"/>
    <n v="0.93"/>
    <n v="0.1045"/>
    <n v="0"/>
    <n v="30"/>
    <n v="30"/>
  </r>
  <r>
    <n v="607"/>
    <d v="2011-01-28T00:00:00"/>
    <n v="1"/>
    <n v="0"/>
    <n v="1"/>
    <x v="12"/>
    <b v="0"/>
    <x v="6"/>
    <n v="3"/>
    <x v="15"/>
    <n v="0.21210000000000001"/>
    <n v="0.93"/>
    <n v="0.1045"/>
    <n v="1"/>
    <n v="28"/>
    <n v="29"/>
  </r>
  <r>
    <n v="608"/>
    <d v="2011-01-28T00:00:00"/>
    <n v="1"/>
    <n v="0"/>
    <n v="1"/>
    <x v="13"/>
    <b v="0"/>
    <x v="6"/>
    <n v="3"/>
    <x v="15"/>
    <n v="0.21210000000000001"/>
    <n v="0.93"/>
    <n v="0.1045"/>
    <n v="0"/>
    <n v="31"/>
    <n v="31"/>
  </r>
  <r>
    <n v="609"/>
    <d v="2011-01-28T00:00:00"/>
    <n v="1"/>
    <n v="0"/>
    <n v="1"/>
    <x v="14"/>
    <b v="0"/>
    <x v="6"/>
    <n v="3"/>
    <x v="1"/>
    <n v="0.2727"/>
    <n v="0.8"/>
    <n v="0"/>
    <n v="2"/>
    <n v="36"/>
    <n v="38"/>
  </r>
  <r>
    <n v="610"/>
    <d v="2011-01-28T00:00:00"/>
    <n v="1"/>
    <n v="0"/>
    <n v="1"/>
    <x v="15"/>
    <b v="0"/>
    <x v="6"/>
    <n v="2"/>
    <x v="2"/>
    <n v="0.2576"/>
    <n v="0.86"/>
    <n v="0"/>
    <n v="1"/>
    <n v="40"/>
    <n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n v="1"/>
    <x v="0"/>
    <x v="0"/>
    <x v="0"/>
    <x v="0"/>
    <x v="0"/>
    <n v="0.24"/>
    <x v="0"/>
    <n v="0.28789999999999999"/>
    <n v="0.81"/>
    <x v="0"/>
    <n v="0"/>
    <x v="0"/>
    <x v="0"/>
    <x v="0"/>
    <x v="0"/>
    <x v="0"/>
  </r>
  <r>
    <n v="2"/>
    <x v="0"/>
    <n v="1"/>
    <n v="0"/>
    <n v="1"/>
    <x v="1"/>
    <x v="0"/>
    <x v="0"/>
    <x v="0"/>
    <x v="0"/>
    <n v="0.22"/>
    <x v="0"/>
    <n v="0.2727"/>
    <n v="0.8"/>
    <x v="0"/>
    <n v="0"/>
    <x v="0"/>
    <x v="1"/>
    <x v="1"/>
    <x v="1"/>
    <x v="0"/>
  </r>
  <r>
    <n v="3"/>
    <x v="0"/>
    <n v="1"/>
    <n v="0"/>
    <n v="1"/>
    <x v="2"/>
    <x v="0"/>
    <x v="0"/>
    <x v="0"/>
    <x v="0"/>
    <n v="0.22"/>
    <x v="0"/>
    <n v="0.2727"/>
    <n v="0.8"/>
    <x v="0"/>
    <n v="0"/>
    <x v="0"/>
    <x v="2"/>
    <x v="2"/>
    <x v="2"/>
    <x v="0"/>
  </r>
  <r>
    <n v="4"/>
    <x v="0"/>
    <n v="1"/>
    <n v="0"/>
    <n v="1"/>
    <x v="3"/>
    <x v="0"/>
    <x v="0"/>
    <x v="0"/>
    <x v="0"/>
    <n v="0.24"/>
    <x v="0"/>
    <n v="0.28789999999999999"/>
    <n v="0.75"/>
    <x v="0"/>
    <n v="0"/>
    <x v="0"/>
    <x v="0"/>
    <x v="3"/>
    <x v="3"/>
    <x v="0"/>
  </r>
  <r>
    <n v="5"/>
    <x v="0"/>
    <n v="1"/>
    <n v="0"/>
    <n v="1"/>
    <x v="4"/>
    <x v="1"/>
    <x v="0"/>
    <x v="0"/>
    <x v="0"/>
    <n v="0.24"/>
    <x v="0"/>
    <n v="0.28789999999999999"/>
    <n v="0.75"/>
    <x v="0"/>
    <n v="0"/>
    <x v="0"/>
    <x v="3"/>
    <x v="4"/>
    <x v="4"/>
    <x v="0"/>
  </r>
  <r>
    <n v="6"/>
    <x v="0"/>
    <n v="1"/>
    <n v="0"/>
    <n v="1"/>
    <x v="5"/>
    <x v="1"/>
    <x v="0"/>
    <x v="0"/>
    <x v="1"/>
    <n v="0.24"/>
    <x v="0"/>
    <n v="0.2576"/>
    <n v="0.75"/>
    <x v="0"/>
    <n v="8.9599999999999999E-2"/>
    <x v="0"/>
    <x v="3"/>
    <x v="4"/>
    <x v="4"/>
    <x v="0"/>
  </r>
  <r>
    <n v="7"/>
    <x v="0"/>
    <n v="1"/>
    <n v="0"/>
    <n v="1"/>
    <x v="6"/>
    <x v="1"/>
    <x v="0"/>
    <x v="0"/>
    <x v="0"/>
    <n v="0.22"/>
    <x v="0"/>
    <n v="0.2727"/>
    <n v="0.8"/>
    <x v="0"/>
    <n v="0"/>
    <x v="0"/>
    <x v="4"/>
    <x v="5"/>
    <x v="5"/>
    <x v="0"/>
  </r>
  <r>
    <n v="8"/>
    <x v="0"/>
    <n v="1"/>
    <n v="0"/>
    <n v="1"/>
    <x v="7"/>
    <x v="2"/>
    <x v="0"/>
    <x v="0"/>
    <x v="0"/>
    <n v="0.2"/>
    <x v="0"/>
    <n v="0.2576"/>
    <n v="0.86"/>
    <x v="0"/>
    <n v="0"/>
    <x v="0"/>
    <x v="5"/>
    <x v="6"/>
    <x v="6"/>
    <x v="0"/>
  </r>
  <r>
    <n v="9"/>
    <x v="0"/>
    <n v="1"/>
    <n v="0"/>
    <n v="1"/>
    <x v="8"/>
    <x v="2"/>
    <x v="0"/>
    <x v="0"/>
    <x v="0"/>
    <n v="0.24"/>
    <x v="0"/>
    <n v="0.19989999999999999"/>
    <n v="0.75"/>
    <x v="0"/>
    <n v="0"/>
    <x v="0"/>
    <x v="5"/>
    <x v="7"/>
    <x v="7"/>
    <x v="0"/>
  </r>
  <r>
    <n v="10"/>
    <x v="0"/>
    <n v="1"/>
    <n v="0"/>
    <n v="1"/>
    <x v="9"/>
    <x v="2"/>
    <x v="0"/>
    <x v="0"/>
    <x v="0"/>
    <n v="0.32"/>
    <x v="1"/>
    <n v="0.34849999999999998"/>
    <n v="0.76"/>
    <x v="0"/>
    <n v="0"/>
    <x v="0"/>
    <x v="1"/>
    <x v="8"/>
    <x v="8"/>
    <x v="0"/>
  </r>
  <r>
    <n v="11"/>
    <x v="0"/>
    <n v="1"/>
    <n v="0"/>
    <n v="1"/>
    <x v="10"/>
    <x v="2"/>
    <x v="0"/>
    <x v="0"/>
    <x v="0"/>
    <n v="0.38"/>
    <x v="2"/>
    <n v="0.39389999999999997"/>
    <n v="0.76"/>
    <x v="0"/>
    <n v="0.25369999999999998"/>
    <x v="1"/>
    <x v="6"/>
    <x v="9"/>
    <x v="9"/>
    <x v="0"/>
  </r>
  <r>
    <n v="12"/>
    <x v="0"/>
    <n v="1"/>
    <n v="0"/>
    <n v="1"/>
    <x v="11"/>
    <x v="3"/>
    <x v="0"/>
    <x v="0"/>
    <x v="0"/>
    <n v="0.36"/>
    <x v="2"/>
    <n v="0.33329999999999999"/>
    <n v="0.81"/>
    <x v="0"/>
    <n v="0.28360000000000002"/>
    <x v="1"/>
    <x v="7"/>
    <x v="10"/>
    <x v="10"/>
    <x v="0"/>
  </r>
  <r>
    <n v="13"/>
    <x v="0"/>
    <n v="1"/>
    <n v="0"/>
    <n v="1"/>
    <x v="12"/>
    <x v="3"/>
    <x v="0"/>
    <x v="0"/>
    <x v="0"/>
    <n v="0.42"/>
    <x v="2"/>
    <n v="0.42420000000000002"/>
    <n v="0.77"/>
    <x v="0"/>
    <n v="0.28360000000000002"/>
    <x v="1"/>
    <x v="8"/>
    <x v="11"/>
    <x v="11"/>
    <x v="1"/>
  </r>
  <r>
    <n v="14"/>
    <x v="0"/>
    <n v="1"/>
    <n v="0"/>
    <n v="1"/>
    <x v="13"/>
    <x v="3"/>
    <x v="0"/>
    <x v="0"/>
    <x v="1"/>
    <n v="0.46"/>
    <x v="2"/>
    <n v="0.45450000000000002"/>
    <n v="0.72"/>
    <x v="0"/>
    <n v="0.29849999999999999"/>
    <x v="1"/>
    <x v="9"/>
    <x v="12"/>
    <x v="12"/>
    <x v="1"/>
  </r>
  <r>
    <n v="15"/>
    <x v="0"/>
    <n v="1"/>
    <n v="0"/>
    <n v="1"/>
    <x v="14"/>
    <x v="3"/>
    <x v="0"/>
    <x v="0"/>
    <x v="1"/>
    <n v="0.46"/>
    <x v="2"/>
    <n v="0.45450000000000002"/>
    <n v="0.72"/>
    <x v="0"/>
    <n v="0.28360000000000002"/>
    <x v="1"/>
    <x v="10"/>
    <x v="13"/>
    <x v="13"/>
    <x v="1"/>
  </r>
  <r>
    <n v="16"/>
    <x v="0"/>
    <n v="1"/>
    <n v="0"/>
    <n v="1"/>
    <x v="15"/>
    <x v="3"/>
    <x v="0"/>
    <x v="0"/>
    <x v="1"/>
    <n v="0.44"/>
    <x v="2"/>
    <n v="0.43940000000000001"/>
    <n v="0.77"/>
    <x v="0"/>
    <n v="0.29849999999999999"/>
    <x v="1"/>
    <x v="11"/>
    <x v="14"/>
    <x v="14"/>
    <x v="1"/>
  </r>
  <r>
    <n v="17"/>
    <x v="0"/>
    <n v="1"/>
    <n v="0"/>
    <n v="1"/>
    <x v="16"/>
    <x v="3"/>
    <x v="0"/>
    <x v="0"/>
    <x v="1"/>
    <n v="0.42"/>
    <x v="2"/>
    <n v="0.42420000000000002"/>
    <n v="0.82"/>
    <x v="0"/>
    <n v="0.29849999999999999"/>
    <x v="1"/>
    <x v="12"/>
    <x v="15"/>
    <x v="15"/>
    <x v="1"/>
  </r>
  <r>
    <n v="18"/>
    <x v="0"/>
    <n v="1"/>
    <n v="0"/>
    <n v="1"/>
    <x v="17"/>
    <x v="4"/>
    <x v="0"/>
    <x v="0"/>
    <x v="1"/>
    <n v="0.44"/>
    <x v="2"/>
    <n v="0.19989999999999999"/>
    <n v="0.82"/>
    <x v="0"/>
    <n v="0.28360000000000002"/>
    <x v="1"/>
    <x v="13"/>
    <x v="15"/>
    <x v="16"/>
    <x v="0"/>
  </r>
  <r>
    <n v="19"/>
    <x v="0"/>
    <n v="1"/>
    <n v="0"/>
    <n v="1"/>
    <x v="18"/>
    <x v="4"/>
    <x v="0"/>
    <x v="0"/>
    <x v="2"/>
    <n v="0.42"/>
    <x v="2"/>
    <n v="0.42420000000000002"/>
    <n v="0.88"/>
    <x v="0"/>
    <n v="0.25369999999999998"/>
    <x v="1"/>
    <x v="14"/>
    <x v="16"/>
    <x v="17"/>
    <x v="0"/>
  </r>
  <r>
    <n v="20"/>
    <x v="0"/>
    <n v="1"/>
    <n v="0"/>
    <n v="1"/>
    <x v="19"/>
    <x v="4"/>
    <x v="0"/>
    <x v="0"/>
    <x v="2"/>
    <n v="0.42"/>
    <x v="2"/>
    <n v="0.42420000000000002"/>
    <n v="0.88"/>
    <x v="0"/>
    <n v="0.25369999999999998"/>
    <x v="1"/>
    <x v="15"/>
    <x v="17"/>
    <x v="18"/>
    <x v="0"/>
  </r>
  <r>
    <n v="21"/>
    <x v="0"/>
    <n v="1"/>
    <n v="0"/>
    <n v="1"/>
    <x v="20"/>
    <x v="4"/>
    <x v="0"/>
    <x v="0"/>
    <x v="1"/>
    <n v="0.4"/>
    <x v="2"/>
    <n v="0.40910000000000002"/>
    <n v="0.87"/>
    <x v="0"/>
    <n v="0.25369999999999998"/>
    <x v="1"/>
    <x v="16"/>
    <x v="18"/>
    <x v="9"/>
    <x v="0"/>
  </r>
  <r>
    <n v="22"/>
    <x v="0"/>
    <n v="1"/>
    <n v="0"/>
    <n v="1"/>
    <x v="21"/>
    <x v="0"/>
    <x v="0"/>
    <x v="0"/>
    <x v="1"/>
    <n v="0.4"/>
    <x v="2"/>
    <n v="0.40910000000000002"/>
    <n v="0.87"/>
    <x v="0"/>
    <n v="0.19400000000000001"/>
    <x v="0"/>
    <x v="0"/>
    <x v="17"/>
    <x v="19"/>
    <x v="0"/>
  </r>
  <r>
    <n v="23"/>
    <x v="0"/>
    <n v="1"/>
    <n v="0"/>
    <n v="1"/>
    <x v="22"/>
    <x v="0"/>
    <x v="0"/>
    <x v="0"/>
    <x v="1"/>
    <n v="0.4"/>
    <x v="2"/>
    <n v="0.40910000000000002"/>
    <n v="0.94"/>
    <x v="0"/>
    <n v="0.22389999999999999"/>
    <x v="1"/>
    <x v="16"/>
    <x v="19"/>
    <x v="20"/>
    <x v="0"/>
  </r>
  <r>
    <n v="24"/>
    <x v="0"/>
    <n v="1"/>
    <n v="0"/>
    <n v="1"/>
    <x v="23"/>
    <x v="0"/>
    <x v="0"/>
    <x v="0"/>
    <x v="1"/>
    <n v="0.46"/>
    <x v="2"/>
    <n v="0.19989999999999999"/>
    <n v="0.88"/>
    <x v="0"/>
    <n v="0.29849999999999999"/>
    <x v="1"/>
    <x v="13"/>
    <x v="9"/>
    <x v="21"/>
    <x v="0"/>
  </r>
  <r>
    <n v="25"/>
    <x v="1"/>
    <n v="1"/>
    <n v="0"/>
    <n v="1"/>
    <x v="0"/>
    <x v="0"/>
    <x v="0"/>
    <x v="1"/>
    <x v="1"/>
    <n v="0.46"/>
    <x v="2"/>
    <n v="0.45450000000000002"/>
    <n v="0.88"/>
    <x v="0"/>
    <n v="0.29849999999999999"/>
    <x v="1"/>
    <x v="17"/>
    <x v="0"/>
    <x v="22"/>
    <x v="0"/>
  </r>
  <r>
    <n v="26"/>
    <x v="1"/>
    <n v="1"/>
    <n v="0"/>
    <n v="1"/>
    <x v="1"/>
    <x v="0"/>
    <x v="0"/>
    <x v="1"/>
    <x v="1"/>
    <n v="0.44"/>
    <x v="2"/>
    <n v="0.43940000000000001"/>
    <n v="0.94"/>
    <x v="0"/>
    <n v="0.25369999999999998"/>
    <x v="1"/>
    <x v="5"/>
    <x v="20"/>
    <x v="22"/>
    <x v="0"/>
  </r>
  <r>
    <n v="27"/>
    <x v="1"/>
    <n v="1"/>
    <n v="0"/>
    <n v="1"/>
    <x v="2"/>
    <x v="0"/>
    <x v="0"/>
    <x v="1"/>
    <x v="1"/>
    <n v="0.42"/>
    <x v="2"/>
    <n v="0.42420000000000002"/>
    <n v="1"/>
    <x v="0"/>
    <n v="0.28360000000000002"/>
    <x v="1"/>
    <x v="5"/>
    <x v="21"/>
    <x v="23"/>
    <x v="0"/>
  </r>
  <r>
    <n v="28"/>
    <x v="1"/>
    <n v="1"/>
    <n v="0"/>
    <n v="1"/>
    <x v="3"/>
    <x v="0"/>
    <x v="0"/>
    <x v="1"/>
    <x v="1"/>
    <n v="0.46"/>
    <x v="2"/>
    <n v="0.45450000000000002"/>
    <n v="0.94"/>
    <x v="0"/>
    <n v="0.19400000000000001"/>
    <x v="0"/>
    <x v="4"/>
    <x v="22"/>
    <x v="24"/>
    <x v="0"/>
  </r>
  <r>
    <n v="29"/>
    <x v="1"/>
    <n v="1"/>
    <n v="0"/>
    <n v="1"/>
    <x v="4"/>
    <x v="1"/>
    <x v="0"/>
    <x v="1"/>
    <x v="1"/>
    <n v="0.46"/>
    <x v="2"/>
    <n v="0.19989999999999999"/>
    <n v="0.94"/>
    <x v="0"/>
    <n v="0.19400000000000001"/>
    <x v="0"/>
    <x v="4"/>
    <x v="4"/>
    <x v="6"/>
    <x v="0"/>
  </r>
  <r>
    <n v="30"/>
    <x v="1"/>
    <n v="1"/>
    <n v="0"/>
    <n v="1"/>
    <x v="6"/>
    <x v="1"/>
    <x v="0"/>
    <x v="1"/>
    <x v="2"/>
    <n v="0.42"/>
    <x v="2"/>
    <n v="0.42420000000000002"/>
    <n v="0.77"/>
    <x v="0"/>
    <n v="0.29849999999999999"/>
    <x v="1"/>
    <x v="3"/>
    <x v="6"/>
    <x v="5"/>
    <x v="0"/>
  </r>
  <r>
    <n v="31"/>
    <x v="1"/>
    <n v="1"/>
    <n v="0"/>
    <n v="1"/>
    <x v="7"/>
    <x v="2"/>
    <x v="0"/>
    <x v="1"/>
    <x v="1"/>
    <n v="0.4"/>
    <x v="2"/>
    <n v="0.40910000000000002"/>
    <n v="0.76"/>
    <x v="0"/>
    <n v="0.19400000000000001"/>
    <x v="0"/>
    <x v="3"/>
    <x v="4"/>
    <x v="4"/>
    <x v="0"/>
  </r>
  <r>
    <n v="32"/>
    <x v="1"/>
    <n v="1"/>
    <n v="0"/>
    <n v="1"/>
    <x v="8"/>
    <x v="2"/>
    <x v="0"/>
    <x v="1"/>
    <x v="2"/>
    <n v="0.4"/>
    <x v="2"/>
    <n v="0.40910000000000002"/>
    <n v="0.71"/>
    <x v="0"/>
    <n v="0.22389999999999999"/>
    <x v="1"/>
    <x v="3"/>
    <x v="21"/>
    <x v="7"/>
    <x v="0"/>
  </r>
  <r>
    <n v="33"/>
    <x v="1"/>
    <n v="1"/>
    <n v="0"/>
    <n v="1"/>
    <x v="9"/>
    <x v="2"/>
    <x v="0"/>
    <x v="1"/>
    <x v="1"/>
    <n v="0.38"/>
    <x v="2"/>
    <n v="0.19989999999999999"/>
    <n v="0.76"/>
    <x v="0"/>
    <n v="0.22389999999999999"/>
    <x v="1"/>
    <x v="5"/>
    <x v="23"/>
    <x v="25"/>
    <x v="0"/>
  </r>
  <r>
    <n v="34"/>
    <x v="1"/>
    <n v="1"/>
    <n v="0"/>
    <n v="1"/>
    <x v="10"/>
    <x v="2"/>
    <x v="0"/>
    <x v="1"/>
    <x v="1"/>
    <n v="0.36"/>
    <x v="2"/>
    <n v="0.34849999999999998"/>
    <n v="0.81"/>
    <x v="0"/>
    <n v="0.22389999999999999"/>
    <x v="1"/>
    <x v="18"/>
    <x v="24"/>
    <x v="26"/>
    <x v="0"/>
  </r>
  <r>
    <n v="35"/>
    <x v="1"/>
    <n v="1"/>
    <n v="0"/>
    <n v="1"/>
    <x v="11"/>
    <x v="3"/>
    <x v="0"/>
    <x v="1"/>
    <x v="1"/>
    <n v="0.36"/>
    <x v="2"/>
    <n v="0.33329999999999999"/>
    <n v="0.71"/>
    <x v="0"/>
    <n v="0.25369999999999998"/>
    <x v="1"/>
    <x v="19"/>
    <x v="25"/>
    <x v="27"/>
    <x v="0"/>
  </r>
  <r>
    <n v="36"/>
    <x v="1"/>
    <n v="1"/>
    <n v="0"/>
    <n v="1"/>
    <x v="12"/>
    <x v="3"/>
    <x v="0"/>
    <x v="1"/>
    <x v="1"/>
    <n v="0.36"/>
    <x v="2"/>
    <n v="0.33329999999999999"/>
    <n v="0.66"/>
    <x v="0"/>
    <n v="0.29849999999999999"/>
    <x v="1"/>
    <x v="20"/>
    <x v="26"/>
    <x v="15"/>
    <x v="1"/>
  </r>
  <r>
    <n v="37"/>
    <x v="1"/>
    <n v="1"/>
    <n v="0"/>
    <n v="1"/>
    <x v="13"/>
    <x v="3"/>
    <x v="0"/>
    <x v="1"/>
    <x v="1"/>
    <n v="0.36"/>
    <x v="2"/>
    <n v="0.34849999999999998"/>
    <n v="0.66"/>
    <x v="0"/>
    <n v="0.1343"/>
    <x v="0"/>
    <x v="16"/>
    <x v="27"/>
    <x v="28"/>
    <x v="1"/>
  </r>
  <r>
    <n v="38"/>
    <x v="1"/>
    <n v="1"/>
    <n v="0"/>
    <n v="1"/>
    <x v="14"/>
    <x v="3"/>
    <x v="0"/>
    <x v="1"/>
    <x v="2"/>
    <n v="0.36"/>
    <x v="2"/>
    <n v="0.19989999999999999"/>
    <n v="0.76"/>
    <x v="0"/>
    <n v="0.19400000000000001"/>
    <x v="0"/>
    <x v="17"/>
    <x v="11"/>
    <x v="29"/>
    <x v="0"/>
  </r>
  <r>
    <n v="39"/>
    <x v="1"/>
    <n v="1"/>
    <n v="0"/>
    <n v="1"/>
    <x v="15"/>
    <x v="3"/>
    <x v="0"/>
    <x v="1"/>
    <x v="2"/>
    <n v="0.34"/>
    <x v="2"/>
    <n v="0.33329999999999999"/>
    <n v="0.81"/>
    <x v="0"/>
    <n v="0.16420000000000001"/>
    <x v="0"/>
    <x v="21"/>
    <x v="11"/>
    <x v="30"/>
    <x v="1"/>
  </r>
  <r>
    <n v="40"/>
    <x v="1"/>
    <n v="1"/>
    <n v="0"/>
    <n v="1"/>
    <x v="16"/>
    <x v="3"/>
    <x v="0"/>
    <x v="1"/>
    <x v="2"/>
    <n v="0.34"/>
    <x v="2"/>
    <n v="0.33329999999999999"/>
    <n v="0.71"/>
    <x v="0"/>
    <n v="0.16420000000000001"/>
    <x v="0"/>
    <x v="14"/>
    <x v="28"/>
    <x v="31"/>
    <x v="1"/>
  </r>
  <r>
    <n v="41"/>
    <x v="1"/>
    <n v="1"/>
    <n v="0"/>
    <n v="1"/>
    <x v="17"/>
    <x v="4"/>
    <x v="0"/>
    <x v="1"/>
    <x v="0"/>
    <n v="0.34"/>
    <x v="2"/>
    <n v="0.33329999999999999"/>
    <n v="0.56999999999999995"/>
    <x v="1"/>
    <n v="0.19400000000000001"/>
    <x v="0"/>
    <x v="18"/>
    <x v="29"/>
    <x v="32"/>
    <x v="0"/>
  </r>
  <r>
    <n v="42"/>
    <x v="1"/>
    <n v="1"/>
    <n v="0"/>
    <n v="1"/>
    <x v="18"/>
    <x v="4"/>
    <x v="0"/>
    <x v="1"/>
    <x v="1"/>
    <n v="0.36"/>
    <x v="2"/>
    <n v="0.33329999999999999"/>
    <n v="0.46"/>
    <x v="1"/>
    <n v="0.32840000000000003"/>
    <x v="1"/>
    <x v="22"/>
    <x v="30"/>
    <x v="26"/>
    <x v="0"/>
  </r>
  <r>
    <n v="43"/>
    <x v="1"/>
    <n v="1"/>
    <n v="0"/>
    <n v="1"/>
    <x v="19"/>
    <x v="4"/>
    <x v="0"/>
    <x v="1"/>
    <x v="0"/>
    <n v="0.32"/>
    <x v="1"/>
    <n v="0.28789999999999999"/>
    <n v="0.42"/>
    <x v="1"/>
    <n v="0.44779999999999998"/>
    <x v="2"/>
    <x v="5"/>
    <x v="31"/>
    <x v="33"/>
    <x v="0"/>
  </r>
  <r>
    <n v="44"/>
    <x v="1"/>
    <n v="1"/>
    <n v="0"/>
    <n v="1"/>
    <x v="20"/>
    <x v="4"/>
    <x v="0"/>
    <x v="1"/>
    <x v="0"/>
    <n v="0.3"/>
    <x v="1"/>
    <n v="0.19989999999999999"/>
    <n v="0.39"/>
    <x v="2"/>
    <n v="0.35820000000000002"/>
    <x v="1"/>
    <x v="2"/>
    <x v="19"/>
    <x v="34"/>
    <x v="0"/>
  </r>
  <r>
    <n v="45"/>
    <x v="1"/>
    <n v="1"/>
    <n v="0"/>
    <n v="1"/>
    <x v="21"/>
    <x v="0"/>
    <x v="0"/>
    <x v="1"/>
    <x v="0"/>
    <n v="0.26"/>
    <x v="1"/>
    <n v="0.2273"/>
    <n v="0.44"/>
    <x v="1"/>
    <n v="0.32840000000000003"/>
    <x v="1"/>
    <x v="16"/>
    <x v="32"/>
    <x v="35"/>
    <x v="0"/>
  </r>
  <r>
    <n v="46"/>
    <x v="1"/>
    <n v="1"/>
    <n v="0"/>
    <n v="1"/>
    <x v="22"/>
    <x v="0"/>
    <x v="0"/>
    <x v="1"/>
    <x v="0"/>
    <n v="0.24"/>
    <x v="0"/>
    <n v="0.21210000000000001"/>
    <n v="0.44"/>
    <x v="1"/>
    <n v="0.29849999999999999"/>
    <x v="1"/>
    <x v="3"/>
    <x v="33"/>
    <x v="23"/>
    <x v="0"/>
  </r>
  <r>
    <n v="47"/>
    <x v="1"/>
    <n v="1"/>
    <n v="0"/>
    <n v="1"/>
    <x v="23"/>
    <x v="0"/>
    <x v="0"/>
    <x v="1"/>
    <x v="0"/>
    <n v="0.22"/>
    <x v="0"/>
    <n v="0.2273"/>
    <n v="0.47"/>
    <x v="1"/>
    <n v="0.16420000000000001"/>
    <x v="0"/>
    <x v="3"/>
    <x v="21"/>
    <x v="7"/>
    <x v="0"/>
  </r>
  <r>
    <n v="48"/>
    <x v="2"/>
    <n v="1"/>
    <n v="0"/>
    <n v="1"/>
    <x v="0"/>
    <x v="0"/>
    <x v="0"/>
    <x v="2"/>
    <x v="0"/>
    <n v="0.22"/>
    <x v="0"/>
    <n v="0.19700000000000001"/>
    <n v="0.44"/>
    <x v="1"/>
    <n v="0.35820000000000002"/>
    <x v="1"/>
    <x v="3"/>
    <x v="34"/>
    <x v="36"/>
    <x v="0"/>
  </r>
  <r>
    <n v="49"/>
    <x v="2"/>
    <n v="1"/>
    <n v="0"/>
    <n v="1"/>
    <x v="1"/>
    <x v="0"/>
    <x v="0"/>
    <x v="2"/>
    <x v="0"/>
    <n v="0.2"/>
    <x v="0"/>
    <n v="0.19989999999999999"/>
    <n v="0.44"/>
    <x v="1"/>
    <n v="0.41789999999999999"/>
    <x v="2"/>
    <x v="3"/>
    <x v="6"/>
    <x v="5"/>
    <x v="0"/>
  </r>
  <r>
    <n v="50"/>
    <x v="2"/>
    <n v="1"/>
    <n v="0"/>
    <n v="1"/>
    <x v="4"/>
    <x v="1"/>
    <x v="0"/>
    <x v="2"/>
    <x v="0"/>
    <n v="0.16"/>
    <x v="0"/>
    <n v="0.13639999999999999"/>
    <n v="0.47"/>
    <x v="1"/>
    <n v="0.3881"/>
    <x v="1"/>
    <x v="3"/>
    <x v="4"/>
    <x v="4"/>
    <x v="0"/>
  </r>
  <r>
    <n v="51"/>
    <x v="2"/>
    <n v="1"/>
    <n v="0"/>
    <n v="1"/>
    <x v="5"/>
    <x v="1"/>
    <x v="0"/>
    <x v="2"/>
    <x v="0"/>
    <n v="0.16"/>
    <x v="0"/>
    <n v="0.13639999999999999"/>
    <n v="0.47"/>
    <x v="1"/>
    <n v="0.28360000000000002"/>
    <x v="1"/>
    <x v="3"/>
    <x v="35"/>
    <x v="6"/>
    <x v="0"/>
  </r>
  <r>
    <n v="52"/>
    <x v="2"/>
    <n v="1"/>
    <n v="0"/>
    <n v="1"/>
    <x v="6"/>
    <x v="1"/>
    <x v="0"/>
    <x v="2"/>
    <x v="0"/>
    <n v="0.14000000000000001"/>
    <x v="3"/>
    <n v="0.1061"/>
    <n v="0.5"/>
    <x v="1"/>
    <n v="0.3881"/>
    <x v="1"/>
    <x v="3"/>
    <x v="10"/>
    <x v="33"/>
    <x v="0"/>
  </r>
  <r>
    <n v="53"/>
    <x v="2"/>
    <n v="1"/>
    <n v="0"/>
    <n v="1"/>
    <x v="7"/>
    <x v="2"/>
    <x v="0"/>
    <x v="2"/>
    <x v="0"/>
    <n v="0.14000000000000001"/>
    <x v="3"/>
    <n v="0.13639999999999999"/>
    <n v="0.5"/>
    <x v="1"/>
    <n v="0.19400000000000001"/>
    <x v="0"/>
    <x v="5"/>
    <x v="36"/>
    <x v="37"/>
    <x v="0"/>
  </r>
  <r>
    <n v="54"/>
    <x v="2"/>
    <n v="1"/>
    <n v="0"/>
    <n v="1"/>
    <x v="8"/>
    <x v="2"/>
    <x v="0"/>
    <x v="2"/>
    <x v="0"/>
    <n v="0.14000000000000001"/>
    <x v="3"/>
    <n v="0.1212"/>
    <n v="0.5"/>
    <x v="1"/>
    <n v="0.28360000000000002"/>
    <x v="1"/>
    <x v="5"/>
    <x v="37"/>
    <x v="38"/>
    <x v="1"/>
  </r>
  <r>
    <n v="55"/>
    <x v="2"/>
    <n v="1"/>
    <n v="0"/>
    <n v="1"/>
    <x v="9"/>
    <x v="2"/>
    <x v="0"/>
    <x v="2"/>
    <x v="0"/>
    <n v="0.16"/>
    <x v="0"/>
    <n v="0.13639999999999999"/>
    <n v="0.43"/>
    <x v="1"/>
    <n v="0.3881"/>
    <x v="1"/>
    <x v="18"/>
    <x v="38"/>
    <x v="39"/>
    <x v="1"/>
  </r>
  <r>
    <n v="56"/>
    <x v="2"/>
    <n v="1"/>
    <n v="0"/>
    <n v="1"/>
    <x v="10"/>
    <x v="2"/>
    <x v="0"/>
    <x v="2"/>
    <x v="0"/>
    <n v="0.18"/>
    <x v="0"/>
    <n v="0.16669999999999999"/>
    <n v="0.43"/>
    <x v="1"/>
    <n v="0.25369999999999998"/>
    <x v="1"/>
    <x v="16"/>
    <x v="39"/>
    <x v="40"/>
    <x v="0"/>
  </r>
  <r>
    <n v="57"/>
    <x v="2"/>
    <n v="1"/>
    <n v="0"/>
    <n v="1"/>
    <x v="11"/>
    <x v="3"/>
    <x v="0"/>
    <x v="2"/>
    <x v="0"/>
    <n v="0.2"/>
    <x v="0"/>
    <n v="0.18179999999999999"/>
    <n v="0.4"/>
    <x v="2"/>
    <n v="0.32840000000000003"/>
    <x v="1"/>
    <x v="22"/>
    <x v="40"/>
    <x v="41"/>
    <x v="0"/>
  </r>
  <r>
    <n v="58"/>
    <x v="2"/>
    <n v="1"/>
    <n v="0"/>
    <n v="1"/>
    <x v="12"/>
    <x v="3"/>
    <x v="0"/>
    <x v="2"/>
    <x v="0"/>
    <n v="0.22"/>
    <x v="0"/>
    <n v="0.21210000000000001"/>
    <n v="0.35"/>
    <x v="2"/>
    <n v="0.29849999999999999"/>
    <x v="1"/>
    <x v="23"/>
    <x v="41"/>
    <x v="42"/>
    <x v="0"/>
  </r>
  <r>
    <n v="59"/>
    <x v="2"/>
    <n v="1"/>
    <n v="0"/>
    <n v="1"/>
    <x v="13"/>
    <x v="3"/>
    <x v="0"/>
    <x v="2"/>
    <x v="0"/>
    <n v="0.24"/>
    <x v="0"/>
    <n v="0.19989999999999999"/>
    <n v="0.35"/>
    <x v="2"/>
    <n v="0.28360000000000002"/>
    <x v="1"/>
    <x v="1"/>
    <x v="42"/>
    <x v="42"/>
    <x v="0"/>
  </r>
  <r>
    <n v="60"/>
    <x v="2"/>
    <n v="1"/>
    <n v="0"/>
    <n v="1"/>
    <x v="14"/>
    <x v="3"/>
    <x v="0"/>
    <x v="2"/>
    <x v="0"/>
    <n v="0.26"/>
    <x v="1"/>
    <n v="0.2424"/>
    <n v="0.3"/>
    <x v="2"/>
    <n v="0.28360000000000002"/>
    <x v="1"/>
    <x v="16"/>
    <x v="43"/>
    <x v="43"/>
    <x v="1"/>
  </r>
  <r>
    <n v="61"/>
    <x v="2"/>
    <n v="1"/>
    <n v="0"/>
    <n v="1"/>
    <x v="15"/>
    <x v="3"/>
    <x v="0"/>
    <x v="2"/>
    <x v="0"/>
    <n v="0.26"/>
    <x v="1"/>
    <n v="0.2424"/>
    <n v="0.3"/>
    <x v="2"/>
    <n v="0.25369999999999998"/>
    <x v="1"/>
    <x v="24"/>
    <x v="29"/>
    <x v="44"/>
    <x v="1"/>
  </r>
  <r>
    <n v="62"/>
    <x v="2"/>
    <n v="1"/>
    <n v="0"/>
    <n v="1"/>
    <x v="16"/>
    <x v="3"/>
    <x v="0"/>
    <x v="2"/>
    <x v="0"/>
    <n v="0.26"/>
    <x v="1"/>
    <n v="0.2424"/>
    <n v="0.3"/>
    <x v="2"/>
    <n v="0.25369999999999998"/>
    <x v="1"/>
    <x v="14"/>
    <x v="28"/>
    <x v="31"/>
    <x v="1"/>
  </r>
  <r>
    <n v="63"/>
    <x v="2"/>
    <n v="1"/>
    <n v="0"/>
    <n v="1"/>
    <x v="17"/>
    <x v="4"/>
    <x v="0"/>
    <x v="2"/>
    <x v="0"/>
    <n v="0.24"/>
    <x v="0"/>
    <n v="0.2273"/>
    <n v="0.3"/>
    <x v="2"/>
    <n v="0.22389999999999999"/>
    <x v="1"/>
    <x v="16"/>
    <x v="44"/>
    <x v="45"/>
    <x v="1"/>
  </r>
  <r>
    <n v="64"/>
    <x v="2"/>
    <n v="1"/>
    <n v="0"/>
    <n v="1"/>
    <x v="18"/>
    <x v="4"/>
    <x v="0"/>
    <x v="2"/>
    <x v="0"/>
    <n v="0.24"/>
    <x v="0"/>
    <n v="0.2576"/>
    <n v="0.32"/>
    <x v="2"/>
    <n v="0.1045"/>
    <x v="0"/>
    <x v="14"/>
    <x v="45"/>
    <x v="45"/>
    <x v="1"/>
  </r>
  <r>
    <n v="65"/>
    <x v="2"/>
    <n v="1"/>
    <n v="0"/>
    <n v="1"/>
    <x v="19"/>
    <x v="4"/>
    <x v="0"/>
    <x v="2"/>
    <x v="0"/>
    <n v="0.2"/>
    <x v="0"/>
    <n v="0.2576"/>
    <n v="0.47"/>
    <x v="1"/>
    <n v="0"/>
    <x v="0"/>
    <x v="1"/>
    <x v="46"/>
    <x v="14"/>
    <x v="1"/>
  </r>
  <r>
    <n v="66"/>
    <x v="2"/>
    <n v="1"/>
    <n v="0"/>
    <n v="1"/>
    <x v="20"/>
    <x v="4"/>
    <x v="0"/>
    <x v="2"/>
    <x v="0"/>
    <n v="0.2"/>
    <x v="0"/>
    <n v="0.19989999999999999"/>
    <n v="0.47"/>
    <x v="1"/>
    <n v="0.1045"/>
    <x v="0"/>
    <x v="0"/>
    <x v="47"/>
    <x v="46"/>
    <x v="0"/>
  </r>
  <r>
    <n v="67"/>
    <x v="2"/>
    <n v="1"/>
    <n v="0"/>
    <n v="1"/>
    <x v="21"/>
    <x v="0"/>
    <x v="0"/>
    <x v="2"/>
    <x v="0"/>
    <n v="0.18"/>
    <x v="0"/>
    <n v="0.19700000000000001"/>
    <n v="0.64"/>
    <x v="0"/>
    <n v="0.1343"/>
    <x v="0"/>
    <x v="0"/>
    <x v="47"/>
    <x v="46"/>
    <x v="0"/>
  </r>
  <r>
    <n v="68"/>
    <x v="2"/>
    <n v="1"/>
    <n v="0"/>
    <n v="1"/>
    <x v="22"/>
    <x v="0"/>
    <x v="0"/>
    <x v="2"/>
    <x v="0"/>
    <n v="0.14000000000000001"/>
    <x v="3"/>
    <n v="0.1515"/>
    <n v="0.69"/>
    <x v="0"/>
    <n v="0.1343"/>
    <x v="0"/>
    <x v="3"/>
    <x v="32"/>
    <x v="25"/>
    <x v="0"/>
  </r>
  <r>
    <n v="69"/>
    <x v="2"/>
    <n v="1"/>
    <n v="0"/>
    <n v="1"/>
    <x v="23"/>
    <x v="0"/>
    <x v="0"/>
    <x v="2"/>
    <x v="0"/>
    <n v="0.18"/>
    <x v="0"/>
    <n v="0.21210000000000001"/>
    <n v="0.55000000000000004"/>
    <x v="1"/>
    <n v="0.1045"/>
    <x v="0"/>
    <x v="5"/>
    <x v="48"/>
    <x v="47"/>
    <x v="0"/>
  </r>
  <r>
    <n v="70"/>
    <x v="3"/>
    <n v="1"/>
    <n v="0"/>
    <n v="1"/>
    <x v="0"/>
    <x v="0"/>
    <x v="0"/>
    <x v="3"/>
    <x v="0"/>
    <n v="0.16"/>
    <x v="0"/>
    <n v="0.19989999999999999"/>
    <n v="0.55000000000000004"/>
    <x v="1"/>
    <n v="0.1045"/>
    <x v="0"/>
    <x v="3"/>
    <x v="34"/>
    <x v="36"/>
    <x v="0"/>
  </r>
  <r>
    <n v="71"/>
    <x v="3"/>
    <n v="1"/>
    <n v="0"/>
    <n v="1"/>
    <x v="1"/>
    <x v="0"/>
    <x v="0"/>
    <x v="3"/>
    <x v="0"/>
    <n v="0.16"/>
    <x v="0"/>
    <n v="0.18179999999999999"/>
    <n v="0.59"/>
    <x v="1"/>
    <n v="0.1045"/>
    <x v="0"/>
    <x v="3"/>
    <x v="6"/>
    <x v="5"/>
    <x v="0"/>
  </r>
  <r>
    <n v="72"/>
    <x v="3"/>
    <n v="1"/>
    <n v="0"/>
    <n v="1"/>
    <x v="2"/>
    <x v="0"/>
    <x v="0"/>
    <x v="3"/>
    <x v="0"/>
    <n v="0.14000000000000001"/>
    <x v="3"/>
    <n v="0.1515"/>
    <n v="0.63"/>
    <x v="0"/>
    <n v="0.1343"/>
    <x v="0"/>
    <x v="3"/>
    <x v="4"/>
    <x v="4"/>
    <x v="0"/>
  </r>
  <r>
    <n v="73"/>
    <x v="3"/>
    <n v="1"/>
    <n v="0"/>
    <n v="1"/>
    <x v="4"/>
    <x v="1"/>
    <x v="0"/>
    <x v="3"/>
    <x v="0"/>
    <n v="0.14000000000000001"/>
    <x v="3"/>
    <n v="0.18179999999999999"/>
    <n v="0.63"/>
    <x v="0"/>
    <n v="8.9599999999999999E-2"/>
    <x v="0"/>
    <x v="3"/>
    <x v="6"/>
    <x v="5"/>
    <x v="0"/>
  </r>
  <r>
    <n v="74"/>
    <x v="3"/>
    <n v="1"/>
    <n v="0"/>
    <n v="1"/>
    <x v="5"/>
    <x v="1"/>
    <x v="0"/>
    <x v="3"/>
    <x v="0"/>
    <n v="0.12"/>
    <x v="3"/>
    <n v="0.1515"/>
    <n v="0.68"/>
    <x v="0"/>
    <n v="0.1045"/>
    <x v="0"/>
    <x v="3"/>
    <x v="22"/>
    <x v="48"/>
    <x v="0"/>
  </r>
  <r>
    <n v="75"/>
    <x v="3"/>
    <n v="1"/>
    <n v="0"/>
    <n v="1"/>
    <x v="6"/>
    <x v="1"/>
    <x v="0"/>
    <x v="3"/>
    <x v="0"/>
    <n v="0.12"/>
    <x v="3"/>
    <n v="0.1515"/>
    <n v="0.74"/>
    <x v="0"/>
    <n v="0.1045"/>
    <x v="0"/>
    <x v="3"/>
    <x v="49"/>
    <x v="9"/>
    <x v="0"/>
  </r>
  <r>
    <n v="76"/>
    <x v="3"/>
    <n v="1"/>
    <n v="0"/>
    <n v="1"/>
    <x v="7"/>
    <x v="2"/>
    <x v="0"/>
    <x v="3"/>
    <x v="0"/>
    <n v="0.12"/>
    <x v="3"/>
    <n v="0.1515"/>
    <n v="0.74"/>
    <x v="0"/>
    <n v="0.1343"/>
    <x v="0"/>
    <x v="4"/>
    <x v="50"/>
    <x v="12"/>
    <x v="1"/>
  </r>
  <r>
    <n v="77"/>
    <x v="3"/>
    <n v="1"/>
    <n v="0"/>
    <n v="1"/>
    <x v="8"/>
    <x v="2"/>
    <x v="0"/>
    <x v="3"/>
    <x v="0"/>
    <n v="0.14000000000000001"/>
    <x v="3"/>
    <n v="0.1515"/>
    <n v="0.69"/>
    <x v="0"/>
    <n v="0.16420000000000001"/>
    <x v="0"/>
    <x v="4"/>
    <x v="51"/>
    <x v="49"/>
    <x v="2"/>
  </r>
  <r>
    <n v="78"/>
    <x v="3"/>
    <n v="1"/>
    <n v="0"/>
    <n v="1"/>
    <x v="9"/>
    <x v="2"/>
    <x v="0"/>
    <x v="3"/>
    <x v="0"/>
    <n v="0.16"/>
    <x v="0"/>
    <n v="0.1515"/>
    <n v="0.64"/>
    <x v="0"/>
    <n v="0.22389999999999999"/>
    <x v="1"/>
    <x v="4"/>
    <x v="52"/>
    <x v="50"/>
    <x v="1"/>
  </r>
  <r>
    <n v="79"/>
    <x v="3"/>
    <n v="1"/>
    <n v="0"/>
    <n v="1"/>
    <x v="10"/>
    <x v="2"/>
    <x v="0"/>
    <x v="3"/>
    <x v="1"/>
    <n v="0.16"/>
    <x v="0"/>
    <n v="0.13639999999999999"/>
    <n v="0.69"/>
    <x v="0"/>
    <n v="0.32840000000000003"/>
    <x v="1"/>
    <x v="2"/>
    <x v="53"/>
    <x v="51"/>
    <x v="0"/>
  </r>
  <r>
    <n v="80"/>
    <x v="3"/>
    <n v="1"/>
    <n v="0"/>
    <n v="1"/>
    <x v="11"/>
    <x v="3"/>
    <x v="0"/>
    <x v="3"/>
    <x v="0"/>
    <n v="0.22"/>
    <x v="0"/>
    <n v="0.21210000000000001"/>
    <n v="0.51"/>
    <x v="1"/>
    <n v="0.29849999999999999"/>
    <x v="1"/>
    <x v="18"/>
    <x v="54"/>
    <x v="52"/>
    <x v="0"/>
  </r>
  <r>
    <n v="81"/>
    <x v="3"/>
    <n v="1"/>
    <n v="0"/>
    <n v="1"/>
    <x v="12"/>
    <x v="3"/>
    <x v="0"/>
    <x v="3"/>
    <x v="0"/>
    <n v="0.22"/>
    <x v="0"/>
    <n v="0.2273"/>
    <n v="0.51"/>
    <x v="1"/>
    <n v="0.16420000000000001"/>
    <x v="0"/>
    <x v="6"/>
    <x v="43"/>
    <x v="53"/>
    <x v="1"/>
  </r>
  <r>
    <n v="82"/>
    <x v="3"/>
    <n v="1"/>
    <n v="0"/>
    <n v="1"/>
    <x v="13"/>
    <x v="3"/>
    <x v="0"/>
    <x v="3"/>
    <x v="0"/>
    <n v="0.24"/>
    <x v="0"/>
    <n v="0.2273"/>
    <n v="0.56000000000000005"/>
    <x v="1"/>
    <n v="0.19400000000000001"/>
    <x v="0"/>
    <x v="25"/>
    <x v="55"/>
    <x v="54"/>
    <x v="1"/>
  </r>
  <r>
    <n v="83"/>
    <x v="3"/>
    <n v="1"/>
    <n v="0"/>
    <n v="1"/>
    <x v="14"/>
    <x v="3"/>
    <x v="0"/>
    <x v="3"/>
    <x v="0"/>
    <n v="0.26"/>
    <x v="1"/>
    <n v="0.2576"/>
    <n v="0.52"/>
    <x v="1"/>
    <n v="0.22389999999999999"/>
    <x v="1"/>
    <x v="14"/>
    <x v="25"/>
    <x v="55"/>
    <x v="0"/>
  </r>
  <r>
    <n v="84"/>
    <x v="3"/>
    <n v="1"/>
    <n v="0"/>
    <n v="1"/>
    <x v="15"/>
    <x v="3"/>
    <x v="0"/>
    <x v="3"/>
    <x v="0"/>
    <n v="0.28000000000000003"/>
    <x v="1"/>
    <n v="0.2727"/>
    <n v="0.52"/>
    <x v="1"/>
    <n v="0.25369999999999998"/>
    <x v="1"/>
    <x v="26"/>
    <x v="41"/>
    <x v="32"/>
    <x v="0"/>
  </r>
  <r>
    <n v="85"/>
    <x v="3"/>
    <n v="1"/>
    <n v="0"/>
    <n v="1"/>
    <x v="16"/>
    <x v="3"/>
    <x v="0"/>
    <x v="3"/>
    <x v="0"/>
    <n v="0.3"/>
    <x v="1"/>
    <n v="0.28789999999999999"/>
    <n v="0.49"/>
    <x v="1"/>
    <n v="0.25369999999999998"/>
    <x v="1"/>
    <x v="13"/>
    <x v="56"/>
    <x v="56"/>
    <x v="1"/>
  </r>
  <r>
    <n v="86"/>
    <x v="3"/>
    <n v="1"/>
    <n v="0"/>
    <n v="1"/>
    <x v="17"/>
    <x v="4"/>
    <x v="0"/>
    <x v="3"/>
    <x v="0"/>
    <n v="0.28000000000000003"/>
    <x v="1"/>
    <n v="0.2727"/>
    <n v="0.48"/>
    <x v="1"/>
    <n v="0.22389999999999999"/>
    <x v="1"/>
    <x v="22"/>
    <x v="57"/>
    <x v="57"/>
    <x v="2"/>
  </r>
  <r>
    <n v="87"/>
    <x v="3"/>
    <n v="1"/>
    <n v="0"/>
    <n v="1"/>
    <x v="18"/>
    <x v="4"/>
    <x v="0"/>
    <x v="3"/>
    <x v="0"/>
    <n v="0.26"/>
    <x v="1"/>
    <n v="0.2576"/>
    <n v="0.48"/>
    <x v="1"/>
    <n v="0.19400000000000001"/>
    <x v="0"/>
    <x v="0"/>
    <x v="58"/>
    <x v="58"/>
    <x v="2"/>
  </r>
  <r>
    <n v="88"/>
    <x v="3"/>
    <n v="1"/>
    <n v="0"/>
    <n v="1"/>
    <x v="19"/>
    <x v="4"/>
    <x v="0"/>
    <x v="3"/>
    <x v="0"/>
    <n v="0.24"/>
    <x v="0"/>
    <n v="0.2576"/>
    <n v="0.48"/>
    <x v="1"/>
    <n v="0.1045"/>
    <x v="0"/>
    <x v="4"/>
    <x v="59"/>
    <x v="59"/>
    <x v="1"/>
  </r>
  <r>
    <n v="89"/>
    <x v="3"/>
    <n v="1"/>
    <n v="0"/>
    <n v="1"/>
    <x v="20"/>
    <x v="4"/>
    <x v="0"/>
    <x v="3"/>
    <x v="0"/>
    <n v="0.24"/>
    <x v="0"/>
    <n v="0.2576"/>
    <n v="0.48"/>
    <x v="1"/>
    <n v="0.1045"/>
    <x v="0"/>
    <x v="5"/>
    <x v="42"/>
    <x v="60"/>
    <x v="0"/>
  </r>
  <r>
    <n v="90"/>
    <x v="3"/>
    <n v="1"/>
    <n v="0"/>
    <n v="1"/>
    <x v="21"/>
    <x v="0"/>
    <x v="0"/>
    <x v="3"/>
    <x v="0"/>
    <n v="0.22"/>
    <x v="0"/>
    <n v="0.2727"/>
    <n v="0.64"/>
    <x v="0"/>
    <n v="0"/>
    <x v="0"/>
    <x v="3"/>
    <x v="41"/>
    <x v="61"/>
    <x v="0"/>
  </r>
  <r>
    <n v="91"/>
    <x v="3"/>
    <n v="1"/>
    <n v="0"/>
    <n v="1"/>
    <x v="22"/>
    <x v="0"/>
    <x v="0"/>
    <x v="3"/>
    <x v="0"/>
    <n v="0.22"/>
    <x v="0"/>
    <n v="0.2576"/>
    <n v="0.64"/>
    <x v="0"/>
    <n v="8.9599999999999999E-2"/>
    <x v="0"/>
    <x v="5"/>
    <x v="60"/>
    <x v="17"/>
    <x v="0"/>
  </r>
  <r>
    <n v="92"/>
    <x v="3"/>
    <n v="1"/>
    <n v="0"/>
    <n v="1"/>
    <x v="23"/>
    <x v="0"/>
    <x v="0"/>
    <x v="3"/>
    <x v="0"/>
    <n v="0.2"/>
    <x v="0"/>
    <n v="0.2273"/>
    <n v="0.69"/>
    <x v="0"/>
    <n v="8.9599999999999999E-2"/>
    <x v="0"/>
    <x v="4"/>
    <x v="33"/>
    <x v="62"/>
    <x v="0"/>
  </r>
  <r>
    <n v="93"/>
    <x v="4"/>
    <n v="1"/>
    <n v="0"/>
    <n v="1"/>
    <x v="0"/>
    <x v="0"/>
    <x v="0"/>
    <x v="4"/>
    <x v="0"/>
    <n v="0.2"/>
    <x v="0"/>
    <n v="0.2576"/>
    <n v="0.64"/>
    <x v="0"/>
    <n v="0"/>
    <x v="0"/>
    <x v="3"/>
    <x v="8"/>
    <x v="24"/>
    <x v="0"/>
  </r>
  <r>
    <n v="94"/>
    <x v="4"/>
    <n v="1"/>
    <n v="0"/>
    <n v="1"/>
    <x v="1"/>
    <x v="0"/>
    <x v="0"/>
    <x v="4"/>
    <x v="0"/>
    <n v="0.16"/>
    <x v="0"/>
    <n v="0.19700000000000001"/>
    <n v="0.74"/>
    <x v="0"/>
    <n v="8.9599999999999999E-2"/>
    <x v="0"/>
    <x v="3"/>
    <x v="8"/>
    <x v="24"/>
    <x v="0"/>
  </r>
  <r>
    <n v="95"/>
    <x v="4"/>
    <n v="1"/>
    <n v="0"/>
    <n v="1"/>
    <x v="2"/>
    <x v="0"/>
    <x v="0"/>
    <x v="4"/>
    <x v="0"/>
    <n v="0.16"/>
    <x v="0"/>
    <n v="0.19700000000000001"/>
    <n v="0.74"/>
    <x v="0"/>
    <n v="8.9599999999999999E-2"/>
    <x v="0"/>
    <x v="3"/>
    <x v="6"/>
    <x v="5"/>
    <x v="0"/>
  </r>
  <r>
    <n v="96"/>
    <x v="4"/>
    <n v="1"/>
    <n v="0"/>
    <n v="1"/>
    <x v="4"/>
    <x v="1"/>
    <x v="0"/>
    <x v="4"/>
    <x v="0"/>
    <n v="0.24"/>
    <x v="0"/>
    <n v="0.2273"/>
    <n v="0.48"/>
    <x v="1"/>
    <n v="0.22389999999999999"/>
    <x v="1"/>
    <x v="3"/>
    <x v="6"/>
    <x v="5"/>
    <x v="0"/>
  </r>
  <r>
    <n v="97"/>
    <x v="4"/>
    <n v="1"/>
    <n v="0"/>
    <n v="1"/>
    <x v="5"/>
    <x v="1"/>
    <x v="0"/>
    <x v="4"/>
    <x v="0"/>
    <n v="0.22"/>
    <x v="0"/>
    <n v="0.2273"/>
    <n v="0.47"/>
    <x v="1"/>
    <n v="0.16420000000000001"/>
    <x v="0"/>
    <x v="3"/>
    <x v="35"/>
    <x v="6"/>
    <x v="0"/>
  </r>
  <r>
    <n v="98"/>
    <x v="4"/>
    <n v="1"/>
    <n v="0"/>
    <n v="1"/>
    <x v="6"/>
    <x v="1"/>
    <x v="0"/>
    <x v="4"/>
    <x v="0"/>
    <n v="0.2"/>
    <x v="0"/>
    <n v="0.19700000000000001"/>
    <n v="0.47"/>
    <x v="1"/>
    <n v="0.22389999999999999"/>
    <x v="1"/>
    <x v="3"/>
    <x v="39"/>
    <x v="63"/>
    <x v="0"/>
  </r>
  <r>
    <n v="99"/>
    <x v="4"/>
    <n v="1"/>
    <n v="0"/>
    <n v="1"/>
    <x v="7"/>
    <x v="2"/>
    <x v="0"/>
    <x v="4"/>
    <x v="0"/>
    <n v="0.18"/>
    <x v="0"/>
    <n v="0.18179999999999999"/>
    <n v="0.43"/>
    <x v="1"/>
    <n v="0.19400000000000001"/>
    <x v="0"/>
    <x v="5"/>
    <x v="61"/>
    <x v="39"/>
    <x v="1"/>
  </r>
  <r>
    <n v="100"/>
    <x v="4"/>
    <n v="1"/>
    <n v="0"/>
    <n v="1"/>
    <x v="8"/>
    <x v="2"/>
    <x v="0"/>
    <x v="4"/>
    <x v="0"/>
    <n v="0.2"/>
    <x v="0"/>
    <n v="0.18179999999999999"/>
    <n v="0.4"/>
    <x v="2"/>
    <n v="0.29849999999999999"/>
    <x v="1"/>
    <x v="0"/>
    <x v="62"/>
    <x v="64"/>
    <x v="2"/>
  </r>
  <r>
    <n v="101"/>
    <x v="4"/>
    <n v="1"/>
    <n v="0"/>
    <n v="1"/>
    <x v="9"/>
    <x v="2"/>
    <x v="0"/>
    <x v="4"/>
    <x v="0"/>
    <n v="0.22"/>
    <x v="0"/>
    <n v="0.19700000000000001"/>
    <n v="0.37"/>
    <x v="2"/>
    <n v="0.32840000000000003"/>
    <x v="1"/>
    <x v="15"/>
    <x v="63"/>
    <x v="65"/>
    <x v="1"/>
  </r>
  <r>
    <n v="102"/>
    <x v="4"/>
    <n v="1"/>
    <n v="0"/>
    <n v="1"/>
    <x v="10"/>
    <x v="2"/>
    <x v="0"/>
    <x v="4"/>
    <x v="0"/>
    <n v="0.22"/>
    <x v="0"/>
    <n v="0.19700000000000001"/>
    <n v="0.37"/>
    <x v="2"/>
    <n v="0.32840000000000003"/>
    <x v="1"/>
    <x v="17"/>
    <x v="42"/>
    <x v="52"/>
    <x v="0"/>
  </r>
  <r>
    <n v="103"/>
    <x v="4"/>
    <n v="1"/>
    <n v="0"/>
    <n v="1"/>
    <x v="11"/>
    <x v="3"/>
    <x v="0"/>
    <x v="4"/>
    <x v="0"/>
    <n v="0.26"/>
    <x v="1"/>
    <n v="0.2273"/>
    <n v="0.33"/>
    <x v="2"/>
    <n v="0.32840000000000003"/>
    <x v="1"/>
    <x v="6"/>
    <x v="60"/>
    <x v="66"/>
    <x v="0"/>
  </r>
  <r>
    <n v="104"/>
    <x v="4"/>
    <n v="1"/>
    <n v="0"/>
    <n v="1"/>
    <x v="12"/>
    <x v="3"/>
    <x v="0"/>
    <x v="4"/>
    <x v="0"/>
    <n v="0.26"/>
    <x v="1"/>
    <n v="0.2273"/>
    <n v="0.33"/>
    <x v="2"/>
    <n v="0.32840000000000003"/>
    <x v="1"/>
    <x v="2"/>
    <x v="64"/>
    <x v="67"/>
    <x v="1"/>
  </r>
  <r>
    <n v="105"/>
    <x v="4"/>
    <n v="1"/>
    <n v="0"/>
    <n v="1"/>
    <x v="13"/>
    <x v="3"/>
    <x v="0"/>
    <x v="4"/>
    <x v="0"/>
    <n v="0.28000000000000003"/>
    <x v="1"/>
    <n v="0.2576"/>
    <n v="0.3"/>
    <x v="2"/>
    <n v="0.29849999999999999"/>
    <x v="1"/>
    <x v="15"/>
    <x v="65"/>
    <x v="68"/>
    <x v="1"/>
  </r>
  <r>
    <n v="106"/>
    <x v="4"/>
    <n v="1"/>
    <n v="0"/>
    <n v="1"/>
    <x v="14"/>
    <x v="3"/>
    <x v="0"/>
    <x v="4"/>
    <x v="0"/>
    <n v="0.3"/>
    <x v="1"/>
    <n v="0.28789999999999999"/>
    <n v="0.28000000000000003"/>
    <x v="2"/>
    <n v="0.19400000000000001"/>
    <x v="0"/>
    <x v="22"/>
    <x v="15"/>
    <x v="69"/>
    <x v="0"/>
  </r>
  <r>
    <n v="107"/>
    <x v="4"/>
    <n v="1"/>
    <n v="0"/>
    <n v="1"/>
    <x v="15"/>
    <x v="3"/>
    <x v="0"/>
    <x v="4"/>
    <x v="0"/>
    <n v="0.3"/>
    <x v="1"/>
    <n v="0.28789999999999999"/>
    <n v="0.28000000000000003"/>
    <x v="2"/>
    <n v="0.19400000000000001"/>
    <x v="0"/>
    <x v="18"/>
    <x v="11"/>
    <x v="69"/>
    <x v="0"/>
  </r>
  <r>
    <n v="108"/>
    <x v="4"/>
    <n v="1"/>
    <n v="0"/>
    <n v="1"/>
    <x v="16"/>
    <x v="3"/>
    <x v="0"/>
    <x v="4"/>
    <x v="0"/>
    <n v="0.3"/>
    <x v="1"/>
    <n v="0.31819999999999998"/>
    <n v="0.28000000000000003"/>
    <x v="2"/>
    <n v="8.9599999999999999E-2"/>
    <x v="0"/>
    <x v="17"/>
    <x v="66"/>
    <x v="70"/>
    <x v="1"/>
  </r>
  <r>
    <n v="109"/>
    <x v="4"/>
    <n v="1"/>
    <n v="0"/>
    <n v="1"/>
    <x v="17"/>
    <x v="4"/>
    <x v="0"/>
    <x v="4"/>
    <x v="0"/>
    <n v="0.24"/>
    <x v="0"/>
    <n v="0.2273"/>
    <n v="0.38"/>
    <x v="2"/>
    <n v="0.19400000000000001"/>
    <x v="0"/>
    <x v="17"/>
    <x v="67"/>
    <x v="71"/>
    <x v="2"/>
  </r>
  <r>
    <n v="110"/>
    <x v="4"/>
    <n v="1"/>
    <n v="0"/>
    <n v="1"/>
    <x v="18"/>
    <x v="4"/>
    <x v="0"/>
    <x v="4"/>
    <x v="0"/>
    <n v="0.24"/>
    <x v="0"/>
    <n v="0.2424"/>
    <n v="0.38"/>
    <x v="2"/>
    <n v="0.1343"/>
    <x v="0"/>
    <x v="0"/>
    <x v="68"/>
    <x v="72"/>
    <x v="2"/>
  </r>
  <r>
    <n v="111"/>
    <x v="4"/>
    <n v="1"/>
    <n v="0"/>
    <n v="1"/>
    <x v="19"/>
    <x v="4"/>
    <x v="0"/>
    <x v="4"/>
    <x v="0"/>
    <n v="0.24"/>
    <x v="0"/>
    <n v="0.2576"/>
    <n v="0.38"/>
    <x v="2"/>
    <n v="0.1045"/>
    <x v="0"/>
    <x v="2"/>
    <x v="69"/>
    <x v="73"/>
    <x v="1"/>
  </r>
  <r>
    <n v="112"/>
    <x v="4"/>
    <n v="1"/>
    <n v="0"/>
    <n v="1"/>
    <x v="20"/>
    <x v="4"/>
    <x v="0"/>
    <x v="4"/>
    <x v="0"/>
    <n v="0.22"/>
    <x v="0"/>
    <n v="0.2273"/>
    <n v="0.47"/>
    <x v="1"/>
    <n v="0.16420000000000001"/>
    <x v="0"/>
    <x v="18"/>
    <x v="70"/>
    <x v="70"/>
    <x v="1"/>
  </r>
  <r>
    <n v="113"/>
    <x v="4"/>
    <n v="1"/>
    <n v="0"/>
    <n v="1"/>
    <x v="21"/>
    <x v="0"/>
    <x v="0"/>
    <x v="4"/>
    <x v="0"/>
    <n v="0.2"/>
    <x v="0"/>
    <n v="0.19700000000000001"/>
    <n v="0.51"/>
    <x v="1"/>
    <n v="0.19400000000000001"/>
    <x v="0"/>
    <x v="0"/>
    <x v="71"/>
    <x v="74"/>
    <x v="0"/>
  </r>
  <r>
    <n v="114"/>
    <x v="4"/>
    <n v="1"/>
    <n v="0"/>
    <n v="1"/>
    <x v="22"/>
    <x v="0"/>
    <x v="0"/>
    <x v="4"/>
    <x v="0"/>
    <n v="0.18"/>
    <x v="0"/>
    <n v="0.19700000000000001"/>
    <n v="0.55000000000000004"/>
    <x v="1"/>
    <n v="0.1343"/>
    <x v="0"/>
    <x v="5"/>
    <x v="40"/>
    <x v="51"/>
    <x v="0"/>
  </r>
  <r>
    <n v="115"/>
    <x v="4"/>
    <n v="1"/>
    <n v="0"/>
    <n v="1"/>
    <x v="23"/>
    <x v="0"/>
    <x v="0"/>
    <x v="4"/>
    <x v="0"/>
    <n v="0.2"/>
    <x v="0"/>
    <n v="0.2576"/>
    <n v="0.47"/>
    <x v="1"/>
    <n v="0"/>
    <x v="0"/>
    <x v="5"/>
    <x v="72"/>
    <x v="75"/>
    <x v="0"/>
  </r>
  <r>
    <n v="116"/>
    <x v="5"/>
    <n v="1"/>
    <n v="0"/>
    <n v="1"/>
    <x v="0"/>
    <x v="0"/>
    <x v="0"/>
    <x v="5"/>
    <x v="0"/>
    <n v="0.18"/>
    <x v="0"/>
    <n v="0.2424"/>
    <n v="0.55000000000000004"/>
    <x v="1"/>
    <n v="0"/>
    <x v="0"/>
    <x v="3"/>
    <x v="48"/>
    <x v="62"/>
    <x v="0"/>
  </r>
  <r>
    <n v="117"/>
    <x v="5"/>
    <n v="1"/>
    <n v="0"/>
    <n v="1"/>
    <x v="1"/>
    <x v="0"/>
    <x v="0"/>
    <x v="5"/>
    <x v="0"/>
    <n v="0.16"/>
    <x v="0"/>
    <n v="0.2273"/>
    <n v="0.64"/>
    <x v="0"/>
    <n v="0"/>
    <x v="0"/>
    <x v="3"/>
    <x v="22"/>
    <x v="48"/>
    <x v="0"/>
  </r>
  <r>
    <n v="118"/>
    <x v="5"/>
    <n v="1"/>
    <n v="0"/>
    <n v="1"/>
    <x v="2"/>
    <x v="0"/>
    <x v="0"/>
    <x v="5"/>
    <x v="0"/>
    <n v="0.16"/>
    <x v="0"/>
    <n v="0.2273"/>
    <n v="0.64"/>
    <x v="0"/>
    <n v="0"/>
    <x v="0"/>
    <x v="3"/>
    <x v="6"/>
    <x v="5"/>
    <x v="0"/>
  </r>
  <r>
    <n v="119"/>
    <x v="5"/>
    <n v="1"/>
    <n v="0"/>
    <n v="1"/>
    <x v="4"/>
    <x v="1"/>
    <x v="0"/>
    <x v="5"/>
    <x v="1"/>
    <n v="0.16"/>
    <x v="0"/>
    <n v="0.19700000000000001"/>
    <n v="0.64"/>
    <x v="0"/>
    <n v="8.9599999999999999E-2"/>
    <x v="0"/>
    <x v="3"/>
    <x v="4"/>
    <x v="4"/>
    <x v="0"/>
  </r>
  <r>
    <n v="120"/>
    <x v="5"/>
    <n v="1"/>
    <n v="0"/>
    <n v="1"/>
    <x v="5"/>
    <x v="1"/>
    <x v="0"/>
    <x v="5"/>
    <x v="1"/>
    <n v="0.14000000000000001"/>
    <x v="3"/>
    <n v="0.18179999999999999"/>
    <n v="0.69"/>
    <x v="0"/>
    <n v="8.9599999999999999E-2"/>
    <x v="0"/>
    <x v="3"/>
    <x v="22"/>
    <x v="48"/>
    <x v="0"/>
  </r>
  <r>
    <n v="121"/>
    <x v="5"/>
    <n v="1"/>
    <n v="0"/>
    <n v="1"/>
    <x v="6"/>
    <x v="1"/>
    <x v="0"/>
    <x v="5"/>
    <x v="1"/>
    <n v="0.14000000000000001"/>
    <x v="3"/>
    <n v="0.16669999999999999"/>
    <n v="0.63"/>
    <x v="0"/>
    <n v="0.1045"/>
    <x v="0"/>
    <x v="3"/>
    <x v="49"/>
    <x v="9"/>
    <x v="0"/>
  </r>
  <r>
    <n v="122"/>
    <x v="5"/>
    <n v="1"/>
    <n v="0"/>
    <n v="1"/>
    <x v="7"/>
    <x v="2"/>
    <x v="0"/>
    <x v="5"/>
    <x v="1"/>
    <n v="0.16"/>
    <x v="0"/>
    <n v="0.2273"/>
    <n v="0.59"/>
    <x v="1"/>
    <n v="0"/>
    <x v="0"/>
    <x v="3"/>
    <x v="73"/>
    <x v="76"/>
    <x v="1"/>
  </r>
  <r>
    <n v="123"/>
    <x v="5"/>
    <n v="1"/>
    <n v="0"/>
    <n v="1"/>
    <x v="8"/>
    <x v="2"/>
    <x v="0"/>
    <x v="5"/>
    <x v="0"/>
    <n v="0.16"/>
    <x v="0"/>
    <n v="0.2273"/>
    <n v="0.59"/>
    <x v="1"/>
    <n v="0"/>
    <x v="0"/>
    <x v="0"/>
    <x v="74"/>
    <x v="77"/>
    <x v="2"/>
  </r>
  <r>
    <n v="124"/>
    <x v="5"/>
    <n v="1"/>
    <n v="0"/>
    <n v="1"/>
    <x v="9"/>
    <x v="2"/>
    <x v="0"/>
    <x v="5"/>
    <x v="1"/>
    <n v="0.18"/>
    <x v="0"/>
    <n v="0.2424"/>
    <n v="0.51"/>
    <x v="1"/>
    <n v="0"/>
    <x v="0"/>
    <x v="15"/>
    <x v="75"/>
    <x v="78"/>
    <x v="1"/>
  </r>
  <r>
    <n v="125"/>
    <x v="5"/>
    <n v="1"/>
    <n v="0"/>
    <n v="1"/>
    <x v="10"/>
    <x v="2"/>
    <x v="0"/>
    <x v="5"/>
    <x v="0"/>
    <n v="0.2"/>
    <x v="0"/>
    <n v="0.2576"/>
    <n v="0.47"/>
    <x v="1"/>
    <n v="0"/>
    <x v="0"/>
    <x v="0"/>
    <x v="76"/>
    <x v="79"/>
    <x v="0"/>
  </r>
  <r>
    <n v="126"/>
    <x v="5"/>
    <n v="1"/>
    <n v="0"/>
    <n v="1"/>
    <x v="11"/>
    <x v="3"/>
    <x v="0"/>
    <x v="5"/>
    <x v="0"/>
    <n v="0.22"/>
    <x v="0"/>
    <n v="0.2576"/>
    <n v="0.44"/>
    <x v="1"/>
    <n v="8.9599999999999999E-2"/>
    <x v="0"/>
    <x v="4"/>
    <x v="77"/>
    <x v="29"/>
    <x v="0"/>
  </r>
  <r>
    <n v="127"/>
    <x v="5"/>
    <n v="1"/>
    <n v="0"/>
    <n v="1"/>
    <x v="12"/>
    <x v="3"/>
    <x v="0"/>
    <x v="5"/>
    <x v="0"/>
    <n v="0.26"/>
    <x v="1"/>
    <n v="0.28789999999999999"/>
    <n v="0.35"/>
    <x v="2"/>
    <n v="0"/>
    <x v="0"/>
    <x v="15"/>
    <x v="78"/>
    <x v="11"/>
    <x v="1"/>
  </r>
  <r>
    <n v="128"/>
    <x v="5"/>
    <n v="1"/>
    <n v="0"/>
    <n v="1"/>
    <x v="13"/>
    <x v="3"/>
    <x v="0"/>
    <x v="5"/>
    <x v="0"/>
    <n v="0.26"/>
    <x v="1"/>
    <n v="0.2727"/>
    <n v="0.35"/>
    <x v="2"/>
    <n v="0.1045"/>
    <x v="0"/>
    <x v="6"/>
    <x v="11"/>
    <x v="16"/>
    <x v="0"/>
  </r>
  <r>
    <n v="129"/>
    <x v="5"/>
    <n v="1"/>
    <n v="0"/>
    <n v="1"/>
    <x v="14"/>
    <x v="3"/>
    <x v="0"/>
    <x v="5"/>
    <x v="0"/>
    <n v="0.28000000000000003"/>
    <x v="1"/>
    <n v="0.2727"/>
    <n v="0.36"/>
    <x v="2"/>
    <n v="0.16420000000000001"/>
    <x v="0"/>
    <x v="16"/>
    <x v="79"/>
    <x v="27"/>
    <x v="0"/>
  </r>
  <r>
    <n v="130"/>
    <x v="5"/>
    <n v="1"/>
    <n v="0"/>
    <n v="1"/>
    <x v="15"/>
    <x v="3"/>
    <x v="0"/>
    <x v="5"/>
    <x v="0"/>
    <n v="0.28000000000000003"/>
    <x v="1"/>
    <n v="0.2727"/>
    <n v="0.36"/>
    <x v="2"/>
    <n v="0"/>
    <x v="0"/>
    <x v="1"/>
    <x v="25"/>
    <x v="69"/>
    <x v="0"/>
  </r>
  <r>
    <n v="131"/>
    <x v="5"/>
    <n v="1"/>
    <n v="0"/>
    <n v="1"/>
    <x v="16"/>
    <x v="3"/>
    <x v="0"/>
    <x v="5"/>
    <x v="0"/>
    <n v="0.26"/>
    <x v="1"/>
    <n v="0.2576"/>
    <n v="0.38"/>
    <x v="2"/>
    <n v="0.16420000000000001"/>
    <x v="0"/>
    <x v="6"/>
    <x v="64"/>
    <x v="80"/>
    <x v="1"/>
  </r>
  <r>
    <n v="132"/>
    <x v="5"/>
    <n v="1"/>
    <n v="0"/>
    <n v="1"/>
    <x v="17"/>
    <x v="4"/>
    <x v="0"/>
    <x v="5"/>
    <x v="0"/>
    <n v="0.22"/>
    <x v="0"/>
    <n v="0.2273"/>
    <n v="0.51"/>
    <x v="1"/>
    <n v="0.16420000000000001"/>
    <x v="0"/>
    <x v="14"/>
    <x v="80"/>
    <x v="81"/>
    <x v="2"/>
  </r>
  <r>
    <n v="133"/>
    <x v="5"/>
    <n v="1"/>
    <n v="0"/>
    <n v="1"/>
    <x v="18"/>
    <x v="4"/>
    <x v="0"/>
    <x v="5"/>
    <x v="0"/>
    <n v="0.22"/>
    <x v="0"/>
    <n v="0.2273"/>
    <n v="0.51"/>
    <x v="1"/>
    <n v="0.1343"/>
    <x v="0"/>
    <x v="2"/>
    <x v="81"/>
    <x v="82"/>
    <x v="2"/>
  </r>
  <r>
    <n v="134"/>
    <x v="5"/>
    <n v="1"/>
    <n v="0"/>
    <n v="1"/>
    <x v="19"/>
    <x v="4"/>
    <x v="0"/>
    <x v="5"/>
    <x v="0"/>
    <n v="0.22"/>
    <x v="0"/>
    <n v="0.2576"/>
    <n v="0.55000000000000004"/>
    <x v="1"/>
    <n v="8.9599999999999999E-2"/>
    <x v="0"/>
    <x v="0"/>
    <x v="63"/>
    <x v="59"/>
    <x v="1"/>
  </r>
  <r>
    <n v="135"/>
    <x v="5"/>
    <n v="1"/>
    <n v="0"/>
    <n v="1"/>
    <x v="20"/>
    <x v="4"/>
    <x v="0"/>
    <x v="5"/>
    <x v="0"/>
    <n v="0.2"/>
    <x v="0"/>
    <n v="0.21210000000000001"/>
    <n v="0.51"/>
    <x v="1"/>
    <n v="0.16420000000000001"/>
    <x v="0"/>
    <x v="0"/>
    <x v="43"/>
    <x v="83"/>
    <x v="0"/>
  </r>
  <r>
    <n v="136"/>
    <x v="5"/>
    <n v="1"/>
    <n v="0"/>
    <n v="1"/>
    <x v="21"/>
    <x v="0"/>
    <x v="0"/>
    <x v="5"/>
    <x v="1"/>
    <n v="0.22"/>
    <x v="0"/>
    <n v="0.21210000000000001"/>
    <n v="0.55000000000000004"/>
    <x v="1"/>
    <n v="0.22389999999999999"/>
    <x v="1"/>
    <x v="3"/>
    <x v="41"/>
    <x v="61"/>
    <x v="0"/>
  </r>
  <r>
    <n v="137"/>
    <x v="5"/>
    <n v="1"/>
    <n v="0"/>
    <n v="1"/>
    <x v="22"/>
    <x v="0"/>
    <x v="0"/>
    <x v="5"/>
    <x v="1"/>
    <n v="0.22"/>
    <x v="0"/>
    <n v="0.21210000000000001"/>
    <n v="0.51"/>
    <x v="1"/>
    <n v="0.28360000000000002"/>
    <x v="1"/>
    <x v="5"/>
    <x v="82"/>
    <x v="46"/>
    <x v="0"/>
  </r>
  <r>
    <n v="138"/>
    <x v="5"/>
    <n v="1"/>
    <n v="0"/>
    <n v="1"/>
    <x v="23"/>
    <x v="0"/>
    <x v="0"/>
    <x v="5"/>
    <x v="1"/>
    <n v="0.2"/>
    <x v="0"/>
    <n v="0.19700000000000001"/>
    <n v="0.59"/>
    <x v="1"/>
    <n v="0.19400000000000001"/>
    <x v="0"/>
    <x v="17"/>
    <x v="23"/>
    <x v="84"/>
    <x v="0"/>
  </r>
  <r>
    <n v="139"/>
    <x v="6"/>
    <n v="1"/>
    <n v="0"/>
    <n v="1"/>
    <x v="0"/>
    <x v="0"/>
    <x v="0"/>
    <x v="6"/>
    <x v="1"/>
    <n v="0.2"/>
    <x v="0"/>
    <n v="0.19700000000000001"/>
    <n v="0.64"/>
    <x v="0"/>
    <n v="0.19400000000000001"/>
    <x v="0"/>
    <x v="17"/>
    <x v="0"/>
    <x v="22"/>
    <x v="0"/>
  </r>
  <r>
    <n v="140"/>
    <x v="6"/>
    <n v="1"/>
    <n v="0"/>
    <n v="1"/>
    <x v="1"/>
    <x v="0"/>
    <x v="0"/>
    <x v="6"/>
    <x v="1"/>
    <n v="0.2"/>
    <x v="0"/>
    <n v="0.19700000000000001"/>
    <n v="0.69"/>
    <x v="0"/>
    <n v="0.22389999999999999"/>
    <x v="1"/>
    <x v="4"/>
    <x v="34"/>
    <x v="85"/>
    <x v="0"/>
  </r>
  <r>
    <n v="141"/>
    <x v="6"/>
    <n v="1"/>
    <n v="0"/>
    <n v="1"/>
    <x v="2"/>
    <x v="0"/>
    <x v="0"/>
    <x v="6"/>
    <x v="1"/>
    <n v="0.2"/>
    <x v="0"/>
    <n v="0.19700000000000001"/>
    <n v="0.69"/>
    <x v="0"/>
    <n v="0.22389999999999999"/>
    <x v="1"/>
    <x v="3"/>
    <x v="4"/>
    <x v="4"/>
    <x v="0"/>
  </r>
  <r>
    <n v="142"/>
    <x v="6"/>
    <n v="1"/>
    <n v="0"/>
    <n v="1"/>
    <x v="4"/>
    <x v="1"/>
    <x v="0"/>
    <x v="6"/>
    <x v="1"/>
    <n v="0.2"/>
    <x v="0"/>
    <n v="0.21210000000000001"/>
    <n v="0.69"/>
    <x v="0"/>
    <n v="0.1343"/>
    <x v="0"/>
    <x v="3"/>
    <x v="4"/>
    <x v="4"/>
    <x v="0"/>
  </r>
  <r>
    <n v="143"/>
    <x v="6"/>
    <n v="1"/>
    <n v="0"/>
    <n v="1"/>
    <x v="5"/>
    <x v="1"/>
    <x v="0"/>
    <x v="6"/>
    <x v="2"/>
    <n v="0.22"/>
    <x v="0"/>
    <n v="0.2727"/>
    <n v="0.55000000000000004"/>
    <x v="1"/>
    <n v="0"/>
    <x v="0"/>
    <x v="3"/>
    <x v="34"/>
    <x v="36"/>
    <x v="0"/>
  </r>
  <r>
    <n v="144"/>
    <x v="6"/>
    <n v="1"/>
    <n v="0"/>
    <n v="1"/>
    <x v="6"/>
    <x v="1"/>
    <x v="0"/>
    <x v="6"/>
    <x v="1"/>
    <n v="0.2"/>
    <x v="0"/>
    <n v="0.2576"/>
    <n v="0.69"/>
    <x v="0"/>
    <n v="0"/>
    <x v="0"/>
    <x v="1"/>
    <x v="16"/>
    <x v="19"/>
    <x v="0"/>
  </r>
  <r>
    <n v="145"/>
    <x v="6"/>
    <n v="1"/>
    <n v="0"/>
    <n v="1"/>
    <x v="7"/>
    <x v="2"/>
    <x v="0"/>
    <x v="6"/>
    <x v="0"/>
    <n v="0.2"/>
    <x v="0"/>
    <n v="0.21210000000000001"/>
    <n v="0.69"/>
    <x v="0"/>
    <n v="0.1343"/>
    <x v="0"/>
    <x v="1"/>
    <x v="83"/>
    <x v="11"/>
    <x v="1"/>
  </r>
  <r>
    <n v="146"/>
    <x v="6"/>
    <n v="1"/>
    <n v="0"/>
    <n v="1"/>
    <x v="8"/>
    <x v="2"/>
    <x v="0"/>
    <x v="6"/>
    <x v="0"/>
    <n v="0.2"/>
    <x v="0"/>
    <n v="0.19700000000000001"/>
    <n v="0.51"/>
    <x v="1"/>
    <n v="0.25369999999999998"/>
    <x v="1"/>
    <x v="20"/>
    <x v="84"/>
    <x v="86"/>
    <x v="2"/>
  </r>
  <r>
    <n v="147"/>
    <x v="6"/>
    <n v="1"/>
    <n v="0"/>
    <n v="1"/>
    <x v="9"/>
    <x v="2"/>
    <x v="0"/>
    <x v="6"/>
    <x v="0"/>
    <n v="0.2"/>
    <x v="0"/>
    <n v="0.18179999999999999"/>
    <n v="0.47"/>
    <x v="1"/>
    <n v="0.29849999999999999"/>
    <x v="1"/>
    <x v="14"/>
    <x v="85"/>
    <x v="87"/>
    <x v="1"/>
  </r>
  <r>
    <n v="148"/>
    <x v="6"/>
    <n v="1"/>
    <n v="0"/>
    <n v="1"/>
    <x v="10"/>
    <x v="2"/>
    <x v="0"/>
    <x v="6"/>
    <x v="0"/>
    <n v="0.22"/>
    <x v="0"/>
    <n v="0.19700000000000001"/>
    <n v="0.37"/>
    <x v="2"/>
    <n v="0.32840000000000003"/>
    <x v="1"/>
    <x v="19"/>
    <x v="12"/>
    <x v="55"/>
    <x v="0"/>
  </r>
  <r>
    <n v="149"/>
    <x v="6"/>
    <n v="1"/>
    <n v="0"/>
    <n v="1"/>
    <x v="11"/>
    <x v="3"/>
    <x v="0"/>
    <x v="6"/>
    <x v="1"/>
    <n v="0.2"/>
    <x v="0"/>
    <n v="0.19700000000000001"/>
    <n v="0.4"/>
    <x v="2"/>
    <n v="0.22389999999999999"/>
    <x v="1"/>
    <x v="21"/>
    <x v="41"/>
    <x v="16"/>
    <x v="0"/>
  </r>
  <r>
    <n v="150"/>
    <x v="6"/>
    <n v="1"/>
    <n v="0"/>
    <n v="1"/>
    <x v="12"/>
    <x v="3"/>
    <x v="0"/>
    <x v="6"/>
    <x v="1"/>
    <n v="0.2"/>
    <x v="0"/>
    <n v="0.19700000000000001"/>
    <n v="0.37"/>
    <x v="2"/>
    <n v="0.25369999999999998"/>
    <x v="1"/>
    <x v="14"/>
    <x v="54"/>
    <x v="29"/>
    <x v="0"/>
  </r>
  <r>
    <n v="151"/>
    <x v="6"/>
    <n v="1"/>
    <n v="0"/>
    <n v="1"/>
    <x v="13"/>
    <x v="3"/>
    <x v="0"/>
    <x v="6"/>
    <x v="1"/>
    <n v="0.2"/>
    <x v="0"/>
    <n v="0.18179999999999999"/>
    <n v="0.37"/>
    <x v="2"/>
    <n v="0.28360000000000002"/>
    <x v="1"/>
    <x v="14"/>
    <x v="27"/>
    <x v="88"/>
    <x v="1"/>
  </r>
  <r>
    <n v="152"/>
    <x v="6"/>
    <n v="1"/>
    <n v="0"/>
    <n v="1"/>
    <x v="14"/>
    <x v="3"/>
    <x v="0"/>
    <x v="6"/>
    <x v="1"/>
    <n v="0.2"/>
    <x v="0"/>
    <n v="0.19700000000000001"/>
    <n v="0.4"/>
    <x v="2"/>
    <n v="0.25369999999999998"/>
    <x v="1"/>
    <x v="18"/>
    <x v="30"/>
    <x v="89"/>
    <x v="0"/>
  </r>
  <r>
    <n v="153"/>
    <x v="6"/>
    <n v="1"/>
    <n v="0"/>
    <n v="1"/>
    <x v="15"/>
    <x v="3"/>
    <x v="0"/>
    <x v="6"/>
    <x v="1"/>
    <n v="0.2"/>
    <x v="0"/>
    <n v="0.21210000000000001"/>
    <n v="0.37"/>
    <x v="2"/>
    <n v="0.16420000000000001"/>
    <x v="0"/>
    <x v="14"/>
    <x v="36"/>
    <x v="44"/>
    <x v="1"/>
  </r>
  <r>
    <n v="154"/>
    <x v="6"/>
    <n v="1"/>
    <n v="0"/>
    <n v="1"/>
    <x v="16"/>
    <x v="3"/>
    <x v="0"/>
    <x v="6"/>
    <x v="1"/>
    <n v="0.2"/>
    <x v="0"/>
    <n v="0.21210000000000001"/>
    <n v="0.37"/>
    <x v="2"/>
    <n v="0.16420000000000001"/>
    <x v="0"/>
    <x v="2"/>
    <x v="70"/>
    <x v="90"/>
    <x v="1"/>
  </r>
  <r>
    <n v="155"/>
    <x v="6"/>
    <n v="1"/>
    <n v="0"/>
    <n v="1"/>
    <x v="17"/>
    <x v="4"/>
    <x v="0"/>
    <x v="6"/>
    <x v="1"/>
    <n v="0.2"/>
    <x v="0"/>
    <n v="0.2576"/>
    <n v="0.37"/>
    <x v="2"/>
    <n v="0"/>
    <x v="0"/>
    <x v="14"/>
    <x v="86"/>
    <x v="91"/>
    <x v="2"/>
  </r>
  <r>
    <n v="156"/>
    <x v="6"/>
    <n v="1"/>
    <n v="0"/>
    <n v="1"/>
    <x v="18"/>
    <x v="4"/>
    <x v="0"/>
    <x v="6"/>
    <x v="0"/>
    <n v="0.2"/>
    <x v="0"/>
    <n v="0.2273"/>
    <n v="0.4"/>
    <x v="2"/>
    <n v="8.9599999999999999E-2"/>
    <x v="0"/>
    <x v="18"/>
    <x v="75"/>
    <x v="92"/>
    <x v="1"/>
  </r>
  <r>
    <n v="157"/>
    <x v="6"/>
    <n v="1"/>
    <n v="0"/>
    <n v="1"/>
    <x v="19"/>
    <x v="4"/>
    <x v="0"/>
    <x v="6"/>
    <x v="0"/>
    <n v="0.16"/>
    <x v="0"/>
    <n v="0.19700000000000001"/>
    <n v="0.55000000000000004"/>
    <x v="1"/>
    <n v="8.9599999999999999E-2"/>
    <x v="0"/>
    <x v="0"/>
    <x v="50"/>
    <x v="76"/>
    <x v="1"/>
  </r>
  <r>
    <n v="158"/>
    <x v="6"/>
    <n v="1"/>
    <n v="0"/>
    <n v="1"/>
    <x v="20"/>
    <x v="4"/>
    <x v="0"/>
    <x v="6"/>
    <x v="0"/>
    <n v="0.18"/>
    <x v="0"/>
    <n v="0.21210000000000001"/>
    <n v="0.47"/>
    <x v="1"/>
    <n v="0.1045"/>
    <x v="0"/>
    <x v="5"/>
    <x v="54"/>
    <x v="41"/>
    <x v="0"/>
  </r>
  <r>
    <n v="159"/>
    <x v="6"/>
    <n v="1"/>
    <n v="0"/>
    <n v="1"/>
    <x v="21"/>
    <x v="0"/>
    <x v="0"/>
    <x v="6"/>
    <x v="0"/>
    <n v="0.18"/>
    <x v="0"/>
    <n v="0.19700000000000001"/>
    <n v="0.47"/>
    <x v="1"/>
    <n v="0.1343"/>
    <x v="0"/>
    <x v="3"/>
    <x v="87"/>
    <x v="21"/>
    <x v="0"/>
  </r>
  <r>
    <n v="160"/>
    <x v="6"/>
    <n v="1"/>
    <n v="0"/>
    <n v="1"/>
    <x v="22"/>
    <x v="0"/>
    <x v="0"/>
    <x v="6"/>
    <x v="1"/>
    <n v="0.18"/>
    <x v="0"/>
    <n v="0.19700000000000001"/>
    <n v="0.43"/>
    <x v="1"/>
    <n v="0.16420000000000001"/>
    <x v="0"/>
    <x v="4"/>
    <x v="60"/>
    <x v="9"/>
    <x v="0"/>
  </r>
  <r>
    <n v="161"/>
    <x v="6"/>
    <n v="1"/>
    <n v="0"/>
    <n v="1"/>
    <x v="23"/>
    <x v="0"/>
    <x v="0"/>
    <x v="6"/>
    <x v="1"/>
    <n v="0.18"/>
    <x v="0"/>
    <n v="0.19700000000000001"/>
    <n v="0.51"/>
    <x v="1"/>
    <n v="0.16420000000000001"/>
    <x v="0"/>
    <x v="5"/>
    <x v="88"/>
    <x v="93"/>
    <x v="0"/>
  </r>
  <r>
    <n v="162"/>
    <x v="7"/>
    <n v="1"/>
    <n v="0"/>
    <n v="1"/>
    <x v="0"/>
    <x v="0"/>
    <x v="0"/>
    <x v="0"/>
    <x v="1"/>
    <n v="0.18"/>
    <x v="0"/>
    <n v="0.19700000000000001"/>
    <n v="0.51"/>
    <x v="1"/>
    <n v="0.16420000000000001"/>
    <x v="0"/>
    <x v="5"/>
    <x v="9"/>
    <x v="94"/>
    <x v="0"/>
  </r>
  <r>
    <n v="163"/>
    <x v="7"/>
    <n v="1"/>
    <n v="0"/>
    <n v="1"/>
    <x v="1"/>
    <x v="0"/>
    <x v="0"/>
    <x v="0"/>
    <x v="1"/>
    <n v="0.18"/>
    <x v="0"/>
    <n v="0.21210000000000001"/>
    <n v="0.55000000000000004"/>
    <x v="1"/>
    <n v="8.9599999999999999E-2"/>
    <x v="0"/>
    <x v="5"/>
    <x v="89"/>
    <x v="0"/>
    <x v="0"/>
  </r>
  <r>
    <n v="164"/>
    <x v="7"/>
    <n v="1"/>
    <n v="0"/>
    <n v="1"/>
    <x v="2"/>
    <x v="0"/>
    <x v="0"/>
    <x v="0"/>
    <x v="1"/>
    <n v="0.18"/>
    <x v="0"/>
    <n v="0.2424"/>
    <n v="0.55000000000000004"/>
    <x v="1"/>
    <n v="0"/>
    <x v="0"/>
    <x v="0"/>
    <x v="0"/>
    <x v="0"/>
    <x v="0"/>
  </r>
  <r>
    <n v="165"/>
    <x v="7"/>
    <n v="1"/>
    <n v="0"/>
    <n v="1"/>
    <x v="3"/>
    <x v="0"/>
    <x v="0"/>
    <x v="0"/>
    <x v="2"/>
    <n v="0.18"/>
    <x v="0"/>
    <n v="0.19700000000000001"/>
    <n v="0.55000000000000004"/>
    <x v="1"/>
    <n v="0.16420000000000001"/>
    <x v="0"/>
    <x v="3"/>
    <x v="7"/>
    <x v="85"/>
    <x v="0"/>
  </r>
  <r>
    <n v="166"/>
    <x v="7"/>
    <n v="1"/>
    <n v="0"/>
    <n v="1"/>
    <x v="4"/>
    <x v="1"/>
    <x v="0"/>
    <x v="0"/>
    <x v="2"/>
    <n v="0.18"/>
    <x v="0"/>
    <n v="0.19700000000000001"/>
    <n v="0.55000000000000004"/>
    <x v="1"/>
    <n v="0.16420000000000001"/>
    <x v="0"/>
    <x v="3"/>
    <x v="4"/>
    <x v="4"/>
    <x v="0"/>
  </r>
  <r>
    <n v="167"/>
    <x v="7"/>
    <n v="1"/>
    <n v="0"/>
    <n v="1"/>
    <x v="5"/>
    <x v="1"/>
    <x v="0"/>
    <x v="0"/>
    <x v="1"/>
    <n v="0.16"/>
    <x v="0"/>
    <n v="0.16669999999999999"/>
    <n v="0.74"/>
    <x v="0"/>
    <n v="0.16420000000000001"/>
    <x v="0"/>
    <x v="3"/>
    <x v="34"/>
    <x v="36"/>
    <x v="0"/>
  </r>
  <r>
    <n v="168"/>
    <x v="7"/>
    <n v="1"/>
    <n v="0"/>
    <n v="1"/>
    <x v="6"/>
    <x v="1"/>
    <x v="0"/>
    <x v="0"/>
    <x v="1"/>
    <n v="0.16"/>
    <x v="0"/>
    <n v="0.16669999999999999"/>
    <n v="0.74"/>
    <x v="0"/>
    <n v="0.16420000000000001"/>
    <x v="0"/>
    <x v="3"/>
    <x v="6"/>
    <x v="5"/>
    <x v="0"/>
  </r>
  <r>
    <n v="169"/>
    <x v="7"/>
    <n v="1"/>
    <n v="0"/>
    <n v="1"/>
    <x v="7"/>
    <x v="2"/>
    <x v="0"/>
    <x v="0"/>
    <x v="1"/>
    <n v="0.16"/>
    <x v="0"/>
    <n v="0.18179999999999999"/>
    <n v="0.74"/>
    <x v="0"/>
    <n v="0.1045"/>
    <x v="0"/>
    <x v="5"/>
    <x v="21"/>
    <x v="23"/>
    <x v="0"/>
  </r>
  <r>
    <n v="170"/>
    <x v="7"/>
    <n v="1"/>
    <n v="0"/>
    <n v="1"/>
    <x v="8"/>
    <x v="2"/>
    <x v="0"/>
    <x v="0"/>
    <x v="2"/>
    <n v="0.16"/>
    <x v="0"/>
    <n v="0.18179999999999999"/>
    <n v="0.93"/>
    <x v="0"/>
    <n v="0.1045"/>
    <x v="0"/>
    <x v="3"/>
    <x v="89"/>
    <x v="93"/>
    <x v="0"/>
  </r>
  <r>
    <n v="171"/>
    <x v="7"/>
    <n v="1"/>
    <n v="0"/>
    <n v="1"/>
    <x v="9"/>
    <x v="2"/>
    <x v="0"/>
    <x v="0"/>
    <x v="2"/>
    <n v="0.16"/>
    <x v="0"/>
    <n v="0.18179999999999999"/>
    <n v="0.93"/>
    <x v="0"/>
    <n v="0.1045"/>
    <x v="0"/>
    <x v="3"/>
    <x v="32"/>
    <x v="25"/>
    <x v="0"/>
  </r>
  <r>
    <n v="172"/>
    <x v="7"/>
    <n v="1"/>
    <n v="0"/>
    <n v="1"/>
    <x v="10"/>
    <x v="2"/>
    <x v="0"/>
    <x v="0"/>
    <x v="1"/>
    <n v="0.18"/>
    <x v="0"/>
    <n v="0.19700000000000001"/>
    <n v="0.8"/>
    <x v="0"/>
    <n v="0.16420000000000001"/>
    <x v="0"/>
    <x v="2"/>
    <x v="90"/>
    <x v="42"/>
    <x v="0"/>
  </r>
  <r>
    <n v="173"/>
    <x v="7"/>
    <n v="1"/>
    <n v="0"/>
    <n v="1"/>
    <x v="11"/>
    <x v="3"/>
    <x v="0"/>
    <x v="0"/>
    <x v="1"/>
    <n v="0.2"/>
    <x v="0"/>
    <n v="0.18179999999999999"/>
    <n v="0.69"/>
    <x v="0"/>
    <n v="0.3881"/>
    <x v="1"/>
    <x v="4"/>
    <x v="91"/>
    <x v="69"/>
    <x v="0"/>
  </r>
  <r>
    <n v="174"/>
    <x v="7"/>
    <n v="1"/>
    <n v="0"/>
    <n v="1"/>
    <x v="12"/>
    <x v="3"/>
    <x v="0"/>
    <x v="0"/>
    <x v="1"/>
    <n v="0.2"/>
    <x v="0"/>
    <n v="0.18179999999999999"/>
    <n v="0.59"/>
    <x v="1"/>
    <n v="0.35820000000000002"/>
    <x v="1"/>
    <x v="1"/>
    <x v="92"/>
    <x v="95"/>
    <x v="1"/>
  </r>
  <r>
    <n v="175"/>
    <x v="7"/>
    <n v="1"/>
    <n v="0"/>
    <n v="1"/>
    <x v="13"/>
    <x v="3"/>
    <x v="0"/>
    <x v="0"/>
    <x v="0"/>
    <n v="0.2"/>
    <x v="0"/>
    <n v="0.18179999999999999"/>
    <n v="0.44"/>
    <x v="1"/>
    <n v="0.32840000000000003"/>
    <x v="1"/>
    <x v="18"/>
    <x v="73"/>
    <x v="96"/>
    <x v="1"/>
  </r>
  <r>
    <n v="176"/>
    <x v="7"/>
    <n v="1"/>
    <n v="0"/>
    <n v="1"/>
    <x v="14"/>
    <x v="3"/>
    <x v="0"/>
    <x v="0"/>
    <x v="0"/>
    <n v="0.2"/>
    <x v="0"/>
    <n v="0.16669999999999999"/>
    <n v="0.32"/>
    <x v="2"/>
    <n v="0.49249999999999999"/>
    <x v="2"/>
    <x v="6"/>
    <x v="93"/>
    <x v="76"/>
    <x v="1"/>
  </r>
  <r>
    <n v="177"/>
    <x v="7"/>
    <n v="1"/>
    <n v="0"/>
    <n v="1"/>
    <x v="15"/>
    <x v="3"/>
    <x v="0"/>
    <x v="0"/>
    <x v="0"/>
    <n v="0.2"/>
    <x v="0"/>
    <n v="0.16669999999999999"/>
    <n v="0.32"/>
    <x v="2"/>
    <n v="0.44779999999999998"/>
    <x v="2"/>
    <x v="2"/>
    <x v="94"/>
    <x v="30"/>
    <x v="1"/>
  </r>
  <r>
    <n v="178"/>
    <x v="7"/>
    <n v="1"/>
    <n v="0"/>
    <n v="1"/>
    <x v="16"/>
    <x v="3"/>
    <x v="0"/>
    <x v="0"/>
    <x v="0"/>
    <n v="0.18"/>
    <x v="0"/>
    <n v="0.13639999999999999"/>
    <n v="0.28999999999999998"/>
    <x v="2"/>
    <n v="0.44779999999999998"/>
    <x v="2"/>
    <x v="1"/>
    <x v="56"/>
    <x v="31"/>
    <x v="1"/>
  </r>
  <r>
    <n v="179"/>
    <x v="7"/>
    <n v="1"/>
    <n v="0"/>
    <n v="1"/>
    <x v="17"/>
    <x v="4"/>
    <x v="0"/>
    <x v="0"/>
    <x v="0"/>
    <n v="0.16"/>
    <x v="0"/>
    <n v="0.1212"/>
    <n v="0.37"/>
    <x v="2"/>
    <n v="0.55220000000000002"/>
    <x v="2"/>
    <x v="2"/>
    <x v="27"/>
    <x v="83"/>
    <x v="0"/>
  </r>
  <r>
    <n v="180"/>
    <x v="7"/>
    <n v="1"/>
    <n v="0"/>
    <n v="1"/>
    <x v="18"/>
    <x v="4"/>
    <x v="0"/>
    <x v="0"/>
    <x v="0"/>
    <n v="0.14000000000000001"/>
    <x v="3"/>
    <n v="0.1212"/>
    <n v="0.39"/>
    <x v="2"/>
    <n v="0.29849999999999999"/>
    <x v="1"/>
    <x v="0"/>
    <x v="15"/>
    <x v="97"/>
    <x v="0"/>
  </r>
  <r>
    <n v="181"/>
    <x v="7"/>
    <n v="1"/>
    <n v="0"/>
    <n v="1"/>
    <x v="19"/>
    <x v="4"/>
    <x v="0"/>
    <x v="0"/>
    <x v="0"/>
    <n v="0.14000000000000001"/>
    <x v="3"/>
    <n v="0.1212"/>
    <n v="0.36"/>
    <x v="2"/>
    <n v="0.25369999999999998"/>
    <x v="1"/>
    <x v="17"/>
    <x v="16"/>
    <x v="33"/>
    <x v="0"/>
  </r>
  <r>
    <n v="182"/>
    <x v="7"/>
    <n v="1"/>
    <n v="0"/>
    <n v="1"/>
    <x v="20"/>
    <x v="4"/>
    <x v="0"/>
    <x v="0"/>
    <x v="0"/>
    <n v="0.12"/>
    <x v="3"/>
    <n v="0.1212"/>
    <n v="0.36"/>
    <x v="2"/>
    <n v="0.25369999999999998"/>
    <x v="1"/>
    <x v="3"/>
    <x v="95"/>
    <x v="20"/>
    <x v="0"/>
  </r>
  <r>
    <n v="183"/>
    <x v="7"/>
    <n v="1"/>
    <n v="0"/>
    <n v="1"/>
    <x v="21"/>
    <x v="0"/>
    <x v="0"/>
    <x v="0"/>
    <x v="0"/>
    <n v="0.12"/>
    <x v="3"/>
    <n v="0.1061"/>
    <n v="0.39"/>
    <x v="2"/>
    <n v="0.35820000000000002"/>
    <x v="1"/>
    <x v="4"/>
    <x v="96"/>
    <x v="18"/>
    <x v="0"/>
  </r>
  <r>
    <n v="184"/>
    <x v="7"/>
    <n v="1"/>
    <n v="0"/>
    <n v="1"/>
    <x v="22"/>
    <x v="0"/>
    <x v="0"/>
    <x v="0"/>
    <x v="0"/>
    <n v="0.12"/>
    <x v="3"/>
    <n v="0.1061"/>
    <n v="0.36"/>
    <x v="2"/>
    <n v="0.3881"/>
    <x v="1"/>
    <x v="5"/>
    <x v="39"/>
    <x v="19"/>
    <x v="0"/>
  </r>
  <r>
    <n v="185"/>
    <x v="7"/>
    <n v="1"/>
    <n v="0"/>
    <n v="1"/>
    <x v="23"/>
    <x v="0"/>
    <x v="0"/>
    <x v="0"/>
    <x v="0"/>
    <n v="0.1"/>
    <x v="3"/>
    <n v="6.0600000000000001E-2"/>
    <n v="0.39"/>
    <x v="2"/>
    <n v="0.44779999999999998"/>
    <x v="2"/>
    <x v="3"/>
    <x v="97"/>
    <x v="34"/>
    <x v="0"/>
  </r>
  <r>
    <n v="186"/>
    <x v="8"/>
    <n v="1"/>
    <n v="0"/>
    <n v="1"/>
    <x v="0"/>
    <x v="0"/>
    <x v="0"/>
    <x v="1"/>
    <x v="0"/>
    <n v="0.1"/>
    <x v="3"/>
    <n v="7.5800000000000006E-2"/>
    <n v="0.42"/>
    <x v="1"/>
    <n v="0.3881"/>
    <x v="1"/>
    <x v="5"/>
    <x v="9"/>
    <x v="94"/>
    <x v="0"/>
  </r>
  <r>
    <n v="187"/>
    <x v="8"/>
    <n v="1"/>
    <n v="0"/>
    <n v="1"/>
    <x v="1"/>
    <x v="0"/>
    <x v="0"/>
    <x v="1"/>
    <x v="0"/>
    <n v="0.1"/>
    <x v="3"/>
    <n v="6.0600000000000001E-2"/>
    <n v="0.42"/>
    <x v="1"/>
    <n v="0.4627"/>
    <x v="2"/>
    <x v="3"/>
    <x v="98"/>
    <x v="47"/>
    <x v="0"/>
  </r>
  <r>
    <n v="188"/>
    <x v="8"/>
    <n v="1"/>
    <n v="0"/>
    <n v="1"/>
    <x v="2"/>
    <x v="0"/>
    <x v="0"/>
    <x v="1"/>
    <x v="0"/>
    <n v="0.1"/>
    <x v="3"/>
    <n v="6.0600000000000001E-2"/>
    <n v="0.46"/>
    <x v="1"/>
    <n v="0.4627"/>
    <x v="2"/>
    <x v="3"/>
    <x v="48"/>
    <x v="62"/>
    <x v="0"/>
  </r>
  <r>
    <n v="189"/>
    <x v="8"/>
    <n v="1"/>
    <n v="0"/>
    <n v="1"/>
    <x v="3"/>
    <x v="0"/>
    <x v="0"/>
    <x v="1"/>
    <x v="0"/>
    <n v="0.1"/>
    <x v="3"/>
    <n v="7.5800000000000006E-2"/>
    <n v="0.46"/>
    <x v="1"/>
    <n v="0.41789999999999999"/>
    <x v="2"/>
    <x v="3"/>
    <x v="22"/>
    <x v="48"/>
    <x v="0"/>
  </r>
  <r>
    <n v="190"/>
    <x v="8"/>
    <n v="1"/>
    <n v="0"/>
    <n v="1"/>
    <x v="4"/>
    <x v="1"/>
    <x v="0"/>
    <x v="1"/>
    <x v="0"/>
    <n v="0.08"/>
    <x v="3"/>
    <n v="9.0899999999999995E-2"/>
    <n v="0.53"/>
    <x v="1"/>
    <n v="0.19400000000000001"/>
    <x v="0"/>
    <x v="3"/>
    <x v="4"/>
    <x v="4"/>
    <x v="0"/>
  </r>
  <r>
    <n v="191"/>
    <x v="8"/>
    <n v="1"/>
    <n v="0"/>
    <n v="1"/>
    <x v="5"/>
    <x v="1"/>
    <x v="0"/>
    <x v="1"/>
    <x v="0"/>
    <n v="0.08"/>
    <x v="3"/>
    <n v="9.0899999999999995E-2"/>
    <n v="0.53"/>
    <x v="1"/>
    <n v="0.19400000000000001"/>
    <x v="0"/>
    <x v="3"/>
    <x v="4"/>
    <x v="4"/>
    <x v="0"/>
  </r>
  <r>
    <n v="192"/>
    <x v="8"/>
    <n v="1"/>
    <n v="0"/>
    <n v="1"/>
    <x v="6"/>
    <x v="1"/>
    <x v="0"/>
    <x v="1"/>
    <x v="0"/>
    <n v="0.1"/>
    <x v="3"/>
    <n v="9.0899999999999995E-2"/>
    <n v="0.49"/>
    <x v="1"/>
    <n v="0.28360000000000002"/>
    <x v="1"/>
    <x v="3"/>
    <x v="4"/>
    <x v="4"/>
    <x v="0"/>
  </r>
  <r>
    <n v="193"/>
    <x v="8"/>
    <n v="1"/>
    <n v="0"/>
    <n v="1"/>
    <x v="7"/>
    <x v="2"/>
    <x v="0"/>
    <x v="1"/>
    <x v="0"/>
    <n v="0.08"/>
    <x v="3"/>
    <n v="9.0899999999999995E-2"/>
    <n v="0.53"/>
    <x v="1"/>
    <n v="0.19400000000000001"/>
    <x v="0"/>
    <x v="5"/>
    <x v="34"/>
    <x v="24"/>
    <x v="0"/>
  </r>
  <r>
    <n v="194"/>
    <x v="8"/>
    <n v="1"/>
    <n v="0"/>
    <n v="1"/>
    <x v="8"/>
    <x v="2"/>
    <x v="0"/>
    <x v="1"/>
    <x v="0"/>
    <n v="0.1"/>
    <x v="3"/>
    <n v="9.0899999999999995E-2"/>
    <n v="0.49"/>
    <x v="1"/>
    <n v="0.28360000000000002"/>
    <x v="1"/>
    <x v="3"/>
    <x v="3"/>
    <x v="98"/>
    <x v="0"/>
  </r>
  <r>
    <n v="195"/>
    <x v="8"/>
    <n v="1"/>
    <n v="0"/>
    <n v="1"/>
    <x v="9"/>
    <x v="2"/>
    <x v="0"/>
    <x v="1"/>
    <x v="0"/>
    <n v="0.12"/>
    <x v="3"/>
    <n v="7.5800000000000006E-2"/>
    <n v="0.46"/>
    <x v="1"/>
    <n v="0.52239999999999998"/>
    <x v="2"/>
    <x v="3"/>
    <x v="23"/>
    <x v="75"/>
    <x v="0"/>
  </r>
  <r>
    <n v="196"/>
    <x v="8"/>
    <n v="1"/>
    <n v="0"/>
    <n v="1"/>
    <x v="10"/>
    <x v="2"/>
    <x v="0"/>
    <x v="1"/>
    <x v="0"/>
    <n v="0.14000000000000001"/>
    <x v="3"/>
    <n v="0.1061"/>
    <n v="0.43"/>
    <x v="1"/>
    <n v="0.3881"/>
    <x v="1"/>
    <x v="3"/>
    <x v="47"/>
    <x v="99"/>
    <x v="0"/>
  </r>
  <r>
    <n v="197"/>
    <x v="8"/>
    <n v="1"/>
    <n v="0"/>
    <n v="1"/>
    <x v="11"/>
    <x v="3"/>
    <x v="0"/>
    <x v="1"/>
    <x v="0"/>
    <n v="0.16"/>
    <x v="0"/>
    <n v="0.1212"/>
    <n v="0.4"/>
    <x v="2"/>
    <n v="0.52239999999999998"/>
    <x v="2"/>
    <x v="4"/>
    <x v="12"/>
    <x v="99"/>
    <x v="0"/>
  </r>
  <r>
    <n v="198"/>
    <x v="8"/>
    <n v="1"/>
    <n v="0"/>
    <n v="1"/>
    <x v="12"/>
    <x v="3"/>
    <x v="0"/>
    <x v="1"/>
    <x v="0"/>
    <n v="0.18"/>
    <x v="0"/>
    <n v="0.13639999999999999"/>
    <n v="0.37"/>
    <x v="2"/>
    <n v="0.44779999999999998"/>
    <x v="2"/>
    <x v="17"/>
    <x v="55"/>
    <x v="56"/>
    <x v="1"/>
  </r>
  <r>
    <n v="199"/>
    <x v="8"/>
    <n v="1"/>
    <n v="0"/>
    <n v="1"/>
    <x v="13"/>
    <x v="3"/>
    <x v="0"/>
    <x v="1"/>
    <x v="0"/>
    <n v="0.2"/>
    <x v="0"/>
    <n v="0.16669999999999999"/>
    <n v="0.34"/>
    <x v="2"/>
    <n v="0.44779999999999998"/>
    <x v="2"/>
    <x v="15"/>
    <x v="94"/>
    <x v="28"/>
    <x v="1"/>
  </r>
  <r>
    <n v="200"/>
    <x v="8"/>
    <n v="1"/>
    <n v="0"/>
    <n v="1"/>
    <x v="14"/>
    <x v="3"/>
    <x v="0"/>
    <x v="1"/>
    <x v="0"/>
    <n v="0.22"/>
    <x v="0"/>
    <n v="0.18179999999999999"/>
    <n v="0.32"/>
    <x v="2"/>
    <n v="0.4627"/>
    <x v="2"/>
    <x v="1"/>
    <x v="27"/>
    <x v="44"/>
    <x v="1"/>
  </r>
  <r>
    <n v="201"/>
    <x v="8"/>
    <n v="1"/>
    <n v="0"/>
    <n v="1"/>
    <x v="15"/>
    <x v="3"/>
    <x v="0"/>
    <x v="1"/>
    <x v="0"/>
    <n v="0.22"/>
    <x v="0"/>
    <n v="0.19700000000000001"/>
    <n v="0.35"/>
    <x v="2"/>
    <n v="0.35820000000000002"/>
    <x v="1"/>
    <x v="2"/>
    <x v="99"/>
    <x v="100"/>
    <x v="1"/>
  </r>
  <r>
    <n v="202"/>
    <x v="8"/>
    <n v="1"/>
    <n v="0"/>
    <n v="1"/>
    <x v="16"/>
    <x v="3"/>
    <x v="0"/>
    <x v="1"/>
    <x v="0"/>
    <n v="0.2"/>
    <x v="0"/>
    <n v="0.16669999999999999"/>
    <n v="0.34"/>
    <x v="2"/>
    <n v="0.44779999999999998"/>
    <x v="2"/>
    <x v="23"/>
    <x v="55"/>
    <x v="101"/>
    <x v="1"/>
  </r>
  <r>
    <n v="203"/>
    <x v="8"/>
    <n v="1"/>
    <n v="0"/>
    <n v="1"/>
    <x v="17"/>
    <x v="4"/>
    <x v="0"/>
    <x v="1"/>
    <x v="0"/>
    <n v="0.18"/>
    <x v="0"/>
    <n v="0.1515"/>
    <n v="0.37"/>
    <x v="2"/>
    <n v="0.3881"/>
    <x v="1"/>
    <x v="0"/>
    <x v="79"/>
    <x v="69"/>
    <x v="0"/>
  </r>
  <r>
    <n v="204"/>
    <x v="8"/>
    <n v="1"/>
    <n v="0"/>
    <n v="1"/>
    <x v="18"/>
    <x v="4"/>
    <x v="0"/>
    <x v="1"/>
    <x v="0"/>
    <n v="0.16"/>
    <x v="0"/>
    <n v="0.13639999999999999"/>
    <n v="0.4"/>
    <x v="2"/>
    <n v="0.32840000000000003"/>
    <x v="1"/>
    <x v="17"/>
    <x v="100"/>
    <x v="61"/>
    <x v="0"/>
  </r>
  <r>
    <n v="205"/>
    <x v="8"/>
    <n v="1"/>
    <n v="0"/>
    <n v="1"/>
    <x v="19"/>
    <x v="4"/>
    <x v="0"/>
    <x v="1"/>
    <x v="0"/>
    <n v="0.16"/>
    <x v="0"/>
    <n v="0.13639999999999999"/>
    <n v="0.43"/>
    <x v="1"/>
    <n v="0.32840000000000003"/>
    <x v="1"/>
    <x v="5"/>
    <x v="71"/>
    <x v="102"/>
    <x v="0"/>
  </r>
  <r>
    <n v="206"/>
    <x v="8"/>
    <n v="1"/>
    <n v="0"/>
    <n v="1"/>
    <x v="20"/>
    <x v="4"/>
    <x v="0"/>
    <x v="1"/>
    <x v="0"/>
    <n v="0.14000000000000001"/>
    <x v="3"/>
    <n v="0.1212"/>
    <n v="0.46"/>
    <x v="1"/>
    <n v="0.25369999999999998"/>
    <x v="1"/>
    <x v="3"/>
    <x v="101"/>
    <x v="103"/>
    <x v="0"/>
  </r>
  <r>
    <n v="207"/>
    <x v="8"/>
    <n v="1"/>
    <n v="0"/>
    <n v="1"/>
    <x v="21"/>
    <x v="0"/>
    <x v="0"/>
    <x v="1"/>
    <x v="0"/>
    <n v="0.14000000000000001"/>
    <x v="3"/>
    <n v="0.1061"/>
    <n v="0.46"/>
    <x v="1"/>
    <n v="0.41789999999999999"/>
    <x v="2"/>
    <x v="5"/>
    <x v="23"/>
    <x v="25"/>
    <x v="0"/>
  </r>
  <r>
    <n v="208"/>
    <x v="8"/>
    <n v="1"/>
    <n v="0"/>
    <n v="1"/>
    <x v="22"/>
    <x v="0"/>
    <x v="0"/>
    <x v="1"/>
    <x v="0"/>
    <n v="0.14000000000000001"/>
    <x v="3"/>
    <n v="0.1212"/>
    <n v="0.46"/>
    <x v="1"/>
    <n v="0.29849999999999999"/>
    <x v="1"/>
    <x v="2"/>
    <x v="3"/>
    <x v="93"/>
    <x v="0"/>
  </r>
  <r>
    <n v="209"/>
    <x v="8"/>
    <n v="1"/>
    <n v="0"/>
    <n v="1"/>
    <x v="23"/>
    <x v="0"/>
    <x v="0"/>
    <x v="1"/>
    <x v="0"/>
    <n v="0.12"/>
    <x v="3"/>
    <n v="0.13639999999999999"/>
    <n v="0.5"/>
    <x v="1"/>
    <n v="0.19400000000000001"/>
    <x v="0"/>
    <x v="3"/>
    <x v="8"/>
    <x v="24"/>
    <x v="0"/>
  </r>
  <r>
    <n v="210"/>
    <x v="9"/>
    <n v="1"/>
    <n v="0"/>
    <n v="1"/>
    <x v="0"/>
    <x v="0"/>
    <x v="0"/>
    <x v="2"/>
    <x v="0"/>
    <n v="0.12"/>
    <x v="3"/>
    <n v="0.1212"/>
    <n v="0.5"/>
    <x v="1"/>
    <n v="0.28360000000000002"/>
    <x v="1"/>
    <x v="4"/>
    <x v="35"/>
    <x v="36"/>
    <x v="0"/>
  </r>
  <r>
    <n v="211"/>
    <x v="9"/>
    <n v="1"/>
    <n v="0"/>
    <n v="1"/>
    <x v="1"/>
    <x v="0"/>
    <x v="0"/>
    <x v="2"/>
    <x v="0"/>
    <n v="0.12"/>
    <x v="3"/>
    <n v="0.1212"/>
    <n v="0.5"/>
    <x v="1"/>
    <n v="0.28360000000000002"/>
    <x v="1"/>
    <x v="5"/>
    <x v="5"/>
    <x v="4"/>
    <x v="0"/>
  </r>
  <r>
    <n v="212"/>
    <x v="9"/>
    <n v="1"/>
    <n v="0"/>
    <n v="1"/>
    <x v="2"/>
    <x v="0"/>
    <x v="0"/>
    <x v="2"/>
    <x v="0"/>
    <n v="0.12"/>
    <x v="3"/>
    <n v="0.1212"/>
    <n v="0.5"/>
    <x v="1"/>
    <n v="0.22389999999999999"/>
    <x v="1"/>
    <x v="3"/>
    <x v="35"/>
    <x v="6"/>
    <x v="0"/>
  </r>
  <r>
    <n v="213"/>
    <x v="9"/>
    <n v="1"/>
    <n v="0"/>
    <n v="1"/>
    <x v="3"/>
    <x v="0"/>
    <x v="0"/>
    <x v="2"/>
    <x v="0"/>
    <n v="0.12"/>
    <x v="3"/>
    <n v="0.1212"/>
    <n v="0.5"/>
    <x v="1"/>
    <n v="0.22389999999999999"/>
    <x v="1"/>
    <x v="3"/>
    <x v="4"/>
    <x v="4"/>
    <x v="0"/>
  </r>
  <r>
    <n v="214"/>
    <x v="9"/>
    <n v="1"/>
    <n v="0"/>
    <n v="1"/>
    <x v="4"/>
    <x v="1"/>
    <x v="0"/>
    <x v="2"/>
    <x v="0"/>
    <n v="0.1"/>
    <x v="3"/>
    <n v="0.1212"/>
    <n v="0.54"/>
    <x v="1"/>
    <n v="0.1343"/>
    <x v="0"/>
    <x v="5"/>
    <x v="6"/>
    <x v="6"/>
    <x v="0"/>
  </r>
  <r>
    <n v="215"/>
    <x v="9"/>
    <n v="1"/>
    <n v="0"/>
    <n v="1"/>
    <x v="5"/>
    <x v="1"/>
    <x v="0"/>
    <x v="2"/>
    <x v="0"/>
    <n v="0.1"/>
    <x v="3"/>
    <n v="0.1061"/>
    <n v="0.54"/>
    <x v="1"/>
    <n v="0.25369999999999998"/>
    <x v="1"/>
    <x v="3"/>
    <x v="35"/>
    <x v="6"/>
    <x v="0"/>
  </r>
  <r>
    <n v="216"/>
    <x v="9"/>
    <n v="1"/>
    <n v="0"/>
    <n v="1"/>
    <x v="6"/>
    <x v="1"/>
    <x v="0"/>
    <x v="2"/>
    <x v="0"/>
    <n v="0.12"/>
    <x v="3"/>
    <n v="0.1212"/>
    <n v="0.5"/>
    <x v="1"/>
    <n v="0.28360000000000002"/>
    <x v="1"/>
    <x v="3"/>
    <x v="17"/>
    <x v="35"/>
    <x v="0"/>
  </r>
  <r>
    <n v="217"/>
    <x v="9"/>
    <n v="1"/>
    <n v="0"/>
    <n v="1"/>
    <x v="7"/>
    <x v="2"/>
    <x v="0"/>
    <x v="2"/>
    <x v="0"/>
    <n v="0.12"/>
    <x v="3"/>
    <n v="0.1212"/>
    <n v="0.5"/>
    <x v="1"/>
    <n v="0.22389999999999999"/>
    <x v="1"/>
    <x v="4"/>
    <x v="102"/>
    <x v="43"/>
    <x v="1"/>
  </r>
  <r>
    <n v="218"/>
    <x v="9"/>
    <n v="1"/>
    <n v="0"/>
    <n v="1"/>
    <x v="8"/>
    <x v="2"/>
    <x v="0"/>
    <x v="2"/>
    <x v="1"/>
    <n v="0.12"/>
    <x v="3"/>
    <n v="0.1212"/>
    <n v="0.5"/>
    <x v="1"/>
    <n v="0.28360000000000002"/>
    <x v="1"/>
    <x v="17"/>
    <x v="103"/>
    <x v="104"/>
    <x v="2"/>
  </r>
  <r>
    <n v="219"/>
    <x v="9"/>
    <n v="1"/>
    <n v="0"/>
    <n v="1"/>
    <x v="9"/>
    <x v="2"/>
    <x v="0"/>
    <x v="2"/>
    <x v="1"/>
    <n v="0.14000000000000001"/>
    <x v="3"/>
    <n v="0.1212"/>
    <n v="0.5"/>
    <x v="1"/>
    <n v="0.25369999999999998"/>
    <x v="1"/>
    <x v="4"/>
    <x v="50"/>
    <x v="12"/>
    <x v="1"/>
  </r>
  <r>
    <n v="220"/>
    <x v="9"/>
    <n v="1"/>
    <n v="0"/>
    <n v="1"/>
    <x v="10"/>
    <x v="2"/>
    <x v="0"/>
    <x v="2"/>
    <x v="1"/>
    <n v="0.14000000000000001"/>
    <x v="3"/>
    <n v="0.1212"/>
    <n v="0.5"/>
    <x v="1"/>
    <n v="0.29849999999999999"/>
    <x v="1"/>
    <x v="3"/>
    <x v="17"/>
    <x v="35"/>
    <x v="0"/>
  </r>
  <r>
    <n v="221"/>
    <x v="9"/>
    <n v="1"/>
    <n v="0"/>
    <n v="1"/>
    <x v="11"/>
    <x v="3"/>
    <x v="0"/>
    <x v="2"/>
    <x v="1"/>
    <n v="0.16"/>
    <x v="0"/>
    <n v="0.13639999999999999"/>
    <n v="0.47"/>
    <x v="1"/>
    <n v="0.28360000000000002"/>
    <x v="1"/>
    <x v="4"/>
    <x v="95"/>
    <x v="33"/>
    <x v="0"/>
  </r>
  <r>
    <n v="222"/>
    <x v="9"/>
    <n v="1"/>
    <n v="0"/>
    <n v="1"/>
    <x v="12"/>
    <x v="3"/>
    <x v="0"/>
    <x v="2"/>
    <x v="1"/>
    <n v="0.2"/>
    <x v="0"/>
    <n v="0.18179999999999999"/>
    <n v="0.4"/>
    <x v="2"/>
    <n v="0.28360000000000002"/>
    <x v="1"/>
    <x v="2"/>
    <x v="12"/>
    <x v="46"/>
    <x v="0"/>
  </r>
  <r>
    <n v="223"/>
    <x v="9"/>
    <n v="1"/>
    <n v="0"/>
    <n v="1"/>
    <x v="13"/>
    <x v="3"/>
    <x v="0"/>
    <x v="2"/>
    <x v="1"/>
    <n v="0.2"/>
    <x v="0"/>
    <n v="0.18179999999999999"/>
    <n v="0.4"/>
    <x v="2"/>
    <n v="0.28360000000000002"/>
    <x v="1"/>
    <x v="17"/>
    <x v="54"/>
    <x v="60"/>
    <x v="0"/>
  </r>
  <r>
    <n v="224"/>
    <x v="9"/>
    <n v="1"/>
    <n v="0"/>
    <n v="1"/>
    <x v="14"/>
    <x v="3"/>
    <x v="0"/>
    <x v="2"/>
    <x v="1"/>
    <n v="0.2"/>
    <x v="0"/>
    <n v="0.19700000000000001"/>
    <n v="0.4"/>
    <x v="2"/>
    <n v="0.22389999999999999"/>
    <x v="1"/>
    <x v="3"/>
    <x v="12"/>
    <x v="105"/>
    <x v="0"/>
  </r>
  <r>
    <n v="225"/>
    <x v="9"/>
    <n v="1"/>
    <n v="0"/>
    <n v="1"/>
    <x v="15"/>
    <x v="3"/>
    <x v="0"/>
    <x v="2"/>
    <x v="1"/>
    <n v="0.2"/>
    <x v="0"/>
    <n v="0.19700000000000001"/>
    <n v="0.4"/>
    <x v="2"/>
    <n v="0.22389999999999999"/>
    <x v="1"/>
    <x v="4"/>
    <x v="30"/>
    <x v="79"/>
    <x v="0"/>
  </r>
  <r>
    <n v="226"/>
    <x v="9"/>
    <n v="1"/>
    <n v="0"/>
    <n v="1"/>
    <x v="16"/>
    <x v="3"/>
    <x v="0"/>
    <x v="2"/>
    <x v="0"/>
    <n v="0.2"/>
    <x v="0"/>
    <n v="0.21210000000000001"/>
    <n v="0.4"/>
    <x v="2"/>
    <n v="0.1343"/>
    <x v="0"/>
    <x v="17"/>
    <x v="14"/>
    <x v="30"/>
    <x v="1"/>
  </r>
  <r>
    <n v="227"/>
    <x v="9"/>
    <n v="1"/>
    <n v="0"/>
    <n v="1"/>
    <x v="17"/>
    <x v="4"/>
    <x v="0"/>
    <x v="2"/>
    <x v="0"/>
    <n v="0.2"/>
    <x v="0"/>
    <n v="0.2273"/>
    <n v="0.4"/>
    <x v="2"/>
    <n v="0.1045"/>
    <x v="0"/>
    <x v="17"/>
    <x v="104"/>
    <x v="106"/>
    <x v="2"/>
  </r>
  <r>
    <n v="228"/>
    <x v="9"/>
    <n v="1"/>
    <n v="0"/>
    <n v="1"/>
    <x v="18"/>
    <x v="4"/>
    <x v="0"/>
    <x v="2"/>
    <x v="0"/>
    <n v="0.2"/>
    <x v="0"/>
    <n v="0.19700000000000001"/>
    <n v="0.4"/>
    <x v="2"/>
    <n v="0.22389999999999999"/>
    <x v="1"/>
    <x v="5"/>
    <x v="105"/>
    <x v="107"/>
    <x v="1"/>
  </r>
  <r>
    <n v="229"/>
    <x v="9"/>
    <n v="1"/>
    <n v="0"/>
    <n v="1"/>
    <x v="19"/>
    <x v="4"/>
    <x v="0"/>
    <x v="2"/>
    <x v="0"/>
    <n v="0.16"/>
    <x v="0"/>
    <n v="0.16669999999999999"/>
    <n v="0.47"/>
    <x v="1"/>
    <n v="0.16420000000000001"/>
    <x v="0"/>
    <x v="0"/>
    <x v="50"/>
    <x v="76"/>
    <x v="1"/>
  </r>
  <r>
    <n v="230"/>
    <x v="9"/>
    <n v="1"/>
    <n v="0"/>
    <n v="1"/>
    <x v="20"/>
    <x v="4"/>
    <x v="0"/>
    <x v="2"/>
    <x v="0"/>
    <n v="0.16"/>
    <x v="0"/>
    <n v="0.16669999999999999"/>
    <n v="0.5"/>
    <x v="1"/>
    <n v="0.16420000000000001"/>
    <x v="0"/>
    <x v="5"/>
    <x v="26"/>
    <x v="30"/>
    <x v="1"/>
  </r>
  <r>
    <n v="231"/>
    <x v="9"/>
    <n v="1"/>
    <n v="0"/>
    <n v="1"/>
    <x v="21"/>
    <x v="0"/>
    <x v="0"/>
    <x v="2"/>
    <x v="0"/>
    <n v="0.14000000000000001"/>
    <x v="3"/>
    <n v="0.13639999999999999"/>
    <n v="0.59"/>
    <x v="1"/>
    <n v="0.19400000000000001"/>
    <x v="0"/>
    <x v="5"/>
    <x v="53"/>
    <x v="103"/>
    <x v="0"/>
  </r>
  <r>
    <n v="232"/>
    <x v="9"/>
    <n v="1"/>
    <n v="0"/>
    <n v="1"/>
    <x v="22"/>
    <x v="0"/>
    <x v="0"/>
    <x v="2"/>
    <x v="0"/>
    <n v="0.14000000000000001"/>
    <x v="3"/>
    <n v="0.1515"/>
    <n v="0.59"/>
    <x v="1"/>
    <n v="0.16420000000000001"/>
    <x v="0"/>
    <x v="4"/>
    <x v="97"/>
    <x v="108"/>
    <x v="0"/>
  </r>
  <r>
    <n v="233"/>
    <x v="9"/>
    <n v="1"/>
    <n v="0"/>
    <n v="1"/>
    <x v="23"/>
    <x v="0"/>
    <x v="0"/>
    <x v="2"/>
    <x v="0"/>
    <n v="0.14000000000000001"/>
    <x v="3"/>
    <n v="0.1515"/>
    <n v="0.59"/>
    <x v="1"/>
    <n v="0.16420000000000001"/>
    <x v="0"/>
    <x v="3"/>
    <x v="72"/>
    <x v="109"/>
    <x v="0"/>
  </r>
  <r>
    <n v="234"/>
    <x v="10"/>
    <n v="1"/>
    <n v="0"/>
    <n v="1"/>
    <x v="0"/>
    <x v="0"/>
    <x v="0"/>
    <x v="3"/>
    <x v="0"/>
    <n v="0.14000000000000001"/>
    <x v="3"/>
    <n v="0.16669999999999999"/>
    <n v="0.59"/>
    <x v="1"/>
    <n v="0.1045"/>
    <x v="0"/>
    <x v="4"/>
    <x v="3"/>
    <x v="47"/>
    <x v="0"/>
  </r>
  <r>
    <n v="235"/>
    <x v="10"/>
    <n v="1"/>
    <n v="0"/>
    <n v="1"/>
    <x v="1"/>
    <x v="0"/>
    <x v="0"/>
    <x v="3"/>
    <x v="0"/>
    <n v="0.14000000000000001"/>
    <x v="3"/>
    <n v="0.1515"/>
    <n v="0.59"/>
    <x v="1"/>
    <n v="0.16420000000000001"/>
    <x v="0"/>
    <x v="3"/>
    <x v="35"/>
    <x v="6"/>
    <x v="0"/>
  </r>
  <r>
    <n v="236"/>
    <x v="10"/>
    <n v="1"/>
    <n v="0"/>
    <n v="1"/>
    <x v="2"/>
    <x v="0"/>
    <x v="0"/>
    <x v="3"/>
    <x v="1"/>
    <n v="0.16"/>
    <x v="0"/>
    <n v="0.1515"/>
    <n v="0.55000000000000004"/>
    <x v="1"/>
    <n v="0.19400000000000001"/>
    <x v="0"/>
    <x v="3"/>
    <x v="35"/>
    <x v="6"/>
    <x v="0"/>
  </r>
  <r>
    <n v="237"/>
    <x v="10"/>
    <n v="1"/>
    <n v="0"/>
    <n v="1"/>
    <x v="5"/>
    <x v="1"/>
    <x v="0"/>
    <x v="3"/>
    <x v="1"/>
    <n v="0.16"/>
    <x v="0"/>
    <n v="0.18179999999999999"/>
    <n v="0.55000000000000004"/>
    <x v="1"/>
    <n v="0.1343"/>
    <x v="0"/>
    <x v="3"/>
    <x v="8"/>
    <x v="24"/>
    <x v="0"/>
  </r>
  <r>
    <n v="238"/>
    <x v="10"/>
    <n v="1"/>
    <n v="0"/>
    <n v="1"/>
    <x v="6"/>
    <x v="1"/>
    <x v="0"/>
    <x v="3"/>
    <x v="1"/>
    <n v="0.16"/>
    <x v="0"/>
    <n v="0.18179999999999999"/>
    <n v="0.55000000000000004"/>
    <x v="1"/>
    <n v="0.1343"/>
    <x v="0"/>
    <x v="3"/>
    <x v="2"/>
    <x v="110"/>
    <x v="0"/>
  </r>
  <r>
    <n v="239"/>
    <x v="10"/>
    <n v="1"/>
    <n v="0"/>
    <n v="1"/>
    <x v="7"/>
    <x v="2"/>
    <x v="0"/>
    <x v="3"/>
    <x v="1"/>
    <n v="0.16"/>
    <x v="0"/>
    <n v="0.2273"/>
    <n v="0.55000000000000004"/>
    <x v="1"/>
    <n v="0"/>
    <x v="0"/>
    <x v="4"/>
    <x v="106"/>
    <x v="111"/>
    <x v="1"/>
  </r>
  <r>
    <n v="240"/>
    <x v="10"/>
    <n v="1"/>
    <n v="0"/>
    <n v="1"/>
    <x v="8"/>
    <x v="2"/>
    <x v="0"/>
    <x v="3"/>
    <x v="1"/>
    <n v="0.18"/>
    <x v="0"/>
    <n v="0.21210000000000001"/>
    <n v="0.51"/>
    <x v="1"/>
    <n v="8.9599999999999999E-2"/>
    <x v="0"/>
    <x v="0"/>
    <x v="107"/>
    <x v="112"/>
    <x v="2"/>
  </r>
  <r>
    <n v="241"/>
    <x v="10"/>
    <n v="1"/>
    <n v="0"/>
    <n v="1"/>
    <x v="9"/>
    <x v="2"/>
    <x v="0"/>
    <x v="3"/>
    <x v="1"/>
    <n v="0.18"/>
    <x v="0"/>
    <n v="0.19700000000000001"/>
    <n v="0.51"/>
    <x v="1"/>
    <n v="0.16420000000000001"/>
    <x v="0"/>
    <x v="0"/>
    <x v="69"/>
    <x v="113"/>
    <x v="1"/>
  </r>
  <r>
    <n v="242"/>
    <x v="10"/>
    <n v="1"/>
    <n v="0"/>
    <n v="1"/>
    <x v="10"/>
    <x v="2"/>
    <x v="0"/>
    <x v="3"/>
    <x v="1"/>
    <n v="0.2"/>
    <x v="0"/>
    <n v="0.21210000000000001"/>
    <n v="0.51"/>
    <x v="1"/>
    <n v="0.16420000000000001"/>
    <x v="0"/>
    <x v="0"/>
    <x v="82"/>
    <x v="60"/>
    <x v="0"/>
  </r>
  <r>
    <n v="243"/>
    <x v="10"/>
    <n v="1"/>
    <n v="0"/>
    <n v="1"/>
    <x v="11"/>
    <x v="3"/>
    <x v="0"/>
    <x v="3"/>
    <x v="1"/>
    <n v="0.2"/>
    <x v="0"/>
    <n v="0.21210000000000001"/>
    <n v="0.47"/>
    <x v="1"/>
    <n v="0.1343"/>
    <x v="0"/>
    <x v="17"/>
    <x v="17"/>
    <x v="17"/>
    <x v="0"/>
  </r>
  <r>
    <n v="244"/>
    <x v="10"/>
    <n v="1"/>
    <n v="0"/>
    <n v="1"/>
    <x v="12"/>
    <x v="3"/>
    <x v="0"/>
    <x v="3"/>
    <x v="1"/>
    <n v="0.2"/>
    <x v="0"/>
    <n v="0.2273"/>
    <n v="0.51"/>
    <x v="1"/>
    <n v="0.1045"/>
    <x v="0"/>
    <x v="4"/>
    <x v="11"/>
    <x v="52"/>
    <x v="0"/>
  </r>
  <r>
    <n v="245"/>
    <x v="10"/>
    <n v="1"/>
    <n v="0"/>
    <n v="1"/>
    <x v="13"/>
    <x v="3"/>
    <x v="0"/>
    <x v="3"/>
    <x v="1"/>
    <n v="0.2"/>
    <x v="0"/>
    <n v="0.2273"/>
    <n v="0.59"/>
    <x v="1"/>
    <n v="8.9599999999999999E-2"/>
    <x v="0"/>
    <x v="15"/>
    <x v="24"/>
    <x v="46"/>
    <x v="0"/>
  </r>
  <r>
    <n v="246"/>
    <x v="10"/>
    <n v="1"/>
    <n v="0"/>
    <n v="1"/>
    <x v="14"/>
    <x v="3"/>
    <x v="0"/>
    <x v="3"/>
    <x v="1"/>
    <n v="0.2"/>
    <x v="0"/>
    <n v="0.2273"/>
    <n v="0.59"/>
    <x v="1"/>
    <n v="8.9599999999999999E-2"/>
    <x v="0"/>
    <x v="0"/>
    <x v="91"/>
    <x v="55"/>
    <x v="0"/>
  </r>
  <r>
    <n v="247"/>
    <x v="10"/>
    <n v="1"/>
    <n v="0"/>
    <n v="1"/>
    <x v="15"/>
    <x v="3"/>
    <x v="0"/>
    <x v="3"/>
    <x v="1"/>
    <n v="0.16"/>
    <x v="0"/>
    <n v="0.19700000000000001"/>
    <n v="0.8"/>
    <x v="0"/>
    <n v="8.9599999999999999E-2"/>
    <x v="0"/>
    <x v="4"/>
    <x v="108"/>
    <x v="105"/>
    <x v="0"/>
  </r>
  <r>
    <n v="248"/>
    <x v="10"/>
    <n v="1"/>
    <n v="0"/>
    <n v="1"/>
    <x v="16"/>
    <x v="3"/>
    <x v="0"/>
    <x v="3"/>
    <x v="1"/>
    <n v="0.16"/>
    <x v="0"/>
    <n v="0.1515"/>
    <n v="0.86"/>
    <x v="0"/>
    <n v="0.22389999999999999"/>
    <x v="1"/>
    <x v="17"/>
    <x v="109"/>
    <x v="31"/>
    <x v="1"/>
  </r>
  <r>
    <n v="249"/>
    <x v="10"/>
    <n v="1"/>
    <n v="0"/>
    <n v="1"/>
    <x v="17"/>
    <x v="4"/>
    <x v="0"/>
    <x v="3"/>
    <x v="1"/>
    <n v="0.16"/>
    <x v="0"/>
    <n v="0.1515"/>
    <n v="0.86"/>
    <x v="0"/>
    <n v="0.22389999999999999"/>
    <x v="1"/>
    <x v="15"/>
    <x v="110"/>
    <x v="114"/>
    <x v="1"/>
  </r>
  <r>
    <n v="250"/>
    <x v="10"/>
    <n v="1"/>
    <n v="0"/>
    <n v="1"/>
    <x v="18"/>
    <x v="4"/>
    <x v="0"/>
    <x v="3"/>
    <x v="2"/>
    <n v="0.16"/>
    <x v="0"/>
    <n v="0.18179999999999999"/>
    <n v="0.93"/>
    <x v="0"/>
    <n v="0.1045"/>
    <x v="0"/>
    <x v="5"/>
    <x v="111"/>
    <x v="76"/>
    <x v="1"/>
  </r>
  <r>
    <n v="251"/>
    <x v="10"/>
    <n v="1"/>
    <n v="0"/>
    <n v="1"/>
    <x v="19"/>
    <x v="4"/>
    <x v="0"/>
    <x v="3"/>
    <x v="2"/>
    <n v="0.16"/>
    <x v="0"/>
    <n v="0.2273"/>
    <n v="0.93"/>
    <x v="0"/>
    <n v="0"/>
    <x v="0"/>
    <x v="3"/>
    <x v="82"/>
    <x v="41"/>
    <x v="0"/>
  </r>
  <r>
    <n v="252"/>
    <x v="10"/>
    <n v="1"/>
    <n v="0"/>
    <n v="1"/>
    <x v="20"/>
    <x v="4"/>
    <x v="0"/>
    <x v="3"/>
    <x v="2"/>
    <n v="0.16"/>
    <x v="0"/>
    <n v="0.1515"/>
    <n v="0.93"/>
    <x v="0"/>
    <n v="0.19400000000000001"/>
    <x v="0"/>
    <x v="3"/>
    <x v="1"/>
    <x v="2"/>
    <x v="0"/>
  </r>
  <r>
    <n v="253"/>
    <x v="10"/>
    <n v="1"/>
    <n v="0"/>
    <n v="1"/>
    <x v="21"/>
    <x v="0"/>
    <x v="0"/>
    <x v="3"/>
    <x v="2"/>
    <n v="0.16"/>
    <x v="0"/>
    <n v="0.19700000000000001"/>
    <n v="0.86"/>
    <x v="0"/>
    <n v="8.9599999999999999E-2"/>
    <x v="0"/>
    <x v="3"/>
    <x v="32"/>
    <x v="25"/>
    <x v="0"/>
  </r>
  <r>
    <n v="254"/>
    <x v="10"/>
    <n v="1"/>
    <n v="0"/>
    <n v="1"/>
    <x v="22"/>
    <x v="0"/>
    <x v="0"/>
    <x v="3"/>
    <x v="2"/>
    <n v="0.16"/>
    <x v="0"/>
    <n v="0.18179999999999999"/>
    <n v="0.93"/>
    <x v="0"/>
    <n v="0.1045"/>
    <x v="0"/>
    <x v="5"/>
    <x v="95"/>
    <x v="115"/>
    <x v="0"/>
  </r>
  <r>
    <n v="255"/>
    <x v="10"/>
    <n v="1"/>
    <n v="0"/>
    <n v="1"/>
    <x v="23"/>
    <x v="0"/>
    <x v="0"/>
    <x v="3"/>
    <x v="2"/>
    <n v="0.16"/>
    <x v="0"/>
    <n v="0.19700000000000001"/>
    <n v="0.93"/>
    <x v="0"/>
    <n v="8.9599999999999999E-2"/>
    <x v="0"/>
    <x v="5"/>
    <x v="72"/>
    <x v="75"/>
    <x v="0"/>
  </r>
  <r>
    <n v="256"/>
    <x v="11"/>
    <n v="1"/>
    <n v="0"/>
    <n v="1"/>
    <x v="0"/>
    <x v="0"/>
    <x v="0"/>
    <x v="4"/>
    <x v="1"/>
    <n v="0.16"/>
    <x v="0"/>
    <n v="0.19700000000000001"/>
    <n v="0.86"/>
    <x v="0"/>
    <n v="8.9599999999999999E-2"/>
    <x v="0"/>
    <x v="3"/>
    <x v="7"/>
    <x v="85"/>
    <x v="0"/>
  </r>
  <r>
    <n v="257"/>
    <x v="11"/>
    <n v="1"/>
    <n v="0"/>
    <n v="1"/>
    <x v="1"/>
    <x v="0"/>
    <x v="0"/>
    <x v="4"/>
    <x v="1"/>
    <n v="0.16"/>
    <x v="0"/>
    <n v="0.18179999999999999"/>
    <n v="0.86"/>
    <x v="0"/>
    <n v="0.1045"/>
    <x v="0"/>
    <x v="3"/>
    <x v="8"/>
    <x v="24"/>
    <x v="0"/>
  </r>
  <r>
    <n v="258"/>
    <x v="11"/>
    <n v="1"/>
    <n v="0"/>
    <n v="1"/>
    <x v="2"/>
    <x v="0"/>
    <x v="0"/>
    <x v="4"/>
    <x v="0"/>
    <n v="0.14000000000000001"/>
    <x v="3"/>
    <n v="0.1515"/>
    <n v="0.86"/>
    <x v="0"/>
    <n v="0.1343"/>
    <x v="0"/>
    <x v="3"/>
    <x v="4"/>
    <x v="4"/>
    <x v="0"/>
  </r>
  <r>
    <n v="259"/>
    <x v="11"/>
    <n v="1"/>
    <n v="0"/>
    <n v="1"/>
    <x v="5"/>
    <x v="1"/>
    <x v="0"/>
    <x v="4"/>
    <x v="0"/>
    <n v="0.14000000000000001"/>
    <x v="3"/>
    <n v="0.1515"/>
    <n v="0.86"/>
    <x v="0"/>
    <n v="0.16420000000000001"/>
    <x v="0"/>
    <x v="3"/>
    <x v="34"/>
    <x v="36"/>
    <x v="0"/>
  </r>
  <r>
    <n v="260"/>
    <x v="11"/>
    <n v="1"/>
    <n v="0"/>
    <n v="1"/>
    <x v="6"/>
    <x v="1"/>
    <x v="0"/>
    <x v="4"/>
    <x v="0"/>
    <n v="0.12"/>
    <x v="3"/>
    <n v="0.1515"/>
    <n v="0.93"/>
    <x v="0"/>
    <n v="0.1343"/>
    <x v="0"/>
    <x v="3"/>
    <x v="20"/>
    <x v="0"/>
    <x v="0"/>
  </r>
  <r>
    <n v="261"/>
    <x v="11"/>
    <n v="1"/>
    <n v="0"/>
    <n v="1"/>
    <x v="7"/>
    <x v="2"/>
    <x v="0"/>
    <x v="4"/>
    <x v="0"/>
    <n v="0.14000000000000001"/>
    <x v="3"/>
    <n v="0.1515"/>
    <n v="0.69"/>
    <x v="0"/>
    <n v="0.1343"/>
    <x v="0"/>
    <x v="3"/>
    <x v="25"/>
    <x v="60"/>
    <x v="0"/>
  </r>
  <r>
    <n v="262"/>
    <x v="11"/>
    <n v="1"/>
    <n v="0"/>
    <n v="1"/>
    <x v="8"/>
    <x v="2"/>
    <x v="0"/>
    <x v="4"/>
    <x v="0"/>
    <n v="0.16"/>
    <x v="0"/>
    <n v="0.16669999999999999"/>
    <n v="0.59"/>
    <x v="1"/>
    <n v="0.16420000000000001"/>
    <x v="0"/>
    <x v="0"/>
    <x v="85"/>
    <x v="116"/>
    <x v="1"/>
  </r>
  <r>
    <n v="263"/>
    <x v="11"/>
    <n v="1"/>
    <n v="0"/>
    <n v="1"/>
    <x v="9"/>
    <x v="2"/>
    <x v="0"/>
    <x v="4"/>
    <x v="0"/>
    <n v="0.16"/>
    <x v="0"/>
    <n v="0.13639999999999999"/>
    <n v="0.59"/>
    <x v="1"/>
    <n v="0.32840000000000003"/>
    <x v="1"/>
    <x v="0"/>
    <x v="78"/>
    <x v="117"/>
    <x v="1"/>
  </r>
  <r>
    <n v="264"/>
    <x v="11"/>
    <n v="1"/>
    <n v="0"/>
    <n v="1"/>
    <x v="10"/>
    <x v="2"/>
    <x v="0"/>
    <x v="4"/>
    <x v="0"/>
    <n v="0.18"/>
    <x v="0"/>
    <n v="0.18179999999999999"/>
    <n v="0.55000000000000004"/>
    <x v="1"/>
    <n v="0.22389999999999999"/>
    <x v="1"/>
    <x v="3"/>
    <x v="87"/>
    <x v="21"/>
    <x v="0"/>
  </r>
  <r>
    <n v="265"/>
    <x v="11"/>
    <n v="1"/>
    <n v="0"/>
    <n v="1"/>
    <x v="11"/>
    <x v="3"/>
    <x v="0"/>
    <x v="4"/>
    <x v="0"/>
    <n v="0.2"/>
    <x v="0"/>
    <n v="0.18179999999999999"/>
    <n v="0.51"/>
    <x v="1"/>
    <n v="0.3881"/>
    <x v="1"/>
    <x v="0"/>
    <x v="1"/>
    <x v="17"/>
    <x v="0"/>
  </r>
  <r>
    <n v="266"/>
    <x v="11"/>
    <n v="1"/>
    <n v="0"/>
    <n v="1"/>
    <x v="12"/>
    <x v="3"/>
    <x v="0"/>
    <x v="4"/>
    <x v="0"/>
    <n v="0.2"/>
    <x v="0"/>
    <n v="0.1515"/>
    <n v="0.47"/>
    <x v="1"/>
    <n v="0.58209999999999995"/>
    <x v="2"/>
    <x v="0"/>
    <x v="15"/>
    <x v="97"/>
    <x v="0"/>
  </r>
  <r>
    <n v="267"/>
    <x v="11"/>
    <n v="1"/>
    <n v="0"/>
    <n v="1"/>
    <x v="13"/>
    <x v="3"/>
    <x v="0"/>
    <x v="4"/>
    <x v="0"/>
    <n v="0.22"/>
    <x v="0"/>
    <n v="0.19700000000000001"/>
    <n v="0.44"/>
    <x v="1"/>
    <n v="0.35820000000000002"/>
    <x v="1"/>
    <x v="3"/>
    <x v="47"/>
    <x v="99"/>
    <x v="0"/>
  </r>
  <r>
    <n v="268"/>
    <x v="11"/>
    <n v="1"/>
    <n v="0"/>
    <n v="1"/>
    <x v="14"/>
    <x v="3"/>
    <x v="0"/>
    <x v="4"/>
    <x v="0"/>
    <n v="0.2"/>
    <x v="0"/>
    <n v="0.18179999999999999"/>
    <n v="0.47"/>
    <x v="1"/>
    <n v="0.32840000000000003"/>
    <x v="1"/>
    <x v="3"/>
    <x v="100"/>
    <x v="40"/>
    <x v="0"/>
  </r>
  <r>
    <n v="269"/>
    <x v="11"/>
    <n v="1"/>
    <n v="0"/>
    <n v="1"/>
    <x v="15"/>
    <x v="3"/>
    <x v="0"/>
    <x v="4"/>
    <x v="0"/>
    <n v="0.2"/>
    <x v="0"/>
    <n v="0.16669999999999999"/>
    <n v="0.47"/>
    <x v="1"/>
    <n v="0.41789999999999999"/>
    <x v="2"/>
    <x v="5"/>
    <x v="41"/>
    <x v="99"/>
    <x v="0"/>
  </r>
  <r>
    <n v="270"/>
    <x v="11"/>
    <n v="1"/>
    <n v="0"/>
    <n v="1"/>
    <x v="16"/>
    <x v="3"/>
    <x v="0"/>
    <x v="4"/>
    <x v="0"/>
    <n v="0.22"/>
    <x v="0"/>
    <n v="0.19700000000000001"/>
    <n v="0.44"/>
    <x v="1"/>
    <n v="0.32840000000000003"/>
    <x v="1"/>
    <x v="2"/>
    <x v="36"/>
    <x v="118"/>
    <x v="0"/>
  </r>
  <r>
    <n v="271"/>
    <x v="11"/>
    <n v="1"/>
    <n v="0"/>
    <n v="1"/>
    <x v="17"/>
    <x v="4"/>
    <x v="0"/>
    <x v="4"/>
    <x v="0"/>
    <n v="0.2"/>
    <x v="0"/>
    <n v="0.18179999999999999"/>
    <n v="0.47"/>
    <x v="1"/>
    <n v="0.35820000000000002"/>
    <x v="1"/>
    <x v="3"/>
    <x v="112"/>
    <x v="119"/>
    <x v="1"/>
  </r>
  <r>
    <n v="272"/>
    <x v="11"/>
    <n v="1"/>
    <n v="0"/>
    <n v="1"/>
    <x v="18"/>
    <x v="4"/>
    <x v="0"/>
    <x v="4"/>
    <x v="0"/>
    <n v="0.2"/>
    <x v="0"/>
    <n v="0.1515"/>
    <n v="0.47"/>
    <x v="1"/>
    <n v="0.52239999999999998"/>
    <x v="2"/>
    <x v="4"/>
    <x v="113"/>
    <x v="120"/>
    <x v="1"/>
  </r>
  <r>
    <n v="273"/>
    <x v="11"/>
    <n v="1"/>
    <n v="0"/>
    <n v="1"/>
    <x v="19"/>
    <x v="4"/>
    <x v="0"/>
    <x v="4"/>
    <x v="0"/>
    <n v="0.18"/>
    <x v="0"/>
    <n v="0.1515"/>
    <n v="0.47"/>
    <x v="1"/>
    <n v="0.41789999999999999"/>
    <x v="2"/>
    <x v="5"/>
    <x v="70"/>
    <x v="56"/>
    <x v="1"/>
  </r>
  <r>
    <n v="274"/>
    <x v="11"/>
    <n v="1"/>
    <n v="0"/>
    <n v="1"/>
    <x v="20"/>
    <x v="4"/>
    <x v="0"/>
    <x v="4"/>
    <x v="0"/>
    <n v="0.16"/>
    <x v="0"/>
    <n v="0.13639999999999999"/>
    <n v="0.5"/>
    <x v="1"/>
    <n v="0.32840000000000003"/>
    <x v="1"/>
    <x v="4"/>
    <x v="25"/>
    <x v="10"/>
    <x v="0"/>
  </r>
  <r>
    <n v="275"/>
    <x v="11"/>
    <n v="1"/>
    <n v="0"/>
    <n v="1"/>
    <x v="21"/>
    <x v="0"/>
    <x v="0"/>
    <x v="4"/>
    <x v="0"/>
    <n v="0.16"/>
    <x v="0"/>
    <n v="0.13639999999999999"/>
    <n v="0.55000000000000004"/>
    <x v="1"/>
    <n v="0.32840000000000003"/>
    <x v="1"/>
    <x v="3"/>
    <x v="77"/>
    <x v="52"/>
    <x v="0"/>
  </r>
  <r>
    <n v="276"/>
    <x v="11"/>
    <n v="1"/>
    <n v="0"/>
    <n v="1"/>
    <x v="22"/>
    <x v="0"/>
    <x v="0"/>
    <x v="4"/>
    <x v="0"/>
    <n v="0.16"/>
    <x v="0"/>
    <n v="0.1212"/>
    <n v="0.55000000000000004"/>
    <x v="1"/>
    <n v="0.44779999999999998"/>
    <x v="2"/>
    <x v="5"/>
    <x v="1"/>
    <x v="63"/>
    <x v="0"/>
  </r>
  <r>
    <n v="277"/>
    <x v="11"/>
    <n v="1"/>
    <n v="0"/>
    <n v="1"/>
    <x v="23"/>
    <x v="0"/>
    <x v="0"/>
    <x v="4"/>
    <x v="0"/>
    <n v="0.14000000000000001"/>
    <x v="3"/>
    <n v="0.1061"/>
    <n v="0.59"/>
    <x v="1"/>
    <n v="0.41789999999999999"/>
    <x v="2"/>
    <x v="5"/>
    <x v="23"/>
    <x v="25"/>
    <x v="0"/>
  </r>
  <r>
    <n v="278"/>
    <x v="12"/>
    <n v="1"/>
    <n v="0"/>
    <n v="1"/>
    <x v="0"/>
    <x v="0"/>
    <x v="0"/>
    <x v="5"/>
    <x v="0"/>
    <n v="0.14000000000000001"/>
    <x v="3"/>
    <n v="0.1212"/>
    <n v="0.59"/>
    <x v="1"/>
    <n v="0.28360000000000002"/>
    <x v="1"/>
    <x v="5"/>
    <x v="8"/>
    <x v="85"/>
    <x v="0"/>
  </r>
  <r>
    <n v="279"/>
    <x v="12"/>
    <n v="1"/>
    <n v="0"/>
    <n v="1"/>
    <x v="1"/>
    <x v="0"/>
    <x v="0"/>
    <x v="5"/>
    <x v="0"/>
    <n v="0.14000000000000001"/>
    <x v="3"/>
    <n v="0.1212"/>
    <n v="0.5"/>
    <x v="1"/>
    <n v="0.28360000000000002"/>
    <x v="1"/>
    <x v="3"/>
    <x v="6"/>
    <x v="5"/>
    <x v="0"/>
  </r>
  <r>
    <n v="280"/>
    <x v="12"/>
    <n v="1"/>
    <n v="0"/>
    <n v="1"/>
    <x v="2"/>
    <x v="0"/>
    <x v="0"/>
    <x v="5"/>
    <x v="0"/>
    <n v="0.14000000000000001"/>
    <x v="3"/>
    <n v="0.1212"/>
    <n v="0.5"/>
    <x v="1"/>
    <n v="0.35820000000000002"/>
    <x v="1"/>
    <x v="3"/>
    <x v="6"/>
    <x v="5"/>
    <x v="0"/>
  </r>
  <r>
    <n v="281"/>
    <x v="12"/>
    <n v="1"/>
    <n v="0"/>
    <n v="1"/>
    <x v="3"/>
    <x v="0"/>
    <x v="0"/>
    <x v="5"/>
    <x v="0"/>
    <n v="0.14000000000000001"/>
    <x v="3"/>
    <n v="0.1212"/>
    <n v="0.5"/>
    <x v="1"/>
    <n v="0.32840000000000003"/>
    <x v="1"/>
    <x v="3"/>
    <x v="35"/>
    <x v="6"/>
    <x v="0"/>
  </r>
  <r>
    <n v="282"/>
    <x v="12"/>
    <n v="1"/>
    <n v="0"/>
    <n v="1"/>
    <x v="4"/>
    <x v="1"/>
    <x v="0"/>
    <x v="5"/>
    <x v="0"/>
    <n v="0.14000000000000001"/>
    <x v="3"/>
    <n v="0.1212"/>
    <n v="0.5"/>
    <x v="1"/>
    <n v="0.25369999999999998"/>
    <x v="1"/>
    <x v="3"/>
    <x v="22"/>
    <x v="48"/>
    <x v="0"/>
  </r>
  <r>
    <n v="283"/>
    <x v="12"/>
    <n v="1"/>
    <n v="0"/>
    <n v="1"/>
    <x v="5"/>
    <x v="1"/>
    <x v="0"/>
    <x v="5"/>
    <x v="0"/>
    <n v="0.14000000000000001"/>
    <x v="3"/>
    <n v="0.1212"/>
    <n v="0.5"/>
    <x v="1"/>
    <n v="0.29849999999999999"/>
    <x v="1"/>
    <x v="3"/>
    <x v="35"/>
    <x v="6"/>
    <x v="0"/>
  </r>
  <r>
    <n v="284"/>
    <x v="12"/>
    <n v="1"/>
    <n v="0"/>
    <n v="1"/>
    <x v="6"/>
    <x v="1"/>
    <x v="0"/>
    <x v="5"/>
    <x v="0"/>
    <n v="0.12"/>
    <x v="3"/>
    <n v="0.1515"/>
    <n v="0.54"/>
    <x v="1"/>
    <n v="0.1343"/>
    <x v="0"/>
    <x v="3"/>
    <x v="95"/>
    <x v="20"/>
    <x v="0"/>
  </r>
  <r>
    <n v="285"/>
    <x v="12"/>
    <n v="1"/>
    <n v="0"/>
    <n v="1"/>
    <x v="7"/>
    <x v="2"/>
    <x v="0"/>
    <x v="5"/>
    <x v="0"/>
    <n v="0.12"/>
    <x v="3"/>
    <n v="0.1515"/>
    <n v="0.54"/>
    <x v="1"/>
    <n v="0.1343"/>
    <x v="0"/>
    <x v="3"/>
    <x v="109"/>
    <x v="44"/>
    <x v="1"/>
  </r>
  <r>
    <n v="286"/>
    <x v="12"/>
    <n v="1"/>
    <n v="0"/>
    <n v="1"/>
    <x v="8"/>
    <x v="2"/>
    <x v="0"/>
    <x v="5"/>
    <x v="0"/>
    <n v="0.14000000000000001"/>
    <x v="3"/>
    <n v="0.13639999999999999"/>
    <n v="0.5"/>
    <x v="1"/>
    <n v="0.19400000000000001"/>
    <x v="0"/>
    <x v="2"/>
    <x v="114"/>
    <x v="121"/>
    <x v="2"/>
  </r>
  <r>
    <n v="287"/>
    <x v="12"/>
    <n v="1"/>
    <n v="0"/>
    <n v="1"/>
    <x v="9"/>
    <x v="2"/>
    <x v="0"/>
    <x v="5"/>
    <x v="0"/>
    <n v="0.14000000000000001"/>
    <x v="3"/>
    <n v="0.1212"/>
    <n v="0.5"/>
    <x v="1"/>
    <n v="0.32840000000000003"/>
    <x v="1"/>
    <x v="4"/>
    <x v="115"/>
    <x v="119"/>
    <x v="1"/>
  </r>
  <r>
    <n v="288"/>
    <x v="12"/>
    <n v="1"/>
    <n v="0"/>
    <n v="1"/>
    <x v="10"/>
    <x v="2"/>
    <x v="0"/>
    <x v="5"/>
    <x v="1"/>
    <n v="0.16"/>
    <x v="0"/>
    <n v="0.13639999999999999"/>
    <n v="0.5"/>
    <x v="1"/>
    <n v="0.35820000000000002"/>
    <x v="1"/>
    <x v="4"/>
    <x v="49"/>
    <x v="103"/>
    <x v="0"/>
  </r>
  <r>
    <n v="289"/>
    <x v="12"/>
    <n v="1"/>
    <n v="0"/>
    <n v="1"/>
    <x v="11"/>
    <x v="3"/>
    <x v="0"/>
    <x v="5"/>
    <x v="1"/>
    <n v="0.2"/>
    <x v="0"/>
    <n v="0.16669999999999999"/>
    <n v="0.44"/>
    <x v="1"/>
    <n v="0.44779999999999998"/>
    <x v="2"/>
    <x v="17"/>
    <x v="39"/>
    <x v="18"/>
    <x v="0"/>
  </r>
  <r>
    <n v="290"/>
    <x v="12"/>
    <n v="1"/>
    <n v="0"/>
    <n v="1"/>
    <x v="12"/>
    <x v="3"/>
    <x v="0"/>
    <x v="5"/>
    <x v="0"/>
    <n v="0.2"/>
    <x v="0"/>
    <n v="0.16669999999999999"/>
    <n v="0.44"/>
    <x v="1"/>
    <n v="0.41789999999999999"/>
    <x v="2"/>
    <x v="0"/>
    <x v="47"/>
    <x v="46"/>
    <x v="0"/>
  </r>
  <r>
    <n v="291"/>
    <x v="12"/>
    <n v="1"/>
    <n v="0"/>
    <n v="1"/>
    <x v="13"/>
    <x v="3"/>
    <x v="0"/>
    <x v="5"/>
    <x v="0"/>
    <n v="0.22"/>
    <x v="0"/>
    <n v="0.19700000000000001"/>
    <n v="0.41"/>
    <x v="1"/>
    <n v="0.44779999999999998"/>
    <x v="2"/>
    <x v="4"/>
    <x v="38"/>
    <x v="56"/>
    <x v="1"/>
  </r>
  <r>
    <n v="292"/>
    <x v="12"/>
    <n v="1"/>
    <n v="0"/>
    <n v="1"/>
    <x v="14"/>
    <x v="3"/>
    <x v="0"/>
    <x v="5"/>
    <x v="0"/>
    <n v="0.22"/>
    <x v="0"/>
    <n v="0.19700000000000001"/>
    <n v="0.41"/>
    <x v="1"/>
    <n v="0.3881"/>
    <x v="1"/>
    <x v="0"/>
    <x v="87"/>
    <x v="51"/>
    <x v="0"/>
  </r>
  <r>
    <n v="293"/>
    <x v="12"/>
    <n v="1"/>
    <n v="0"/>
    <n v="1"/>
    <x v="15"/>
    <x v="3"/>
    <x v="0"/>
    <x v="5"/>
    <x v="0"/>
    <n v="0.24"/>
    <x v="0"/>
    <n v="0.21210000000000001"/>
    <n v="0.38"/>
    <x v="2"/>
    <n v="0.29849999999999999"/>
    <x v="1"/>
    <x v="2"/>
    <x v="11"/>
    <x v="122"/>
    <x v="0"/>
  </r>
  <r>
    <n v="294"/>
    <x v="12"/>
    <n v="1"/>
    <n v="0"/>
    <n v="1"/>
    <x v="16"/>
    <x v="3"/>
    <x v="0"/>
    <x v="5"/>
    <x v="0"/>
    <n v="0.24"/>
    <x v="0"/>
    <n v="0.21210000000000001"/>
    <n v="0.38"/>
    <x v="2"/>
    <n v="0.35820000000000002"/>
    <x v="1"/>
    <x v="4"/>
    <x v="83"/>
    <x v="53"/>
    <x v="1"/>
  </r>
  <r>
    <n v="295"/>
    <x v="12"/>
    <n v="1"/>
    <n v="0"/>
    <n v="1"/>
    <x v="17"/>
    <x v="4"/>
    <x v="0"/>
    <x v="5"/>
    <x v="0"/>
    <n v="0.2"/>
    <x v="0"/>
    <n v="0.18179999999999999"/>
    <n v="0.4"/>
    <x v="2"/>
    <n v="0.28360000000000002"/>
    <x v="1"/>
    <x v="17"/>
    <x v="81"/>
    <x v="123"/>
    <x v="2"/>
  </r>
  <r>
    <n v="296"/>
    <x v="12"/>
    <n v="1"/>
    <n v="0"/>
    <n v="1"/>
    <x v="18"/>
    <x v="4"/>
    <x v="0"/>
    <x v="5"/>
    <x v="0"/>
    <n v="0.2"/>
    <x v="0"/>
    <n v="0.18179999999999999"/>
    <n v="0.4"/>
    <x v="2"/>
    <n v="0.32840000000000003"/>
    <x v="1"/>
    <x v="0"/>
    <x v="116"/>
    <x v="124"/>
    <x v="1"/>
  </r>
  <r>
    <n v="297"/>
    <x v="12"/>
    <n v="1"/>
    <n v="0"/>
    <n v="1"/>
    <x v="19"/>
    <x v="4"/>
    <x v="0"/>
    <x v="5"/>
    <x v="0"/>
    <n v="0.16"/>
    <x v="0"/>
    <n v="0.1515"/>
    <n v="0.47"/>
    <x v="1"/>
    <n v="0.25369999999999998"/>
    <x v="1"/>
    <x v="5"/>
    <x v="52"/>
    <x v="111"/>
    <x v="1"/>
  </r>
  <r>
    <n v="298"/>
    <x v="12"/>
    <n v="1"/>
    <n v="0"/>
    <n v="1"/>
    <x v="20"/>
    <x v="4"/>
    <x v="0"/>
    <x v="5"/>
    <x v="0"/>
    <n v="0.16"/>
    <x v="0"/>
    <n v="0.1515"/>
    <n v="0.47"/>
    <x v="1"/>
    <n v="0.22389999999999999"/>
    <x v="1"/>
    <x v="3"/>
    <x v="27"/>
    <x v="37"/>
    <x v="0"/>
  </r>
  <r>
    <n v="299"/>
    <x v="12"/>
    <n v="1"/>
    <n v="0"/>
    <n v="1"/>
    <x v="21"/>
    <x v="0"/>
    <x v="0"/>
    <x v="5"/>
    <x v="0"/>
    <n v="0.14000000000000001"/>
    <x v="3"/>
    <n v="0.1212"/>
    <n v="0.46"/>
    <x v="1"/>
    <n v="0.29849999999999999"/>
    <x v="1"/>
    <x v="3"/>
    <x v="71"/>
    <x v="1"/>
    <x v="0"/>
  </r>
  <r>
    <n v="300"/>
    <x v="12"/>
    <n v="1"/>
    <n v="0"/>
    <n v="1"/>
    <x v="22"/>
    <x v="0"/>
    <x v="0"/>
    <x v="5"/>
    <x v="0"/>
    <n v="0.14000000000000001"/>
    <x v="3"/>
    <n v="0.1212"/>
    <n v="0.46"/>
    <x v="1"/>
    <n v="0.32840000000000003"/>
    <x v="1"/>
    <x v="3"/>
    <x v="10"/>
    <x v="33"/>
    <x v="0"/>
  </r>
  <r>
    <n v="301"/>
    <x v="12"/>
    <n v="1"/>
    <n v="0"/>
    <n v="1"/>
    <x v="23"/>
    <x v="0"/>
    <x v="0"/>
    <x v="5"/>
    <x v="0"/>
    <n v="0.12"/>
    <x v="3"/>
    <n v="0.13639999999999999"/>
    <n v="0.5"/>
    <x v="1"/>
    <n v="0.19400000000000001"/>
    <x v="0"/>
    <x v="5"/>
    <x v="88"/>
    <x v="93"/>
    <x v="0"/>
  </r>
  <r>
    <n v="302"/>
    <x v="13"/>
    <n v="1"/>
    <n v="0"/>
    <n v="1"/>
    <x v="0"/>
    <x v="0"/>
    <x v="0"/>
    <x v="6"/>
    <x v="0"/>
    <n v="0.12"/>
    <x v="3"/>
    <n v="0.13639999999999999"/>
    <n v="0.5"/>
    <x v="1"/>
    <n v="0.19400000000000001"/>
    <x v="0"/>
    <x v="3"/>
    <x v="88"/>
    <x v="8"/>
    <x v="0"/>
  </r>
  <r>
    <n v="303"/>
    <x v="13"/>
    <n v="1"/>
    <n v="0"/>
    <n v="1"/>
    <x v="1"/>
    <x v="0"/>
    <x v="0"/>
    <x v="6"/>
    <x v="0"/>
    <n v="0.1"/>
    <x v="3"/>
    <n v="0.1212"/>
    <n v="0.54"/>
    <x v="1"/>
    <n v="0.16420000000000001"/>
    <x v="0"/>
    <x v="3"/>
    <x v="34"/>
    <x v="36"/>
    <x v="0"/>
  </r>
  <r>
    <n v="304"/>
    <x v="13"/>
    <n v="1"/>
    <n v="0"/>
    <n v="1"/>
    <x v="2"/>
    <x v="0"/>
    <x v="0"/>
    <x v="6"/>
    <x v="0"/>
    <n v="0.1"/>
    <x v="3"/>
    <n v="0.1212"/>
    <n v="0.54"/>
    <x v="1"/>
    <n v="0.1343"/>
    <x v="0"/>
    <x v="3"/>
    <x v="4"/>
    <x v="4"/>
    <x v="0"/>
  </r>
  <r>
    <n v="305"/>
    <x v="13"/>
    <n v="1"/>
    <n v="0"/>
    <n v="1"/>
    <x v="3"/>
    <x v="0"/>
    <x v="0"/>
    <x v="6"/>
    <x v="0"/>
    <n v="0.1"/>
    <x v="3"/>
    <n v="0.13639999999999999"/>
    <n v="0.54"/>
    <x v="1"/>
    <n v="0.1045"/>
    <x v="0"/>
    <x v="3"/>
    <x v="4"/>
    <x v="4"/>
    <x v="0"/>
  </r>
  <r>
    <n v="306"/>
    <x v="13"/>
    <n v="1"/>
    <n v="0"/>
    <n v="1"/>
    <x v="5"/>
    <x v="1"/>
    <x v="0"/>
    <x v="6"/>
    <x v="0"/>
    <n v="0.1"/>
    <x v="3"/>
    <n v="0.13639999999999999"/>
    <n v="0.54"/>
    <x v="1"/>
    <n v="8.9599999999999999E-2"/>
    <x v="0"/>
    <x v="3"/>
    <x v="21"/>
    <x v="7"/>
    <x v="0"/>
  </r>
  <r>
    <n v="307"/>
    <x v="13"/>
    <n v="1"/>
    <n v="0"/>
    <n v="1"/>
    <x v="6"/>
    <x v="1"/>
    <x v="0"/>
    <x v="6"/>
    <x v="0"/>
    <n v="0.1"/>
    <x v="3"/>
    <n v="0.18179999999999999"/>
    <n v="0.54"/>
    <x v="1"/>
    <n v="0"/>
    <x v="0"/>
    <x v="3"/>
    <x v="19"/>
    <x v="22"/>
    <x v="0"/>
  </r>
  <r>
    <n v="308"/>
    <x v="13"/>
    <n v="1"/>
    <n v="0"/>
    <n v="1"/>
    <x v="7"/>
    <x v="2"/>
    <x v="0"/>
    <x v="6"/>
    <x v="0"/>
    <n v="0.1"/>
    <x v="3"/>
    <n v="0.1212"/>
    <n v="0.74"/>
    <x v="0"/>
    <n v="0.16420000000000001"/>
    <x v="0"/>
    <x v="3"/>
    <x v="14"/>
    <x v="27"/>
    <x v="0"/>
  </r>
  <r>
    <n v="309"/>
    <x v="13"/>
    <n v="1"/>
    <n v="0"/>
    <n v="1"/>
    <x v="8"/>
    <x v="2"/>
    <x v="0"/>
    <x v="6"/>
    <x v="0"/>
    <n v="0.12"/>
    <x v="3"/>
    <n v="0.16669999999999999"/>
    <n v="0.68"/>
    <x v="0"/>
    <n v="0"/>
    <x v="0"/>
    <x v="4"/>
    <x v="117"/>
    <x v="125"/>
    <x v="1"/>
  </r>
  <r>
    <n v="310"/>
    <x v="13"/>
    <n v="1"/>
    <n v="0"/>
    <n v="1"/>
    <x v="9"/>
    <x v="2"/>
    <x v="0"/>
    <x v="6"/>
    <x v="0"/>
    <n v="0.14000000000000001"/>
    <x v="3"/>
    <n v="0.1515"/>
    <n v="0.69"/>
    <x v="0"/>
    <n v="0.1343"/>
    <x v="0"/>
    <x v="3"/>
    <x v="118"/>
    <x v="126"/>
    <x v="1"/>
  </r>
  <r>
    <n v="311"/>
    <x v="13"/>
    <n v="1"/>
    <n v="0"/>
    <n v="1"/>
    <x v="10"/>
    <x v="2"/>
    <x v="0"/>
    <x v="6"/>
    <x v="0"/>
    <n v="0.18"/>
    <x v="0"/>
    <n v="0.18179999999999999"/>
    <n v="0.55000000000000004"/>
    <x v="1"/>
    <n v="0.19400000000000001"/>
    <x v="0"/>
    <x v="17"/>
    <x v="71"/>
    <x v="40"/>
    <x v="0"/>
  </r>
  <r>
    <n v="312"/>
    <x v="13"/>
    <n v="1"/>
    <n v="0"/>
    <n v="1"/>
    <x v="11"/>
    <x v="3"/>
    <x v="0"/>
    <x v="6"/>
    <x v="0"/>
    <n v="0.18"/>
    <x v="0"/>
    <n v="0.16669999999999999"/>
    <n v="0.51"/>
    <x v="1"/>
    <n v="0.28360000000000002"/>
    <x v="1"/>
    <x v="15"/>
    <x v="12"/>
    <x v="26"/>
    <x v="0"/>
  </r>
  <r>
    <n v="313"/>
    <x v="13"/>
    <n v="1"/>
    <n v="0"/>
    <n v="1"/>
    <x v="12"/>
    <x v="3"/>
    <x v="0"/>
    <x v="6"/>
    <x v="0"/>
    <n v="0.2"/>
    <x v="0"/>
    <n v="0.19700000000000001"/>
    <n v="0.44"/>
    <x v="1"/>
    <n v="0.25369999999999998"/>
    <x v="1"/>
    <x v="4"/>
    <x v="79"/>
    <x v="42"/>
    <x v="0"/>
  </r>
  <r>
    <n v="314"/>
    <x v="13"/>
    <n v="1"/>
    <n v="0"/>
    <n v="1"/>
    <x v="13"/>
    <x v="3"/>
    <x v="0"/>
    <x v="6"/>
    <x v="0"/>
    <n v="0.22"/>
    <x v="0"/>
    <n v="0.19700000000000001"/>
    <n v="0.37"/>
    <x v="2"/>
    <n v="0.3881"/>
    <x v="1"/>
    <x v="17"/>
    <x v="26"/>
    <x v="43"/>
    <x v="1"/>
  </r>
  <r>
    <n v="315"/>
    <x v="13"/>
    <n v="1"/>
    <n v="0"/>
    <n v="1"/>
    <x v="14"/>
    <x v="3"/>
    <x v="0"/>
    <x v="6"/>
    <x v="0"/>
    <n v="0.22"/>
    <x v="0"/>
    <n v="0.21210000000000001"/>
    <n v="0.41"/>
    <x v="1"/>
    <n v="0.28360000000000002"/>
    <x v="1"/>
    <x v="2"/>
    <x v="79"/>
    <x v="37"/>
    <x v="0"/>
  </r>
  <r>
    <n v="316"/>
    <x v="13"/>
    <n v="1"/>
    <n v="0"/>
    <n v="1"/>
    <x v="15"/>
    <x v="3"/>
    <x v="0"/>
    <x v="6"/>
    <x v="0"/>
    <n v="0.24"/>
    <x v="0"/>
    <n v="0.2424"/>
    <n v="0.38"/>
    <x v="2"/>
    <n v="0.16420000000000001"/>
    <x v="0"/>
    <x v="14"/>
    <x v="79"/>
    <x v="118"/>
    <x v="0"/>
  </r>
  <r>
    <n v="317"/>
    <x v="13"/>
    <n v="1"/>
    <n v="0"/>
    <n v="1"/>
    <x v="16"/>
    <x v="3"/>
    <x v="0"/>
    <x v="6"/>
    <x v="0"/>
    <n v="0.22"/>
    <x v="0"/>
    <n v="0.2424"/>
    <n v="0.41"/>
    <x v="1"/>
    <n v="0.1045"/>
    <x v="0"/>
    <x v="0"/>
    <x v="61"/>
    <x v="127"/>
    <x v="1"/>
  </r>
  <r>
    <n v="318"/>
    <x v="13"/>
    <n v="1"/>
    <n v="0"/>
    <n v="1"/>
    <x v="17"/>
    <x v="4"/>
    <x v="0"/>
    <x v="6"/>
    <x v="0"/>
    <n v="0.22"/>
    <x v="0"/>
    <n v="0.2273"/>
    <n v="0.41"/>
    <x v="1"/>
    <n v="0.16420000000000001"/>
    <x v="0"/>
    <x v="17"/>
    <x v="119"/>
    <x v="128"/>
    <x v="1"/>
  </r>
  <r>
    <n v="319"/>
    <x v="13"/>
    <n v="1"/>
    <n v="0"/>
    <n v="1"/>
    <x v="18"/>
    <x v="4"/>
    <x v="0"/>
    <x v="6"/>
    <x v="0"/>
    <n v="0.2"/>
    <x v="0"/>
    <n v="0.2576"/>
    <n v="0.47"/>
    <x v="1"/>
    <n v="0"/>
    <x v="0"/>
    <x v="2"/>
    <x v="120"/>
    <x v="119"/>
    <x v="1"/>
  </r>
  <r>
    <n v="320"/>
    <x v="13"/>
    <n v="1"/>
    <n v="0"/>
    <n v="1"/>
    <x v="19"/>
    <x v="4"/>
    <x v="0"/>
    <x v="6"/>
    <x v="0"/>
    <n v="0.16"/>
    <x v="0"/>
    <n v="0.19700000000000001"/>
    <n v="0.59"/>
    <x v="1"/>
    <n v="8.9599999999999999E-2"/>
    <x v="0"/>
    <x v="0"/>
    <x v="121"/>
    <x v="101"/>
    <x v="1"/>
  </r>
  <r>
    <n v="321"/>
    <x v="13"/>
    <n v="1"/>
    <n v="0"/>
    <n v="1"/>
    <x v="20"/>
    <x v="4"/>
    <x v="0"/>
    <x v="6"/>
    <x v="0"/>
    <n v="0.18"/>
    <x v="0"/>
    <n v="0.2424"/>
    <n v="0.59"/>
    <x v="1"/>
    <n v="0"/>
    <x v="0"/>
    <x v="3"/>
    <x v="56"/>
    <x v="118"/>
    <x v="0"/>
  </r>
  <r>
    <n v="322"/>
    <x v="13"/>
    <n v="1"/>
    <n v="0"/>
    <n v="1"/>
    <x v="21"/>
    <x v="0"/>
    <x v="0"/>
    <x v="6"/>
    <x v="0"/>
    <n v="0.16"/>
    <x v="0"/>
    <n v="0.2273"/>
    <n v="0.69"/>
    <x v="0"/>
    <n v="0"/>
    <x v="0"/>
    <x v="17"/>
    <x v="41"/>
    <x v="46"/>
    <x v="0"/>
  </r>
  <r>
    <n v="323"/>
    <x v="13"/>
    <n v="1"/>
    <n v="0"/>
    <n v="1"/>
    <x v="22"/>
    <x v="0"/>
    <x v="0"/>
    <x v="6"/>
    <x v="1"/>
    <n v="0.16"/>
    <x v="0"/>
    <n v="0.2273"/>
    <n v="0.69"/>
    <x v="0"/>
    <n v="0"/>
    <x v="0"/>
    <x v="4"/>
    <x v="60"/>
    <x v="9"/>
    <x v="0"/>
  </r>
  <r>
    <n v="324"/>
    <x v="13"/>
    <n v="1"/>
    <n v="0"/>
    <n v="1"/>
    <x v="23"/>
    <x v="0"/>
    <x v="0"/>
    <x v="6"/>
    <x v="1"/>
    <n v="0.18"/>
    <x v="0"/>
    <n v="0.2424"/>
    <n v="0.55000000000000004"/>
    <x v="1"/>
    <n v="0"/>
    <x v="0"/>
    <x v="5"/>
    <x v="16"/>
    <x v="110"/>
    <x v="0"/>
  </r>
  <r>
    <n v="325"/>
    <x v="14"/>
    <n v="1"/>
    <n v="0"/>
    <n v="1"/>
    <x v="0"/>
    <x v="0"/>
    <x v="0"/>
    <x v="0"/>
    <x v="0"/>
    <n v="0.18"/>
    <x v="0"/>
    <n v="0.2424"/>
    <n v="0.55000000000000004"/>
    <x v="1"/>
    <n v="0"/>
    <x v="0"/>
    <x v="0"/>
    <x v="18"/>
    <x v="20"/>
    <x v="0"/>
  </r>
  <r>
    <n v="326"/>
    <x v="14"/>
    <n v="1"/>
    <n v="0"/>
    <n v="1"/>
    <x v="1"/>
    <x v="0"/>
    <x v="0"/>
    <x v="0"/>
    <x v="1"/>
    <n v="0.16"/>
    <x v="0"/>
    <n v="0.19700000000000001"/>
    <n v="0.59"/>
    <x v="1"/>
    <n v="8.9599999999999999E-2"/>
    <x v="0"/>
    <x v="4"/>
    <x v="72"/>
    <x v="25"/>
    <x v="0"/>
  </r>
  <r>
    <n v="327"/>
    <x v="14"/>
    <n v="1"/>
    <n v="0"/>
    <n v="1"/>
    <x v="2"/>
    <x v="0"/>
    <x v="0"/>
    <x v="0"/>
    <x v="1"/>
    <n v="0.16"/>
    <x v="0"/>
    <n v="0.19700000000000001"/>
    <n v="0.59"/>
    <x v="1"/>
    <n v="8.9599999999999999E-2"/>
    <x v="0"/>
    <x v="3"/>
    <x v="98"/>
    <x v="47"/>
    <x v="0"/>
  </r>
  <r>
    <n v="328"/>
    <x v="14"/>
    <n v="1"/>
    <n v="0"/>
    <n v="1"/>
    <x v="3"/>
    <x v="0"/>
    <x v="0"/>
    <x v="0"/>
    <x v="1"/>
    <n v="0.16"/>
    <x v="0"/>
    <n v="0.2273"/>
    <n v="0.59"/>
    <x v="1"/>
    <n v="0"/>
    <x v="0"/>
    <x v="5"/>
    <x v="7"/>
    <x v="7"/>
    <x v="0"/>
  </r>
  <r>
    <n v="329"/>
    <x v="14"/>
    <n v="1"/>
    <n v="0"/>
    <n v="1"/>
    <x v="4"/>
    <x v="1"/>
    <x v="0"/>
    <x v="0"/>
    <x v="1"/>
    <n v="0.16"/>
    <x v="0"/>
    <n v="0.2273"/>
    <n v="0.59"/>
    <x v="1"/>
    <n v="0"/>
    <x v="0"/>
    <x v="3"/>
    <x v="34"/>
    <x v="36"/>
    <x v="0"/>
  </r>
  <r>
    <n v="330"/>
    <x v="14"/>
    <n v="1"/>
    <n v="0"/>
    <n v="1"/>
    <x v="5"/>
    <x v="1"/>
    <x v="0"/>
    <x v="0"/>
    <x v="0"/>
    <n v="0.16"/>
    <x v="0"/>
    <n v="0.2273"/>
    <n v="0.59"/>
    <x v="1"/>
    <n v="0"/>
    <x v="0"/>
    <x v="3"/>
    <x v="4"/>
    <x v="4"/>
    <x v="0"/>
  </r>
  <r>
    <n v="331"/>
    <x v="14"/>
    <n v="1"/>
    <n v="0"/>
    <n v="1"/>
    <x v="6"/>
    <x v="1"/>
    <x v="0"/>
    <x v="0"/>
    <x v="0"/>
    <n v="0.14000000000000001"/>
    <x v="3"/>
    <n v="0.16669999999999999"/>
    <n v="0.63"/>
    <x v="0"/>
    <n v="0.1045"/>
    <x v="0"/>
    <x v="5"/>
    <x v="6"/>
    <x v="6"/>
    <x v="0"/>
  </r>
  <r>
    <n v="332"/>
    <x v="14"/>
    <n v="1"/>
    <n v="0"/>
    <n v="1"/>
    <x v="7"/>
    <x v="2"/>
    <x v="0"/>
    <x v="0"/>
    <x v="0"/>
    <n v="0.14000000000000001"/>
    <x v="3"/>
    <n v="0.21210000000000001"/>
    <n v="0.63"/>
    <x v="0"/>
    <n v="0"/>
    <x v="0"/>
    <x v="5"/>
    <x v="33"/>
    <x v="98"/>
    <x v="0"/>
  </r>
  <r>
    <n v="333"/>
    <x v="14"/>
    <n v="1"/>
    <n v="0"/>
    <n v="1"/>
    <x v="8"/>
    <x v="2"/>
    <x v="0"/>
    <x v="0"/>
    <x v="0"/>
    <n v="0.14000000000000001"/>
    <x v="3"/>
    <n v="0.1515"/>
    <n v="0.63"/>
    <x v="0"/>
    <n v="0.1343"/>
    <x v="0"/>
    <x v="5"/>
    <x v="97"/>
    <x v="84"/>
    <x v="0"/>
  </r>
  <r>
    <n v="334"/>
    <x v="14"/>
    <n v="1"/>
    <n v="0"/>
    <n v="1"/>
    <x v="9"/>
    <x v="2"/>
    <x v="0"/>
    <x v="0"/>
    <x v="0"/>
    <n v="0.16"/>
    <x v="0"/>
    <n v="0.18179999999999999"/>
    <n v="0.64"/>
    <x v="0"/>
    <n v="0.1343"/>
    <x v="0"/>
    <x v="4"/>
    <x v="17"/>
    <x v="63"/>
    <x v="0"/>
  </r>
  <r>
    <n v="335"/>
    <x v="14"/>
    <n v="1"/>
    <n v="0"/>
    <n v="1"/>
    <x v="10"/>
    <x v="2"/>
    <x v="0"/>
    <x v="0"/>
    <x v="0"/>
    <n v="0.18"/>
    <x v="0"/>
    <n v="0.19700000000000001"/>
    <n v="0.59"/>
    <x v="1"/>
    <n v="0.16420000000000001"/>
    <x v="0"/>
    <x v="4"/>
    <x v="77"/>
    <x v="29"/>
    <x v="0"/>
  </r>
  <r>
    <n v="336"/>
    <x v="14"/>
    <n v="1"/>
    <n v="0"/>
    <n v="1"/>
    <x v="11"/>
    <x v="3"/>
    <x v="0"/>
    <x v="0"/>
    <x v="0"/>
    <n v="0.2"/>
    <x v="0"/>
    <n v="0.19700000000000001"/>
    <n v="0.55000000000000004"/>
    <x v="1"/>
    <n v="0.22389999999999999"/>
    <x v="1"/>
    <x v="25"/>
    <x v="25"/>
    <x v="44"/>
    <x v="1"/>
  </r>
  <r>
    <n v="337"/>
    <x v="14"/>
    <n v="1"/>
    <n v="0"/>
    <n v="1"/>
    <x v="12"/>
    <x v="3"/>
    <x v="0"/>
    <x v="0"/>
    <x v="0"/>
    <n v="0.24"/>
    <x v="0"/>
    <n v="0.2273"/>
    <n v="0.48"/>
    <x v="1"/>
    <n v="0.22389999999999999"/>
    <x v="1"/>
    <x v="13"/>
    <x v="64"/>
    <x v="70"/>
    <x v="1"/>
  </r>
  <r>
    <n v="338"/>
    <x v="14"/>
    <n v="1"/>
    <n v="0"/>
    <n v="1"/>
    <x v="13"/>
    <x v="3"/>
    <x v="0"/>
    <x v="0"/>
    <x v="0"/>
    <n v="0.28000000000000003"/>
    <x v="1"/>
    <n v="0.2576"/>
    <n v="0.38"/>
    <x v="2"/>
    <n v="0.29849999999999999"/>
    <x v="1"/>
    <x v="27"/>
    <x v="122"/>
    <x v="129"/>
    <x v="1"/>
  </r>
  <r>
    <n v="339"/>
    <x v="14"/>
    <n v="1"/>
    <n v="0"/>
    <n v="1"/>
    <x v="14"/>
    <x v="3"/>
    <x v="0"/>
    <x v="0"/>
    <x v="0"/>
    <n v="0.3"/>
    <x v="1"/>
    <n v="0.28789999999999999"/>
    <n v="0.39"/>
    <x v="2"/>
    <n v="0.28360000000000002"/>
    <x v="1"/>
    <x v="7"/>
    <x v="50"/>
    <x v="130"/>
    <x v="1"/>
  </r>
  <r>
    <n v="340"/>
    <x v="14"/>
    <n v="1"/>
    <n v="0"/>
    <n v="1"/>
    <x v="15"/>
    <x v="3"/>
    <x v="0"/>
    <x v="0"/>
    <x v="1"/>
    <n v="0.32"/>
    <x v="1"/>
    <n v="0.31819999999999998"/>
    <n v="0.36"/>
    <x v="2"/>
    <n v="0.19400000000000001"/>
    <x v="0"/>
    <x v="27"/>
    <x v="123"/>
    <x v="131"/>
    <x v="1"/>
  </r>
  <r>
    <n v="341"/>
    <x v="14"/>
    <n v="1"/>
    <n v="0"/>
    <n v="1"/>
    <x v="16"/>
    <x v="3"/>
    <x v="0"/>
    <x v="0"/>
    <x v="1"/>
    <n v="0.34"/>
    <x v="2"/>
    <n v="0.33329999999999999"/>
    <n v="0.34"/>
    <x v="2"/>
    <n v="0.19400000000000001"/>
    <x v="0"/>
    <x v="28"/>
    <x v="73"/>
    <x v="116"/>
    <x v="1"/>
  </r>
  <r>
    <n v="342"/>
    <x v="14"/>
    <n v="1"/>
    <n v="0"/>
    <n v="1"/>
    <x v="17"/>
    <x v="4"/>
    <x v="0"/>
    <x v="0"/>
    <x v="1"/>
    <n v="0.32"/>
    <x v="1"/>
    <n v="0.30299999999999999"/>
    <n v="0.36"/>
    <x v="2"/>
    <n v="0.28360000000000002"/>
    <x v="1"/>
    <x v="8"/>
    <x v="25"/>
    <x v="56"/>
    <x v="1"/>
  </r>
  <r>
    <n v="343"/>
    <x v="14"/>
    <n v="1"/>
    <n v="0"/>
    <n v="1"/>
    <x v="18"/>
    <x v="4"/>
    <x v="0"/>
    <x v="0"/>
    <x v="1"/>
    <n v="0.3"/>
    <x v="1"/>
    <n v="0.28789999999999999"/>
    <n v="0.45"/>
    <x v="1"/>
    <n v="0.25369999999999998"/>
    <x v="1"/>
    <x v="13"/>
    <x v="94"/>
    <x v="11"/>
    <x v="1"/>
  </r>
  <r>
    <n v="344"/>
    <x v="14"/>
    <n v="1"/>
    <n v="0"/>
    <n v="1"/>
    <x v="19"/>
    <x v="4"/>
    <x v="0"/>
    <x v="0"/>
    <x v="1"/>
    <n v="0.32"/>
    <x v="1"/>
    <n v="0.30299999999999999"/>
    <n v="0.39"/>
    <x v="2"/>
    <n v="0.25369999999999998"/>
    <x v="1"/>
    <x v="24"/>
    <x v="91"/>
    <x v="30"/>
    <x v="1"/>
  </r>
  <r>
    <n v="345"/>
    <x v="14"/>
    <n v="1"/>
    <n v="0"/>
    <n v="1"/>
    <x v="20"/>
    <x v="4"/>
    <x v="0"/>
    <x v="0"/>
    <x v="1"/>
    <n v="0.32"/>
    <x v="1"/>
    <n v="0.30299999999999999"/>
    <n v="0.39"/>
    <x v="2"/>
    <n v="0.25369999999999998"/>
    <x v="1"/>
    <x v="15"/>
    <x v="96"/>
    <x v="102"/>
    <x v="0"/>
  </r>
  <r>
    <n v="346"/>
    <x v="14"/>
    <n v="1"/>
    <n v="0"/>
    <n v="1"/>
    <x v="21"/>
    <x v="0"/>
    <x v="0"/>
    <x v="0"/>
    <x v="1"/>
    <n v="0.32"/>
    <x v="1"/>
    <n v="0.30299999999999999"/>
    <n v="0.39"/>
    <x v="2"/>
    <n v="0.22389999999999999"/>
    <x v="1"/>
    <x v="15"/>
    <x v="82"/>
    <x v="52"/>
    <x v="0"/>
  </r>
  <r>
    <n v="347"/>
    <x v="14"/>
    <n v="1"/>
    <n v="0"/>
    <n v="1"/>
    <x v="22"/>
    <x v="0"/>
    <x v="0"/>
    <x v="0"/>
    <x v="1"/>
    <n v="0.3"/>
    <x v="1"/>
    <n v="0.31819999999999998"/>
    <n v="0.42"/>
    <x v="1"/>
    <n v="0.1045"/>
    <x v="0"/>
    <x v="3"/>
    <x v="16"/>
    <x v="132"/>
    <x v="0"/>
  </r>
  <r>
    <n v="348"/>
    <x v="14"/>
    <n v="1"/>
    <n v="0"/>
    <n v="1"/>
    <x v="23"/>
    <x v="0"/>
    <x v="0"/>
    <x v="0"/>
    <x v="0"/>
    <n v="0.3"/>
    <x v="1"/>
    <n v="0.28789999999999999"/>
    <n v="0.45"/>
    <x v="1"/>
    <n v="0.28360000000000002"/>
    <x v="1"/>
    <x v="2"/>
    <x v="87"/>
    <x v="40"/>
    <x v="0"/>
  </r>
  <r>
    <n v="349"/>
    <x v="15"/>
    <n v="1"/>
    <n v="0"/>
    <n v="1"/>
    <x v="0"/>
    <x v="0"/>
    <x v="0"/>
    <x v="1"/>
    <x v="0"/>
    <n v="0.26"/>
    <x v="1"/>
    <n v="0.30299999999999999"/>
    <n v="0.56000000000000005"/>
    <x v="1"/>
    <n v="0"/>
    <x v="0"/>
    <x v="15"/>
    <x v="39"/>
    <x v="21"/>
    <x v="0"/>
  </r>
  <r>
    <n v="350"/>
    <x v="15"/>
    <n v="1"/>
    <n v="0"/>
    <n v="1"/>
    <x v="1"/>
    <x v="0"/>
    <x v="0"/>
    <x v="1"/>
    <x v="0"/>
    <n v="0.26"/>
    <x v="1"/>
    <n v="0.2727"/>
    <n v="0.56000000000000005"/>
    <x v="1"/>
    <n v="0.1343"/>
    <x v="0"/>
    <x v="17"/>
    <x v="23"/>
    <x v="84"/>
    <x v="0"/>
  </r>
  <r>
    <n v="351"/>
    <x v="15"/>
    <n v="1"/>
    <n v="0"/>
    <n v="1"/>
    <x v="2"/>
    <x v="0"/>
    <x v="0"/>
    <x v="1"/>
    <x v="0"/>
    <n v="0.26"/>
    <x v="1"/>
    <n v="0.28789999999999999"/>
    <n v="0.56000000000000005"/>
    <x v="1"/>
    <n v="8.9599999999999999E-2"/>
    <x v="0"/>
    <x v="0"/>
    <x v="0"/>
    <x v="0"/>
    <x v="0"/>
  </r>
  <r>
    <n v="352"/>
    <x v="15"/>
    <n v="1"/>
    <n v="0"/>
    <n v="1"/>
    <x v="3"/>
    <x v="0"/>
    <x v="0"/>
    <x v="1"/>
    <x v="0"/>
    <n v="0.22"/>
    <x v="0"/>
    <n v="0.2727"/>
    <n v="0.69"/>
    <x v="0"/>
    <n v="0"/>
    <x v="0"/>
    <x v="14"/>
    <x v="8"/>
    <x v="93"/>
    <x v="0"/>
  </r>
  <r>
    <n v="353"/>
    <x v="15"/>
    <n v="1"/>
    <n v="0"/>
    <n v="1"/>
    <x v="4"/>
    <x v="1"/>
    <x v="0"/>
    <x v="1"/>
    <x v="0"/>
    <n v="0.26"/>
    <x v="1"/>
    <n v="0.2576"/>
    <n v="0.56000000000000005"/>
    <x v="1"/>
    <n v="0.16420000000000001"/>
    <x v="0"/>
    <x v="3"/>
    <x v="4"/>
    <x v="4"/>
    <x v="0"/>
  </r>
  <r>
    <n v="354"/>
    <x v="15"/>
    <n v="1"/>
    <n v="0"/>
    <n v="1"/>
    <x v="5"/>
    <x v="1"/>
    <x v="0"/>
    <x v="1"/>
    <x v="1"/>
    <n v="0.26"/>
    <x v="1"/>
    <n v="0.2576"/>
    <n v="0.56000000000000005"/>
    <x v="1"/>
    <n v="0.16420000000000001"/>
    <x v="0"/>
    <x v="5"/>
    <x v="4"/>
    <x v="5"/>
    <x v="0"/>
  </r>
  <r>
    <n v="355"/>
    <x v="15"/>
    <n v="1"/>
    <n v="0"/>
    <n v="1"/>
    <x v="6"/>
    <x v="1"/>
    <x v="0"/>
    <x v="1"/>
    <x v="1"/>
    <n v="0.26"/>
    <x v="1"/>
    <n v="0.2576"/>
    <n v="0.56000000000000005"/>
    <x v="1"/>
    <n v="0.16420000000000001"/>
    <x v="0"/>
    <x v="3"/>
    <x v="4"/>
    <x v="4"/>
    <x v="0"/>
  </r>
  <r>
    <n v="356"/>
    <x v="15"/>
    <n v="1"/>
    <n v="0"/>
    <n v="1"/>
    <x v="7"/>
    <x v="2"/>
    <x v="0"/>
    <x v="1"/>
    <x v="1"/>
    <n v="0.24"/>
    <x v="0"/>
    <n v="0.21210000000000001"/>
    <n v="0.56000000000000005"/>
    <x v="1"/>
    <n v="0.29849999999999999"/>
    <x v="1"/>
    <x v="3"/>
    <x v="35"/>
    <x v="6"/>
    <x v="0"/>
  </r>
  <r>
    <n v="357"/>
    <x v="15"/>
    <n v="1"/>
    <n v="0"/>
    <n v="1"/>
    <x v="8"/>
    <x v="2"/>
    <x v="0"/>
    <x v="1"/>
    <x v="0"/>
    <n v="0.22"/>
    <x v="0"/>
    <n v="0.21210000000000001"/>
    <n v="0.55000000000000004"/>
    <x v="1"/>
    <n v="0.28360000000000002"/>
    <x v="1"/>
    <x v="3"/>
    <x v="72"/>
    <x v="109"/>
    <x v="0"/>
  </r>
  <r>
    <n v="358"/>
    <x v="15"/>
    <n v="1"/>
    <n v="0"/>
    <n v="1"/>
    <x v="9"/>
    <x v="2"/>
    <x v="0"/>
    <x v="1"/>
    <x v="0"/>
    <n v="0.22"/>
    <x v="0"/>
    <n v="0.21210000000000001"/>
    <n v="0.51"/>
    <x v="1"/>
    <n v="0.25369999999999998"/>
    <x v="1"/>
    <x v="0"/>
    <x v="31"/>
    <x v="2"/>
    <x v="0"/>
  </r>
  <r>
    <n v="359"/>
    <x v="15"/>
    <n v="1"/>
    <n v="0"/>
    <n v="1"/>
    <x v="10"/>
    <x v="2"/>
    <x v="0"/>
    <x v="1"/>
    <x v="0"/>
    <n v="0.22"/>
    <x v="0"/>
    <n v="0.21210000000000001"/>
    <n v="0.51"/>
    <x v="1"/>
    <n v="0.28360000000000002"/>
    <x v="1"/>
    <x v="1"/>
    <x v="13"/>
    <x v="67"/>
    <x v="1"/>
  </r>
  <r>
    <n v="360"/>
    <x v="15"/>
    <n v="1"/>
    <n v="0"/>
    <n v="1"/>
    <x v="11"/>
    <x v="3"/>
    <x v="0"/>
    <x v="1"/>
    <x v="0"/>
    <n v="0.24"/>
    <x v="0"/>
    <n v="0.2273"/>
    <n v="0.44"/>
    <x v="1"/>
    <n v="0.25369999999999998"/>
    <x v="1"/>
    <x v="29"/>
    <x v="14"/>
    <x v="15"/>
    <x v="1"/>
  </r>
  <r>
    <n v="361"/>
    <x v="15"/>
    <n v="1"/>
    <n v="0"/>
    <n v="1"/>
    <x v="12"/>
    <x v="3"/>
    <x v="0"/>
    <x v="1"/>
    <x v="0"/>
    <n v="0.24"/>
    <x v="0"/>
    <n v="0.21210000000000001"/>
    <n v="0.41"/>
    <x v="1"/>
    <n v="0.28360000000000002"/>
    <x v="1"/>
    <x v="8"/>
    <x v="102"/>
    <x v="133"/>
    <x v="1"/>
  </r>
  <r>
    <n v="362"/>
    <x v="15"/>
    <n v="1"/>
    <n v="0"/>
    <n v="1"/>
    <x v="13"/>
    <x v="3"/>
    <x v="0"/>
    <x v="1"/>
    <x v="0"/>
    <n v="0.26"/>
    <x v="1"/>
    <n v="0.2273"/>
    <n v="0.35"/>
    <x v="2"/>
    <n v="0.29849999999999999"/>
    <x v="1"/>
    <x v="29"/>
    <x v="73"/>
    <x v="130"/>
    <x v="1"/>
  </r>
  <r>
    <n v="363"/>
    <x v="15"/>
    <n v="1"/>
    <n v="0"/>
    <n v="1"/>
    <x v="14"/>
    <x v="3"/>
    <x v="0"/>
    <x v="1"/>
    <x v="0"/>
    <n v="0.28000000000000003"/>
    <x v="1"/>
    <n v="0.2727"/>
    <n v="0.36"/>
    <x v="2"/>
    <n v="0.25369999999999998"/>
    <x v="1"/>
    <x v="30"/>
    <x v="94"/>
    <x v="134"/>
    <x v="1"/>
  </r>
  <r>
    <n v="364"/>
    <x v="15"/>
    <n v="1"/>
    <n v="0"/>
    <n v="1"/>
    <x v="15"/>
    <x v="3"/>
    <x v="0"/>
    <x v="1"/>
    <x v="0"/>
    <n v="0.26"/>
    <x v="1"/>
    <n v="0.2424"/>
    <n v="0.38"/>
    <x v="2"/>
    <n v="0.25369999999999998"/>
    <x v="1"/>
    <x v="10"/>
    <x v="78"/>
    <x v="135"/>
    <x v="1"/>
  </r>
  <r>
    <n v="365"/>
    <x v="15"/>
    <n v="1"/>
    <n v="0"/>
    <n v="1"/>
    <x v="16"/>
    <x v="3"/>
    <x v="0"/>
    <x v="1"/>
    <x v="0"/>
    <n v="0.24"/>
    <x v="0"/>
    <n v="0.2273"/>
    <n v="0.38"/>
    <x v="2"/>
    <n v="0.22389999999999999"/>
    <x v="1"/>
    <x v="30"/>
    <x v="99"/>
    <x v="111"/>
    <x v="1"/>
  </r>
  <r>
    <n v="366"/>
    <x v="15"/>
    <n v="1"/>
    <n v="0"/>
    <n v="1"/>
    <x v="17"/>
    <x v="4"/>
    <x v="0"/>
    <x v="1"/>
    <x v="0"/>
    <n v="0.22"/>
    <x v="0"/>
    <n v="0.21210000000000001"/>
    <n v="0.37"/>
    <x v="2"/>
    <n v="0.25369999999999998"/>
    <x v="1"/>
    <x v="29"/>
    <x v="70"/>
    <x v="136"/>
    <x v="1"/>
  </r>
  <r>
    <n v="367"/>
    <x v="15"/>
    <n v="1"/>
    <n v="0"/>
    <n v="1"/>
    <x v="18"/>
    <x v="4"/>
    <x v="0"/>
    <x v="1"/>
    <x v="0"/>
    <n v="0.2"/>
    <x v="0"/>
    <n v="0.21210000000000001"/>
    <n v="0.4"/>
    <x v="2"/>
    <n v="0.16420000000000001"/>
    <x v="0"/>
    <x v="16"/>
    <x v="90"/>
    <x v="16"/>
    <x v="0"/>
  </r>
  <r>
    <n v="368"/>
    <x v="15"/>
    <n v="1"/>
    <n v="0"/>
    <n v="1"/>
    <x v="19"/>
    <x v="4"/>
    <x v="0"/>
    <x v="1"/>
    <x v="0"/>
    <n v="0.18"/>
    <x v="0"/>
    <n v="0.19700000000000001"/>
    <n v="0.47"/>
    <x v="1"/>
    <n v="0.1343"/>
    <x v="0"/>
    <x v="24"/>
    <x v="12"/>
    <x v="42"/>
    <x v="0"/>
  </r>
  <r>
    <n v="369"/>
    <x v="15"/>
    <n v="1"/>
    <n v="0"/>
    <n v="1"/>
    <x v="20"/>
    <x v="4"/>
    <x v="0"/>
    <x v="1"/>
    <x v="0"/>
    <n v="0.18"/>
    <x v="0"/>
    <n v="0.19700000000000001"/>
    <n v="0.47"/>
    <x v="1"/>
    <n v="0.16420000000000001"/>
    <x v="0"/>
    <x v="18"/>
    <x v="54"/>
    <x v="52"/>
    <x v="0"/>
  </r>
  <r>
    <n v="370"/>
    <x v="15"/>
    <n v="1"/>
    <n v="0"/>
    <n v="1"/>
    <x v="21"/>
    <x v="0"/>
    <x v="0"/>
    <x v="1"/>
    <x v="0"/>
    <n v="0.18"/>
    <x v="0"/>
    <n v="0.19700000000000001"/>
    <n v="0.51"/>
    <x v="1"/>
    <n v="0.16420000000000001"/>
    <x v="0"/>
    <x v="15"/>
    <x v="97"/>
    <x v="20"/>
    <x v="0"/>
  </r>
  <r>
    <n v="371"/>
    <x v="15"/>
    <n v="1"/>
    <n v="0"/>
    <n v="1"/>
    <x v="22"/>
    <x v="0"/>
    <x v="0"/>
    <x v="1"/>
    <x v="1"/>
    <n v="0.2"/>
    <x v="0"/>
    <n v="0.21210000000000001"/>
    <n v="0.49"/>
    <x v="1"/>
    <n v="0.1343"/>
    <x v="0"/>
    <x v="4"/>
    <x v="23"/>
    <x v="137"/>
    <x v="0"/>
  </r>
  <r>
    <n v="372"/>
    <x v="15"/>
    <n v="1"/>
    <n v="0"/>
    <n v="1"/>
    <x v="23"/>
    <x v="0"/>
    <x v="0"/>
    <x v="1"/>
    <x v="1"/>
    <n v="0.2"/>
    <x v="0"/>
    <n v="0.2273"/>
    <n v="0.4"/>
    <x v="2"/>
    <n v="0.1045"/>
    <x v="0"/>
    <x v="3"/>
    <x v="72"/>
    <x v="109"/>
    <x v="0"/>
  </r>
  <r>
    <n v="373"/>
    <x v="16"/>
    <n v="1"/>
    <n v="0"/>
    <n v="1"/>
    <x v="0"/>
    <x v="0"/>
    <x v="1"/>
    <x v="2"/>
    <x v="1"/>
    <n v="0.2"/>
    <x v="0"/>
    <n v="0.19700000000000001"/>
    <n v="0.47"/>
    <x v="1"/>
    <n v="0.22389999999999999"/>
    <x v="1"/>
    <x v="5"/>
    <x v="20"/>
    <x v="22"/>
    <x v="0"/>
  </r>
  <r>
    <n v="374"/>
    <x v="16"/>
    <n v="1"/>
    <n v="0"/>
    <n v="1"/>
    <x v="1"/>
    <x v="0"/>
    <x v="1"/>
    <x v="2"/>
    <x v="1"/>
    <n v="0.2"/>
    <x v="0"/>
    <n v="0.19700000000000001"/>
    <n v="0.44"/>
    <x v="1"/>
    <n v="0.19400000000000001"/>
    <x v="0"/>
    <x v="5"/>
    <x v="89"/>
    <x v="0"/>
    <x v="0"/>
  </r>
  <r>
    <n v="375"/>
    <x v="16"/>
    <n v="1"/>
    <n v="0"/>
    <n v="1"/>
    <x v="2"/>
    <x v="0"/>
    <x v="1"/>
    <x v="2"/>
    <x v="1"/>
    <n v="0.18"/>
    <x v="0"/>
    <n v="0.16669999999999999"/>
    <n v="0.43"/>
    <x v="1"/>
    <n v="0.25369999999999998"/>
    <x v="1"/>
    <x v="3"/>
    <x v="21"/>
    <x v="7"/>
    <x v="0"/>
  </r>
  <r>
    <n v="376"/>
    <x v="16"/>
    <n v="1"/>
    <n v="0"/>
    <n v="1"/>
    <x v="3"/>
    <x v="0"/>
    <x v="1"/>
    <x v="2"/>
    <x v="1"/>
    <n v="0.18"/>
    <x v="0"/>
    <n v="0.18179999999999999"/>
    <n v="0.43"/>
    <x v="1"/>
    <n v="0.19400000000000001"/>
    <x v="0"/>
    <x v="3"/>
    <x v="6"/>
    <x v="5"/>
    <x v="0"/>
  </r>
  <r>
    <n v="377"/>
    <x v="16"/>
    <n v="1"/>
    <n v="0"/>
    <n v="1"/>
    <x v="4"/>
    <x v="1"/>
    <x v="1"/>
    <x v="2"/>
    <x v="1"/>
    <n v="0.18"/>
    <x v="0"/>
    <n v="0.19700000000000001"/>
    <n v="0.43"/>
    <x v="1"/>
    <n v="0.1343"/>
    <x v="0"/>
    <x v="5"/>
    <x v="6"/>
    <x v="6"/>
    <x v="0"/>
  </r>
  <r>
    <n v="378"/>
    <x v="16"/>
    <n v="1"/>
    <n v="0"/>
    <n v="1"/>
    <x v="5"/>
    <x v="1"/>
    <x v="1"/>
    <x v="2"/>
    <x v="1"/>
    <n v="0.18"/>
    <x v="0"/>
    <n v="0.19700000000000001"/>
    <n v="0.43"/>
    <x v="1"/>
    <n v="0.16420000000000001"/>
    <x v="0"/>
    <x v="3"/>
    <x v="4"/>
    <x v="4"/>
    <x v="0"/>
  </r>
  <r>
    <n v="379"/>
    <x v="16"/>
    <n v="1"/>
    <n v="0"/>
    <n v="1"/>
    <x v="6"/>
    <x v="1"/>
    <x v="1"/>
    <x v="2"/>
    <x v="1"/>
    <n v="0.18"/>
    <x v="0"/>
    <n v="0.18179999999999999"/>
    <n v="0.43"/>
    <x v="1"/>
    <n v="0.19400000000000001"/>
    <x v="0"/>
    <x v="3"/>
    <x v="34"/>
    <x v="36"/>
    <x v="0"/>
  </r>
  <r>
    <n v="380"/>
    <x v="16"/>
    <n v="1"/>
    <n v="0"/>
    <n v="1"/>
    <x v="7"/>
    <x v="2"/>
    <x v="1"/>
    <x v="2"/>
    <x v="1"/>
    <n v="0.16"/>
    <x v="0"/>
    <n v="0.18179999999999999"/>
    <n v="0.5"/>
    <x v="1"/>
    <n v="0.1343"/>
    <x v="0"/>
    <x v="17"/>
    <x v="33"/>
    <x v="3"/>
    <x v="0"/>
  </r>
  <r>
    <n v="381"/>
    <x v="16"/>
    <n v="1"/>
    <n v="0"/>
    <n v="1"/>
    <x v="8"/>
    <x v="2"/>
    <x v="1"/>
    <x v="2"/>
    <x v="1"/>
    <n v="0.16"/>
    <x v="0"/>
    <n v="0.1515"/>
    <n v="0.47"/>
    <x v="1"/>
    <n v="0.22389999999999999"/>
    <x v="1"/>
    <x v="0"/>
    <x v="10"/>
    <x v="63"/>
    <x v="0"/>
  </r>
  <r>
    <n v="382"/>
    <x v="16"/>
    <n v="1"/>
    <n v="0"/>
    <n v="1"/>
    <x v="9"/>
    <x v="2"/>
    <x v="1"/>
    <x v="2"/>
    <x v="1"/>
    <n v="0.16"/>
    <x v="0"/>
    <n v="0.1515"/>
    <n v="0.47"/>
    <x v="1"/>
    <n v="0.22389999999999999"/>
    <x v="1"/>
    <x v="1"/>
    <x v="87"/>
    <x v="105"/>
    <x v="0"/>
  </r>
  <r>
    <n v="383"/>
    <x v="16"/>
    <n v="1"/>
    <n v="0"/>
    <n v="1"/>
    <x v="10"/>
    <x v="2"/>
    <x v="1"/>
    <x v="2"/>
    <x v="1"/>
    <n v="0.16"/>
    <x v="0"/>
    <n v="0.1515"/>
    <n v="0.5"/>
    <x v="1"/>
    <n v="0.25369999999999998"/>
    <x v="1"/>
    <x v="18"/>
    <x v="54"/>
    <x v="52"/>
    <x v="0"/>
  </r>
  <r>
    <n v="384"/>
    <x v="16"/>
    <n v="1"/>
    <n v="0"/>
    <n v="1"/>
    <x v="11"/>
    <x v="3"/>
    <x v="1"/>
    <x v="2"/>
    <x v="1"/>
    <n v="0.16"/>
    <x v="0"/>
    <n v="0.1515"/>
    <n v="0.55000000000000004"/>
    <x v="1"/>
    <n v="0.19400000000000001"/>
    <x v="0"/>
    <x v="14"/>
    <x v="11"/>
    <x v="37"/>
    <x v="0"/>
  </r>
  <r>
    <n v="385"/>
    <x v="16"/>
    <n v="1"/>
    <n v="0"/>
    <n v="1"/>
    <x v="12"/>
    <x v="3"/>
    <x v="1"/>
    <x v="2"/>
    <x v="1"/>
    <n v="0.18"/>
    <x v="0"/>
    <n v="0.19700000000000001"/>
    <n v="0.47"/>
    <x v="1"/>
    <n v="0.1343"/>
    <x v="0"/>
    <x v="22"/>
    <x v="14"/>
    <x v="138"/>
    <x v="1"/>
  </r>
  <r>
    <n v="386"/>
    <x v="16"/>
    <n v="1"/>
    <n v="0"/>
    <n v="1"/>
    <x v="13"/>
    <x v="3"/>
    <x v="1"/>
    <x v="2"/>
    <x v="1"/>
    <n v="0.18"/>
    <x v="0"/>
    <n v="0.19700000000000001"/>
    <n v="0.47"/>
    <x v="1"/>
    <n v="0.1343"/>
    <x v="0"/>
    <x v="23"/>
    <x v="122"/>
    <x v="15"/>
    <x v="1"/>
  </r>
  <r>
    <n v="387"/>
    <x v="16"/>
    <n v="1"/>
    <n v="0"/>
    <n v="1"/>
    <x v="14"/>
    <x v="3"/>
    <x v="1"/>
    <x v="2"/>
    <x v="1"/>
    <n v="0.18"/>
    <x v="0"/>
    <n v="0.21210000000000001"/>
    <n v="0.43"/>
    <x v="1"/>
    <n v="0.1045"/>
    <x v="0"/>
    <x v="6"/>
    <x v="64"/>
    <x v="80"/>
    <x v="1"/>
  </r>
  <r>
    <n v="388"/>
    <x v="16"/>
    <n v="1"/>
    <n v="0"/>
    <n v="1"/>
    <x v="15"/>
    <x v="3"/>
    <x v="1"/>
    <x v="2"/>
    <x v="1"/>
    <n v="0.2"/>
    <x v="0"/>
    <n v="0.21210000000000001"/>
    <n v="0.47"/>
    <x v="1"/>
    <n v="0.16420000000000001"/>
    <x v="0"/>
    <x v="27"/>
    <x v="109"/>
    <x v="15"/>
    <x v="1"/>
  </r>
  <r>
    <n v="389"/>
    <x v="16"/>
    <n v="1"/>
    <n v="0"/>
    <n v="1"/>
    <x v="16"/>
    <x v="3"/>
    <x v="1"/>
    <x v="2"/>
    <x v="1"/>
    <n v="0.2"/>
    <x v="0"/>
    <n v="0.21210000000000001"/>
    <n v="0.47"/>
    <x v="1"/>
    <n v="0.16420000000000001"/>
    <x v="0"/>
    <x v="15"/>
    <x v="83"/>
    <x v="100"/>
    <x v="1"/>
  </r>
  <r>
    <n v="390"/>
    <x v="16"/>
    <n v="1"/>
    <n v="0"/>
    <n v="1"/>
    <x v="17"/>
    <x v="4"/>
    <x v="1"/>
    <x v="2"/>
    <x v="0"/>
    <n v="0.2"/>
    <x v="0"/>
    <n v="0.19700000000000001"/>
    <n v="0.51"/>
    <x v="1"/>
    <n v="0.19400000000000001"/>
    <x v="0"/>
    <x v="17"/>
    <x v="28"/>
    <x v="68"/>
    <x v="1"/>
  </r>
  <r>
    <n v="391"/>
    <x v="16"/>
    <n v="1"/>
    <n v="0"/>
    <n v="1"/>
    <x v="18"/>
    <x v="4"/>
    <x v="1"/>
    <x v="2"/>
    <x v="1"/>
    <n v="0.18"/>
    <x v="0"/>
    <n v="0.16669999999999999"/>
    <n v="0.55000000000000004"/>
    <x v="1"/>
    <n v="0.25369999999999998"/>
    <x v="1"/>
    <x v="18"/>
    <x v="66"/>
    <x v="101"/>
    <x v="1"/>
  </r>
  <r>
    <n v="392"/>
    <x v="16"/>
    <n v="1"/>
    <n v="0"/>
    <n v="1"/>
    <x v="19"/>
    <x v="4"/>
    <x v="1"/>
    <x v="2"/>
    <x v="2"/>
    <n v="0.18"/>
    <x v="0"/>
    <n v="0.18179999999999999"/>
    <n v="0.59"/>
    <x v="1"/>
    <n v="0.19400000000000001"/>
    <x v="0"/>
    <x v="4"/>
    <x v="29"/>
    <x v="122"/>
    <x v="0"/>
  </r>
  <r>
    <n v="393"/>
    <x v="16"/>
    <n v="1"/>
    <n v="0"/>
    <n v="1"/>
    <x v="20"/>
    <x v="4"/>
    <x v="1"/>
    <x v="2"/>
    <x v="2"/>
    <n v="0.16"/>
    <x v="0"/>
    <n v="0.1515"/>
    <n v="0.8"/>
    <x v="0"/>
    <n v="0.19400000000000001"/>
    <x v="0"/>
    <x v="17"/>
    <x v="31"/>
    <x v="63"/>
    <x v="0"/>
  </r>
  <r>
    <n v="394"/>
    <x v="16"/>
    <n v="1"/>
    <n v="0"/>
    <n v="1"/>
    <x v="21"/>
    <x v="0"/>
    <x v="1"/>
    <x v="2"/>
    <x v="2"/>
    <n v="0.16"/>
    <x v="0"/>
    <n v="0.1515"/>
    <n v="0.8"/>
    <x v="0"/>
    <n v="0.19400000000000001"/>
    <x v="0"/>
    <x v="0"/>
    <x v="9"/>
    <x v="110"/>
    <x v="0"/>
  </r>
  <r>
    <n v="395"/>
    <x v="16"/>
    <n v="1"/>
    <n v="0"/>
    <n v="1"/>
    <x v="22"/>
    <x v="0"/>
    <x v="1"/>
    <x v="2"/>
    <x v="2"/>
    <n v="0.14000000000000001"/>
    <x v="3"/>
    <n v="0.1212"/>
    <n v="0.93"/>
    <x v="0"/>
    <n v="0.25369999999999998"/>
    <x v="1"/>
    <x v="3"/>
    <x v="0"/>
    <x v="3"/>
    <x v="0"/>
  </r>
  <r>
    <n v="396"/>
    <x v="16"/>
    <n v="1"/>
    <n v="0"/>
    <n v="1"/>
    <x v="23"/>
    <x v="0"/>
    <x v="1"/>
    <x v="2"/>
    <x v="2"/>
    <n v="0.16"/>
    <x v="0"/>
    <n v="0.13639999999999999"/>
    <n v="0.86"/>
    <x v="0"/>
    <n v="0.28360000000000002"/>
    <x v="1"/>
    <x v="5"/>
    <x v="35"/>
    <x v="48"/>
    <x v="0"/>
  </r>
  <r>
    <n v="397"/>
    <x v="17"/>
    <n v="1"/>
    <n v="0"/>
    <n v="1"/>
    <x v="12"/>
    <x v="3"/>
    <x v="0"/>
    <x v="3"/>
    <x v="1"/>
    <n v="0.2"/>
    <x v="0"/>
    <n v="0.18179999999999999"/>
    <n v="0.86"/>
    <x v="0"/>
    <n v="0.32840000000000003"/>
    <x v="1"/>
    <x v="3"/>
    <x v="35"/>
    <x v="6"/>
    <x v="0"/>
  </r>
  <r>
    <n v="398"/>
    <x v="17"/>
    <n v="1"/>
    <n v="0"/>
    <n v="1"/>
    <x v="13"/>
    <x v="3"/>
    <x v="0"/>
    <x v="3"/>
    <x v="1"/>
    <n v="0.2"/>
    <x v="0"/>
    <n v="0.19700000000000001"/>
    <n v="0.86"/>
    <x v="0"/>
    <n v="0.22389999999999999"/>
    <x v="1"/>
    <x v="3"/>
    <x v="97"/>
    <x v="34"/>
    <x v="0"/>
  </r>
  <r>
    <n v="399"/>
    <x v="17"/>
    <n v="1"/>
    <n v="0"/>
    <n v="1"/>
    <x v="14"/>
    <x v="3"/>
    <x v="0"/>
    <x v="3"/>
    <x v="1"/>
    <n v="0.22"/>
    <x v="0"/>
    <n v="0.2273"/>
    <n v="0.8"/>
    <x v="0"/>
    <n v="0.16420000000000001"/>
    <x v="0"/>
    <x v="4"/>
    <x v="16"/>
    <x v="20"/>
    <x v="0"/>
  </r>
  <r>
    <n v="400"/>
    <x v="17"/>
    <n v="1"/>
    <n v="0"/>
    <n v="1"/>
    <x v="15"/>
    <x v="3"/>
    <x v="0"/>
    <x v="3"/>
    <x v="1"/>
    <n v="0.22"/>
    <x v="0"/>
    <n v="0.2273"/>
    <n v="0.87"/>
    <x v="0"/>
    <n v="0.16420000000000001"/>
    <x v="0"/>
    <x v="0"/>
    <x v="1"/>
    <x v="17"/>
    <x v="0"/>
  </r>
  <r>
    <n v="401"/>
    <x v="17"/>
    <n v="1"/>
    <n v="0"/>
    <n v="1"/>
    <x v="16"/>
    <x v="3"/>
    <x v="0"/>
    <x v="3"/>
    <x v="1"/>
    <n v="0.22"/>
    <x v="0"/>
    <n v="0.2273"/>
    <n v="0.87"/>
    <x v="0"/>
    <n v="0.19400000000000001"/>
    <x v="0"/>
    <x v="3"/>
    <x v="124"/>
    <x v="42"/>
    <x v="0"/>
  </r>
  <r>
    <n v="402"/>
    <x v="17"/>
    <n v="1"/>
    <n v="0"/>
    <n v="1"/>
    <x v="17"/>
    <x v="4"/>
    <x v="0"/>
    <x v="3"/>
    <x v="1"/>
    <n v="0.22"/>
    <x v="0"/>
    <n v="0.2273"/>
    <n v="0.82"/>
    <x v="0"/>
    <n v="0.19400000000000001"/>
    <x v="0"/>
    <x v="5"/>
    <x v="125"/>
    <x v="139"/>
    <x v="1"/>
  </r>
  <r>
    <n v="403"/>
    <x v="17"/>
    <n v="1"/>
    <n v="0"/>
    <n v="1"/>
    <x v="18"/>
    <x v="4"/>
    <x v="0"/>
    <x v="3"/>
    <x v="1"/>
    <n v="0.22"/>
    <x v="0"/>
    <n v="0.2273"/>
    <n v="0.8"/>
    <x v="0"/>
    <n v="0.16420000000000001"/>
    <x v="0"/>
    <x v="5"/>
    <x v="126"/>
    <x v="140"/>
    <x v="1"/>
  </r>
  <r>
    <n v="404"/>
    <x v="17"/>
    <n v="1"/>
    <n v="0"/>
    <n v="1"/>
    <x v="19"/>
    <x v="4"/>
    <x v="0"/>
    <x v="3"/>
    <x v="1"/>
    <n v="0.22"/>
    <x v="0"/>
    <n v="0.2273"/>
    <n v="0.8"/>
    <x v="0"/>
    <n v="0.1343"/>
    <x v="0"/>
    <x v="5"/>
    <x v="52"/>
    <x v="111"/>
    <x v="1"/>
  </r>
  <r>
    <n v="405"/>
    <x v="17"/>
    <n v="1"/>
    <n v="0"/>
    <n v="1"/>
    <x v="20"/>
    <x v="4"/>
    <x v="0"/>
    <x v="3"/>
    <x v="1"/>
    <n v="0.22"/>
    <x v="0"/>
    <n v="0.2727"/>
    <n v="0.87"/>
    <x v="0"/>
    <n v="0"/>
    <x v="0"/>
    <x v="3"/>
    <x v="93"/>
    <x v="56"/>
    <x v="1"/>
  </r>
  <r>
    <n v="406"/>
    <x v="17"/>
    <n v="1"/>
    <n v="0"/>
    <n v="1"/>
    <x v="21"/>
    <x v="0"/>
    <x v="0"/>
    <x v="3"/>
    <x v="1"/>
    <n v="0.22"/>
    <x v="0"/>
    <n v="0.2424"/>
    <n v="0.93"/>
    <x v="0"/>
    <n v="0.1045"/>
    <x v="0"/>
    <x v="3"/>
    <x v="40"/>
    <x v="102"/>
    <x v="0"/>
  </r>
  <r>
    <n v="407"/>
    <x v="17"/>
    <n v="1"/>
    <n v="0"/>
    <n v="1"/>
    <x v="22"/>
    <x v="0"/>
    <x v="0"/>
    <x v="3"/>
    <x v="1"/>
    <n v="0.22"/>
    <x v="0"/>
    <n v="0.2576"/>
    <n v="0.93"/>
    <x v="0"/>
    <n v="8.9599999999999999E-2"/>
    <x v="0"/>
    <x v="3"/>
    <x v="39"/>
    <x v="63"/>
    <x v="0"/>
  </r>
  <r>
    <n v="408"/>
    <x v="17"/>
    <n v="1"/>
    <n v="0"/>
    <n v="1"/>
    <x v="23"/>
    <x v="0"/>
    <x v="0"/>
    <x v="3"/>
    <x v="1"/>
    <n v="0.22"/>
    <x v="0"/>
    <n v="0.2727"/>
    <n v="0.93"/>
    <x v="0"/>
    <n v="0"/>
    <x v="0"/>
    <x v="5"/>
    <x v="23"/>
    <x v="25"/>
    <x v="0"/>
  </r>
  <r>
    <n v="409"/>
    <x v="18"/>
    <n v="1"/>
    <n v="0"/>
    <n v="1"/>
    <x v="0"/>
    <x v="0"/>
    <x v="0"/>
    <x v="4"/>
    <x v="1"/>
    <n v="0.22"/>
    <x v="0"/>
    <n v="0.2727"/>
    <n v="0.93"/>
    <x v="0"/>
    <n v="0"/>
    <x v="0"/>
    <x v="3"/>
    <x v="35"/>
    <x v="6"/>
    <x v="0"/>
  </r>
  <r>
    <n v="410"/>
    <x v="18"/>
    <n v="1"/>
    <n v="0"/>
    <n v="1"/>
    <x v="1"/>
    <x v="0"/>
    <x v="0"/>
    <x v="4"/>
    <x v="2"/>
    <n v="0.22"/>
    <x v="0"/>
    <n v="0.2273"/>
    <n v="0.93"/>
    <x v="0"/>
    <n v="0.1343"/>
    <x v="0"/>
    <x v="5"/>
    <x v="8"/>
    <x v="85"/>
    <x v="0"/>
  </r>
  <r>
    <n v="411"/>
    <x v="18"/>
    <n v="1"/>
    <n v="0"/>
    <n v="1"/>
    <x v="2"/>
    <x v="0"/>
    <x v="0"/>
    <x v="4"/>
    <x v="2"/>
    <n v="0.22"/>
    <x v="0"/>
    <n v="0.2273"/>
    <n v="0.93"/>
    <x v="0"/>
    <n v="0.1343"/>
    <x v="0"/>
    <x v="3"/>
    <x v="35"/>
    <x v="6"/>
    <x v="0"/>
  </r>
  <r>
    <n v="412"/>
    <x v="18"/>
    <n v="1"/>
    <n v="0"/>
    <n v="1"/>
    <x v="4"/>
    <x v="1"/>
    <x v="0"/>
    <x v="4"/>
    <x v="2"/>
    <n v="0.22"/>
    <x v="0"/>
    <n v="0.2273"/>
    <n v="0.93"/>
    <x v="0"/>
    <n v="0.1343"/>
    <x v="0"/>
    <x v="5"/>
    <x v="4"/>
    <x v="5"/>
    <x v="0"/>
  </r>
  <r>
    <n v="413"/>
    <x v="18"/>
    <n v="1"/>
    <n v="0"/>
    <n v="1"/>
    <x v="5"/>
    <x v="1"/>
    <x v="0"/>
    <x v="4"/>
    <x v="1"/>
    <n v="0.22"/>
    <x v="0"/>
    <n v="0.2576"/>
    <n v="0.93"/>
    <x v="0"/>
    <n v="8.9599999999999999E-2"/>
    <x v="0"/>
    <x v="3"/>
    <x v="7"/>
    <x v="85"/>
    <x v="0"/>
  </r>
  <r>
    <n v="414"/>
    <x v="18"/>
    <n v="1"/>
    <n v="0"/>
    <n v="1"/>
    <x v="6"/>
    <x v="1"/>
    <x v="0"/>
    <x v="4"/>
    <x v="1"/>
    <n v="0.22"/>
    <x v="0"/>
    <n v="0.2576"/>
    <n v="0.93"/>
    <x v="0"/>
    <n v="8.9599999999999999E-2"/>
    <x v="0"/>
    <x v="3"/>
    <x v="1"/>
    <x v="2"/>
    <x v="0"/>
  </r>
  <r>
    <n v="415"/>
    <x v="18"/>
    <n v="1"/>
    <n v="0"/>
    <n v="1"/>
    <x v="7"/>
    <x v="2"/>
    <x v="0"/>
    <x v="4"/>
    <x v="1"/>
    <n v="0.24"/>
    <x v="0"/>
    <n v="0.2576"/>
    <n v="0.92"/>
    <x v="0"/>
    <n v="0.1045"/>
    <x v="0"/>
    <x v="5"/>
    <x v="121"/>
    <x v="127"/>
    <x v="1"/>
  </r>
  <r>
    <n v="416"/>
    <x v="18"/>
    <n v="1"/>
    <n v="0"/>
    <n v="1"/>
    <x v="8"/>
    <x v="2"/>
    <x v="0"/>
    <x v="4"/>
    <x v="1"/>
    <n v="0.24"/>
    <x v="0"/>
    <n v="0.2576"/>
    <n v="0.93"/>
    <x v="0"/>
    <n v="0.1045"/>
    <x v="0"/>
    <x v="5"/>
    <x v="127"/>
    <x v="141"/>
    <x v="2"/>
  </r>
  <r>
    <n v="417"/>
    <x v="18"/>
    <n v="1"/>
    <n v="0"/>
    <n v="1"/>
    <x v="9"/>
    <x v="2"/>
    <x v="0"/>
    <x v="4"/>
    <x v="1"/>
    <n v="0.24"/>
    <x v="0"/>
    <n v="0.2576"/>
    <n v="0.93"/>
    <x v="0"/>
    <n v="0.1045"/>
    <x v="0"/>
    <x v="4"/>
    <x v="128"/>
    <x v="142"/>
    <x v="1"/>
  </r>
  <r>
    <n v="418"/>
    <x v="18"/>
    <n v="1"/>
    <n v="0"/>
    <n v="1"/>
    <x v="10"/>
    <x v="2"/>
    <x v="0"/>
    <x v="4"/>
    <x v="1"/>
    <n v="0.26"/>
    <x v="1"/>
    <n v="0.2727"/>
    <n v="0.93"/>
    <x v="0"/>
    <n v="0.1343"/>
    <x v="0"/>
    <x v="5"/>
    <x v="24"/>
    <x v="105"/>
    <x v="0"/>
  </r>
  <r>
    <n v="419"/>
    <x v="18"/>
    <n v="1"/>
    <n v="0"/>
    <n v="1"/>
    <x v="11"/>
    <x v="3"/>
    <x v="0"/>
    <x v="4"/>
    <x v="1"/>
    <n v="0.28000000000000003"/>
    <x v="1"/>
    <n v="0.30299999999999999"/>
    <n v="0.87"/>
    <x v="0"/>
    <n v="8.9599999999999999E-2"/>
    <x v="0"/>
    <x v="2"/>
    <x v="12"/>
    <x v="46"/>
    <x v="0"/>
  </r>
  <r>
    <n v="420"/>
    <x v="18"/>
    <n v="1"/>
    <n v="0"/>
    <n v="1"/>
    <x v="12"/>
    <x v="3"/>
    <x v="0"/>
    <x v="4"/>
    <x v="1"/>
    <n v="0.3"/>
    <x v="1"/>
    <n v="0.31819999999999998"/>
    <n v="0.81"/>
    <x v="0"/>
    <n v="8.9599999999999999E-2"/>
    <x v="0"/>
    <x v="2"/>
    <x v="65"/>
    <x v="27"/>
    <x v="0"/>
  </r>
  <r>
    <n v="421"/>
    <x v="18"/>
    <n v="1"/>
    <n v="0"/>
    <n v="1"/>
    <x v="13"/>
    <x v="3"/>
    <x v="0"/>
    <x v="4"/>
    <x v="0"/>
    <n v="0.4"/>
    <x v="2"/>
    <n v="0.40910000000000002"/>
    <n v="0.62"/>
    <x v="0"/>
    <n v="0.28360000000000002"/>
    <x v="1"/>
    <x v="16"/>
    <x v="28"/>
    <x v="53"/>
    <x v="1"/>
  </r>
  <r>
    <n v="422"/>
    <x v="18"/>
    <n v="1"/>
    <n v="0"/>
    <n v="1"/>
    <x v="14"/>
    <x v="3"/>
    <x v="0"/>
    <x v="4"/>
    <x v="0"/>
    <n v="0.4"/>
    <x v="2"/>
    <n v="0.40910000000000002"/>
    <n v="0.57999999999999996"/>
    <x v="1"/>
    <n v="0.25369999999999998"/>
    <x v="1"/>
    <x v="18"/>
    <x v="56"/>
    <x v="28"/>
    <x v="1"/>
  </r>
  <r>
    <n v="423"/>
    <x v="18"/>
    <n v="1"/>
    <n v="0"/>
    <n v="1"/>
    <x v="15"/>
    <x v="3"/>
    <x v="0"/>
    <x v="4"/>
    <x v="0"/>
    <n v="0.4"/>
    <x v="2"/>
    <n v="0.40910000000000002"/>
    <n v="0.54"/>
    <x v="1"/>
    <n v="0.28360000000000002"/>
    <x v="1"/>
    <x v="17"/>
    <x v="78"/>
    <x v="100"/>
    <x v="1"/>
  </r>
  <r>
    <n v="424"/>
    <x v="18"/>
    <n v="1"/>
    <n v="0"/>
    <n v="1"/>
    <x v="16"/>
    <x v="3"/>
    <x v="0"/>
    <x v="4"/>
    <x v="0"/>
    <n v="0.38"/>
    <x v="2"/>
    <n v="0.39389999999999997"/>
    <n v="0.57999999999999996"/>
    <x v="1"/>
    <n v="0.3881"/>
    <x v="1"/>
    <x v="22"/>
    <x v="111"/>
    <x v="133"/>
    <x v="1"/>
  </r>
  <r>
    <n v="425"/>
    <x v="18"/>
    <n v="1"/>
    <n v="0"/>
    <n v="1"/>
    <x v="17"/>
    <x v="4"/>
    <x v="0"/>
    <x v="4"/>
    <x v="0"/>
    <n v="0.36"/>
    <x v="2"/>
    <n v="0.33329999999999999"/>
    <n v="0.56999999999999995"/>
    <x v="1"/>
    <n v="0.32840000000000003"/>
    <x v="1"/>
    <x v="18"/>
    <x v="84"/>
    <x v="141"/>
    <x v="2"/>
  </r>
  <r>
    <n v="426"/>
    <x v="18"/>
    <n v="1"/>
    <n v="0"/>
    <n v="1"/>
    <x v="18"/>
    <x v="4"/>
    <x v="0"/>
    <x v="4"/>
    <x v="0"/>
    <n v="0.34"/>
    <x v="2"/>
    <n v="0.31819999999999998"/>
    <n v="0.61"/>
    <x v="3"/>
    <n v="0.28360000000000002"/>
    <x v="1"/>
    <x v="2"/>
    <x v="117"/>
    <x v="143"/>
    <x v="2"/>
  </r>
  <r>
    <n v="427"/>
    <x v="18"/>
    <n v="1"/>
    <n v="0"/>
    <n v="1"/>
    <x v="19"/>
    <x v="4"/>
    <x v="0"/>
    <x v="4"/>
    <x v="0"/>
    <n v="0.32"/>
    <x v="1"/>
    <n v="0.28789999999999999"/>
    <n v="0.56999999999999995"/>
    <x v="1"/>
    <n v="0.41789999999999999"/>
    <x v="2"/>
    <x v="17"/>
    <x v="123"/>
    <x v="59"/>
    <x v="1"/>
  </r>
  <r>
    <n v="428"/>
    <x v="18"/>
    <n v="1"/>
    <n v="0"/>
    <n v="1"/>
    <x v="20"/>
    <x v="4"/>
    <x v="0"/>
    <x v="4"/>
    <x v="0"/>
    <n v="0.32"/>
    <x v="1"/>
    <n v="0.30299999999999999"/>
    <n v="0.49"/>
    <x v="1"/>
    <n v="0.29849999999999999"/>
    <x v="1"/>
    <x v="4"/>
    <x v="64"/>
    <x v="31"/>
    <x v="1"/>
  </r>
  <r>
    <n v="429"/>
    <x v="18"/>
    <n v="1"/>
    <n v="0"/>
    <n v="1"/>
    <x v="21"/>
    <x v="0"/>
    <x v="0"/>
    <x v="4"/>
    <x v="0"/>
    <n v="0.32"/>
    <x v="1"/>
    <n v="0.28789999999999999"/>
    <n v="0.49"/>
    <x v="1"/>
    <n v="0.41789999999999999"/>
    <x v="2"/>
    <x v="17"/>
    <x v="11"/>
    <x v="29"/>
    <x v="0"/>
  </r>
  <r>
    <n v="430"/>
    <x v="18"/>
    <n v="1"/>
    <n v="0"/>
    <n v="1"/>
    <x v="22"/>
    <x v="0"/>
    <x v="0"/>
    <x v="4"/>
    <x v="0"/>
    <n v="0.3"/>
    <x v="1"/>
    <n v="0.30299999999999999"/>
    <n v="0.52"/>
    <x v="1"/>
    <n v="0.16420000000000001"/>
    <x v="0"/>
    <x v="15"/>
    <x v="42"/>
    <x v="29"/>
    <x v="0"/>
  </r>
  <r>
    <n v="431"/>
    <x v="18"/>
    <n v="1"/>
    <n v="0"/>
    <n v="1"/>
    <x v="23"/>
    <x v="0"/>
    <x v="0"/>
    <x v="4"/>
    <x v="0"/>
    <n v="0.3"/>
    <x v="1"/>
    <n v="0.2727"/>
    <n v="0.52"/>
    <x v="1"/>
    <n v="0.4627"/>
    <x v="2"/>
    <x v="5"/>
    <x v="2"/>
    <x v="20"/>
    <x v="0"/>
  </r>
  <r>
    <n v="432"/>
    <x v="19"/>
    <n v="1"/>
    <n v="0"/>
    <n v="1"/>
    <x v="0"/>
    <x v="0"/>
    <x v="0"/>
    <x v="5"/>
    <x v="0"/>
    <n v="0.26"/>
    <x v="1"/>
    <n v="0.2273"/>
    <n v="0.56000000000000005"/>
    <x v="1"/>
    <n v="0.3881"/>
    <x v="1"/>
    <x v="2"/>
    <x v="21"/>
    <x v="3"/>
    <x v="0"/>
  </r>
  <r>
    <n v="433"/>
    <x v="19"/>
    <n v="1"/>
    <n v="0"/>
    <n v="1"/>
    <x v="1"/>
    <x v="0"/>
    <x v="0"/>
    <x v="5"/>
    <x v="0"/>
    <n v="0.26"/>
    <x v="1"/>
    <n v="0.2727"/>
    <n v="0.56000000000000005"/>
    <x v="1"/>
    <n v="0"/>
    <x v="0"/>
    <x v="4"/>
    <x v="35"/>
    <x v="36"/>
    <x v="0"/>
  </r>
  <r>
    <n v="434"/>
    <x v="19"/>
    <n v="1"/>
    <n v="0"/>
    <n v="1"/>
    <x v="2"/>
    <x v="0"/>
    <x v="0"/>
    <x v="5"/>
    <x v="0"/>
    <n v="0.26"/>
    <x v="1"/>
    <n v="0.2727"/>
    <n v="0.56000000000000005"/>
    <x v="1"/>
    <n v="0"/>
    <x v="0"/>
    <x v="3"/>
    <x v="6"/>
    <x v="5"/>
    <x v="0"/>
  </r>
  <r>
    <n v="435"/>
    <x v="19"/>
    <n v="1"/>
    <n v="0"/>
    <n v="1"/>
    <x v="3"/>
    <x v="0"/>
    <x v="0"/>
    <x v="5"/>
    <x v="0"/>
    <n v="0.26"/>
    <x v="1"/>
    <n v="0.2576"/>
    <n v="0.56000000000000005"/>
    <x v="1"/>
    <n v="0.16420000000000001"/>
    <x v="0"/>
    <x v="3"/>
    <x v="4"/>
    <x v="4"/>
    <x v="0"/>
  </r>
  <r>
    <n v="436"/>
    <x v="19"/>
    <n v="1"/>
    <n v="0"/>
    <n v="1"/>
    <x v="4"/>
    <x v="1"/>
    <x v="0"/>
    <x v="5"/>
    <x v="0"/>
    <n v="0.26"/>
    <x v="1"/>
    <n v="0.2576"/>
    <n v="0.56000000000000005"/>
    <x v="1"/>
    <n v="0.16420000000000001"/>
    <x v="0"/>
    <x v="3"/>
    <x v="4"/>
    <x v="4"/>
    <x v="0"/>
  </r>
  <r>
    <n v="437"/>
    <x v="19"/>
    <n v="1"/>
    <n v="0"/>
    <n v="1"/>
    <x v="5"/>
    <x v="1"/>
    <x v="0"/>
    <x v="5"/>
    <x v="0"/>
    <n v="0.24"/>
    <x v="0"/>
    <n v="0.2273"/>
    <n v="0.6"/>
    <x v="3"/>
    <n v="0.22389999999999999"/>
    <x v="1"/>
    <x v="3"/>
    <x v="8"/>
    <x v="24"/>
    <x v="0"/>
  </r>
  <r>
    <n v="438"/>
    <x v="19"/>
    <n v="1"/>
    <n v="0"/>
    <n v="1"/>
    <x v="6"/>
    <x v="1"/>
    <x v="0"/>
    <x v="5"/>
    <x v="0"/>
    <n v="0.22"/>
    <x v="0"/>
    <n v="0.21210000000000001"/>
    <n v="0.6"/>
    <x v="3"/>
    <n v="0.22389999999999999"/>
    <x v="1"/>
    <x v="3"/>
    <x v="96"/>
    <x v="17"/>
    <x v="0"/>
  </r>
  <r>
    <n v="439"/>
    <x v="19"/>
    <n v="1"/>
    <n v="0"/>
    <n v="1"/>
    <x v="7"/>
    <x v="2"/>
    <x v="0"/>
    <x v="5"/>
    <x v="0"/>
    <n v="0.22"/>
    <x v="0"/>
    <n v="0.21210000000000001"/>
    <n v="0.55000000000000004"/>
    <x v="1"/>
    <n v="0.22389999999999999"/>
    <x v="1"/>
    <x v="5"/>
    <x v="129"/>
    <x v="129"/>
    <x v="1"/>
  </r>
  <r>
    <n v="440"/>
    <x v="19"/>
    <n v="1"/>
    <n v="0"/>
    <n v="1"/>
    <x v="8"/>
    <x v="2"/>
    <x v="0"/>
    <x v="5"/>
    <x v="0"/>
    <n v="0.22"/>
    <x v="0"/>
    <n v="0.21210000000000001"/>
    <n v="0.55000000000000004"/>
    <x v="1"/>
    <n v="0.28360000000000002"/>
    <x v="1"/>
    <x v="4"/>
    <x v="130"/>
    <x v="144"/>
    <x v="2"/>
  </r>
  <r>
    <n v="441"/>
    <x v="19"/>
    <n v="1"/>
    <n v="0"/>
    <n v="1"/>
    <x v="9"/>
    <x v="2"/>
    <x v="0"/>
    <x v="5"/>
    <x v="1"/>
    <n v="0.24"/>
    <x v="0"/>
    <n v="0.2273"/>
    <n v="0.52"/>
    <x v="1"/>
    <n v="0.22389999999999999"/>
    <x v="1"/>
    <x v="0"/>
    <x v="131"/>
    <x v="145"/>
    <x v="1"/>
  </r>
  <r>
    <n v="442"/>
    <x v="19"/>
    <n v="1"/>
    <n v="0"/>
    <n v="1"/>
    <x v="10"/>
    <x v="2"/>
    <x v="0"/>
    <x v="5"/>
    <x v="0"/>
    <n v="0.26"/>
    <x v="1"/>
    <n v="0.2273"/>
    <n v="0.48"/>
    <x v="1"/>
    <n v="0.29849999999999999"/>
    <x v="1"/>
    <x v="5"/>
    <x v="90"/>
    <x v="52"/>
    <x v="0"/>
  </r>
  <r>
    <n v="443"/>
    <x v="19"/>
    <n v="1"/>
    <n v="0"/>
    <n v="1"/>
    <x v="11"/>
    <x v="3"/>
    <x v="0"/>
    <x v="5"/>
    <x v="1"/>
    <n v="0.28000000000000003"/>
    <x v="1"/>
    <n v="0.2727"/>
    <n v="0.45"/>
    <x v="1"/>
    <n v="0.16420000000000001"/>
    <x v="0"/>
    <x v="2"/>
    <x v="36"/>
    <x v="118"/>
    <x v="0"/>
  </r>
  <r>
    <n v="444"/>
    <x v="19"/>
    <n v="1"/>
    <n v="0"/>
    <n v="1"/>
    <x v="12"/>
    <x v="3"/>
    <x v="0"/>
    <x v="5"/>
    <x v="1"/>
    <n v="0.3"/>
    <x v="1"/>
    <n v="0.33329999999999999"/>
    <n v="0.42"/>
    <x v="1"/>
    <n v="0"/>
    <x v="0"/>
    <x v="18"/>
    <x v="99"/>
    <x v="11"/>
    <x v="1"/>
  </r>
  <r>
    <n v="445"/>
    <x v="19"/>
    <n v="1"/>
    <n v="0"/>
    <n v="1"/>
    <x v="13"/>
    <x v="3"/>
    <x v="0"/>
    <x v="5"/>
    <x v="1"/>
    <n v="0.28000000000000003"/>
    <x v="1"/>
    <n v="0.28789999999999999"/>
    <n v="0.45"/>
    <x v="1"/>
    <n v="0.1045"/>
    <x v="0"/>
    <x v="6"/>
    <x v="132"/>
    <x v="95"/>
    <x v="1"/>
  </r>
  <r>
    <n v="446"/>
    <x v="19"/>
    <n v="1"/>
    <n v="0"/>
    <n v="1"/>
    <x v="14"/>
    <x v="3"/>
    <x v="0"/>
    <x v="5"/>
    <x v="1"/>
    <n v="0.3"/>
    <x v="1"/>
    <n v="0.30299999999999999"/>
    <n v="0.45"/>
    <x v="1"/>
    <n v="0.1343"/>
    <x v="0"/>
    <x v="15"/>
    <x v="102"/>
    <x v="117"/>
    <x v="1"/>
  </r>
  <r>
    <n v="447"/>
    <x v="19"/>
    <n v="1"/>
    <n v="0"/>
    <n v="1"/>
    <x v="15"/>
    <x v="3"/>
    <x v="0"/>
    <x v="5"/>
    <x v="1"/>
    <n v="0.32"/>
    <x v="1"/>
    <n v="0.31819999999999998"/>
    <n v="0.45"/>
    <x v="1"/>
    <n v="0.19400000000000001"/>
    <x v="0"/>
    <x v="1"/>
    <x v="133"/>
    <x v="27"/>
    <x v="0"/>
  </r>
  <r>
    <n v="448"/>
    <x v="19"/>
    <n v="1"/>
    <n v="0"/>
    <n v="1"/>
    <x v="16"/>
    <x v="3"/>
    <x v="0"/>
    <x v="5"/>
    <x v="1"/>
    <n v="0.3"/>
    <x v="1"/>
    <n v="0.30299999999999999"/>
    <n v="0.49"/>
    <x v="1"/>
    <n v="0.1343"/>
    <x v="0"/>
    <x v="1"/>
    <x v="93"/>
    <x v="134"/>
    <x v="1"/>
  </r>
  <r>
    <n v="449"/>
    <x v="19"/>
    <n v="1"/>
    <n v="0"/>
    <n v="1"/>
    <x v="17"/>
    <x v="4"/>
    <x v="0"/>
    <x v="5"/>
    <x v="1"/>
    <n v="0.3"/>
    <x v="1"/>
    <n v="0.31819999999999998"/>
    <n v="0.49"/>
    <x v="1"/>
    <n v="0.1045"/>
    <x v="0"/>
    <x v="1"/>
    <x v="134"/>
    <x v="146"/>
    <x v="2"/>
  </r>
  <r>
    <n v="450"/>
    <x v="19"/>
    <n v="1"/>
    <n v="0"/>
    <n v="1"/>
    <x v="18"/>
    <x v="4"/>
    <x v="0"/>
    <x v="5"/>
    <x v="1"/>
    <n v="0.26"/>
    <x v="1"/>
    <n v="0.2576"/>
    <n v="0.56000000000000005"/>
    <x v="1"/>
    <n v="0.19400000000000001"/>
    <x v="0"/>
    <x v="5"/>
    <x v="103"/>
    <x v="147"/>
    <x v="2"/>
  </r>
  <r>
    <n v="451"/>
    <x v="19"/>
    <n v="1"/>
    <n v="0"/>
    <n v="1"/>
    <x v="19"/>
    <x v="4"/>
    <x v="0"/>
    <x v="5"/>
    <x v="0"/>
    <n v="0.26"/>
    <x v="1"/>
    <n v="0.2273"/>
    <n v="0.56000000000000005"/>
    <x v="1"/>
    <n v="0.32840000000000003"/>
    <x v="1"/>
    <x v="15"/>
    <x v="44"/>
    <x v="148"/>
    <x v="1"/>
  </r>
  <r>
    <n v="452"/>
    <x v="19"/>
    <n v="1"/>
    <n v="0"/>
    <n v="1"/>
    <x v="20"/>
    <x v="4"/>
    <x v="0"/>
    <x v="5"/>
    <x v="1"/>
    <n v="0.26"/>
    <x v="1"/>
    <n v="0.2424"/>
    <n v="0.6"/>
    <x v="3"/>
    <n v="0.28360000000000002"/>
    <x v="1"/>
    <x v="4"/>
    <x v="125"/>
    <x v="149"/>
    <x v="1"/>
  </r>
  <r>
    <n v="453"/>
    <x v="19"/>
    <n v="1"/>
    <n v="0"/>
    <n v="1"/>
    <x v="21"/>
    <x v="0"/>
    <x v="0"/>
    <x v="5"/>
    <x v="1"/>
    <n v="0.24"/>
    <x v="0"/>
    <n v="0.2273"/>
    <n v="0.6"/>
    <x v="3"/>
    <n v="0.25369999999999998"/>
    <x v="1"/>
    <x v="0"/>
    <x v="25"/>
    <x v="52"/>
    <x v="0"/>
  </r>
  <r>
    <n v="454"/>
    <x v="19"/>
    <n v="1"/>
    <n v="0"/>
    <n v="1"/>
    <x v="22"/>
    <x v="0"/>
    <x v="0"/>
    <x v="5"/>
    <x v="1"/>
    <n v="0.24"/>
    <x v="0"/>
    <n v="0.21210000000000001"/>
    <n v="0.65"/>
    <x v="0"/>
    <n v="0.28360000000000002"/>
    <x v="1"/>
    <x v="3"/>
    <x v="90"/>
    <x v="10"/>
    <x v="0"/>
  </r>
  <r>
    <n v="455"/>
    <x v="19"/>
    <n v="1"/>
    <n v="0"/>
    <n v="1"/>
    <x v="23"/>
    <x v="0"/>
    <x v="0"/>
    <x v="5"/>
    <x v="1"/>
    <n v="0.24"/>
    <x v="0"/>
    <n v="0.21210000000000001"/>
    <n v="0.65"/>
    <x v="0"/>
    <n v="0.32840000000000003"/>
    <x v="1"/>
    <x v="0"/>
    <x v="95"/>
    <x v="35"/>
    <x v="0"/>
  </r>
  <r>
    <n v="456"/>
    <x v="20"/>
    <n v="1"/>
    <n v="0"/>
    <n v="1"/>
    <x v="0"/>
    <x v="0"/>
    <x v="0"/>
    <x v="6"/>
    <x v="1"/>
    <n v="0.24"/>
    <x v="0"/>
    <n v="0.2273"/>
    <n v="0.7"/>
    <x v="0"/>
    <n v="0.25369999999999998"/>
    <x v="1"/>
    <x v="5"/>
    <x v="32"/>
    <x v="137"/>
    <x v="0"/>
  </r>
  <r>
    <n v="457"/>
    <x v="20"/>
    <n v="1"/>
    <n v="0"/>
    <n v="1"/>
    <x v="1"/>
    <x v="0"/>
    <x v="0"/>
    <x v="6"/>
    <x v="1"/>
    <n v="0.24"/>
    <x v="0"/>
    <n v="0.2273"/>
    <n v="0.7"/>
    <x v="0"/>
    <n v="0.25369999999999998"/>
    <x v="1"/>
    <x v="3"/>
    <x v="8"/>
    <x v="24"/>
    <x v="0"/>
  </r>
  <r>
    <n v="458"/>
    <x v="20"/>
    <n v="1"/>
    <n v="0"/>
    <n v="1"/>
    <x v="2"/>
    <x v="0"/>
    <x v="0"/>
    <x v="6"/>
    <x v="2"/>
    <n v="0.24"/>
    <x v="0"/>
    <n v="0.2424"/>
    <n v="0.75"/>
    <x v="0"/>
    <n v="0.16420000000000001"/>
    <x v="0"/>
    <x v="3"/>
    <x v="6"/>
    <x v="5"/>
    <x v="0"/>
  </r>
  <r>
    <n v="459"/>
    <x v="20"/>
    <n v="1"/>
    <n v="0"/>
    <n v="1"/>
    <x v="3"/>
    <x v="0"/>
    <x v="0"/>
    <x v="6"/>
    <x v="2"/>
    <n v="0.22"/>
    <x v="0"/>
    <n v="0.21210000000000001"/>
    <n v="0.8"/>
    <x v="0"/>
    <n v="0.29849999999999999"/>
    <x v="1"/>
    <x v="3"/>
    <x v="4"/>
    <x v="4"/>
    <x v="0"/>
  </r>
  <r>
    <n v="460"/>
    <x v="20"/>
    <n v="1"/>
    <n v="0"/>
    <n v="1"/>
    <x v="4"/>
    <x v="1"/>
    <x v="0"/>
    <x v="6"/>
    <x v="1"/>
    <n v="0.22"/>
    <x v="0"/>
    <n v="0.2576"/>
    <n v="0.87"/>
    <x v="0"/>
    <n v="8.9599999999999999E-2"/>
    <x v="0"/>
    <x v="3"/>
    <x v="4"/>
    <x v="4"/>
    <x v="0"/>
  </r>
  <r>
    <n v="461"/>
    <x v="20"/>
    <n v="1"/>
    <n v="0"/>
    <n v="1"/>
    <x v="5"/>
    <x v="1"/>
    <x v="0"/>
    <x v="6"/>
    <x v="0"/>
    <n v="0.24"/>
    <x v="0"/>
    <n v="0.19700000000000001"/>
    <n v="0.6"/>
    <x v="3"/>
    <n v="0.41789999999999999"/>
    <x v="2"/>
    <x v="5"/>
    <x v="22"/>
    <x v="36"/>
    <x v="0"/>
  </r>
  <r>
    <n v="462"/>
    <x v="20"/>
    <n v="1"/>
    <n v="0"/>
    <n v="1"/>
    <x v="6"/>
    <x v="1"/>
    <x v="0"/>
    <x v="6"/>
    <x v="0"/>
    <n v="0.22"/>
    <x v="0"/>
    <n v="0.21210000000000001"/>
    <n v="0.55000000000000004"/>
    <x v="1"/>
    <n v="0.25369999999999998"/>
    <x v="1"/>
    <x v="3"/>
    <x v="2"/>
    <x v="110"/>
    <x v="0"/>
  </r>
  <r>
    <n v="463"/>
    <x v="20"/>
    <n v="1"/>
    <n v="0"/>
    <n v="1"/>
    <x v="7"/>
    <x v="2"/>
    <x v="0"/>
    <x v="6"/>
    <x v="0"/>
    <n v="0.2"/>
    <x v="0"/>
    <n v="0.18179999999999999"/>
    <n v="0.51"/>
    <x v="1"/>
    <n v="0.28360000000000002"/>
    <x v="1"/>
    <x v="4"/>
    <x v="43"/>
    <x v="118"/>
    <x v="0"/>
  </r>
  <r>
    <n v="464"/>
    <x v="20"/>
    <n v="1"/>
    <n v="0"/>
    <n v="1"/>
    <x v="8"/>
    <x v="2"/>
    <x v="0"/>
    <x v="6"/>
    <x v="0"/>
    <n v="0.2"/>
    <x v="0"/>
    <n v="0.18179999999999999"/>
    <n v="0.47"/>
    <x v="1"/>
    <n v="0.32840000000000003"/>
    <x v="1"/>
    <x v="18"/>
    <x v="135"/>
    <x v="112"/>
    <x v="2"/>
  </r>
  <r>
    <n v="465"/>
    <x v="20"/>
    <n v="1"/>
    <n v="0"/>
    <n v="1"/>
    <x v="9"/>
    <x v="2"/>
    <x v="0"/>
    <x v="6"/>
    <x v="0"/>
    <n v="0.2"/>
    <x v="0"/>
    <n v="0.18179999999999999"/>
    <n v="0.51"/>
    <x v="1"/>
    <n v="0.35820000000000002"/>
    <x v="1"/>
    <x v="18"/>
    <x v="136"/>
    <x v="150"/>
    <x v="2"/>
  </r>
  <r>
    <n v="466"/>
    <x v="20"/>
    <n v="1"/>
    <n v="0"/>
    <n v="1"/>
    <x v="10"/>
    <x v="2"/>
    <x v="0"/>
    <x v="6"/>
    <x v="0"/>
    <n v="0.2"/>
    <x v="0"/>
    <n v="0.16669999999999999"/>
    <n v="0.47"/>
    <x v="1"/>
    <n v="0.4627"/>
    <x v="2"/>
    <x v="15"/>
    <x v="77"/>
    <x v="55"/>
    <x v="0"/>
  </r>
  <r>
    <n v="467"/>
    <x v="20"/>
    <n v="1"/>
    <n v="0"/>
    <n v="1"/>
    <x v="11"/>
    <x v="3"/>
    <x v="0"/>
    <x v="6"/>
    <x v="0"/>
    <n v="0.22"/>
    <x v="0"/>
    <n v="0.18179999999999999"/>
    <n v="0.41"/>
    <x v="1"/>
    <n v="0.4627"/>
    <x v="2"/>
    <x v="15"/>
    <x v="42"/>
    <x v="29"/>
    <x v="0"/>
  </r>
  <r>
    <n v="468"/>
    <x v="20"/>
    <n v="1"/>
    <n v="0"/>
    <n v="1"/>
    <x v="12"/>
    <x v="3"/>
    <x v="0"/>
    <x v="6"/>
    <x v="0"/>
    <n v="0.22"/>
    <x v="0"/>
    <n v="0.18179999999999999"/>
    <n v="0.27"/>
    <x v="2"/>
    <n v="0.58209999999999995"/>
    <x v="2"/>
    <x v="16"/>
    <x v="28"/>
    <x v="53"/>
    <x v="1"/>
  </r>
  <r>
    <n v="469"/>
    <x v="20"/>
    <n v="1"/>
    <n v="0"/>
    <n v="1"/>
    <x v="13"/>
    <x v="3"/>
    <x v="0"/>
    <x v="6"/>
    <x v="0"/>
    <n v="0.2"/>
    <x v="0"/>
    <n v="0.1515"/>
    <n v="0.21"/>
    <x v="2"/>
    <n v="0.58209999999999995"/>
    <x v="2"/>
    <x v="1"/>
    <x v="65"/>
    <x v="88"/>
    <x v="1"/>
  </r>
  <r>
    <n v="470"/>
    <x v="20"/>
    <n v="1"/>
    <n v="0"/>
    <n v="1"/>
    <x v="14"/>
    <x v="3"/>
    <x v="0"/>
    <x v="6"/>
    <x v="0"/>
    <n v="0.2"/>
    <x v="0"/>
    <n v="0.1515"/>
    <n v="0.25"/>
    <x v="2"/>
    <n v="0.52239999999999998"/>
    <x v="2"/>
    <x v="15"/>
    <x v="90"/>
    <x v="69"/>
    <x v="0"/>
  </r>
  <r>
    <n v="471"/>
    <x v="20"/>
    <n v="1"/>
    <n v="0"/>
    <n v="1"/>
    <x v="15"/>
    <x v="3"/>
    <x v="0"/>
    <x v="6"/>
    <x v="0"/>
    <n v="0.16"/>
    <x v="0"/>
    <n v="0.1212"/>
    <n v="0.26"/>
    <x v="2"/>
    <n v="0.44779999999999998"/>
    <x v="2"/>
    <x v="17"/>
    <x v="124"/>
    <x v="32"/>
    <x v="0"/>
  </r>
  <r>
    <n v="472"/>
    <x v="20"/>
    <n v="1"/>
    <n v="0"/>
    <n v="1"/>
    <x v="16"/>
    <x v="3"/>
    <x v="0"/>
    <x v="6"/>
    <x v="0"/>
    <n v="0.16"/>
    <x v="0"/>
    <n v="0.13639999999999999"/>
    <n v="0.26"/>
    <x v="2"/>
    <n v="0.35820000000000002"/>
    <x v="1"/>
    <x v="3"/>
    <x v="106"/>
    <x v="54"/>
    <x v="1"/>
  </r>
  <r>
    <n v="473"/>
    <x v="20"/>
    <n v="1"/>
    <n v="0"/>
    <n v="1"/>
    <x v="17"/>
    <x v="4"/>
    <x v="0"/>
    <x v="6"/>
    <x v="0"/>
    <n v="0.14000000000000001"/>
    <x v="3"/>
    <n v="0.1212"/>
    <n v="0.28000000000000003"/>
    <x v="2"/>
    <n v="0.35820000000000002"/>
    <x v="1"/>
    <x v="22"/>
    <x v="137"/>
    <x v="143"/>
    <x v="2"/>
  </r>
  <r>
    <n v="474"/>
    <x v="20"/>
    <n v="1"/>
    <n v="0"/>
    <n v="1"/>
    <x v="18"/>
    <x v="4"/>
    <x v="0"/>
    <x v="6"/>
    <x v="0"/>
    <n v="0.12"/>
    <x v="3"/>
    <n v="0.1212"/>
    <n v="0.3"/>
    <x v="2"/>
    <n v="0.25369999999999998"/>
    <x v="1"/>
    <x v="5"/>
    <x v="138"/>
    <x v="151"/>
    <x v="1"/>
  </r>
  <r>
    <n v="475"/>
    <x v="20"/>
    <n v="1"/>
    <n v="0"/>
    <n v="1"/>
    <x v="19"/>
    <x v="4"/>
    <x v="0"/>
    <x v="6"/>
    <x v="0"/>
    <n v="0.12"/>
    <x v="3"/>
    <n v="0.1061"/>
    <n v="0.3"/>
    <x v="2"/>
    <n v="0.32840000000000003"/>
    <x v="1"/>
    <x v="0"/>
    <x v="139"/>
    <x v="152"/>
    <x v="1"/>
  </r>
  <r>
    <n v="476"/>
    <x v="20"/>
    <n v="1"/>
    <n v="0"/>
    <n v="1"/>
    <x v="20"/>
    <x v="4"/>
    <x v="0"/>
    <x v="6"/>
    <x v="0"/>
    <n v="0.1"/>
    <x v="3"/>
    <n v="7.5800000000000006E-2"/>
    <n v="0.33"/>
    <x v="2"/>
    <n v="0.41789999999999999"/>
    <x v="2"/>
    <x v="5"/>
    <x v="15"/>
    <x v="26"/>
    <x v="0"/>
  </r>
  <r>
    <n v="477"/>
    <x v="20"/>
    <n v="1"/>
    <n v="0"/>
    <n v="1"/>
    <x v="21"/>
    <x v="0"/>
    <x v="0"/>
    <x v="6"/>
    <x v="0"/>
    <n v="0.08"/>
    <x v="3"/>
    <n v="7.5800000000000006E-2"/>
    <n v="0.38"/>
    <x v="2"/>
    <n v="0.28360000000000002"/>
    <x v="1"/>
    <x v="3"/>
    <x v="40"/>
    <x v="102"/>
    <x v="0"/>
  </r>
  <r>
    <n v="478"/>
    <x v="20"/>
    <n v="1"/>
    <n v="0"/>
    <n v="1"/>
    <x v="22"/>
    <x v="0"/>
    <x v="0"/>
    <x v="6"/>
    <x v="0"/>
    <n v="0.06"/>
    <x v="3"/>
    <n v="3.0300000000000001E-2"/>
    <n v="0.41"/>
    <x v="1"/>
    <n v="0.3881"/>
    <x v="1"/>
    <x v="5"/>
    <x v="39"/>
    <x v="19"/>
    <x v="0"/>
  </r>
  <r>
    <n v="479"/>
    <x v="20"/>
    <n v="1"/>
    <n v="0"/>
    <n v="1"/>
    <x v="23"/>
    <x v="0"/>
    <x v="0"/>
    <x v="6"/>
    <x v="0"/>
    <n v="0.06"/>
    <x v="3"/>
    <n v="4.5499999999999999E-2"/>
    <n v="0.38"/>
    <x v="2"/>
    <n v="0.32840000000000003"/>
    <x v="1"/>
    <x v="3"/>
    <x v="2"/>
    <x v="110"/>
    <x v="0"/>
  </r>
  <r>
    <n v="480"/>
    <x v="21"/>
    <n v="1"/>
    <n v="0"/>
    <n v="1"/>
    <x v="0"/>
    <x v="0"/>
    <x v="0"/>
    <x v="0"/>
    <x v="0"/>
    <n v="0.04"/>
    <x v="3"/>
    <n v="3.0300000000000001E-2"/>
    <n v="0.45"/>
    <x v="1"/>
    <n v="0.25369999999999998"/>
    <x v="1"/>
    <x v="3"/>
    <x v="0"/>
    <x v="3"/>
    <x v="0"/>
  </r>
  <r>
    <n v="481"/>
    <x v="21"/>
    <n v="1"/>
    <n v="0"/>
    <n v="1"/>
    <x v="1"/>
    <x v="0"/>
    <x v="0"/>
    <x v="0"/>
    <x v="1"/>
    <n v="0.04"/>
    <x v="3"/>
    <n v="0"/>
    <n v="0.41"/>
    <x v="1"/>
    <n v="0.3881"/>
    <x v="1"/>
    <x v="0"/>
    <x v="33"/>
    <x v="47"/>
    <x v="0"/>
  </r>
  <r>
    <n v="482"/>
    <x v="21"/>
    <n v="1"/>
    <n v="0"/>
    <n v="1"/>
    <x v="2"/>
    <x v="0"/>
    <x v="0"/>
    <x v="0"/>
    <x v="1"/>
    <n v="0.04"/>
    <x v="3"/>
    <n v="3.0300000000000001E-2"/>
    <n v="0.41"/>
    <x v="1"/>
    <n v="0.25369999999999998"/>
    <x v="1"/>
    <x v="3"/>
    <x v="48"/>
    <x v="62"/>
    <x v="0"/>
  </r>
  <r>
    <n v="483"/>
    <x v="21"/>
    <n v="1"/>
    <n v="0"/>
    <n v="1"/>
    <x v="3"/>
    <x v="0"/>
    <x v="0"/>
    <x v="0"/>
    <x v="1"/>
    <n v="0.04"/>
    <x v="3"/>
    <n v="3.0300000000000001E-2"/>
    <n v="0.41"/>
    <x v="1"/>
    <n v="0.28360000000000002"/>
    <x v="1"/>
    <x v="5"/>
    <x v="8"/>
    <x v="85"/>
    <x v="0"/>
  </r>
  <r>
    <n v="484"/>
    <x v="21"/>
    <n v="1"/>
    <n v="0"/>
    <n v="1"/>
    <x v="4"/>
    <x v="1"/>
    <x v="0"/>
    <x v="0"/>
    <x v="1"/>
    <n v="0.02"/>
    <x v="3"/>
    <n v="1.52E-2"/>
    <n v="0.48"/>
    <x v="1"/>
    <n v="0.29849999999999999"/>
    <x v="1"/>
    <x v="3"/>
    <x v="35"/>
    <x v="6"/>
    <x v="0"/>
  </r>
  <r>
    <n v="485"/>
    <x v="21"/>
    <n v="1"/>
    <n v="0"/>
    <n v="1"/>
    <x v="6"/>
    <x v="1"/>
    <x v="0"/>
    <x v="0"/>
    <x v="1"/>
    <n v="0.02"/>
    <x v="3"/>
    <n v="3.0300000000000001E-2"/>
    <n v="0.44"/>
    <x v="1"/>
    <n v="0.22389999999999999"/>
    <x v="1"/>
    <x v="3"/>
    <x v="6"/>
    <x v="5"/>
    <x v="0"/>
  </r>
  <r>
    <n v="486"/>
    <x v="21"/>
    <n v="1"/>
    <n v="0"/>
    <n v="1"/>
    <x v="7"/>
    <x v="2"/>
    <x v="0"/>
    <x v="0"/>
    <x v="0"/>
    <n v="0.02"/>
    <x v="3"/>
    <n v="1.52E-2"/>
    <n v="0.44"/>
    <x v="1"/>
    <n v="0.28360000000000002"/>
    <x v="1"/>
    <x v="3"/>
    <x v="21"/>
    <x v="7"/>
    <x v="0"/>
  </r>
  <r>
    <n v="487"/>
    <x v="21"/>
    <n v="1"/>
    <n v="0"/>
    <n v="1"/>
    <x v="8"/>
    <x v="2"/>
    <x v="0"/>
    <x v="0"/>
    <x v="0"/>
    <n v="0.02"/>
    <x v="3"/>
    <n v="0"/>
    <n v="0.44"/>
    <x v="1"/>
    <n v="0.32840000000000003"/>
    <x v="1"/>
    <x v="5"/>
    <x v="16"/>
    <x v="110"/>
    <x v="0"/>
  </r>
  <r>
    <n v="488"/>
    <x v="21"/>
    <n v="1"/>
    <n v="0"/>
    <n v="1"/>
    <x v="9"/>
    <x v="2"/>
    <x v="0"/>
    <x v="0"/>
    <x v="0"/>
    <n v="0.04"/>
    <x v="3"/>
    <n v="3.0300000000000001E-2"/>
    <n v="0.41"/>
    <x v="1"/>
    <n v="0.25369999999999998"/>
    <x v="1"/>
    <x v="0"/>
    <x v="53"/>
    <x v="1"/>
    <x v="0"/>
  </r>
  <r>
    <n v="489"/>
    <x v="21"/>
    <n v="1"/>
    <n v="0"/>
    <n v="1"/>
    <x v="10"/>
    <x v="2"/>
    <x v="0"/>
    <x v="0"/>
    <x v="1"/>
    <n v="0.04"/>
    <x v="3"/>
    <n v="6.0600000000000001E-2"/>
    <n v="0.41"/>
    <x v="1"/>
    <n v="0.16420000000000001"/>
    <x v="0"/>
    <x v="0"/>
    <x v="54"/>
    <x v="26"/>
    <x v="0"/>
  </r>
  <r>
    <n v="490"/>
    <x v="21"/>
    <n v="1"/>
    <n v="0"/>
    <n v="1"/>
    <x v="11"/>
    <x v="3"/>
    <x v="0"/>
    <x v="0"/>
    <x v="1"/>
    <n v="0.06"/>
    <x v="3"/>
    <n v="7.5800000000000006E-2"/>
    <n v="0.38"/>
    <x v="2"/>
    <n v="0.1343"/>
    <x v="0"/>
    <x v="17"/>
    <x v="79"/>
    <x v="55"/>
    <x v="0"/>
  </r>
  <r>
    <n v="491"/>
    <x v="21"/>
    <n v="1"/>
    <n v="0"/>
    <n v="1"/>
    <x v="12"/>
    <x v="3"/>
    <x v="0"/>
    <x v="0"/>
    <x v="1"/>
    <n v="0.06"/>
    <x v="3"/>
    <n v="0.1061"/>
    <n v="0.38"/>
    <x v="2"/>
    <n v="0.1045"/>
    <x v="0"/>
    <x v="22"/>
    <x v="91"/>
    <x v="27"/>
    <x v="0"/>
  </r>
  <r>
    <n v="492"/>
    <x v="21"/>
    <n v="1"/>
    <n v="0"/>
    <n v="1"/>
    <x v="13"/>
    <x v="3"/>
    <x v="0"/>
    <x v="0"/>
    <x v="0"/>
    <n v="0.08"/>
    <x v="3"/>
    <n v="0.16669999999999999"/>
    <n v="0.35"/>
    <x v="2"/>
    <n v="0"/>
    <x v="0"/>
    <x v="6"/>
    <x v="109"/>
    <x v="11"/>
    <x v="1"/>
  </r>
  <r>
    <n v="493"/>
    <x v="21"/>
    <n v="1"/>
    <n v="0"/>
    <n v="1"/>
    <x v="14"/>
    <x v="3"/>
    <x v="0"/>
    <x v="0"/>
    <x v="0"/>
    <n v="0.1"/>
    <x v="3"/>
    <n v="0.13639999999999999"/>
    <n v="0.33"/>
    <x v="2"/>
    <n v="0.1045"/>
    <x v="0"/>
    <x v="16"/>
    <x v="27"/>
    <x v="28"/>
    <x v="1"/>
  </r>
  <r>
    <n v="494"/>
    <x v="21"/>
    <n v="1"/>
    <n v="0"/>
    <n v="1"/>
    <x v="15"/>
    <x v="3"/>
    <x v="0"/>
    <x v="0"/>
    <x v="0"/>
    <n v="0.12"/>
    <x v="3"/>
    <n v="0.1515"/>
    <n v="0.28000000000000003"/>
    <x v="2"/>
    <n v="0"/>
    <x v="0"/>
    <x v="22"/>
    <x v="139"/>
    <x v="153"/>
    <x v="1"/>
  </r>
  <r>
    <n v="495"/>
    <x v="21"/>
    <n v="1"/>
    <n v="0"/>
    <n v="1"/>
    <x v="16"/>
    <x v="3"/>
    <x v="0"/>
    <x v="0"/>
    <x v="0"/>
    <n v="0.12"/>
    <x v="3"/>
    <n v="0.13639999999999999"/>
    <n v="0.28000000000000003"/>
    <x v="2"/>
    <n v="0.19400000000000001"/>
    <x v="0"/>
    <x v="16"/>
    <x v="109"/>
    <x v="56"/>
    <x v="1"/>
  </r>
  <r>
    <n v="496"/>
    <x v="21"/>
    <n v="1"/>
    <n v="0"/>
    <n v="1"/>
    <x v="17"/>
    <x v="4"/>
    <x v="0"/>
    <x v="0"/>
    <x v="0"/>
    <n v="0.12"/>
    <x v="3"/>
    <n v="0.19700000000000001"/>
    <n v="0.28000000000000003"/>
    <x v="2"/>
    <n v="0"/>
    <x v="0"/>
    <x v="1"/>
    <x v="79"/>
    <x v="16"/>
    <x v="0"/>
  </r>
  <r>
    <n v="497"/>
    <x v="21"/>
    <n v="1"/>
    <n v="0"/>
    <n v="1"/>
    <x v="18"/>
    <x v="4"/>
    <x v="0"/>
    <x v="0"/>
    <x v="0"/>
    <n v="0.08"/>
    <x v="3"/>
    <n v="9.0899999999999995E-2"/>
    <n v="0.35"/>
    <x v="2"/>
    <n v="0.19400000000000001"/>
    <x v="0"/>
    <x v="3"/>
    <x v="25"/>
    <x v="60"/>
    <x v="0"/>
  </r>
  <r>
    <n v="498"/>
    <x v="21"/>
    <n v="1"/>
    <n v="0"/>
    <n v="1"/>
    <x v="19"/>
    <x v="4"/>
    <x v="0"/>
    <x v="0"/>
    <x v="0"/>
    <n v="0.08"/>
    <x v="3"/>
    <n v="0.1061"/>
    <n v="0.35"/>
    <x v="2"/>
    <n v="0.1343"/>
    <x v="0"/>
    <x v="15"/>
    <x v="42"/>
    <x v="29"/>
    <x v="0"/>
  </r>
  <r>
    <n v="499"/>
    <x v="21"/>
    <n v="1"/>
    <n v="0"/>
    <n v="1"/>
    <x v="20"/>
    <x v="4"/>
    <x v="0"/>
    <x v="0"/>
    <x v="0"/>
    <n v="0.06"/>
    <x v="3"/>
    <n v="7.5800000000000006E-2"/>
    <n v="0.45"/>
    <x v="1"/>
    <n v="0.16420000000000001"/>
    <x v="0"/>
    <x v="5"/>
    <x v="100"/>
    <x v="79"/>
    <x v="0"/>
  </r>
  <r>
    <n v="500"/>
    <x v="21"/>
    <n v="1"/>
    <n v="0"/>
    <n v="1"/>
    <x v="21"/>
    <x v="0"/>
    <x v="0"/>
    <x v="0"/>
    <x v="0"/>
    <n v="0.06"/>
    <x v="3"/>
    <n v="0.1061"/>
    <n v="0.41"/>
    <x v="1"/>
    <n v="8.9599999999999999E-2"/>
    <x v="0"/>
    <x v="3"/>
    <x v="87"/>
    <x v="21"/>
    <x v="0"/>
  </r>
  <r>
    <n v="501"/>
    <x v="21"/>
    <n v="1"/>
    <n v="0"/>
    <n v="1"/>
    <x v="22"/>
    <x v="0"/>
    <x v="0"/>
    <x v="0"/>
    <x v="0"/>
    <n v="0.06"/>
    <x v="3"/>
    <n v="0.1515"/>
    <n v="0.49"/>
    <x v="1"/>
    <n v="0"/>
    <x v="0"/>
    <x v="18"/>
    <x v="140"/>
    <x v="33"/>
    <x v="0"/>
  </r>
  <r>
    <n v="502"/>
    <x v="21"/>
    <n v="1"/>
    <n v="0"/>
    <n v="1"/>
    <x v="23"/>
    <x v="0"/>
    <x v="0"/>
    <x v="0"/>
    <x v="0"/>
    <n v="0.04"/>
    <x v="3"/>
    <n v="7.5800000000000006E-2"/>
    <n v="0.56999999999999995"/>
    <x v="1"/>
    <n v="0.1045"/>
    <x v="0"/>
    <x v="4"/>
    <x v="17"/>
    <x v="63"/>
    <x v="0"/>
  </r>
  <r>
    <n v="503"/>
    <x v="22"/>
    <n v="1"/>
    <n v="0"/>
    <n v="1"/>
    <x v="0"/>
    <x v="0"/>
    <x v="0"/>
    <x v="1"/>
    <x v="0"/>
    <n v="0.04"/>
    <x v="3"/>
    <n v="7.5800000000000006E-2"/>
    <n v="0.56999999999999995"/>
    <x v="1"/>
    <n v="0.1045"/>
    <x v="0"/>
    <x v="4"/>
    <x v="32"/>
    <x v="34"/>
    <x v="0"/>
  </r>
  <r>
    <n v="504"/>
    <x v="22"/>
    <n v="1"/>
    <n v="0"/>
    <n v="1"/>
    <x v="1"/>
    <x v="0"/>
    <x v="0"/>
    <x v="1"/>
    <x v="0"/>
    <n v="0.04"/>
    <x v="3"/>
    <n v="7.5800000000000006E-2"/>
    <n v="0.56999999999999995"/>
    <x v="1"/>
    <n v="0.1045"/>
    <x v="0"/>
    <x v="5"/>
    <x v="98"/>
    <x v="3"/>
    <x v="0"/>
  </r>
  <r>
    <n v="505"/>
    <x v="22"/>
    <n v="1"/>
    <n v="0"/>
    <n v="1"/>
    <x v="2"/>
    <x v="0"/>
    <x v="0"/>
    <x v="1"/>
    <x v="0"/>
    <n v="0.02"/>
    <x v="3"/>
    <n v="6.0600000000000001E-2"/>
    <n v="0.62"/>
    <x v="0"/>
    <n v="0.1343"/>
    <x v="0"/>
    <x v="0"/>
    <x v="89"/>
    <x v="109"/>
    <x v="0"/>
  </r>
  <r>
    <n v="506"/>
    <x v="22"/>
    <n v="1"/>
    <n v="0"/>
    <n v="1"/>
    <x v="3"/>
    <x v="0"/>
    <x v="0"/>
    <x v="1"/>
    <x v="0"/>
    <n v="0.02"/>
    <x v="3"/>
    <n v="6.0600000000000001E-2"/>
    <n v="0.62"/>
    <x v="0"/>
    <n v="0.1343"/>
    <x v="0"/>
    <x v="5"/>
    <x v="22"/>
    <x v="36"/>
    <x v="0"/>
  </r>
  <r>
    <n v="507"/>
    <x v="22"/>
    <n v="1"/>
    <n v="0"/>
    <n v="1"/>
    <x v="5"/>
    <x v="1"/>
    <x v="0"/>
    <x v="1"/>
    <x v="1"/>
    <n v="0.04"/>
    <x v="3"/>
    <n v="7.5800000000000006E-2"/>
    <n v="0.56999999999999995"/>
    <x v="1"/>
    <n v="0.1045"/>
    <x v="0"/>
    <x v="3"/>
    <x v="35"/>
    <x v="6"/>
    <x v="0"/>
  </r>
  <r>
    <n v="508"/>
    <x v="22"/>
    <n v="1"/>
    <n v="0"/>
    <n v="1"/>
    <x v="6"/>
    <x v="1"/>
    <x v="0"/>
    <x v="1"/>
    <x v="1"/>
    <n v="0.04"/>
    <x v="3"/>
    <n v="7.5800000000000006E-2"/>
    <n v="0.56999999999999995"/>
    <x v="1"/>
    <n v="0.1045"/>
    <x v="0"/>
    <x v="3"/>
    <x v="4"/>
    <x v="4"/>
    <x v="0"/>
  </r>
  <r>
    <n v="509"/>
    <x v="22"/>
    <n v="1"/>
    <n v="0"/>
    <n v="1"/>
    <x v="7"/>
    <x v="2"/>
    <x v="0"/>
    <x v="1"/>
    <x v="0"/>
    <n v="0.08"/>
    <x v="3"/>
    <n v="0.1061"/>
    <n v="0.57999999999999996"/>
    <x v="1"/>
    <n v="0.16420000000000001"/>
    <x v="0"/>
    <x v="5"/>
    <x v="4"/>
    <x v="5"/>
    <x v="0"/>
  </r>
  <r>
    <n v="510"/>
    <x v="22"/>
    <n v="1"/>
    <n v="0"/>
    <n v="1"/>
    <x v="8"/>
    <x v="2"/>
    <x v="0"/>
    <x v="1"/>
    <x v="0"/>
    <n v="0.06"/>
    <x v="3"/>
    <n v="7.5800000000000006E-2"/>
    <n v="0.62"/>
    <x v="0"/>
    <n v="0.16420000000000001"/>
    <x v="0"/>
    <x v="4"/>
    <x v="19"/>
    <x v="75"/>
    <x v="0"/>
  </r>
  <r>
    <n v="511"/>
    <x v="22"/>
    <n v="1"/>
    <n v="0"/>
    <n v="1"/>
    <x v="9"/>
    <x v="2"/>
    <x v="0"/>
    <x v="1"/>
    <x v="0"/>
    <n v="0.1"/>
    <x v="3"/>
    <n v="7.5800000000000006E-2"/>
    <n v="0.54"/>
    <x v="1"/>
    <n v="0.35820000000000002"/>
    <x v="1"/>
    <x v="0"/>
    <x v="18"/>
    <x v="20"/>
    <x v="0"/>
  </r>
  <r>
    <n v="512"/>
    <x v="22"/>
    <n v="1"/>
    <n v="0"/>
    <n v="1"/>
    <x v="10"/>
    <x v="2"/>
    <x v="0"/>
    <x v="1"/>
    <x v="0"/>
    <n v="0.14000000000000001"/>
    <x v="3"/>
    <n v="0.1061"/>
    <n v="0.46"/>
    <x v="1"/>
    <n v="0.3881"/>
    <x v="1"/>
    <x v="18"/>
    <x v="82"/>
    <x v="154"/>
    <x v="0"/>
  </r>
  <r>
    <n v="513"/>
    <x v="22"/>
    <n v="1"/>
    <n v="0"/>
    <n v="1"/>
    <x v="11"/>
    <x v="3"/>
    <x v="0"/>
    <x v="1"/>
    <x v="0"/>
    <n v="0.14000000000000001"/>
    <x v="3"/>
    <n v="0.13639999999999999"/>
    <n v="0.43"/>
    <x v="1"/>
    <n v="0.22389999999999999"/>
    <x v="1"/>
    <x v="30"/>
    <x v="99"/>
    <x v="111"/>
    <x v="1"/>
  </r>
  <r>
    <n v="514"/>
    <x v="22"/>
    <n v="1"/>
    <n v="0"/>
    <n v="1"/>
    <x v="12"/>
    <x v="3"/>
    <x v="0"/>
    <x v="1"/>
    <x v="0"/>
    <n v="0.16"/>
    <x v="0"/>
    <n v="0.1212"/>
    <n v="0.37"/>
    <x v="2"/>
    <n v="0.4627"/>
    <x v="2"/>
    <x v="31"/>
    <x v="50"/>
    <x v="155"/>
    <x v="1"/>
  </r>
  <r>
    <n v="515"/>
    <x v="22"/>
    <n v="1"/>
    <n v="0"/>
    <n v="1"/>
    <x v="13"/>
    <x v="3"/>
    <x v="0"/>
    <x v="1"/>
    <x v="0"/>
    <n v="0.14000000000000001"/>
    <x v="3"/>
    <n v="0.1061"/>
    <n v="0.33"/>
    <x v="2"/>
    <n v="0.3881"/>
    <x v="1"/>
    <x v="6"/>
    <x v="102"/>
    <x v="90"/>
    <x v="1"/>
  </r>
  <r>
    <n v="516"/>
    <x v="22"/>
    <n v="1"/>
    <n v="0"/>
    <n v="1"/>
    <x v="14"/>
    <x v="3"/>
    <x v="0"/>
    <x v="1"/>
    <x v="0"/>
    <n v="0.16"/>
    <x v="0"/>
    <n v="0.13639999999999999"/>
    <n v="0.28000000000000003"/>
    <x v="2"/>
    <n v="0.35820000000000002"/>
    <x v="1"/>
    <x v="26"/>
    <x v="139"/>
    <x v="14"/>
    <x v="1"/>
  </r>
  <r>
    <n v="517"/>
    <x v="22"/>
    <n v="1"/>
    <n v="0"/>
    <n v="1"/>
    <x v="15"/>
    <x v="3"/>
    <x v="0"/>
    <x v="1"/>
    <x v="0"/>
    <n v="0.16"/>
    <x v="0"/>
    <n v="0.13639999999999999"/>
    <n v="0.28000000000000003"/>
    <x v="2"/>
    <n v="0.35820000000000002"/>
    <x v="1"/>
    <x v="23"/>
    <x v="27"/>
    <x v="43"/>
    <x v="1"/>
  </r>
  <r>
    <n v="518"/>
    <x v="22"/>
    <n v="1"/>
    <n v="0"/>
    <n v="1"/>
    <x v="16"/>
    <x v="3"/>
    <x v="0"/>
    <x v="1"/>
    <x v="0"/>
    <n v="0.16"/>
    <x v="0"/>
    <n v="0.13639999999999999"/>
    <n v="0.26"/>
    <x v="2"/>
    <n v="0.32840000000000003"/>
    <x v="1"/>
    <x v="14"/>
    <x v="90"/>
    <x v="32"/>
    <x v="0"/>
  </r>
  <r>
    <n v="519"/>
    <x v="22"/>
    <n v="1"/>
    <n v="0"/>
    <n v="1"/>
    <x v="17"/>
    <x v="4"/>
    <x v="0"/>
    <x v="1"/>
    <x v="0"/>
    <n v="0.14000000000000001"/>
    <x v="3"/>
    <n v="0.1061"/>
    <n v="0.26"/>
    <x v="2"/>
    <n v="0.3881"/>
    <x v="1"/>
    <x v="2"/>
    <x v="54"/>
    <x v="97"/>
    <x v="0"/>
  </r>
  <r>
    <n v="520"/>
    <x v="22"/>
    <n v="1"/>
    <n v="0"/>
    <n v="1"/>
    <x v="18"/>
    <x v="4"/>
    <x v="0"/>
    <x v="1"/>
    <x v="0"/>
    <n v="0.12"/>
    <x v="3"/>
    <n v="0.1212"/>
    <n v="0.3"/>
    <x v="2"/>
    <n v="0.25369999999999998"/>
    <x v="1"/>
    <x v="2"/>
    <x v="100"/>
    <x v="99"/>
    <x v="0"/>
  </r>
  <r>
    <n v="521"/>
    <x v="22"/>
    <n v="1"/>
    <n v="0"/>
    <n v="1"/>
    <x v="19"/>
    <x v="4"/>
    <x v="0"/>
    <x v="1"/>
    <x v="0"/>
    <n v="0.12"/>
    <x v="3"/>
    <n v="0.1212"/>
    <n v="0.3"/>
    <x v="2"/>
    <n v="0.28360000000000002"/>
    <x v="1"/>
    <x v="2"/>
    <x v="108"/>
    <x v="89"/>
    <x v="0"/>
  </r>
  <r>
    <n v="522"/>
    <x v="22"/>
    <n v="1"/>
    <n v="0"/>
    <n v="1"/>
    <x v="20"/>
    <x v="4"/>
    <x v="0"/>
    <x v="1"/>
    <x v="0"/>
    <n v="0.1"/>
    <x v="3"/>
    <n v="0.1061"/>
    <n v="0.36"/>
    <x v="2"/>
    <n v="0.25369999999999998"/>
    <x v="1"/>
    <x v="17"/>
    <x v="17"/>
    <x v="17"/>
    <x v="0"/>
  </r>
  <r>
    <n v="523"/>
    <x v="22"/>
    <n v="1"/>
    <n v="0"/>
    <n v="1"/>
    <x v="21"/>
    <x v="0"/>
    <x v="0"/>
    <x v="1"/>
    <x v="0"/>
    <n v="0.1"/>
    <x v="3"/>
    <n v="0.1061"/>
    <n v="0.36"/>
    <x v="2"/>
    <n v="0.19400000000000001"/>
    <x v="0"/>
    <x v="2"/>
    <x v="32"/>
    <x v="94"/>
    <x v="0"/>
  </r>
  <r>
    <n v="524"/>
    <x v="22"/>
    <n v="1"/>
    <n v="0"/>
    <n v="1"/>
    <x v="22"/>
    <x v="0"/>
    <x v="0"/>
    <x v="1"/>
    <x v="0"/>
    <n v="0.08"/>
    <x v="3"/>
    <n v="9.0899999999999995E-2"/>
    <n v="0.38"/>
    <x v="2"/>
    <n v="0.19400000000000001"/>
    <x v="0"/>
    <x v="2"/>
    <x v="140"/>
    <x v="20"/>
    <x v="0"/>
  </r>
  <r>
    <n v="525"/>
    <x v="22"/>
    <n v="1"/>
    <n v="0"/>
    <n v="1"/>
    <x v="23"/>
    <x v="0"/>
    <x v="0"/>
    <x v="1"/>
    <x v="0"/>
    <n v="0.06"/>
    <x v="3"/>
    <n v="6.0600000000000001E-2"/>
    <n v="0.41"/>
    <x v="1"/>
    <n v="0.22389999999999999"/>
    <x v="1"/>
    <x v="17"/>
    <x v="19"/>
    <x v="137"/>
    <x v="0"/>
  </r>
  <r>
    <n v="526"/>
    <x v="23"/>
    <n v="1"/>
    <n v="0"/>
    <n v="1"/>
    <x v="0"/>
    <x v="0"/>
    <x v="0"/>
    <x v="2"/>
    <x v="0"/>
    <n v="0.06"/>
    <x v="3"/>
    <n v="6.0600000000000001E-2"/>
    <n v="0.41"/>
    <x v="1"/>
    <n v="0.19400000000000001"/>
    <x v="0"/>
    <x v="3"/>
    <x v="7"/>
    <x v="85"/>
    <x v="0"/>
  </r>
  <r>
    <n v="527"/>
    <x v="23"/>
    <n v="1"/>
    <n v="0"/>
    <n v="1"/>
    <x v="1"/>
    <x v="0"/>
    <x v="0"/>
    <x v="2"/>
    <x v="0"/>
    <n v="0.04"/>
    <x v="3"/>
    <n v="4.5499999999999999E-2"/>
    <n v="0.45"/>
    <x v="1"/>
    <n v="0.19400000000000001"/>
    <x v="0"/>
    <x v="3"/>
    <x v="4"/>
    <x v="4"/>
    <x v="0"/>
  </r>
  <r>
    <n v="528"/>
    <x v="23"/>
    <n v="1"/>
    <n v="0"/>
    <n v="1"/>
    <x v="3"/>
    <x v="0"/>
    <x v="0"/>
    <x v="2"/>
    <x v="0"/>
    <n v="0.04"/>
    <x v="3"/>
    <n v="3.0300000000000001E-2"/>
    <n v="0.45"/>
    <x v="1"/>
    <n v="0.25369999999999998"/>
    <x v="1"/>
    <x v="3"/>
    <x v="4"/>
    <x v="4"/>
    <x v="0"/>
  </r>
  <r>
    <n v="529"/>
    <x v="23"/>
    <n v="1"/>
    <n v="0"/>
    <n v="1"/>
    <x v="4"/>
    <x v="1"/>
    <x v="0"/>
    <x v="2"/>
    <x v="0"/>
    <n v="0.02"/>
    <x v="3"/>
    <n v="6.0600000000000001E-2"/>
    <n v="0.48"/>
    <x v="1"/>
    <n v="0.1343"/>
    <x v="0"/>
    <x v="3"/>
    <x v="4"/>
    <x v="4"/>
    <x v="0"/>
  </r>
  <r>
    <n v="530"/>
    <x v="23"/>
    <n v="1"/>
    <n v="0"/>
    <n v="1"/>
    <x v="5"/>
    <x v="1"/>
    <x v="0"/>
    <x v="2"/>
    <x v="0"/>
    <n v="0.02"/>
    <x v="3"/>
    <n v="6.0600000000000001E-2"/>
    <n v="0.48"/>
    <x v="1"/>
    <n v="0.1343"/>
    <x v="0"/>
    <x v="3"/>
    <x v="34"/>
    <x v="36"/>
    <x v="0"/>
  </r>
  <r>
    <n v="531"/>
    <x v="23"/>
    <n v="1"/>
    <n v="0"/>
    <n v="1"/>
    <x v="6"/>
    <x v="1"/>
    <x v="0"/>
    <x v="2"/>
    <x v="0"/>
    <n v="0.02"/>
    <x v="3"/>
    <n v="7.5800000000000006E-2"/>
    <n v="0.48"/>
    <x v="1"/>
    <n v="8.9599999999999999E-2"/>
    <x v="0"/>
    <x v="3"/>
    <x v="89"/>
    <x v="93"/>
    <x v="0"/>
  </r>
  <r>
    <n v="532"/>
    <x v="23"/>
    <n v="1"/>
    <n v="0"/>
    <n v="1"/>
    <x v="7"/>
    <x v="2"/>
    <x v="0"/>
    <x v="2"/>
    <x v="0"/>
    <n v="0.02"/>
    <x v="3"/>
    <n v="0.1212"/>
    <n v="0.48"/>
    <x v="1"/>
    <n v="0"/>
    <x v="0"/>
    <x v="2"/>
    <x v="55"/>
    <x v="11"/>
    <x v="1"/>
  </r>
  <r>
    <n v="533"/>
    <x v="23"/>
    <n v="1"/>
    <n v="0"/>
    <n v="1"/>
    <x v="8"/>
    <x v="2"/>
    <x v="0"/>
    <x v="2"/>
    <x v="0"/>
    <n v="0.04"/>
    <x v="3"/>
    <n v="0.13639999999999999"/>
    <n v="0.49"/>
    <x v="1"/>
    <n v="0"/>
    <x v="0"/>
    <x v="15"/>
    <x v="141"/>
    <x v="156"/>
    <x v="2"/>
  </r>
  <r>
    <n v="534"/>
    <x v="23"/>
    <n v="1"/>
    <n v="0"/>
    <n v="1"/>
    <x v="9"/>
    <x v="2"/>
    <x v="0"/>
    <x v="2"/>
    <x v="0"/>
    <n v="0.06"/>
    <x v="3"/>
    <n v="0.1515"/>
    <n v="0.41"/>
    <x v="1"/>
    <n v="0"/>
    <x v="0"/>
    <x v="17"/>
    <x v="52"/>
    <x v="96"/>
    <x v="1"/>
  </r>
  <r>
    <n v="535"/>
    <x v="23"/>
    <n v="1"/>
    <n v="0"/>
    <n v="1"/>
    <x v="10"/>
    <x v="2"/>
    <x v="0"/>
    <x v="2"/>
    <x v="0"/>
    <n v="0.1"/>
    <x v="3"/>
    <n v="0.13639999999999999"/>
    <n v="0.42"/>
    <x v="1"/>
    <n v="0"/>
    <x v="0"/>
    <x v="15"/>
    <x v="60"/>
    <x v="1"/>
    <x v="0"/>
  </r>
  <r>
    <n v="536"/>
    <x v="23"/>
    <n v="1"/>
    <n v="0"/>
    <n v="1"/>
    <x v="11"/>
    <x v="3"/>
    <x v="0"/>
    <x v="2"/>
    <x v="0"/>
    <n v="0.1"/>
    <x v="3"/>
    <n v="0.1212"/>
    <n v="0.46"/>
    <x v="1"/>
    <n v="0.1343"/>
    <x v="0"/>
    <x v="0"/>
    <x v="30"/>
    <x v="66"/>
    <x v="0"/>
  </r>
  <r>
    <n v="537"/>
    <x v="23"/>
    <n v="1"/>
    <n v="0"/>
    <n v="1"/>
    <x v="12"/>
    <x v="3"/>
    <x v="0"/>
    <x v="2"/>
    <x v="1"/>
    <n v="0.12"/>
    <x v="3"/>
    <n v="0.13639999999999999"/>
    <n v="0.42"/>
    <x v="1"/>
    <n v="0.19400000000000001"/>
    <x v="0"/>
    <x v="16"/>
    <x v="15"/>
    <x v="55"/>
    <x v="0"/>
  </r>
  <r>
    <n v="538"/>
    <x v="23"/>
    <n v="1"/>
    <n v="0"/>
    <n v="1"/>
    <x v="13"/>
    <x v="3"/>
    <x v="0"/>
    <x v="2"/>
    <x v="1"/>
    <n v="0.14000000000000001"/>
    <x v="3"/>
    <n v="0.13639999999999999"/>
    <n v="0.43"/>
    <x v="1"/>
    <n v="0.22389999999999999"/>
    <x v="1"/>
    <x v="15"/>
    <x v="25"/>
    <x v="122"/>
    <x v="0"/>
  </r>
  <r>
    <n v="539"/>
    <x v="23"/>
    <n v="1"/>
    <n v="0"/>
    <n v="1"/>
    <x v="14"/>
    <x v="3"/>
    <x v="0"/>
    <x v="2"/>
    <x v="1"/>
    <n v="0.14000000000000001"/>
    <x v="3"/>
    <n v="0.13639999999999999"/>
    <n v="0.46"/>
    <x v="1"/>
    <n v="0.22389999999999999"/>
    <x v="1"/>
    <x v="4"/>
    <x v="30"/>
    <x v="79"/>
    <x v="0"/>
  </r>
  <r>
    <n v="540"/>
    <x v="23"/>
    <n v="1"/>
    <n v="0"/>
    <n v="1"/>
    <x v="15"/>
    <x v="3"/>
    <x v="0"/>
    <x v="2"/>
    <x v="0"/>
    <n v="0.16"/>
    <x v="0"/>
    <n v="0.16669999999999999"/>
    <n v="0.4"/>
    <x v="2"/>
    <n v="0.16420000000000001"/>
    <x v="0"/>
    <x v="18"/>
    <x v="54"/>
    <x v="52"/>
    <x v="0"/>
  </r>
  <r>
    <n v="541"/>
    <x v="23"/>
    <n v="1"/>
    <n v="0"/>
    <n v="1"/>
    <x v="16"/>
    <x v="3"/>
    <x v="0"/>
    <x v="2"/>
    <x v="0"/>
    <n v="0.16"/>
    <x v="0"/>
    <n v="0.1515"/>
    <n v="0.47"/>
    <x v="1"/>
    <n v="0.25369999999999998"/>
    <x v="1"/>
    <x v="17"/>
    <x v="43"/>
    <x v="27"/>
    <x v="0"/>
  </r>
  <r>
    <n v="542"/>
    <x v="23"/>
    <n v="1"/>
    <n v="0"/>
    <n v="1"/>
    <x v="17"/>
    <x v="4"/>
    <x v="0"/>
    <x v="2"/>
    <x v="0"/>
    <n v="0.14000000000000001"/>
    <x v="3"/>
    <n v="0.1212"/>
    <n v="0.5"/>
    <x v="1"/>
    <n v="0.25369999999999998"/>
    <x v="1"/>
    <x v="15"/>
    <x v="86"/>
    <x v="157"/>
    <x v="2"/>
  </r>
  <r>
    <n v="543"/>
    <x v="23"/>
    <n v="1"/>
    <n v="0"/>
    <n v="1"/>
    <x v="18"/>
    <x v="4"/>
    <x v="0"/>
    <x v="2"/>
    <x v="0"/>
    <n v="0.14000000000000001"/>
    <x v="3"/>
    <n v="0.13639999999999999"/>
    <n v="0.59"/>
    <x v="1"/>
    <n v="0.19400000000000001"/>
    <x v="0"/>
    <x v="1"/>
    <x v="142"/>
    <x v="158"/>
    <x v="1"/>
  </r>
  <r>
    <n v="544"/>
    <x v="23"/>
    <n v="1"/>
    <n v="0"/>
    <n v="1"/>
    <x v="19"/>
    <x v="4"/>
    <x v="0"/>
    <x v="2"/>
    <x v="0"/>
    <n v="0.14000000000000001"/>
    <x v="3"/>
    <n v="0.1515"/>
    <n v="0.54"/>
    <x v="1"/>
    <n v="0.16420000000000001"/>
    <x v="0"/>
    <x v="2"/>
    <x v="143"/>
    <x v="13"/>
    <x v="1"/>
  </r>
  <r>
    <n v="545"/>
    <x v="23"/>
    <n v="1"/>
    <n v="0"/>
    <n v="1"/>
    <x v="20"/>
    <x v="4"/>
    <x v="0"/>
    <x v="2"/>
    <x v="0"/>
    <n v="0.14000000000000001"/>
    <x v="3"/>
    <n v="0.13639999999999999"/>
    <n v="0.59"/>
    <x v="1"/>
    <n v="0.19400000000000001"/>
    <x v="0"/>
    <x v="5"/>
    <x v="122"/>
    <x v="117"/>
    <x v="1"/>
  </r>
  <r>
    <n v="546"/>
    <x v="23"/>
    <n v="1"/>
    <n v="0"/>
    <n v="1"/>
    <x v="21"/>
    <x v="0"/>
    <x v="0"/>
    <x v="2"/>
    <x v="0"/>
    <n v="0.14000000000000001"/>
    <x v="3"/>
    <n v="0.1515"/>
    <n v="0.63"/>
    <x v="0"/>
    <n v="0.16420000000000001"/>
    <x v="0"/>
    <x v="15"/>
    <x v="42"/>
    <x v="29"/>
    <x v="0"/>
  </r>
  <r>
    <n v="547"/>
    <x v="23"/>
    <n v="1"/>
    <n v="0"/>
    <n v="1"/>
    <x v="22"/>
    <x v="0"/>
    <x v="0"/>
    <x v="2"/>
    <x v="1"/>
    <n v="0.14000000000000001"/>
    <x v="3"/>
    <n v="0.13639999999999999"/>
    <n v="0.63"/>
    <x v="0"/>
    <n v="0.22389999999999999"/>
    <x v="1"/>
    <x v="0"/>
    <x v="1"/>
    <x v="17"/>
    <x v="0"/>
  </r>
  <r>
    <n v="548"/>
    <x v="23"/>
    <n v="1"/>
    <n v="0"/>
    <n v="1"/>
    <x v="23"/>
    <x v="0"/>
    <x v="0"/>
    <x v="2"/>
    <x v="1"/>
    <n v="0.16"/>
    <x v="0"/>
    <n v="0.1515"/>
    <n v="0.64"/>
    <x v="0"/>
    <n v="0.25369999999999998"/>
    <x v="1"/>
    <x v="0"/>
    <x v="144"/>
    <x v="108"/>
    <x v="0"/>
  </r>
  <r>
    <n v="549"/>
    <x v="24"/>
    <n v="1"/>
    <n v="0"/>
    <n v="1"/>
    <x v="0"/>
    <x v="0"/>
    <x v="0"/>
    <x v="3"/>
    <x v="1"/>
    <n v="0.16"/>
    <x v="0"/>
    <n v="0.13639999999999999"/>
    <n v="0.69"/>
    <x v="0"/>
    <n v="0.28360000000000002"/>
    <x v="1"/>
    <x v="0"/>
    <x v="8"/>
    <x v="23"/>
    <x v="0"/>
  </r>
  <r>
    <n v="550"/>
    <x v="24"/>
    <n v="1"/>
    <n v="0"/>
    <n v="1"/>
    <x v="1"/>
    <x v="0"/>
    <x v="0"/>
    <x v="3"/>
    <x v="1"/>
    <n v="0.16"/>
    <x v="0"/>
    <n v="0.16669999999999999"/>
    <n v="0.69"/>
    <x v="0"/>
    <n v="0.16420000000000001"/>
    <x v="0"/>
    <x v="3"/>
    <x v="34"/>
    <x v="36"/>
    <x v="0"/>
  </r>
  <r>
    <n v="551"/>
    <x v="24"/>
    <n v="1"/>
    <n v="0"/>
    <n v="1"/>
    <x v="2"/>
    <x v="0"/>
    <x v="0"/>
    <x v="3"/>
    <x v="0"/>
    <n v="0.16"/>
    <x v="0"/>
    <n v="0.1515"/>
    <n v="0.69"/>
    <x v="0"/>
    <n v="0.22389999999999999"/>
    <x v="1"/>
    <x v="3"/>
    <x v="6"/>
    <x v="5"/>
    <x v="0"/>
  </r>
  <r>
    <n v="552"/>
    <x v="24"/>
    <n v="1"/>
    <n v="0"/>
    <n v="1"/>
    <x v="4"/>
    <x v="1"/>
    <x v="0"/>
    <x v="3"/>
    <x v="0"/>
    <n v="0.14000000000000001"/>
    <x v="3"/>
    <n v="0.16669999999999999"/>
    <n v="0.74"/>
    <x v="0"/>
    <n v="0.1045"/>
    <x v="0"/>
    <x v="3"/>
    <x v="4"/>
    <x v="4"/>
    <x v="0"/>
  </r>
  <r>
    <n v="553"/>
    <x v="24"/>
    <n v="1"/>
    <n v="0"/>
    <n v="1"/>
    <x v="5"/>
    <x v="1"/>
    <x v="0"/>
    <x v="3"/>
    <x v="0"/>
    <n v="0.14000000000000001"/>
    <x v="3"/>
    <n v="0.13639999999999999"/>
    <n v="0.74"/>
    <x v="0"/>
    <n v="0.22389999999999999"/>
    <x v="1"/>
    <x v="3"/>
    <x v="33"/>
    <x v="23"/>
    <x v="0"/>
  </r>
  <r>
    <n v="554"/>
    <x v="24"/>
    <n v="1"/>
    <n v="0"/>
    <n v="1"/>
    <x v="6"/>
    <x v="1"/>
    <x v="0"/>
    <x v="3"/>
    <x v="0"/>
    <n v="0.16"/>
    <x v="0"/>
    <n v="0.18179999999999999"/>
    <n v="0.74"/>
    <x v="0"/>
    <n v="0.1045"/>
    <x v="0"/>
    <x v="5"/>
    <x v="96"/>
    <x v="9"/>
    <x v="0"/>
  </r>
  <r>
    <n v="555"/>
    <x v="24"/>
    <n v="1"/>
    <n v="0"/>
    <n v="1"/>
    <x v="7"/>
    <x v="2"/>
    <x v="0"/>
    <x v="3"/>
    <x v="0"/>
    <n v="0.16"/>
    <x v="0"/>
    <n v="0.1515"/>
    <n v="0.74"/>
    <x v="0"/>
    <n v="0.22389999999999999"/>
    <x v="1"/>
    <x v="2"/>
    <x v="145"/>
    <x v="159"/>
    <x v="1"/>
  </r>
  <r>
    <n v="556"/>
    <x v="24"/>
    <n v="1"/>
    <n v="0"/>
    <n v="1"/>
    <x v="8"/>
    <x v="2"/>
    <x v="0"/>
    <x v="3"/>
    <x v="1"/>
    <n v="0.16"/>
    <x v="0"/>
    <n v="0.18179999999999999"/>
    <n v="0.74"/>
    <x v="0"/>
    <n v="0.1343"/>
    <x v="0"/>
    <x v="2"/>
    <x v="146"/>
    <x v="160"/>
    <x v="2"/>
  </r>
  <r>
    <n v="557"/>
    <x v="24"/>
    <n v="1"/>
    <n v="0"/>
    <n v="1"/>
    <x v="9"/>
    <x v="2"/>
    <x v="0"/>
    <x v="3"/>
    <x v="1"/>
    <n v="0.2"/>
    <x v="0"/>
    <n v="0.2273"/>
    <n v="0.64"/>
    <x v="0"/>
    <n v="8.9599999999999999E-2"/>
    <x v="0"/>
    <x v="22"/>
    <x v="120"/>
    <x v="124"/>
    <x v="1"/>
  </r>
  <r>
    <n v="558"/>
    <x v="24"/>
    <n v="1"/>
    <n v="0"/>
    <n v="1"/>
    <x v="10"/>
    <x v="2"/>
    <x v="0"/>
    <x v="3"/>
    <x v="1"/>
    <n v="0.22"/>
    <x v="0"/>
    <n v="0.2424"/>
    <n v="0.6"/>
    <x v="3"/>
    <n v="0.1045"/>
    <x v="0"/>
    <x v="15"/>
    <x v="47"/>
    <x v="97"/>
    <x v="0"/>
  </r>
  <r>
    <n v="559"/>
    <x v="24"/>
    <n v="1"/>
    <n v="0"/>
    <n v="1"/>
    <x v="11"/>
    <x v="3"/>
    <x v="0"/>
    <x v="3"/>
    <x v="1"/>
    <n v="0.24"/>
    <x v="0"/>
    <n v="0.2424"/>
    <n v="0.6"/>
    <x v="3"/>
    <n v="0.1343"/>
    <x v="0"/>
    <x v="15"/>
    <x v="11"/>
    <x v="42"/>
    <x v="0"/>
  </r>
  <r>
    <n v="560"/>
    <x v="24"/>
    <n v="1"/>
    <n v="0"/>
    <n v="1"/>
    <x v="12"/>
    <x v="3"/>
    <x v="0"/>
    <x v="3"/>
    <x v="1"/>
    <n v="0.26"/>
    <x v="1"/>
    <n v="0.28789999999999999"/>
    <n v="0.56000000000000005"/>
    <x v="1"/>
    <n v="8.9599999999999999E-2"/>
    <x v="0"/>
    <x v="27"/>
    <x v="66"/>
    <x v="13"/>
    <x v="1"/>
  </r>
  <r>
    <n v="561"/>
    <x v="24"/>
    <n v="1"/>
    <n v="0"/>
    <n v="1"/>
    <x v="13"/>
    <x v="3"/>
    <x v="0"/>
    <x v="3"/>
    <x v="1"/>
    <n v="0.26"/>
    <x v="1"/>
    <n v="0.2727"/>
    <n v="0.56000000000000005"/>
    <x v="1"/>
    <n v="0.1343"/>
    <x v="0"/>
    <x v="27"/>
    <x v="109"/>
    <x v="15"/>
    <x v="1"/>
  </r>
  <r>
    <n v="562"/>
    <x v="24"/>
    <n v="1"/>
    <n v="0"/>
    <n v="1"/>
    <x v="14"/>
    <x v="3"/>
    <x v="0"/>
    <x v="3"/>
    <x v="1"/>
    <n v="0.3"/>
    <x v="1"/>
    <n v="0.33329999999999999"/>
    <n v="0.45"/>
    <x v="1"/>
    <n v="0"/>
    <x v="0"/>
    <x v="16"/>
    <x v="77"/>
    <x v="118"/>
    <x v="0"/>
  </r>
  <r>
    <n v="563"/>
    <x v="24"/>
    <n v="1"/>
    <n v="0"/>
    <n v="1"/>
    <x v="15"/>
    <x v="3"/>
    <x v="0"/>
    <x v="3"/>
    <x v="1"/>
    <n v="0.32"/>
    <x v="1"/>
    <n v="0.34849999999999998"/>
    <n v="0.42"/>
    <x v="1"/>
    <n v="0"/>
    <x v="0"/>
    <x v="27"/>
    <x v="36"/>
    <x v="11"/>
    <x v="1"/>
  </r>
  <r>
    <n v="564"/>
    <x v="24"/>
    <n v="1"/>
    <n v="0"/>
    <n v="1"/>
    <x v="16"/>
    <x v="3"/>
    <x v="0"/>
    <x v="3"/>
    <x v="1"/>
    <n v="0.32"/>
    <x v="1"/>
    <n v="0.34849999999999998"/>
    <n v="0.42"/>
    <x v="1"/>
    <n v="0"/>
    <x v="0"/>
    <x v="24"/>
    <x v="46"/>
    <x v="155"/>
    <x v="1"/>
  </r>
  <r>
    <n v="565"/>
    <x v="24"/>
    <n v="1"/>
    <n v="0"/>
    <n v="1"/>
    <x v="17"/>
    <x v="4"/>
    <x v="0"/>
    <x v="3"/>
    <x v="0"/>
    <n v="0.3"/>
    <x v="1"/>
    <n v="0.33329999999999999"/>
    <n v="0.45"/>
    <x v="1"/>
    <n v="0"/>
    <x v="0"/>
    <x v="24"/>
    <x v="147"/>
    <x v="161"/>
    <x v="2"/>
  </r>
  <r>
    <n v="566"/>
    <x v="24"/>
    <n v="1"/>
    <n v="0"/>
    <n v="1"/>
    <x v="18"/>
    <x v="4"/>
    <x v="0"/>
    <x v="3"/>
    <x v="1"/>
    <n v="0.3"/>
    <x v="1"/>
    <n v="0.31819999999999998"/>
    <n v="0.49"/>
    <x v="1"/>
    <n v="8.9599999999999999E-2"/>
    <x v="0"/>
    <x v="18"/>
    <x v="148"/>
    <x v="162"/>
    <x v="2"/>
  </r>
  <r>
    <n v="567"/>
    <x v="24"/>
    <n v="1"/>
    <n v="0"/>
    <n v="1"/>
    <x v="19"/>
    <x v="4"/>
    <x v="0"/>
    <x v="3"/>
    <x v="1"/>
    <n v="0.26"/>
    <x v="1"/>
    <n v="0.2576"/>
    <n v="0.65"/>
    <x v="0"/>
    <n v="0.16420000000000001"/>
    <x v="0"/>
    <x v="23"/>
    <x v="149"/>
    <x v="163"/>
    <x v="1"/>
  </r>
  <r>
    <n v="568"/>
    <x v="24"/>
    <n v="1"/>
    <n v="0"/>
    <n v="1"/>
    <x v="20"/>
    <x v="4"/>
    <x v="0"/>
    <x v="3"/>
    <x v="0"/>
    <n v="0.24"/>
    <x v="0"/>
    <n v="0.2273"/>
    <n v="0.65"/>
    <x v="0"/>
    <n v="0.19400000000000001"/>
    <x v="0"/>
    <x v="19"/>
    <x v="145"/>
    <x v="164"/>
    <x v="1"/>
  </r>
  <r>
    <n v="569"/>
    <x v="24"/>
    <n v="1"/>
    <n v="0"/>
    <n v="1"/>
    <x v="21"/>
    <x v="0"/>
    <x v="0"/>
    <x v="3"/>
    <x v="0"/>
    <n v="0.24"/>
    <x v="0"/>
    <n v="0.2273"/>
    <n v="0.65"/>
    <x v="0"/>
    <n v="0.19400000000000001"/>
    <x v="0"/>
    <x v="2"/>
    <x v="71"/>
    <x v="79"/>
    <x v="0"/>
  </r>
  <r>
    <n v="570"/>
    <x v="24"/>
    <n v="1"/>
    <n v="0"/>
    <n v="1"/>
    <x v="22"/>
    <x v="0"/>
    <x v="0"/>
    <x v="3"/>
    <x v="0"/>
    <n v="0.22"/>
    <x v="0"/>
    <n v="0.2273"/>
    <n v="0.64"/>
    <x v="0"/>
    <n v="0.16420000000000001"/>
    <x v="0"/>
    <x v="17"/>
    <x v="47"/>
    <x v="26"/>
    <x v="0"/>
  </r>
  <r>
    <n v="571"/>
    <x v="24"/>
    <n v="1"/>
    <n v="0"/>
    <n v="1"/>
    <x v="23"/>
    <x v="0"/>
    <x v="0"/>
    <x v="3"/>
    <x v="1"/>
    <n v="0.22"/>
    <x v="0"/>
    <n v="0.2273"/>
    <n v="0.64"/>
    <x v="0"/>
    <n v="0.16420000000000001"/>
    <x v="0"/>
    <x v="0"/>
    <x v="53"/>
    <x v="1"/>
    <x v="0"/>
  </r>
  <r>
    <n v="572"/>
    <x v="25"/>
    <n v="1"/>
    <n v="0"/>
    <n v="1"/>
    <x v="0"/>
    <x v="0"/>
    <x v="0"/>
    <x v="4"/>
    <x v="1"/>
    <n v="0.22"/>
    <x v="0"/>
    <n v="0.2273"/>
    <n v="0.69"/>
    <x v="0"/>
    <n v="0.1343"/>
    <x v="0"/>
    <x v="0"/>
    <x v="88"/>
    <x v="22"/>
    <x v="0"/>
  </r>
  <r>
    <n v="573"/>
    <x v="25"/>
    <n v="1"/>
    <n v="0"/>
    <n v="1"/>
    <x v="1"/>
    <x v="0"/>
    <x v="0"/>
    <x v="4"/>
    <x v="1"/>
    <n v="0.24"/>
    <x v="0"/>
    <n v="0.2424"/>
    <n v="0.65"/>
    <x v="0"/>
    <n v="0.1343"/>
    <x v="0"/>
    <x v="3"/>
    <x v="34"/>
    <x v="36"/>
    <x v="0"/>
  </r>
  <r>
    <n v="574"/>
    <x v="25"/>
    <n v="1"/>
    <n v="0"/>
    <n v="1"/>
    <x v="2"/>
    <x v="0"/>
    <x v="0"/>
    <x v="4"/>
    <x v="2"/>
    <n v="0.22"/>
    <x v="0"/>
    <n v="0.2273"/>
    <n v="0.69"/>
    <x v="0"/>
    <n v="0.19400000000000001"/>
    <x v="0"/>
    <x v="0"/>
    <x v="7"/>
    <x v="98"/>
    <x v="0"/>
  </r>
  <r>
    <n v="575"/>
    <x v="25"/>
    <n v="1"/>
    <n v="0"/>
    <n v="1"/>
    <x v="5"/>
    <x v="1"/>
    <x v="0"/>
    <x v="4"/>
    <x v="2"/>
    <n v="0.2"/>
    <x v="0"/>
    <n v="0.18179999999999999"/>
    <n v="0.86"/>
    <x v="0"/>
    <n v="0.28360000000000002"/>
    <x v="1"/>
    <x v="3"/>
    <x v="4"/>
    <x v="4"/>
    <x v="0"/>
  </r>
  <r>
    <n v="576"/>
    <x v="25"/>
    <n v="1"/>
    <n v="0"/>
    <n v="1"/>
    <x v="6"/>
    <x v="1"/>
    <x v="0"/>
    <x v="4"/>
    <x v="2"/>
    <n v="0.2"/>
    <x v="0"/>
    <n v="0.18179999999999999"/>
    <n v="0.86"/>
    <x v="0"/>
    <n v="0.28360000000000002"/>
    <x v="1"/>
    <x v="3"/>
    <x v="21"/>
    <x v="7"/>
    <x v="0"/>
  </r>
  <r>
    <n v="577"/>
    <x v="25"/>
    <n v="1"/>
    <n v="0"/>
    <n v="1"/>
    <x v="7"/>
    <x v="2"/>
    <x v="0"/>
    <x v="4"/>
    <x v="2"/>
    <n v="0.22"/>
    <x v="0"/>
    <n v="0.21210000000000001"/>
    <n v="0.87"/>
    <x v="0"/>
    <n v="0.29849999999999999"/>
    <x v="1"/>
    <x v="5"/>
    <x v="31"/>
    <x v="33"/>
    <x v="0"/>
  </r>
  <r>
    <n v="578"/>
    <x v="25"/>
    <n v="1"/>
    <n v="0"/>
    <n v="1"/>
    <x v="8"/>
    <x v="2"/>
    <x v="0"/>
    <x v="4"/>
    <x v="2"/>
    <n v="0.22"/>
    <x v="0"/>
    <n v="0.21210000000000001"/>
    <n v="0.87"/>
    <x v="0"/>
    <n v="0.29849999999999999"/>
    <x v="1"/>
    <x v="0"/>
    <x v="94"/>
    <x v="44"/>
    <x v="1"/>
  </r>
  <r>
    <n v="579"/>
    <x v="25"/>
    <n v="1"/>
    <n v="0"/>
    <n v="1"/>
    <x v="9"/>
    <x v="2"/>
    <x v="0"/>
    <x v="4"/>
    <x v="2"/>
    <n v="0.22"/>
    <x v="0"/>
    <n v="0.21210000000000001"/>
    <n v="0.87"/>
    <x v="0"/>
    <n v="0.29849999999999999"/>
    <x v="1"/>
    <x v="0"/>
    <x v="11"/>
    <x v="154"/>
    <x v="0"/>
  </r>
  <r>
    <n v="580"/>
    <x v="25"/>
    <n v="1"/>
    <n v="0"/>
    <n v="1"/>
    <x v="10"/>
    <x v="2"/>
    <x v="0"/>
    <x v="4"/>
    <x v="2"/>
    <n v="0.22"/>
    <x v="0"/>
    <n v="0.21210000000000001"/>
    <n v="0.93"/>
    <x v="0"/>
    <n v="0.28360000000000002"/>
    <x v="1"/>
    <x v="4"/>
    <x v="16"/>
    <x v="20"/>
    <x v="0"/>
  </r>
  <r>
    <n v="581"/>
    <x v="25"/>
    <n v="1"/>
    <n v="0"/>
    <n v="1"/>
    <x v="11"/>
    <x v="3"/>
    <x v="0"/>
    <x v="4"/>
    <x v="2"/>
    <n v="0.22"/>
    <x v="0"/>
    <n v="0.19700000000000001"/>
    <n v="0.93"/>
    <x v="0"/>
    <n v="0.32840000000000003"/>
    <x v="1"/>
    <x v="15"/>
    <x v="96"/>
    <x v="102"/>
    <x v="0"/>
  </r>
  <r>
    <n v="582"/>
    <x v="25"/>
    <n v="1"/>
    <n v="0"/>
    <n v="1"/>
    <x v="12"/>
    <x v="3"/>
    <x v="0"/>
    <x v="4"/>
    <x v="2"/>
    <n v="0.22"/>
    <x v="0"/>
    <n v="0.19700000000000001"/>
    <n v="0.93"/>
    <x v="0"/>
    <n v="0.32840000000000003"/>
    <x v="1"/>
    <x v="18"/>
    <x v="40"/>
    <x v="61"/>
    <x v="0"/>
  </r>
  <r>
    <n v="583"/>
    <x v="25"/>
    <n v="1"/>
    <n v="0"/>
    <n v="1"/>
    <x v="13"/>
    <x v="3"/>
    <x v="0"/>
    <x v="4"/>
    <x v="2"/>
    <n v="0.22"/>
    <x v="0"/>
    <n v="0.19700000000000001"/>
    <n v="0.93"/>
    <x v="0"/>
    <n v="0.32840000000000003"/>
    <x v="1"/>
    <x v="17"/>
    <x v="30"/>
    <x v="105"/>
    <x v="0"/>
  </r>
  <r>
    <n v="584"/>
    <x v="25"/>
    <n v="1"/>
    <n v="0"/>
    <n v="1"/>
    <x v="14"/>
    <x v="3"/>
    <x v="0"/>
    <x v="4"/>
    <x v="2"/>
    <n v="0.22"/>
    <x v="0"/>
    <n v="0.19700000000000001"/>
    <n v="0.93"/>
    <x v="0"/>
    <n v="0.35820000000000002"/>
    <x v="1"/>
    <x v="3"/>
    <x v="49"/>
    <x v="9"/>
    <x v="0"/>
  </r>
  <r>
    <n v="585"/>
    <x v="25"/>
    <n v="1"/>
    <n v="0"/>
    <n v="1"/>
    <x v="15"/>
    <x v="3"/>
    <x v="0"/>
    <x v="4"/>
    <x v="2"/>
    <n v="0.22"/>
    <x v="0"/>
    <n v="0.18179999999999999"/>
    <n v="0.93"/>
    <x v="0"/>
    <n v="0.4627"/>
    <x v="2"/>
    <x v="5"/>
    <x v="76"/>
    <x v="74"/>
    <x v="0"/>
  </r>
  <r>
    <n v="586"/>
    <x v="25"/>
    <n v="1"/>
    <n v="0"/>
    <n v="1"/>
    <x v="16"/>
    <x v="3"/>
    <x v="0"/>
    <x v="4"/>
    <x v="3"/>
    <n v="0.22"/>
    <x v="0"/>
    <n v="0.19700000000000001"/>
    <n v="0.93"/>
    <x v="0"/>
    <n v="0.32840000000000003"/>
    <x v="1"/>
    <x v="5"/>
    <x v="96"/>
    <x v="9"/>
    <x v="0"/>
  </r>
  <r>
    <n v="587"/>
    <x v="25"/>
    <n v="1"/>
    <n v="0"/>
    <n v="1"/>
    <x v="17"/>
    <x v="4"/>
    <x v="0"/>
    <x v="4"/>
    <x v="2"/>
    <n v="0.2"/>
    <x v="0"/>
    <n v="0.18179999999999999"/>
    <n v="0.93"/>
    <x v="0"/>
    <n v="0.35820000000000002"/>
    <x v="1"/>
    <x v="3"/>
    <x v="16"/>
    <x v="132"/>
    <x v="0"/>
  </r>
  <r>
    <n v="588"/>
    <x v="26"/>
    <n v="1"/>
    <n v="0"/>
    <n v="1"/>
    <x v="16"/>
    <x v="3"/>
    <x v="0"/>
    <x v="5"/>
    <x v="0"/>
    <n v="0.22"/>
    <x v="0"/>
    <n v="0.2273"/>
    <n v="0.55000000000000004"/>
    <x v="1"/>
    <n v="0.19400000000000001"/>
    <x v="0"/>
    <x v="5"/>
    <x v="140"/>
    <x v="108"/>
    <x v="0"/>
  </r>
  <r>
    <n v="589"/>
    <x v="26"/>
    <n v="1"/>
    <n v="0"/>
    <n v="1"/>
    <x v="17"/>
    <x v="4"/>
    <x v="0"/>
    <x v="5"/>
    <x v="0"/>
    <n v="0.22"/>
    <x v="0"/>
    <n v="0.2424"/>
    <n v="0.55000000000000004"/>
    <x v="1"/>
    <n v="0.1045"/>
    <x v="0"/>
    <x v="4"/>
    <x v="70"/>
    <x v="11"/>
    <x v="1"/>
  </r>
  <r>
    <n v="590"/>
    <x v="26"/>
    <n v="1"/>
    <n v="0"/>
    <n v="1"/>
    <x v="18"/>
    <x v="4"/>
    <x v="0"/>
    <x v="5"/>
    <x v="0"/>
    <n v="0.2"/>
    <x v="0"/>
    <n v="0.2273"/>
    <n v="0.69"/>
    <x v="0"/>
    <n v="8.9599999999999999E-2"/>
    <x v="0"/>
    <x v="0"/>
    <x v="143"/>
    <x v="133"/>
    <x v="1"/>
  </r>
  <r>
    <n v="591"/>
    <x v="26"/>
    <n v="1"/>
    <n v="0"/>
    <n v="1"/>
    <x v="19"/>
    <x v="4"/>
    <x v="0"/>
    <x v="5"/>
    <x v="0"/>
    <n v="0.2"/>
    <x v="0"/>
    <n v="0.2273"/>
    <n v="0.69"/>
    <x v="0"/>
    <n v="8.9599999999999999E-2"/>
    <x v="0"/>
    <x v="0"/>
    <x v="83"/>
    <x v="67"/>
    <x v="1"/>
  </r>
  <r>
    <n v="592"/>
    <x v="26"/>
    <n v="1"/>
    <n v="0"/>
    <n v="1"/>
    <x v="20"/>
    <x v="4"/>
    <x v="0"/>
    <x v="5"/>
    <x v="0"/>
    <n v="0.18"/>
    <x v="0"/>
    <n v="0.21210000000000001"/>
    <n v="0.74"/>
    <x v="0"/>
    <n v="8.9599999999999999E-2"/>
    <x v="0"/>
    <x v="17"/>
    <x v="11"/>
    <x v="29"/>
    <x v="0"/>
  </r>
  <r>
    <n v="593"/>
    <x v="26"/>
    <n v="1"/>
    <n v="0"/>
    <n v="1"/>
    <x v="21"/>
    <x v="0"/>
    <x v="0"/>
    <x v="5"/>
    <x v="0"/>
    <n v="0.18"/>
    <x v="0"/>
    <n v="0.21210000000000001"/>
    <n v="0.74"/>
    <x v="0"/>
    <n v="8.9599999999999999E-2"/>
    <x v="0"/>
    <x v="4"/>
    <x v="49"/>
    <x v="103"/>
    <x v="0"/>
  </r>
  <r>
    <n v="594"/>
    <x v="26"/>
    <n v="1"/>
    <n v="0"/>
    <n v="1"/>
    <x v="22"/>
    <x v="0"/>
    <x v="0"/>
    <x v="5"/>
    <x v="0"/>
    <n v="0.18"/>
    <x v="0"/>
    <n v="0.21210000000000001"/>
    <n v="0.74"/>
    <x v="0"/>
    <n v="8.9599999999999999E-2"/>
    <x v="0"/>
    <x v="3"/>
    <x v="2"/>
    <x v="110"/>
    <x v="0"/>
  </r>
  <r>
    <n v="595"/>
    <x v="26"/>
    <n v="1"/>
    <n v="0"/>
    <n v="1"/>
    <x v="23"/>
    <x v="0"/>
    <x v="0"/>
    <x v="5"/>
    <x v="0"/>
    <n v="0.18"/>
    <x v="0"/>
    <n v="0.19700000000000001"/>
    <n v="0.8"/>
    <x v="0"/>
    <n v="0.16420000000000001"/>
    <x v="0"/>
    <x v="3"/>
    <x v="20"/>
    <x v="0"/>
    <x v="0"/>
  </r>
  <r>
    <n v="596"/>
    <x v="27"/>
    <n v="1"/>
    <n v="0"/>
    <n v="1"/>
    <x v="0"/>
    <x v="0"/>
    <x v="0"/>
    <x v="6"/>
    <x v="1"/>
    <n v="0.2"/>
    <x v="0"/>
    <n v="0.21210000000000001"/>
    <n v="0.75"/>
    <x v="0"/>
    <n v="0.1343"/>
    <x v="0"/>
    <x v="3"/>
    <x v="33"/>
    <x v="23"/>
    <x v="0"/>
  </r>
  <r>
    <n v="597"/>
    <x v="27"/>
    <n v="1"/>
    <n v="0"/>
    <n v="1"/>
    <x v="1"/>
    <x v="0"/>
    <x v="0"/>
    <x v="6"/>
    <x v="1"/>
    <n v="0.2"/>
    <x v="0"/>
    <n v="0.21210000000000001"/>
    <n v="0.75"/>
    <x v="0"/>
    <n v="0.1343"/>
    <x v="0"/>
    <x v="5"/>
    <x v="6"/>
    <x v="6"/>
    <x v="0"/>
  </r>
  <r>
    <n v="598"/>
    <x v="27"/>
    <n v="1"/>
    <n v="0"/>
    <n v="1"/>
    <x v="2"/>
    <x v="0"/>
    <x v="0"/>
    <x v="6"/>
    <x v="1"/>
    <n v="0.2"/>
    <x v="0"/>
    <n v="0.21210000000000001"/>
    <n v="0.75"/>
    <x v="0"/>
    <n v="0.16420000000000001"/>
    <x v="0"/>
    <x v="3"/>
    <x v="6"/>
    <x v="5"/>
    <x v="0"/>
  </r>
  <r>
    <n v="599"/>
    <x v="27"/>
    <n v="1"/>
    <n v="0"/>
    <n v="1"/>
    <x v="3"/>
    <x v="0"/>
    <x v="0"/>
    <x v="6"/>
    <x v="1"/>
    <n v="0.2"/>
    <x v="0"/>
    <n v="0.2273"/>
    <n v="0.75"/>
    <x v="0"/>
    <n v="0.1045"/>
    <x v="0"/>
    <x v="5"/>
    <x v="5"/>
    <x v="4"/>
    <x v="0"/>
  </r>
  <r>
    <n v="600"/>
    <x v="27"/>
    <n v="1"/>
    <n v="0"/>
    <n v="1"/>
    <x v="5"/>
    <x v="1"/>
    <x v="0"/>
    <x v="6"/>
    <x v="1"/>
    <n v="0.18"/>
    <x v="0"/>
    <n v="0.21210000000000001"/>
    <n v="0.8"/>
    <x v="0"/>
    <n v="0.1045"/>
    <x v="0"/>
    <x v="3"/>
    <x v="22"/>
    <x v="48"/>
    <x v="0"/>
  </r>
  <r>
    <n v="601"/>
    <x v="27"/>
    <n v="1"/>
    <n v="0"/>
    <n v="1"/>
    <x v="6"/>
    <x v="1"/>
    <x v="0"/>
    <x v="6"/>
    <x v="1"/>
    <n v="0.18"/>
    <x v="0"/>
    <n v="0.19700000000000001"/>
    <n v="0.8"/>
    <x v="0"/>
    <n v="0.1343"/>
    <x v="0"/>
    <x v="3"/>
    <x v="20"/>
    <x v="0"/>
    <x v="0"/>
  </r>
  <r>
    <n v="602"/>
    <x v="27"/>
    <n v="1"/>
    <n v="0"/>
    <n v="1"/>
    <x v="7"/>
    <x v="2"/>
    <x v="0"/>
    <x v="6"/>
    <x v="1"/>
    <n v="0.16"/>
    <x v="0"/>
    <n v="0.19700000000000001"/>
    <n v="0.86"/>
    <x v="0"/>
    <n v="8.9599999999999999E-2"/>
    <x v="0"/>
    <x v="4"/>
    <x v="29"/>
    <x v="122"/>
    <x v="0"/>
  </r>
  <r>
    <n v="603"/>
    <x v="27"/>
    <n v="1"/>
    <n v="0"/>
    <n v="1"/>
    <x v="8"/>
    <x v="2"/>
    <x v="0"/>
    <x v="6"/>
    <x v="1"/>
    <n v="0.16"/>
    <x v="0"/>
    <n v="0.19700000000000001"/>
    <n v="0.86"/>
    <x v="0"/>
    <n v="8.9599999999999999E-2"/>
    <x v="0"/>
    <x v="4"/>
    <x v="119"/>
    <x v="45"/>
    <x v="1"/>
  </r>
  <r>
    <n v="604"/>
    <x v="27"/>
    <n v="1"/>
    <n v="0"/>
    <n v="1"/>
    <x v="9"/>
    <x v="2"/>
    <x v="0"/>
    <x v="6"/>
    <x v="2"/>
    <n v="0.18"/>
    <x v="0"/>
    <n v="0.21210000000000001"/>
    <n v="0.86"/>
    <x v="0"/>
    <n v="8.9599999999999999E-2"/>
    <x v="0"/>
    <x v="15"/>
    <x v="73"/>
    <x v="129"/>
    <x v="1"/>
  </r>
  <r>
    <n v="605"/>
    <x v="27"/>
    <n v="1"/>
    <n v="0"/>
    <n v="1"/>
    <x v="10"/>
    <x v="2"/>
    <x v="0"/>
    <x v="6"/>
    <x v="2"/>
    <n v="0.18"/>
    <x v="0"/>
    <n v="0.21210000000000001"/>
    <n v="0.86"/>
    <x v="0"/>
    <n v="0.1045"/>
    <x v="0"/>
    <x v="3"/>
    <x v="47"/>
    <x v="99"/>
    <x v="0"/>
  </r>
  <r>
    <n v="606"/>
    <x v="27"/>
    <n v="1"/>
    <n v="0"/>
    <n v="1"/>
    <x v="11"/>
    <x v="3"/>
    <x v="0"/>
    <x v="6"/>
    <x v="2"/>
    <n v="0.18"/>
    <x v="0"/>
    <n v="0.21210000000000001"/>
    <n v="0.93"/>
    <x v="0"/>
    <n v="0.1045"/>
    <x v="0"/>
    <x v="3"/>
    <x v="10"/>
    <x v="33"/>
    <x v="0"/>
  </r>
  <r>
    <n v="607"/>
    <x v="27"/>
    <n v="1"/>
    <n v="0"/>
    <n v="1"/>
    <x v="12"/>
    <x v="3"/>
    <x v="0"/>
    <x v="6"/>
    <x v="2"/>
    <n v="0.18"/>
    <x v="0"/>
    <n v="0.21210000000000001"/>
    <n v="0.93"/>
    <x v="0"/>
    <n v="0.1045"/>
    <x v="0"/>
    <x v="5"/>
    <x v="95"/>
    <x v="115"/>
    <x v="0"/>
  </r>
  <r>
    <n v="608"/>
    <x v="27"/>
    <n v="1"/>
    <n v="0"/>
    <n v="1"/>
    <x v="13"/>
    <x v="3"/>
    <x v="0"/>
    <x v="6"/>
    <x v="2"/>
    <n v="0.18"/>
    <x v="0"/>
    <n v="0.21210000000000001"/>
    <n v="0.93"/>
    <x v="0"/>
    <n v="0.1045"/>
    <x v="0"/>
    <x v="3"/>
    <x v="17"/>
    <x v="35"/>
    <x v="0"/>
  </r>
  <r>
    <n v="609"/>
    <x v="27"/>
    <n v="1"/>
    <n v="0"/>
    <n v="1"/>
    <x v="14"/>
    <x v="3"/>
    <x v="0"/>
    <x v="6"/>
    <x v="2"/>
    <n v="0.22"/>
    <x v="0"/>
    <n v="0.2727"/>
    <n v="0.8"/>
    <x v="0"/>
    <n v="0"/>
    <x v="0"/>
    <x v="4"/>
    <x v="49"/>
    <x v="103"/>
    <x v="0"/>
  </r>
  <r>
    <n v="610"/>
    <x v="27"/>
    <n v="1"/>
    <n v="0"/>
    <n v="1"/>
    <x v="15"/>
    <x v="3"/>
    <x v="0"/>
    <x v="6"/>
    <x v="1"/>
    <n v="0.2"/>
    <x v="0"/>
    <n v="0.2576"/>
    <n v="0.86"/>
    <x v="0"/>
    <n v="0"/>
    <x v="0"/>
    <x v="5"/>
    <x v="71"/>
    <x v="102"/>
    <x v="0"/>
  </r>
  <r>
    <n v="611"/>
    <x v="27"/>
    <n v="1"/>
    <n v="0"/>
    <n v="1"/>
    <x v="16"/>
    <x v="3"/>
    <x v="0"/>
    <x v="6"/>
    <x v="0"/>
    <n v="0.22"/>
    <x v="0"/>
    <n v="0.2727"/>
    <n v="0.8"/>
    <x v="0"/>
    <n v="0"/>
    <x v="0"/>
    <x v="22"/>
    <x v="14"/>
    <x v="138"/>
    <x v="1"/>
  </r>
  <r>
    <n v="612"/>
    <x v="27"/>
    <n v="1"/>
    <n v="0"/>
    <n v="1"/>
    <x v="17"/>
    <x v="4"/>
    <x v="0"/>
    <x v="6"/>
    <x v="0"/>
    <n v="0.24"/>
    <x v="0"/>
    <n v="0.2424"/>
    <n v="0.75"/>
    <x v="0"/>
    <n v="0.1343"/>
    <x v="0"/>
    <x v="4"/>
    <x v="150"/>
    <x v="165"/>
    <x v="1"/>
  </r>
  <r>
    <n v="613"/>
    <x v="27"/>
    <n v="1"/>
    <n v="0"/>
    <n v="1"/>
    <x v="18"/>
    <x v="4"/>
    <x v="0"/>
    <x v="6"/>
    <x v="0"/>
    <n v="0.24"/>
    <x v="0"/>
    <n v="0.2273"/>
    <n v="0.75"/>
    <x v="0"/>
    <n v="0.19400000000000001"/>
    <x v="0"/>
    <x v="4"/>
    <x v="128"/>
    <x v="142"/>
    <x v="1"/>
  </r>
  <r>
    <n v="614"/>
    <x v="27"/>
    <n v="1"/>
    <n v="0"/>
    <n v="1"/>
    <x v="19"/>
    <x v="4"/>
    <x v="0"/>
    <x v="6"/>
    <x v="1"/>
    <n v="0.24"/>
    <x v="0"/>
    <n v="0.2424"/>
    <n v="0.75"/>
    <x v="0"/>
    <n v="0.1343"/>
    <x v="0"/>
    <x v="2"/>
    <x v="151"/>
    <x v="70"/>
    <x v="1"/>
  </r>
  <r>
    <n v="615"/>
    <x v="27"/>
    <n v="1"/>
    <n v="0"/>
    <n v="1"/>
    <x v="20"/>
    <x v="4"/>
    <x v="0"/>
    <x v="6"/>
    <x v="1"/>
    <n v="0.24"/>
    <x v="0"/>
    <n v="0.2273"/>
    <n v="0.7"/>
    <x v="0"/>
    <n v="0.19400000000000001"/>
    <x v="0"/>
    <x v="5"/>
    <x v="124"/>
    <x v="69"/>
    <x v="0"/>
  </r>
  <r>
    <n v="616"/>
    <x v="27"/>
    <n v="1"/>
    <n v="0"/>
    <n v="1"/>
    <x v="21"/>
    <x v="0"/>
    <x v="0"/>
    <x v="6"/>
    <x v="1"/>
    <n v="0.22"/>
    <x v="0"/>
    <n v="0.2273"/>
    <n v="0.75"/>
    <x v="0"/>
    <n v="0.1343"/>
    <x v="0"/>
    <x v="5"/>
    <x v="77"/>
    <x v="154"/>
    <x v="0"/>
  </r>
  <r>
    <n v="617"/>
    <x v="27"/>
    <n v="1"/>
    <n v="0"/>
    <n v="1"/>
    <x v="22"/>
    <x v="0"/>
    <x v="0"/>
    <x v="6"/>
    <x v="0"/>
    <n v="0.24"/>
    <x v="0"/>
    <n v="0.21210000000000001"/>
    <n v="0.65"/>
    <x v="0"/>
    <n v="0.35820000000000002"/>
    <x v="1"/>
    <x v="3"/>
    <x v="16"/>
    <x v="132"/>
    <x v="0"/>
  </r>
  <r>
    <n v="618"/>
    <x v="27"/>
    <n v="1"/>
    <n v="0"/>
    <n v="1"/>
    <x v="23"/>
    <x v="0"/>
    <x v="0"/>
    <x v="6"/>
    <x v="0"/>
    <n v="0.24"/>
    <x v="0"/>
    <n v="0.2273"/>
    <n v="0.6"/>
    <x v="3"/>
    <n v="0.22389999999999999"/>
    <x v="1"/>
    <x v="5"/>
    <x v="97"/>
    <x v="84"/>
    <x v="0"/>
  </r>
  <r>
    <n v="619"/>
    <x v="28"/>
    <n v="1"/>
    <n v="0"/>
    <n v="1"/>
    <x v="0"/>
    <x v="0"/>
    <x v="0"/>
    <x v="0"/>
    <x v="0"/>
    <n v="0.22"/>
    <x v="0"/>
    <n v="0.19700000000000001"/>
    <n v="0.64"/>
    <x v="0"/>
    <n v="0.35820000000000002"/>
    <x v="1"/>
    <x v="4"/>
    <x v="16"/>
    <x v="20"/>
    <x v="0"/>
  </r>
  <r>
    <n v="620"/>
    <x v="28"/>
    <n v="1"/>
    <n v="0"/>
    <n v="1"/>
    <x v="1"/>
    <x v="0"/>
    <x v="0"/>
    <x v="0"/>
    <x v="0"/>
    <n v="0.22"/>
    <x v="0"/>
    <n v="0.2273"/>
    <n v="0.64"/>
    <x v="0"/>
    <n v="0.19400000000000001"/>
    <x v="0"/>
    <x v="3"/>
    <x v="32"/>
    <x v="25"/>
    <x v="0"/>
  </r>
  <r>
    <n v="621"/>
    <x v="28"/>
    <n v="1"/>
    <n v="0"/>
    <n v="1"/>
    <x v="2"/>
    <x v="0"/>
    <x v="0"/>
    <x v="0"/>
    <x v="0"/>
    <n v="0.22"/>
    <x v="0"/>
    <n v="0.2273"/>
    <n v="0.64"/>
    <x v="0"/>
    <n v="0.16420000000000001"/>
    <x v="0"/>
    <x v="3"/>
    <x v="89"/>
    <x v="93"/>
    <x v="0"/>
  </r>
  <r>
    <n v="622"/>
    <x v="28"/>
    <n v="1"/>
    <n v="0"/>
    <n v="1"/>
    <x v="3"/>
    <x v="0"/>
    <x v="0"/>
    <x v="0"/>
    <x v="0"/>
    <n v="0.2"/>
    <x v="0"/>
    <n v="0.21210000000000001"/>
    <n v="0.64"/>
    <x v="0"/>
    <n v="0.1343"/>
    <x v="0"/>
    <x v="0"/>
    <x v="34"/>
    <x v="7"/>
    <x v="0"/>
  </r>
  <r>
    <n v="623"/>
    <x v="28"/>
    <n v="1"/>
    <n v="0"/>
    <n v="1"/>
    <x v="4"/>
    <x v="1"/>
    <x v="0"/>
    <x v="0"/>
    <x v="0"/>
    <n v="0.16"/>
    <x v="0"/>
    <n v="0.18179999999999999"/>
    <n v="0.69"/>
    <x v="0"/>
    <n v="0.1045"/>
    <x v="0"/>
    <x v="5"/>
    <x v="6"/>
    <x v="6"/>
    <x v="0"/>
  </r>
  <r>
    <n v="624"/>
    <x v="28"/>
    <n v="1"/>
    <n v="0"/>
    <n v="1"/>
    <x v="6"/>
    <x v="1"/>
    <x v="0"/>
    <x v="0"/>
    <x v="0"/>
    <n v="0.16"/>
    <x v="0"/>
    <n v="0.18179999999999999"/>
    <n v="0.64"/>
    <x v="0"/>
    <n v="0.1343"/>
    <x v="0"/>
    <x v="3"/>
    <x v="6"/>
    <x v="5"/>
    <x v="0"/>
  </r>
  <r>
    <n v="625"/>
    <x v="28"/>
    <n v="1"/>
    <n v="0"/>
    <n v="1"/>
    <x v="7"/>
    <x v="2"/>
    <x v="0"/>
    <x v="0"/>
    <x v="0"/>
    <n v="0.16"/>
    <x v="0"/>
    <n v="0.18179999999999999"/>
    <n v="0.59"/>
    <x v="1"/>
    <n v="0.1045"/>
    <x v="0"/>
    <x v="5"/>
    <x v="22"/>
    <x v="36"/>
    <x v="0"/>
  </r>
  <r>
    <n v="626"/>
    <x v="28"/>
    <n v="1"/>
    <n v="0"/>
    <n v="1"/>
    <x v="8"/>
    <x v="2"/>
    <x v="0"/>
    <x v="0"/>
    <x v="0"/>
    <n v="0.18"/>
    <x v="0"/>
    <n v="0.19700000000000001"/>
    <n v="0.55000000000000004"/>
    <x v="1"/>
    <n v="0.16420000000000001"/>
    <x v="0"/>
    <x v="0"/>
    <x v="17"/>
    <x v="19"/>
    <x v="0"/>
  </r>
  <r>
    <n v="627"/>
    <x v="28"/>
    <n v="1"/>
    <n v="0"/>
    <n v="1"/>
    <x v="9"/>
    <x v="2"/>
    <x v="0"/>
    <x v="0"/>
    <x v="0"/>
    <n v="0.18"/>
    <x v="0"/>
    <n v="0.21210000000000001"/>
    <n v="0.59"/>
    <x v="1"/>
    <n v="8.9599999999999999E-2"/>
    <x v="0"/>
    <x v="3"/>
    <x v="60"/>
    <x v="19"/>
    <x v="0"/>
  </r>
  <r>
    <n v="628"/>
    <x v="28"/>
    <n v="1"/>
    <n v="0"/>
    <n v="1"/>
    <x v="10"/>
    <x v="2"/>
    <x v="0"/>
    <x v="0"/>
    <x v="1"/>
    <n v="0.18"/>
    <x v="0"/>
    <n v="0.21210000000000001"/>
    <n v="0.64"/>
    <x v="0"/>
    <n v="0.1045"/>
    <x v="0"/>
    <x v="17"/>
    <x v="82"/>
    <x v="97"/>
    <x v="0"/>
  </r>
  <r>
    <n v="629"/>
    <x v="28"/>
    <n v="1"/>
    <n v="0"/>
    <n v="1"/>
    <x v="11"/>
    <x v="3"/>
    <x v="0"/>
    <x v="0"/>
    <x v="1"/>
    <n v="0.18"/>
    <x v="0"/>
    <n v="0.19700000000000001"/>
    <n v="0.64"/>
    <x v="0"/>
    <n v="0.1343"/>
    <x v="0"/>
    <x v="17"/>
    <x v="91"/>
    <x v="37"/>
    <x v="0"/>
  </r>
  <r>
    <n v="630"/>
    <x v="28"/>
    <n v="1"/>
    <n v="0"/>
    <n v="1"/>
    <x v="12"/>
    <x v="3"/>
    <x v="0"/>
    <x v="0"/>
    <x v="1"/>
    <n v="0.2"/>
    <x v="0"/>
    <n v="0.19700000000000001"/>
    <n v="0.59"/>
    <x v="1"/>
    <n v="0.19400000000000001"/>
    <x v="0"/>
    <x v="6"/>
    <x v="43"/>
    <x v="53"/>
    <x v="1"/>
  </r>
  <r>
    <n v="631"/>
    <x v="28"/>
    <n v="1"/>
    <n v="0"/>
    <n v="1"/>
    <x v="13"/>
    <x v="3"/>
    <x v="0"/>
    <x v="0"/>
    <x v="1"/>
    <n v="0.22"/>
    <x v="0"/>
    <n v="0.2273"/>
    <n v="0.55000000000000004"/>
    <x v="1"/>
    <n v="0.16420000000000001"/>
    <x v="0"/>
    <x v="14"/>
    <x v="90"/>
    <x v="32"/>
    <x v="0"/>
  </r>
  <r>
    <n v="632"/>
    <x v="28"/>
    <n v="1"/>
    <n v="0"/>
    <n v="1"/>
    <x v="14"/>
    <x v="3"/>
    <x v="0"/>
    <x v="0"/>
    <x v="1"/>
    <n v="0.22"/>
    <x v="0"/>
    <n v="0.2273"/>
    <n v="0.6"/>
    <x v="3"/>
    <n v="0.1343"/>
    <x v="0"/>
    <x v="22"/>
    <x v="121"/>
    <x v="111"/>
    <x v="1"/>
  </r>
  <r>
    <n v="633"/>
    <x v="28"/>
    <n v="1"/>
    <n v="0"/>
    <n v="1"/>
    <x v="15"/>
    <x v="3"/>
    <x v="0"/>
    <x v="0"/>
    <x v="0"/>
    <n v="0.22"/>
    <x v="0"/>
    <n v="0.21210000000000001"/>
    <n v="0.69"/>
    <x v="0"/>
    <n v="0.25369999999999998"/>
    <x v="1"/>
    <x v="30"/>
    <x v="52"/>
    <x v="151"/>
    <x v="1"/>
  </r>
  <r>
    <n v="634"/>
    <x v="28"/>
    <n v="1"/>
    <n v="0"/>
    <n v="1"/>
    <x v="16"/>
    <x v="3"/>
    <x v="0"/>
    <x v="0"/>
    <x v="0"/>
    <n v="0.24"/>
    <x v="0"/>
    <n v="0.2424"/>
    <n v="0.6"/>
    <x v="3"/>
    <n v="0.16420000000000001"/>
    <x v="0"/>
    <x v="21"/>
    <x v="152"/>
    <x v="166"/>
    <x v="1"/>
  </r>
  <r>
    <n v="635"/>
    <x v="28"/>
    <n v="1"/>
    <n v="0"/>
    <n v="1"/>
    <x v="17"/>
    <x v="4"/>
    <x v="0"/>
    <x v="0"/>
    <x v="0"/>
    <n v="0.24"/>
    <x v="0"/>
    <n v="0.28789999999999999"/>
    <n v="0.6"/>
    <x v="3"/>
    <n v="0"/>
    <x v="0"/>
    <x v="14"/>
    <x v="70"/>
    <x v="134"/>
    <x v="1"/>
  </r>
  <r>
    <n v="636"/>
    <x v="28"/>
    <n v="1"/>
    <n v="0"/>
    <n v="1"/>
    <x v="18"/>
    <x v="4"/>
    <x v="0"/>
    <x v="0"/>
    <x v="0"/>
    <n v="0.22"/>
    <x v="0"/>
    <n v="0.2273"/>
    <n v="0.69"/>
    <x v="0"/>
    <n v="0.1343"/>
    <x v="0"/>
    <x v="14"/>
    <x v="79"/>
    <x v="118"/>
    <x v="0"/>
  </r>
  <r>
    <n v="637"/>
    <x v="28"/>
    <n v="1"/>
    <n v="0"/>
    <n v="1"/>
    <x v="19"/>
    <x v="4"/>
    <x v="0"/>
    <x v="0"/>
    <x v="1"/>
    <n v="0.22"/>
    <x v="0"/>
    <n v="0.21210000000000001"/>
    <n v="0.69"/>
    <x v="0"/>
    <n v="0.25369999999999998"/>
    <x v="1"/>
    <x v="15"/>
    <x v="15"/>
    <x v="154"/>
    <x v="0"/>
  </r>
  <r>
    <n v="638"/>
    <x v="28"/>
    <n v="1"/>
    <n v="0"/>
    <n v="1"/>
    <x v="20"/>
    <x v="4"/>
    <x v="0"/>
    <x v="0"/>
    <x v="0"/>
    <n v="0.18"/>
    <x v="0"/>
    <n v="0.21210000000000001"/>
    <n v="0.74"/>
    <x v="0"/>
    <n v="8.9599999999999999E-2"/>
    <x v="0"/>
    <x v="5"/>
    <x v="76"/>
    <x v="74"/>
    <x v="0"/>
  </r>
  <r>
    <n v="639"/>
    <x v="28"/>
    <n v="1"/>
    <n v="0"/>
    <n v="1"/>
    <x v="21"/>
    <x v="0"/>
    <x v="0"/>
    <x v="0"/>
    <x v="0"/>
    <n v="0.18"/>
    <x v="0"/>
    <n v="0.21210000000000001"/>
    <n v="0.74"/>
    <x v="0"/>
    <n v="8.9599999999999999E-2"/>
    <x v="0"/>
    <x v="5"/>
    <x v="96"/>
    <x v="9"/>
    <x v="0"/>
  </r>
  <r>
    <n v="640"/>
    <x v="28"/>
    <n v="1"/>
    <n v="0"/>
    <n v="1"/>
    <x v="22"/>
    <x v="0"/>
    <x v="0"/>
    <x v="0"/>
    <x v="0"/>
    <n v="0.16"/>
    <x v="0"/>
    <n v="0.19700000000000001"/>
    <n v="0.8"/>
    <x v="0"/>
    <n v="8.9599999999999999E-2"/>
    <x v="0"/>
    <x v="17"/>
    <x v="95"/>
    <x v="2"/>
    <x v="0"/>
  </r>
  <r>
    <n v="641"/>
    <x v="28"/>
    <n v="1"/>
    <n v="0"/>
    <n v="1"/>
    <x v="23"/>
    <x v="0"/>
    <x v="0"/>
    <x v="0"/>
    <x v="0"/>
    <n v="0.16"/>
    <x v="0"/>
    <n v="0.19700000000000001"/>
    <n v="0.8"/>
    <x v="0"/>
    <n v="8.9599999999999999E-2"/>
    <x v="0"/>
    <x v="0"/>
    <x v="10"/>
    <x v="63"/>
    <x v="0"/>
  </r>
  <r>
    <n v="642"/>
    <x v="29"/>
    <n v="1"/>
    <n v="0"/>
    <n v="1"/>
    <x v="0"/>
    <x v="0"/>
    <x v="0"/>
    <x v="1"/>
    <x v="0"/>
    <n v="0.16"/>
    <x v="0"/>
    <n v="0.18179999999999999"/>
    <n v="0.8"/>
    <x v="0"/>
    <n v="0.1045"/>
    <x v="0"/>
    <x v="3"/>
    <x v="39"/>
    <x v="63"/>
    <x v="0"/>
  </r>
  <r>
    <n v="643"/>
    <x v="29"/>
    <n v="1"/>
    <n v="0"/>
    <n v="1"/>
    <x v="1"/>
    <x v="0"/>
    <x v="0"/>
    <x v="1"/>
    <x v="0"/>
    <n v="0.14000000000000001"/>
    <x v="3"/>
    <n v="0.21210000000000001"/>
    <n v="0.8"/>
    <x v="0"/>
    <n v="0"/>
    <x v="0"/>
    <x v="18"/>
    <x v="97"/>
    <x v="115"/>
    <x v="0"/>
  </r>
  <r>
    <n v="644"/>
    <x v="29"/>
    <n v="1"/>
    <n v="0"/>
    <n v="1"/>
    <x v="2"/>
    <x v="0"/>
    <x v="0"/>
    <x v="1"/>
    <x v="0"/>
    <n v="0.16"/>
    <x v="0"/>
    <n v="0.2273"/>
    <n v="0.8"/>
    <x v="0"/>
    <n v="0"/>
    <x v="0"/>
    <x v="5"/>
    <x v="3"/>
    <x v="62"/>
    <x v="0"/>
  </r>
  <r>
    <n v="645"/>
    <x v="29"/>
    <n v="1"/>
    <n v="0"/>
    <n v="1"/>
    <x v="3"/>
    <x v="0"/>
    <x v="0"/>
    <x v="1"/>
    <x v="0"/>
    <n v="0.14000000000000001"/>
    <x v="3"/>
    <n v="0.21210000000000001"/>
    <n v="0.93"/>
    <x v="0"/>
    <n v="0"/>
    <x v="0"/>
    <x v="5"/>
    <x v="7"/>
    <x v="7"/>
    <x v="0"/>
  </r>
  <r>
    <n v="646"/>
    <x v="29"/>
    <n v="1"/>
    <n v="0"/>
    <n v="1"/>
    <x v="4"/>
    <x v="1"/>
    <x v="0"/>
    <x v="1"/>
    <x v="0"/>
    <n v="0.14000000000000001"/>
    <x v="3"/>
    <n v="0.21210000000000001"/>
    <n v="0.93"/>
    <x v="0"/>
    <n v="0"/>
    <x v="0"/>
    <x v="3"/>
    <x v="4"/>
    <x v="4"/>
    <x v="0"/>
  </r>
  <r>
    <n v="647"/>
    <x v="29"/>
    <n v="1"/>
    <n v="0"/>
    <n v="1"/>
    <x v="5"/>
    <x v="1"/>
    <x v="0"/>
    <x v="1"/>
    <x v="0"/>
    <n v="0.14000000000000001"/>
    <x v="3"/>
    <n v="0.21210000000000001"/>
    <n v="0.86"/>
    <x v="0"/>
    <n v="0"/>
    <x v="0"/>
    <x v="3"/>
    <x v="35"/>
    <x v="6"/>
    <x v="0"/>
  </r>
  <r>
    <n v="648"/>
    <x v="29"/>
    <n v="1"/>
    <n v="0"/>
    <n v="1"/>
    <x v="7"/>
    <x v="2"/>
    <x v="0"/>
    <x v="1"/>
    <x v="0"/>
    <n v="0.14000000000000001"/>
    <x v="3"/>
    <n v="0.21210000000000001"/>
    <n v="0.86"/>
    <x v="0"/>
    <n v="0"/>
    <x v="0"/>
    <x v="3"/>
    <x v="35"/>
    <x v="6"/>
    <x v="0"/>
  </r>
  <r>
    <n v="649"/>
    <x v="29"/>
    <n v="1"/>
    <n v="0"/>
    <n v="1"/>
    <x v="8"/>
    <x v="2"/>
    <x v="0"/>
    <x v="1"/>
    <x v="1"/>
    <n v="0.14000000000000001"/>
    <x v="3"/>
    <n v="0.21210000000000001"/>
    <n v="0.86"/>
    <x v="0"/>
    <n v="0"/>
    <x v="0"/>
    <x v="5"/>
    <x v="48"/>
    <x v="47"/>
    <x v="0"/>
  </r>
  <r>
    <n v="650"/>
    <x v="29"/>
    <n v="1"/>
    <n v="0"/>
    <n v="1"/>
    <x v="9"/>
    <x v="2"/>
    <x v="0"/>
    <x v="1"/>
    <x v="1"/>
    <n v="0.16"/>
    <x v="0"/>
    <n v="0.2273"/>
    <n v="0.8"/>
    <x v="0"/>
    <n v="0"/>
    <x v="0"/>
    <x v="17"/>
    <x v="60"/>
    <x v="103"/>
    <x v="0"/>
  </r>
  <r>
    <n v="651"/>
    <x v="29"/>
    <n v="1"/>
    <n v="0"/>
    <n v="1"/>
    <x v="10"/>
    <x v="2"/>
    <x v="0"/>
    <x v="1"/>
    <x v="1"/>
    <n v="0.18"/>
    <x v="0"/>
    <n v="0.2424"/>
    <n v="0.8"/>
    <x v="0"/>
    <n v="0"/>
    <x v="0"/>
    <x v="18"/>
    <x v="77"/>
    <x v="37"/>
    <x v="0"/>
  </r>
  <r>
    <n v="652"/>
    <x v="29"/>
    <n v="1"/>
    <n v="0"/>
    <n v="1"/>
    <x v="11"/>
    <x v="3"/>
    <x v="0"/>
    <x v="1"/>
    <x v="0"/>
    <n v="0.22"/>
    <x v="0"/>
    <n v="0.2727"/>
    <n v="0.75"/>
    <x v="0"/>
    <n v="0"/>
    <x v="0"/>
    <x v="14"/>
    <x v="54"/>
    <x v="29"/>
    <x v="0"/>
  </r>
  <r>
    <n v="653"/>
    <x v="29"/>
    <n v="1"/>
    <n v="0"/>
    <n v="1"/>
    <x v="12"/>
    <x v="3"/>
    <x v="0"/>
    <x v="1"/>
    <x v="0"/>
    <n v="0.3"/>
    <x v="1"/>
    <n v="0.31819999999999998"/>
    <n v="0.52"/>
    <x v="1"/>
    <n v="0.1045"/>
    <x v="0"/>
    <x v="22"/>
    <x v="61"/>
    <x v="54"/>
    <x v="1"/>
  </r>
  <r>
    <n v="654"/>
    <x v="29"/>
    <n v="1"/>
    <n v="0"/>
    <n v="1"/>
    <x v="13"/>
    <x v="3"/>
    <x v="0"/>
    <x v="1"/>
    <x v="0"/>
    <n v="0.28000000000000003"/>
    <x v="1"/>
    <n v="0.28789999999999999"/>
    <n v="0.61"/>
    <x v="3"/>
    <n v="0.1045"/>
    <x v="0"/>
    <x v="23"/>
    <x v="13"/>
    <x v="11"/>
    <x v="1"/>
  </r>
  <r>
    <n v="655"/>
    <x v="29"/>
    <n v="1"/>
    <n v="0"/>
    <n v="1"/>
    <x v="14"/>
    <x v="3"/>
    <x v="0"/>
    <x v="1"/>
    <x v="0"/>
    <n v="0.28000000000000003"/>
    <x v="1"/>
    <n v="0.30299999999999999"/>
    <n v="0.61"/>
    <x v="3"/>
    <n v="8.9599999999999999E-2"/>
    <x v="0"/>
    <x v="25"/>
    <x v="153"/>
    <x v="78"/>
    <x v="1"/>
  </r>
  <r>
    <n v="656"/>
    <x v="29"/>
    <n v="1"/>
    <n v="0"/>
    <n v="1"/>
    <x v="15"/>
    <x v="3"/>
    <x v="0"/>
    <x v="1"/>
    <x v="0"/>
    <n v="0.3"/>
    <x v="1"/>
    <n v="0.33329999999999999"/>
    <n v="0.56000000000000005"/>
    <x v="1"/>
    <n v="0"/>
    <x v="0"/>
    <x v="24"/>
    <x v="73"/>
    <x v="142"/>
    <x v="1"/>
  </r>
  <r>
    <n v="657"/>
    <x v="29"/>
    <n v="1"/>
    <n v="0"/>
    <n v="1"/>
    <x v="16"/>
    <x v="3"/>
    <x v="0"/>
    <x v="1"/>
    <x v="0"/>
    <n v="0.3"/>
    <x v="1"/>
    <n v="0.33329999999999999"/>
    <n v="0.56000000000000005"/>
    <x v="1"/>
    <n v="0"/>
    <x v="0"/>
    <x v="21"/>
    <x v="153"/>
    <x v="92"/>
    <x v="1"/>
  </r>
  <r>
    <n v="658"/>
    <x v="29"/>
    <n v="1"/>
    <n v="0"/>
    <n v="1"/>
    <x v="17"/>
    <x v="4"/>
    <x v="0"/>
    <x v="1"/>
    <x v="0"/>
    <n v="0.3"/>
    <x v="1"/>
    <n v="0.28789999999999999"/>
    <n v="0.56000000000000005"/>
    <x v="1"/>
    <n v="0.19400000000000001"/>
    <x v="0"/>
    <x v="15"/>
    <x v="13"/>
    <x v="43"/>
    <x v="1"/>
  </r>
  <r>
    <n v="659"/>
    <x v="29"/>
    <n v="1"/>
    <n v="0"/>
    <n v="1"/>
    <x v="18"/>
    <x v="4"/>
    <x v="0"/>
    <x v="1"/>
    <x v="0"/>
    <n v="0.26"/>
    <x v="1"/>
    <n v="0.2576"/>
    <n v="0.65"/>
    <x v="0"/>
    <n v="0.16420000000000001"/>
    <x v="0"/>
    <x v="1"/>
    <x v="77"/>
    <x v="32"/>
    <x v="0"/>
  </r>
  <r>
    <n v="660"/>
    <x v="29"/>
    <n v="1"/>
    <n v="0"/>
    <n v="1"/>
    <x v="19"/>
    <x v="4"/>
    <x v="0"/>
    <x v="1"/>
    <x v="0"/>
    <n v="0.26"/>
    <x v="1"/>
    <n v="0.2576"/>
    <n v="0.65"/>
    <x v="0"/>
    <n v="0.19400000000000001"/>
    <x v="0"/>
    <x v="14"/>
    <x v="24"/>
    <x v="97"/>
    <x v="0"/>
  </r>
  <r>
    <n v="661"/>
    <x v="29"/>
    <n v="1"/>
    <n v="0"/>
    <n v="1"/>
    <x v="20"/>
    <x v="4"/>
    <x v="0"/>
    <x v="1"/>
    <x v="1"/>
    <n v="0.26"/>
    <x v="1"/>
    <n v="0.2727"/>
    <n v="0.65"/>
    <x v="0"/>
    <n v="0.1045"/>
    <x v="0"/>
    <x v="0"/>
    <x v="10"/>
    <x v="63"/>
    <x v="0"/>
  </r>
  <r>
    <n v="662"/>
    <x v="29"/>
    <n v="1"/>
    <n v="0"/>
    <n v="1"/>
    <x v="21"/>
    <x v="0"/>
    <x v="0"/>
    <x v="1"/>
    <x v="1"/>
    <n v="0.24"/>
    <x v="0"/>
    <n v="0.2424"/>
    <n v="0.7"/>
    <x v="0"/>
    <n v="0.16420000000000001"/>
    <x v="0"/>
    <x v="0"/>
    <x v="18"/>
    <x v="20"/>
    <x v="0"/>
  </r>
  <r>
    <n v="663"/>
    <x v="29"/>
    <n v="1"/>
    <n v="0"/>
    <n v="1"/>
    <x v="22"/>
    <x v="0"/>
    <x v="0"/>
    <x v="1"/>
    <x v="1"/>
    <n v="0.24"/>
    <x v="0"/>
    <n v="0.2273"/>
    <n v="0.7"/>
    <x v="0"/>
    <n v="0.19400000000000001"/>
    <x v="0"/>
    <x v="4"/>
    <x v="23"/>
    <x v="137"/>
    <x v="0"/>
  </r>
  <r>
    <n v="664"/>
    <x v="29"/>
    <n v="1"/>
    <n v="0"/>
    <n v="1"/>
    <x v="23"/>
    <x v="0"/>
    <x v="0"/>
    <x v="1"/>
    <x v="1"/>
    <n v="0.24"/>
    <x v="0"/>
    <n v="0.21210000000000001"/>
    <n v="0.65"/>
    <x v="0"/>
    <n v="0.28360000000000002"/>
    <x v="1"/>
    <x v="2"/>
    <x v="20"/>
    <x v="137"/>
    <x v="0"/>
  </r>
  <r>
    <n v="665"/>
    <x v="30"/>
    <n v="1"/>
    <n v="0"/>
    <n v="1"/>
    <x v="0"/>
    <x v="0"/>
    <x v="0"/>
    <x v="2"/>
    <x v="1"/>
    <n v="0.24"/>
    <x v="0"/>
    <n v="0.2273"/>
    <n v="0.65"/>
    <x v="0"/>
    <n v="0.22389999999999999"/>
    <x v="1"/>
    <x v="5"/>
    <x v="8"/>
    <x v="85"/>
    <x v="0"/>
  </r>
  <r>
    <n v="666"/>
    <x v="30"/>
    <n v="1"/>
    <n v="0"/>
    <n v="1"/>
    <x v="1"/>
    <x v="0"/>
    <x v="0"/>
    <x v="2"/>
    <x v="0"/>
    <n v="0.22"/>
    <x v="0"/>
    <n v="0.21210000000000001"/>
    <n v="0.64"/>
    <x v="0"/>
    <n v="0.25369999999999998"/>
    <x v="1"/>
    <x v="4"/>
    <x v="34"/>
    <x v="85"/>
    <x v="0"/>
  </r>
  <r>
    <n v="667"/>
    <x v="30"/>
    <n v="1"/>
    <n v="0"/>
    <n v="1"/>
    <x v="2"/>
    <x v="0"/>
    <x v="0"/>
    <x v="2"/>
    <x v="0"/>
    <n v="0.22"/>
    <x v="0"/>
    <n v="0.2273"/>
    <n v="0.64"/>
    <x v="0"/>
    <n v="0.19400000000000001"/>
    <x v="0"/>
    <x v="3"/>
    <x v="4"/>
    <x v="4"/>
    <x v="0"/>
  </r>
  <r>
    <n v="668"/>
    <x v="30"/>
    <n v="1"/>
    <n v="0"/>
    <n v="1"/>
    <x v="3"/>
    <x v="0"/>
    <x v="0"/>
    <x v="2"/>
    <x v="0"/>
    <n v="0.22"/>
    <x v="0"/>
    <n v="0.2273"/>
    <n v="0.64"/>
    <x v="0"/>
    <n v="0.19400000000000001"/>
    <x v="0"/>
    <x v="3"/>
    <x v="6"/>
    <x v="5"/>
    <x v="0"/>
  </r>
  <r>
    <n v="669"/>
    <x v="30"/>
    <n v="1"/>
    <n v="0"/>
    <n v="1"/>
    <x v="4"/>
    <x v="1"/>
    <x v="0"/>
    <x v="2"/>
    <x v="0"/>
    <n v="0.2"/>
    <x v="0"/>
    <n v="0.19700000000000001"/>
    <n v="0.59"/>
    <x v="1"/>
    <n v="0.22389999999999999"/>
    <x v="1"/>
    <x v="3"/>
    <x v="6"/>
    <x v="5"/>
    <x v="0"/>
  </r>
  <r>
    <n v="670"/>
    <x v="30"/>
    <n v="1"/>
    <n v="0"/>
    <n v="1"/>
    <x v="5"/>
    <x v="1"/>
    <x v="0"/>
    <x v="2"/>
    <x v="0"/>
    <n v="0.18"/>
    <x v="0"/>
    <n v="0.16669999999999999"/>
    <n v="0.64"/>
    <x v="0"/>
    <n v="0.28360000000000002"/>
    <x v="1"/>
    <x v="3"/>
    <x v="21"/>
    <x v="7"/>
    <x v="0"/>
  </r>
  <r>
    <n v="671"/>
    <x v="30"/>
    <n v="1"/>
    <n v="0"/>
    <n v="1"/>
    <x v="6"/>
    <x v="1"/>
    <x v="0"/>
    <x v="2"/>
    <x v="0"/>
    <n v="0.16"/>
    <x v="0"/>
    <n v="0.13639999999999999"/>
    <n v="0.69"/>
    <x v="0"/>
    <n v="0.32840000000000003"/>
    <x v="1"/>
    <x v="3"/>
    <x v="53"/>
    <x v="18"/>
    <x v="0"/>
  </r>
  <r>
    <n v="672"/>
    <x v="30"/>
    <n v="1"/>
    <n v="0"/>
    <n v="1"/>
    <x v="7"/>
    <x v="2"/>
    <x v="0"/>
    <x v="2"/>
    <x v="1"/>
    <n v="0.16"/>
    <x v="0"/>
    <n v="0.13639999999999999"/>
    <n v="0.64"/>
    <x v="0"/>
    <n v="0.28360000000000002"/>
    <x v="1"/>
    <x v="5"/>
    <x v="13"/>
    <x v="44"/>
    <x v="1"/>
  </r>
  <r>
    <n v="673"/>
    <x v="30"/>
    <n v="1"/>
    <n v="0"/>
    <n v="1"/>
    <x v="8"/>
    <x v="2"/>
    <x v="0"/>
    <x v="2"/>
    <x v="1"/>
    <n v="0.16"/>
    <x v="0"/>
    <n v="0.13639999999999999"/>
    <n v="0.59"/>
    <x v="1"/>
    <n v="0.28360000000000002"/>
    <x v="1"/>
    <x v="0"/>
    <x v="154"/>
    <x v="147"/>
    <x v="2"/>
  </r>
  <r>
    <n v="674"/>
    <x v="30"/>
    <n v="1"/>
    <n v="0"/>
    <n v="1"/>
    <x v="9"/>
    <x v="2"/>
    <x v="0"/>
    <x v="2"/>
    <x v="1"/>
    <n v="0.16"/>
    <x v="0"/>
    <n v="0.13639999999999999"/>
    <n v="0.59"/>
    <x v="1"/>
    <n v="0.29849999999999999"/>
    <x v="1"/>
    <x v="3"/>
    <x v="155"/>
    <x v="59"/>
    <x v="1"/>
  </r>
  <r>
    <n v="675"/>
    <x v="30"/>
    <n v="1"/>
    <n v="0"/>
    <n v="1"/>
    <x v="10"/>
    <x v="2"/>
    <x v="0"/>
    <x v="2"/>
    <x v="1"/>
    <n v="0.16"/>
    <x v="0"/>
    <n v="0.1515"/>
    <n v="0.59"/>
    <x v="1"/>
    <n v="0.19400000000000001"/>
    <x v="0"/>
    <x v="5"/>
    <x v="56"/>
    <x v="83"/>
    <x v="0"/>
  </r>
  <r>
    <n v="676"/>
    <x v="30"/>
    <n v="1"/>
    <n v="0"/>
    <n v="1"/>
    <x v="11"/>
    <x v="3"/>
    <x v="0"/>
    <x v="2"/>
    <x v="1"/>
    <n v="0.16"/>
    <x v="0"/>
    <n v="0.1515"/>
    <n v="0.59"/>
    <x v="1"/>
    <n v="0.19400000000000001"/>
    <x v="0"/>
    <x v="4"/>
    <x v="24"/>
    <x v="61"/>
    <x v="0"/>
  </r>
  <r>
    <n v="677"/>
    <x v="30"/>
    <n v="1"/>
    <n v="0"/>
    <n v="1"/>
    <x v="12"/>
    <x v="3"/>
    <x v="0"/>
    <x v="2"/>
    <x v="1"/>
    <n v="0.18"/>
    <x v="0"/>
    <n v="0.21210000000000001"/>
    <n v="0.55000000000000004"/>
    <x v="1"/>
    <n v="0.1045"/>
    <x v="0"/>
    <x v="15"/>
    <x v="133"/>
    <x v="118"/>
    <x v="0"/>
  </r>
  <r>
    <n v="678"/>
    <x v="30"/>
    <n v="1"/>
    <n v="0"/>
    <n v="1"/>
    <x v="13"/>
    <x v="3"/>
    <x v="0"/>
    <x v="2"/>
    <x v="1"/>
    <n v="0.16"/>
    <x v="0"/>
    <n v="0.2273"/>
    <n v="0.59"/>
    <x v="1"/>
    <n v="0"/>
    <x v="0"/>
    <x v="4"/>
    <x v="15"/>
    <x v="60"/>
    <x v="0"/>
  </r>
  <r>
    <n v="679"/>
    <x v="30"/>
    <n v="1"/>
    <n v="0"/>
    <n v="1"/>
    <x v="14"/>
    <x v="3"/>
    <x v="0"/>
    <x v="2"/>
    <x v="1"/>
    <n v="0.18"/>
    <x v="0"/>
    <n v="0.19700000000000001"/>
    <n v="0.55000000000000004"/>
    <x v="1"/>
    <n v="0.1343"/>
    <x v="0"/>
    <x v="5"/>
    <x v="66"/>
    <x v="80"/>
    <x v="1"/>
  </r>
  <r>
    <n v="680"/>
    <x v="30"/>
    <n v="1"/>
    <n v="0"/>
    <n v="1"/>
    <x v="15"/>
    <x v="3"/>
    <x v="0"/>
    <x v="2"/>
    <x v="1"/>
    <n v="0.16"/>
    <x v="0"/>
    <n v="0.18179999999999999"/>
    <n v="0.59"/>
    <x v="1"/>
    <n v="0.1343"/>
    <x v="0"/>
    <x v="0"/>
    <x v="40"/>
    <x v="40"/>
    <x v="0"/>
  </r>
  <r>
    <n v="681"/>
    <x v="30"/>
    <n v="1"/>
    <n v="0"/>
    <n v="1"/>
    <x v="16"/>
    <x v="3"/>
    <x v="0"/>
    <x v="2"/>
    <x v="1"/>
    <n v="0.16"/>
    <x v="0"/>
    <n v="0.18179999999999999"/>
    <n v="0.56000000000000005"/>
    <x v="1"/>
    <n v="0.19400000000000001"/>
    <x v="0"/>
    <x v="0"/>
    <x v="93"/>
    <x v="80"/>
    <x v="1"/>
  </r>
  <r>
    <n v="682"/>
    <x v="30"/>
    <n v="1"/>
    <n v="0"/>
    <n v="1"/>
    <x v="17"/>
    <x v="4"/>
    <x v="0"/>
    <x v="2"/>
    <x v="1"/>
    <n v="0.16"/>
    <x v="0"/>
    <n v="0.1515"/>
    <n v="0.59"/>
    <x v="1"/>
    <n v="0.19400000000000001"/>
    <x v="0"/>
    <x v="15"/>
    <x v="119"/>
    <x v="143"/>
    <x v="2"/>
  </r>
  <r>
    <n v="683"/>
    <x v="30"/>
    <n v="1"/>
    <n v="0"/>
    <n v="1"/>
    <x v="18"/>
    <x v="4"/>
    <x v="0"/>
    <x v="2"/>
    <x v="1"/>
    <n v="0.16"/>
    <x v="0"/>
    <n v="0.1515"/>
    <n v="0.55000000000000004"/>
    <x v="1"/>
    <n v="0.22389999999999999"/>
    <x v="1"/>
    <x v="0"/>
    <x v="37"/>
    <x v="167"/>
    <x v="1"/>
  </r>
  <r>
    <n v="684"/>
    <x v="30"/>
    <n v="1"/>
    <n v="0"/>
    <n v="1"/>
    <x v="19"/>
    <x v="4"/>
    <x v="0"/>
    <x v="2"/>
    <x v="0"/>
    <n v="0.3"/>
    <x v="1"/>
    <n v="0.31819999999999998"/>
    <n v="0.61"/>
    <x v="3"/>
    <n v="0.1045"/>
    <x v="0"/>
    <x v="0"/>
    <x v="123"/>
    <x v="168"/>
    <x v="1"/>
  </r>
  <r>
    <n v="685"/>
    <x v="30"/>
    <n v="1"/>
    <n v="0"/>
    <n v="1"/>
    <x v="20"/>
    <x v="4"/>
    <x v="0"/>
    <x v="2"/>
    <x v="2"/>
    <n v="0.16"/>
    <x v="0"/>
    <n v="0.16669999999999999"/>
    <n v="0.59"/>
    <x v="1"/>
    <n v="0.16420000000000001"/>
    <x v="0"/>
    <x v="3"/>
    <x v="78"/>
    <x v="53"/>
    <x v="1"/>
  </r>
  <r>
    <n v="686"/>
    <x v="30"/>
    <n v="1"/>
    <n v="0"/>
    <n v="1"/>
    <x v="21"/>
    <x v="0"/>
    <x v="0"/>
    <x v="2"/>
    <x v="2"/>
    <n v="0.16"/>
    <x v="0"/>
    <n v="0.19700000000000001"/>
    <n v="0.59"/>
    <x v="1"/>
    <n v="8.9599999999999999E-2"/>
    <x v="0"/>
    <x v="0"/>
    <x v="42"/>
    <x v="10"/>
    <x v="0"/>
  </r>
  <r>
    <n v="687"/>
    <x v="30"/>
    <n v="1"/>
    <n v="0"/>
    <n v="1"/>
    <x v="22"/>
    <x v="0"/>
    <x v="0"/>
    <x v="2"/>
    <x v="1"/>
    <n v="0.16"/>
    <x v="0"/>
    <n v="0.18179999999999999"/>
    <n v="0.59"/>
    <x v="1"/>
    <n v="0.1045"/>
    <x v="0"/>
    <x v="3"/>
    <x v="60"/>
    <x v="19"/>
    <x v="0"/>
  </r>
  <r>
    <n v="688"/>
    <x v="30"/>
    <n v="1"/>
    <n v="0"/>
    <n v="1"/>
    <x v="23"/>
    <x v="0"/>
    <x v="0"/>
    <x v="2"/>
    <x v="1"/>
    <n v="0.16"/>
    <x v="0"/>
    <n v="0.19700000000000001"/>
    <n v="0.64"/>
    <x v="0"/>
    <n v="8.9599999999999999E-2"/>
    <x v="0"/>
    <x v="4"/>
    <x v="89"/>
    <x v="22"/>
    <x v="0"/>
  </r>
  <r>
    <n v="689"/>
    <x v="31"/>
    <n v="1"/>
    <n v="0"/>
    <n v="2"/>
    <x v="0"/>
    <x v="0"/>
    <x v="0"/>
    <x v="3"/>
    <x v="1"/>
    <n v="0.16"/>
    <x v="0"/>
    <n v="0.18179999999999999"/>
    <n v="0.64"/>
    <x v="0"/>
    <n v="0.1045"/>
    <x v="0"/>
    <x v="4"/>
    <x v="8"/>
    <x v="7"/>
    <x v="0"/>
  </r>
  <r>
    <n v="690"/>
    <x v="31"/>
    <n v="1"/>
    <n v="0"/>
    <n v="2"/>
    <x v="1"/>
    <x v="0"/>
    <x v="0"/>
    <x v="3"/>
    <x v="1"/>
    <n v="0.16"/>
    <x v="0"/>
    <n v="0.18179999999999999"/>
    <n v="0.69"/>
    <x v="0"/>
    <n v="0.1045"/>
    <x v="0"/>
    <x v="3"/>
    <x v="35"/>
    <x v="6"/>
    <x v="0"/>
  </r>
  <r>
    <n v="691"/>
    <x v="31"/>
    <n v="1"/>
    <n v="0"/>
    <n v="2"/>
    <x v="2"/>
    <x v="0"/>
    <x v="0"/>
    <x v="3"/>
    <x v="1"/>
    <n v="0.16"/>
    <x v="0"/>
    <n v="0.2273"/>
    <n v="0.69"/>
    <x v="0"/>
    <n v="0"/>
    <x v="0"/>
    <x v="3"/>
    <x v="6"/>
    <x v="5"/>
    <x v="0"/>
  </r>
  <r>
    <n v="692"/>
    <x v="31"/>
    <n v="1"/>
    <n v="0"/>
    <n v="2"/>
    <x v="3"/>
    <x v="0"/>
    <x v="0"/>
    <x v="3"/>
    <x v="1"/>
    <n v="0.16"/>
    <x v="0"/>
    <n v="0.2273"/>
    <n v="0.69"/>
    <x v="0"/>
    <n v="0"/>
    <x v="0"/>
    <x v="3"/>
    <x v="6"/>
    <x v="5"/>
    <x v="0"/>
  </r>
  <r>
    <n v="693"/>
    <x v="31"/>
    <n v="1"/>
    <n v="0"/>
    <n v="2"/>
    <x v="5"/>
    <x v="1"/>
    <x v="0"/>
    <x v="3"/>
    <x v="2"/>
    <n v="0.14000000000000001"/>
    <x v="3"/>
    <n v="0.21210000000000001"/>
    <n v="0.93"/>
    <x v="0"/>
    <n v="0"/>
    <x v="0"/>
    <x v="3"/>
    <x v="35"/>
    <x v="6"/>
    <x v="0"/>
  </r>
  <r>
    <n v="694"/>
    <x v="31"/>
    <n v="1"/>
    <n v="0"/>
    <n v="2"/>
    <x v="6"/>
    <x v="1"/>
    <x v="0"/>
    <x v="3"/>
    <x v="2"/>
    <n v="0.14000000000000001"/>
    <x v="3"/>
    <n v="0.21210000000000001"/>
    <n v="0.93"/>
    <x v="0"/>
    <n v="0"/>
    <x v="0"/>
    <x v="3"/>
    <x v="97"/>
    <x v="34"/>
    <x v="0"/>
  </r>
  <r>
    <n v="695"/>
    <x v="31"/>
    <n v="1"/>
    <n v="0"/>
    <n v="2"/>
    <x v="7"/>
    <x v="2"/>
    <x v="0"/>
    <x v="3"/>
    <x v="2"/>
    <n v="0.16"/>
    <x v="0"/>
    <n v="0.2273"/>
    <n v="0.93"/>
    <x v="0"/>
    <n v="0"/>
    <x v="0"/>
    <x v="3"/>
    <x v="15"/>
    <x v="46"/>
    <x v="0"/>
  </r>
  <r>
    <n v="696"/>
    <x v="31"/>
    <n v="1"/>
    <n v="0"/>
    <n v="2"/>
    <x v="8"/>
    <x v="2"/>
    <x v="0"/>
    <x v="3"/>
    <x v="2"/>
    <n v="0.16"/>
    <x v="0"/>
    <n v="0.2273"/>
    <n v="0.93"/>
    <x v="0"/>
    <n v="0"/>
    <x v="0"/>
    <x v="0"/>
    <x v="126"/>
    <x v="169"/>
    <x v="1"/>
  </r>
  <r>
    <n v="697"/>
    <x v="31"/>
    <n v="1"/>
    <n v="0"/>
    <n v="2"/>
    <x v="9"/>
    <x v="2"/>
    <x v="0"/>
    <x v="3"/>
    <x v="1"/>
    <n v="0.16"/>
    <x v="0"/>
    <n v="0.2273"/>
    <n v="0.93"/>
    <x v="0"/>
    <n v="0"/>
    <x v="0"/>
    <x v="4"/>
    <x v="156"/>
    <x v="155"/>
    <x v="1"/>
  </r>
  <r>
    <n v="698"/>
    <x v="31"/>
    <n v="1"/>
    <n v="0"/>
    <n v="2"/>
    <x v="10"/>
    <x v="2"/>
    <x v="0"/>
    <x v="3"/>
    <x v="1"/>
    <n v="0.16"/>
    <x v="0"/>
    <n v="0.2273"/>
    <n v="0.93"/>
    <x v="0"/>
    <n v="0"/>
    <x v="0"/>
    <x v="3"/>
    <x v="12"/>
    <x v="105"/>
    <x v="0"/>
  </r>
  <r>
    <n v="699"/>
    <x v="31"/>
    <n v="1"/>
    <n v="0"/>
    <n v="2"/>
    <x v="11"/>
    <x v="3"/>
    <x v="0"/>
    <x v="3"/>
    <x v="1"/>
    <n v="0.18"/>
    <x v="0"/>
    <n v="0.2424"/>
    <n v="0.86"/>
    <x v="0"/>
    <n v="0"/>
    <x v="0"/>
    <x v="4"/>
    <x v="47"/>
    <x v="41"/>
    <x v="0"/>
  </r>
  <r>
    <n v="700"/>
    <x v="31"/>
    <n v="1"/>
    <n v="0"/>
    <n v="2"/>
    <x v="12"/>
    <x v="3"/>
    <x v="0"/>
    <x v="3"/>
    <x v="1"/>
    <n v="0.2"/>
    <x v="0"/>
    <n v="0.2576"/>
    <n v="0.86"/>
    <x v="0"/>
    <n v="0"/>
    <x v="0"/>
    <x v="4"/>
    <x v="42"/>
    <x v="97"/>
    <x v="0"/>
  </r>
  <r>
    <n v="701"/>
    <x v="31"/>
    <n v="1"/>
    <n v="0"/>
    <n v="2"/>
    <x v="13"/>
    <x v="3"/>
    <x v="0"/>
    <x v="3"/>
    <x v="1"/>
    <n v="0.2"/>
    <x v="0"/>
    <n v="0.2576"/>
    <n v="0.86"/>
    <x v="0"/>
    <n v="0"/>
    <x v="0"/>
    <x v="0"/>
    <x v="47"/>
    <x v="46"/>
    <x v="0"/>
  </r>
  <r>
    <n v="702"/>
    <x v="31"/>
    <n v="1"/>
    <n v="0"/>
    <n v="2"/>
    <x v="14"/>
    <x v="3"/>
    <x v="0"/>
    <x v="3"/>
    <x v="1"/>
    <n v="0.22"/>
    <x v="0"/>
    <n v="0.2576"/>
    <n v="0.8"/>
    <x v="0"/>
    <n v="8.9599999999999999E-2"/>
    <x v="0"/>
    <x v="2"/>
    <x v="47"/>
    <x v="60"/>
    <x v="0"/>
  </r>
  <r>
    <n v="703"/>
    <x v="31"/>
    <n v="1"/>
    <n v="0"/>
    <n v="2"/>
    <x v="15"/>
    <x v="3"/>
    <x v="0"/>
    <x v="3"/>
    <x v="1"/>
    <n v="0.24"/>
    <x v="0"/>
    <n v="0.28789999999999999"/>
    <n v="0.75"/>
    <x v="0"/>
    <n v="0"/>
    <x v="0"/>
    <x v="18"/>
    <x v="108"/>
    <x v="46"/>
    <x v="0"/>
  </r>
  <r>
    <n v="704"/>
    <x v="31"/>
    <n v="1"/>
    <n v="0"/>
    <n v="2"/>
    <x v="16"/>
    <x v="3"/>
    <x v="0"/>
    <x v="3"/>
    <x v="1"/>
    <n v="0.24"/>
    <x v="0"/>
    <n v="0.2424"/>
    <n v="0.75"/>
    <x v="0"/>
    <n v="0.1343"/>
    <x v="0"/>
    <x v="0"/>
    <x v="124"/>
    <x v="37"/>
    <x v="0"/>
  </r>
  <r>
    <n v="705"/>
    <x v="31"/>
    <n v="1"/>
    <n v="0"/>
    <n v="2"/>
    <x v="17"/>
    <x v="4"/>
    <x v="0"/>
    <x v="3"/>
    <x v="1"/>
    <n v="0.24"/>
    <x v="0"/>
    <n v="0.28789999999999999"/>
    <n v="0.75"/>
    <x v="0"/>
    <n v="0"/>
    <x v="0"/>
    <x v="17"/>
    <x v="157"/>
    <x v="170"/>
    <x v="2"/>
  </r>
  <r>
    <n v="706"/>
    <x v="31"/>
    <n v="1"/>
    <n v="0"/>
    <n v="2"/>
    <x v="18"/>
    <x v="4"/>
    <x v="0"/>
    <x v="3"/>
    <x v="1"/>
    <n v="0.24"/>
    <x v="0"/>
    <n v="0.2576"/>
    <n v="0.81"/>
    <x v="0"/>
    <n v="0.1045"/>
    <x v="0"/>
    <x v="0"/>
    <x v="158"/>
    <x v="171"/>
    <x v="2"/>
  </r>
  <r>
    <n v="707"/>
    <x v="31"/>
    <n v="1"/>
    <n v="0"/>
    <n v="2"/>
    <x v="19"/>
    <x v="4"/>
    <x v="0"/>
    <x v="3"/>
    <x v="1"/>
    <n v="0.24"/>
    <x v="0"/>
    <n v="0.2424"/>
    <n v="0.81"/>
    <x v="0"/>
    <n v="0.1343"/>
    <x v="0"/>
    <x v="0"/>
    <x v="159"/>
    <x v="159"/>
    <x v="1"/>
  </r>
  <r>
    <n v="708"/>
    <x v="31"/>
    <n v="1"/>
    <n v="0"/>
    <n v="2"/>
    <x v="20"/>
    <x v="4"/>
    <x v="0"/>
    <x v="3"/>
    <x v="1"/>
    <n v="0.22"/>
    <x v="0"/>
    <n v="0.2273"/>
    <n v="0.87"/>
    <x v="0"/>
    <n v="0.1343"/>
    <x v="0"/>
    <x v="2"/>
    <x v="94"/>
    <x v="30"/>
    <x v="1"/>
  </r>
  <r>
    <n v="709"/>
    <x v="31"/>
    <n v="1"/>
    <n v="0"/>
    <n v="2"/>
    <x v="21"/>
    <x v="0"/>
    <x v="0"/>
    <x v="3"/>
    <x v="1"/>
    <n v="0.22"/>
    <x v="0"/>
    <n v="0.2273"/>
    <n v="0.87"/>
    <x v="0"/>
    <n v="0.1343"/>
    <x v="0"/>
    <x v="3"/>
    <x v="27"/>
    <x v="37"/>
    <x v="0"/>
  </r>
  <r>
    <n v="710"/>
    <x v="31"/>
    <n v="1"/>
    <n v="0"/>
    <n v="2"/>
    <x v="22"/>
    <x v="0"/>
    <x v="0"/>
    <x v="3"/>
    <x v="1"/>
    <n v="0.22"/>
    <x v="0"/>
    <n v="0.2576"/>
    <n v="0.87"/>
    <x v="0"/>
    <n v="8.9599999999999999E-2"/>
    <x v="0"/>
    <x v="4"/>
    <x v="60"/>
    <x v="9"/>
    <x v="0"/>
  </r>
  <r>
    <n v="711"/>
    <x v="31"/>
    <n v="1"/>
    <n v="0"/>
    <n v="2"/>
    <x v="23"/>
    <x v="0"/>
    <x v="0"/>
    <x v="3"/>
    <x v="2"/>
    <n v="0.2"/>
    <x v="0"/>
    <n v="0.19700000000000001"/>
    <n v="0.93"/>
    <x v="0"/>
    <n v="0.19400000000000001"/>
    <x v="0"/>
    <x v="5"/>
    <x v="89"/>
    <x v="0"/>
    <x v="0"/>
  </r>
  <r>
    <n v="712"/>
    <x v="32"/>
    <n v="1"/>
    <n v="0"/>
    <n v="2"/>
    <x v="0"/>
    <x v="0"/>
    <x v="0"/>
    <x v="4"/>
    <x v="2"/>
    <n v="0.22"/>
    <x v="0"/>
    <n v="0.2424"/>
    <n v="0.93"/>
    <x v="0"/>
    <n v="0.1045"/>
    <x v="0"/>
    <x v="3"/>
    <x v="6"/>
    <x v="5"/>
    <x v="0"/>
  </r>
  <r>
    <n v="713"/>
    <x v="32"/>
    <n v="1"/>
    <n v="0"/>
    <n v="2"/>
    <x v="1"/>
    <x v="0"/>
    <x v="0"/>
    <x v="4"/>
    <x v="2"/>
    <n v="0.22"/>
    <x v="0"/>
    <n v="0.2273"/>
    <n v="0.93"/>
    <x v="0"/>
    <n v="0.19400000000000001"/>
    <x v="0"/>
    <x v="3"/>
    <x v="35"/>
    <x v="6"/>
    <x v="0"/>
  </r>
  <r>
    <n v="714"/>
    <x v="32"/>
    <n v="1"/>
    <n v="0"/>
    <n v="2"/>
    <x v="2"/>
    <x v="0"/>
    <x v="0"/>
    <x v="4"/>
    <x v="2"/>
    <n v="0.22"/>
    <x v="0"/>
    <n v="0.2273"/>
    <n v="0.93"/>
    <x v="0"/>
    <n v="0.1343"/>
    <x v="0"/>
    <x v="17"/>
    <x v="5"/>
    <x v="48"/>
    <x v="0"/>
  </r>
  <r>
    <n v="715"/>
    <x v="32"/>
    <n v="1"/>
    <n v="0"/>
    <n v="2"/>
    <x v="3"/>
    <x v="0"/>
    <x v="0"/>
    <x v="4"/>
    <x v="2"/>
    <n v="0.22"/>
    <x v="0"/>
    <n v="0.2273"/>
    <n v="0.93"/>
    <x v="0"/>
    <n v="0.1343"/>
    <x v="0"/>
    <x v="3"/>
    <x v="4"/>
    <x v="4"/>
    <x v="0"/>
  </r>
  <r>
    <n v="716"/>
    <x v="32"/>
    <n v="1"/>
    <n v="0"/>
    <n v="2"/>
    <x v="4"/>
    <x v="1"/>
    <x v="0"/>
    <x v="4"/>
    <x v="2"/>
    <n v="0.22"/>
    <x v="0"/>
    <n v="0.21210000000000001"/>
    <n v="0.93"/>
    <x v="0"/>
    <n v="0.28360000000000002"/>
    <x v="1"/>
    <x v="3"/>
    <x v="4"/>
    <x v="4"/>
    <x v="0"/>
  </r>
  <r>
    <n v="717"/>
    <x v="32"/>
    <n v="1"/>
    <n v="0"/>
    <n v="2"/>
    <x v="5"/>
    <x v="1"/>
    <x v="0"/>
    <x v="4"/>
    <x v="2"/>
    <n v="0.22"/>
    <x v="0"/>
    <n v="0.2424"/>
    <n v="0.93"/>
    <x v="0"/>
    <n v="0.1045"/>
    <x v="0"/>
    <x v="3"/>
    <x v="35"/>
    <x v="6"/>
    <x v="0"/>
  </r>
  <r>
    <n v="718"/>
    <x v="32"/>
    <n v="1"/>
    <n v="0"/>
    <n v="2"/>
    <x v="6"/>
    <x v="1"/>
    <x v="0"/>
    <x v="4"/>
    <x v="2"/>
    <n v="0.22"/>
    <x v="0"/>
    <n v="0.2424"/>
    <n v="0.93"/>
    <x v="0"/>
    <n v="0.1045"/>
    <x v="0"/>
    <x v="5"/>
    <x v="19"/>
    <x v="109"/>
    <x v="0"/>
  </r>
  <r>
    <n v="719"/>
    <x v="32"/>
    <n v="1"/>
    <n v="0"/>
    <n v="2"/>
    <x v="7"/>
    <x v="2"/>
    <x v="0"/>
    <x v="4"/>
    <x v="2"/>
    <n v="0.22"/>
    <x v="0"/>
    <n v="0.21210000000000001"/>
    <n v="0.93"/>
    <x v="0"/>
    <n v="0.22389999999999999"/>
    <x v="1"/>
    <x v="5"/>
    <x v="41"/>
    <x v="99"/>
    <x v="0"/>
  </r>
  <r>
    <n v="720"/>
    <x v="32"/>
    <n v="1"/>
    <n v="0"/>
    <n v="2"/>
    <x v="8"/>
    <x v="2"/>
    <x v="0"/>
    <x v="4"/>
    <x v="2"/>
    <n v="0.22"/>
    <x v="0"/>
    <n v="0.21210000000000001"/>
    <n v="0.93"/>
    <x v="0"/>
    <n v="0.22389999999999999"/>
    <x v="1"/>
    <x v="5"/>
    <x v="105"/>
    <x v="107"/>
    <x v="1"/>
  </r>
  <r>
    <n v="721"/>
    <x v="32"/>
    <n v="1"/>
    <n v="0"/>
    <n v="2"/>
    <x v="9"/>
    <x v="2"/>
    <x v="0"/>
    <x v="4"/>
    <x v="1"/>
    <n v="0.24"/>
    <x v="0"/>
    <n v="0.2576"/>
    <n v="0.93"/>
    <x v="0"/>
    <n v="8.9599999999999999E-2"/>
    <x v="0"/>
    <x v="17"/>
    <x v="138"/>
    <x v="92"/>
    <x v="1"/>
  </r>
  <r>
    <n v="722"/>
    <x v="32"/>
    <n v="1"/>
    <n v="0"/>
    <n v="2"/>
    <x v="10"/>
    <x v="2"/>
    <x v="0"/>
    <x v="4"/>
    <x v="1"/>
    <n v="0.22"/>
    <x v="0"/>
    <n v="0.2727"/>
    <n v="1"/>
    <x v="0"/>
    <n v="0"/>
    <x v="0"/>
    <x v="4"/>
    <x v="79"/>
    <x v="42"/>
    <x v="0"/>
  </r>
  <r>
    <n v="723"/>
    <x v="32"/>
    <n v="1"/>
    <n v="0"/>
    <n v="2"/>
    <x v="11"/>
    <x v="3"/>
    <x v="0"/>
    <x v="4"/>
    <x v="1"/>
    <n v="0.24"/>
    <x v="0"/>
    <n v="0.2273"/>
    <n v="0.93"/>
    <x v="0"/>
    <n v="0.19400000000000001"/>
    <x v="0"/>
    <x v="2"/>
    <x v="12"/>
    <x v="46"/>
    <x v="0"/>
  </r>
  <r>
    <n v="724"/>
    <x v="32"/>
    <n v="1"/>
    <n v="0"/>
    <n v="2"/>
    <x v="12"/>
    <x v="3"/>
    <x v="0"/>
    <x v="4"/>
    <x v="1"/>
    <n v="0.24"/>
    <x v="0"/>
    <n v="0.2273"/>
    <n v="0.93"/>
    <x v="0"/>
    <n v="0.22389999999999999"/>
    <x v="1"/>
    <x v="0"/>
    <x v="124"/>
    <x v="37"/>
    <x v="0"/>
  </r>
  <r>
    <n v="725"/>
    <x v="32"/>
    <n v="1"/>
    <n v="0"/>
    <n v="2"/>
    <x v="13"/>
    <x v="3"/>
    <x v="0"/>
    <x v="4"/>
    <x v="0"/>
    <n v="0.34"/>
    <x v="2"/>
    <n v="0.33329999999999999"/>
    <n v="0.93"/>
    <x v="0"/>
    <n v="0.16420000000000001"/>
    <x v="0"/>
    <x v="5"/>
    <x v="64"/>
    <x v="28"/>
    <x v="1"/>
  </r>
  <r>
    <n v="726"/>
    <x v="32"/>
    <n v="1"/>
    <n v="0"/>
    <n v="2"/>
    <x v="14"/>
    <x v="3"/>
    <x v="0"/>
    <x v="4"/>
    <x v="0"/>
    <n v="0.38"/>
    <x v="2"/>
    <n v="0.39389999999999997"/>
    <n v="0.82"/>
    <x v="0"/>
    <n v="0.3881"/>
    <x v="1"/>
    <x v="4"/>
    <x v="124"/>
    <x v="55"/>
    <x v="0"/>
  </r>
  <r>
    <n v="727"/>
    <x v="32"/>
    <n v="1"/>
    <n v="0"/>
    <n v="2"/>
    <x v="15"/>
    <x v="3"/>
    <x v="0"/>
    <x v="4"/>
    <x v="0"/>
    <n v="0.38"/>
    <x v="2"/>
    <n v="0.39389999999999997"/>
    <n v="0.76"/>
    <x v="0"/>
    <n v="0.32840000000000003"/>
    <x v="1"/>
    <x v="22"/>
    <x v="43"/>
    <x v="31"/>
    <x v="1"/>
  </r>
  <r>
    <n v="728"/>
    <x v="32"/>
    <n v="1"/>
    <n v="0"/>
    <n v="2"/>
    <x v="16"/>
    <x v="3"/>
    <x v="0"/>
    <x v="4"/>
    <x v="0"/>
    <n v="0.36"/>
    <x v="2"/>
    <n v="0.33329999999999999"/>
    <n v="0.71"/>
    <x v="0"/>
    <n v="0.29849999999999999"/>
    <x v="1"/>
    <x v="1"/>
    <x v="73"/>
    <x v="153"/>
    <x v="1"/>
  </r>
  <r>
    <n v="729"/>
    <x v="32"/>
    <n v="1"/>
    <n v="0"/>
    <n v="2"/>
    <x v="17"/>
    <x v="4"/>
    <x v="0"/>
    <x v="4"/>
    <x v="0"/>
    <n v="0.36"/>
    <x v="2"/>
    <n v="0.31819999999999998"/>
    <n v="0.53"/>
    <x v="1"/>
    <n v="0.52239999999999998"/>
    <x v="2"/>
    <x v="18"/>
    <x v="160"/>
    <x v="71"/>
    <x v="2"/>
  </r>
  <r>
    <n v="730"/>
    <x v="32"/>
    <n v="1"/>
    <n v="0"/>
    <n v="2"/>
    <x v="18"/>
    <x v="4"/>
    <x v="0"/>
    <x v="4"/>
    <x v="0"/>
    <n v="0.34"/>
    <x v="2"/>
    <n v="0.28789999999999999"/>
    <n v="0.42"/>
    <x v="1"/>
    <n v="0.55220000000000002"/>
    <x v="2"/>
    <x v="18"/>
    <x v="161"/>
    <x v="58"/>
    <x v="2"/>
  </r>
  <r>
    <n v="731"/>
    <x v="32"/>
    <n v="1"/>
    <n v="0"/>
    <n v="2"/>
    <x v="19"/>
    <x v="4"/>
    <x v="0"/>
    <x v="4"/>
    <x v="0"/>
    <n v="0.28000000000000003"/>
    <x v="1"/>
    <n v="0.2424"/>
    <n v="0.45"/>
    <x v="1"/>
    <n v="0.49249999999999999"/>
    <x v="2"/>
    <x v="0"/>
    <x v="152"/>
    <x v="134"/>
    <x v="1"/>
  </r>
  <r>
    <n v="732"/>
    <x v="32"/>
    <n v="1"/>
    <n v="0"/>
    <n v="2"/>
    <x v="20"/>
    <x v="4"/>
    <x v="0"/>
    <x v="4"/>
    <x v="0"/>
    <n v="0.24"/>
    <x v="0"/>
    <n v="0.19700000000000001"/>
    <n v="0.48"/>
    <x v="1"/>
    <n v="0.55220000000000002"/>
    <x v="2"/>
    <x v="17"/>
    <x v="13"/>
    <x v="28"/>
    <x v="1"/>
  </r>
  <r>
    <n v="733"/>
    <x v="32"/>
    <n v="1"/>
    <n v="0"/>
    <n v="2"/>
    <x v="21"/>
    <x v="0"/>
    <x v="0"/>
    <x v="4"/>
    <x v="0"/>
    <n v="0.22"/>
    <x v="0"/>
    <n v="0.19700000000000001"/>
    <n v="0.47"/>
    <x v="1"/>
    <n v="0.32840000000000003"/>
    <x v="1"/>
    <x v="5"/>
    <x v="133"/>
    <x v="55"/>
    <x v="0"/>
  </r>
  <r>
    <n v="734"/>
    <x v="32"/>
    <n v="1"/>
    <n v="0"/>
    <n v="2"/>
    <x v="22"/>
    <x v="0"/>
    <x v="0"/>
    <x v="4"/>
    <x v="0"/>
    <n v="0.22"/>
    <x v="0"/>
    <n v="0.21210000000000001"/>
    <n v="0.44"/>
    <x v="1"/>
    <n v="0.25369999999999998"/>
    <x v="1"/>
    <x v="2"/>
    <x v="96"/>
    <x v="1"/>
    <x v="0"/>
  </r>
  <r>
    <n v="735"/>
    <x v="32"/>
    <n v="1"/>
    <n v="0"/>
    <n v="2"/>
    <x v="23"/>
    <x v="0"/>
    <x v="0"/>
    <x v="4"/>
    <x v="0"/>
    <n v="0.2"/>
    <x v="0"/>
    <n v="0.16669999999999999"/>
    <n v="0.44"/>
    <x v="1"/>
    <n v="0.44779999999999998"/>
    <x v="2"/>
    <x v="0"/>
    <x v="31"/>
    <x v="2"/>
    <x v="0"/>
  </r>
  <r>
    <n v="736"/>
    <x v="33"/>
    <n v="1"/>
    <n v="0"/>
    <n v="2"/>
    <x v="0"/>
    <x v="0"/>
    <x v="0"/>
    <x v="5"/>
    <x v="0"/>
    <n v="0.2"/>
    <x v="0"/>
    <n v="0.16669999999999999"/>
    <n v="0.4"/>
    <x v="2"/>
    <n v="0.44779999999999998"/>
    <x v="2"/>
    <x v="5"/>
    <x v="48"/>
    <x v="47"/>
    <x v="0"/>
  </r>
  <r>
    <n v="737"/>
    <x v="33"/>
    <n v="1"/>
    <n v="0"/>
    <n v="2"/>
    <x v="1"/>
    <x v="0"/>
    <x v="0"/>
    <x v="5"/>
    <x v="0"/>
    <n v="0.2"/>
    <x v="0"/>
    <n v="0.1515"/>
    <n v="0.44"/>
    <x v="1"/>
    <n v="0.52239999999999998"/>
    <x v="2"/>
    <x v="3"/>
    <x v="34"/>
    <x v="36"/>
    <x v="0"/>
  </r>
  <r>
    <n v="738"/>
    <x v="33"/>
    <n v="1"/>
    <n v="0"/>
    <n v="2"/>
    <x v="2"/>
    <x v="0"/>
    <x v="0"/>
    <x v="5"/>
    <x v="0"/>
    <n v="0.18"/>
    <x v="0"/>
    <n v="0.16669999999999999"/>
    <n v="0.43"/>
    <x v="1"/>
    <n v="0.25369999999999998"/>
    <x v="1"/>
    <x v="3"/>
    <x v="6"/>
    <x v="5"/>
    <x v="0"/>
  </r>
  <r>
    <n v="739"/>
    <x v="33"/>
    <n v="1"/>
    <n v="0"/>
    <n v="2"/>
    <x v="3"/>
    <x v="0"/>
    <x v="0"/>
    <x v="5"/>
    <x v="0"/>
    <n v="0.18"/>
    <x v="0"/>
    <n v="0.16669999999999999"/>
    <n v="0.43"/>
    <x v="1"/>
    <n v="0.25369999999999998"/>
    <x v="1"/>
    <x v="3"/>
    <x v="4"/>
    <x v="4"/>
    <x v="0"/>
  </r>
  <r>
    <n v="740"/>
    <x v="33"/>
    <n v="1"/>
    <n v="0"/>
    <n v="2"/>
    <x v="5"/>
    <x v="1"/>
    <x v="0"/>
    <x v="5"/>
    <x v="0"/>
    <n v="0.16"/>
    <x v="0"/>
    <n v="0.13639999999999999"/>
    <n v="0.5"/>
    <x v="1"/>
    <n v="0.29849999999999999"/>
    <x v="1"/>
    <x v="3"/>
    <x v="6"/>
    <x v="5"/>
    <x v="0"/>
  </r>
  <r>
    <n v="741"/>
    <x v="33"/>
    <n v="1"/>
    <n v="0"/>
    <n v="2"/>
    <x v="6"/>
    <x v="1"/>
    <x v="0"/>
    <x v="5"/>
    <x v="0"/>
    <n v="0.16"/>
    <x v="0"/>
    <n v="0.13639999999999999"/>
    <n v="0.43"/>
    <x v="1"/>
    <n v="0.35820000000000002"/>
    <x v="1"/>
    <x v="3"/>
    <x v="87"/>
    <x v="21"/>
    <x v="0"/>
  </r>
  <r>
    <n v="742"/>
    <x v="33"/>
    <n v="1"/>
    <n v="0"/>
    <n v="2"/>
    <x v="7"/>
    <x v="2"/>
    <x v="0"/>
    <x v="5"/>
    <x v="0"/>
    <n v="0.14000000000000001"/>
    <x v="3"/>
    <n v="0.1212"/>
    <n v="0.5"/>
    <x v="1"/>
    <n v="0.32840000000000003"/>
    <x v="1"/>
    <x v="5"/>
    <x v="132"/>
    <x v="90"/>
    <x v="1"/>
  </r>
  <r>
    <n v="743"/>
    <x v="33"/>
    <n v="1"/>
    <n v="0"/>
    <n v="2"/>
    <x v="8"/>
    <x v="2"/>
    <x v="0"/>
    <x v="5"/>
    <x v="0"/>
    <n v="0.14000000000000001"/>
    <x v="3"/>
    <n v="0.1212"/>
    <n v="0.5"/>
    <x v="1"/>
    <n v="0.35820000000000002"/>
    <x v="1"/>
    <x v="17"/>
    <x v="103"/>
    <x v="104"/>
    <x v="2"/>
  </r>
  <r>
    <n v="744"/>
    <x v="33"/>
    <n v="1"/>
    <n v="0"/>
    <n v="2"/>
    <x v="9"/>
    <x v="2"/>
    <x v="0"/>
    <x v="5"/>
    <x v="0"/>
    <n v="0.16"/>
    <x v="0"/>
    <n v="0.13639999999999999"/>
    <n v="0.47"/>
    <x v="1"/>
    <n v="0.29849999999999999"/>
    <x v="1"/>
    <x v="15"/>
    <x v="69"/>
    <x v="140"/>
    <x v="1"/>
  </r>
  <r>
    <n v="745"/>
    <x v="33"/>
    <n v="1"/>
    <n v="0"/>
    <n v="2"/>
    <x v="10"/>
    <x v="2"/>
    <x v="0"/>
    <x v="5"/>
    <x v="0"/>
    <n v="0.18"/>
    <x v="0"/>
    <n v="0.1515"/>
    <n v="0.43"/>
    <x v="1"/>
    <n v="0.32840000000000003"/>
    <x v="1"/>
    <x v="4"/>
    <x v="54"/>
    <x v="46"/>
    <x v="0"/>
  </r>
  <r>
    <n v="746"/>
    <x v="33"/>
    <n v="1"/>
    <n v="0"/>
    <n v="2"/>
    <x v="11"/>
    <x v="3"/>
    <x v="0"/>
    <x v="5"/>
    <x v="0"/>
    <n v="0.18"/>
    <x v="0"/>
    <n v="0.13639999999999999"/>
    <n v="0.43"/>
    <x v="1"/>
    <n v="0.44779999999999998"/>
    <x v="2"/>
    <x v="14"/>
    <x v="11"/>
    <x v="37"/>
    <x v="0"/>
  </r>
  <r>
    <n v="747"/>
    <x v="33"/>
    <n v="1"/>
    <n v="0"/>
    <n v="2"/>
    <x v="12"/>
    <x v="3"/>
    <x v="0"/>
    <x v="5"/>
    <x v="0"/>
    <n v="0.2"/>
    <x v="0"/>
    <n v="0.18179999999999999"/>
    <n v="0.4"/>
    <x v="2"/>
    <n v="0.35820000000000002"/>
    <x v="1"/>
    <x v="4"/>
    <x v="28"/>
    <x v="83"/>
    <x v="0"/>
  </r>
  <r>
    <n v="748"/>
    <x v="33"/>
    <n v="1"/>
    <n v="0"/>
    <n v="2"/>
    <x v="13"/>
    <x v="3"/>
    <x v="0"/>
    <x v="5"/>
    <x v="0"/>
    <n v="0.2"/>
    <x v="0"/>
    <n v="0.16669999999999999"/>
    <n v="0.4"/>
    <x v="2"/>
    <n v="0.41789999999999999"/>
    <x v="2"/>
    <x v="17"/>
    <x v="12"/>
    <x v="41"/>
    <x v="0"/>
  </r>
  <r>
    <n v="749"/>
    <x v="33"/>
    <n v="1"/>
    <n v="0"/>
    <n v="2"/>
    <x v="14"/>
    <x v="3"/>
    <x v="0"/>
    <x v="5"/>
    <x v="0"/>
    <n v="0.22"/>
    <x v="0"/>
    <n v="0.19700000000000001"/>
    <n v="0.37"/>
    <x v="2"/>
    <n v="0.3881"/>
    <x v="1"/>
    <x v="17"/>
    <x v="30"/>
    <x v="105"/>
    <x v="0"/>
  </r>
  <r>
    <n v="750"/>
    <x v="33"/>
    <n v="1"/>
    <n v="0"/>
    <n v="2"/>
    <x v="15"/>
    <x v="3"/>
    <x v="0"/>
    <x v="5"/>
    <x v="0"/>
    <n v="0.22"/>
    <x v="0"/>
    <n v="0.19700000000000001"/>
    <n v="0.37"/>
    <x v="2"/>
    <n v="0.32840000000000003"/>
    <x v="1"/>
    <x v="17"/>
    <x v="90"/>
    <x v="122"/>
    <x v="0"/>
  </r>
  <r>
    <n v="751"/>
    <x v="33"/>
    <n v="1"/>
    <n v="0"/>
    <n v="2"/>
    <x v="16"/>
    <x v="3"/>
    <x v="0"/>
    <x v="5"/>
    <x v="0"/>
    <n v="0.22"/>
    <x v="0"/>
    <n v="0.21210000000000001"/>
    <n v="0.37"/>
    <x v="2"/>
    <n v="0.25369999999999998"/>
    <x v="1"/>
    <x v="2"/>
    <x v="26"/>
    <x v="53"/>
    <x v="1"/>
  </r>
  <r>
    <n v="752"/>
    <x v="33"/>
    <n v="1"/>
    <n v="0"/>
    <n v="2"/>
    <x v="17"/>
    <x v="4"/>
    <x v="0"/>
    <x v="5"/>
    <x v="0"/>
    <n v="0.2"/>
    <x v="0"/>
    <n v="0.19700000000000001"/>
    <n v="0.4"/>
    <x v="2"/>
    <n v="0.19400000000000001"/>
    <x v="0"/>
    <x v="2"/>
    <x v="162"/>
    <x v="172"/>
    <x v="2"/>
  </r>
  <r>
    <n v="753"/>
    <x v="33"/>
    <n v="1"/>
    <n v="0"/>
    <n v="2"/>
    <x v="18"/>
    <x v="4"/>
    <x v="0"/>
    <x v="5"/>
    <x v="0"/>
    <n v="0.2"/>
    <x v="0"/>
    <n v="0.21210000000000001"/>
    <n v="0.4"/>
    <x v="2"/>
    <n v="0.16420000000000001"/>
    <x v="0"/>
    <x v="4"/>
    <x v="142"/>
    <x v="173"/>
    <x v="1"/>
  </r>
  <r>
    <n v="754"/>
    <x v="33"/>
    <n v="1"/>
    <n v="0"/>
    <n v="2"/>
    <x v="19"/>
    <x v="4"/>
    <x v="0"/>
    <x v="5"/>
    <x v="0"/>
    <n v="0.2"/>
    <x v="0"/>
    <n v="0.2576"/>
    <n v="0.4"/>
    <x v="2"/>
    <n v="0"/>
    <x v="0"/>
    <x v="17"/>
    <x v="50"/>
    <x v="152"/>
    <x v="1"/>
  </r>
  <r>
    <n v="755"/>
    <x v="33"/>
    <n v="1"/>
    <n v="0"/>
    <n v="2"/>
    <x v="20"/>
    <x v="4"/>
    <x v="0"/>
    <x v="5"/>
    <x v="0"/>
    <n v="0.2"/>
    <x v="0"/>
    <n v="0.2273"/>
    <n v="0.47"/>
    <x v="1"/>
    <n v="8.9599999999999999E-2"/>
    <x v="0"/>
    <x v="5"/>
    <x v="123"/>
    <x v="142"/>
    <x v="1"/>
  </r>
  <r>
    <n v="756"/>
    <x v="33"/>
    <n v="1"/>
    <n v="0"/>
    <n v="2"/>
    <x v="21"/>
    <x v="0"/>
    <x v="0"/>
    <x v="5"/>
    <x v="0"/>
    <n v="0.18"/>
    <x v="0"/>
    <n v="0.21210000000000001"/>
    <n v="0.55000000000000004"/>
    <x v="1"/>
    <n v="0.1045"/>
    <x v="0"/>
    <x v="5"/>
    <x v="42"/>
    <x v="60"/>
    <x v="0"/>
  </r>
  <r>
    <n v="757"/>
    <x v="33"/>
    <n v="1"/>
    <n v="0"/>
    <n v="2"/>
    <x v="22"/>
    <x v="0"/>
    <x v="0"/>
    <x v="5"/>
    <x v="0"/>
    <n v="0.18"/>
    <x v="0"/>
    <n v="0.21210000000000001"/>
    <n v="0.51"/>
    <x v="1"/>
    <n v="8.9599999999999999E-2"/>
    <x v="0"/>
    <x v="4"/>
    <x v="87"/>
    <x v="102"/>
    <x v="0"/>
  </r>
  <r>
    <n v="758"/>
    <x v="33"/>
    <n v="1"/>
    <n v="0"/>
    <n v="2"/>
    <x v="23"/>
    <x v="0"/>
    <x v="0"/>
    <x v="5"/>
    <x v="0"/>
    <n v="0.2"/>
    <x v="0"/>
    <n v="0.2273"/>
    <n v="0.47"/>
    <x v="1"/>
    <n v="0.1045"/>
    <x v="0"/>
    <x v="17"/>
    <x v="60"/>
    <x v="103"/>
    <x v="0"/>
  </r>
  <r>
    <n v="759"/>
    <x v="34"/>
    <n v="1"/>
    <n v="0"/>
    <n v="2"/>
    <x v="0"/>
    <x v="0"/>
    <x v="0"/>
    <x v="6"/>
    <x v="1"/>
    <n v="0.2"/>
    <x v="0"/>
    <n v="0.2576"/>
    <n v="0.44"/>
    <x v="1"/>
    <n v="0"/>
    <x v="0"/>
    <x v="0"/>
    <x v="3"/>
    <x v="3"/>
    <x v="0"/>
  </r>
  <r>
    <n v="760"/>
    <x v="34"/>
    <n v="1"/>
    <n v="0"/>
    <n v="2"/>
    <x v="1"/>
    <x v="0"/>
    <x v="0"/>
    <x v="6"/>
    <x v="1"/>
    <n v="0.16"/>
    <x v="0"/>
    <n v="0.2273"/>
    <n v="0.59"/>
    <x v="1"/>
    <n v="0"/>
    <x v="0"/>
    <x v="3"/>
    <x v="7"/>
    <x v="85"/>
    <x v="0"/>
  </r>
  <r>
    <n v="761"/>
    <x v="34"/>
    <n v="1"/>
    <n v="0"/>
    <n v="2"/>
    <x v="2"/>
    <x v="0"/>
    <x v="0"/>
    <x v="6"/>
    <x v="1"/>
    <n v="0.14000000000000001"/>
    <x v="3"/>
    <n v="0.16669999999999999"/>
    <n v="0.63"/>
    <x v="0"/>
    <n v="0.1045"/>
    <x v="0"/>
    <x v="3"/>
    <x v="4"/>
    <x v="4"/>
    <x v="0"/>
  </r>
  <r>
    <n v="762"/>
    <x v="34"/>
    <n v="1"/>
    <n v="0"/>
    <n v="2"/>
    <x v="3"/>
    <x v="0"/>
    <x v="0"/>
    <x v="6"/>
    <x v="1"/>
    <n v="0.14000000000000001"/>
    <x v="3"/>
    <n v="0.16669999999999999"/>
    <n v="0.63"/>
    <x v="0"/>
    <n v="0.1045"/>
    <x v="0"/>
    <x v="3"/>
    <x v="4"/>
    <x v="4"/>
    <x v="0"/>
  </r>
  <r>
    <n v="763"/>
    <x v="34"/>
    <n v="1"/>
    <n v="0"/>
    <n v="2"/>
    <x v="5"/>
    <x v="1"/>
    <x v="0"/>
    <x v="6"/>
    <x v="1"/>
    <n v="0.14000000000000001"/>
    <x v="3"/>
    <n v="0.1515"/>
    <n v="0.63"/>
    <x v="0"/>
    <n v="0.1343"/>
    <x v="0"/>
    <x v="3"/>
    <x v="7"/>
    <x v="85"/>
    <x v="0"/>
  </r>
  <r>
    <n v="764"/>
    <x v="34"/>
    <n v="1"/>
    <n v="0"/>
    <n v="2"/>
    <x v="6"/>
    <x v="1"/>
    <x v="0"/>
    <x v="6"/>
    <x v="1"/>
    <n v="0.16"/>
    <x v="0"/>
    <n v="0.2273"/>
    <n v="0.55000000000000004"/>
    <x v="1"/>
    <n v="0"/>
    <x v="0"/>
    <x v="4"/>
    <x v="16"/>
    <x v="20"/>
    <x v="0"/>
  </r>
  <r>
    <n v="765"/>
    <x v="34"/>
    <n v="1"/>
    <n v="0"/>
    <n v="2"/>
    <x v="7"/>
    <x v="2"/>
    <x v="0"/>
    <x v="6"/>
    <x v="0"/>
    <n v="0.14000000000000001"/>
    <x v="3"/>
    <n v="0.21210000000000001"/>
    <n v="0.59"/>
    <x v="1"/>
    <n v="0"/>
    <x v="0"/>
    <x v="3"/>
    <x v="61"/>
    <x v="90"/>
    <x v="1"/>
  </r>
  <r>
    <n v="766"/>
    <x v="34"/>
    <n v="1"/>
    <n v="0"/>
    <n v="2"/>
    <x v="8"/>
    <x v="2"/>
    <x v="0"/>
    <x v="6"/>
    <x v="0"/>
    <n v="0.14000000000000001"/>
    <x v="3"/>
    <n v="0.1515"/>
    <n v="0.74"/>
    <x v="0"/>
    <n v="0.1343"/>
    <x v="0"/>
    <x v="0"/>
    <x v="163"/>
    <x v="174"/>
    <x v="2"/>
  </r>
  <r>
    <n v="767"/>
    <x v="34"/>
    <n v="1"/>
    <n v="0"/>
    <n v="2"/>
    <x v="9"/>
    <x v="2"/>
    <x v="0"/>
    <x v="6"/>
    <x v="1"/>
    <n v="0.16"/>
    <x v="0"/>
    <n v="0.18179999999999999"/>
    <n v="0.8"/>
    <x v="0"/>
    <n v="0.1343"/>
    <x v="0"/>
    <x v="0"/>
    <x v="125"/>
    <x v="175"/>
    <x v="1"/>
  </r>
  <r>
    <n v="768"/>
    <x v="34"/>
    <n v="1"/>
    <n v="0"/>
    <n v="2"/>
    <x v="10"/>
    <x v="2"/>
    <x v="0"/>
    <x v="6"/>
    <x v="1"/>
    <n v="0.2"/>
    <x v="0"/>
    <n v="0.21210000000000001"/>
    <n v="0.51"/>
    <x v="1"/>
    <n v="0.1343"/>
    <x v="0"/>
    <x v="2"/>
    <x v="24"/>
    <x v="41"/>
    <x v="0"/>
  </r>
  <r>
    <n v="769"/>
    <x v="34"/>
    <n v="1"/>
    <n v="0"/>
    <n v="2"/>
    <x v="11"/>
    <x v="3"/>
    <x v="0"/>
    <x v="6"/>
    <x v="0"/>
    <n v="0.22"/>
    <x v="0"/>
    <n v="0.2273"/>
    <n v="0.51"/>
    <x v="1"/>
    <n v="0.16420000000000001"/>
    <x v="0"/>
    <x v="0"/>
    <x v="124"/>
    <x v="37"/>
    <x v="0"/>
  </r>
  <r>
    <n v="770"/>
    <x v="34"/>
    <n v="1"/>
    <n v="0"/>
    <n v="2"/>
    <x v="12"/>
    <x v="3"/>
    <x v="0"/>
    <x v="6"/>
    <x v="1"/>
    <n v="0.24"/>
    <x v="0"/>
    <n v="0.2424"/>
    <n v="0.48"/>
    <x v="1"/>
    <n v="0.16420000000000001"/>
    <x v="0"/>
    <x v="1"/>
    <x v="78"/>
    <x v="80"/>
    <x v="1"/>
  </r>
  <r>
    <n v="771"/>
    <x v="34"/>
    <n v="1"/>
    <n v="0"/>
    <n v="2"/>
    <x v="13"/>
    <x v="3"/>
    <x v="0"/>
    <x v="6"/>
    <x v="1"/>
    <n v="0.26"/>
    <x v="1"/>
    <n v="0.2576"/>
    <n v="0.5"/>
    <x v="1"/>
    <n v="0.22389999999999999"/>
    <x v="1"/>
    <x v="14"/>
    <x v="26"/>
    <x v="100"/>
    <x v="1"/>
  </r>
  <r>
    <n v="772"/>
    <x v="34"/>
    <n v="1"/>
    <n v="0"/>
    <n v="2"/>
    <x v="14"/>
    <x v="3"/>
    <x v="0"/>
    <x v="6"/>
    <x v="1"/>
    <n v="0.28000000000000003"/>
    <x v="1"/>
    <n v="0.2727"/>
    <n v="0.45"/>
    <x v="1"/>
    <n v="0.16420000000000001"/>
    <x v="0"/>
    <x v="13"/>
    <x v="83"/>
    <x v="134"/>
    <x v="1"/>
  </r>
  <r>
    <n v="773"/>
    <x v="34"/>
    <n v="1"/>
    <n v="0"/>
    <n v="2"/>
    <x v="15"/>
    <x v="3"/>
    <x v="0"/>
    <x v="6"/>
    <x v="1"/>
    <n v="0.28000000000000003"/>
    <x v="1"/>
    <n v="0.2727"/>
    <n v="0.48"/>
    <x v="1"/>
    <n v="0.25369999999999998"/>
    <x v="1"/>
    <x v="14"/>
    <x v="38"/>
    <x v="127"/>
    <x v="1"/>
  </r>
  <r>
    <n v="774"/>
    <x v="34"/>
    <n v="1"/>
    <n v="0"/>
    <n v="2"/>
    <x v="16"/>
    <x v="3"/>
    <x v="0"/>
    <x v="6"/>
    <x v="1"/>
    <n v="0.3"/>
    <x v="1"/>
    <n v="0.28789999999999999"/>
    <n v="0.42"/>
    <x v="1"/>
    <n v="0.22389999999999999"/>
    <x v="1"/>
    <x v="1"/>
    <x v="164"/>
    <x v="111"/>
    <x v="1"/>
  </r>
  <r>
    <n v="775"/>
    <x v="34"/>
    <n v="1"/>
    <n v="0"/>
    <n v="2"/>
    <x v="17"/>
    <x v="4"/>
    <x v="0"/>
    <x v="6"/>
    <x v="1"/>
    <n v="0.26"/>
    <x v="1"/>
    <n v="0.2727"/>
    <n v="0.56000000000000005"/>
    <x v="1"/>
    <n v="0.1343"/>
    <x v="0"/>
    <x v="22"/>
    <x v="165"/>
    <x v="176"/>
    <x v="2"/>
  </r>
  <r>
    <n v="776"/>
    <x v="34"/>
    <n v="1"/>
    <n v="0"/>
    <n v="2"/>
    <x v="18"/>
    <x v="4"/>
    <x v="0"/>
    <x v="6"/>
    <x v="1"/>
    <n v="0.24"/>
    <x v="0"/>
    <n v="0.2576"/>
    <n v="0.6"/>
    <x v="3"/>
    <n v="0.1045"/>
    <x v="0"/>
    <x v="0"/>
    <x v="166"/>
    <x v="107"/>
    <x v="1"/>
  </r>
  <r>
    <n v="777"/>
    <x v="34"/>
    <n v="1"/>
    <n v="0"/>
    <n v="2"/>
    <x v="19"/>
    <x v="4"/>
    <x v="0"/>
    <x v="6"/>
    <x v="1"/>
    <n v="0.24"/>
    <x v="0"/>
    <n v="0.2424"/>
    <n v="0.65"/>
    <x v="0"/>
    <n v="0.1343"/>
    <x v="0"/>
    <x v="5"/>
    <x v="46"/>
    <x v="153"/>
    <x v="1"/>
  </r>
  <r>
    <n v="778"/>
    <x v="34"/>
    <n v="1"/>
    <n v="0"/>
    <n v="2"/>
    <x v="20"/>
    <x v="4"/>
    <x v="0"/>
    <x v="6"/>
    <x v="1"/>
    <n v="0.24"/>
    <x v="0"/>
    <n v="0.2424"/>
    <n v="0.65"/>
    <x v="0"/>
    <n v="0.16420000000000001"/>
    <x v="0"/>
    <x v="4"/>
    <x v="94"/>
    <x v="68"/>
    <x v="1"/>
  </r>
  <r>
    <n v="779"/>
    <x v="34"/>
    <n v="1"/>
    <n v="0"/>
    <n v="2"/>
    <x v="21"/>
    <x v="0"/>
    <x v="0"/>
    <x v="6"/>
    <x v="1"/>
    <n v="0.24"/>
    <x v="0"/>
    <n v="0.2424"/>
    <n v="0.7"/>
    <x v="0"/>
    <n v="0.16420000000000001"/>
    <x v="0"/>
    <x v="4"/>
    <x v="40"/>
    <x v="74"/>
    <x v="0"/>
  </r>
  <r>
    <n v="780"/>
    <x v="34"/>
    <n v="1"/>
    <n v="0"/>
    <n v="2"/>
    <x v="22"/>
    <x v="0"/>
    <x v="0"/>
    <x v="6"/>
    <x v="1"/>
    <n v="0.24"/>
    <x v="0"/>
    <n v="0.2424"/>
    <n v="0.65"/>
    <x v="0"/>
    <n v="0.16420000000000001"/>
    <x v="0"/>
    <x v="5"/>
    <x v="108"/>
    <x v="66"/>
    <x v="0"/>
  </r>
  <r>
    <n v="781"/>
    <x v="34"/>
    <n v="1"/>
    <n v="0"/>
    <n v="2"/>
    <x v="23"/>
    <x v="0"/>
    <x v="0"/>
    <x v="6"/>
    <x v="1"/>
    <n v="0.24"/>
    <x v="0"/>
    <n v="0.2424"/>
    <n v="0.7"/>
    <x v="0"/>
    <n v="0.1343"/>
    <x v="0"/>
    <x v="5"/>
    <x v="10"/>
    <x v="35"/>
    <x v="0"/>
  </r>
  <r>
    <n v="782"/>
    <x v="35"/>
    <n v="1"/>
    <n v="0"/>
    <n v="2"/>
    <x v="0"/>
    <x v="0"/>
    <x v="0"/>
    <x v="0"/>
    <x v="1"/>
    <n v="0.24"/>
    <x v="0"/>
    <n v="0.2424"/>
    <n v="0.7"/>
    <x v="0"/>
    <n v="0.16420000000000001"/>
    <x v="0"/>
    <x v="0"/>
    <x v="49"/>
    <x v="21"/>
    <x v="0"/>
  </r>
  <r>
    <n v="783"/>
    <x v="35"/>
    <n v="1"/>
    <n v="0"/>
    <n v="2"/>
    <x v="1"/>
    <x v="0"/>
    <x v="0"/>
    <x v="0"/>
    <x v="1"/>
    <n v="0.24"/>
    <x v="0"/>
    <n v="0.2424"/>
    <n v="0.65"/>
    <x v="0"/>
    <n v="0.16420000000000001"/>
    <x v="0"/>
    <x v="5"/>
    <x v="19"/>
    <x v="109"/>
    <x v="0"/>
  </r>
  <r>
    <n v="784"/>
    <x v="35"/>
    <n v="1"/>
    <n v="0"/>
    <n v="2"/>
    <x v="2"/>
    <x v="0"/>
    <x v="0"/>
    <x v="0"/>
    <x v="1"/>
    <n v="0.24"/>
    <x v="0"/>
    <n v="0.2424"/>
    <n v="0.75"/>
    <x v="0"/>
    <n v="0.16420000000000001"/>
    <x v="0"/>
    <x v="2"/>
    <x v="98"/>
    <x v="22"/>
    <x v="0"/>
  </r>
  <r>
    <n v="785"/>
    <x v="35"/>
    <n v="1"/>
    <n v="0"/>
    <n v="2"/>
    <x v="3"/>
    <x v="0"/>
    <x v="0"/>
    <x v="0"/>
    <x v="1"/>
    <n v="0.24"/>
    <x v="0"/>
    <n v="0.2424"/>
    <n v="0.75"/>
    <x v="0"/>
    <n v="0.16420000000000001"/>
    <x v="0"/>
    <x v="5"/>
    <x v="3"/>
    <x v="62"/>
    <x v="0"/>
  </r>
  <r>
    <n v="786"/>
    <x v="35"/>
    <n v="1"/>
    <n v="0"/>
    <n v="2"/>
    <x v="4"/>
    <x v="1"/>
    <x v="0"/>
    <x v="0"/>
    <x v="2"/>
    <n v="0.22"/>
    <x v="0"/>
    <n v="0.2273"/>
    <n v="0.93"/>
    <x v="0"/>
    <n v="0.1343"/>
    <x v="0"/>
    <x v="3"/>
    <x v="21"/>
    <x v="7"/>
    <x v="0"/>
  </r>
  <r>
    <n v="787"/>
    <x v="35"/>
    <n v="1"/>
    <n v="0"/>
    <n v="2"/>
    <x v="5"/>
    <x v="1"/>
    <x v="0"/>
    <x v="0"/>
    <x v="2"/>
    <n v="0.2"/>
    <x v="0"/>
    <n v="0.2273"/>
    <n v="1"/>
    <x v="0"/>
    <n v="8.9599999999999999E-2"/>
    <x v="0"/>
    <x v="3"/>
    <x v="33"/>
    <x v="23"/>
    <x v="0"/>
  </r>
  <r>
    <n v="788"/>
    <x v="35"/>
    <n v="1"/>
    <n v="0"/>
    <n v="2"/>
    <x v="6"/>
    <x v="1"/>
    <x v="0"/>
    <x v="0"/>
    <x v="2"/>
    <n v="0.2"/>
    <x v="0"/>
    <n v="0.2576"/>
    <n v="1"/>
    <x v="0"/>
    <n v="0"/>
    <x v="0"/>
    <x v="3"/>
    <x v="22"/>
    <x v="48"/>
    <x v="0"/>
  </r>
  <r>
    <n v="789"/>
    <x v="35"/>
    <n v="1"/>
    <n v="0"/>
    <n v="2"/>
    <x v="7"/>
    <x v="2"/>
    <x v="0"/>
    <x v="0"/>
    <x v="2"/>
    <n v="0.22"/>
    <x v="0"/>
    <n v="0.2576"/>
    <n v="0.93"/>
    <x v="0"/>
    <n v="8.9599999999999999E-2"/>
    <x v="0"/>
    <x v="3"/>
    <x v="22"/>
    <x v="48"/>
    <x v="0"/>
  </r>
  <r>
    <n v="790"/>
    <x v="35"/>
    <n v="1"/>
    <n v="0"/>
    <n v="2"/>
    <x v="8"/>
    <x v="2"/>
    <x v="0"/>
    <x v="0"/>
    <x v="2"/>
    <n v="0.2"/>
    <x v="0"/>
    <n v="0.2273"/>
    <n v="1"/>
    <x v="0"/>
    <n v="8.9599999999999999E-2"/>
    <x v="0"/>
    <x v="3"/>
    <x v="3"/>
    <x v="98"/>
    <x v="0"/>
  </r>
  <r>
    <n v="791"/>
    <x v="35"/>
    <n v="1"/>
    <n v="0"/>
    <n v="2"/>
    <x v="9"/>
    <x v="2"/>
    <x v="0"/>
    <x v="0"/>
    <x v="2"/>
    <n v="0.2"/>
    <x v="0"/>
    <n v="0.2273"/>
    <n v="1"/>
    <x v="0"/>
    <n v="8.9599999999999999E-2"/>
    <x v="0"/>
    <x v="0"/>
    <x v="19"/>
    <x v="25"/>
    <x v="0"/>
  </r>
  <r>
    <n v="792"/>
    <x v="35"/>
    <n v="1"/>
    <n v="0"/>
    <n v="2"/>
    <x v="10"/>
    <x v="2"/>
    <x v="0"/>
    <x v="0"/>
    <x v="2"/>
    <n v="0.2"/>
    <x v="0"/>
    <n v="0.21210000000000001"/>
    <n v="1"/>
    <x v="0"/>
    <n v="0.1343"/>
    <x v="0"/>
    <x v="0"/>
    <x v="17"/>
    <x v="19"/>
    <x v="0"/>
  </r>
  <r>
    <n v="793"/>
    <x v="35"/>
    <n v="1"/>
    <n v="0"/>
    <n v="2"/>
    <x v="11"/>
    <x v="3"/>
    <x v="0"/>
    <x v="0"/>
    <x v="2"/>
    <n v="0.22"/>
    <x v="0"/>
    <n v="0.2273"/>
    <n v="1"/>
    <x v="0"/>
    <n v="0.1343"/>
    <x v="0"/>
    <x v="5"/>
    <x v="24"/>
    <x v="105"/>
    <x v="0"/>
  </r>
  <r>
    <n v="794"/>
    <x v="35"/>
    <n v="1"/>
    <n v="0"/>
    <n v="2"/>
    <x v="12"/>
    <x v="3"/>
    <x v="0"/>
    <x v="0"/>
    <x v="2"/>
    <n v="0.22"/>
    <x v="0"/>
    <n v="0.2273"/>
    <n v="1"/>
    <x v="0"/>
    <n v="0.16420000000000001"/>
    <x v="0"/>
    <x v="22"/>
    <x v="76"/>
    <x v="46"/>
    <x v="0"/>
  </r>
  <r>
    <n v="795"/>
    <x v="35"/>
    <n v="1"/>
    <n v="0"/>
    <n v="2"/>
    <x v="13"/>
    <x v="3"/>
    <x v="0"/>
    <x v="0"/>
    <x v="2"/>
    <n v="0.22"/>
    <x v="0"/>
    <n v="0.2273"/>
    <n v="1"/>
    <x v="0"/>
    <n v="0.16420000000000001"/>
    <x v="0"/>
    <x v="22"/>
    <x v="133"/>
    <x v="44"/>
    <x v="1"/>
  </r>
  <r>
    <n v="796"/>
    <x v="35"/>
    <n v="1"/>
    <n v="0"/>
    <n v="2"/>
    <x v="14"/>
    <x v="3"/>
    <x v="0"/>
    <x v="0"/>
    <x v="2"/>
    <n v="0.22"/>
    <x v="0"/>
    <n v="0.2727"/>
    <n v="1"/>
    <x v="0"/>
    <n v="0"/>
    <x v="0"/>
    <x v="2"/>
    <x v="54"/>
    <x v="97"/>
    <x v="0"/>
  </r>
  <r>
    <n v="797"/>
    <x v="35"/>
    <n v="1"/>
    <n v="0"/>
    <n v="2"/>
    <x v="15"/>
    <x v="3"/>
    <x v="0"/>
    <x v="0"/>
    <x v="2"/>
    <n v="0.22"/>
    <x v="0"/>
    <n v="0.2727"/>
    <n v="1"/>
    <x v="0"/>
    <n v="0"/>
    <x v="0"/>
    <x v="16"/>
    <x v="47"/>
    <x v="122"/>
    <x v="0"/>
  </r>
  <r>
    <n v="798"/>
    <x v="35"/>
    <n v="1"/>
    <n v="0"/>
    <n v="2"/>
    <x v="16"/>
    <x v="3"/>
    <x v="0"/>
    <x v="0"/>
    <x v="2"/>
    <n v="0.22"/>
    <x v="0"/>
    <n v="0.2273"/>
    <n v="1"/>
    <x v="0"/>
    <n v="0.1343"/>
    <x v="0"/>
    <x v="1"/>
    <x v="36"/>
    <x v="68"/>
    <x v="1"/>
  </r>
  <r>
    <n v="799"/>
    <x v="35"/>
    <n v="1"/>
    <n v="0"/>
    <n v="2"/>
    <x v="17"/>
    <x v="4"/>
    <x v="0"/>
    <x v="0"/>
    <x v="1"/>
    <n v="0.24"/>
    <x v="0"/>
    <n v="0.21210000000000001"/>
    <n v="1"/>
    <x v="0"/>
    <n v="0.28360000000000002"/>
    <x v="1"/>
    <x v="24"/>
    <x v="27"/>
    <x v="53"/>
    <x v="1"/>
  </r>
  <r>
    <n v="800"/>
    <x v="35"/>
    <n v="1"/>
    <n v="0"/>
    <n v="2"/>
    <x v="18"/>
    <x v="4"/>
    <x v="0"/>
    <x v="0"/>
    <x v="1"/>
    <n v="0.28000000000000003"/>
    <x v="1"/>
    <n v="0.2424"/>
    <n v="0.93"/>
    <x v="0"/>
    <n v="0.44779999999999998"/>
    <x v="2"/>
    <x v="4"/>
    <x v="38"/>
    <x v="56"/>
    <x v="1"/>
  </r>
  <r>
    <n v="801"/>
    <x v="35"/>
    <n v="1"/>
    <n v="0"/>
    <n v="2"/>
    <x v="19"/>
    <x v="4"/>
    <x v="0"/>
    <x v="0"/>
    <x v="1"/>
    <n v="0.28000000000000003"/>
    <x v="1"/>
    <n v="0.2424"/>
    <n v="0.93"/>
    <x v="0"/>
    <n v="0.44779999999999998"/>
    <x v="2"/>
    <x v="15"/>
    <x v="78"/>
    <x v="11"/>
    <x v="1"/>
  </r>
  <r>
    <n v="802"/>
    <x v="35"/>
    <n v="1"/>
    <n v="0"/>
    <n v="2"/>
    <x v="20"/>
    <x v="4"/>
    <x v="0"/>
    <x v="0"/>
    <x v="0"/>
    <n v="0.3"/>
    <x v="1"/>
    <n v="0.28789999999999999"/>
    <n v="0.87"/>
    <x v="0"/>
    <n v="0.25369999999999998"/>
    <x v="1"/>
    <x v="2"/>
    <x v="27"/>
    <x v="83"/>
    <x v="0"/>
  </r>
  <r>
    <n v="803"/>
    <x v="35"/>
    <n v="1"/>
    <n v="0"/>
    <n v="2"/>
    <x v="21"/>
    <x v="0"/>
    <x v="0"/>
    <x v="0"/>
    <x v="0"/>
    <n v="0.26"/>
    <x v="1"/>
    <n v="0.2576"/>
    <n v="1"/>
    <x v="0"/>
    <n v="0.19400000000000001"/>
    <x v="0"/>
    <x v="0"/>
    <x v="42"/>
    <x v="10"/>
    <x v="0"/>
  </r>
  <r>
    <n v="804"/>
    <x v="35"/>
    <n v="1"/>
    <n v="0"/>
    <n v="2"/>
    <x v="22"/>
    <x v="0"/>
    <x v="0"/>
    <x v="0"/>
    <x v="0"/>
    <n v="0.26"/>
    <x v="1"/>
    <n v="0.2727"/>
    <n v="0.93"/>
    <x v="0"/>
    <n v="0.1343"/>
    <x v="0"/>
    <x v="4"/>
    <x v="30"/>
    <x v="79"/>
    <x v="0"/>
  </r>
  <r>
    <n v="805"/>
    <x v="35"/>
    <n v="1"/>
    <n v="0"/>
    <n v="2"/>
    <x v="23"/>
    <x v="0"/>
    <x v="0"/>
    <x v="0"/>
    <x v="0"/>
    <n v="0.26"/>
    <x v="1"/>
    <n v="0.2576"/>
    <n v="0.93"/>
    <x v="0"/>
    <n v="0.22389999999999999"/>
    <x v="1"/>
    <x v="18"/>
    <x v="15"/>
    <x v="29"/>
    <x v="0"/>
  </r>
  <r>
    <n v="806"/>
    <x v="36"/>
    <n v="1"/>
    <n v="0"/>
    <n v="2"/>
    <x v="0"/>
    <x v="0"/>
    <x v="0"/>
    <x v="1"/>
    <x v="0"/>
    <n v="0.26"/>
    <x v="1"/>
    <n v="0.2576"/>
    <n v="0.7"/>
    <x v="0"/>
    <n v="0.19400000000000001"/>
    <x v="0"/>
    <x v="4"/>
    <x v="53"/>
    <x v="21"/>
    <x v="0"/>
  </r>
  <r>
    <n v="807"/>
    <x v="36"/>
    <n v="1"/>
    <n v="0"/>
    <n v="2"/>
    <x v="1"/>
    <x v="0"/>
    <x v="0"/>
    <x v="1"/>
    <x v="0"/>
    <n v="0.26"/>
    <x v="1"/>
    <n v="0.2273"/>
    <n v="0.65"/>
    <x v="0"/>
    <n v="0.41789999999999999"/>
    <x v="2"/>
    <x v="17"/>
    <x v="71"/>
    <x v="40"/>
    <x v="0"/>
  </r>
  <r>
    <n v="808"/>
    <x v="36"/>
    <n v="1"/>
    <n v="0"/>
    <n v="2"/>
    <x v="2"/>
    <x v="0"/>
    <x v="0"/>
    <x v="1"/>
    <x v="0"/>
    <n v="0.26"/>
    <x v="1"/>
    <n v="0.2273"/>
    <n v="0.6"/>
    <x v="3"/>
    <n v="0.32840000000000003"/>
    <x v="1"/>
    <x v="3"/>
    <x v="32"/>
    <x v="25"/>
    <x v="0"/>
  </r>
  <r>
    <n v="809"/>
    <x v="36"/>
    <n v="1"/>
    <n v="0"/>
    <n v="2"/>
    <x v="3"/>
    <x v="0"/>
    <x v="0"/>
    <x v="1"/>
    <x v="0"/>
    <n v="0.26"/>
    <x v="1"/>
    <n v="0.28789999999999999"/>
    <n v="0.6"/>
    <x v="3"/>
    <n v="8.9599999999999999E-2"/>
    <x v="0"/>
    <x v="0"/>
    <x v="3"/>
    <x v="3"/>
    <x v="0"/>
  </r>
  <r>
    <n v="810"/>
    <x v="36"/>
    <n v="1"/>
    <n v="0"/>
    <n v="2"/>
    <x v="4"/>
    <x v="1"/>
    <x v="0"/>
    <x v="1"/>
    <x v="0"/>
    <n v="0.26"/>
    <x v="1"/>
    <n v="0.2273"/>
    <n v="0.6"/>
    <x v="3"/>
    <n v="0.35820000000000002"/>
    <x v="1"/>
    <x v="3"/>
    <x v="6"/>
    <x v="5"/>
    <x v="0"/>
  </r>
  <r>
    <n v="811"/>
    <x v="36"/>
    <n v="1"/>
    <n v="0"/>
    <n v="2"/>
    <x v="5"/>
    <x v="1"/>
    <x v="0"/>
    <x v="1"/>
    <x v="0"/>
    <n v="0.26"/>
    <x v="1"/>
    <n v="0.2576"/>
    <n v="0.6"/>
    <x v="3"/>
    <n v="0.22389999999999999"/>
    <x v="1"/>
    <x v="3"/>
    <x v="4"/>
    <x v="4"/>
    <x v="0"/>
  </r>
  <r>
    <n v="812"/>
    <x v="36"/>
    <n v="1"/>
    <n v="0"/>
    <n v="2"/>
    <x v="6"/>
    <x v="1"/>
    <x v="0"/>
    <x v="1"/>
    <x v="0"/>
    <n v="0.26"/>
    <x v="1"/>
    <n v="0.2576"/>
    <n v="0.6"/>
    <x v="3"/>
    <n v="0.22389999999999999"/>
    <x v="1"/>
    <x v="3"/>
    <x v="4"/>
    <x v="4"/>
    <x v="0"/>
  </r>
  <r>
    <n v="813"/>
    <x v="36"/>
    <n v="1"/>
    <n v="0"/>
    <n v="2"/>
    <x v="7"/>
    <x v="2"/>
    <x v="0"/>
    <x v="1"/>
    <x v="0"/>
    <n v="0.24"/>
    <x v="0"/>
    <n v="0.2424"/>
    <n v="0.65"/>
    <x v="0"/>
    <n v="0.16420000000000001"/>
    <x v="0"/>
    <x v="3"/>
    <x v="21"/>
    <x v="7"/>
    <x v="0"/>
  </r>
  <r>
    <n v="814"/>
    <x v="36"/>
    <n v="1"/>
    <n v="0"/>
    <n v="2"/>
    <x v="8"/>
    <x v="2"/>
    <x v="0"/>
    <x v="1"/>
    <x v="0"/>
    <n v="0.24"/>
    <x v="0"/>
    <n v="0.2576"/>
    <n v="0.65"/>
    <x v="0"/>
    <n v="0.1045"/>
    <x v="0"/>
    <x v="4"/>
    <x v="144"/>
    <x v="84"/>
    <x v="0"/>
  </r>
  <r>
    <n v="815"/>
    <x v="36"/>
    <n v="1"/>
    <n v="0"/>
    <n v="2"/>
    <x v="9"/>
    <x v="2"/>
    <x v="0"/>
    <x v="1"/>
    <x v="0"/>
    <n v="0.28000000000000003"/>
    <x v="1"/>
    <n v="0.28789999999999999"/>
    <n v="0.56000000000000005"/>
    <x v="1"/>
    <n v="0.1045"/>
    <x v="0"/>
    <x v="18"/>
    <x v="101"/>
    <x v="79"/>
    <x v="0"/>
  </r>
  <r>
    <n v="816"/>
    <x v="36"/>
    <n v="1"/>
    <n v="0"/>
    <n v="2"/>
    <x v="10"/>
    <x v="2"/>
    <x v="0"/>
    <x v="1"/>
    <x v="0"/>
    <n v="0.3"/>
    <x v="1"/>
    <n v="0.28789999999999999"/>
    <n v="0.52"/>
    <x v="1"/>
    <n v="0.25369999999999998"/>
    <x v="1"/>
    <x v="13"/>
    <x v="64"/>
    <x v="70"/>
    <x v="1"/>
  </r>
  <r>
    <n v="817"/>
    <x v="36"/>
    <n v="1"/>
    <n v="0"/>
    <n v="2"/>
    <x v="11"/>
    <x v="3"/>
    <x v="0"/>
    <x v="1"/>
    <x v="0"/>
    <n v="0.32"/>
    <x v="1"/>
    <n v="0.30299999999999999"/>
    <n v="0.49"/>
    <x v="1"/>
    <n v="0.25369999999999998"/>
    <x v="1"/>
    <x v="32"/>
    <x v="121"/>
    <x v="126"/>
    <x v="1"/>
  </r>
  <r>
    <n v="818"/>
    <x v="36"/>
    <n v="1"/>
    <n v="0"/>
    <n v="2"/>
    <x v="12"/>
    <x v="3"/>
    <x v="0"/>
    <x v="1"/>
    <x v="0"/>
    <n v="0.34"/>
    <x v="2"/>
    <n v="0.33329999999999999"/>
    <n v="0.46"/>
    <x v="1"/>
    <n v="0"/>
    <x v="0"/>
    <x v="33"/>
    <x v="167"/>
    <x v="177"/>
    <x v="2"/>
  </r>
  <r>
    <n v="819"/>
    <x v="36"/>
    <n v="1"/>
    <n v="0"/>
    <n v="2"/>
    <x v="13"/>
    <x v="3"/>
    <x v="0"/>
    <x v="1"/>
    <x v="0"/>
    <n v="0.34"/>
    <x v="2"/>
    <n v="0.36359999999999998"/>
    <n v="0.46"/>
    <x v="1"/>
    <n v="0"/>
    <x v="0"/>
    <x v="9"/>
    <x v="113"/>
    <x v="58"/>
    <x v="2"/>
  </r>
  <r>
    <n v="820"/>
    <x v="36"/>
    <n v="1"/>
    <n v="0"/>
    <n v="2"/>
    <x v="14"/>
    <x v="3"/>
    <x v="0"/>
    <x v="1"/>
    <x v="0"/>
    <n v="0.34"/>
    <x v="2"/>
    <n v="0.34849999999999998"/>
    <n v="0.46"/>
    <x v="1"/>
    <n v="8.9599999999999999E-2"/>
    <x v="0"/>
    <x v="9"/>
    <x v="156"/>
    <x v="143"/>
    <x v="2"/>
  </r>
  <r>
    <n v="821"/>
    <x v="36"/>
    <n v="1"/>
    <n v="0"/>
    <n v="2"/>
    <x v="15"/>
    <x v="3"/>
    <x v="0"/>
    <x v="1"/>
    <x v="0"/>
    <n v="0.34"/>
    <x v="2"/>
    <n v="0.34849999999999998"/>
    <n v="0.46"/>
    <x v="1"/>
    <n v="8.9599999999999999E-2"/>
    <x v="0"/>
    <x v="34"/>
    <x v="110"/>
    <x v="58"/>
    <x v="2"/>
  </r>
  <r>
    <n v="822"/>
    <x v="36"/>
    <n v="1"/>
    <n v="0"/>
    <n v="2"/>
    <x v="16"/>
    <x v="3"/>
    <x v="0"/>
    <x v="1"/>
    <x v="0"/>
    <n v="0.34"/>
    <x v="2"/>
    <n v="0.34849999999999998"/>
    <n v="0.49"/>
    <x v="1"/>
    <n v="0.1045"/>
    <x v="0"/>
    <x v="35"/>
    <x v="168"/>
    <x v="45"/>
    <x v="1"/>
  </r>
  <r>
    <n v="823"/>
    <x v="36"/>
    <n v="1"/>
    <n v="0"/>
    <n v="2"/>
    <x v="17"/>
    <x v="4"/>
    <x v="0"/>
    <x v="1"/>
    <x v="0"/>
    <n v="0.34"/>
    <x v="2"/>
    <n v="0.36359999999999998"/>
    <n v="0.46"/>
    <x v="1"/>
    <n v="0"/>
    <x v="0"/>
    <x v="31"/>
    <x v="106"/>
    <x v="178"/>
    <x v="1"/>
  </r>
  <r>
    <n v="824"/>
    <x v="36"/>
    <n v="1"/>
    <n v="0"/>
    <n v="2"/>
    <x v="18"/>
    <x v="4"/>
    <x v="0"/>
    <x v="1"/>
    <x v="0"/>
    <n v="0.3"/>
    <x v="1"/>
    <n v="0.30299999999999999"/>
    <n v="0.56000000000000005"/>
    <x v="1"/>
    <n v="0.16420000000000001"/>
    <x v="0"/>
    <x v="23"/>
    <x v="65"/>
    <x v="53"/>
    <x v="1"/>
  </r>
  <r>
    <n v="825"/>
    <x v="36"/>
    <n v="1"/>
    <n v="0"/>
    <n v="2"/>
    <x v="19"/>
    <x v="4"/>
    <x v="0"/>
    <x v="1"/>
    <x v="0"/>
    <n v="0.28000000000000003"/>
    <x v="1"/>
    <n v="0.28789999999999999"/>
    <n v="0.61"/>
    <x v="3"/>
    <n v="0.1343"/>
    <x v="0"/>
    <x v="5"/>
    <x v="32"/>
    <x v="137"/>
    <x v="0"/>
  </r>
  <r>
    <n v="826"/>
    <x v="36"/>
    <n v="1"/>
    <n v="0"/>
    <n v="2"/>
    <x v="20"/>
    <x v="4"/>
    <x v="0"/>
    <x v="1"/>
    <x v="0"/>
    <n v="0.28000000000000003"/>
    <x v="1"/>
    <n v="0.28789999999999999"/>
    <n v="0.61"/>
    <x v="3"/>
    <n v="0.1045"/>
    <x v="0"/>
    <x v="2"/>
    <x v="144"/>
    <x v="132"/>
    <x v="0"/>
  </r>
  <r>
    <n v="827"/>
    <x v="36"/>
    <n v="1"/>
    <n v="0"/>
    <n v="2"/>
    <x v="21"/>
    <x v="0"/>
    <x v="0"/>
    <x v="1"/>
    <x v="0"/>
    <n v="0.26"/>
    <x v="1"/>
    <n v="0.30299999999999999"/>
    <n v="0.6"/>
    <x v="3"/>
    <n v="0"/>
    <x v="0"/>
    <x v="2"/>
    <x v="97"/>
    <x v="110"/>
    <x v="0"/>
  </r>
  <r>
    <n v="828"/>
    <x v="36"/>
    <n v="1"/>
    <n v="0"/>
    <n v="2"/>
    <x v="22"/>
    <x v="0"/>
    <x v="0"/>
    <x v="1"/>
    <x v="0"/>
    <n v="0.26"/>
    <x v="1"/>
    <n v="0.30299999999999999"/>
    <n v="0.6"/>
    <x v="3"/>
    <n v="0"/>
    <x v="0"/>
    <x v="2"/>
    <x v="77"/>
    <x v="69"/>
    <x v="0"/>
  </r>
  <r>
    <n v="829"/>
    <x v="36"/>
    <n v="1"/>
    <n v="0"/>
    <n v="2"/>
    <x v="23"/>
    <x v="0"/>
    <x v="0"/>
    <x v="1"/>
    <x v="0"/>
    <n v="0.24"/>
    <x v="0"/>
    <n v="0.28789999999999999"/>
    <n v="0.65"/>
    <x v="0"/>
    <n v="0"/>
    <x v="0"/>
    <x v="17"/>
    <x v="16"/>
    <x v="33"/>
    <x v="0"/>
  </r>
  <r>
    <n v="830"/>
    <x v="37"/>
    <n v="1"/>
    <n v="0"/>
    <n v="2"/>
    <x v="0"/>
    <x v="0"/>
    <x v="0"/>
    <x v="2"/>
    <x v="0"/>
    <n v="0.24"/>
    <x v="0"/>
    <n v="0.28789999999999999"/>
    <n v="0.65"/>
    <x v="0"/>
    <n v="0"/>
    <x v="0"/>
    <x v="5"/>
    <x v="88"/>
    <x v="93"/>
    <x v="0"/>
  </r>
  <r>
    <n v="831"/>
    <x v="37"/>
    <n v="1"/>
    <n v="0"/>
    <n v="2"/>
    <x v="1"/>
    <x v="0"/>
    <x v="0"/>
    <x v="2"/>
    <x v="0"/>
    <n v="0.22"/>
    <x v="0"/>
    <n v="0.2727"/>
    <n v="0.75"/>
    <x v="0"/>
    <n v="0"/>
    <x v="0"/>
    <x v="5"/>
    <x v="22"/>
    <x v="36"/>
    <x v="0"/>
  </r>
  <r>
    <n v="832"/>
    <x v="37"/>
    <n v="1"/>
    <n v="0"/>
    <n v="2"/>
    <x v="2"/>
    <x v="0"/>
    <x v="0"/>
    <x v="2"/>
    <x v="0"/>
    <n v="0.2"/>
    <x v="0"/>
    <n v="0.2576"/>
    <n v="0.8"/>
    <x v="0"/>
    <n v="0"/>
    <x v="0"/>
    <x v="3"/>
    <x v="35"/>
    <x v="6"/>
    <x v="0"/>
  </r>
  <r>
    <n v="833"/>
    <x v="37"/>
    <n v="1"/>
    <n v="0"/>
    <n v="2"/>
    <x v="3"/>
    <x v="0"/>
    <x v="0"/>
    <x v="2"/>
    <x v="0"/>
    <n v="0.2"/>
    <x v="0"/>
    <n v="0.2576"/>
    <n v="0.86"/>
    <x v="0"/>
    <n v="0"/>
    <x v="0"/>
    <x v="3"/>
    <x v="4"/>
    <x v="4"/>
    <x v="0"/>
  </r>
  <r>
    <n v="834"/>
    <x v="37"/>
    <n v="1"/>
    <n v="0"/>
    <n v="2"/>
    <x v="4"/>
    <x v="1"/>
    <x v="0"/>
    <x v="2"/>
    <x v="0"/>
    <n v="0.2"/>
    <x v="0"/>
    <n v="0.2576"/>
    <n v="0.86"/>
    <x v="0"/>
    <n v="0"/>
    <x v="0"/>
    <x v="5"/>
    <x v="4"/>
    <x v="5"/>
    <x v="0"/>
  </r>
  <r>
    <n v="835"/>
    <x v="37"/>
    <n v="1"/>
    <n v="0"/>
    <n v="2"/>
    <x v="5"/>
    <x v="1"/>
    <x v="0"/>
    <x v="2"/>
    <x v="0"/>
    <n v="0.2"/>
    <x v="0"/>
    <n v="0.2576"/>
    <n v="0.86"/>
    <x v="0"/>
    <n v="0"/>
    <x v="0"/>
    <x v="5"/>
    <x v="33"/>
    <x v="98"/>
    <x v="0"/>
  </r>
  <r>
    <n v="836"/>
    <x v="37"/>
    <n v="1"/>
    <n v="0"/>
    <n v="2"/>
    <x v="6"/>
    <x v="1"/>
    <x v="0"/>
    <x v="2"/>
    <x v="0"/>
    <n v="0.18"/>
    <x v="0"/>
    <n v="0.2424"/>
    <n v="0.93"/>
    <x v="0"/>
    <n v="0"/>
    <x v="0"/>
    <x v="5"/>
    <x v="31"/>
    <x v="33"/>
    <x v="0"/>
  </r>
  <r>
    <n v="837"/>
    <x v="37"/>
    <n v="1"/>
    <n v="0"/>
    <n v="2"/>
    <x v="7"/>
    <x v="2"/>
    <x v="0"/>
    <x v="2"/>
    <x v="0"/>
    <n v="0.18"/>
    <x v="0"/>
    <n v="0.2424"/>
    <n v="0.86"/>
    <x v="0"/>
    <n v="0"/>
    <x v="0"/>
    <x v="15"/>
    <x v="121"/>
    <x v="76"/>
    <x v="1"/>
  </r>
  <r>
    <n v="838"/>
    <x v="37"/>
    <n v="1"/>
    <n v="0"/>
    <n v="2"/>
    <x v="8"/>
    <x v="2"/>
    <x v="0"/>
    <x v="2"/>
    <x v="1"/>
    <n v="0.16"/>
    <x v="0"/>
    <n v="0.2273"/>
    <n v="1"/>
    <x v="0"/>
    <n v="0"/>
    <x v="0"/>
    <x v="18"/>
    <x v="169"/>
    <x v="179"/>
    <x v="2"/>
  </r>
  <r>
    <n v="839"/>
    <x v="37"/>
    <n v="1"/>
    <n v="0"/>
    <n v="2"/>
    <x v="9"/>
    <x v="2"/>
    <x v="0"/>
    <x v="2"/>
    <x v="0"/>
    <n v="0.22"/>
    <x v="0"/>
    <n v="0.2727"/>
    <n v="0.8"/>
    <x v="0"/>
    <n v="0"/>
    <x v="0"/>
    <x v="0"/>
    <x v="168"/>
    <x v="130"/>
    <x v="1"/>
  </r>
  <r>
    <n v="840"/>
    <x v="37"/>
    <n v="1"/>
    <n v="0"/>
    <n v="2"/>
    <x v="10"/>
    <x v="2"/>
    <x v="0"/>
    <x v="2"/>
    <x v="0"/>
    <n v="0.24"/>
    <x v="0"/>
    <n v="0.2576"/>
    <n v="0.75"/>
    <x v="0"/>
    <n v="0.1045"/>
    <x v="0"/>
    <x v="15"/>
    <x v="47"/>
    <x v="97"/>
    <x v="0"/>
  </r>
  <r>
    <n v="841"/>
    <x v="37"/>
    <n v="1"/>
    <n v="0"/>
    <n v="2"/>
    <x v="11"/>
    <x v="3"/>
    <x v="0"/>
    <x v="2"/>
    <x v="0"/>
    <n v="0.3"/>
    <x v="1"/>
    <n v="0.31819999999999998"/>
    <n v="0.65"/>
    <x v="0"/>
    <n v="8.9599999999999999E-2"/>
    <x v="0"/>
    <x v="16"/>
    <x v="49"/>
    <x v="105"/>
    <x v="0"/>
  </r>
  <r>
    <n v="842"/>
    <x v="37"/>
    <n v="1"/>
    <n v="0"/>
    <n v="2"/>
    <x v="12"/>
    <x v="3"/>
    <x v="0"/>
    <x v="2"/>
    <x v="1"/>
    <n v="0.32"/>
    <x v="1"/>
    <n v="0.34849999999999998"/>
    <n v="0.62"/>
    <x v="0"/>
    <n v="0"/>
    <x v="0"/>
    <x v="18"/>
    <x v="79"/>
    <x v="180"/>
    <x v="0"/>
  </r>
  <r>
    <n v="843"/>
    <x v="37"/>
    <n v="1"/>
    <n v="0"/>
    <n v="2"/>
    <x v="13"/>
    <x v="3"/>
    <x v="0"/>
    <x v="2"/>
    <x v="1"/>
    <n v="0.36"/>
    <x v="2"/>
    <n v="0.36359999999999998"/>
    <n v="0.56999999999999995"/>
    <x v="1"/>
    <n v="8.9599999999999999E-2"/>
    <x v="0"/>
    <x v="22"/>
    <x v="25"/>
    <x v="37"/>
    <x v="0"/>
  </r>
  <r>
    <n v="844"/>
    <x v="37"/>
    <n v="1"/>
    <n v="0"/>
    <n v="2"/>
    <x v="14"/>
    <x v="3"/>
    <x v="0"/>
    <x v="2"/>
    <x v="1"/>
    <n v="0.36"/>
    <x v="2"/>
    <n v="0.36359999999999998"/>
    <n v="0.56999999999999995"/>
    <x v="1"/>
    <n v="8.9599999999999999E-2"/>
    <x v="0"/>
    <x v="1"/>
    <x v="15"/>
    <x v="122"/>
    <x v="0"/>
  </r>
  <r>
    <n v="845"/>
    <x v="37"/>
    <n v="1"/>
    <n v="0"/>
    <n v="2"/>
    <x v="15"/>
    <x v="3"/>
    <x v="0"/>
    <x v="2"/>
    <x v="1"/>
    <n v="0.38"/>
    <x v="2"/>
    <n v="0.39389999999999997"/>
    <n v="0.54"/>
    <x v="1"/>
    <n v="8.9599999999999999E-2"/>
    <x v="0"/>
    <x v="17"/>
    <x v="24"/>
    <x v="89"/>
    <x v="0"/>
  </r>
  <r>
    <n v="846"/>
    <x v="37"/>
    <n v="1"/>
    <n v="0"/>
    <n v="2"/>
    <x v="16"/>
    <x v="3"/>
    <x v="0"/>
    <x v="2"/>
    <x v="1"/>
    <n v="0.36"/>
    <x v="2"/>
    <n v="0.34849999999999998"/>
    <n v="0.56999999999999995"/>
    <x v="1"/>
    <n v="0.1343"/>
    <x v="0"/>
    <x v="19"/>
    <x v="52"/>
    <x v="181"/>
    <x v="1"/>
  </r>
  <r>
    <n v="847"/>
    <x v="37"/>
    <n v="1"/>
    <n v="0"/>
    <n v="2"/>
    <x v="17"/>
    <x v="4"/>
    <x v="0"/>
    <x v="2"/>
    <x v="1"/>
    <n v="0.32"/>
    <x v="1"/>
    <n v="0.31819999999999998"/>
    <n v="0.7"/>
    <x v="0"/>
    <n v="0.16420000000000001"/>
    <x v="0"/>
    <x v="14"/>
    <x v="134"/>
    <x v="182"/>
    <x v="2"/>
  </r>
  <r>
    <n v="848"/>
    <x v="37"/>
    <n v="1"/>
    <n v="0"/>
    <n v="2"/>
    <x v="18"/>
    <x v="4"/>
    <x v="0"/>
    <x v="2"/>
    <x v="1"/>
    <n v="0.34"/>
    <x v="2"/>
    <n v="0.33329999999999999"/>
    <n v="0.66"/>
    <x v="0"/>
    <n v="0.1343"/>
    <x v="0"/>
    <x v="2"/>
    <x v="162"/>
    <x v="172"/>
    <x v="2"/>
  </r>
  <r>
    <n v="849"/>
    <x v="37"/>
    <n v="1"/>
    <n v="0"/>
    <n v="2"/>
    <x v="19"/>
    <x v="4"/>
    <x v="0"/>
    <x v="2"/>
    <x v="1"/>
    <n v="0.32"/>
    <x v="1"/>
    <n v="0.34849999999999998"/>
    <n v="0.7"/>
    <x v="0"/>
    <n v="0"/>
    <x v="0"/>
    <x v="2"/>
    <x v="170"/>
    <x v="116"/>
    <x v="1"/>
  </r>
  <r>
    <n v="850"/>
    <x v="37"/>
    <n v="1"/>
    <n v="0"/>
    <n v="2"/>
    <x v="20"/>
    <x v="4"/>
    <x v="0"/>
    <x v="2"/>
    <x v="1"/>
    <n v="0.32"/>
    <x v="1"/>
    <n v="0.33329999999999999"/>
    <n v="0.7"/>
    <x v="0"/>
    <n v="0.1045"/>
    <x v="0"/>
    <x v="15"/>
    <x v="70"/>
    <x v="39"/>
    <x v="1"/>
  </r>
  <r>
    <n v="851"/>
    <x v="37"/>
    <n v="1"/>
    <n v="0"/>
    <n v="2"/>
    <x v="21"/>
    <x v="0"/>
    <x v="0"/>
    <x v="2"/>
    <x v="0"/>
    <n v="0.32"/>
    <x v="1"/>
    <n v="0.34849999999999998"/>
    <n v="0.7"/>
    <x v="0"/>
    <n v="0"/>
    <x v="0"/>
    <x v="0"/>
    <x v="102"/>
    <x v="53"/>
    <x v="1"/>
  </r>
  <r>
    <n v="852"/>
    <x v="37"/>
    <n v="1"/>
    <n v="0"/>
    <n v="2"/>
    <x v="22"/>
    <x v="0"/>
    <x v="0"/>
    <x v="2"/>
    <x v="0"/>
    <n v="0.28000000000000003"/>
    <x v="1"/>
    <n v="0.30299999999999999"/>
    <n v="0.81"/>
    <x v="0"/>
    <n v="8.9599999999999999E-2"/>
    <x v="0"/>
    <x v="0"/>
    <x v="60"/>
    <x v="18"/>
    <x v="0"/>
  </r>
  <r>
    <n v="853"/>
    <x v="37"/>
    <n v="1"/>
    <n v="0"/>
    <n v="2"/>
    <x v="23"/>
    <x v="0"/>
    <x v="0"/>
    <x v="2"/>
    <x v="1"/>
    <n v="0.3"/>
    <x v="1"/>
    <n v="0.33329999999999999"/>
    <n v="0.81"/>
    <x v="0"/>
    <n v="0"/>
    <x v="0"/>
    <x v="15"/>
    <x v="23"/>
    <x v="94"/>
    <x v="0"/>
  </r>
  <r>
    <n v="854"/>
    <x v="38"/>
    <n v="1"/>
    <n v="0"/>
    <n v="2"/>
    <x v="0"/>
    <x v="0"/>
    <x v="0"/>
    <x v="3"/>
    <x v="1"/>
    <n v="0.28000000000000003"/>
    <x v="1"/>
    <n v="0.31819999999999998"/>
    <n v="0.87"/>
    <x v="0"/>
    <n v="0"/>
    <x v="0"/>
    <x v="17"/>
    <x v="8"/>
    <x v="98"/>
    <x v="0"/>
  </r>
  <r>
    <n v="855"/>
    <x v="38"/>
    <n v="1"/>
    <n v="0"/>
    <n v="2"/>
    <x v="1"/>
    <x v="0"/>
    <x v="0"/>
    <x v="3"/>
    <x v="1"/>
    <n v="0.28000000000000003"/>
    <x v="1"/>
    <n v="0.31819999999999998"/>
    <n v="0.87"/>
    <x v="0"/>
    <n v="0"/>
    <x v="0"/>
    <x v="3"/>
    <x v="22"/>
    <x v="48"/>
    <x v="0"/>
  </r>
  <r>
    <n v="856"/>
    <x v="38"/>
    <n v="1"/>
    <n v="0"/>
    <n v="2"/>
    <x v="2"/>
    <x v="0"/>
    <x v="0"/>
    <x v="3"/>
    <x v="1"/>
    <n v="0.26"/>
    <x v="1"/>
    <n v="0.2727"/>
    <n v="0.93"/>
    <x v="0"/>
    <n v="0.1045"/>
    <x v="0"/>
    <x v="5"/>
    <x v="4"/>
    <x v="5"/>
    <x v="0"/>
  </r>
  <r>
    <n v="857"/>
    <x v="38"/>
    <n v="1"/>
    <n v="0"/>
    <n v="2"/>
    <x v="3"/>
    <x v="0"/>
    <x v="0"/>
    <x v="3"/>
    <x v="2"/>
    <n v="0.28000000000000003"/>
    <x v="1"/>
    <n v="0.2727"/>
    <n v="0.93"/>
    <x v="0"/>
    <n v="0.16420000000000001"/>
    <x v="0"/>
    <x v="3"/>
    <x v="4"/>
    <x v="4"/>
    <x v="0"/>
  </r>
  <r>
    <n v="858"/>
    <x v="38"/>
    <n v="1"/>
    <n v="0"/>
    <n v="2"/>
    <x v="4"/>
    <x v="1"/>
    <x v="0"/>
    <x v="3"/>
    <x v="0"/>
    <n v="0.26"/>
    <x v="1"/>
    <n v="0.2576"/>
    <n v="0.93"/>
    <x v="0"/>
    <n v="0.16420000000000001"/>
    <x v="0"/>
    <x v="3"/>
    <x v="35"/>
    <x v="6"/>
    <x v="0"/>
  </r>
  <r>
    <n v="859"/>
    <x v="38"/>
    <n v="1"/>
    <n v="0"/>
    <n v="2"/>
    <x v="5"/>
    <x v="1"/>
    <x v="0"/>
    <x v="3"/>
    <x v="0"/>
    <n v="0.26"/>
    <x v="1"/>
    <n v="0.2273"/>
    <n v="0.81"/>
    <x v="0"/>
    <n v="0.32840000000000003"/>
    <x v="1"/>
    <x v="3"/>
    <x v="6"/>
    <x v="5"/>
    <x v="0"/>
  </r>
  <r>
    <n v="860"/>
    <x v="38"/>
    <n v="1"/>
    <n v="0"/>
    <n v="2"/>
    <x v="6"/>
    <x v="1"/>
    <x v="0"/>
    <x v="3"/>
    <x v="0"/>
    <n v="0.26"/>
    <x v="1"/>
    <n v="0.2273"/>
    <n v="0.7"/>
    <x v="0"/>
    <n v="0.32840000000000003"/>
    <x v="1"/>
    <x v="3"/>
    <x v="87"/>
    <x v="21"/>
    <x v="0"/>
  </r>
  <r>
    <n v="861"/>
    <x v="38"/>
    <n v="1"/>
    <n v="0"/>
    <n v="2"/>
    <x v="7"/>
    <x v="2"/>
    <x v="0"/>
    <x v="3"/>
    <x v="0"/>
    <n v="0.24"/>
    <x v="0"/>
    <n v="0.19700000000000001"/>
    <n v="0.65"/>
    <x v="0"/>
    <n v="0.41789999999999999"/>
    <x v="2"/>
    <x v="0"/>
    <x v="106"/>
    <x v="50"/>
    <x v="1"/>
  </r>
  <r>
    <n v="862"/>
    <x v="38"/>
    <n v="1"/>
    <n v="0"/>
    <n v="2"/>
    <x v="8"/>
    <x v="2"/>
    <x v="0"/>
    <x v="3"/>
    <x v="0"/>
    <n v="0.24"/>
    <x v="0"/>
    <n v="0.19700000000000001"/>
    <n v="0.56000000000000005"/>
    <x v="1"/>
    <n v="0.49249999999999999"/>
    <x v="2"/>
    <x v="18"/>
    <x v="171"/>
    <x v="183"/>
    <x v="2"/>
  </r>
  <r>
    <n v="863"/>
    <x v="38"/>
    <n v="1"/>
    <n v="0"/>
    <n v="2"/>
    <x v="9"/>
    <x v="2"/>
    <x v="0"/>
    <x v="3"/>
    <x v="0"/>
    <n v="0.24"/>
    <x v="0"/>
    <n v="0.19700000000000001"/>
    <n v="0.52"/>
    <x v="1"/>
    <n v="0.49249999999999999"/>
    <x v="2"/>
    <x v="18"/>
    <x v="172"/>
    <x v="169"/>
    <x v="1"/>
  </r>
  <r>
    <n v="864"/>
    <x v="38"/>
    <n v="1"/>
    <n v="0"/>
    <n v="2"/>
    <x v="10"/>
    <x v="2"/>
    <x v="0"/>
    <x v="3"/>
    <x v="0"/>
    <n v="0.22"/>
    <x v="0"/>
    <n v="0.18179999999999999"/>
    <n v="0.47"/>
    <x v="1"/>
    <n v="0.55220000000000002"/>
    <x v="2"/>
    <x v="17"/>
    <x v="100"/>
    <x v="61"/>
    <x v="0"/>
  </r>
  <r>
    <n v="865"/>
    <x v="38"/>
    <n v="1"/>
    <n v="0"/>
    <n v="2"/>
    <x v="11"/>
    <x v="3"/>
    <x v="0"/>
    <x v="3"/>
    <x v="0"/>
    <n v="0.22"/>
    <x v="0"/>
    <n v="0.18179999999999999"/>
    <n v="0.47"/>
    <x v="1"/>
    <n v="0.4627"/>
    <x v="2"/>
    <x v="5"/>
    <x v="47"/>
    <x v="89"/>
    <x v="0"/>
  </r>
  <r>
    <n v="866"/>
    <x v="38"/>
    <n v="1"/>
    <n v="0"/>
    <n v="2"/>
    <x v="12"/>
    <x v="3"/>
    <x v="0"/>
    <x v="3"/>
    <x v="0"/>
    <n v="0.24"/>
    <x v="0"/>
    <n v="0.19700000000000001"/>
    <n v="0.38"/>
    <x v="2"/>
    <n v="0.49249999999999999"/>
    <x v="2"/>
    <x v="4"/>
    <x v="36"/>
    <x v="32"/>
    <x v="0"/>
  </r>
  <r>
    <n v="867"/>
    <x v="38"/>
    <n v="1"/>
    <n v="0"/>
    <n v="2"/>
    <x v="13"/>
    <x v="3"/>
    <x v="0"/>
    <x v="3"/>
    <x v="1"/>
    <n v="0.24"/>
    <x v="0"/>
    <n v="0.19700000000000001"/>
    <n v="0.32"/>
    <x v="2"/>
    <n v="0.44779999999999998"/>
    <x v="2"/>
    <x v="4"/>
    <x v="41"/>
    <x v="89"/>
    <x v="0"/>
  </r>
  <r>
    <n v="868"/>
    <x v="38"/>
    <n v="1"/>
    <n v="0"/>
    <n v="2"/>
    <x v="14"/>
    <x v="3"/>
    <x v="0"/>
    <x v="3"/>
    <x v="0"/>
    <n v="0.22"/>
    <x v="0"/>
    <n v="0.19700000000000001"/>
    <n v="0.37"/>
    <x v="2"/>
    <n v="0.41789999999999999"/>
    <x v="2"/>
    <x v="0"/>
    <x v="124"/>
    <x v="37"/>
    <x v="0"/>
  </r>
  <r>
    <n v="869"/>
    <x v="38"/>
    <n v="1"/>
    <n v="0"/>
    <n v="2"/>
    <x v="15"/>
    <x v="3"/>
    <x v="0"/>
    <x v="3"/>
    <x v="0"/>
    <n v="0.22"/>
    <x v="0"/>
    <n v="0.19700000000000001"/>
    <n v="0.35"/>
    <x v="2"/>
    <n v="0.3881"/>
    <x v="1"/>
    <x v="15"/>
    <x v="108"/>
    <x v="41"/>
    <x v="0"/>
  </r>
  <r>
    <n v="870"/>
    <x v="38"/>
    <n v="1"/>
    <n v="0"/>
    <n v="2"/>
    <x v="16"/>
    <x v="3"/>
    <x v="0"/>
    <x v="3"/>
    <x v="0"/>
    <n v="0.22"/>
    <x v="0"/>
    <n v="0.18179999999999999"/>
    <n v="0.35"/>
    <x v="2"/>
    <n v="0.52239999999999998"/>
    <x v="2"/>
    <x v="17"/>
    <x v="55"/>
    <x v="56"/>
    <x v="1"/>
  </r>
  <r>
    <n v="871"/>
    <x v="38"/>
    <n v="1"/>
    <n v="0"/>
    <n v="2"/>
    <x v="17"/>
    <x v="4"/>
    <x v="0"/>
    <x v="3"/>
    <x v="0"/>
    <n v="0.22"/>
    <x v="0"/>
    <n v="0.18179999999999999"/>
    <n v="0.32"/>
    <x v="2"/>
    <n v="0.58209999999999995"/>
    <x v="2"/>
    <x v="17"/>
    <x v="157"/>
    <x v="170"/>
    <x v="2"/>
  </r>
  <r>
    <n v="872"/>
    <x v="38"/>
    <n v="1"/>
    <n v="0"/>
    <n v="2"/>
    <x v="18"/>
    <x v="4"/>
    <x v="0"/>
    <x v="3"/>
    <x v="0"/>
    <n v="0.2"/>
    <x v="0"/>
    <n v="0.18179999999999999"/>
    <n v="0.32"/>
    <x v="2"/>
    <n v="0.3881"/>
    <x v="1"/>
    <x v="5"/>
    <x v="137"/>
    <x v="148"/>
    <x v="1"/>
  </r>
  <r>
    <n v="873"/>
    <x v="38"/>
    <n v="1"/>
    <n v="0"/>
    <n v="2"/>
    <x v="19"/>
    <x v="4"/>
    <x v="0"/>
    <x v="3"/>
    <x v="0"/>
    <n v="0.16"/>
    <x v="0"/>
    <n v="0.1212"/>
    <n v="0.4"/>
    <x v="2"/>
    <n v="0.4627"/>
    <x v="2"/>
    <x v="5"/>
    <x v="129"/>
    <x v="129"/>
    <x v="1"/>
  </r>
  <r>
    <n v="874"/>
    <x v="38"/>
    <n v="1"/>
    <n v="0"/>
    <n v="2"/>
    <x v="20"/>
    <x v="4"/>
    <x v="0"/>
    <x v="3"/>
    <x v="0"/>
    <n v="0.16"/>
    <x v="0"/>
    <n v="0.13639999999999999"/>
    <n v="0.4"/>
    <x v="2"/>
    <n v="0.32840000000000003"/>
    <x v="1"/>
    <x v="0"/>
    <x v="42"/>
    <x v="10"/>
    <x v="0"/>
  </r>
  <r>
    <n v="875"/>
    <x v="38"/>
    <n v="1"/>
    <n v="0"/>
    <n v="2"/>
    <x v="21"/>
    <x v="0"/>
    <x v="0"/>
    <x v="3"/>
    <x v="0"/>
    <n v="0.14000000000000001"/>
    <x v="3"/>
    <n v="0.1061"/>
    <n v="0.33"/>
    <x v="2"/>
    <n v="0.4627"/>
    <x v="2"/>
    <x v="1"/>
    <x v="24"/>
    <x v="60"/>
    <x v="0"/>
  </r>
  <r>
    <n v="876"/>
    <x v="38"/>
    <n v="1"/>
    <n v="0"/>
    <n v="2"/>
    <x v="22"/>
    <x v="0"/>
    <x v="0"/>
    <x v="3"/>
    <x v="0"/>
    <n v="0.12"/>
    <x v="3"/>
    <n v="0.1061"/>
    <n v="0.33"/>
    <x v="2"/>
    <n v="0.35820000000000002"/>
    <x v="1"/>
    <x v="3"/>
    <x v="31"/>
    <x v="115"/>
    <x v="0"/>
  </r>
  <r>
    <n v="877"/>
    <x v="38"/>
    <n v="1"/>
    <n v="0"/>
    <n v="2"/>
    <x v="23"/>
    <x v="0"/>
    <x v="0"/>
    <x v="3"/>
    <x v="0"/>
    <n v="0.12"/>
    <x v="3"/>
    <n v="0.1061"/>
    <n v="0.33"/>
    <x v="2"/>
    <n v="0.32840000000000003"/>
    <x v="1"/>
    <x v="0"/>
    <x v="33"/>
    <x v="47"/>
    <x v="0"/>
  </r>
  <r>
    <n v="878"/>
    <x v="39"/>
    <n v="1"/>
    <n v="0"/>
    <n v="2"/>
    <x v="0"/>
    <x v="0"/>
    <x v="0"/>
    <x v="4"/>
    <x v="0"/>
    <n v="0.1"/>
    <x v="3"/>
    <n v="7.5800000000000006E-2"/>
    <n v="0.36"/>
    <x v="2"/>
    <n v="0.35820000000000002"/>
    <x v="1"/>
    <x v="3"/>
    <x v="19"/>
    <x v="22"/>
    <x v="0"/>
  </r>
  <r>
    <n v="879"/>
    <x v="39"/>
    <n v="1"/>
    <n v="0"/>
    <n v="2"/>
    <x v="1"/>
    <x v="0"/>
    <x v="0"/>
    <x v="4"/>
    <x v="0"/>
    <n v="0.1"/>
    <x v="3"/>
    <n v="0.1061"/>
    <n v="0.36"/>
    <x v="2"/>
    <n v="0.22389999999999999"/>
    <x v="1"/>
    <x v="3"/>
    <x v="7"/>
    <x v="85"/>
    <x v="0"/>
  </r>
  <r>
    <n v="880"/>
    <x v="39"/>
    <n v="1"/>
    <n v="0"/>
    <n v="2"/>
    <x v="2"/>
    <x v="0"/>
    <x v="0"/>
    <x v="4"/>
    <x v="0"/>
    <n v="0.08"/>
    <x v="3"/>
    <n v="7.5800000000000006E-2"/>
    <n v="0.38"/>
    <x v="2"/>
    <n v="0.28360000000000002"/>
    <x v="1"/>
    <x v="5"/>
    <x v="6"/>
    <x v="6"/>
    <x v="0"/>
  </r>
  <r>
    <n v="881"/>
    <x v="39"/>
    <n v="1"/>
    <n v="0"/>
    <n v="2"/>
    <x v="3"/>
    <x v="0"/>
    <x v="0"/>
    <x v="4"/>
    <x v="0"/>
    <n v="0.06"/>
    <x v="3"/>
    <n v="7.5800000000000006E-2"/>
    <n v="0.45"/>
    <x v="1"/>
    <n v="0.1343"/>
    <x v="0"/>
    <x v="3"/>
    <x v="6"/>
    <x v="5"/>
    <x v="0"/>
  </r>
  <r>
    <n v="882"/>
    <x v="39"/>
    <n v="1"/>
    <n v="0"/>
    <n v="2"/>
    <x v="5"/>
    <x v="1"/>
    <x v="0"/>
    <x v="4"/>
    <x v="0"/>
    <n v="0.06"/>
    <x v="3"/>
    <n v="0.1061"/>
    <n v="0.45"/>
    <x v="1"/>
    <n v="0.1045"/>
    <x v="0"/>
    <x v="3"/>
    <x v="7"/>
    <x v="85"/>
    <x v="0"/>
  </r>
  <r>
    <n v="883"/>
    <x v="39"/>
    <n v="1"/>
    <n v="0"/>
    <n v="2"/>
    <x v="6"/>
    <x v="1"/>
    <x v="0"/>
    <x v="4"/>
    <x v="0"/>
    <n v="0.06"/>
    <x v="3"/>
    <n v="0.1515"/>
    <n v="0.45"/>
    <x v="1"/>
    <n v="0"/>
    <x v="0"/>
    <x v="3"/>
    <x v="30"/>
    <x v="74"/>
    <x v="0"/>
  </r>
  <r>
    <n v="884"/>
    <x v="39"/>
    <n v="1"/>
    <n v="0"/>
    <n v="2"/>
    <x v="7"/>
    <x v="2"/>
    <x v="0"/>
    <x v="4"/>
    <x v="0"/>
    <n v="0.06"/>
    <x v="3"/>
    <n v="0.1061"/>
    <n v="0.49"/>
    <x v="1"/>
    <n v="0.1045"/>
    <x v="0"/>
    <x v="17"/>
    <x v="73"/>
    <x v="111"/>
    <x v="1"/>
  </r>
  <r>
    <n v="885"/>
    <x v="39"/>
    <n v="1"/>
    <n v="0"/>
    <n v="2"/>
    <x v="8"/>
    <x v="2"/>
    <x v="0"/>
    <x v="4"/>
    <x v="0"/>
    <n v="0.1"/>
    <x v="3"/>
    <n v="0.13639999999999999"/>
    <n v="0.42"/>
    <x v="1"/>
    <n v="0"/>
    <x v="0"/>
    <x v="5"/>
    <x v="173"/>
    <x v="184"/>
    <x v="2"/>
  </r>
  <r>
    <n v="886"/>
    <x v="39"/>
    <n v="1"/>
    <n v="0"/>
    <n v="2"/>
    <x v="9"/>
    <x v="2"/>
    <x v="0"/>
    <x v="4"/>
    <x v="0"/>
    <n v="0.12"/>
    <x v="3"/>
    <n v="0.13639999999999999"/>
    <n v="0.39"/>
    <x v="2"/>
    <n v="0.16420000000000001"/>
    <x v="0"/>
    <x v="17"/>
    <x v="138"/>
    <x v="92"/>
    <x v="1"/>
  </r>
  <r>
    <n v="887"/>
    <x v="39"/>
    <n v="1"/>
    <n v="0"/>
    <n v="2"/>
    <x v="10"/>
    <x v="2"/>
    <x v="0"/>
    <x v="4"/>
    <x v="0"/>
    <n v="0.14000000000000001"/>
    <x v="3"/>
    <n v="0.18179999999999999"/>
    <n v="0.36"/>
    <x v="2"/>
    <n v="0"/>
    <x v="0"/>
    <x v="1"/>
    <x v="82"/>
    <x v="29"/>
    <x v="0"/>
  </r>
  <r>
    <n v="888"/>
    <x v="39"/>
    <n v="1"/>
    <n v="0"/>
    <n v="2"/>
    <x v="11"/>
    <x v="3"/>
    <x v="0"/>
    <x v="4"/>
    <x v="1"/>
    <n v="0.14000000000000001"/>
    <x v="3"/>
    <n v="0.1515"/>
    <n v="0.43"/>
    <x v="1"/>
    <n v="0.16420000000000001"/>
    <x v="0"/>
    <x v="5"/>
    <x v="71"/>
    <x v="102"/>
    <x v="0"/>
  </r>
  <r>
    <n v="889"/>
    <x v="39"/>
    <n v="1"/>
    <n v="0"/>
    <n v="2"/>
    <x v="12"/>
    <x v="3"/>
    <x v="0"/>
    <x v="4"/>
    <x v="1"/>
    <n v="0.18"/>
    <x v="0"/>
    <n v="0.18179999999999999"/>
    <n v="0.4"/>
    <x v="2"/>
    <n v="0.22389999999999999"/>
    <x v="1"/>
    <x v="17"/>
    <x v="77"/>
    <x v="42"/>
    <x v="0"/>
  </r>
  <r>
    <n v="890"/>
    <x v="39"/>
    <n v="1"/>
    <n v="0"/>
    <n v="2"/>
    <x v="13"/>
    <x v="3"/>
    <x v="0"/>
    <x v="4"/>
    <x v="0"/>
    <n v="0.18"/>
    <x v="0"/>
    <n v="0.16669999999999999"/>
    <n v="0.4"/>
    <x v="2"/>
    <n v="0.25369999999999998"/>
    <x v="1"/>
    <x v="4"/>
    <x v="28"/>
    <x v="83"/>
    <x v="0"/>
  </r>
  <r>
    <n v="891"/>
    <x v="39"/>
    <n v="1"/>
    <n v="0"/>
    <n v="2"/>
    <x v="14"/>
    <x v="3"/>
    <x v="0"/>
    <x v="4"/>
    <x v="0"/>
    <n v="0.2"/>
    <x v="0"/>
    <n v="0.18179999999999999"/>
    <n v="0.34"/>
    <x v="2"/>
    <n v="0.29849999999999999"/>
    <x v="1"/>
    <x v="4"/>
    <x v="90"/>
    <x v="154"/>
    <x v="0"/>
  </r>
  <r>
    <n v="892"/>
    <x v="39"/>
    <n v="1"/>
    <n v="0"/>
    <n v="2"/>
    <x v="15"/>
    <x v="3"/>
    <x v="0"/>
    <x v="4"/>
    <x v="1"/>
    <n v="0.2"/>
    <x v="0"/>
    <n v="0.18179999999999999"/>
    <n v="0.34"/>
    <x v="2"/>
    <n v="0.28360000000000002"/>
    <x v="1"/>
    <x v="0"/>
    <x v="124"/>
    <x v="37"/>
    <x v="0"/>
  </r>
  <r>
    <n v="893"/>
    <x v="39"/>
    <n v="1"/>
    <n v="0"/>
    <n v="2"/>
    <x v="16"/>
    <x v="3"/>
    <x v="0"/>
    <x v="4"/>
    <x v="1"/>
    <n v="0.2"/>
    <x v="0"/>
    <n v="0.19700000000000001"/>
    <n v="0.37"/>
    <x v="2"/>
    <n v="0.25369999999999998"/>
    <x v="1"/>
    <x v="18"/>
    <x v="109"/>
    <x v="67"/>
    <x v="1"/>
  </r>
  <r>
    <n v="894"/>
    <x v="39"/>
    <n v="1"/>
    <n v="0"/>
    <n v="2"/>
    <x v="17"/>
    <x v="4"/>
    <x v="0"/>
    <x v="4"/>
    <x v="1"/>
    <n v="0.2"/>
    <x v="0"/>
    <n v="0.19700000000000001"/>
    <n v="0.34"/>
    <x v="2"/>
    <n v="0.25369999999999998"/>
    <x v="1"/>
    <x v="14"/>
    <x v="174"/>
    <x v="150"/>
    <x v="2"/>
  </r>
  <r>
    <n v="895"/>
    <x v="39"/>
    <n v="1"/>
    <n v="0"/>
    <n v="2"/>
    <x v="18"/>
    <x v="4"/>
    <x v="0"/>
    <x v="4"/>
    <x v="1"/>
    <n v="0.18"/>
    <x v="0"/>
    <n v="0.16669999999999999"/>
    <n v="0.47"/>
    <x v="1"/>
    <n v="0.29849999999999999"/>
    <x v="1"/>
    <x v="4"/>
    <x v="175"/>
    <x v="185"/>
    <x v="2"/>
  </r>
  <r>
    <n v="896"/>
    <x v="39"/>
    <n v="1"/>
    <n v="0"/>
    <n v="2"/>
    <x v="19"/>
    <x v="4"/>
    <x v="0"/>
    <x v="4"/>
    <x v="2"/>
    <n v="0.14000000000000001"/>
    <x v="3"/>
    <n v="0.1212"/>
    <n v="0.86"/>
    <x v="0"/>
    <n v="0.25369999999999998"/>
    <x v="1"/>
    <x v="5"/>
    <x v="61"/>
    <x v="39"/>
    <x v="1"/>
  </r>
  <r>
    <n v="897"/>
    <x v="39"/>
    <n v="1"/>
    <n v="0"/>
    <n v="2"/>
    <x v="20"/>
    <x v="4"/>
    <x v="0"/>
    <x v="4"/>
    <x v="2"/>
    <n v="0.14000000000000001"/>
    <x v="3"/>
    <n v="0.1515"/>
    <n v="0.86"/>
    <x v="0"/>
    <n v="0.16420000000000001"/>
    <x v="0"/>
    <x v="3"/>
    <x v="151"/>
    <x v="11"/>
    <x v="1"/>
  </r>
  <r>
    <n v="898"/>
    <x v="39"/>
    <n v="1"/>
    <n v="0"/>
    <n v="2"/>
    <x v="21"/>
    <x v="0"/>
    <x v="0"/>
    <x v="4"/>
    <x v="1"/>
    <n v="0.14000000000000001"/>
    <x v="3"/>
    <n v="0.1515"/>
    <n v="0.86"/>
    <x v="0"/>
    <n v="0.16420000000000001"/>
    <x v="0"/>
    <x v="3"/>
    <x v="93"/>
    <x v="56"/>
    <x v="1"/>
  </r>
  <r>
    <n v="899"/>
    <x v="39"/>
    <n v="1"/>
    <n v="0"/>
    <n v="2"/>
    <x v="22"/>
    <x v="0"/>
    <x v="0"/>
    <x v="4"/>
    <x v="2"/>
    <n v="0.16"/>
    <x v="0"/>
    <n v="0.16669999999999999"/>
    <n v="0.8"/>
    <x v="0"/>
    <n v="0.16420000000000001"/>
    <x v="0"/>
    <x v="17"/>
    <x v="76"/>
    <x v="66"/>
    <x v="0"/>
  </r>
  <r>
    <n v="900"/>
    <x v="39"/>
    <n v="1"/>
    <n v="0"/>
    <n v="2"/>
    <x v="23"/>
    <x v="0"/>
    <x v="0"/>
    <x v="4"/>
    <x v="2"/>
    <n v="0.16"/>
    <x v="0"/>
    <n v="0.1515"/>
    <n v="0.8"/>
    <x v="0"/>
    <n v="0.19400000000000001"/>
    <x v="0"/>
    <x v="3"/>
    <x v="53"/>
    <x v="18"/>
    <x v="0"/>
  </r>
  <r>
    <n v="901"/>
    <x v="40"/>
    <n v="1"/>
    <n v="0"/>
    <n v="2"/>
    <x v="0"/>
    <x v="0"/>
    <x v="0"/>
    <x v="5"/>
    <x v="2"/>
    <n v="0.14000000000000001"/>
    <x v="3"/>
    <n v="0.13639999999999999"/>
    <n v="0.86"/>
    <x v="0"/>
    <n v="0.19400000000000001"/>
    <x v="0"/>
    <x v="3"/>
    <x v="20"/>
    <x v="0"/>
    <x v="0"/>
  </r>
  <r>
    <n v="902"/>
    <x v="40"/>
    <n v="1"/>
    <n v="0"/>
    <n v="2"/>
    <x v="1"/>
    <x v="0"/>
    <x v="0"/>
    <x v="5"/>
    <x v="2"/>
    <n v="0.14000000000000001"/>
    <x v="3"/>
    <n v="0.1515"/>
    <n v="0.8"/>
    <x v="0"/>
    <n v="0.1343"/>
    <x v="0"/>
    <x v="3"/>
    <x v="7"/>
    <x v="85"/>
    <x v="0"/>
  </r>
  <r>
    <n v="903"/>
    <x v="40"/>
    <n v="1"/>
    <n v="0"/>
    <n v="2"/>
    <x v="2"/>
    <x v="0"/>
    <x v="0"/>
    <x v="5"/>
    <x v="2"/>
    <n v="0.14000000000000001"/>
    <x v="3"/>
    <n v="0.1515"/>
    <n v="0.8"/>
    <x v="0"/>
    <n v="0.1343"/>
    <x v="0"/>
    <x v="3"/>
    <x v="35"/>
    <x v="6"/>
    <x v="0"/>
  </r>
  <r>
    <n v="904"/>
    <x v="40"/>
    <n v="1"/>
    <n v="0"/>
    <n v="2"/>
    <x v="4"/>
    <x v="1"/>
    <x v="0"/>
    <x v="5"/>
    <x v="1"/>
    <n v="0.14000000000000001"/>
    <x v="3"/>
    <n v="0.13639999999999999"/>
    <n v="0.59"/>
    <x v="1"/>
    <n v="0.22389999999999999"/>
    <x v="1"/>
    <x v="3"/>
    <x v="4"/>
    <x v="4"/>
    <x v="0"/>
  </r>
  <r>
    <n v="905"/>
    <x v="40"/>
    <n v="1"/>
    <n v="0"/>
    <n v="2"/>
    <x v="5"/>
    <x v="1"/>
    <x v="0"/>
    <x v="5"/>
    <x v="1"/>
    <n v="0.12"/>
    <x v="3"/>
    <n v="0.1212"/>
    <n v="0.5"/>
    <x v="1"/>
    <n v="0.22389999999999999"/>
    <x v="1"/>
    <x v="3"/>
    <x v="8"/>
    <x v="24"/>
    <x v="0"/>
  </r>
  <r>
    <n v="906"/>
    <x v="40"/>
    <n v="1"/>
    <n v="0"/>
    <n v="2"/>
    <x v="6"/>
    <x v="1"/>
    <x v="0"/>
    <x v="5"/>
    <x v="1"/>
    <n v="0.12"/>
    <x v="3"/>
    <n v="0.1212"/>
    <n v="0.54"/>
    <x v="1"/>
    <n v="0.28360000000000002"/>
    <x v="1"/>
    <x v="3"/>
    <x v="16"/>
    <x v="132"/>
    <x v="0"/>
  </r>
  <r>
    <n v="907"/>
    <x v="40"/>
    <n v="1"/>
    <n v="0"/>
    <n v="2"/>
    <x v="7"/>
    <x v="2"/>
    <x v="0"/>
    <x v="5"/>
    <x v="0"/>
    <n v="0.1"/>
    <x v="3"/>
    <n v="7.5800000000000006E-2"/>
    <n v="0.5"/>
    <x v="1"/>
    <n v="0.41789999999999999"/>
    <x v="2"/>
    <x v="3"/>
    <x v="176"/>
    <x v="111"/>
    <x v="1"/>
  </r>
  <r>
    <n v="908"/>
    <x v="40"/>
    <n v="1"/>
    <n v="0"/>
    <n v="2"/>
    <x v="8"/>
    <x v="2"/>
    <x v="0"/>
    <x v="5"/>
    <x v="0"/>
    <n v="0.1"/>
    <x v="3"/>
    <n v="7.5800000000000006E-2"/>
    <n v="0.49"/>
    <x v="1"/>
    <n v="0.32840000000000003"/>
    <x v="1"/>
    <x v="2"/>
    <x v="177"/>
    <x v="106"/>
    <x v="2"/>
  </r>
  <r>
    <n v="909"/>
    <x v="40"/>
    <n v="1"/>
    <n v="0"/>
    <n v="2"/>
    <x v="9"/>
    <x v="2"/>
    <x v="0"/>
    <x v="5"/>
    <x v="0"/>
    <n v="0.12"/>
    <x v="3"/>
    <n v="0.1061"/>
    <n v="0.42"/>
    <x v="1"/>
    <n v="0.35820000000000002"/>
    <x v="1"/>
    <x v="5"/>
    <x v="178"/>
    <x v="78"/>
    <x v="1"/>
  </r>
  <r>
    <n v="910"/>
    <x v="40"/>
    <n v="1"/>
    <n v="0"/>
    <n v="2"/>
    <x v="10"/>
    <x v="2"/>
    <x v="0"/>
    <x v="5"/>
    <x v="0"/>
    <n v="0.12"/>
    <x v="3"/>
    <n v="0.1061"/>
    <n v="0.42"/>
    <x v="1"/>
    <n v="0.29849999999999999"/>
    <x v="1"/>
    <x v="5"/>
    <x v="60"/>
    <x v="17"/>
    <x v="0"/>
  </r>
  <r>
    <n v="911"/>
    <x v="40"/>
    <n v="1"/>
    <n v="0"/>
    <n v="2"/>
    <x v="11"/>
    <x v="3"/>
    <x v="0"/>
    <x v="5"/>
    <x v="0"/>
    <n v="0.14000000000000001"/>
    <x v="3"/>
    <n v="0.1212"/>
    <n v="0.39"/>
    <x v="2"/>
    <n v="0.35820000000000002"/>
    <x v="1"/>
    <x v="5"/>
    <x v="100"/>
    <x v="79"/>
    <x v="0"/>
  </r>
  <r>
    <n v="912"/>
    <x v="40"/>
    <n v="1"/>
    <n v="0"/>
    <n v="2"/>
    <x v="12"/>
    <x v="3"/>
    <x v="0"/>
    <x v="5"/>
    <x v="0"/>
    <n v="0.16"/>
    <x v="0"/>
    <n v="0.13639999999999999"/>
    <n v="0.34"/>
    <x v="2"/>
    <n v="0.3881"/>
    <x v="1"/>
    <x v="17"/>
    <x v="65"/>
    <x v="83"/>
    <x v="0"/>
  </r>
  <r>
    <n v="913"/>
    <x v="40"/>
    <n v="1"/>
    <n v="0"/>
    <n v="2"/>
    <x v="13"/>
    <x v="3"/>
    <x v="0"/>
    <x v="5"/>
    <x v="0"/>
    <n v="0.18"/>
    <x v="0"/>
    <n v="0.16669999999999999"/>
    <n v="0.28999999999999998"/>
    <x v="2"/>
    <n v="0.29849999999999999"/>
    <x v="1"/>
    <x v="0"/>
    <x v="79"/>
    <x v="69"/>
    <x v="0"/>
  </r>
  <r>
    <n v="914"/>
    <x v="40"/>
    <n v="1"/>
    <n v="0"/>
    <n v="2"/>
    <x v="14"/>
    <x v="3"/>
    <x v="0"/>
    <x v="5"/>
    <x v="0"/>
    <n v="0.2"/>
    <x v="0"/>
    <n v="0.18179999999999999"/>
    <n v="0.27"/>
    <x v="2"/>
    <n v="0.28360000000000002"/>
    <x v="1"/>
    <x v="15"/>
    <x v="76"/>
    <x v="61"/>
    <x v="0"/>
  </r>
  <r>
    <n v="915"/>
    <x v="40"/>
    <n v="1"/>
    <n v="0"/>
    <n v="2"/>
    <x v="15"/>
    <x v="3"/>
    <x v="0"/>
    <x v="5"/>
    <x v="0"/>
    <n v="0.2"/>
    <x v="0"/>
    <n v="0.19700000000000001"/>
    <n v="0.25"/>
    <x v="2"/>
    <n v="0.25369999999999998"/>
    <x v="1"/>
    <x v="3"/>
    <x v="54"/>
    <x v="89"/>
    <x v="0"/>
  </r>
  <r>
    <n v="916"/>
    <x v="40"/>
    <n v="1"/>
    <n v="0"/>
    <n v="2"/>
    <x v="16"/>
    <x v="3"/>
    <x v="0"/>
    <x v="5"/>
    <x v="0"/>
    <n v="0.2"/>
    <x v="0"/>
    <n v="0.18179999999999999"/>
    <n v="0.27"/>
    <x v="2"/>
    <n v="0.29849999999999999"/>
    <x v="1"/>
    <x v="17"/>
    <x v="83"/>
    <x v="138"/>
    <x v="1"/>
  </r>
  <r>
    <n v="917"/>
    <x v="40"/>
    <n v="1"/>
    <n v="0"/>
    <n v="2"/>
    <x v="17"/>
    <x v="4"/>
    <x v="0"/>
    <x v="5"/>
    <x v="0"/>
    <n v="0.18"/>
    <x v="0"/>
    <n v="0.18179999999999999"/>
    <n v="0.26"/>
    <x v="2"/>
    <n v="0.19400000000000001"/>
    <x v="0"/>
    <x v="15"/>
    <x v="136"/>
    <x v="186"/>
    <x v="2"/>
  </r>
  <r>
    <n v="918"/>
    <x v="40"/>
    <n v="1"/>
    <n v="0"/>
    <n v="2"/>
    <x v="18"/>
    <x v="4"/>
    <x v="0"/>
    <x v="5"/>
    <x v="0"/>
    <n v="0.16"/>
    <x v="0"/>
    <n v="0.18179999999999999"/>
    <n v="0.28000000000000003"/>
    <x v="2"/>
    <n v="0.1343"/>
    <x v="0"/>
    <x v="0"/>
    <x v="174"/>
    <x v="187"/>
    <x v="1"/>
  </r>
  <r>
    <n v="919"/>
    <x v="40"/>
    <n v="1"/>
    <n v="0"/>
    <n v="2"/>
    <x v="19"/>
    <x v="4"/>
    <x v="0"/>
    <x v="5"/>
    <x v="0"/>
    <n v="0.14000000000000001"/>
    <x v="3"/>
    <n v="0.16669999999999999"/>
    <n v="0.28000000000000003"/>
    <x v="2"/>
    <n v="0.1045"/>
    <x v="0"/>
    <x v="4"/>
    <x v="59"/>
    <x v="59"/>
    <x v="1"/>
  </r>
  <r>
    <n v="920"/>
    <x v="40"/>
    <n v="1"/>
    <n v="0"/>
    <n v="2"/>
    <x v="20"/>
    <x v="4"/>
    <x v="0"/>
    <x v="5"/>
    <x v="0"/>
    <n v="0.14000000000000001"/>
    <x v="3"/>
    <n v="0.18179999999999999"/>
    <n v="0.31"/>
    <x v="2"/>
    <n v="8.9599999999999999E-2"/>
    <x v="0"/>
    <x v="17"/>
    <x v="139"/>
    <x v="54"/>
    <x v="1"/>
  </r>
  <r>
    <n v="921"/>
    <x v="40"/>
    <n v="1"/>
    <n v="0"/>
    <n v="2"/>
    <x v="21"/>
    <x v="0"/>
    <x v="0"/>
    <x v="5"/>
    <x v="0"/>
    <n v="0.14000000000000001"/>
    <x v="3"/>
    <n v="0.21210000000000001"/>
    <n v="0.39"/>
    <x v="2"/>
    <n v="0"/>
    <x v="0"/>
    <x v="4"/>
    <x v="14"/>
    <x v="44"/>
    <x v="1"/>
  </r>
  <r>
    <n v="922"/>
    <x v="40"/>
    <n v="1"/>
    <n v="0"/>
    <n v="2"/>
    <x v="22"/>
    <x v="0"/>
    <x v="0"/>
    <x v="5"/>
    <x v="0"/>
    <n v="0.12"/>
    <x v="3"/>
    <n v="0.19700000000000001"/>
    <n v="0.39"/>
    <x v="2"/>
    <n v="0"/>
    <x v="0"/>
    <x v="17"/>
    <x v="12"/>
    <x v="41"/>
    <x v="0"/>
  </r>
  <r>
    <n v="923"/>
    <x v="40"/>
    <n v="1"/>
    <n v="0"/>
    <n v="2"/>
    <x v="23"/>
    <x v="0"/>
    <x v="0"/>
    <x v="5"/>
    <x v="0"/>
    <n v="0.12"/>
    <x v="3"/>
    <n v="0.1515"/>
    <n v="0.42"/>
    <x v="1"/>
    <n v="0.1045"/>
    <x v="0"/>
    <x v="5"/>
    <x v="39"/>
    <x v="19"/>
    <x v="0"/>
  </r>
  <r>
    <n v="924"/>
    <x v="41"/>
    <n v="1"/>
    <n v="0"/>
    <n v="2"/>
    <x v="0"/>
    <x v="0"/>
    <x v="0"/>
    <x v="6"/>
    <x v="0"/>
    <n v="0.1"/>
    <x v="3"/>
    <n v="0.13639999999999999"/>
    <n v="0.49"/>
    <x v="1"/>
    <n v="0.1045"/>
    <x v="0"/>
    <x v="4"/>
    <x v="98"/>
    <x v="8"/>
    <x v="0"/>
  </r>
  <r>
    <n v="925"/>
    <x v="41"/>
    <n v="1"/>
    <n v="0"/>
    <n v="2"/>
    <x v="1"/>
    <x v="0"/>
    <x v="0"/>
    <x v="6"/>
    <x v="0"/>
    <n v="0.1"/>
    <x v="3"/>
    <n v="0.13639999999999999"/>
    <n v="0.54"/>
    <x v="1"/>
    <n v="8.9599999999999999E-2"/>
    <x v="0"/>
    <x v="5"/>
    <x v="8"/>
    <x v="85"/>
    <x v="0"/>
  </r>
  <r>
    <n v="926"/>
    <x v="41"/>
    <n v="1"/>
    <n v="0"/>
    <n v="2"/>
    <x v="2"/>
    <x v="0"/>
    <x v="0"/>
    <x v="6"/>
    <x v="0"/>
    <n v="0.1"/>
    <x v="3"/>
    <n v="0.13639999999999999"/>
    <n v="0.54"/>
    <x v="1"/>
    <n v="8.9599999999999999E-2"/>
    <x v="0"/>
    <x v="3"/>
    <x v="35"/>
    <x v="6"/>
    <x v="0"/>
  </r>
  <r>
    <n v="927"/>
    <x v="41"/>
    <n v="1"/>
    <n v="0"/>
    <n v="2"/>
    <x v="5"/>
    <x v="1"/>
    <x v="0"/>
    <x v="6"/>
    <x v="0"/>
    <n v="0.08"/>
    <x v="3"/>
    <n v="0.1212"/>
    <n v="0.63"/>
    <x v="0"/>
    <n v="8.9599999999999999E-2"/>
    <x v="0"/>
    <x v="3"/>
    <x v="22"/>
    <x v="48"/>
    <x v="0"/>
  </r>
  <r>
    <n v="928"/>
    <x v="41"/>
    <n v="1"/>
    <n v="0"/>
    <n v="2"/>
    <x v="6"/>
    <x v="1"/>
    <x v="0"/>
    <x v="6"/>
    <x v="0"/>
    <n v="0.1"/>
    <x v="3"/>
    <n v="0.18179999999999999"/>
    <n v="0.68"/>
    <x v="0"/>
    <n v="0"/>
    <x v="0"/>
    <x v="5"/>
    <x v="140"/>
    <x v="108"/>
    <x v="0"/>
  </r>
  <r>
    <n v="929"/>
    <x v="41"/>
    <n v="1"/>
    <n v="0"/>
    <n v="2"/>
    <x v="7"/>
    <x v="2"/>
    <x v="0"/>
    <x v="6"/>
    <x v="0"/>
    <n v="0.08"/>
    <x v="3"/>
    <n v="0.16669999999999999"/>
    <n v="0.73"/>
    <x v="0"/>
    <n v="0"/>
    <x v="0"/>
    <x v="5"/>
    <x v="26"/>
    <x v="30"/>
    <x v="1"/>
  </r>
  <r>
    <n v="930"/>
    <x v="41"/>
    <n v="1"/>
    <n v="0"/>
    <n v="2"/>
    <x v="8"/>
    <x v="2"/>
    <x v="0"/>
    <x v="6"/>
    <x v="0"/>
    <n v="0.1"/>
    <x v="3"/>
    <n v="0.1212"/>
    <n v="0.74"/>
    <x v="0"/>
    <n v="0.16420000000000001"/>
    <x v="0"/>
    <x v="17"/>
    <x v="179"/>
    <x v="182"/>
    <x v="2"/>
  </r>
  <r>
    <n v="931"/>
    <x v="41"/>
    <n v="1"/>
    <n v="0"/>
    <n v="2"/>
    <x v="9"/>
    <x v="2"/>
    <x v="0"/>
    <x v="6"/>
    <x v="0"/>
    <n v="0.12"/>
    <x v="3"/>
    <n v="0.1212"/>
    <n v="0.74"/>
    <x v="0"/>
    <n v="0.22389999999999999"/>
    <x v="1"/>
    <x v="1"/>
    <x v="126"/>
    <x v="188"/>
    <x v="1"/>
  </r>
  <r>
    <n v="932"/>
    <x v="41"/>
    <n v="1"/>
    <n v="0"/>
    <n v="2"/>
    <x v="10"/>
    <x v="2"/>
    <x v="0"/>
    <x v="6"/>
    <x v="0"/>
    <n v="0.14000000000000001"/>
    <x v="3"/>
    <n v="0.13639999999999999"/>
    <n v="0.69"/>
    <x v="0"/>
    <n v="0.19400000000000001"/>
    <x v="0"/>
    <x v="2"/>
    <x v="87"/>
    <x v="40"/>
    <x v="0"/>
  </r>
  <r>
    <n v="933"/>
    <x v="41"/>
    <n v="1"/>
    <n v="0"/>
    <n v="2"/>
    <x v="11"/>
    <x v="3"/>
    <x v="0"/>
    <x v="6"/>
    <x v="0"/>
    <n v="0.22"/>
    <x v="0"/>
    <n v="0.2273"/>
    <n v="0.47"/>
    <x v="1"/>
    <n v="0.1343"/>
    <x v="0"/>
    <x v="6"/>
    <x v="15"/>
    <x v="37"/>
    <x v="0"/>
  </r>
  <r>
    <n v="934"/>
    <x v="41"/>
    <n v="1"/>
    <n v="0"/>
    <n v="2"/>
    <x v="12"/>
    <x v="3"/>
    <x v="0"/>
    <x v="6"/>
    <x v="0"/>
    <n v="0.22"/>
    <x v="0"/>
    <n v="0.2273"/>
    <n v="0.47"/>
    <x v="1"/>
    <n v="0.1343"/>
    <x v="0"/>
    <x v="18"/>
    <x v="27"/>
    <x v="68"/>
    <x v="1"/>
  </r>
  <r>
    <n v="935"/>
    <x v="41"/>
    <n v="1"/>
    <n v="0"/>
    <n v="2"/>
    <x v="13"/>
    <x v="3"/>
    <x v="0"/>
    <x v="6"/>
    <x v="0"/>
    <n v="0.24"/>
    <x v="0"/>
    <n v="0.2273"/>
    <n v="0.35"/>
    <x v="2"/>
    <n v="0.19400000000000001"/>
    <x v="0"/>
    <x v="27"/>
    <x v="121"/>
    <x v="14"/>
    <x v="1"/>
  </r>
  <r>
    <n v="936"/>
    <x v="41"/>
    <n v="1"/>
    <n v="0"/>
    <n v="2"/>
    <x v="14"/>
    <x v="3"/>
    <x v="0"/>
    <x v="6"/>
    <x v="0"/>
    <n v="0.3"/>
    <x v="1"/>
    <n v="0.28789999999999999"/>
    <n v="0.26"/>
    <x v="2"/>
    <n v="0.25369999999999998"/>
    <x v="1"/>
    <x v="26"/>
    <x v="28"/>
    <x v="11"/>
    <x v="1"/>
  </r>
  <r>
    <n v="937"/>
    <x v="41"/>
    <n v="1"/>
    <n v="0"/>
    <n v="2"/>
    <x v="15"/>
    <x v="3"/>
    <x v="0"/>
    <x v="6"/>
    <x v="0"/>
    <n v="0.32"/>
    <x v="1"/>
    <n v="0.31819999999999998"/>
    <n v="0.21"/>
    <x v="2"/>
    <n v="0.16420000000000001"/>
    <x v="0"/>
    <x v="6"/>
    <x v="133"/>
    <x v="30"/>
    <x v="1"/>
  </r>
  <r>
    <n v="938"/>
    <x v="41"/>
    <n v="1"/>
    <n v="0"/>
    <n v="2"/>
    <x v="16"/>
    <x v="3"/>
    <x v="0"/>
    <x v="6"/>
    <x v="0"/>
    <n v="0.3"/>
    <x v="1"/>
    <n v="0.28789999999999999"/>
    <n v="0.28000000000000003"/>
    <x v="2"/>
    <n v="0.19400000000000001"/>
    <x v="0"/>
    <x v="24"/>
    <x v="180"/>
    <x v="139"/>
    <x v="1"/>
  </r>
  <r>
    <n v="939"/>
    <x v="41"/>
    <n v="1"/>
    <n v="0"/>
    <n v="2"/>
    <x v="17"/>
    <x v="4"/>
    <x v="0"/>
    <x v="6"/>
    <x v="0"/>
    <n v="0.3"/>
    <x v="1"/>
    <n v="0.33329999999999999"/>
    <n v="0.24"/>
    <x v="2"/>
    <n v="0"/>
    <x v="0"/>
    <x v="25"/>
    <x v="181"/>
    <x v="189"/>
    <x v="2"/>
  </r>
  <r>
    <n v="940"/>
    <x v="41"/>
    <n v="1"/>
    <n v="0"/>
    <n v="2"/>
    <x v="18"/>
    <x v="4"/>
    <x v="0"/>
    <x v="6"/>
    <x v="0"/>
    <n v="0.28000000000000003"/>
    <x v="1"/>
    <n v="0.31819999999999998"/>
    <n v="0.28000000000000003"/>
    <x v="2"/>
    <n v="0"/>
    <x v="0"/>
    <x v="14"/>
    <x v="158"/>
    <x v="177"/>
    <x v="2"/>
  </r>
  <r>
    <n v="941"/>
    <x v="41"/>
    <n v="1"/>
    <n v="0"/>
    <n v="2"/>
    <x v="19"/>
    <x v="4"/>
    <x v="0"/>
    <x v="6"/>
    <x v="0"/>
    <n v="0.26"/>
    <x v="1"/>
    <n v="0.30299999999999999"/>
    <n v="0.33"/>
    <x v="2"/>
    <n v="0"/>
    <x v="0"/>
    <x v="18"/>
    <x v="111"/>
    <x v="129"/>
    <x v="1"/>
  </r>
  <r>
    <n v="942"/>
    <x v="41"/>
    <n v="1"/>
    <n v="0"/>
    <n v="2"/>
    <x v="20"/>
    <x v="4"/>
    <x v="0"/>
    <x v="6"/>
    <x v="0"/>
    <n v="0.22"/>
    <x v="0"/>
    <n v="0.2273"/>
    <n v="0.55000000000000004"/>
    <x v="1"/>
    <n v="0.1343"/>
    <x v="0"/>
    <x v="4"/>
    <x v="124"/>
    <x v="55"/>
    <x v="0"/>
  </r>
  <r>
    <n v="943"/>
    <x v="41"/>
    <n v="1"/>
    <n v="0"/>
    <n v="2"/>
    <x v="21"/>
    <x v="0"/>
    <x v="0"/>
    <x v="6"/>
    <x v="0"/>
    <n v="0.2"/>
    <x v="0"/>
    <n v="0.21210000000000001"/>
    <n v="0.59"/>
    <x v="1"/>
    <n v="0.1343"/>
    <x v="0"/>
    <x v="5"/>
    <x v="24"/>
    <x v="105"/>
    <x v="0"/>
  </r>
  <r>
    <n v="944"/>
    <x v="41"/>
    <n v="1"/>
    <n v="0"/>
    <n v="2"/>
    <x v="22"/>
    <x v="0"/>
    <x v="0"/>
    <x v="6"/>
    <x v="0"/>
    <n v="0.2"/>
    <x v="0"/>
    <n v="0.2273"/>
    <n v="0.64"/>
    <x v="0"/>
    <n v="8.9599999999999999E-2"/>
    <x v="0"/>
    <x v="4"/>
    <x v="40"/>
    <x v="74"/>
    <x v="0"/>
  </r>
  <r>
    <n v="945"/>
    <x v="41"/>
    <n v="1"/>
    <n v="0"/>
    <n v="2"/>
    <x v="23"/>
    <x v="0"/>
    <x v="0"/>
    <x v="6"/>
    <x v="0"/>
    <n v="0.18"/>
    <x v="0"/>
    <n v="0.2424"/>
    <n v="0.69"/>
    <x v="0"/>
    <n v="0"/>
    <x v="0"/>
    <x v="2"/>
    <x v="41"/>
    <x v="26"/>
    <x v="0"/>
  </r>
  <r>
    <n v="946"/>
    <x v="42"/>
    <n v="1"/>
    <n v="0"/>
    <n v="2"/>
    <x v="0"/>
    <x v="0"/>
    <x v="0"/>
    <x v="0"/>
    <x v="0"/>
    <n v="0.16"/>
    <x v="0"/>
    <n v="0.19700000000000001"/>
    <n v="0.69"/>
    <x v="0"/>
    <n v="8.9599999999999999E-2"/>
    <x v="0"/>
    <x v="0"/>
    <x v="2"/>
    <x v="33"/>
    <x v="0"/>
  </r>
  <r>
    <n v="947"/>
    <x v="42"/>
    <n v="1"/>
    <n v="0"/>
    <n v="2"/>
    <x v="1"/>
    <x v="0"/>
    <x v="0"/>
    <x v="0"/>
    <x v="0"/>
    <n v="0.14000000000000001"/>
    <x v="3"/>
    <n v="0.21210000000000001"/>
    <n v="0.86"/>
    <x v="0"/>
    <n v="0"/>
    <x v="0"/>
    <x v="4"/>
    <x v="97"/>
    <x v="108"/>
    <x v="0"/>
  </r>
  <r>
    <n v="948"/>
    <x v="42"/>
    <n v="1"/>
    <n v="0"/>
    <n v="2"/>
    <x v="2"/>
    <x v="0"/>
    <x v="0"/>
    <x v="0"/>
    <x v="0"/>
    <n v="0.14000000000000001"/>
    <x v="3"/>
    <n v="0.21210000000000001"/>
    <n v="0.8"/>
    <x v="0"/>
    <n v="0"/>
    <x v="0"/>
    <x v="4"/>
    <x v="0"/>
    <x v="93"/>
    <x v="0"/>
  </r>
  <r>
    <n v="949"/>
    <x v="42"/>
    <n v="1"/>
    <n v="0"/>
    <n v="2"/>
    <x v="3"/>
    <x v="0"/>
    <x v="0"/>
    <x v="0"/>
    <x v="0"/>
    <n v="0.12"/>
    <x v="3"/>
    <n v="0.19700000000000001"/>
    <n v="0.8"/>
    <x v="0"/>
    <n v="0"/>
    <x v="0"/>
    <x v="0"/>
    <x v="7"/>
    <x v="98"/>
    <x v="0"/>
  </r>
  <r>
    <n v="950"/>
    <x v="42"/>
    <n v="1"/>
    <n v="0"/>
    <n v="2"/>
    <x v="4"/>
    <x v="1"/>
    <x v="0"/>
    <x v="0"/>
    <x v="0"/>
    <n v="0.12"/>
    <x v="3"/>
    <n v="0.16669999999999999"/>
    <n v="0.74"/>
    <x v="0"/>
    <n v="8.9599999999999999E-2"/>
    <x v="0"/>
    <x v="3"/>
    <x v="22"/>
    <x v="48"/>
    <x v="0"/>
  </r>
  <r>
    <n v="951"/>
    <x v="42"/>
    <n v="1"/>
    <n v="0"/>
    <n v="2"/>
    <x v="5"/>
    <x v="1"/>
    <x v="0"/>
    <x v="0"/>
    <x v="0"/>
    <n v="0.12"/>
    <x v="3"/>
    <n v="0.16669999999999999"/>
    <n v="0.74"/>
    <x v="0"/>
    <n v="8.9599999999999999E-2"/>
    <x v="0"/>
    <x v="3"/>
    <x v="4"/>
    <x v="4"/>
    <x v="0"/>
  </r>
  <r>
    <n v="952"/>
    <x v="42"/>
    <n v="1"/>
    <n v="0"/>
    <n v="2"/>
    <x v="6"/>
    <x v="1"/>
    <x v="0"/>
    <x v="0"/>
    <x v="0"/>
    <n v="0.12"/>
    <x v="3"/>
    <n v="0.13639999999999999"/>
    <n v="0.93"/>
    <x v="0"/>
    <n v="0.19400000000000001"/>
    <x v="0"/>
    <x v="5"/>
    <x v="4"/>
    <x v="5"/>
    <x v="0"/>
  </r>
  <r>
    <n v="953"/>
    <x v="42"/>
    <n v="1"/>
    <n v="0"/>
    <n v="2"/>
    <x v="7"/>
    <x v="2"/>
    <x v="0"/>
    <x v="0"/>
    <x v="0"/>
    <n v="0.12"/>
    <x v="3"/>
    <n v="0.1515"/>
    <n v="0.8"/>
    <x v="0"/>
    <n v="0.1045"/>
    <x v="0"/>
    <x v="4"/>
    <x v="33"/>
    <x v="62"/>
    <x v="0"/>
  </r>
  <r>
    <n v="954"/>
    <x v="42"/>
    <n v="1"/>
    <n v="0"/>
    <n v="2"/>
    <x v="8"/>
    <x v="2"/>
    <x v="0"/>
    <x v="0"/>
    <x v="0"/>
    <n v="0.14000000000000001"/>
    <x v="3"/>
    <n v="0.1515"/>
    <n v="0.86"/>
    <x v="0"/>
    <n v="0.1343"/>
    <x v="0"/>
    <x v="4"/>
    <x v="95"/>
    <x v="33"/>
    <x v="0"/>
  </r>
  <r>
    <n v="955"/>
    <x v="42"/>
    <n v="1"/>
    <n v="0"/>
    <n v="2"/>
    <x v="9"/>
    <x v="2"/>
    <x v="0"/>
    <x v="0"/>
    <x v="0"/>
    <n v="0.16"/>
    <x v="0"/>
    <n v="0.18179999999999999"/>
    <n v="0.64"/>
    <x v="0"/>
    <n v="0.1343"/>
    <x v="0"/>
    <x v="2"/>
    <x v="101"/>
    <x v="74"/>
    <x v="0"/>
  </r>
  <r>
    <n v="956"/>
    <x v="42"/>
    <n v="1"/>
    <n v="0"/>
    <n v="2"/>
    <x v="10"/>
    <x v="2"/>
    <x v="0"/>
    <x v="0"/>
    <x v="0"/>
    <n v="0.22"/>
    <x v="0"/>
    <n v="0.21210000000000001"/>
    <n v="0.41"/>
    <x v="1"/>
    <n v="0.25369999999999998"/>
    <x v="1"/>
    <x v="23"/>
    <x v="13"/>
    <x v="11"/>
    <x v="1"/>
  </r>
  <r>
    <n v="957"/>
    <x v="42"/>
    <n v="1"/>
    <n v="0"/>
    <n v="2"/>
    <x v="11"/>
    <x v="3"/>
    <x v="0"/>
    <x v="0"/>
    <x v="0"/>
    <n v="0.3"/>
    <x v="1"/>
    <n v="0.2727"/>
    <n v="0.28000000000000003"/>
    <x v="2"/>
    <n v="0.32840000000000003"/>
    <x v="1"/>
    <x v="36"/>
    <x v="151"/>
    <x v="181"/>
    <x v="1"/>
  </r>
  <r>
    <n v="958"/>
    <x v="42"/>
    <n v="1"/>
    <n v="0"/>
    <n v="2"/>
    <x v="12"/>
    <x v="3"/>
    <x v="0"/>
    <x v="0"/>
    <x v="0"/>
    <n v="0.3"/>
    <x v="1"/>
    <n v="0.2727"/>
    <n v="0.39"/>
    <x v="2"/>
    <n v="0.4627"/>
    <x v="2"/>
    <x v="37"/>
    <x v="139"/>
    <x v="151"/>
    <x v="1"/>
  </r>
  <r>
    <n v="959"/>
    <x v="42"/>
    <n v="1"/>
    <n v="0"/>
    <n v="2"/>
    <x v="13"/>
    <x v="3"/>
    <x v="0"/>
    <x v="0"/>
    <x v="0"/>
    <n v="0.3"/>
    <x v="1"/>
    <n v="0.2727"/>
    <n v="0.39"/>
    <x v="2"/>
    <n v="0.41789999999999999"/>
    <x v="2"/>
    <x v="38"/>
    <x v="145"/>
    <x v="169"/>
    <x v="1"/>
  </r>
  <r>
    <n v="960"/>
    <x v="42"/>
    <n v="1"/>
    <n v="0"/>
    <n v="2"/>
    <x v="14"/>
    <x v="3"/>
    <x v="0"/>
    <x v="0"/>
    <x v="0"/>
    <n v="0.34"/>
    <x v="2"/>
    <n v="0.31819999999999998"/>
    <n v="0.31"/>
    <x v="2"/>
    <n v="0.28360000000000002"/>
    <x v="1"/>
    <x v="36"/>
    <x v="92"/>
    <x v="151"/>
    <x v="1"/>
  </r>
  <r>
    <n v="961"/>
    <x v="42"/>
    <n v="1"/>
    <n v="0"/>
    <n v="2"/>
    <x v="15"/>
    <x v="3"/>
    <x v="0"/>
    <x v="0"/>
    <x v="0"/>
    <n v="0.34"/>
    <x v="2"/>
    <n v="0.30299999999999999"/>
    <n v="0.28999999999999998"/>
    <x v="2"/>
    <n v="0.41789999999999999"/>
    <x v="2"/>
    <x v="9"/>
    <x v="69"/>
    <x v="177"/>
    <x v="2"/>
  </r>
  <r>
    <n v="962"/>
    <x v="42"/>
    <n v="1"/>
    <n v="0"/>
    <n v="2"/>
    <x v="16"/>
    <x v="3"/>
    <x v="0"/>
    <x v="0"/>
    <x v="0"/>
    <n v="0.34"/>
    <x v="2"/>
    <n v="0.30299999999999999"/>
    <n v="0.28999999999999998"/>
    <x v="2"/>
    <n v="0.41789999999999999"/>
    <x v="2"/>
    <x v="35"/>
    <x v="145"/>
    <x v="190"/>
    <x v="1"/>
  </r>
  <r>
    <n v="963"/>
    <x v="42"/>
    <n v="1"/>
    <n v="0"/>
    <n v="2"/>
    <x v="17"/>
    <x v="4"/>
    <x v="0"/>
    <x v="0"/>
    <x v="0"/>
    <n v="0.32"/>
    <x v="1"/>
    <n v="0.28789999999999999"/>
    <n v="0.31"/>
    <x v="2"/>
    <n v="0.52239999999999998"/>
    <x v="2"/>
    <x v="31"/>
    <x v="182"/>
    <x v="120"/>
    <x v="1"/>
  </r>
  <r>
    <n v="964"/>
    <x v="42"/>
    <n v="1"/>
    <n v="0"/>
    <n v="2"/>
    <x v="18"/>
    <x v="4"/>
    <x v="0"/>
    <x v="0"/>
    <x v="0"/>
    <n v="0.28000000000000003"/>
    <x v="1"/>
    <n v="0.2576"/>
    <n v="0.38"/>
    <x v="2"/>
    <n v="0.32840000000000003"/>
    <x v="1"/>
    <x v="17"/>
    <x v="91"/>
    <x v="37"/>
    <x v="0"/>
  </r>
  <r>
    <n v="965"/>
    <x v="42"/>
    <n v="1"/>
    <n v="0"/>
    <n v="2"/>
    <x v="19"/>
    <x v="4"/>
    <x v="0"/>
    <x v="0"/>
    <x v="0"/>
    <n v="0.28000000000000003"/>
    <x v="1"/>
    <n v="0.2727"/>
    <n v="0.38"/>
    <x v="2"/>
    <n v="0.16420000000000001"/>
    <x v="0"/>
    <x v="4"/>
    <x v="87"/>
    <x v="102"/>
    <x v="0"/>
  </r>
  <r>
    <n v="966"/>
    <x v="42"/>
    <n v="1"/>
    <n v="0"/>
    <n v="2"/>
    <x v="20"/>
    <x v="4"/>
    <x v="0"/>
    <x v="0"/>
    <x v="0"/>
    <n v="0.26"/>
    <x v="1"/>
    <n v="0.2576"/>
    <n v="0.41"/>
    <x v="1"/>
    <n v="0.22389999999999999"/>
    <x v="1"/>
    <x v="5"/>
    <x v="87"/>
    <x v="1"/>
    <x v="0"/>
  </r>
  <r>
    <n v="967"/>
    <x v="42"/>
    <n v="1"/>
    <n v="0"/>
    <n v="2"/>
    <x v="21"/>
    <x v="0"/>
    <x v="0"/>
    <x v="0"/>
    <x v="0"/>
    <n v="0.26"/>
    <x v="1"/>
    <n v="0.30299999999999999"/>
    <n v="0.41"/>
    <x v="1"/>
    <n v="0"/>
    <x v="0"/>
    <x v="14"/>
    <x v="76"/>
    <x v="41"/>
    <x v="0"/>
  </r>
  <r>
    <n v="968"/>
    <x v="42"/>
    <n v="1"/>
    <n v="0"/>
    <n v="2"/>
    <x v="22"/>
    <x v="0"/>
    <x v="0"/>
    <x v="0"/>
    <x v="0"/>
    <n v="0.24"/>
    <x v="0"/>
    <n v="0.2576"/>
    <n v="0.44"/>
    <x v="1"/>
    <n v="8.9599999999999999E-2"/>
    <x v="0"/>
    <x v="15"/>
    <x v="87"/>
    <x v="79"/>
    <x v="0"/>
  </r>
  <r>
    <n v="969"/>
    <x v="42"/>
    <n v="1"/>
    <n v="0"/>
    <n v="2"/>
    <x v="23"/>
    <x v="0"/>
    <x v="0"/>
    <x v="0"/>
    <x v="0"/>
    <n v="0.22"/>
    <x v="0"/>
    <n v="0.2273"/>
    <n v="0.51"/>
    <x v="1"/>
    <n v="0.1343"/>
    <x v="0"/>
    <x v="5"/>
    <x v="17"/>
    <x v="2"/>
    <x v="0"/>
  </r>
  <r>
    <n v="970"/>
    <x v="43"/>
    <n v="1"/>
    <n v="0"/>
    <n v="2"/>
    <x v="0"/>
    <x v="0"/>
    <x v="0"/>
    <x v="1"/>
    <x v="0"/>
    <n v="0.2"/>
    <x v="0"/>
    <n v="0.2273"/>
    <n v="0.64"/>
    <x v="0"/>
    <n v="0.1045"/>
    <x v="0"/>
    <x v="2"/>
    <x v="60"/>
    <x v="21"/>
    <x v="0"/>
  </r>
  <r>
    <n v="971"/>
    <x v="43"/>
    <n v="1"/>
    <n v="0"/>
    <n v="2"/>
    <x v="1"/>
    <x v="0"/>
    <x v="0"/>
    <x v="1"/>
    <x v="0"/>
    <n v="0.2"/>
    <x v="0"/>
    <n v="0.2273"/>
    <n v="0.59"/>
    <x v="1"/>
    <n v="8.9599999999999999E-2"/>
    <x v="0"/>
    <x v="5"/>
    <x v="140"/>
    <x v="108"/>
    <x v="0"/>
  </r>
  <r>
    <n v="972"/>
    <x v="43"/>
    <n v="1"/>
    <n v="0"/>
    <n v="2"/>
    <x v="2"/>
    <x v="0"/>
    <x v="0"/>
    <x v="1"/>
    <x v="1"/>
    <n v="0.2"/>
    <x v="0"/>
    <n v="0.2273"/>
    <n v="0.75"/>
    <x v="0"/>
    <n v="8.9599999999999999E-2"/>
    <x v="0"/>
    <x v="5"/>
    <x v="23"/>
    <x v="25"/>
    <x v="0"/>
  </r>
  <r>
    <n v="973"/>
    <x v="43"/>
    <n v="1"/>
    <n v="0"/>
    <n v="2"/>
    <x v="3"/>
    <x v="0"/>
    <x v="0"/>
    <x v="1"/>
    <x v="1"/>
    <n v="0.2"/>
    <x v="0"/>
    <n v="0.2273"/>
    <n v="0.69"/>
    <x v="0"/>
    <n v="0.1045"/>
    <x v="0"/>
    <x v="17"/>
    <x v="21"/>
    <x v="47"/>
    <x v="0"/>
  </r>
  <r>
    <n v="974"/>
    <x v="43"/>
    <n v="1"/>
    <n v="0"/>
    <n v="2"/>
    <x v="4"/>
    <x v="1"/>
    <x v="0"/>
    <x v="1"/>
    <x v="1"/>
    <n v="0.2"/>
    <x v="0"/>
    <n v="0.21210000000000001"/>
    <n v="0.69"/>
    <x v="0"/>
    <n v="0.16420000000000001"/>
    <x v="0"/>
    <x v="3"/>
    <x v="6"/>
    <x v="5"/>
    <x v="0"/>
  </r>
  <r>
    <n v="975"/>
    <x v="43"/>
    <n v="1"/>
    <n v="0"/>
    <n v="2"/>
    <x v="6"/>
    <x v="1"/>
    <x v="0"/>
    <x v="1"/>
    <x v="1"/>
    <n v="0.2"/>
    <x v="0"/>
    <n v="0.21210000000000001"/>
    <n v="0.69"/>
    <x v="0"/>
    <n v="0.1343"/>
    <x v="0"/>
    <x v="4"/>
    <x v="35"/>
    <x v="36"/>
    <x v="0"/>
  </r>
  <r>
    <n v="976"/>
    <x v="43"/>
    <n v="1"/>
    <n v="0"/>
    <n v="2"/>
    <x v="7"/>
    <x v="2"/>
    <x v="0"/>
    <x v="1"/>
    <x v="1"/>
    <n v="0.22"/>
    <x v="0"/>
    <n v="0.2727"/>
    <n v="0.55000000000000004"/>
    <x v="1"/>
    <n v="0"/>
    <x v="0"/>
    <x v="3"/>
    <x v="35"/>
    <x v="6"/>
    <x v="0"/>
  </r>
  <r>
    <n v="977"/>
    <x v="43"/>
    <n v="1"/>
    <n v="0"/>
    <n v="2"/>
    <x v="8"/>
    <x v="2"/>
    <x v="0"/>
    <x v="1"/>
    <x v="1"/>
    <n v="0.22"/>
    <x v="0"/>
    <n v="0.2273"/>
    <n v="0.64"/>
    <x v="0"/>
    <n v="0.19400000000000001"/>
    <x v="0"/>
    <x v="5"/>
    <x v="48"/>
    <x v="47"/>
    <x v="0"/>
  </r>
  <r>
    <n v="978"/>
    <x v="43"/>
    <n v="1"/>
    <n v="0"/>
    <n v="2"/>
    <x v="9"/>
    <x v="2"/>
    <x v="0"/>
    <x v="1"/>
    <x v="1"/>
    <n v="0.24"/>
    <x v="0"/>
    <n v="0.2273"/>
    <n v="0.6"/>
    <x v="3"/>
    <n v="0.22389999999999999"/>
    <x v="1"/>
    <x v="6"/>
    <x v="96"/>
    <x v="105"/>
    <x v="0"/>
  </r>
  <r>
    <n v="979"/>
    <x v="43"/>
    <n v="1"/>
    <n v="0"/>
    <n v="2"/>
    <x v="10"/>
    <x v="2"/>
    <x v="0"/>
    <x v="1"/>
    <x v="0"/>
    <n v="0.3"/>
    <x v="1"/>
    <n v="0.2727"/>
    <n v="0.45"/>
    <x v="1"/>
    <n v="0.32840000000000003"/>
    <x v="1"/>
    <x v="21"/>
    <x v="132"/>
    <x v="136"/>
    <x v="1"/>
  </r>
  <r>
    <n v="980"/>
    <x v="43"/>
    <n v="1"/>
    <n v="0"/>
    <n v="2"/>
    <x v="11"/>
    <x v="3"/>
    <x v="0"/>
    <x v="1"/>
    <x v="0"/>
    <n v="0.32"/>
    <x v="1"/>
    <n v="0.28789999999999999"/>
    <n v="0.39"/>
    <x v="2"/>
    <n v="0.44779999999999998"/>
    <x v="2"/>
    <x v="7"/>
    <x v="132"/>
    <x v="59"/>
    <x v="1"/>
  </r>
  <r>
    <n v="981"/>
    <x v="43"/>
    <n v="1"/>
    <n v="0"/>
    <n v="2"/>
    <x v="12"/>
    <x v="3"/>
    <x v="0"/>
    <x v="1"/>
    <x v="0"/>
    <n v="0.36"/>
    <x v="2"/>
    <n v="0.31819999999999998"/>
    <n v="0.32"/>
    <x v="2"/>
    <n v="0.4627"/>
    <x v="2"/>
    <x v="39"/>
    <x v="111"/>
    <x v="148"/>
    <x v="1"/>
  </r>
  <r>
    <n v="982"/>
    <x v="43"/>
    <n v="1"/>
    <n v="0"/>
    <n v="2"/>
    <x v="13"/>
    <x v="3"/>
    <x v="0"/>
    <x v="1"/>
    <x v="0"/>
    <n v="0.38"/>
    <x v="2"/>
    <n v="0.39389999999999997"/>
    <n v="0.28999999999999998"/>
    <x v="2"/>
    <n v="0.35820000000000002"/>
    <x v="1"/>
    <x v="40"/>
    <x v="50"/>
    <x v="38"/>
    <x v="1"/>
  </r>
  <r>
    <n v="983"/>
    <x v="43"/>
    <n v="1"/>
    <n v="0"/>
    <n v="2"/>
    <x v="14"/>
    <x v="3"/>
    <x v="0"/>
    <x v="1"/>
    <x v="1"/>
    <n v="0.4"/>
    <x v="2"/>
    <n v="0.40910000000000002"/>
    <n v="0.3"/>
    <x v="2"/>
    <n v="0.41789999999999999"/>
    <x v="2"/>
    <x v="41"/>
    <x v="59"/>
    <x v="143"/>
    <x v="2"/>
  </r>
  <r>
    <n v="984"/>
    <x v="43"/>
    <n v="1"/>
    <n v="0"/>
    <n v="2"/>
    <x v="15"/>
    <x v="3"/>
    <x v="0"/>
    <x v="1"/>
    <x v="1"/>
    <n v="0.4"/>
    <x v="2"/>
    <n v="0.40910000000000002"/>
    <n v="0.3"/>
    <x v="2"/>
    <n v="0.29849999999999999"/>
    <x v="1"/>
    <x v="11"/>
    <x v="183"/>
    <x v="123"/>
    <x v="2"/>
  </r>
  <r>
    <n v="985"/>
    <x v="43"/>
    <n v="1"/>
    <n v="0"/>
    <n v="2"/>
    <x v="16"/>
    <x v="3"/>
    <x v="0"/>
    <x v="1"/>
    <x v="1"/>
    <n v="0.42"/>
    <x v="2"/>
    <n v="0.42420000000000002"/>
    <n v="0.28000000000000003"/>
    <x v="2"/>
    <n v="0.32840000000000003"/>
    <x v="1"/>
    <x v="32"/>
    <x v="184"/>
    <x v="87"/>
    <x v="1"/>
  </r>
  <r>
    <n v="986"/>
    <x v="43"/>
    <n v="1"/>
    <n v="0"/>
    <n v="2"/>
    <x v="17"/>
    <x v="4"/>
    <x v="0"/>
    <x v="1"/>
    <x v="0"/>
    <n v="0.42"/>
    <x v="2"/>
    <n v="0.42420000000000002"/>
    <n v="0.28000000000000003"/>
    <x v="2"/>
    <n v="0.32840000000000003"/>
    <x v="1"/>
    <x v="36"/>
    <x v="73"/>
    <x v="139"/>
    <x v="1"/>
  </r>
  <r>
    <n v="987"/>
    <x v="43"/>
    <n v="1"/>
    <n v="0"/>
    <n v="2"/>
    <x v="18"/>
    <x v="4"/>
    <x v="0"/>
    <x v="1"/>
    <x v="0"/>
    <n v="0.4"/>
    <x v="2"/>
    <n v="0.40910000000000002"/>
    <n v="0.32"/>
    <x v="2"/>
    <n v="0.29849999999999999"/>
    <x v="1"/>
    <x v="26"/>
    <x v="78"/>
    <x v="76"/>
    <x v="1"/>
  </r>
  <r>
    <n v="988"/>
    <x v="43"/>
    <n v="1"/>
    <n v="0"/>
    <n v="2"/>
    <x v="19"/>
    <x v="4"/>
    <x v="0"/>
    <x v="1"/>
    <x v="0"/>
    <n v="0.4"/>
    <x v="2"/>
    <n v="0.40910000000000002"/>
    <n v="0.35"/>
    <x v="2"/>
    <n v="0.28360000000000002"/>
    <x v="1"/>
    <x v="16"/>
    <x v="54"/>
    <x v="42"/>
    <x v="0"/>
  </r>
  <r>
    <n v="989"/>
    <x v="43"/>
    <n v="1"/>
    <n v="0"/>
    <n v="2"/>
    <x v="20"/>
    <x v="4"/>
    <x v="0"/>
    <x v="1"/>
    <x v="0"/>
    <n v="0.4"/>
    <x v="2"/>
    <n v="0.40910000000000002"/>
    <n v="0.35"/>
    <x v="2"/>
    <n v="0.32840000000000003"/>
    <x v="1"/>
    <x v="13"/>
    <x v="1"/>
    <x v="105"/>
    <x v="0"/>
  </r>
  <r>
    <n v="990"/>
    <x v="43"/>
    <n v="1"/>
    <n v="0"/>
    <n v="2"/>
    <x v="21"/>
    <x v="0"/>
    <x v="0"/>
    <x v="1"/>
    <x v="0"/>
    <n v="0.4"/>
    <x v="2"/>
    <n v="0.40910000000000002"/>
    <n v="0.35"/>
    <x v="2"/>
    <n v="0.35820000000000002"/>
    <x v="1"/>
    <x v="15"/>
    <x v="108"/>
    <x v="41"/>
    <x v="0"/>
  </r>
  <r>
    <n v="991"/>
    <x v="43"/>
    <n v="1"/>
    <n v="0"/>
    <n v="2"/>
    <x v="22"/>
    <x v="0"/>
    <x v="0"/>
    <x v="1"/>
    <x v="0"/>
    <n v="0.4"/>
    <x v="2"/>
    <n v="0.40910000000000002"/>
    <n v="0.35"/>
    <x v="2"/>
    <n v="0.29849999999999999"/>
    <x v="1"/>
    <x v="2"/>
    <x v="17"/>
    <x v="9"/>
    <x v="0"/>
  </r>
  <r>
    <n v="992"/>
    <x v="43"/>
    <n v="1"/>
    <n v="0"/>
    <n v="2"/>
    <x v="23"/>
    <x v="0"/>
    <x v="0"/>
    <x v="1"/>
    <x v="0"/>
    <n v="0.4"/>
    <x v="2"/>
    <n v="0.40910000000000002"/>
    <n v="0.35"/>
    <x v="2"/>
    <n v="0.35820000000000002"/>
    <x v="1"/>
    <x v="0"/>
    <x v="2"/>
    <x v="33"/>
    <x v="0"/>
  </r>
  <r>
    <n v="993"/>
    <x v="44"/>
    <n v="1"/>
    <n v="0"/>
    <n v="2"/>
    <x v="0"/>
    <x v="0"/>
    <x v="0"/>
    <x v="2"/>
    <x v="0"/>
    <n v="0.38"/>
    <x v="2"/>
    <n v="0.39389999999999997"/>
    <n v="0.37"/>
    <x v="2"/>
    <n v="0.35820000000000002"/>
    <x v="1"/>
    <x v="0"/>
    <x v="21"/>
    <x v="62"/>
    <x v="0"/>
  </r>
  <r>
    <n v="994"/>
    <x v="44"/>
    <n v="1"/>
    <n v="0"/>
    <n v="2"/>
    <x v="1"/>
    <x v="0"/>
    <x v="0"/>
    <x v="2"/>
    <x v="0"/>
    <n v="0.38"/>
    <x v="2"/>
    <n v="0.39389999999999997"/>
    <n v="0.37"/>
    <x v="2"/>
    <n v="0.35820000000000002"/>
    <x v="1"/>
    <x v="5"/>
    <x v="8"/>
    <x v="85"/>
    <x v="0"/>
  </r>
  <r>
    <n v="995"/>
    <x v="44"/>
    <n v="1"/>
    <n v="0"/>
    <n v="2"/>
    <x v="2"/>
    <x v="0"/>
    <x v="0"/>
    <x v="2"/>
    <x v="0"/>
    <n v="0.36"/>
    <x v="2"/>
    <n v="0.33329999999999999"/>
    <n v="0.4"/>
    <x v="2"/>
    <n v="0.29849999999999999"/>
    <x v="1"/>
    <x v="3"/>
    <x v="6"/>
    <x v="5"/>
    <x v="0"/>
  </r>
  <r>
    <n v="996"/>
    <x v="44"/>
    <n v="1"/>
    <n v="0"/>
    <n v="2"/>
    <x v="3"/>
    <x v="0"/>
    <x v="0"/>
    <x v="2"/>
    <x v="0"/>
    <n v="0.34"/>
    <x v="2"/>
    <n v="0.31819999999999998"/>
    <n v="0.46"/>
    <x v="1"/>
    <n v="0.22389999999999999"/>
    <x v="1"/>
    <x v="5"/>
    <x v="4"/>
    <x v="5"/>
    <x v="0"/>
  </r>
  <r>
    <n v="997"/>
    <x v="44"/>
    <n v="1"/>
    <n v="0"/>
    <n v="2"/>
    <x v="4"/>
    <x v="1"/>
    <x v="0"/>
    <x v="2"/>
    <x v="0"/>
    <n v="0.32"/>
    <x v="1"/>
    <n v="0.30299999999999999"/>
    <n v="0.53"/>
    <x v="1"/>
    <n v="0.28360000000000002"/>
    <x v="1"/>
    <x v="3"/>
    <x v="6"/>
    <x v="5"/>
    <x v="0"/>
  </r>
  <r>
    <n v="998"/>
    <x v="44"/>
    <n v="1"/>
    <n v="0"/>
    <n v="2"/>
    <x v="5"/>
    <x v="1"/>
    <x v="0"/>
    <x v="2"/>
    <x v="0"/>
    <n v="0.32"/>
    <x v="1"/>
    <n v="0.30299999999999999"/>
    <n v="0.53"/>
    <x v="1"/>
    <n v="0.28360000000000002"/>
    <x v="1"/>
    <x v="3"/>
    <x v="35"/>
    <x v="6"/>
    <x v="0"/>
  </r>
  <r>
    <n v="999"/>
    <x v="44"/>
    <n v="1"/>
    <n v="0"/>
    <n v="2"/>
    <x v="6"/>
    <x v="1"/>
    <x v="0"/>
    <x v="2"/>
    <x v="0"/>
    <n v="0.34"/>
    <x v="2"/>
    <n v="0.30299999999999999"/>
    <n v="0.46"/>
    <x v="1"/>
    <n v="0.29849999999999999"/>
    <x v="1"/>
    <x v="5"/>
    <x v="18"/>
    <x v="132"/>
    <x v="0"/>
  </r>
  <r>
    <n v="1000"/>
    <x v="44"/>
    <n v="1"/>
    <n v="0"/>
    <n v="2"/>
    <x v="7"/>
    <x v="2"/>
    <x v="0"/>
    <x v="2"/>
    <x v="0"/>
    <n v="0.34"/>
    <x v="2"/>
    <n v="0.30299999999999999"/>
    <n v="0.46"/>
    <x v="1"/>
    <n v="0.29849999999999999"/>
    <x v="1"/>
    <x v="4"/>
    <x v="185"/>
    <x v="95"/>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0"/>
    <n v="1"/>
    <n v="0.28789999999999999"/>
    <x v="0"/>
    <x v="0"/>
    <n v="3"/>
    <n v="13"/>
    <n v="16"/>
  </r>
  <r>
    <n v="1"/>
    <n v="2"/>
    <n v="0.2727"/>
    <x v="1"/>
    <x v="0"/>
    <n v="8"/>
    <n v="32"/>
    <n v="40"/>
  </r>
  <r>
    <n v="2"/>
    <n v="3"/>
    <n v="0.2727"/>
    <x v="1"/>
    <x v="0"/>
    <n v="5"/>
    <n v="27"/>
    <n v="32"/>
  </r>
  <r>
    <n v="3"/>
    <n v="4"/>
    <n v="0.28789999999999999"/>
    <x v="2"/>
    <x v="0"/>
    <n v="3"/>
    <n v="10"/>
    <n v="13"/>
  </r>
  <r>
    <n v="4"/>
    <n v="5"/>
    <n v="0.28789999999999999"/>
    <x v="2"/>
    <x v="0"/>
    <n v="0"/>
    <n v="1"/>
    <n v="1"/>
  </r>
  <r>
    <n v="5"/>
    <n v="6"/>
    <n v="0.2576"/>
    <x v="2"/>
    <x v="1"/>
    <n v="0"/>
    <n v="1"/>
    <n v="1"/>
  </r>
  <r>
    <n v="6"/>
    <n v="7"/>
    <n v="0.2727"/>
    <x v="1"/>
    <x v="0"/>
    <n v="2"/>
    <n v="0"/>
    <n v="2"/>
  </r>
  <r>
    <n v="7"/>
    <n v="8"/>
    <n v="0.2576"/>
    <x v="3"/>
    <x v="0"/>
    <n v="1"/>
    <n v="2"/>
    <n v="3"/>
  </r>
  <r>
    <n v="8"/>
    <n v="9"/>
    <n v="0.19989999999999999"/>
    <x v="2"/>
    <x v="0"/>
    <n v="1"/>
    <n v="7"/>
    <n v="8"/>
  </r>
  <r>
    <n v="9"/>
    <n v="10"/>
    <n v="0.34849999999999998"/>
    <x v="4"/>
    <x v="0"/>
    <n v="8"/>
    <n v="6"/>
    <n v="14"/>
  </r>
  <r>
    <n v="10"/>
    <n v="11"/>
    <n v="0.39389999999999997"/>
    <x v="4"/>
    <x v="2"/>
    <n v="12"/>
    <n v="24"/>
    <n v="36"/>
  </r>
  <r>
    <n v="11"/>
    <n v="12"/>
    <n v="0.33329999999999999"/>
    <x v="0"/>
    <x v="3"/>
    <n v="26"/>
    <n v="30"/>
    <n v="56"/>
  </r>
  <r>
    <n v="12"/>
    <n v="13"/>
    <n v="0.42420000000000002"/>
    <x v="5"/>
    <x v="3"/>
    <n v="29"/>
    <n v="55"/>
    <n v="84"/>
  </r>
  <r>
    <n v="13"/>
    <n v="14"/>
    <n v="0.45450000000000002"/>
    <x v="6"/>
    <x v="4"/>
    <n v="47"/>
    <n v="47"/>
    <n v="94"/>
  </r>
  <r>
    <n v="14"/>
    <n v="15"/>
    <n v="0.45450000000000002"/>
    <x v="6"/>
    <x v="3"/>
    <n v="35"/>
    <n v="71"/>
    <n v="106"/>
  </r>
  <r>
    <n v="15"/>
    <n v="16"/>
    <n v="0.43940000000000001"/>
    <x v="5"/>
    <x v="4"/>
    <n v="40"/>
    <n v="70"/>
    <n v="110"/>
  </r>
  <r>
    <n v="16"/>
    <n v="17"/>
    <n v="0.42420000000000002"/>
    <x v="7"/>
    <x v="4"/>
    <n v="41"/>
    <n v="52"/>
    <n v="93"/>
  </r>
  <r>
    <n v="17"/>
    <n v="18"/>
    <n v="0.19989999999999999"/>
    <x v="7"/>
    <x v="3"/>
    <n v="15"/>
    <n v="52"/>
    <n v="67"/>
  </r>
  <r>
    <n v="18"/>
    <n v="19"/>
    <n v="0.42420000000000002"/>
    <x v="8"/>
    <x v="2"/>
    <n v="9"/>
    <n v="26"/>
    <n v="35"/>
  </r>
  <r>
    <n v="19"/>
    <n v="20"/>
    <n v="0.42420000000000002"/>
    <x v="8"/>
    <x v="2"/>
    <n v="6"/>
    <n v="31"/>
    <n v="37"/>
  </r>
  <r>
    <n v="20"/>
    <n v="21"/>
    <n v="0.40910000000000002"/>
    <x v="9"/>
    <x v="2"/>
    <n v="11"/>
    <n v="25"/>
    <n v="36"/>
  </r>
  <r>
    <n v="21"/>
    <n v="22"/>
    <n v="0.40910000000000002"/>
    <x v="9"/>
    <x v="5"/>
    <n v="3"/>
    <n v="31"/>
    <n v="34"/>
  </r>
  <r>
    <n v="22"/>
    <n v="23"/>
    <n v="0.40910000000000002"/>
    <x v="10"/>
    <x v="6"/>
    <n v="11"/>
    <n v="17"/>
    <n v="28"/>
  </r>
  <r>
    <n v="23"/>
    <n v="24"/>
    <n v="0.19989999999999999"/>
    <x v="8"/>
    <x v="4"/>
    <n v="15"/>
    <n v="24"/>
    <n v="39"/>
  </r>
  <r>
    <n v="24"/>
    <n v="25"/>
    <n v="0.45450000000000002"/>
    <x v="8"/>
    <x v="4"/>
    <n v="4"/>
    <n v="13"/>
    <n v="17"/>
  </r>
  <r>
    <n v="25"/>
    <n v="26"/>
    <n v="0.43940000000000001"/>
    <x v="10"/>
    <x v="2"/>
    <n v="1"/>
    <n v="16"/>
    <n v="17"/>
  </r>
  <r>
    <n v="26"/>
    <n v="27"/>
    <n v="0.42420000000000002"/>
    <x v="11"/>
    <x v="3"/>
    <n v="1"/>
    <n v="8"/>
    <n v="9"/>
  </r>
  <r>
    <n v="27"/>
    <n v="28"/>
    <n v="0.45450000000000002"/>
    <x v="10"/>
    <x v="5"/>
    <n v="2"/>
    <n v="4"/>
    <n v="6"/>
  </r>
  <r>
    <n v="28"/>
    <n v="29"/>
    <n v="0.19989999999999999"/>
    <x v="10"/>
    <x v="5"/>
    <n v="2"/>
    <n v="1"/>
    <n v="3"/>
  </r>
  <r>
    <n v="29"/>
    <n v="30"/>
    <n v="0.42420000000000002"/>
    <x v="5"/>
    <x v="4"/>
    <n v="0"/>
    <n v="2"/>
    <n v="2"/>
  </r>
  <r>
    <n v="30"/>
    <n v="31"/>
    <n v="0.40910000000000002"/>
    <x v="4"/>
    <x v="5"/>
    <n v="0"/>
    <n v="1"/>
    <n v="1"/>
  </r>
  <r>
    <n v="31"/>
    <n v="32"/>
    <n v="0.40910000000000002"/>
    <x v="12"/>
    <x v="6"/>
    <n v="0"/>
    <n v="8"/>
    <n v="8"/>
  </r>
  <r>
    <n v="32"/>
    <n v="33"/>
    <n v="0.19989999999999999"/>
    <x v="4"/>
    <x v="6"/>
    <n v="1"/>
    <n v="19"/>
    <n v="20"/>
  </r>
  <r>
    <n v="33"/>
    <n v="34"/>
    <n v="0.34849999999999998"/>
    <x v="0"/>
    <x v="6"/>
    <n v="7"/>
    <n v="46"/>
    <n v="53"/>
  </r>
  <r>
    <n v="34"/>
    <n v="35"/>
    <n v="0.33329999999999999"/>
    <x v="12"/>
    <x v="2"/>
    <n v="16"/>
    <n v="54"/>
    <n v="70"/>
  </r>
  <r>
    <n v="35"/>
    <n v="36"/>
    <n v="0.33329999999999999"/>
    <x v="13"/>
    <x v="4"/>
    <n v="20"/>
    <n v="73"/>
    <n v="93"/>
  </r>
  <r>
    <n v="36"/>
    <n v="37"/>
    <n v="0.34849999999999998"/>
    <x v="13"/>
    <x v="7"/>
    <n v="11"/>
    <n v="64"/>
    <n v="75"/>
  </r>
  <r>
    <n v="37"/>
    <n v="38"/>
    <n v="0.19989999999999999"/>
    <x v="4"/>
    <x v="5"/>
    <n v="4"/>
    <n v="55"/>
    <n v="59"/>
  </r>
  <r>
    <n v="38"/>
    <n v="39"/>
    <n v="0.33329999999999999"/>
    <x v="0"/>
    <x v="8"/>
    <n v="19"/>
    <n v="55"/>
    <n v="74"/>
  </r>
  <r>
    <n v="39"/>
    <n v="40"/>
    <n v="0.33329999999999999"/>
    <x v="12"/>
    <x v="8"/>
    <n v="9"/>
    <n v="67"/>
    <n v="76"/>
  </r>
  <r>
    <n v="40"/>
    <n v="41"/>
    <n v="0.33329999999999999"/>
    <x v="14"/>
    <x v="5"/>
    <n v="7"/>
    <n v="58"/>
    <n v="65"/>
  </r>
  <r>
    <n v="41"/>
    <n v="42"/>
    <n v="0.33329999999999999"/>
    <x v="15"/>
    <x v="9"/>
    <n v="10"/>
    <n v="43"/>
    <n v="53"/>
  </r>
  <r>
    <n v="42"/>
    <n v="43"/>
    <n v="0.28789999999999999"/>
    <x v="16"/>
    <x v="10"/>
    <n v="1"/>
    <n v="29"/>
    <n v="30"/>
  </r>
  <r>
    <n v="43"/>
    <n v="44"/>
    <n v="0.19989999999999999"/>
    <x v="17"/>
    <x v="11"/>
    <n v="5"/>
    <n v="17"/>
    <n v="22"/>
  </r>
  <r>
    <n v="44"/>
    <n v="45"/>
    <n v="0.2273"/>
    <x v="18"/>
    <x v="9"/>
    <n v="11"/>
    <n v="20"/>
    <n v="31"/>
  </r>
  <r>
    <n v="45"/>
    <n v="46"/>
    <n v="0.21210000000000001"/>
    <x v="18"/>
    <x v="4"/>
    <n v="0"/>
    <n v="9"/>
    <n v="9"/>
  </r>
  <r>
    <n v="46"/>
    <n v="47"/>
    <n v="0.2273"/>
    <x v="19"/>
    <x v="8"/>
    <n v="0"/>
    <n v="8"/>
    <n v="8"/>
  </r>
  <r>
    <n v="47"/>
    <n v="48"/>
    <n v="0.19700000000000001"/>
    <x v="18"/>
    <x v="11"/>
    <n v="0"/>
    <n v="5"/>
    <n v="5"/>
  </r>
  <r>
    <n v="48"/>
    <n v="49"/>
    <n v="0.19989999999999999"/>
    <x v="18"/>
    <x v="12"/>
    <n v="0"/>
    <n v="2"/>
    <n v="2"/>
  </r>
  <r>
    <n v="49"/>
    <n v="50"/>
    <n v="0.13639999999999999"/>
    <x v="19"/>
    <x v="13"/>
    <n v="0"/>
    <n v="1"/>
    <n v="1"/>
  </r>
  <r>
    <n v="50"/>
    <n v="51"/>
    <n v="0.13639999999999999"/>
    <x v="19"/>
    <x v="3"/>
    <n v="0"/>
    <n v="3"/>
    <n v="3"/>
  </r>
  <r>
    <n v="51"/>
    <n v="52"/>
    <n v="0.1061"/>
    <x v="20"/>
    <x v="13"/>
    <n v="0"/>
    <n v="30"/>
    <n v="30"/>
  </r>
  <r>
    <n v="52"/>
    <n v="53"/>
    <n v="0.13639999999999999"/>
    <x v="20"/>
    <x v="5"/>
    <n v="1"/>
    <n v="63"/>
    <n v="64"/>
  </r>
  <r>
    <n v="53"/>
    <n v="54"/>
    <n v="0.1212"/>
    <x v="20"/>
    <x v="3"/>
    <n v="1"/>
    <n v="153"/>
    <n v="154"/>
  </r>
  <r>
    <n v="54"/>
    <n v="55"/>
    <n v="0.13639999999999999"/>
    <x v="21"/>
    <x v="13"/>
    <n v="7"/>
    <n v="81"/>
    <n v="88"/>
  </r>
  <r>
    <n v="55"/>
    <n v="56"/>
    <n v="0.16669999999999999"/>
    <x v="21"/>
    <x v="2"/>
    <n v="11"/>
    <n v="33"/>
    <n v="44"/>
  </r>
  <r>
    <n v="56"/>
    <n v="57"/>
    <n v="0.18179999999999999"/>
    <x v="22"/>
    <x v="9"/>
    <n v="10"/>
    <n v="41"/>
    <n v="51"/>
  </r>
  <r>
    <n v="57"/>
    <n v="58"/>
    <n v="0.21210000000000001"/>
    <x v="23"/>
    <x v="4"/>
    <n v="13"/>
    <n v="48"/>
    <n v="61"/>
  </r>
  <r>
    <n v="58"/>
    <n v="59"/>
    <n v="0.19989999999999999"/>
    <x v="23"/>
    <x v="3"/>
    <n v="8"/>
    <n v="53"/>
    <n v="61"/>
  </r>
  <r>
    <n v="59"/>
    <n v="60"/>
    <n v="0.2424"/>
    <x v="24"/>
    <x v="3"/>
    <n v="11"/>
    <n v="66"/>
    <n v="77"/>
  </r>
  <r>
    <n v="60"/>
    <n v="61"/>
    <n v="0.2424"/>
    <x v="24"/>
    <x v="2"/>
    <n v="14"/>
    <n v="58"/>
    <n v="72"/>
  </r>
  <r>
    <n v="61"/>
    <n v="62"/>
    <n v="0.2424"/>
    <x v="24"/>
    <x v="2"/>
    <n v="9"/>
    <n v="67"/>
    <n v="76"/>
  </r>
  <r>
    <n v="62"/>
    <n v="63"/>
    <n v="0.2273"/>
    <x v="24"/>
    <x v="6"/>
    <n v="11"/>
    <n v="146"/>
    <n v="157"/>
  </r>
  <r>
    <n v="63"/>
    <n v="64"/>
    <n v="0.2576"/>
    <x v="25"/>
    <x v="14"/>
    <n v="9"/>
    <n v="148"/>
    <n v="157"/>
  </r>
  <r>
    <n v="64"/>
    <n v="65"/>
    <n v="0.2576"/>
    <x v="19"/>
    <x v="0"/>
    <n v="8"/>
    <n v="102"/>
    <n v="110"/>
  </r>
  <r>
    <n v="65"/>
    <n v="66"/>
    <n v="0.19989999999999999"/>
    <x v="19"/>
    <x v="14"/>
    <n v="3"/>
    <n v="49"/>
    <n v="52"/>
  </r>
  <r>
    <n v="66"/>
    <n v="67"/>
    <n v="0.19700000000000001"/>
    <x v="26"/>
    <x v="7"/>
    <n v="3"/>
    <n v="49"/>
    <n v="52"/>
  </r>
  <r>
    <n v="67"/>
    <n v="68"/>
    <n v="0.1515"/>
    <x v="27"/>
    <x v="7"/>
    <n v="0"/>
    <n v="20"/>
    <n v="20"/>
  </r>
  <r>
    <n v="68"/>
    <n v="69"/>
    <n v="0.21210000000000001"/>
    <x v="28"/>
    <x v="14"/>
    <n v="1"/>
    <n v="11"/>
    <n v="12"/>
  </r>
  <r>
    <n v="69"/>
    <n v="70"/>
    <n v="0.19989999999999999"/>
    <x v="28"/>
    <x v="14"/>
    <n v="0"/>
    <n v="5"/>
    <n v="5"/>
  </r>
  <r>
    <n v="70"/>
    <n v="71"/>
    <n v="0.18179999999999999"/>
    <x v="29"/>
    <x v="14"/>
    <n v="0"/>
    <n v="2"/>
    <n v="2"/>
  </r>
  <r>
    <n v="71"/>
    <n v="72"/>
    <n v="0.1515"/>
    <x v="30"/>
    <x v="7"/>
    <n v="0"/>
    <n v="1"/>
    <n v="1"/>
  </r>
  <r>
    <n v="72"/>
    <n v="73"/>
    <n v="0.18179999999999999"/>
    <x v="30"/>
    <x v="1"/>
    <n v="0"/>
    <n v="2"/>
    <n v="2"/>
  </r>
  <r>
    <n v="73"/>
    <n v="74"/>
    <n v="0.1515"/>
    <x v="31"/>
    <x v="14"/>
    <n v="0"/>
    <n v="4"/>
    <n v="4"/>
  </r>
  <r>
    <n v="74"/>
    <n v="75"/>
    <n v="0.1515"/>
    <x v="32"/>
    <x v="14"/>
    <n v="0"/>
    <n v="36"/>
    <n v="36"/>
  </r>
  <r>
    <n v="75"/>
    <n v="76"/>
    <n v="0.1515"/>
    <x v="32"/>
    <x v="7"/>
    <n v="2"/>
    <n v="92"/>
    <n v="94"/>
  </r>
  <r>
    <n v="76"/>
    <n v="77"/>
    <n v="0.1515"/>
    <x v="27"/>
    <x v="8"/>
    <n v="2"/>
    <n v="177"/>
    <n v="179"/>
  </r>
  <r>
    <n v="77"/>
    <n v="78"/>
    <n v="0.1515"/>
    <x v="26"/>
    <x v="6"/>
    <n v="2"/>
    <n v="98"/>
    <n v="100"/>
  </r>
  <r>
    <n v="78"/>
    <n v="79"/>
    <n v="0.13639999999999999"/>
    <x v="27"/>
    <x v="9"/>
    <n v="5"/>
    <n v="37"/>
    <n v="42"/>
  </r>
  <r>
    <n v="79"/>
    <n v="80"/>
    <n v="0.21210000000000001"/>
    <x v="33"/>
    <x v="4"/>
    <n v="7"/>
    <n v="50"/>
    <n v="57"/>
  </r>
  <r>
    <n v="80"/>
    <n v="81"/>
    <n v="0.2273"/>
    <x v="33"/>
    <x v="8"/>
    <n v="12"/>
    <n v="66"/>
    <n v="78"/>
  </r>
  <r>
    <n v="81"/>
    <n v="82"/>
    <n v="0.2273"/>
    <x v="34"/>
    <x v="5"/>
    <n v="18"/>
    <n v="79"/>
    <n v="97"/>
  </r>
  <r>
    <n v="82"/>
    <n v="83"/>
    <n v="0.2576"/>
    <x v="35"/>
    <x v="6"/>
    <n v="9"/>
    <n v="54"/>
    <n v="63"/>
  </r>
  <r>
    <n v="83"/>
    <n v="84"/>
    <n v="0.2727"/>
    <x v="35"/>
    <x v="2"/>
    <n v="17"/>
    <n v="48"/>
    <n v="65"/>
  </r>
  <r>
    <n v="84"/>
    <n v="85"/>
    <n v="0.28789999999999999"/>
    <x v="36"/>
    <x v="2"/>
    <n v="15"/>
    <n v="68"/>
    <n v="83"/>
  </r>
  <r>
    <n v="85"/>
    <n v="86"/>
    <n v="0.2727"/>
    <x v="37"/>
    <x v="6"/>
    <n v="10"/>
    <n v="202"/>
    <n v="212"/>
  </r>
  <r>
    <n v="86"/>
    <n v="87"/>
    <n v="0.2576"/>
    <x v="37"/>
    <x v="5"/>
    <n v="3"/>
    <n v="179"/>
    <n v="182"/>
  </r>
  <r>
    <n v="87"/>
    <n v="88"/>
    <n v="0.2576"/>
    <x v="37"/>
    <x v="14"/>
    <n v="2"/>
    <n v="110"/>
    <n v="112"/>
  </r>
  <r>
    <n v="88"/>
    <n v="89"/>
    <n v="0.2576"/>
    <x v="37"/>
    <x v="14"/>
    <n v="1"/>
    <n v="53"/>
    <n v="54"/>
  </r>
  <r>
    <n v="89"/>
    <n v="90"/>
    <n v="0.2727"/>
    <x v="26"/>
    <x v="0"/>
    <n v="0"/>
    <n v="48"/>
    <n v="48"/>
  </r>
  <r>
    <n v="90"/>
    <n v="91"/>
    <n v="0.2576"/>
    <x v="26"/>
    <x v="1"/>
    <n v="1"/>
    <n v="34"/>
    <n v="35"/>
  </r>
  <r>
    <n v="91"/>
    <n v="92"/>
    <n v="0.2273"/>
    <x v="27"/>
    <x v="1"/>
    <n v="2"/>
    <n v="9"/>
    <n v="11"/>
  </r>
  <r>
    <n v="92"/>
    <n v="93"/>
    <n v="0.2576"/>
    <x v="26"/>
    <x v="0"/>
    <n v="0"/>
    <n v="6"/>
    <n v="6"/>
  </r>
  <r>
    <n v="93"/>
    <n v="94"/>
    <n v="0.19700000000000001"/>
    <x v="32"/>
    <x v="1"/>
    <n v="0"/>
    <n v="6"/>
    <n v="6"/>
  </r>
  <r>
    <n v="94"/>
    <n v="95"/>
    <n v="0.19700000000000001"/>
    <x v="32"/>
    <x v="1"/>
    <n v="0"/>
    <n v="2"/>
    <n v="2"/>
  </r>
  <r>
    <n v="95"/>
    <n v="96"/>
    <n v="0.2273"/>
    <x v="37"/>
    <x v="6"/>
    <n v="0"/>
    <n v="2"/>
    <n v="2"/>
  </r>
  <r>
    <n v="96"/>
    <n v="97"/>
    <n v="0.2273"/>
    <x v="19"/>
    <x v="8"/>
    <n v="0"/>
    <n v="3"/>
    <n v="3"/>
  </r>
  <r>
    <n v="97"/>
    <n v="98"/>
    <n v="0.19700000000000001"/>
    <x v="19"/>
    <x v="6"/>
    <n v="0"/>
    <n v="33"/>
    <n v="33"/>
  </r>
  <r>
    <n v="98"/>
    <n v="99"/>
    <n v="0.18179999999999999"/>
    <x v="21"/>
    <x v="5"/>
    <n v="1"/>
    <n v="87"/>
    <n v="88"/>
  </r>
  <r>
    <n v="99"/>
    <n v="100"/>
    <n v="0.18179999999999999"/>
    <x v="22"/>
    <x v="4"/>
    <n v="3"/>
    <n v="192"/>
    <n v="195"/>
  </r>
  <r>
    <n v="100"/>
    <n v="101"/>
    <n v="0.19700000000000001"/>
    <x v="38"/>
    <x v="9"/>
    <n v="6"/>
    <n v="109"/>
    <n v="115"/>
  </r>
  <r>
    <n v="101"/>
    <n v="102"/>
    <n v="0.19700000000000001"/>
    <x v="38"/>
    <x v="9"/>
    <n v="4"/>
    <n v="53"/>
    <n v="57"/>
  </r>
  <r>
    <n v="102"/>
    <n v="103"/>
    <n v="0.2273"/>
    <x v="39"/>
    <x v="9"/>
    <n v="12"/>
    <n v="34"/>
    <n v="46"/>
  </r>
  <r>
    <n v="103"/>
    <n v="104"/>
    <n v="0.2273"/>
    <x v="39"/>
    <x v="9"/>
    <n v="5"/>
    <n v="74"/>
    <n v="79"/>
  </r>
  <r>
    <n v="104"/>
    <n v="105"/>
    <n v="0.2576"/>
    <x v="24"/>
    <x v="4"/>
    <n v="6"/>
    <n v="65"/>
    <n v="71"/>
  </r>
  <r>
    <n v="105"/>
    <n v="106"/>
    <n v="0.28789999999999999"/>
    <x v="40"/>
    <x v="5"/>
    <n v="10"/>
    <n v="52"/>
    <n v="62"/>
  </r>
  <r>
    <n v="106"/>
    <n v="107"/>
    <n v="0.28789999999999999"/>
    <x v="40"/>
    <x v="5"/>
    <n v="7"/>
    <n v="55"/>
    <n v="62"/>
  </r>
  <r>
    <n v="107"/>
    <n v="108"/>
    <n v="0.31819999999999998"/>
    <x v="40"/>
    <x v="1"/>
    <n v="4"/>
    <n v="85"/>
    <n v="89"/>
  </r>
  <r>
    <n v="108"/>
    <n v="109"/>
    <n v="0.2273"/>
    <x v="41"/>
    <x v="5"/>
    <n v="4"/>
    <n v="186"/>
    <n v="190"/>
  </r>
  <r>
    <n v="109"/>
    <n v="110"/>
    <n v="0.2424"/>
    <x v="41"/>
    <x v="7"/>
    <n v="3"/>
    <n v="166"/>
    <n v="169"/>
  </r>
  <r>
    <n v="110"/>
    <n v="111"/>
    <n v="0.2576"/>
    <x v="41"/>
    <x v="14"/>
    <n v="5"/>
    <n v="127"/>
    <n v="132"/>
  </r>
  <r>
    <n v="111"/>
    <n v="112"/>
    <n v="0.2273"/>
    <x v="19"/>
    <x v="8"/>
    <n v="7"/>
    <n v="82"/>
    <n v="89"/>
  </r>
  <r>
    <n v="112"/>
    <n v="113"/>
    <n v="0.19700000000000001"/>
    <x v="33"/>
    <x v="5"/>
    <n v="3"/>
    <n v="40"/>
    <n v="43"/>
  </r>
  <r>
    <n v="113"/>
    <n v="114"/>
    <n v="0.19700000000000001"/>
    <x v="28"/>
    <x v="7"/>
    <n v="1"/>
    <n v="41"/>
    <n v="42"/>
  </r>
  <r>
    <n v="114"/>
    <n v="115"/>
    <n v="0.2576"/>
    <x v="19"/>
    <x v="0"/>
    <n v="1"/>
    <n v="18"/>
    <n v="19"/>
  </r>
  <r>
    <n v="115"/>
    <n v="116"/>
    <n v="0.2424"/>
    <x v="28"/>
    <x v="0"/>
    <n v="0"/>
    <n v="11"/>
    <n v="11"/>
  </r>
  <r>
    <n v="116"/>
    <n v="117"/>
    <n v="0.2273"/>
    <x v="26"/>
    <x v="0"/>
    <n v="0"/>
    <n v="4"/>
    <n v="4"/>
  </r>
  <r>
    <n v="117"/>
    <n v="118"/>
    <n v="0.2273"/>
    <x v="26"/>
    <x v="0"/>
    <n v="0"/>
    <n v="2"/>
    <n v="2"/>
  </r>
  <r>
    <n v="118"/>
    <n v="119"/>
    <n v="0.19700000000000001"/>
    <x v="26"/>
    <x v="1"/>
    <n v="0"/>
    <n v="1"/>
    <n v="1"/>
  </r>
  <r>
    <n v="119"/>
    <n v="120"/>
    <n v="0.18179999999999999"/>
    <x v="27"/>
    <x v="1"/>
    <n v="0"/>
    <n v="4"/>
    <n v="4"/>
  </r>
  <r>
    <n v="120"/>
    <n v="121"/>
    <n v="0.16669999999999999"/>
    <x v="30"/>
    <x v="14"/>
    <n v="0"/>
    <n v="36"/>
    <n v="36"/>
  </r>
  <r>
    <n v="121"/>
    <n v="122"/>
    <n v="0.2273"/>
    <x v="29"/>
    <x v="0"/>
    <n v="0"/>
    <n v="95"/>
    <n v="95"/>
  </r>
  <r>
    <n v="122"/>
    <n v="123"/>
    <n v="0.2273"/>
    <x v="29"/>
    <x v="0"/>
    <n v="3"/>
    <n v="216"/>
    <n v="219"/>
  </r>
  <r>
    <n v="123"/>
    <n v="124"/>
    <n v="0.2424"/>
    <x v="33"/>
    <x v="0"/>
    <n v="6"/>
    <n v="116"/>
    <n v="122"/>
  </r>
  <r>
    <n v="124"/>
    <n v="125"/>
    <n v="0.2576"/>
    <x v="19"/>
    <x v="0"/>
    <n v="3"/>
    <n v="42"/>
    <n v="45"/>
  </r>
  <r>
    <n v="125"/>
    <n v="126"/>
    <n v="0.2576"/>
    <x v="18"/>
    <x v="1"/>
    <n v="2"/>
    <n v="57"/>
    <n v="59"/>
  </r>
  <r>
    <n v="126"/>
    <n v="127"/>
    <n v="0.28789999999999999"/>
    <x v="23"/>
    <x v="0"/>
    <n v="6"/>
    <n v="78"/>
    <n v="84"/>
  </r>
  <r>
    <n v="127"/>
    <n v="128"/>
    <n v="0.2727"/>
    <x v="23"/>
    <x v="14"/>
    <n v="12"/>
    <n v="55"/>
    <n v="67"/>
  </r>
  <r>
    <n v="128"/>
    <n v="129"/>
    <n v="0.2727"/>
    <x v="42"/>
    <x v="8"/>
    <n v="11"/>
    <n v="59"/>
    <n v="70"/>
  </r>
  <r>
    <n v="129"/>
    <n v="130"/>
    <n v="0.2727"/>
    <x v="42"/>
    <x v="0"/>
    <n v="8"/>
    <n v="54"/>
    <n v="62"/>
  </r>
  <r>
    <n v="130"/>
    <n v="131"/>
    <n v="0.2576"/>
    <x v="41"/>
    <x v="8"/>
    <n v="12"/>
    <n v="74"/>
    <n v="86"/>
  </r>
  <r>
    <n v="131"/>
    <n v="132"/>
    <n v="0.2273"/>
    <x v="33"/>
    <x v="8"/>
    <n v="9"/>
    <n v="163"/>
    <n v="172"/>
  </r>
  <r>
    <n v="132"/>
    <n v="133"/>
    <n v="0.2273"/>
    <x v="33"/>
    <x v="7"/>
    <n v="5"/>
    <n v="158"/>
    <n v="163"/>
  </r>
  <r>
    <n v="133"/>
    <n v="134"/>
    <n v="0.2576"/>
    <x v="28"/>
    <x v="1"/>
    <n v="3"/>
    <n v="109"/>
    <n v="112"/>
  </r>
  <r>
    <n v="134"/>
    <n v="135"/>
    <n v="0.21210000000000001"/>
    <x v="33"/>
    <x v="8"/>
    <n v="3"/>
    <n v="66"/>
    <n v="69"/>
  </r>
  <r>
    <n v="135"/>
    <n v="136"/>
    <n v="0.21210000000000001"/>
    <x v="28"/>
    <x v="6"/>
    <n v="0"/>
    <n v="48"/>
    <n v="48"/>
  </r>
  <r>
    <n v="136"/>
    <n v="137"/>
    <n v="0.21210000000000001"/>
    <x v="33"/>
    <x v="3"/>
    <n v="1"/>
    <n v="51"/>
    <n v="52"/>
  </r>
  <r>
    <n v="137"/>
    <n v="138"/>
    <n v="0.19700000000000001"/>
    <x v="29"/>
    <x v="5"/>
    <n v="4"/>
    <n v="19"/>
    <n v="23"/>
  </r>
  <r>
    <n v="138"/>
    <n v="139"/>
    <n v="0.19700000000000001"/>
    <x v="26"/>
    <x v="5"/>
    <n v="4"/>
    <n v="13"/>
    <n v="17"/>
  </r>
  <r>
    <n v="139"/>
    <n v="140"/>
    <n v="0.19700000000000001"/>
    <x v="27"/>
    <x v="6"/>
    <n v="2"/>
    <n v="5"/>
    <n v="7"/>
  </r>
  <r>
    <n v="140"/>
    <n v="141"/>
    <n v="0.19700000000000001"/>
    <x v="27"/>
    <x v="6"/>
    <n v="0"/>
    <n v="1"/>
    <n v="1"/>
  </r>
  <r>
    <n v="141"/>
    <n v="142"/>
    <n v="0.21210000000000001"/>
    <x v="27"/>
    <x v="7"/>
    <n v="0"/>
    <n v="1"/>
    <n v="1"/>
  </r>
  <r>
    <n v="142"/>
    <n v="143"/>
    <n v="0.2727"/>
    <x v="28"/>
    <x v="0"/>
    <n v="0"/>
    <n v="5"/>
    <n v="5"/>
  </r>
  <r>
    <n v="143"/>
    <n v="144"/>
    <n v="0.2576"/>
    <x v="27"/>
    <x v="0"/>
    <n v="8"/>
    <n v="26"/>
    <n v="34"/>
  </r>
  <r>
    <n v="144"/>
    <n v="145"/>
    <n v="0.21210000000000001"/>
    <x v="27"/>
    <x v="7"/>
    <n v="8"/>
    <n v="76"/>
    <n v="84"/>
  </r>
  <r>
    <n v="145"/>
    <n v="146"/>
    <n v="0.19700000000000001"/>
    <x v="33"/>
    <x v="2"/>
    <n v="20"/>
    <n v="190"/>
    <n v="210"/>
  </r>
  <r>
    <n v="146"/>
    <n v="147"/>
    <n v="0.18179999999999999"/>
    <x v="19"/>
    <x v="4"/>
    <n v="9"/>
    <n v="125"/>
    <n v="134"/>
  </r>
  <r>
    <n v="147"/>
    <n v="148"/>
    <n v="0.19700000000000001"/>
    <x v="38"/>
    <x v="9"/>
    <n v="16"/>
    <n v="47"/>
    <n v="63"/>
  </r>
  <r>
    <n v="148"/>
    <n v="149"/>
    <n v="0.19700000000000001"/>
    <x v="22"/>
    <x v="6"/>
    <n v="19"/>
    <n v="48"/>
    <n v="67"/>
  </r>
  <r>
    <n v="149"/>
    <n v="150"/>
    <n v="0.19700000000000001"/>
    <x v="38"/>
    <x v="2"/>
    <n v="9"/>
    <n v="50"/>
    <n v="59"/>
  </r>
  <r>
    <n v="150"/>
    <n v="151"/>
    <n v="0.18179999999999999"/>
    <x v="38"/>
    <x v="3"/>
    <n v="9"/>
    <n v="64"/>
    <n v="73"/>
  </r>
  <r>
    <n v="151"/>
    <n v="152"/>
    <n v="0.19700000000000001"/>
    <x v="22"/>
    <x v="2"/>
    <n v="7"/>
    <n v="43"/>
    <n v="50"/>
  </r>
  <r>
    <n v="152"/>
    <n v="153"/>
    <n v="0.21210000000000001"/>
    <x v="38"/>
    <x v="8"/>
    <n v="9"/>
    <n v="63"/>
    <n v="72"/>
  </r>
  <r>
    <n v="153"/>
    <n v="154"/>
    <n v="0.21210000000000001"/>
    <x v="38"/>
    <x v="8"/>
    <n v="5"/>
    <n v="82"/>
    <n v="87"/>
  </r>
  <r>
    <n v="154"/>
    <n v="155"/>
    <n v="0.2576"/>
    <x v="38"/>
    <x v="0"/>
    <n v="9"/>
    <n v="178"/>
    <n v="187"/>
  </r>
  <r>
    <n v="155"/>
    <n v="156"/>
    <n v="0.2273"/>
    <x v="22"/>
    <x v="1"/>
    <n v="7"/>
    <n v="116"/>
    <n v="123"/>
  </r>
  <r>
    <n v="156"/>
    <n v="157"/>
    <n v="0.19700000000000001"/>
    <x v="28"/>
    <x v="1"/>
    <n v="3"/>
    <n v="92"/>
    <n v="95"/>
  </r>
  <r>
    <n v="157"/>
    <n v="158"/>
    <n v="0.21210000000000001"/>
    <x v="19"/>
    <x v="14"/>
    <n v="1"/>
    <n v="50"/>
    <n v="51"/>
  </r>
  <r>
    <n v="158"/>
    <n v="159"/>
    <n v="0.19700000000000001"/>
    <x v="19"/>
    <x v="7"/>
    <n v="0"/>
    <n v="39"/>
    <n v="39"/>
  </r>
  <r>
    <n v="159"/>
    <n v="160"/>
    <n v="0.19700000000000001"/>
    <x v="21"/>
    <x v="8"/>
    <n v="2"/>
    <n v="34"/>
    <n v="36"/>
  </r>
  <r>
    <n v="160"/>
    <n v="161"/>
    <n v="0.19700000000000001"/>
    <x v="33"/>
    <x v="8"/>
    <n v="1"/>
    <n v="14"/>
    <n v="15"/>
  </r>
  <r>
    <n v="161"/>
    <n v="162"/>
    <n v="0.19700000000000001"/>
    <x v="33"/>
    <x v="8"/>
    <n v="1"/>
    <n v="24"/>
    <n v="25"/>
  </r>
  <r>
    <n v="162"/>
    <n v="163"/>
    <n v="0.21210000000000001"/>
    <x v="28"/>
    <x v="1"/>
    <n v="1"/>
    <n v="15"/>
    <n v="16"/>
  </r>
  <r>
    <n v="163"/>
    <n v="164"/>
    <n v="0.2424"/>
    <x v="28"/>
    <x v="0"/>
    <n v="3"/>
    <n v="13"/>
    <n v="16"/>
  </r>
  <r>
    <n v="164"/>
    <n v="165"/>
    <n v="0.19700000000000001"/>
    <x v="28"/>
    <x v="8"/>
    <n v="0"/>
    <n v="7"/>
    <n v="7"/>
  </r>
  <r>
    <n v="165"/>
    <n v="166"/>
    <n v="0.19700000000000001"/>
    <x v="28"/>
    <x v="8"/>
    <n v="0"/>
    <n v="1"/>
    <n v="1"/>
  </r>
  <r>
    <n v="166"/>
    <n v="167"/>
    <n v="0.16669999999999999"/>
    <x v="32"/>
    <x v="8"/>
    <n v="0"/>
    <n v="5"/>
    <n v="5"/>
  </r>
  <r>
    <n v="167"/>
    <n v="168"/>
    <n v="0.16669999999999999"/>
    <x v="32"/>
    <x v="8"/>
    <n v="0"/>
    <n v="2"/>
    <n v="2"/>
  </r>
  <r>
    <n v="168"/>
    <n v="169"/>
    <n v="0.18179999999999999"/>
    <x v="32"/>
    <x v="14"/>
    <n v="1"/>
    <n v="8"/>
    <n v="9"/>
  </r>
  <r>
    <n v="169"/>
    <n v="170"/>
    <n v="0.18179999999999999"/>
    <x v="43"/>
    <x v="14"/>
    <n v="0"/>
    <n v="15"/>
    <n v="15"/>
  </r>
  <r>
    <n v="170"/>
    <n v="171"/>
    <n v="0.18179999999999999"/>
    <x v="43"/>
    <x v="14"/>
    <n v="0"/>
    <n v="20"/>
    <n v="20"/>
  </r>
  <r>
    <n v="171"/>
    <n v="172"/>
    <n v="0.19700000000000001"/>
    <x v="1"/>
    <x v="8"/>
    <n v="5"/>
    <n v="56"/>
    <n v="61"/>
  </r>
  <r>
    <n v="172"/>
    <n v="173"/>
    <n v="0.18179999999999999"/>
    <x v="27"/>
    <x v="13"/>
    <n v="2"/>
    <n v="60"/>
    <n v="62"/>
  </r>
  <r>
    <n v="173"/>
    <n v="174"/>
    <n v="0.18179999999999999"/>
    <x v="29"/>
    <x v="11"/>
    <n v="8"/>
    <n v="90"/>
    <n v="98"/>
  </r>
  <r>
    <n v="174"/>
    <n v="175"/>
    <n v="0.18179999999999999"/>
    <x v="18"/>
    <x v="9"/>
    <n v="7"/>
    <n v="95"/>
    <n v="102"/>
  </r>
  <r>
    <n v="175"/>
    <n v="176"/>
    <n v="0.16669999999999999"/>
    <x v="25"/>
    <x v="15"/>
    <n v="12"/>
    <n v="83"/>
    <n v="95"/>
  </r>
  <r>
    <n v="176"/>
    <n v="177"/>
    <n v="0.16669999999999999"/>
    <x v="25"/>
    <x v="10"/>
    <n v="5"/>
    <n v="69"/>
    <n v="74"/>
  </r>
  <r>
    <n v="177"/>
    <n v="178"/>
    <n v="0.13639999999999999"/>
    <x v="44"/>
    <x v="10"/>
    <n v="8"/>
    <n v="68"/>
    <n v="76"/>
  </r>
  <r>
    <n v="178"/>
    <n v="179"/>
    <n v="0.1212"/>
    <x v="38"/>
    <x v="16"/>
    <n v="5"/>
    <n v="64"/>
    <n v="69"/>
  </r>
  <r>
    <n v="179"/>
    <n v="180"/>
    <n v="0.1212"/>
    <x v="17"/>
    <x v="4"/>
    <n v="3"/>
    <n v="52"/>
    <n v="55"/>
  </r>
  <r>
    <n v="180"/>
    <n v="181"/>
    <n v="0.1212"/>
    <x v="42"/>
    <x v="2"/>
    <n v="4"/>
    <n v="26"/>
    <n v="30"/>
  </r>
  <r>
    <n v="181"/>
    <n v="182"/>
    <n v="0.1212"/>
    <x v="42"/>
    <x v="2"/>
    <n v="0"/>
    <n v="28"/>
    <n v="28"/>
  </r>
  <r>
    <n v="182"/>
    <n v="183"/>
    <n v="0.1061"/>
    <x v="17"/>
    <x v="11"/>
    <n v="2"/>
    <n v="35"/>
    <n v="37"/>
  </r>
  <r>
    <n v="183"/>
    <n v="184"/>
    <n v="0.1061"/>
    <x v="42"/>
    <x v="13"/>
    <n v="1"/>
    <n v="33"/>
    <n v="34"/>
  </r>
  <r>
    <n v="184"/>
    <n v="185"/>
    <n v="6.0600000000000001E-2"/>
    <x v="17"/>
    <x v="10"/>
    <n v="0"/>
    <n v="22"/>
    <n v="22"/>
  </r>
  <r>
    <n v="185"/>
    <n v="186"/>
    <n v="7.5800000000000006E-2"/>
    <x v="16"/>
    <x v="13"/>
    <n v="1"/>
    <n v="24"/>
    <n v="25"/>
  </r>
  <r>
    <n v="186"/>
    <n v="187"/>
    <n v="6.0600000000000001E-2"/>
    <x v="16"/>
    <x v="17"/>
    <n v="0"/>
    <n v="12"/>
    <n v="12"/>
  </r>
  <r>
    <n v="187"/>
    <n v="188"/>
    <n v="6.0600000000000001E-2"/>
    <x v="15"/>
    <x v="17"/>
    <n v="0"/>
    <n v="11"/>
    <n v="11"/>
  </r>
  <r>
    <n v="188"/>
    <n v="189"/>
    <n v="7.5800000000000006E-2"/>
    <x v="15"/>
    <x v="12"/>
    <n v="0"/>
    <n v="4"/>
    <n v="4"/>
  </r>
  <r>
    <n v="189"/>
    <n v="190"/>
    <n v="9.0899999999999995E-2"/>
    <x v="45"/>
    <x v="5"/>
    <n v="0"/>
    <n v="1"/>
    <n v="1"/>
  </r>
  <r>
    <n v="190"/>
    <n v="191"/>
    <n v="9.0899999999999995E-2"/>
    <x v="45"/>
    <x v="5"/>
    <n v="0"/>
    <n v="1"/>
    <n v="1"/>
  </r>
  <r>
    <n v="191"/>
    <n v="192"/>
    <n v="9.0899999999999995E-2"/>
    <x v="36"/>
    <x v="3"/>
    <n v="0"/>
    <n v="1"/>
    <n v="1"/>
  </r>
  <r>
    <n v="192"/>
    <n v="193"/>
    <n v="9.0899999999999995E-2"/>
    <x v="45"/>
    <x v="5"/>
    <n v="1"/>
    <n v="5"/>
    <n v="6"/>
  </r>
  <r>
    <n v="193"/>
    <n v="194"/>
    <n v="9.0899999999999995E-2"/>
    <x v="36"/>
    <x v="3"/>
    <n v="0"/>
    <n v="10"/>
    <n v="10"/>
  </r>
  <r>
    <n v="194"/>
    <n v="195"/>
    <n v="7.5800000000000006E-2"/>
    <x v="15"/>
    <x v="18"/>
    <n v="0"/>
    <n v="19"/>
    <n v="19"/>
  </r>
  <r>
    <n v="195"/>
    <n v="196"/>
    <n v="0.1061"/>
    <x v="21"/>
    <x v="13"/>
    <n v="0"/>
    <n v="49"/>
    <n v="49"/>
  </r>
  <r>
    <n v="196"/>
    <n v="197"/>
    <n v="0.1212"/>
    <x v="22"/>
    <x v="18"/>
    <n v="2"/>
    <n v="47"/>
    <n v="49"/>
  </r>
  <r>
    <n v="197"/>
    <n v="198"/>
    <n v="0.13639999999999999"/>
    <x v="38"/>
    <x v="10"/>
    <n v="4"/>
    <n v="79"/>
    <n v="83"/>
  </r>
  <r>
    <n v="198"/>
    <n v="199"/>
    <n v="0.16669999999999999"/>
    <x v="46"/>
    <x v="10"/>
    <n v="6"/>
    <n v="69"/>
    <n v="75"/>
  </r>
  <r>
    <n v="199"/>
    <n v="200"/>
    <n v="0.18179999999999999"/>
    <x v="25"/>
    <x v="17"/>
    <n v="8"/>
    <n v="64"/>
    <n v="72"/>
  </r>
  <r>
    <n v="200"/>
    <n v="201"/>
    <n v="0.19700000000000001"/>
    <x v="23"/>
    <x v="11"/>
    <n v="5"/>
    <n v="77"/>
    <n v="82"/>
  </r>
  <r>
    <n v="201"/>
    <n v="202"/>
    <n v="0.16669999999999999"/>
    <x v="46"/>
    <x v="10"/>
    <n v="13"/>
    <n v="79"/>
    <n v="92"/>
  </r>
  <r>
    <n v="202"/>
    <n v="203"/>
    <n v="0.1515"/>
    <x v="38"/>
    <x v="13"/>
    <n v="3"/>
    <n v="59"/>
    <n v="62"/>
  </r>
  <r>
    <n v="203"/>
    <n v="204"/>
    <n v="0.13639999999999999"/>
    <x v="22"/>
    <x v="9"/>
    <n v="4"/>
    <n v="44"/>
    <n v="48"/>
  </r>
  <r>
    <n v="204"/>
    <n v="205"/>
    <n v="0.13639999999999999"/>
    <x v="21"/>
    <x v="9"/>
    <n v="1"/>
    <n v="40"/>
    <n v="41"/>
  </r>
  <r>
    <n v="205"/>
    <n v="206"/>
    <n v="0.1212"/>
    <x v="15"/>
    <x v="2"/>
    <n v="0"/>
    <n v="38"/>
    <n v="38"/>
  </r>
  <r>
    <n v="206"/>
    <n v="207"/>
    <n v="0.1061"/>
    <x v="15"/>
    <x v="12"/>
    <n v="1"/>
    <n v="19"/>
    <n v="20"/>
  </r>
  <r>
    <n v="207"/>
    <n v="208"/>
    <n v="0.1212"/>
    <x v="15"/>
    <x v="4"/>
    <n v="5"/>
    <n v="10"/>
    <n v="15"/>
  </r>
  <r>
    <n v="208"/>
    <n v="209"/>
    <n v="0.13639999999999999"/>
    <x v="20"/>
    <x v="5"/>
    <n v="0"/>
    <n v="6"/>
    <n v="6"/>
  </r>
  <r>
    <n v="209"/>
    <n v="210"/>
    <n v="0.1212"/>
    <x v="20"/>
    <x v="3"/>
    <n v="2"/>
    <n v="3"/>
    <n v="5"/>
  </r>
  <r>
    <n v="210"/>
    <n v="211"/>
    <n v="0.1212"/>
    <x v="20"/>
    <x v="3"/>
    <n v="1"/>
    <n v="0"/>
    <n v="1"/>
  </r>
  <r>
    <n v="211"/>
    <n v="212"/>
    <n v="0.1212"/>
    <x v="20"/>
    <x v="6"/>
    <n v="0"/>
    <n v="3"/>
    <n v="3"/>
  </r>
  <r>
    <n v="212"/>
    <n v="213"/>
    <n v="0.1212"/>
    <x v="20"/>
    <x v="6"/>
    <n v="0"/>
    <n v="1"/>
    <n v="1"/>
  </r>
  <r>
    <n v="213"/>
    <n v="214"/>
    <n v="0.1212"/>
    <x v="47"/>
    <x v="7"/>
    <n v="1"/>
    <n v="2"/>
    <n v="3"/>
  </r>
  <r>
    <n v="214"/>
    <n v="215"/>
    <n v="0.1061"/>
    <x v="47"/>
    <x v="2"/>
    <n v="0"/>
    <n v="3"/>
    <n v="3"/>
  </r>
  <r>
    <n v="215"/>
    <n v="216"/>
    <n v="0.1212"/>
    <x v="20"/>
    <x v="3"/>
    <n v="0"/>
    <n v="31"/>
    <n v="31"/>
  </r>
  <r>
    <n v="216"/>
    <n v="217"/>
    <n v="0.1212"/>
    <x v="20"/>
    <x v="6"/>
    <n v="2"/>
    <n v="75"/>
    <n v="77"/>
  </r>
  <r>
    <n v="217"/>
    <n v="218"/>
    <n v="0.1212"/>
    <x v="20"/>
    <x v="3"/>
    <n v="4"/>
    <n v="184"/>
    <n v="188"/>
  </r>
  <r>
    <n v="218"/>
    <n v="219"/>
    <n v="0.1212"/>
    <x v="20"/>
    <x v="2"/>
    <n v="2"/>
    <n v="92"/>
    <n v="94"/>
  </r>
  <r>
    <n v="219"/>
    <n v="220"/>
    <n v="0.1212"/>
    <x v="20"/>
    <x v="4"/>
    <n v="0"/>
    <n v="31"/>
    <n v="31"/>
  </r>
  <r>
    <n v="220"/>
    <n v="221"/>
    <n v="0.13639999999999999"/>
    <x v="19"/>
    <x v="3"/>
    <n v="2"/>
    <n v="28"/>
    <n v="30"/>
  </r>
  <r>
    <n v="221"/>
    <n v="222"/>
    <n v="0.18179999999999999"/>
    <x v="22"/>
    <x v="3"/>
    <n v="5"/>
    <n v="47"/>
    <n v="52"/>
  </r>
  <r>
    <n v="222"/>
    <n v="223"/>
    <n v="0.18179999999999999"/>
    <x v="22"/>
    <x v="3"/>
    <n v="4"/>
    <n v="50"/>
    <n v="54"/>
  </r>
  <r>
    <n v="223"/>
    <n v="224"/>
    <n v="0.19700000000000001"/>
    <x v="22"/>
    <x v="6"/>
    <n v="0"/>
    <n v="47"/>
    <n v="47"/>
  </r>
  <r>
    <n v="224"/>
    <n v="225"/>
    <n v="0.19700000000000001"/>
    <x v="22"/>
    <x v="6"/>
    <n v="2"/>
    <n v="43"/>
    <n v="45"/>
  </r>
  <r>
    <n v="225"/>
    <n v="226"/>
    <n v="0.21210000000000001"/>
    <x v="22"/>
    <x v="7"/>
    <n v="4"/>
    <n v="70"/>
    <n v="74"/>
  </r>
  <r>
    <n v="226"/>
    <n v="227"/>
    <n v="0.2273"/>
    <x v="22"/>
    <x v="14"/>
    <n v="4"/>
    <n v="174"/>
    <n v="178"/>
  </r>
  <r>
    <n v="227"/>
    <n v="228"/>
    <n v="0.19700000000000001"/>
    <x v="22"/>
    <x v="6"/>
    <n v="1"/>
    <n v="154"/>
    <n v="155"/>
  </r>
  <r>
    <n v="228"/>
    <n v="229"/>
    <n v="0.16669999999999999"/>
    <x v="19"/>
    <x v="8"/>
    <n v="3"/>
    <n v="92"/>
    <n v="95"/>
  </r>
  <r>
    <n v="229"/>
    <n v="230"/>
    <n v="0.16669999999999999"/>
    <x v="20"/>
    <x v="8"/>
    <n v="1"/>
    <n v="73"/>
    <n v="74"/>
  </r>
  <r>
    <n v="230"/>
    <n v="231"/>
    <n v="0.13639999999999999"/>
    <x v="29"/>
    <x v="5"/>
    <n v="1"/>
    <n v="37"/>
    <n v="38"/>
  </r>
  <r>
    <n v="231"/>
    <n v="232"/>
    <n v="0.1515"/>
    <x v="29"/>
    <x v="8"/>
    <n v="2"/>
    <n v="22"/>
    <n v="24"/>
  </r>
  <r>
    <n v="232"/>
    <n v="233"/>
    <n v="0.1515"/>
    <x v="29"/>
    <x v="8"/>
    <n v="0"/>
    <n v="18"/>
    <n v="18"/>
  </r>
  <r>
    <n v="233"/>
    <n v="234"/>
    <n v="0.16669999999999999"/>
    <x v="29"/>
    <x v="14"/>
    <n v="2"/>
    <n v="10"/>
    <n v="12"/>
  </r>
  <r>
    <n v="234"/>
    <n v="235"/>
    <n v="0.1515"/>
    <x v="29"/>
    <x v="8"/>
    <n v="0"/>
    <n v="3"/>
    <n v="3"/>
  </r>
  <r>
    <n v="235"/>
    <n v="236"/>
    <n v="0.1515"/>
    <x v="28"/>
    <x v="5"/>
    <n v="0"/>
    <n v="3"/>
    <n v="3"/>
  </r>
  <r>
    <n v="236"/>
    <n v="237"/>
    <n v="0.18179999999999999"/>
    <x v="28"/>
    <x v="7"/>
    <n v="0"/>
    <n v="6"/>
    <n v="6"/>
  </r>
  <r>
    <n v="237"/>
    <n v="238"/>
    <n v="0.18179999999999999"/>
    <x v="28"/>
    <x v="7"/>
    <n v="0"/>
    <n v="27"/>
    <n v="27"/>
  </r>
  <r>
    <n v="238"/>
    <n v="239"/>
    <n v="0.2273"/>
    <x v="28"/>
    <x v="0"/>
    <n v="2"/>
    <n v="97"/>
    <n v="99"/>
  </r>
  <r>
    <n v="239"/>
    <n v="240"/>
    <n v="0.21210000000000001"/>
    <x v="33"/>
    <x v="1"/>
    <n v="3"/>
    <n v="214"/>
    <n v="217"/>
  </r>
  <r>
    <n v="240"/>
    <n v="241"/>
    <n v="0.19700000000000001"/>
    <x v="33"/>
    <x v="8"/>
    <n v="3"/>
    <n v="127"/>
    <n v="130"/>
  </r>
  <r>
    <n v="241"/>
    <n v="242"/>
    <n v="0.21210000000000001"/>
    <x v="33"/>
    <x v="8"/>
    <n v="3"/>
    <n v="51"/>
    <n v="54"/>
  </r>
  <r>
    <n v="242"/>
    <n v="243"/>
    <n v="0.21210000000000001"/>
    <x v="19"/>
    <x v="7"/>
    <n v="4"/>
    <n v="31"/>
    <n v="35"/>
  </r>
  <r>
    <n v="243"/>
    <n v="244"/>
    <n v="0.2273"/>
    <x v="33"/>
    <x v="14"/>
    <n v="2"/>
    <n v="55"/>
    <n v="57"/>
  </r>
  <r>
    <n v="244"/>
    <n v="245"/>
    <n v="0.2273"/>
    <x v="29"/>
    <x v="1"/>
    <n v="6"/>
    <n v="46"/>
    <n v="52"/>
  </r>
  <r>
    <n v="245"/>
    <n v="246"/>
    <n v="0.2273"/>
    <x v="29"/>
    <x v="1"/>
    <n v="3"/>
    <n v="60"/>
    <n v="63"/>
  </r>
  <r>
    <n v="246"/>
    <n v="247"/>
    <n v="0.19700000000000001"/>
    <x v="1"/>
    <x v="1"/>
    <n v="2"/>
    <n v="45"/>
    <n v="47"/>
  </r>
  <r>
    <n v="247"/>
    <n v="248"/>
    <n v="0.1515"/>
    <x v="3"/>
    <x v="6"/>
    <n v="4"/>
    <n v="72"/>
    <n v="76"/>
  </r>
  <r>
    <n v="248"/>
    <n v="249"/>
    <n v="0.1515"/>
    <x v="3"/>
    <x v="6"/>
    <n v="6"/>
    <n v="130"/>
    <n v="136"/>
  </r>
  <r>
    <n v="249"/>
    <n v="250"/>
    <n v="0.18179999999999999"/>
    <x v="43"/>
    <x v="14"/>
    <n v="1"/>
    <n v="94"/>
    <n v="95"/>
  </r>
  <r>
    <n v="250"/>
    <n v="251"/>
    <n v="0.2273"/>
    <x v="43"/>
    <x v="0"/>
    <n v="0"/>
    <n v="51"/>
    <n v="51"/>
  </r>
  <r>
    <n v="251"/>
    <n v="252"/>
    <n v="0.1515"/>
    <x v="43"/>
    <x v="5"/>
    <n v="0"/>
    <n v="32"/>
    <n v="32"/>
  </r>
  <r>
    <n v="252"/>
    <n v="253"/>
    <n v="0.19700000000000001"/>
    <x v="3"/>
    <x v="1"/>
    <n v="0"/>
    <n v="20"/>
    <n v="20"/>
  </r>
  <r>
    <n v="253"/>
    <n v="254"/>
    <n v="0.18179999999999999"/>
    <x v="43"/>
    <x v="14"/>
    <n v="1"/>
    <n v="28"/>
    <n v="29"/>
  </r>
  <r>
    <n v="254"/>
    <n v="255"/>
    <n v="0.19700000000000001"/>
    <x v="43"/>
    <x v="1"/>
    <n v="1"/>
    <n v="18"/>
    <n v="19"/>
  </r>
  <r>
    <n v="255"/>
    <n v="256"/>
    <n v="0.19700000000000001"/>
    <x v="3"/>
    <x v="1"/>
    <n v="0"/>
    <n v="7"/>
    <n v="7"/>
  </r>
  <r>
    <n v="256"/>
    <n v="257"/>
    <n v="0.18179999999999999"/>
    <x v="3"/>
    <x v="14"/>
    <n v="0"/>
    <n v="6"/>
    <n v="6"/>
  </r>
  <r>
    <n v="257"/>
    <n v="258"/>
    <n v="0.1515"/>
    <x v="3"/>
    <x v="7"/>
    <n v="0"/>
    <n v="1"/>
    <n v="1"/>
  </r>
  <r>
    <n v="258"/>
    <n v="259"/>
    <n v="0.1515"/>
    <x v="3"/>
    <x v="8"/>
    <n v="0"/>
    <n v="5"/>
    <n v="5"/>
  </r>
  <r>
    <n v="259"/>
    <n v="260"/>
    <n v="0.1515"/>
    <x v="43"/>
    <x v="7"/>
    <n v="0"/>
    <n v="16"/>
    <n v="16"/>
  </r>
  <r>
    <n v="260"/>
    <n v="261"/>
    <n v="0.1515"/>
    <x v="27"/>
    <x v="7"/>
    <n v="0"/>
    <n v="54"/>
    <n v="54"/>
  </r>
  <r>
    <n v="261"/>
    <n v="262"/>
    <n v="0.16669999999999999"/>
    <x v="29"/>
    <x v="8"/>
    <n v="3"/>
    <n v="125"/>
    <n v="128"/>
  </r>
  <r>
    <n v="262"/>
    <n v="263"/>
    <n v="0.13639999999999999"/>
    <x v="29"/>
    <x v="9"/>
    <n v="3"/>
    <n v="78"/>
    <n v="81"/>
  </r>
  <r>
    <n v="263"/>
    <n v="264"/>
    <n v="0.18179999999999999"/>
    <x v="28"/>
    <x v="6"/>
    <n v="0"/>
    <n v="39"/>
    <n v="39"/>
  </r>
  <r>
    <n v="264"/>
    <n v="265"/>
    <n v="0.18179999999999999"/>
    <x v="33"/>
    <x v="13"/>
    <n v="3"/>
    <n v="32"/>
    <n v="35"/>
  </r>
  <r>
    <n v="265"/>
    <n v="266"/>
    <n v="0.1515"/>
    <x v="19"/>
    <x v="19"/>
    <n v="3"/>
    <n v="52"/>
    <n v="55"/>
  </r>
  <r>
    <n v="266"/>
    <n v="267"/>
    <n v="0.19700000000000001"/>
    <x v="18"/>
    <x v="11"/>
    <n v="0"/>
    <n v="49"/>
    <n v="49"/>
  </r>
  <r>
    <n v="267"/>
    <n v="268"/>
    <n v="0.18179999999999999"/>
    <x v="19"/>
    <x v="9"/>
    <n v="0"/>
    <n v="44"/>
    <n v="44"/>
  </r>
  <r>
    <n v="268"/>
    <n v="269"/>
    <n v="0.16669999999999999"/>
    <x v="19"/>
    <x v="12"/>
    <n v="1"/>
    <n v="48"/>
    <n v="49"/>
  </r>
  <r>
    <n v="269"/>
    <n v="270"/>
    <n v="0.19700000000000001"/>
    <x v="18"/>
    <x v="9"/>
    <n v="5"/>
    <n v="63"/>
    <n v="68"/>
  </r>
  <r>
    <n v="270"/>
    <n v="271"/>
    <n v="0.18179999999999999"/>
    <x v="19"/>
    <x v="11"/>
    <n v="0"/>
    <n v="139"/>
    <n v="139"/>
  </r>
  <r>
    <n v="271"/>
    <n v="272"/>
    <n v="0.1515"/>
    <x v="19"/>
    <x v="18"/>
    <n v="2"/>
    <n v="135"/>
    <n v="137"/>
  </r>
  <r>
    <n v="272"/>
    <n v="273"/>
    <n v="0.1515"/>
    <x v="19"/>
    <x v="12"/>
    <n v="1"/>
    <n v="82"/>
    <n v="83"/>
  </r>
  <r>
    <n v="273"/>
    <n v="274"/>
    <n v="0.13639999999999999"/>
    <x v="20"/>
    <x v="9"/>
    <n v="2"/>
    <n v="54"/>
    <n v="56"/>
  </r>
  <r>
    <n v="274"/>
    <n v="275"/>
    <n v="0.13639999999999999"/>
    <x v="28"/>
    <x v="9"/>
    <n v="0"/>
    <n v="57"/>
    <n v="57"/>
  </r>
  <r>
    <n v="275"/>
    <n v="276"/>
    <n v="0.1212"/>
    <x v="28"/>
    <x v="10"/>
    <n v="1"/>
    <n v="32"/>
    <n v="33"/>
  </r>
  <r>
    <n v="276"/>
    <n v="277"/>
    <n v="0.1061"/>
    <x v="29"/>
    <x v="12"/>
    <n v="1"/>
    <n v="19"/>
    <n v="20"/>
  </r>
  <r>
    <n v="277"/>
    <n v="278"/>
    <n v="0.1212"/>
    <x v="29"/>
    <x v="3"/>
    <n v="1"/>
    <n v="6"/>
    <n v="7"/>
  </r>
  <r>
    <n v="278"/>
    <n v="279"/>
    <n v="0.1212"/>
    <x v="20"/>
    <x v="3"/>
    <n v="0"/>
    <n v="2"/>
    <n v="2"/>
  </r>
  <r>
    <n v="279"/>
    <n v="280"/>
    <n v="0.1212"/>
    <x v="20"/>
    <x v="11"/>
    <n v="0"/>
    <n v="2"/>
    <n v="2"/>
  </r>
  <r>
    <n v="280"/>
    <n v="281"/>
    <n v="0.1212"/>
    <x v="20"/>
    <x v="9"/>
    <n v="0"/>
    <n v="3"/>
    <n v="3"/>
  </r>
  <r>
    <n v="281"/>
    <n v="282"/>
    <n v="0.1212"/>
    <x v="20"/>
    <x v="2"/>
    <n v="0"/>
    <n v="4"/>
    <n v="4"/>
  </r>
  <r>
    <n v="282"/>
    <n v="283"/>
    <n v="0.1212"/>
    <x v="20"/>
    <x v="4"/>
    <n v="0"/>
    <n v="3"/>
    <n v="3"/>
  </r>
  <r>
    <n v="283"/>
    <n v="284"/>
    <n v="0.1515"/>
    <x v="47"/>
    <x v="7"/>
    <n v="0"/>
    <n v="28"/>
    <n v="28"/>
  </r>
  <r>
    <n v="284"/>
    <n v="285"/>
    <n v="0.1515"/>
    <x v="47"/>
    <x v="7"/>
    <n v="0"/>
    <n v="72"/>
    <n v="72"/>
  </r>
  <r>
    <n v="285"/>
    <n v="286"/>
    <n v="0.13639999999999999"/>
    <x v="20"/>
    <x v="5"/>
    <n v="5"/>
    <n v="197"/>
    <n v="202"/>
  </r>
  <r>
    <n v="286"/>
    <n v="287"/>
    <n v="0.1212"/>
    <x v="20"/>
    <x v="9"/>
    <n v="2"/>
    <n v="137"/>
    <n v="139"/>
  </r>
  <r>
    <n v="287"/>
    <n v="288"/>
    <n v="0.13639999999999999"/>
    <x v="20"/>
    <x v="11"/>
    <n v="2"/>
    <n v="36"/>
    <n v="38"/>
  </r>
  <r>
    <n v="288"/>
    <n v="289"/>
    <n v="0.16669999999999999"/>
    <x v="18"/>
    <x v="10"/>
    <n v="4"/>
    <n v="33"/>
    <n v="37"/>
  </r>
  <r>
    <n v="289"/>
    <n v="290"/>
    <n v="0.16669999999999999"/>
    <x v="18"/>
    <x v="12"/>
    <n v="3"/>
    <n v="49"/>
    <n v="52"/>
  </r>
  <r>
    <n v="290"/>
    <n v="291"/>
    <n v="0.19700000000000001"/>
    <x v="48"/>
    <x v="10"/>
    <n v="2"/>
    <n v="81"/>
    <n v="83"/>
  </r>
  <r>
    <n v="291"/>
    <n v="292"/>
    <n v="0.19700000000000001"/>
    <x v="48"/>
    <x v="13"/>
    <n v="3"/>
    <n v="39"/>
    <n v="42"/>
  </r>
  <r>
    <n v="292"/>
    <n v="293"/>
    <n v="0.21210000000000001"/>
    <x v="41"/>
    <x v="4"/>
    <n v="5"/>
    <n v="55"/>
    <n v="60"/>
  </r>
  <r>
    <n v="293"/>
    <n v="294"/>
    <n v="0.21210000000000001"/>
    <x v="41"/>
    <x v="11"/>
    <n v="2"/>
    <n v="76"/>
    <n v="78"/>
  </r>
  <r>
    <n v="294"/>
    <n v="295"/>
    <n v="0.18179999999999999"/>
    <x v="22"/>
    <x v="3"/>
    <n v="4"/>
    <n v="158"/>
    <n v="162"/>
  </r>
  <r>
    <n v="295"/>
    <n v="296"/>
    <n v="0.18179999999999999"/>
    <x v="22"/>
    <x v="9"/>
    <n v="3"/>
    <n v="141"/>
    <n v="144"/>
  </r>
  <r>
    <n v="296"/>
    <n v="297"/>
    <n v="0.1515"/>
    <x v="19"/>
    <x v="2"/>
    <n v="1"/>
    <n v="98"/>
    <n v="99"/>
  </r>
  <r>
    <n v="297"/>
    <n v="298"/>
    <n v="0.1515"/>
    <x v="19"/>
    <x v="6"/>
    <n v="0"/>
    <n v="64"/>
    <n v="64"/>
  </r>
  <r>
    <n v="298"/>
    <n v="299"/>
    <n v="0.1212"/>
    <x v="15"/>
    <x v="4"/>
    <n v="0"/>
    <n v="40"/>
    <n v="40"/>
  </r>
  <r>
    <n v="299"/>
    <n v="300"/>
    <n v="0.1212"/>
    <x v="15"/>
    <x v="9"/>
    <n v="0"/>
    <n v="30"/>
    <n v="30"/>
  </r>
  <r>
    <n v="300"/>
    <n v="301"/>
    <n v="0.13639999999999999"/>
    <x v="20"/>
    <x v="5"/>
    <n v="1"/>
    <n v="14"/>
    <n v="15"/>
  </r>
  <r>
    <n v="301"/>
    <n v="302"/>
    <n v="0.13639999999999999"/>
    <x v="20"/>
    <x v="5"/>
    <n v="0"/>
    <n v="14"/>
    <n v="14"/>
  </r>
  <r>
    <n v="302"/>
    <n v="303"/>
    <n v="0.1212"/>
    <x v="47"/>
    <x v="8"/>
    <n v="0"/>
    <n v="5"/>
    <n v="5"/>
  </r>
  <r>
    <n v="303"/>
    <n v="304"/>
    <n v="0.1212"/>
    <x v="47"/>
    <x v="7"/>
    <n v="0"/>
    <n v="1"/>
    <n v="1"/>
  </r>
  <r>
    <n v="304"/>
    <n v="305"/>
    <n v="0.13639999999999999"/>
    <x v="47"/>
    <x v="14"/>
    <n v="0"/>
    <n v="1"/>
    <n v="1"/>
  </r>
  <r>
    <n v="305"/>
    <n v="306"/>
    <n v="0.13639999999999999"/>
    <x v="47"/>
    <x v="1"/>
    <n v="0"/>
    <n v="8"/>
    <n v="8"/>
  </r>
  <r>
    <n v="306"/>
    <n v="307"/>
    <n v="0.18179999999999999"/>
    <x v="47"/>
    <x v="0"/>
    <n v="0"/>
    <n v="17"/>
    <n v="17"/>
  </r>
  <r>
    <n v="307"/>
    <n v="308"/>
    <n v="0.1212"/>
    <x v="32"/>
    <x v="8"/>
    <n v="0"/>
    <n v="70"/>
    <n v="70"/>
  </r>
  <r>
    <n v="308"/>
    <n v="309"/>
    <n v="0.16669999999999999"/>
    <x v="31"/>
    <x v="0"/>
    <n v="2"/>
    <n v="156"/>
    <n v="158"/>
  </r>
  <r>
    <n v="309"/>
    <n v="310"/>
    <n v="0.1515"/>
    <x v="27"/>
    <x v="7"/>
    <n v="0"/>
    <n v="117"/>
    <n v="117"/>
  </r>
  <r>
    <n v="310"/>
    <n v="311"/>
    <n v="0.18179999999999999"/>
    <x v="28"/>
    <x v="5"/>
    <n v="4"/>
    <n v="40"/>
    <n v="44"/>
  </r>
  <r>
    <n v="311"/>
    <n v="312"/>
    <n v="0.16669999999999999"/>
    <x v="33"/>
    <x v="3"/>
    <n v="6"/>
    <n v="47"/>
    <n v="53"/>
  </r>
  <r>
    <n v="312"/>
    <n v="313"/>
    <n v="0.19700000000000001"/>
    <x v="18"/>
    <x v="2"/>
    <n v="2"/>
    <n v="59"/>
    <n v="61"/>
  </r>
  <r>
    <n v="313"/>
    <n v="314"/>
    <n v="0.19700000000000001"/>
    <x v="38"/>
    <x v="13"/>
    <n v="4"/>
    <n v="73"/>
    <n v="77"/>
  </r>
  <r>
    <n v="314"/>
    <n v="315"/>
    <n v="0.21210000000000001"/>
    <x v="48"/>
    <x v="3"/>
    <n v="5"/>
    <n v="59"/>
    <n v="64"/>
  </r>
  <r>
    <n v="315"/>
    <n v="316"/>
    <n v="0.2424"/>
    <x v="41"/>
    <x v="8"/>
    <n v="9"/>
    <n v="59"/>
    <n v="68"/>
  </r>
  <r>
    <n v="316"/>
    <n v="317"/>
    <n v="0.2424"/>
    <x v="48"/>
    <x v="14"/>
    <n v="3"/>
    <n v="87"/>
    <n v="90"/>
  </r>
  <r>
    <n v="317"/>
    <n v="318"/>
    <n v="0.2273"/>
    <x v="48"/>
    <x v="8"/>
    <n v="4"/>
    <n v="155"/>
    <n v="159"/>
  </r>
  <r>
    <n v="318"/>
    <n v="319"/>
    <n v="0.2576"/>
    <x v="19"/>
    <x v="0"/>
    <n v="5"/>
    <n v="134"/>
    <n v="139"/>
  </r>
  <r>
    <n v="319"/>
    <n v="320"/>
    <n v="0.19700000000000001"/>
    <x v="29"/>
    <x v="1"/>
    <n v="3"/>
    <n v="89"/>
    <n v="92"/>
  </r>
  <r>
    <n v="320"/>
    <n v="321"/>
    <n v="0.2424"/>
    <x v="29"/>
    <x v="0"/>
    <n v="0"/>
    <n v="68"/>
    <n v="68"/>
  </r>
  <r>
    <n v="321"/>
    <n v="322"/>
    <n v="0.2273"/>
    <x v="27"/>
    <x v="0"/>
    <n v="4"/>
    <n v="48"/>
    <n v="52"/>
  </r>
  <r>
    <n v="322"/>
    <n v="323"/>
    <n v="0.2273"/>
    <x v="27"/>
    <x v="0"/>
    <n v="2"/>
    <n v="34"/>
    <n v="36"/>
  </r>
  <r>
    <n v="323"/>
    <n v="324"/>
    <n v="0.2424"/>
    <x v="28"/>
    <x v="0"/>
    <n v="1"/>
    <n v="26"/>
    <n v="27"/>
  </r>
  <r>
    <n v="324"/>
    <n v="325"/>
    <n v="0.2424"/>
    <x v="28"/>
    <x v="0"/>
    <n v="3"/>
    <n v="25"/>
    <n v="28"/>
  </r>
  <r>
    <n v="325"/>
    <n v="326"/>
    <n v="0.19700000000000001"/>
    <x v="29"/>
    <x v="1"/>
    <n v="2"/>
    <n v="18"/>
    <n v="20"/>
  </r>
  <r>
    <n v="326"/>
    <n v="327"/>
    <n v="0.19700000000000001"/>
    <x v="29"/>
    <x v="1"/>
    <n v="0"/>
    <n v="12"/>
    <n v="12"/>
  </r>
  <r>
    <n v="327"/>
    <n v="328"/>
    <n v="0.2273"/>
    <x v="29"/>
    <x v="0"/>
    <n v="1"/>
    <n v="7"/>
    <n v="8"/>
  </r>
  <r>
    <n v="328"/>
    <n v="329"/>
    <n v="0.2273"/>
    <x v="29"/>
    <x v="0"/>
    <n v="0"/>
    <n v="5"/>
    <n v="5"/>
  </r>
  <r>
    <n v="329"/>
    <n v="330"/>
    <n v="0.2273"/>
    <x v="29"/>
    <x v="0"/>
    <n v="0"/>
    <n v="1"/>
    <n v="1"/>
  </r>
  <r>
    <n v="330"/>
    <n v="331"/>
    <n v="0.16669999999999999"/>
    <x v="30"/>
    <x v="14"/>
    <n v="1"/>
    <n v="2"/>
    <n v="3"/>
  </r>
  <r>
    <n v="331"/>
    <n v="332"/>
    <n v="0.21210000000000001"/>
    <x v="30"/>
    <x v="0"/>
    <n v="1"/>
    <n v="9"/>
    <n v="10"/>
  </r>
  <r>
    <n v="332"/>
    <n v="333"/>
    <n v="0.1515"/>
    <x v="30"/>
    <x v="7"/>
    <n v="1"/>
    <n v="22"/>
    <n v="23"/>
  </r>
  <r>
    <n v="333"/>
    <n v="334"/>
    <n v="0.18179999999999999"/>
    <x v="26"/>
    <x v="7"/>
    <n v="2"/>
    <n v="31"/>
    <n v="33"/>
  </r>
  <r>
    <n v="334"/>
    <n v="335"/>
    <n v="0.19700000000000001"/>
    <x v="29"/>
    <x v="8"/>
    <n v="2"/>
    <n v="57"/>
    <n v="59"/>
  </r>
  <r>
    <n v="335"/>
    <n v="336"/>
    <n v="0.19700000000000001"/>
    <x v="28"/>
    <x v="6"/>
    <n v="18"/>
    <n v="54"/>
    <n v="72"/>
  </r>
  <r>
    <n v="336"/>
    <n v="337"/>
    <n v="0.2273"/>
    <x v="37"/>
    <x v="6"/>
    <n v="15"/>
    <n v="74"/>
    <n v="89"/>
  </r>
  <r>
    <n v="337"/>
    <n v="338"/>
    <n v="0.2576"/>
    <x v="41"/>
    <x v="4"/>
    <n v="21"/>
    <n v="80"/>
    <n v="101"/>
  </r>
  <r>
    <n v="338"/>
    <n v="339"/>
    <n v="0.28789999999999999"/>
    <x v="17"/>
    <x v="3"/>
    <n v="26"/>
    <n v="92"/>
    <n v="118"/>
  </r>
  <r>
    <n v="339"/>
    <n v="340"/>
    <n v="0.31819999999999998"/>
    <x v="42"/>
    <x v="5"/>
    <n v="21"/>
    <n v="108"/>
    <n v="129"/>
  </r>
  <r>
    <n v="340"/>
    <n v="341"/>
    <n v="0.33329999999999999"/>
    <x v="46"/>
    <x v="5"/>
    <n v="33"/>
    <n v="95"/>
    <n v="128"/>
  </r>
  <r>
    <n v="341"/>
    <n v="342"/>
    <n v="0.30299999999999999"/>
    <x v="42"/>
    <x v="3"/>
    <n v="29"/>
    <n v="54"/>
    <n v="83"/>
  </r>
  <r>
    <n v="342"/>
    <n v="343"/>
    <n v="0.28789999999999999"/>
    <x v="49"/>
    <x v="2"/>
    <n v="15"/>
    <n v="69"/>
    <n v="84"/>
  </r>
  <r>
    <n v="343"/>
    <n v="344"/>
    <n v="0.30299999999999999"/>
    <x v="17"/>
    <x v="2"/>
    <n v="14"/>
    <n v="60"/>
    <n v="74"/>
  </r>
  <r>
    <n v="344"/>
    <n v="345"/>
    <n v="0.30299999999999999"/>
    <x v="17"/>
    <x v="2"/>
    <n v="6"/>
    <n v="35"/>
    <n v="41"/>
  </r>
  <r>
    <n v="345"/>
    <n v="346"/>
    <n v="0.30299999999999999"/>
    <x v="17"/>
    <x v="6"/>
    <n v="6"/>
    <n v="51"/>
    <n v="57"/>
  </r>
  <r>
    <n v="346"/>
    <n v="347"/>
    <n v="0.31819999999999998"/>
    <x v="16"/>
    <x v="14"/>
    <n v="0"/>
    <n v="26"/>
    <n v="26"/>
  </r>
  <r>
    <n v="347"/>
    <n v="348"/>
    <n v="0.28789999999999999"/>
    <x v="49"/>
    <x v="3"/>
    <n v="5"/>
    <n v="39"/>
    <n v="44"/>
  </r>
  <r>
    <n v="348"/>
    <n v="349"/>
    <n v="0.30299999999999999"/>
    <x v="34"/>
    <x v="0"/>
    <n v="6"/>
    <n v="33"/>
    <n v="39"/>
  </r>
  <r>
    <n v="349"/>
    <n v="350"/>
    <n v="0.2727"/>
    <x v="34"/>
    <x v="7"/>
    <n v="4"/>
    <n v="19"/>
    <n v="23"/>
  </r>
  <r>
    <n v="350"/>
    <n v="351"/>
    <n v="0.28789999999999999"/>
    <x v="34"/>
    <x v="1"/>
    <n v="3"/>
    <n v="13"/>
    <n v="16"/>
  </r>
  <r>
    <n v="351"/>
    <n v="352"/>
    <n v="0.2727"/>
    <x v="27"/>
    <x v="0"/>
    <n v="9"/>
    <n v="6"/>
    <n v="15"/>
  </r>
  <r>
    <n v="352"/>
    <n v="353"/>
    <n v="0.2576"/>
    <x v="34"/>
    <x v="8"/>
    <n v="0"/>
    <n v="1"/>
    <n v="1"/>
  </r>
  <r>
    <n v="353"/>
    <n v="354"/>
    <n v="0.2576"/>
    <x v="34"/>
    <x v="8"/>
    <n v="1"/>
    <n v="1"/>
    <n v="2"/>
  </r>
  <r>
    <n v="354"/>
    <n v="355"/>
    <n v="0.2576"/>
    <x v="34"/>
    <x v="8"/>
    <n v="0"/>
    <n v="1"/>
    <n v="1"/>
  </r>
  <r>
    <n v="355"/>
    <n v="356"/>
    <n v="0.21210000000000001"/>
    <x v="34"/>
    <x v="4"/>
    <n v="0"/>
    <n v="3"/>
    <n v="3"/>
  </r>
  <r>
    <n v="356"/>
    <n v="357"/>
    <n v="0.21210000000000001"/>
    <x v="28"/>
    <x v="3"/>
    <n v="0"/>
    <n v="18"/>
    <n v="18"/>
  </r>
  <r>
    <n v="357"/>
    <n v="358"/>
    <n v="0.21210000000000001"/>
    <x v="33"/>
    <x v="2"/>
    <n v="3"/>
    <n v="29"/>
    <n v="32"/>
  </r>
  <r>
    <n v="358"/>
    <n v="359"/>
    <n v="0.21210000000000001"/>
    <x v="33"/>
    <x v="3"/>
    <n v="8"/>
    <n v="71"/>
    <n v="79"/>
  </r>
  <r>
    <n v="359"/>
    <n v="360"/>
    <n v="0.2273"/>
    <x v="18"/>
    <x v="2"/>
    <n v="23"/>
    <n v="70"/>
    <n v="93"/>
  </r>
  <r>
    <n v="360"/>
    <n v="361"/>
    <n v="0.21210000000000001"/>
    <x v="48"/>
    <x v="3"/>
    <n v="29"/>
    <n v="75"/>
    <n v="104"/>
  </r>
  <r>
    <n v="361"/>
    <n v="362"/>
    <n v="0.2273"/>
    <x v="23"/>
    <x v="4"/>
    <n v="23"/>
    <n v="95"/>
    <n v="118"/>
  </r>
  <r>
    <n v="362"/>
    <n v="363"/>
    <n v="0.2727"/>
    <x v="42"/>
    <x v="2"/>
    <n v="22"/>
    <n v="69"/>
    <n v="91"/>
  </r>
  <r>
    <n v="363"/>
    <n v="364"/>
    <n v="0.2424"/>
    <x v="41"/>
    <x v="2"/>
    <n v="35"/>
    <n v="78"/>
    <n v="113"/>
  </r>
  <r>
    <n v="364"/>
    <n v="365"/>
    <n v="0.2273"/>
    <x v="41"/>
    <x v="6"/>
    <n v="22"/>
    <n v="77"/>
    <n v="99"/>
  </r>
  <r>
    <n v="365"/>
    <n v="366"/>
    <n v="0.21210000000000001"/>
    <x v="38"/>
    <x v="2"/>
    <n v="23"/>
    <n v="82"/>
    <n v="105"/>
  </r>
  <r>
    <n v="366"/>
    <n v="367"/>
    <n v="0.21210000000000001"/>
    <x v="22"/>
    <x v="8"/>
    <n v="11"/>
    <n v="56"/>
    <n v="67"/>
  </r>
  <r>
    <n v="367"/>
    <n v="368"/>
    <n v="0.19700000000000001"/>
    <x v="19"/>
    <x v="7"/>
    <n v="14"/>
    <n v="47"/>
    <n v="61"/>
  </r>
  <r>
    <n v="368"/>
    <n v="369"/>
    <n v="0.19700000000000001"/>
    <x v="19"/>
    <x v="8"/>
    <n v="7"/>
    <n v="50"/>
    <n v="57"/>
  </r>
  <r>
    <n v="369"/>
    <n v="370"/>
    <n v="0.19700000000000001"/>
    <x v="33"/>
    <x v="8"/>
    <n v="6"/>
    <n v="22"/>
    <n v="28"/>
  </r>
  <r>
    <n v="370"/>
    <n v="371"/>
    <n v="0.21210000000000001"/>
    <x v="36"/>
    <x v="7"/>
    <n v="2"/>
    <n v="19"/>
    <n v="21"/>
  </r>
  <r>
    <n v="371"/>
    <n v="372"/>
    <n v="0.2273"/>
    <x v="22"/>
    <x v="14"/>
    <n v="0"/>
    <n v="18"/>
    <n v="18"/>
  </r>
  <r>
    <n v="372"/>
    <n v="373"/>
    <n v="0.19700000000000001"/>
    <x v="19"/>
    <x v="6"/>
    <n v="1"/>
    <n v="16"/>
    <n v="17"/>
  </r>
  <r>
    <n v="373"/>
    <n v="374"/>
    <n v="0.19700000000000001"/>
    <x v="18"/>
    <x v="5"/>
    <n v="1"/>
    <n v="15"/>
    <n v="16"/>
  </r>
  <r>
    <n v="374"/>
    <n v="375"/>
    <n v="0.16669999999999999"/>
    <x v="21"/>
    <x v="2"/>
    <n v="0"/>
    <n v="8"/>
    <n v="8"/>
  </r>
  <r>
    <n v="375"/>
    <n v="376"/>
    <n v="0.18179999999999999"/>
    <x v="21"/>
    <x v="5"/>
    <n v="0"/>
    <n v="2"/>
    <n v="2"/>
  </r>
  <r>
    <n v="376"/>
    <n v="377"/>
    <n v="0.19700000000000001"/>
    <x v="21"/>
    <x v="7"/>
    <n v="1"/>
    <n v="2"/>
    <n v="3"/>
  </r>
  <r>
    <n v="377"/>
    <n v="378"/>
    <n v="0.19700000000000001"/>
    <x v="21"/>
    <x v="8"/>
    <n v="0"/>
    <n v="1"/>
    <n v="1"/>
  </r>
  <r>
    <n v="378"/>
    <n v="379"/>
    <n v="0.18179999999999999"/>
    <x v="21"/>
    <x v="5"/>
    <n v="0"/>
    <n v="5"/>
    <n v="5"/>
  </r>
  <r>
    <n v="379"/>
    <n v="380"/>
    <n v="0.18179999999999999"/>
    <x v="20"/>
    <x v="7"/>
    <n v="4"/>
    <n v="9"/>
    <n v="13"/>
  </r>
  <r>
    <n v="380"/>
    <n v="381"/>
    <n v="0.1515"/>
    <x v="19"/>
    <x v="6"/>
    <n v="3"/>
    <n v="30"/>
    <n v="33"/>
  </r>
  <r>
    <n v="381"/>
    <n v="382"/>
    <n v="0.1515"/>
    <x v="19"/>
    <x v="6"/>
    <n v="8"/>
    <n v="39"/>
    <n v="47"/>
  </r>
  <r>
    <n v="382"/>
    <n v="383"/>
    <n v="0.1515"/>
    <x v="20"/>
    <x v="2"/>
    <n v="7"/>
    <n v="50"/>
    <n v="57"/>
  </r>
  <r>
    <n v="383"/>
    <n v="384"/>
    <n v="0.1515"/>
    <x v="28"/>
    <x v="5"/>
    <n v="9"/>
    <n v="55"/>
    <n v="64"/>
  </r>
  <r>
    <n v="384"/>
    <n v="385"/>
    <n v="0.19700000000000001"/>
    <x v="19"/>
    <x v="7"/>
    <n v="10"/>
    <n v="70"/>
    <n v="80"/>
  </r>
  <r>
    <n v="385"/>
    <n v="386"/>
    <n v="0.19700000000000001"/>
    <x v="19"/>
    <x v="7"/>
    <n v="13"/>
    <n v="80"/>
    <n v="93"/>
  </r>
  <r>
    <n v="386"/>
    <n v="387"/>
    <n v="0.21210000000000001"/>
    <x v="21"/>
    <x v="14"/>
    <n v="12"/>
    <n v="74"/>
    <n v="86"/>
  </r>
  <r>
    <n v="387"/>
    <n v="388"/>
    <n v="0.21210000000000001"/>
    <x v="19"/>
    <x v="8"/>
    <n v="21"/>
    <n v="72"/>
    <n v="93"/>
  </r>
  <r>
    <n v="388"/>
    <n v="389"/>
    <n v="0.21210000000000001"/>
    <x v="19"/>
    <x v="8"/>
    <n v="6"/>
    <n v="76"/>
    <n v="82"/>
  </r>
  <r>
    <n v="389"/>
    <n v="390"/>
    <n v="0.19700000000000001"/>
    <x v="33"/>
    <x v="5"/>
    <n v="4"/>
    <n v="67"/>
    <n v="71"/>
  </r>
  <r>
    <n v="390"/>
    <n v="391"/>
    <n v="0.16669999999999999"/>
    <x v="28"/>
    <x v="2"/>
    <n v="7"/>
    <n v="85"/>
    <n v="92"/>
  </r>
  <r>
    <n v="391"/>
    <n v="392"/>
    <n v="0.18179999999999999"/>
    <x v="29"/>
    <x v="5"/>
    <n v="2"/>
    <n v="58"/>
    <n v="60"/>
  </r>
  <r>
    <n v="392"/>
    <n v="393"/>
    <n v="0.1515"/>
    <x v="1"/>
    <x v="5"/>
    <n v="4"/>
    <n v="29"/>
    <n v="33"/>
  </r>
  <r>
    <n v="393"/>
    <n v="394"/>
    <n v="0.1515"/>
    <x v="1"/>
    <x v="5"/>
    <n v="3"/>
    <n v="24"/>
    <n v="27"/>
  </r>
  <r>
    <n v="394"/>
    <n v="395"/>
    <n v="0.1212"/>
    <x v="43"/>
    <x v="2"/>
    <n v="0"/>
    <n v="13"/>
    <n v="13"/>
  </r>
  <r>
    <n v="395"/>
    <n v="396"/>
    <n v="0.13639999999999999"/>
    <x v="3"/>
    <x v="3"/>
    <n v="1"/>
    <n v="3"/>
    <n v="4"/>
  </r>
  <r>
    <n v="396"/>
    <n v="397"/>
    <n v="0.18179999999999999"/>
    <x v="3"/>
    <x v="9"/>
    <n v="0"/>
    <n v="3"/>
    <n v="3"/>
  </r>
  <r>
    <n v="397"/>
    <n v="398"/>
    <n v="0.19700000000000001"/>
    <x v="3"/>
    <x v="6"/>
    <n v="0"/>
    <n v="22"/>
    <n v="22"/>
  </r>
  <r>
    <n v="398"/>
    <n v="399"/>
    <n v="0.2273"/>
    <x v="1"/>
    <x v="8"/>
    <n v="2"/>
    <n v="26"/>
    <n v="28"/>
  </r>
  <r>
    <n v="399"/>
    <n v="400"/>
    <n v="0.2273"/>
    <x v="9"/>
    <x v="8"/>
    <n v="3"/>
    <n v="32"/>
    <n v="35"/>
  </r>
  <r>
    <n v="400"/>
    <n v="401"/>
    <n v="0.2273"/>
    <x v="9"/>
    <x v="5"/>
    <n v="0"/>
    <n v="61"/>
    <n v="61"/>
  </r>
  <r>
    <n v="401"/>
    <n v="402"/>
    <n v="0.2273"/>
    <x v="7"/>
    <x v="5"/>
    <n v="1"/>
    <n v="124"/>
    <n v="125"/>
  </r>
  <r>
    <n v="402"/>
    <n v="403"/>
    <n v="0.2273"/>
    <x v="1"/>
    <x v="8"/>
    <n v="1"/>
    <n v="132"/>
    <n v="133"/>
  </r>
  <r>
    <n v="403"/>
    <n v="404"/>
    <n v="0.2273"/>
    <x v="1"/>
    <x v="7"/>
    <n v="1"/>
    <n v="98"/>
    <n v="99"/>
  </r>
  <r>
    <n v="404"/>
    <n v="405"/>
    <n v="0.2727"/>
    <x v="9"/>
    <x v="0"/>
    <n v="0"/>
    <n v="83"/>
    <n v="83"/>
  </r>
  <r>
    <n v="405"/>
    <n v="406"/>
    <n v="0.2424"/>
    <x v="43"/>
    <x v="14"/>
    <n v="0"/>
    <n v="41"/>
    <n v="41"/>
  </r>
  <r>
    <n v="406"/>
    <n v="407"/>
    <n v="0.2576"/>
    <x v="43"/>
    <x v="1"/>
    <n v="0"/>
    <n v="33"/>
    <n v="33"/>
  </r>
  <r>
    <n v="407"/>
    <n v="408"/>
    <n v="0.2727"/>
    <x v="43"/>
    <x v="0"/>
    <n v="1"/>
    <n v="19"/>
    <n v="20"/>
  </r>
  <r>
    <n v="408"/>
    <n v="409"/>
    <n v="0.2727"/>
    <x v="43"/>
    <x v="0"/>
    <n v="0"/>
    <n v="3"/>
    <n v="3"/>
  </r>
  <r>
    <n v="409"/>
    <n v="410"/>
    <n v="0.2273"/>
    <x v="43"/>
    <x v="7"/>
    <n v="1"/>
    <n v="6"/>
    <n v="7"/>
  </r>
  <r>
    <n v="410"/>
    <n v="411"/>
    <n v="0.2273"/>
    <x v="43"/>
    <x v="7"/>
    <n v="0"/>
    <n v="3"/>
    <n v="3"/>
  </r>
  <r>
    <n v="411"/>
    <n v="412"/>
    <n v="0.2273"/>
    <x v="43"/>
    <x v="7"/>
    <n v="1"/>
    <n v="1"/>
    <n v="2"/>
  </r>
  <r>
    <n v="412"/>
    <n v="413"/>
    <n v="0.2576"/>
    <x v="43"/>
    <x v="1"/>
    <n v="0"/>
    <n v="7"/>
    <n v="7"/>
  </r>
  <r>
    <n v="413"/>
    <n v="414"/>
    <n v="0.2576"/>
    <x v="43"/>
    <x v="1"/>
    <n v="0"/>
    <n v="32"/>
    <n v="32"/>
  </r>
  <r>
    <n v="414"/>
    <n v="415"/>
    <n v="0.2576"/>
    <x v="50"/>
    <x v="14"/>
    <n v="1"/>
    <n v="89"/>
    <n v="90"/>
  </r>
  <r>
    <n v="415"/>
    <n v="416"/>
    <n v="0.2576"/>
    <x v="43"/>
    <x v="14"/>
    <n v="1"/>
    <n v="196"/>
    <n v="197"/>
  </r>
  <r>
    <n v="416"/>
    <n v="417"/>
    <n v="0.2576"/>
    <x v="43"/>
    <x v="14"/>
    <n v="2"/>
    <n v="107"/>
    <n v="109"/>
  </r>
  <r>
    <n v="417"/>
    <n v="418"/>
    <n v="0.2727"/>
    <x v="43"/>
    <x v="7"/>
    <n v="1"/>
    <n v="46"/>
    <n v="47"/>
  </r>
  <r>
    <n v="418"/>
    <n v="419"/>
    <n v="0.30299999999999999"/>
    <x v="9"/>
    <x v="1"/>
    <n v="5"/>
    <n v="47"/>
    <n v="52"/>
  </r>
  <r>
    <n v="419"/>
    <n v="420"/>
    <n v="0.31819999999999998"/>
    <x v="0"/>
    <x v="1"/>
    <n v="5"/>
    <n v="65"/>
    <n v="70"/>
  </r>
  <r>
    <n v="420"/>
    <n v="421"/>
    <n v="0.40910000000000002"/>
    <x v="51"/>
    <x v="3"/>
    <n v="11"/>
    <n v="67"/>
    <n v="78"/>
  </r>
  <r>
    <n v="421"/>
    <n v="422"/>
    <n v="0.40910000000000002"/>
    <x v="52"/>
    <x v="2"/>
    <n v="7"/>
    <n v="68"/>
    <n v="75"/>
  </r>
  <r>
    <n v="422"/>
    <n v="423"/>
    <n v="0.40910000000000002"/>
    <x v="47"/>
    <x v="3"/>
    <n v="4"/>
    <n v="78"/>
    <n v="82"/>
  </r>
  <r>
    <n v="423"/>
    <n v="424"/>
    <n v="0.39389999999999997"/>
    <x v="52"/>
    <x v="13"/>
    <n v="10"/>
    <n v="94"/>
    <n v="104"/>
  </r>
  <r>
    <n v="424"/>
    <n v="425"/>
    <n v="0.33329999999999999"/>
    <x v="14"/>
    <x v="9"/>
    <n v="7"/>
    <n v="190"/>
    <n v="197"/>
  </r>
  <r>
    <n v="425"/>
    <n v="426"/>
    <n v="0.31819999999999998"/>
    <x v="53"/>
    <x v="3"/>
    <n v="5"/>
    <n v="156"/>
    <n v="161"/>
  </r>
  <r>
    <n v="426"/>
    <n v="427"/>
    <n v="0.28789999999999999"/>
    <x v="14"/>
    <x v="12"/>
    <n v="4"/>
    <n v="108"/>
    <n v="112"/>
  </r>
  <r>
    <n v="427"/>
    <n v="428"/>
    <n v="0.30299999999999999"/>
    <x v="36"/>
    <x v="4"/>
    <n v="2"/>
    <n v="74"/>
    <n v="76"/>
  </r>
  <r>
    <n v="428"/>
    <n v="429"/>
    <n v="0.28789999999999999"/>
    <x v="36"/>
    <x v="12"/>
    <n v="4"/>
    <n v="55"/>
    <n v="59"/>
  </r>
  <r>
    <n v="429"/>
    <n v="430"/>
    <n v="0.30299999999999999"/>
    <x v="35"/>
    <x v="8"/>
    <n v="6"/>
    <n v="53"/>
    <n v="59"/>
  </r>
  <r>
    <n v="430"/>
    <n v="431"/>
    <n v="0.2727"/>
    <x v="35"/>
    <x v="17"/>
    <n v="1"/>
    <n v="27"/>
    <n v="28"/>
  </r>
  <r>
    <n v="431"/>
    <n v="432"/>
    <n v="0.2273"/>
    <x v="34"/>
    <x v="13"/>
    <n v="5"/>
    <n v="8"/>
    <n v="13"/>
  </r>
  <r>
    <n v="432"/>
    <n v="433"/>
    <n v="0.2727"/>
    <x v="34"/>
    <x v="0"/>
    <n v="2"/>
    <n v="3"/>
    <n v="5"/>
  </r>
  <r>
    <n v="433"/>
    <n v="434"/>
    <n v="0.2727"/>
    <x v="34"/>
    <x v="0"/>
    <n v="0"/>
    <n v="2"/>
    <n v="2"/>
  </r>
  <r>
    <n v="434"/>
    <n v="435"/>
    <n v="0.2576"/>
    <x v="34"/>
    <x v="8"/>
    <n v="0"/>
    <n v="1"/>
    <n v="1"/>
  </r>
  <r>
    <n v="435"/>
    <n v="436"/>
    <n v="0.2576"/>
    <x v="34"/>
    <x v="8"/>
    <n v="0"/>
    <n v="1"/>
    <n v="1"/>
  </r>
  <r>
    <n v="436"/>
    <n v="437"/>
    <n v="0.2273"/>
    <x v="54"/>
    <x v="6"/>
    <n v="0"/>
    <n v="6"/>
    <n v="6"/>
  </r>
  <r>
    <n v="437"/>
    <n v="438"/>
    <n v="0.21210000000000001"/>
    <x v="54"/>
    <x v="6"/>
    <n v="0"/>
    <n v="35"/>
    <n v="35"/>
  </r>
  <r>
    <n v="438"/>
    <n v="439"/>
    <n v="0.21210000000000001"/>
    <x v="28"/>
    <x v="6"/>
    <n v="1"/>
    <n v="100"/>
    <n v="101"/>
  </r>
  <r>
    <n v="439"/>
    <n v="440"/>
    <n v="0.21210000000000001"/>
    <x v="28"/>
    <x v="3"/>
    <n v="2"/>
    <n v="247"/>
    <n v="249"/>
  </r>
  <r>
    <n v="440"/>
    <n v="441"/>
    <n v="0.2273"/>
    <x v="35"/>
    <x v="6"/>
    <n v="3"/>
    <n v="140"/>
    <n v="143"/>
  </r>
  <r>
    <n v="441"/>
    <n v="442"/>
    <n v="0.2273"/>
    <x v="37"/>
    <x v="4"/>
    <n v="1"/>
    <n v="56"/>
    <n v="57"/>
  </r>
  <r>
    <n v="442"/>
    <n v="443"/>
    <n v="0.2727"/>
    <x v="49"/>
    <x v="8"/>
    <n v="5"/>
    <n v="63"/>
    <n v="68"/>
  </r>
  <r>
    <n v="443"/>
    <n v="444"/>
    <n v="0.33329999999999999"/>
    <x v="16"/>
    <x v="0"/>
    <n v="7"/>
    <n v="77"/>
    <n v="84"/>
  </r>
  <r>
    <n v="444"/>
    <n v="445"/>
    <n v="0.28789999999999999"/>
    <x v="49"/>
    <x v="14"/>
    <n v="12"/>
    <n v="86"/>
    <n v="98"/>
  </r>
  <r>
    <n v="445"/>
    <n v="446"/>
    <n v="0.30299999999999999"/>
    <x v="49"/>
    <x v="7"/>
    <n v="6"/>
    <n v="75"/>
    <n v="81"/>
  </r>
  <r>
    <n v="446"/>
    <n v="447"/>
    <n v="0.31819999999999998"/>
    <x v="49"/>
    <x v="5"/>
    <n v="8"/>
    <n v="62"/>
    <n v="70"/>
  </r>
  <r>
    <n v="447"/>
    <n v="448"/>
    <n v="0.30299999999999999"/>
    <x v="36"/>
    <x v="7"/>
    <n v="8"/>
    <n v="83"/>
    <n v="91"/>
  </r>
  <r>
    <n v="448"/>
    <n v="449"/>
    <n v="0.31819999999999998"/>
    <x v="36"/>
    <x v="14"/>
    <n v="8"/>
    <n v="207"/>
    <n v="215"/>
  </r>
  <r>
    <n v="449"/>
    <n v="450"/>
    <n v="0.2576"/>
    <x v="34"/>
    <x v="5"/>
    <n v="1"/>
    <n v="184"/>
    <n v="185"/>
  </r>
  <r>
    <n v="450"/>
    <n v="451"/>
    <n v="0.2273"/>
    <x v="34"/>
    <x v="9"/>
    <n v="6"/>
    <n v="146"/>
    <n v="152"/>
  </r>
  <r>
    <n v="451"/>
    <n v="452"/>
    <n v="0.2424"/>
    <x v="54"/>
    <x v="3"/>
    <n v="2"/>
    <n v="124"/>
    <n v="126"/>
  </r>
  <r>
    <n v="452"/>
    <n v="453"/>
    <n v="0.2273"/>
    <x v="54"/>
    <x v="2"/>
    <n v="3"/>
    <n v="54"/>
    <n v="57"/>
  </r>
  <r>
    <n v="453"/>
    <n v="454"/>
    <n v="0.21210000000000001"/>
    <x v="55"/>
    <x v="3"/>
    <n v="0"/>
    <n v="56"/>
    <n v="56"/>
  </r>
  <r>
    <n v="454"/>
    <n v="455"/>
    <n v="0.21210000000000001"/>
    <x v="55"/>
    <x v="9"/>
    <n v="3"/>
    <n v="28"/>
    <n v="31"/>
  </r>
  <r>
    <n v="455"/>
    <n v="456"/>
    <n v="0.2273"/>
    <x v="56"/>
    <x v="2"/>
    <n v="1"/>
    <n v="20"/>
    <n v="21"/>
  </r>
  <r>
    <n v="456"/>
    <n v="457"/>
    <n v="0.2273"/>
    <x v="56"/>
    <x v="2"/>
    <n v="0"/>
    <n v="6"/>
    <n v="6"/>
  </r>
  <r>
    <n v="457"/>
    <n v="458"/>
    <n v="0.2424"/>
    <x v="2"/>
    <x v="8"/>
    <n v="0"/>
    <n v="2"/>
    <n v="2"/>
  </r>
  <r>
    <n v="458"/>
    <n v="459"/>
    <n v="0.21210000000000001"/>
    <x v="1"/>
    <x v="4"/>
    <n v="0"/>
    <n v="1"/>
    <n v="1"/>
  </r>
  <r>
    <n v="459"/>
    <n v="460"/>
    <n v="0.2576"/>
    <x v="9"/>
    <x v="1"/>
    <n v="0"/>
    <n v="1"/>
    <n v="1"/>
  </r>
  <r>
    <n v="460"/>
    <n v="461"/>
    <n v="0.19700000000000001"/>
    <x v="54"/>
    <x v="12"/>
    <n v="1"/>
    <n v="4"/>
    <n v="5"/>
  </r>
  <r>
    <n v="461"/>
    <n v="462"/>
    <n v="0.21210000000000001"/>
    <x v="28"/>
    <x v="2"/>
    <n v="0"/>
    <n v="27"/>
    <n v="27"/>
  </r>
  <r>
    <n v="462"/>
    <n v="463"/>
    <n v="0.18179999999999999"/>
    <x v="33"/>
    <x v="3"/>
    <n v="2"/>
    <n v="66"/>
    <n v="68"/>
  </r>
  <r>
    <n v="463"/>
    <n v="464"/>
    <n v="0.18179999999999999"/>
    <x v="19"/>
    <x v="9"/>
    <n v="7"/>
    <n v="210"/>
    <n v="217"/>
  </r>
  <r>
    <n v="464"/>
    <n v="465"/>
    <n v="0.18179999999999999"/>
    <x v="33"/>
    <x v="11"/>
    <n v="7"/>
    <n v="159"/>
    <n v="166"/>
  </r>
  <r>
    <n v="465"/>
    <n v="466"/>
    <n v="0.16669999999999999"/>
    <x v="19"/>
    <x v="17"/>
    <n v="6"/>
    <n v="57"/>
    <n v="63"/>
  </r>
  <r>
    <n v="466"/>
    <n v="467"/>
    <n v="0.18179999999999999"/>
    <x v="48"/>
    <x v="17"/>
    <n v="6"/>
    <n v="53"/>
    <n v="59"/>
  </r>
  <r>
    <n v="467"/>
    <n v="468"/>
    <n v="0.18179999999999999"/>
    <x v="57"/>
    <x v="19"/>
    <n v="11"/>
    <n v="67"/>
    <n v="78"/>
  </r>
  <r>
    <n v="468"/>
    <n v="469"/>
    <n v="0.1515"/>
    <x v="58"/>
    <x v="19"/>
    <n v="8"/>
    <n v="65"/>
    <n v="73"/>
  </r>
  <r>
    <n v="469"/>
    <n v="470"/>
    <n v="0.1515"/>
    <x v="59"/>
    <x v="18"/>
    <n v="6"/>
    <n v="56"/>
    <n v="62"/>
  </r>
  <r>
    <n v="470"/>
    <n v="471"/>
    <n v="0.1212"/>
    <x v="60"/>
    <x v="10"/>
    <n v="4"/>
    <n v="61"/>
    <n v="65"/>
  </r>
  <r>
    <n v="471"/>
    <n v="472"/>
    <n v="0.13639999999999999"/>
    <x v="60"/>
    <x v="11"/>
    <n v="0"/>
    <n v="97"/>
    <n v="97"/>
  </r>
  <r>
    <n v="472"/>
    <n v="473"/>
    <n v="0.1212"/>
    <x v="40"/>
    <x v="11"/>
    <n v="10"/>
    <n v="151"/>
    <n v="161"/>
  </r>
  <r>
    <n v="473"/>
    <n v="474"/>
    <n v="0.1212"/>
    <x v="24"/>
    <x v="2"/>
    <n v="1"/>
    <n v="119"/>
    <n v="120"/>
  </r>
  <r>
    <n v="474"/>
    <n v="475"/>
    <n v="0.1061"/>
    <x v="24"/>
    <x v="9"/>
    <n v="3"/>
    <n v="93"/>
    <n v="96"/>
  </r>
  <r>
    <n v="475"/>
    <n v="476"/>
    <n v="7.5800000000000006E-2"/>
    <x v="39"/>
    <x v="12"/>
    <n v="1"/>
    <n v="52"/>
    <n v="53"/>
  </r>
  <r>
    <n v="476"/>
    <n v="477"/>
    <n v="7.5800000000000006E-2"/>
    <x v="41"/>
    <x v="3"/>
    <n v="0"/>
    <n v="41"/>
    <n v="41"/>
  </r>
  <r>
    <n v="477"/>
    <n v="478"/>
    <n v="3.0300000000000001E-2"/>
    <x v="48"/>
    <x v="13"/>
    <n v="1"/>
    <n v="33"/>
    <n v="34"/>
  </r>
  <r>
    <n v="478"/>
    <n v="479"/>
    <n v="4.5499999999999999E-2"/>
    <x v="41"/>
    <x v="9"/>
    <n v="0"/>
    <n v="27"/>
    <n v="27"/>
  </r>
  <r>
    <n v="479"/>
    <n v="480"/>
    <n v="3.0300000000000001E-2"/>
    <x v="49"/>
    <x v="2"/>
    <n v="0"/>
    <n v="13"/>
    <n v="13"/>
  </r>
  <r>
    <n v="480"/>
    <n v="481"/>
    <n v="0"/>
    <x v="48"/>
    <x v="13"/>
    <n v="3"/>
    <n v="9"/>
    <n v="12"/>
  </r>
  <r>
    <n v="481"/>
    <n v="482"/>
    <n v="3.0300000000000001E-2"/>
    <x v="48"/>
    <x v="2"/>
    <n v="0"/>
    <n v="11"/>
    <n v="11"/>
  </r>
  <r>
    <n v="482"/>
    <n v="483"/>
    <n v="3.0300000000000001E-2"/>
    <x v="48"/>
    <x v="3"/>
    <n v="1"/>
    <n v="6"/>
    <n v="7"/>
  </r>
  <r>
    <n v="483"/>
    <n v="484"/>
    <n v="1.52E-2"/>
    <x v="37"/>
    <x v="4"/>
    <n v="0"/>
    <n v="3"/>
    <n v="3"/>
  </r>
  <r>
    <n v="484"/>
    <n v="485"/>
    <n v="3.0300000000000001E-2"/>
    <x v="18"/>
    <x v="6"/>
    <n v="0"/>
    <n v="2"/>
    <n v="2"/>
  </r>
  <r>
    <n v="485"/>
    <n v="486"/>
    <n v="1.52E-2"/>
    <x v="18"/>
    <x v="3"/>
    <n v="0"/>
    <n v="8"/>
    <n v="8"/>
  </r>
  <r>
    <n v="486"/>
    <n v="487"/>
    <n v="0"/>
    <x v="18"/>
    <x v="9"/>
    <n v="1"/>
    <n v="26"/>
    <n v="27"/>
  </r>
  <r>
    <n v="487"/>
    <n v="488"/>
    <n v="3.0300000000000001E-2"/>
    <x v="48"/>
    <x v="2"/>
    <n v="3"/>
    <n v="37"/>
    <n v="40"/>
  </r>
  <r>
    <n v="488"/>
    <n v="489"/>
    <n v="6.0600000000000001E-2"/>
    <x v="48"/>
    <x v="8"/>
    <n v="3"/>
    <n v="50"/>
    <n v="53"/>
  </r>
  <r>
    <n v="489"/>
    <n v="490"/>
    <n v="7.5800000000000006E-2"/>
    <x v="41"/>
    <x v="7"/>
    <n v="4"/>
    <n v="59"/>
    <n v="63"/>
  </r>
  <r>
    <n v="490"/>
    <n v="491"/>
    <n v="0.1061"/>
    <x v="41"/>
    <x v="14"/>
    <n v="10"/>
    <n v="60"/>
    <n v="70"/>
  </r>
  <r>
    <n v="491"/>
    <n v="492"/>
    <n v="0.16669999999999999"/>
    <x v="23"/>
    <x v="0"/>
    <n v="12"/>
    <n v="72"/>
    <n v="84"/>
  </r>
  <r>
    <n v="492"/>
    <n v="493"/>
    <n v="0.13639999999999999"/>
    <x v="39"/>
    <x v="14"/>
    <n v="11"/>
    <n v="64"/>
    <n v="75"/>
  </r>
  <r>
    <n v="493"/>
    <n v="494"/>
    <n v="0.1515"/>
    <x v="40"/>
    <x v="0"/>
    <n v="10"/>
    <n v="93"/>
    <n v="103"/>
  </r>
  <r>
    <n v="494"/>
    <n v="495"/>
    <n v="0.13639999999999999"/>
    <x v="40"/>
    <x v="5"/>
    <n v="11"/>
    <n v="72"/>
    <n v="83"/>
  </r>
  <r>
    <n v="495"/>
    <n v="496"/>
    <n v="0.19700000000000001"/>
    <x v="40"/>
    <x v="0"/>
    <n v="8"/>
    <n v="59"/>
    <n v="67"/>
  </r>
  <r>
    <n v="496"/>
    <n v="497"/>
    <n v="9.0899999999999995E-2"/>
    <x v="23"/>
    <x v="5"/>
    <n v="0"/>
    <n v="54"/>
    <n v="54"/>
  </r>
  <r>
    <n v="497"/>
    <n v="498"/>
    <n v="0.1061"/>
    <x v="23"/>
    <x v="7"/>
    <n v="6"/>
    <n v="53"/>
    <n v="59"/>
  </r>
  <r>
    <n v="498"/>
    <n v="499"/>
    <n v="7.5800000000000006E-2"/>
    <x v="49"/>
    <x v="8"/>
    <n v="1"/>
    <n v="44"/>
    <n v="45"/>
  </r>
  <r>
    <n v="499"/>
    <n v="500"/>
    <n v="0.1061"/>
    <x v="48"/>
    <x v="1"/>
    <n v="0"/>
    <n v="39"/>
    <n v="39"/>
  </r>
  <r>
    <n v="500"/>
    <n v="501"/>
    <n v="0.1515"/>
    <x v="36"/>
    <x v="0"/>
    <n v="7"/>
    <n v="23"/>
    <n v="30"/>
  </r>
  <r>
    <n v="501"/>
    <n v="502"/>
    <n v="7.5800000000000006E-2"/>
    <x v="14"/>
    <x v="14"/>
    <n v="2"/>
    <n v="31"/>
    <n v="33"/>
  </r>
  <r>
    <n v="502"/>
    <n v="503"/>
    <n v="7.5800000000000006E-2"/>
    <x v="14"/>
    <x v="14"/>
    <n v="2"/>
    <n v="20"/>
    <n v="22"/>
  </r>
  <r>
    <n v="503"/>
    <n v="504"/>
    <n v="7.5800000000000006E-2"/>
    <x v="14"/>
    <x v="14"/>
    <n v="1"/>
    <n v="12"/>
    <n v="13"/>
  </r>
  <r>
    <n v="504"/>
    <n v="505"/>
    <n v="6.0600000000000001E-2"/>
    <x v="51"/>
    <x v="7"/>
    <n v="3"/>
    <n v="15"/>
    <n v="18"/>
  </r>
  <r>
    <n v="505"/>
    <n v="506"/>
    <n v="6.0600000000000001E-2"/>
    <x v="51"/>
    <x v="7"/>
    <n v="1"/>
    <n v="4"/>
    <n v="5"/>
  </r>
  <r>
    <n v="506"/>
    <n v="507"/>
    <n v="7.5800000000000006E-2"/>
    <x v="14"/>
    <x v="14"/>
    <n v="0"/>
    <n v="3"/>
    <n v="3"/>
  </r>
  <r>
    <n v="507"/>
    <n v="508"/>
    <n v="7.5800000000000006E-2"/>
    <x v="14"/>
    <x v="14"/>
    <n v="0"/>
    <n v="1"/>
    <n v="1"/>
  </r>
  <r>
    <n v="508"/>
    <n v="509"/>
    <n v="0.1061"/>
    <x v="52"/>
    <x v="8"/>
    <n v="1"/>
    <n v="1"/>
    <n v="2"/>
  </r>
  <r>
    <n v="509"/>
    <n v="510"/>
    <n v="7.5800000000000006E-2"/>
    <x v="51"/>
    <x v="8"/>
    <n v="2"/>
    <n v="17"/>
    <n v="19"/>
  </r>
  <r>
    <n v="510"/>
    <n v="511"/>
    <n v="7.5800000000000006E-2"/>
    <x v="47"/>
    <x v="11"/>
    <n v="3"/>
    <n v="25"/>
    <n v="28"/>
  </r>
  <r>
    <n v="511"/>
    <n v="512"/>
    <n v="0.1061"/>
    <x v="15"/>
    <x v="13"/>
    <n v="7"/>
    <n v="51"/>
    <n v="58"/>
  </r>
  <r>
    <n v="512"/>
    <n v="513"/>
    <n v="0.13639999999999999"/>
    <x v="21"/>
    <x v="6"/>
    <n v="22"/>
    <n v="77"/>
    <n v="99"/>
  </r>
  <r>
    <n v="513"/>
    <n v="514"/>
    <n v="0.1212"/>
    <x v="38"/>
    <x v="17"/>
    <n v="24"/>
    <n v="92"/>
    <n v="116"/>
  </r>
  <r>
    <n v="514"/>
    <n v="515"/>
    <n v="0.1061"/>
    <x v="39"/>
    <x v="13"/>
    <n v="12"/>
    <n v="75"/>
    <n v="87"/>
  </r>
  <r>
    <n v="515"/>
    <n v="516"/>
    <n v="0.13639999999999999"/>
    <x v="40"/>
    <x v="11"/>
    <n v="17"/>
    <n v="93"/>
    <n v="110"/>
  </r>
  <r>
    <n v="516"/>
    <n v="517"/>
    <n v="0.13639999999999999"/>
    <x v="40"/>
    <x v="11"/>
    <n v="13"/>
    <n v="64"/>
    <n v="77"/>
  </r>
  <r>
    <n v="517"/>
    <n v="518"/>
    <n v="0.13639999999999999"/>
    <x v="60"/>
    <x v="9"/>
    <n v="9"/>
    <n v="56"/>
    <n v="65"/>
  </r>
  <r>
    <n v="518"/>
    <n v="519"/>
    <n v="0.1061"/>
    <x v="60"/>
    <x v="13"/>
    <n v="5"/>
    <n v="50"/>
    <n v="55"/>
  </r>
  <r>
    <n v="519"/>
    <n v="520"/>
    <n v="0.1212"/>
    <x v="24"/>
    <x v="2"/>
    <n v="5"/>
    <n v="44"/>
    <n v="49"/>
  </r>
  <r>
    <n v="520"/>
    <n v="521"/>
    <n v="0.1212"/>
    <x v="24"/>
    <x v="3"/>
    <n v="5"/>
    <n v="45"/>
    <n v="50"/>
  </r>
  <r>
    <n v="521"/>
    <n v="522"/>
    <n v="0.1061"/>
    <x v="42"/>
    <x v="2"/>
    <n v="4"/>
    <n v="31"/>
    <n v="35"/>
  </r>
  <r>
    <n v="522"/>
    <n v="523"/>
    <n v="0.1061"/>
    <x v="42"/>
    <x v="5"/>
    <n v="5"/>
    <n v="20"/>
    <n v="25"/>
  </r>
  <r>
    <n v="523"/>
    <n v="524"/>
    <n v="9.0899999999999995E-2"/>
    <x v="41"/>
    <x v="5"/>
    <n v="5"/>
    <n v="23"/>
    <n v="28"/>
  </r>
  <r>
    <n v="524"/>
    <n v="525"/>
    <n v="6.0600000000000001E-2"/>
    <x v="48"/>
    <x v="6"/>
    <n v="4"/>
    <n v="17"/>
    <n v="21"/>
  </r>
  <r>
    <n v="525"/>
    <n v="526"/>
    <n v="6.0600000000000001E-2"/>
    <x v="48"/>
    <x v="5"/>
    <n v="0"/>
    <n v="7"/>
    <n v="7"/>
  </r>
  <r>
    <n v="526"/>
    <n v="527"/>
    <n v="4.5499999999999999E-2"/>
    <x v="49"/>
    <x v="5"/>
    <n v="0"/>
    <n v="1"/>
    <n v="1"/>
  </r>
  <r>
    <n v="527"/>
    <n v="528"/>
    <n v="3.0300000000000001E-2"/>
    <x v="49"/>
    <x v="2"/>
    <n v="0"/>
    <n v="1"/>
    <n v="1"/>
  </r>
  <r>
    <n v="528"/>
    <n v="529"/>
    <n v="6.0600000000000001E-2"/>
    <x v="37"/>
    <x v="7"/>
    <n v="0"/>
    <n v="1"/>
    <n v="1"/>
  </r>
  <r>
    <n v="529"/>
    <n v="530"/>
    <n v="6.0600000000000001E-2"/>
    <x v="37"/>
    <x v="7"/>
    <n v="0"/>
    <n v="5"/>
    <n v="5"/>
  </r>
  <r>
    <n v="530"/>
    <n v="531"/>
    <n v="7.5800000000000006E-2"/>
    <x v="37"/>
    <x v="1"/>
    <n v="0"/>
    <n v="15"/>
    <n v="15"/>
  </r>
  <r>
    <n v="531"/>
    <n v="532"/>
    <n v="0.1212"/>
    <x v="37"/>
    <x v="0"/>
    <n v="5"/>
    <n v="79"/>
    <n v="84"/>
  </r>
  <r>
    <n v="532"/>
    <n v="533"/>
    <n v="0.13639999999999999"/>
    <x v="36"/>
    <x v="0"/>
    <n v="6"/>
    <n v="171"/>
    <n v="177"/>
  </r>
  <r>
    <n v="533"/>
    <n v="534"/>
    <n v="0.1515"/>
    <x v="48"/>
    <x v="0"/>
    <n v="4"/>
    <n v="98"/>
    <n v="102"/>
  </r>
  <r>
    <n v="534"/>
    <n v="535"/>
    <n v="0.13639999999999999"/>
    <x v="16"/>
    <x v="0"/>
    <n v="6"/>
    <n v="34"/>
    <n v="40"/>
  </r>
  <r>
    <n v="535"/>
    <n v="536"/>
    <n v="0.1212"/>
    <x v="15"/>
    <x v="7"/>
    <n v="3"/>
    <n v="43"/>
    <n v="46"/>
  </r>
  <r>
    <n v="536"/>
    <n v="537"/>
    <n v="0.13639999999999999"/>
    <x v="16"/>
    <x v="5"/>
    <n v="11"/>
    <n v="52"/>
    <n v="63"/>
  </r>
  <r>
    <n v="537"/>
    <n v="538"/>
    <n v="0.13639999999999999"/>
    <x v="21"/>
    <x v="6"/>
    <n v="6"/>
    <n v="54"/>
    <n v="60"/>
  </r>
  <r>
    <n v="538"/>
    <n v="539"/>
    <n v="0.13639999999999999"/>
    <x v="15"/>
    <x v="6"/>
    <n v="2"/>
    <n v="43"/>
    <n v="45"/>
  </r>
  <r>
    <n v="539"/>
    <n v="540"/>
    <n v="0.16669999999999999"/>
    <x v="22"/>
    <x v="8"/>
    <n v="7"/>
    <n v="50"/>
    <n v="57"/>
  </r>
  <r>
    <n v="540"/>
    <n v="541"/>
    <n v="0.1515"/>
    <x v="19"/>
    <x v="2"/>
    <n v="4"/>
    <n v="66"/>
    <n v="70"/>
  </r>
  <r>
    <n v="541"/>
    <n v="542"/>
    <n v="0.1212"/>
    <x v="20"/>
    <x v="2"/>
    <n v="6"/>
    <n v="178"/>
    <n v="184"/>
  </r>
  <r>
    <n v="542"/>
    <n v="543"/>
    <n v="0.13639999999999999"/>
    <x v="29"/>
    <x v="5"/>
    <n v="8"/>
    <n v="145"/>
    <n v="153"/>
  </r>
  <r>
    <n v="543"/>
    <n v="544"/>
    <n v="0.1515"/>
    <x v="47"/>
    <x v="8"/>
    <n v="5"/>
    <n v="101"/>
    <n v="106"/>
  </r>
  <r>
    <n v="544"/>
    <n v="545"/>
    <n v="0.13639999999999999"/>
    <x v="29"/>
    <x v="5"/>
    <n v="1"/>
    <n v="80"/>
    <n v="81"/>
  </r>
  <r>
    <n v="545"/>
    <n v="546"/>
    <n v="0.1515"/>
    <x v="30"/>
    <x v="8"/>
    <n v="6"/>
    <n v="53"/>
    <n v="59"/>
  </r>
  <r>
    <n v="546"/>
    <n v="547"/>
    <n v="0.13639999999999999"/>
    <x v="30"/>
    <x v="6"/>
    <n v="3"/>
    <n v="32"/>
    <n v="35"/>
  </r>
  <r>
    <n v="547"/>
    <n v="548"/>
    <n v="0.1515"/>
    <x v="26"/>
    <x v="2"/>
    <n v="3"/>
    <n v="21"/>
    <n v="24"/>
  </r>
  <r>
    <n v="548"/>
    <n v="549"/>
    <n v="0.13639999999999999"/>
    <x v="27"/>
    <x v="3"/>
    <n v="3"/>
    <n v="6"/>
    <n v="9"/>
  </r>
  <r>
    <n v="549"/>
    <n v="550"/>
    <n v="0.16669999999999999"/>
    <x v="27"/>
    <x v="8"/>
    <n v="0"/>
    <n v="5"/>
    <n v="5"/>
  </r>
  <r>
    <n v="550"/>
    <n v="551"/>
    <n v="0.1515"/>
    <x v="27"/>
    <x v="6"/>
    <n v="0"/>
    <n v="2"/>
    <n v="2"/>
  </r>
  <r>
    <n v="551"/>
    <n v="552"/>
    <n v="0.16669999999999999"/>
    <x v="32"/>
    <x v="14"/>
    <n v="0"/>
    <n v="1"/>
    <n v="1"/>
  </r>
  <r>
    <n v="552"/>
    <n v="553"/>
    <n v="0.13639999999999999"/>
    <x v="32"/>
    <x v="6"/>
    <n v="0"/>
    <n v="9"/>
    <n v="9"/>
  </r>
  <r>
    <n v="553"/>
    <n v="554"/>
    <n v="0.18179999999999999"/>
    <x v="32"/>
    <x v="14"/>
    <n v="1"/>
    <n v="35"/>
    <n v="36"/>
  </r>
  <r>
    <n v="554"/>
    <n v="555"/>
    <n v="0.1515"/>
    <x v="32"/>
    <x v="6"/>
    <n v="5"/>
    <n v="103"/>
    <n v="108"/>
  </r>
  <r>
    <n v="555"/>
    <n v="556"/>
    <n v="0.18179999999999999"/>
    <x v="32"/>
    <x v="7"/>
    <n v="5"/>
    <n v="233"/>
    <n v="238"/>
  </r>
  <r>
    <n v="556"/>
    <n v="557"/>
    <n v="0.2273"/>
    <x v="26"/>
    <x v="1"/>
    <n v="10"/>
    <n v="134"/>
    <n v="144"/>
  </r>
  <r>
    <n v="557"/>
    <n v="558"/>
    <n v="0.2424"/>
    <x v="54"/>
    <x v="14"/>
    <n v="6"/>
    <n v="49"/>
    <n v="55"/>
  </r>
  <r>
    <n v="558"/>
    <n v="559"/>
    <n v="0.2424"/>
    <x v="54"/>
    <x v="7"/>
    <n v="6"/>
    <n v="55"/>
    <n v="61"/>
  </r>
  <r>
    <n v="559"/>
    <n v="560"/>
    <n v="0.28789999999999999"/>
    <x v="34"/>
    <x v="1"/>
    <n v="21"/>
    <n v="85"/>
    <n v="106"/>
  </r>
  <r>
    <n v="560"/>
    <n v="561"/>
    <n v="0.2727"/>
    <x v="34"/>
    <x v="7"/>
    <n v="21"/>
    <n v="72"/>
    <n v="93"/>
  </r>
  <r>
    <n v="561"/>
    <n v="562"/>
    <n v="0.33329999999999999"/>
    <x v="49"/>
    <x v="0"/>
    <n v="11"/>
    <n v="57"/>
    <n v="68"/>
  </r>
  <r>
    <n v="562"/>
    <n v="563"/>
    <n v="0.34849999999999998"/>
    <x v="16"/>
    <x v="0"/>
    <n v="21"/>
    <n v="63"/>
    <n v="84"/>
  </r>
  <r>
    <n v="563"/>
    <n v="564"/>
    <n v="0.34849999999999998"/>
    <x v="16"/>
    <x v="0"/>
    <n v="14"/>
    <n v="102"/>
    <n v="116"/>
  </r>
  <r>
    <n v="564"/>
    <n v="565"/>
    <n v="0.33329999999999999"/>
    <x v="49"/>
    <x v="0"/>
    <n v="14"/>
    <n v="208"/>
    <n v="222"/>
  </r>
  <r>
    <n v="565"/>
    <n v="566"/>
    <n v="0.31819999999999998"/>
    <x v="36"/>
    <x v="1"/>
    <n v="7"/>
    <n v="218"/>
    <n v="225"/>
  </r>
  <r>
    <n v="566"/>
    <n v="567"/>
    <n v="0.2576"/>
    <x v="55"/>
    <x v="8"/>
    <n v="13"/>
    <n v="133"/>
    <n v="146"/>
  </r>
  <r>
    <n v="567"/>
    <n v="568"/>
    <n v="0.2273"/>
    <x v="55"/>
    <x v="5"/>
    <n v="16"/>
    <n v="103"/>
    <n v="119"/>
  </r>
  <r>
    <n v="568"/>
    <n v="569"/>
    <n v="0.2273"/>
    <x v="55"/>
    <x v="5"/>
    <n v="5"/>
    <n v="40"/>
    <n v="45"/>
  </r>
  <r>
    <n v="569"/>
    <n v="570"/>
    <n v="0.2273"/>
    <x v="26"/>
    <x v="8"/>
    <n v="4"/>
    <n v="49"/>
    <n v="53"/>
  </r>
  <r>
    <n v="570"/>
    <n v="571"/>
    <n v="0.2273"/>
    <x v="26"/>
    <x v="8"/>
    <n v="3"/>
    <n v="37"/>
    <n v="40"/>
  </r>
  <r>
    <n v="571"/>
    <n v="572"/>
    <n v="0.2273"/>
    <x v="27"/>
    <x v="7"/>
    <n v="3"/>
    <n v="14"/>
    <n v="17"/>
  </r>
  <r>
    <n v="572"/>
    <n v="573"/>
    <n v="0.2424"/>
    <x v="55"/>
    <x v="7"/>
    <n v="0"/>
    <n v="5"/>
    <n v="5"/>
  </r>
  <r>
    <n v="573"/>
    <n v="574"/>
    <n v="0.2273"/>
    <x v="27"/>
    <x v="5"/>
    <n v="3"/>
    <n v="7"/>
    <n v="10"/>
  </r>
  <r>
    <n v="574"/>
    <n v="575"/>
    <n v="0.18179999999999999"/>
    <x v="3"/>
    <x v="3"/>
    <n v="0"/>
    <n v="1"/>
    <n v="1"/>
  </r>
  <r>
    <n v="575"/>
    <n v="576"/>
    <n v="0.18179999999999999"/>
    <x v="3"/>
    <x v="3"/>
    <n v="0"/>
    <n v="8"/>
    <n v="8"/>
  </r>
  <r>
    <n v="576"/>
    <n v="577"/>
    <n v="0.21210000000000001"/>
    <x v="9"/>
    <x v="4"/>
    <n v="1"/>
    <n v="29"/>
    <n v="30"/>
  </r>
  <r>
    <n v="577"/>
    <n v="578"/>
    <n v="0.21210000000000001"/>
    <x v="9"/>
    <x v="4"/>
    <n v="3"/>
    <n v="69"/>
    <n v="72"/>
  </r>
  <r>
    <n v="578"/>
    <n v="579"/>
    <n v="0.21210000000000001"/>
    <x v="9"/>
    <x v="4"/>
    <n v="3"/>
    <n v="55"/>
    <n v="58"/>
  </r>
  <r>
    <n v="579"/>
    <n v="580"/>
    <n v="0.21210000000000001"/>
    <x v="43"/>
    <x v="3"/>
    <n v="2"/>
    <n v="26"/>
    <n v="28"/>
  </r>
  <r>
    <n v="580"/>
    <n v="581"/>
    <n v="0.19700000000000001"/>
    <x v="43"/>
    <x v="9"/>
    <n v="6"/>
    <n v="35"/>
    <n v="41"/>
  </r>
  <r>
    <n v="581"/>
    <n v="582"/>
    <n v="0.19700000000000001"/>
    <x v="43"/>
    <x v="9"/>
    <n v="7"/>
    <n v="41"/>
    <n v="48"/>
  </r>
  <r>
    <n v="582"/>
    <n v="583"/>
    <n v="0.19700000000000001"/>
    <x v="43"/>
    <x v="9"/>
    <n v="4"/>
    <n v="43"/>
    <n v="47"/>
  </r>
  <r>
    <n v="583"/>
    <n v="584"/>
    <n v="0.19700000000000001"/>
    <x v="43"/>
    <x v="11"/>
    <n v="0"/>
    <n v="36"/>
    <n v="36"/>
  </r>
  <r>
    <n v="584"/>
    <n v="585"/>
    <n v="0.18179999999999999"/>
    <x v="43"/>
    <x v="17"/>
    <n v="1"/>
    <n v="42"/>
    <n v="43"/>
  </r>
  <r>
    <n v="585"/>
    <n v="586"/>
    <n v="0.19700000000000001"/>
    <x v="43"/>
    <x v="9"/>
    <n v="1"/>
    <n v="35"/>
    <n v="36"/>
  </r>
  <r>
    <n v="586"/>
    <n v="587"/>
    <n v="0.18179999999999999"/>
    <x v="43"/>
    <x v="11"/>
    <n v="0"/>
    <n v="26"/>
    <n v="26"/>
  </r>
  <r>
    <n v="587"/>
    <n v="588"/>
    <n v="0.2273"/>
    <x v="28"/>
    <x v="5"/>
    <n v="1"/>
    <n v="23"/>
    <n v="24"/>
  </r>
  <r>
    <n v="588"/>
    <n v="589"/>
    <n v="0.2424"/>
    <x v="28"/>
    <x v="14"/>
    <n v="2"/>
    <n v="82"/>
    <n v="84"/>
  </r>
  <r>
    <n v="589"/>
    <n v="590"/>
    <n v="0.2273"/>
    <x v="27"/>
    <x v="1"/>
    <n v="3"/>
    <n v="101"/>
    <n v="104"/>
  </r>
  <r>
    <n v="590"/>
    <n v="591"/>
    <n v="0.2273"/>
    <x v="27"/>
    <x v="1"/>
    <n v="3"/>
    <n v="76"/>
    <n v="79"/>
  </r>
  <r>
    <n v="591"/>
    <n v="592"/>
    <n v="0.21210000000000001"/>
    <x v="32"/>
    <x v="1"/>
    <n v="4"/>
    <n v="55"/>
    <n v="59"/>
  </r>
  <r>
    <n v="592"/>
    <n v="593"/>
    <n v="0.21210000000000001"/>
    <x v="32"/>
    <x v="1"/>
    <n v="2"/>
    <n v="36"/>
    <n v="38"/>
  </r>
  <r>
    <n v="593"/>
    <n v="594"/>
    <n v="0.21210000000000001"/>
    <x v="32"/>
    <x v="1"/>
    <n v="0"/>
    <n v="27"/>
    <n v="27"/>
  </r>
  <r>
    <n v="594"/>
    <n v="595"/>
    <n v="0.19700000000000001"/>
    <x v="1"/>
    <x v="8"/>
    <n v="0"/>
    <n v="16"/>
    <n v="16"/>
  </r>
  <r>
    <n v="595"/>
    <n v="596"/>
    <n v="0.21210000000000001"/>
    <x v="2"/>
    <x v="7"/>
    <n v="0"/>
    <n v="9"/>
    <n v="9"/>
  </r>
  <r>
    <n v="596"/>
    <n v="597"/>
    <n v="0.21210000000000001"/>
    <x v="2"/>
    <x v="7"/>
    <n v="1"/>
    <n v="2"/>
    <n v="3"/>
  </r>
  <r>
    <n v="597"/>
    <n v="598"/>
    <n v="0.21210000000000001"/>
    <x v="2"/>
    <x v="8"/>
    <n v="0"/>
    <n v="2"/>
    <n v="2"/>
  </r>
  <r>
    <n v="598"/>
    <n v="599"/>
    <n v="0.2273"/>
    <x v="2"/>
    <x v="14"/>
    <n v="1"/>
    <n v="0"/>
    <n v="1"/>
  </r>
  <r>
    <n v="599"/>
    <n v="600"/>
    <n v="0.21210000000000001"/>
    <x v="1"/>
    <x v="14"/>
    <n v="0"/>
    <n v="4"/>
    <n v="4"/>
  </r>
  <r>
    <n v="600"/>
    <n v="601"/>
    <n v="0.19700000000000001"/>
    <x v="1"/>
    <x v="7"/>
    <n v="0"/>
    <n v="16"/>
    <n v="16"/>
  </r>
  <r>
    <n v="601"/>
    <n v="602"/>
    <n v="0.19700000000000001"/>
    <x v="3"/>
    <x v="1"/>
    <n v="2"/>
    <n v="58"/>
    <n v="60"/>
  </r>
  <r>
    <n v="602"/>
    <n v="603"/>
    <n v="0.19700000000000001"/>
    <x v="3"/>
    <x v="1"/>
    <n v="2"/>
    <n v="155"/>
    <n v="157"/>
  </r>
  <r>
    <n v="603"/>
    <n v="604"/>
    <n v="0.21210000000000001"/>
    <x v="3"/>
    <x v="1"/>
    <n v="6"/>
    <n v="95"/>
    <n v="101"/>
  </r>
  <r>
    <n v="604"/>
    <n v="605"/>
    <n v="0.21210000000000001"/>
    <x v="3"/>
    <x v="14"/>
    <n v="0"/>
    <n v="49"/>
    <n v="49"/>
  </r>
  <r>
    <n v="605"/>
    <n v="606"/>
    <n v="0.21210000000000001"/>
    <x v="43"/>
    <x v="14"/>
    <n v="0"/>
    <n v="30"/>
    <n v="30"/>
  </r>
  <r>
    <n v="606"/>
    <n v="607"/>
    <n v="0.21210000000000001"/>
    <x v="43"/>
    <x v="14"/>
    <n v="1"/>
    <n v="28"/>
    <n v="29"/>
  </r>
  <r>
    <n v="607"/>
    <n v="608"/>
    <n v="0.21210000000000001"/>
    <x v="43"/>
    <x v="14"/>
    <n v="0"/>
    <n v="31"/>
    <n v="31"/>
  </r>
  <r>
    <n v="608"/>
    <n v="609"/>
    <n v="0.2727"/>
    <x v="1"/>
    <x v="0"/>
    <n v="2"/>
    <n v="36"/>
    <n v="38"/>
  </r>
  <r>
    <n v="609"/>
    <n v="610"/>
    <n v="0.2576"/>
    <x v="3"/>
    <x v="0"/>
    <n v="1"/>
    <n v="40"/>
    <n v="4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x v="0"/>
    <x v="0"/>
    <n v="0.24"/>
  </r>
  <r>
    <n v="2"/>
    <d v="2011-01-01T00:00:00"/>
    <n v="1"/>
    <n v="0"/>
    <n v="1"/>
    <n v="1"/>
    <b v="0"/>
    <x v="0"/>
    <x v="0"/>
    <n v="0.22"/>
  </r>
  <r>
    <n v="3"/>
    <d v="2011-01-01T00:00:00"/>
    <n v="1"/>
    <n v="0"/>
    <n v="1"/>
    <n v="2"/>
    <b v="0"/>
    <x v="0"/>
    <x v="0"/>
    <n v="0.22"/>
  </r>
  <r>
    <n v="4"/>
    <d v="2011-01-01T00:00:00"/>
    <n v="1"/>
    <n v="0"/>
    <n v="1"/>
    <n v="3"/>
    <b v="0"/>
    <x v="0"/>
    <x v="0"/>
    <n v="0.24"/>
  </r>
  <r>
    <n v="5"/>
    <d v="2011-01-01T00:00:00"/>
    <n v="1"/>
    <n v="0"/>
    <n v="1"/>
    <n v="4"/>
    <b v="0"/>
    <x v="0"/>
    <x v="0"/>
    <n v="0.24"/>
  </r>
  <r>
    <n v="6"/>
    <d v="2011-01-01T00:00:00"/>
    <n v="1"/>
    <n v="0"/>
    <n v="1"/>
    <n v="5"/>
    <b v="0"/>
    <x v="0"/>
    <x v="1"/>
    <n v="0.24"/>
  </r>
  <r>
    <n v="7"/>
    <d v="2011-01-01T00:00:00"/>
    <n v="1"/>
    <n v="0"/>
    <n v="1"/>
    <n v="6"/>
    <b v="0"/>
    <x v="0"/>
    <x v="0"/>
    <n v="0.22"/>
  </r>
  <r>
    <n v="8"/>
    <d v="2011-01-01T00:00:00"/>
    <n v="1"/>
    <n v="0"/>
    <n v="1"/>
    <n v="7"/>
    <b v="0"/>
    <x v="0"/>
    <x v="0"/>
    <n v="0.2"/>
  </r>
  <r>
    <n v="9"/>
    <d v="2011-01-01T00:00:00"/>
    <n v="1"/>
    <n v="0"/>
    <n v="1"/>
    <n v="8"/>
    <b v="0"/>
    <x v="0"/>
    <x v="0"/>
    <n v="0.24"/>
  </r>
  <r>
    <n v="10"/>
    <d v="2011-01-01T00:00:00"/>
    <n v="1"/>
    <n v="0"/>
    <n v="1"/>
    <n v="9"/>
    <b v="0"/>
    <x v="0"/>
    <x v="0"/>
    <n v="0.32"/>
  </r>
  <r>
    <n v="11"/>
    <d v="2011-01-01T00:00:00"/>
    <n v="1"/>
    <n v="0"/>
    <n v="1"/>
    <n v="10"/>
    <b v="0"/>
    <x v="0"/>
    <x v="0"/>
    <n v="0.38"/>
  </r>
  <r>
    <n v="12"/>
    <d v="2011-01-01T00:00:00"/>
    <n v="1"/>
    <n v="0"/>
    <n v="1"/>
    <n v="11"/>
    <b v="0"/>
    <x v="0"/>
    <x v="0"/>
    <n v="0.36"/>
  </r>
  <r>
    <n v="13"/>
    <d v="2011-01-01T00:00:00"/>
    <n v="1"/>
    <n v="0"/>
    <n v="1"/>
    <n v="12"/>
    <b v="0"/>
    <x v="0"/>
    <x v="0"/>
    <n v="0.42"/>
  </r>
  <r>
    <n v="14"/>
    <d v="2011-01-01T00:00:00"/>
    <n v="1"/>
    <n v="0"/>
    <n v="1"/>
    <n v="13"/>
    <b v="0"/>
    <x v="0"/>
    <x v="1"/>
    <n v="0.46"/>
  </r>
  <r>
    <n v="15"/>
    <d v="2011-01-01T00:00:00"/>
    <n v="1"/>
    <n v="0"/>
    <n v="1"/>
    <n v="14"/>
    <b v="0"/>
    <x v="0"/>
    <x v="1"/>
    <n v="0.46"/>
  </r>
  <r>
    <n v="16"/>
    <d v="2011-01-01T00:00:00"/>
    <n v="1"/>
    <n v="0"/>
    <n v="1"/>
    <n v="15"/>
    <b v="0"/>
    <x v="0"/>
    <x v="1"/>
    <n v="0.44"/>
  </r>
  <r>
    <n v="17"/>
    <d v="2011-01-01T00:00:00"/>
    <n v="1"/>
    <n v="0"/>
    <n v="1"/>
    <n v="16"/>
    <b v="0"/>
    <x v="0"/>
    <x v="1"/>
    <n v="0.42"/>
  </r>
  <r>
    <n v="18"/>
    <d v="2011-01-01T00:00:00"/>
    <n v="1"/>
    <n v="0"/>
    <n v="1"/>
    <n v="17"/>
    <b v="0"/>
    <x v="0"/>
    <x v="1"/>
    <n v="0.44"/>
  </r>
  <r>
    <n v="19"/>
    <d v="2011-01-01T00:00:00"/>
    <n v="1"/>
    <n v="0"/>
    <n v="1"/>
    <n v="18"/>
    <b v="0"/>
    <x v="0"/>
    <x v="2"/>
    <n v="0.42"/>
  </r>
  <r>
    <n v="20"/>
    <d v="2011-01-01T00:00:00"/>
    <n v="1"/>
    <n v="0"/>
    <n v="1"/>
    <n v="19"/>
    <b v="0"/>
    <x v="0"/>
    <x v="2"/>
    <n v="0.42"/>
  </r>
  <r>
    <n v="21"/>
    <d v="2011-01-01T00:00:00"/>
    <n v="1"/>
    <n v="0"/>
    <n v="1"/>
    <n v="20"/>
    <b v="0"/>
    <x v="0"/>
    <x v="1"/>
    <n v="0.4"/>
  </r>
  <r>
    <n v="22"/>
    <d v="2011-01-01T00:00:00"/>
    <n v="1"/>
    <n v="0"/>
    <n v="1"/>
    <n v="21"/>
    <b v="0"/>
    <x v="0"/>
    <x v="1"/>
    <n v="0.4"/>
  </r>
  <r>
    <n v="23"/>
    <d v="2011-01-01T00:00:00"/>
    <n v="1"/>
    <n v="0"/>
    <n v="1"/>
    <n v="22"/>
    <b v="0"/>
    <x v="0"/>
    <x v="1"/>
    <n v="0.4"/>
  </r>
  <r>
    <n v="24"/>
    <d v="2011-01-01T00:00:00"/>
    <n v="1"/>
    <n v="0"/>
    <n v="1"/>
    <n v="23"/>
    <b v="0"/>
    <x v="0"/>
    <x v="1"/>
    <n v="0.46"/>
  </r>
  <r>
    <n v="25"/>
    <d v="2011-01-02T00:00:00"/>
    <n v="1"/>
    <n v="0"/>
    <n v="1"/>
    <n v="0"/>
    <b v="0"/>
    <x v="1"/>
    <x v="1"/>
    <n v="0.46"/>
  </r>
  <r>
    <n v="26"/>
    <d v="2011-01-02T00:00:00"/>
    <n v="1"/>
    <n v="0"/>
    <n v="1"/>
    <n v="1"/>
    <b v="0"/>
    <x v="1"/>
    <x v="1"/>
    <n v="0.44"/>
  </r>
  <r>
    <n v="27"/>
    <d v="2011-01-02T00:00:00"/>
    <n v="1"/>
    <n v="0"/>
    <n v="1"/>
    <n v="2"/>
    <b v="0"/>
    <x v="1"/>
    <x v="1"/>
    <n v="0.42"/>
  </r>
  <r>
    <n v="28"/>
    <d v="2011-01-02T00:00:00"/>
    <n v="1"/>
    <n v="0"/>
    <n v="1"/>
    <n v="3"/>
    <b v="0"/>
    <x v="1"/>
    <x v="1"/>
    <n v="0.46"/>
  </r>
  <r>
    <n v="29"/>
    <d v="2011-01-02T00:00:00"/>
    <n v="1"/>
    <n v="0"/>
    <n v="1"/>
    <n v="4"/>
    <b v="0"/>
    <x v="1"/>
    <x v="1"/>
    <n v="0.46"/>
  </r>
  <r>
    <n v="30"/>
    <d v="2011-01-02T00:00:00"/>
    <n v="1"/>
    <n v="0"/>
    <n v="1"/>
    <n v="6"/>
    <b v="0"/>
    <x v="1"/>
    <x v="2"/>
    <n v="0.42"/>
  </r>
  <r>
    <n v="31"/>
    <d v="2011-01-02T00:00:00"/>
    <n v="1"/>
    <n v="0"/>
    <n v="1"/>
    <n v="7"/>
    <b v="0"/>
    <x v="1"/>
    <x v="1"/>
    <n v="0.4"/>
  </r>
  <r>
    <n v="32"/>
    <d v="2011-01-02T00:00:00"/>
    <n v="1"/>
    <n v="0"/>
    <n v="1"/>
    <n v="8"/>
    <b v="0"/>
    <x v="1"/>
    <x v="2"/>
    <n v="0.4"/>
  </r>
  <r>
    <n v="33"/>
    <d v="2011-01-02T00:00:00"/>
    <n v="1"/>
    <n v="0"/>
    <n v="1"/>
    <n v="9"/>
    <b v="0"/>
    <x v="1"/>
    <x v="1"/>
    <n v="0.38"/>
  </r>
  <r>
    <n v="34"/>
    <d v="2011-01-02T00:00:00"/>
    <n v="1"/>
    <n v="0"/>
    <n v="1"/>
    <n v="10"/>
    <b v="0"/>
    <x v="1"/>
    <x v="1"/>
    <n v="0.36"/>
  </r>
  <r>
    <n v="35"/>
    <d v="2011-01-02T00:00:00"/>
    <n v="1"/>
    <n v="0"/>
    <n v="1"/>
    <n v="11"/>
    <b v="0"/>
    <x v="1"/>
    <x v="1"/>
    <n v="0.36"/>
  </r>
  <r>
    <n v="36"/>
    <d v="2011-01-02T00:00:00"/>
    <n v="1"/>
    <n v="0"/>
    <n v="1"/>
    <n v="12"/>
    <b v="0"/>
    <x v="1"/>
    <x v="1"/>
    <n v="0.36"/>
  </r>
  <r>
    <n v="37"/>
    <d v="2011-01-02T00:00:00"/>
    <n v="1"/>
    <n v="0"/>
    <n v="1"/>
    <n v="13"/>
    <b v="0"/>
    <x v="1"/>
    <x v="1"/>
    <n v="0.36"/>
  </r>
  <r>
    <n v="38"/>
    <d v="2011-01-02T00:00:00"/>
    <n v="1"/>
    <n v="0"/>
    <n v="1"/>
    <n v="14"/>
    <b v="0"/>
    <x v="1"/>
    <x v="2"/>
    <n v="0.36"/>
  </r>
  <r>
    <n v="39"/>
    <d v="2011-01-02T00:00:00"/>
    <n v="1"/>
    <n v="0"/>
    <n v="1"/>
    <n v="15"/>
    <b v="0"/>
    <x v="1"/>
    <x v="2"/>
    <n v="0.34"/>
  </r>
  <r>
    <n v="40"/>
    <d v="2011-01-02T00:00:00"/>
    <n v="1"/>
    <n v="0"/>
    <n v="1"/>
    <n v="16"/>
    <b v="0"/>
    <x v="1"/>
    <x v="2"/>
    <n v="0.34"/>
  </r>
  <r>
    <n v="41"/>
    <d v="2011-01-02T00:00:00"/>
    <n v="1"/>
    <n v="0"/>
    <n v="1"/>
    <n v="17"/>
    <b v="0"/>
    <x v="1"/>
    <x v="0"/>
    <n v="0.34"/>
  </r>
  <r>
    <n v="42"/>
    <d v="2011-01-02T00:00:00"/>
    <n v="1"/>
    <n v="0"/>
    <n v="1"/>
    <n v="18"/>
    <b v="0"/>
    <x v="1"/>
    <x v="1"/>
    <n v="0.36"/>
  </r>
  <r>
    <n v="43"/>
    <d v="2011-01-02T00:00:00"/>
    <n v="1"/>
    <n v="0"/>
    <n v="1"/>
    <n v="19"/>
    <b v="0"/>
    <x v="1"/>
    <x v="0"/>
    <n v="0.32"/>
  </r>
  <r>
    <n v="44"/>
    <d v="2011-01-02T00:00:00"/>
    <n v="1"/>
    <n v="0"/>
    <n v="1"/>
    <n v="20"/>
    <b v="0"/>
    <x v="1"/>
    <x v="0"/>
    <n v="0.3"/>
  </r>
  <r>
    <n v="45"/>
    <d v="2011-01-02T00:00:00"/>
    <n v="1"/>
    <n v="0"/>
    <n v="1"/>
    <n v="21"/>
    <b v="0"/>
    <x v="1"/>
    <x v="0"/>
    <n v="0.26"/>
  </r>
  <r>
    <n v="46"/>
    <d v="2011-01-02T00:00:00"/>
    <n v="1"/>
    <n v="0"/>
    <n v="1"/>
    <n v="22"/>
    <b v="0"/>
    <x v="1"/>
    <x v="0"/>
    <n v="0.24"/>
  </r>
  <r>
    <n v="47"/>
    <d v="2011-01-02T00:00:00"/>
    <n v="1"/>
    <n v="0"/>
    <n v="1"/>
    <n v="23"/>
    <b v="0"/>
    <x v="1"/>
    <x v="0"/>
    <n v="0.22"/>
  </r>
  <r>
    <n v="48"/>
    <d v="2011-01-03T00:00:00"/>
    <n v="1"/>
    <n v="0"/>
    <n v="1"/>
    <n v="0"/>
    <b v="0"/>
    <x v="2"/>
    <x v="0"/>
    <n v="0.22"/>
  </r>
  <r>
    <n v="49"/>
    <d v="2011-01-03T00:00:00"/>
    <n v="1"/>
    <n v="0"/>
    <n v="1"/>
    <n v="1"/>
    <b v="0"/>
    <x v="2"/>
    <x v="0"/>
    <n v="0.2"/>
  </r>
  <r>
    <n v="50"/>
    <d v="2011-01-03T00:00:00"/>
    <n v="1"/>
    <n v="0"/>
    <n v="1"/>
    <n v="4"/>
    <b v="0"/>
    <x v="2"/>
    <x v="0"/>
    <n v="0.16"/>
  </r>
  <r>
    <n v="51"/>
    <d v="2011-01-03T00:00:00"/>
    <n v="1"/>
    <n v="0"/>
    <n v="1"/>
    <n v="5"/>
    <b v="0"/>
    <x v="2"/>
    <x v="0"/>
    <n v="0.16"/>
  </r>
  <r>
    <n v="52"/>
    <d v="2011-01-03T00:00:00"/>
    <n v="1"/>
    <n v="0"/>
    <n v="1"/>
    <n v="6"/>
    <b v="0"/>
    <x v="2"/>
    <x v="0"/>
    <n v="0.14000000000000001"/>
  </r>
  <r>
    <n v="53"/>
    <d v="2011-01-03T00:00:00"/>
    <n v="1"/>
    <n v="0"/>
    <n v="1"/>
    <n v="7"/>
    <b v="0"/>
    <x v="2"/>
    <x v="0"/>
    <n v="0.14000000000000001"/>
  </r>
  <r>
    <n v="54"/>
    <d v="2011-01-03T00:00:00"/>
    <n v="1"/>
    <n v="0"/>
    <n v="1"/>
    <n v="8"/>
    <b v="0"/>
    <x v="2"/>
    <x v="0"/>
    <n v="0.14000000000000001"/>
  </r>
  <r>
    <n v="55"/>
    <d v="2011-01-03T00:00:00"/>
    <n v="1"/>
    <n v="0"/>
    <n v="1"/>
    <n v="9"/>
    <b v="0"/>
    <x v="2"/>
    <x v="0"/>
    <n v="0.16"/>
  </r>
  <r>
    <n v="56"/>
    <d v="2011-01-03T00:00:00"/>
    <n v="1"/>
    <n v="0"/>
    <n v="1"/>
    <n v="10"/>
    <b v="0"/>
    <x v="2"/>
    <x v="0"/>
    <n v="0.18"/>
  </r>
  <r>
    <n v="57"/>
    <d v="2011-01-03T00:00:00"/>
    <n v="1"/>
    <n v="0"/>
    <n v="1"/>
    <n v="11"/>
    <b v="0"/>
    <x v="2"/>
    <x v="0"/>
    <n v="0.2"/>
  </r>
  <r>
    <n v="58"/>
    <d v="2011-01-03T00:00:00"/>
    <n v="1"/>
    <n v="0"/>
    <n v="1"/>
    <n v="12"/>
    <b v="0"/>
    <x v="2"/>
    <x v="0"/>
    <n v="0.22"/>
  </r>
  <r>
    <n v="59"/>
    <d v="2011-01-03T00:00:00"/>
    <n v="1"/>
    <n v="0"/>
    <n v="1"/>
    <n v="13"/>
    <b v="0"/>
    <x v="2"/>
    <x v="0"/>
    <n v="0.24"/>
  </r>
  <r>
    <n v="60"/>
    <d v="2011-01-03T00:00:00"/>
    <n v="1"/>
    <n v="0"/>
    <n v="1"/>
    <n v="14"/>
    <b v="0"/>
    <x v="2"/>
    <x v="0"/>
    <n v="0.26"/>
  </r>
  <r>
    <n v="61"/>
    <d v="2011-01-03T00:00:00"/>
    <n v="1"/>
    <n v="0"/>
    <n v="1"/>
    <n v="15"/>
    <b v="0"/>
    <x v="2"/>
    <x v="0"/>
    <n v="0.26"/>
  </r>
  <r>
    <n v="62"/>
    <d v="2011-01-03T00:00:00"/>
    <n v="1"/>
    <n v="0"/>
    <n v="1"/>
    <n v="16"/>
    <b v="0"/>
    <x v="2"/>
    <x v="0"/>
    <n v="0.26"/>
  </r>
  <r>
    <n v="63"/>
    <d v="2011-01-03T00:00:00"/>
    <n v="1"/>
    <n v="0"/>
    <n v="1"/>
    <n v="17"/>
    <b v="0"/>
    <x v="2"/>
    <x v="0"/>
    <n v="0.24"/>
  </r>
  <r>
    <n v="64"/>
    <d v="2011-01-03T00:00:00"/>
    <n v="1"/>
    <n v="0"/>
    <n v="1"/>
    <n v="18"/>
    <b v="0"/>
    <x v="2"/>
    <x v="0"/>
    <n v="0.24"/>
  </r>
  <r>
    <n v="65"/>
    <d v="2011-01-03T00:00:00"/>
    <n v="1"/>
    <n v="0"/>
    <n v="1"/>
    <n v="19"/>
    <b v="0"/>
    <x v="2"/>
    <x v="0"/>
    <n v="0.2"/>
  </r>
  <r>
    <n v="66"/>
    <d v="2011-01-03T00:00:00"/>
    <n v="1"/>
    <n v="0"/>
    <n v="1"/>
    <n v="20"/>
    <b v="0"/>
    <x v="2"/>
    <x v="0"/>
    <n v="0.2"/>
  </r>
  <r>
    <n v="67"/>
    <d v="2011-01-03T00:00:00"/>
    <n v="1"/>
    <n v="0"/>
    <n v="1"/>
    <n v="21"/>
    <b v="0"/>
    <x v="2"/>
    <x v="0"/>
    <n v="0.18"/>
  </r>
  <r>
    <n v="68"/>
    <d v="2011-01-03T00:00:00"/>
    <n v="1"/>
    <n v="0"/>
    <n v="1"/>
    <n v="22"/>
    <b v="0"/>
    <x v="2"/>
    <x v="0"/>
    <n v="0.14000000000000001"/>
  </r>
  <r>
    <n v="69"/>
    <d v="2011-01-03T00:00:00"/>
    <n v="1"/>
    <n v="0"/>
    <n v="1"/>
    <n v="23"/>
    <b v="0"/>
    <x v="2"/>
    <x v="0"/>
    <n v="0.18"/>
  </r>
  <r>
    <n v="70"/>
    <d v="2011-01-04T00:00:00"/>
    <n v="1"/>
    <n v="0"/>
    <n v="1"/>
    <n v="0"/>
    <b v="0"/>
    <x v="3"/>
    <x v="0"/>
    <n v="0.16"/>
  </r>
  <r>
    <n v="71"/>
    <d v="2011-01-04T00:00:00"/>
    <n v="1"/>
    <n v="0"/>
    <n v="1"/>
    <n v="1"/>
    <b v="0"/>
    <x v="3"/>
    <x v="0"/>
    <n v="0.16"/>
  </r>
  <r>
    <n v="72"/>
    <d v="2011-01-04T00:00:00"/>
    <n v="1"/>
    <n v="0"/>
    <n v="1"/>
    <n v="2"/>
    <b v="0"/>
    <x v="3"/>
    <x v="0"/>
    <n v="0.14000000000000001"/>
  </r>
  <r>
    <n v="73"/>
    <d v="2011-01-04T00:00:00"/>
    <n v="1"/>
    <n v="0"/>
    <n v="1"/>
    <n v="4"/>
    <b v="0"/>
    <x v="3"/>
    <x v="0"/>
    <n v="0.14000000000000001"/>
  </r>
  <r>
    <n v="74"/>
    <d v="2011-01-04T00:00:00"/>
    <n v="1"/>
    <n v="0"/>
    <n v="1"/>
    <n v="5"/>
    <b v="0"/>
    <x v="3"/>
    <x v="0"/>
    <n v="0.12"/>
  </r>
  <r>
    <n v="75"/>
    <d v="2011-01-04T00:00:00"/>
    <n v="1"/>
    <n v="0"/>
    <n v="1"/>
    <n v="6"/>
    <b v="0"/>
    <x v="3"/>
    <x v="0"/>
    <n v="0.12"/>
  </r>
  <r>
    <n v="76"/>
    <d v="2011-01-04T00:00:00"/>
    <n v="1"/>
    <n v="0"/>
    <n v="1"/>
    <n v="7"/>
    <b v="0"/>
    <x v="3"/>
    <x v="0"/>
    <n v="0.12"/>
  </r>
  <r>
    <n v="77"/>
    <d v="2011-01-04T00:00:00"/>
    <n v="1"/>
    <n v="0"/>
    <n v="1"/>
    <n v="8"/>
    <b v="0"/>
    <x v="3"/>
    <x v="0"/>
    <n v="0.14000000000000001"/>
  </r>
  <r>
    <n v="78"/>
    <d v="2011-01-04T00:00:00"/>
    <n v="1"/>
    <n v="0"/>
    <n v="1"/>
    <n v="9"/>
    <b v="0"/>
    <x v="3"/>
    <x v="0"/>
    <n v="0.16"/>
  </r>
  <r>
    <n v="79"/>
    <d v="2011-01-04T00:00:00"/>
    <n v="1"/>
    <n v="0"/>
    <n v="1"/>
    <n v="10"/>
    <b v="0"/>
    <x v="3"/>
    <x v="1"/>
    <n v="0.16"/>
  </r>
  <r>
    <n v="80"/>
    <d v="2011-01-04T00:00:00"/>
    <n v="1"/>
    <n v="0"/>
    <n v="1"/>
    <n v="11"/>
    <b v="0"/>
    <x v="3"/>
    <x v="0"/>
    <n v="0.22"/>
  </r>
  <r>
    <n v="81"/>
    <d v="2011-01-04T00:00:00"/>
    <n v="1"/>
    <n v="0"/>
    <n v="1"/>
    <n v="12"/>
    <b v="0"/>
    <x v="3"/>
    <x v="0"/>
    <n v="0.22"/>
  </r>
  <r>
    <n v="82"/>
    <d v="2011-01-04T00:00:00"/>
    <n v="1"/>
    <n v="0"/>
    <n v="1"/>
    <n v="13"/>
    <b v="0"/>
    <x v="3"/>
    <x v="0"/>
    <n v="0.24"/>
  </r>
  <r>
    <n v="83"/>
    <d v="2011-01-04T00:00:00"/>
    <n v="1"/>
    <n v="0"/>
    <n v="1"/>
    <n v="14"/>
    <b v="0"/>
    <x v="3"/>
    <x v="0"/>
    <n v="0.26"/>
  </r>
  <r>
    <n v="84"/>
    <d v="2011-01-04T00:00:00"/>
    <n v="1"/>
    <n v="0"/>
    <n v="1"/>
    <n v="15"/>
    <b v="0"/>
    <x v="3"/>
    <x v="0"/>
    <n v="0.28000000000000003"/>
  </r>
  <r>
    <n v="85"/>
    <d v="2011-01-04T00:00:00"/>
    <n v="1"/>
    <n v="0"/>
    <n v="1"/>
    <n v="16"/>
    <b v="0"/>
    <x v="3"/>
    <x v="0"/>
    <n v="0.3"/>
  </r>
  <r>
    <n v="86"/>
    <d v="2011-01-04T00:00:00"/>
    <n v="1"/>
    <n v="0"/>
    <n v="1"/>
    <n v="17"/>
    <b v="0"/>
    <x v="3"/>
    <x v="0"/>
    <n v="0.28000000000000003"/>
  </r>
  <r>
    <n v="87"/>
    <d v="2011-01-04T00:00:00"/>
    <n v="1"/>
    <n v="0"/>
    <n v="1"/>
    <n v="18"/>
    <b v="0"/>
    <x v="3"/>
    <x v="0"/>
    <n v="0.26"/>
  </r>
  <r>
    <n v="88"/>
    <d v="2011-01-04T00:00:00"/>
    <n v="1"/>
    <n v="0"/>
    <n v="1"/>
    <n v="19"/>
    <b v="0"/>
    <x v="3"/>
    <x v="0"/>
    <n v="0.24"/>
  </r>
  <r>
    <n v="89"/>
    <d v="2011-01-04T00:00:00"/>
    <n v="1"/>
    <n v="0"/>
    <n v="1"/>
    <n v="20"/>
    <b v="0"/>
    <x v="3"/>
    <x v="0"/>
    <n v="0.24"/>
  </r>
  <r>
    <n v="90"/>
    <d v="2011-01-04T00:00:00"/>
    <n v="1"/>
    <n v="0"/>
    <n v="1"/>
    <n v="21"/>
    <b v="0"/>
    <x v="3"/>
    <x v="0"/>
    <n v="0.22"/>
  </r>
  <r>
    <n v="91"/>
    <d v="2011-01-04T00:00:00"/>
    <n v="1"/>
    <n v="0"/>
    <n v="1"/>
    <n v="22"/>
    <b v="0"/>
    <x v="3"/>
    <x v="0"/>
    <n v="0.22"/>
  </r>
  <r>
    <n v="92"/>
    <d v="2011-01-04T00:00:00"/>
    <n v="1"/>
    <n v="0"/>
    <n v="1"/>
    <n v="23"/>
    <b v="0"/>
    <x v="3"/>
    <x v="0"/>
    <n v="0.2"/>
  </r>
  <r>
    <n v="93"/>
    <d v="2011-01-05T00:00:00"/>
    <n v="1"/>
    <n v="0"/>
    <n v="1"/>
    <n v="0"/>
    <b v="0"/>
    <x v="4"/>
    <x v="0"/>
    <n v="0.2"/>
  </r>
  <r>
    <n v="94"/>
    <d v="2011-01-05T00:00:00"/>
    <n v="1"/>
    <n v="0"/>
    <n v="1"/>
    <n v="1"/>
    <b v="0"/>
    <x v="4"/>
    <x v="0"/>
    <n v="0.16"/>
  </r>
  <r>
    <n v="95"/>
    <d v="2011-01-05T00:00:00"/>
    <n v="1"/>
    <n v="0"/>
    <n v="1"/>
    <n v="2"/>
    <b v="0"/>
    <x v="4"/>
    <x v="0"/>
    <n v="0.16"/>
  </r>
  <r>
    <n v="96"/>
    <d v="2011-01-05T00:00:00"/>
    <n v="1"/>
    <n v="0"/>
    <n v="1"/>
    <n v="4"/>
    <b v="0"/>
    <x v="4"/>
    <x v="0"/>
    <n v="0.24"/>
  </r>
  <r>
    <n v="97"/>
    <d v="2011-01-05T00:00:00"/>
    <n v="1"/>
    <n v="0"/>
    <n v="1"/>
    <n v="5"/>
    <b v="0"/>
    <x v="4"/>
    <x v="0"/>
    <n v="0.22"/>
  </r>
  <r>
    <n v="98"/>
    <d v="2011-01-05T00:00:00"/>
    <n v="1"/>
    <n v="0"/>
    <n v="1"/>
    <n v="6"/>
    <b v="0"/>
    <x v="4"/>
    <x v="0"/>
    <n v="0.2"/>
  </r>
  <r>
    <n v="99"/>
    <d v="2011-01-05T00:00:00"/>
    <n v="1"/>
    <n v="0"/>
    <n v="1"/>
    <n v="7"/>
    <b v="0"/>
    <x v="4"/>
    <x v="0"/>
    <n v="0.18"/>
  </r>
  <r>
    <n v="100"/>
    <d v="2011-01-05T00:00:00"/>
    <n v="1"/>
    <n v="0"/>
    <n v="1"/>
    <n v="8"/>
    <b v="0"/>
    <x v="4"/>
    <x v="0"/>
    <n v="0.2"/>
  </r>
  <r>
    <n v="101"/>
    <d v="2011-01-05T00:00:00"/>
    <n v="1"/>
    <n v="0"/>
    <n v="1"/>
    <n v="9"/>
    <b v="0"/>
    <x v="4"/>
    <x v="0"/>
    <n v="0.22"/>
  </r>
  <r>
    <n v="102"/>
    <d v="2011-01-05T00:00:00"/>
    <n v="1"/>
    <n v="0"/>
    <n v="1"/>
    <n v="10"/>
    <b v="0"/>
    <x v="4"/>
    <x v="0"/>
    <n v="0.22"/>
  </r>
  <r>
    <n v="103"/>
    <d v="2011-01-05T00:00:00"/>
    <n v="1"/>
    <n v="0"/>
    <n v="1"/>
    <n v="11"/>
    <b v="0"/>
    <x v="4"/>
    <x v="0"/>
    <n v="0.26"/>
  </r>
  <r>
    <n v="104"/>
    <d v="2011-01-05T00:00:00"/>
    <n v="1"/>
    <n v="0"/>
    <n v="1"/>
    <n v="12"/>
    <b v="0"/>
    <x v="4"/>
    <x v="0"/>
    <n v="0.26"/>
  </r>
  <r>
    <n v="105"/>
    <d v="2011-01-05T00:00:00"/>
    <n v="1"/>
    <n v="0"/>
    <n v="1"/>
    <n v="13"/>
    <b v="0"/>
    <x v="4"/>
    <x v="0"/>
    <n v="0.28000000000000003"/>
  </r>
  <r>
    <n v="106"/>
    <d v="2011-01-05T00:00:00"/>
    <n v="1"/>
    <n v="0"/>
    <n v="1"/>
    <n v="14"/>
    <b v="0"/>
    <x v="4"/>
    <x v="0"/>
    <n v="0.3"/>
  </r>
  <r>
    <n v="107"/>
    <d v="2011-01-05T00:00:00"/>
    <n v="1"/>
    <n v="0"/>
    <n v="1"/>
    <n v="15"/>
    <b v="0"/>
    <x v="4"/>
    <x v="0"/>
    <n v="0.3"/>
  </r>
  <r>
    <n v="108"/>
    <d v="2011-01-05T00:00:00"/>
    <n v="1"/>
    <n v="0"/>
    <n v="1"/>
    <n v="16"/>
    <b v="0"/>
    <x v="4"/>
    <x v="0"/>
    <n v="0.3"/>
  </r>
  <r>
    <n v="109"/>
    <d v="2011-01-05T00:00:00"/>
    <n v="1"/>
    <n v="0"/>
    <n v="1"/>
    <n v="17"/>
    <b v="0"/>
    <x v="4"/>
    <x v="0"/>
    <n v="0.24"/>
  </r>
  <r>
    <n v="110"/>
    <d v="2011-01-05T00:00:00"/>
    <n v="1"/>
    <n v="0"/>
    <n v="1"/>
    <n v="18"/>
    <b v="0"/>
    <x v="4"/>
    <x v="0"/>
    <n v="0.24"/>
  </r>
  <r>
    <n v="111"/>
    <d v="2011-01-05T00:00:00"/>
    <n v="1"/>
    <n v="0"/>
    <n v="1"/>
    <n v="19"/>
    <b v="0"/>
    <x v="4"/>
    <x v="0"/>
    <n v="0.24"/>
  </r>
  <r>
    <n v="112"/>
    <d v="2011-01-05T00:00:00"/>
    <n v="1"/>
    <n v="0"/>
    <n v="1"/>
    <n v="20"/>
    <b v="0"/>
    <x v="4"/>
    <x v="0"/>
    <n v="0.22"/>
  </r>
  <r>
    <n v="113"/>
    <d v="2011-01-05T00:00:00"/>
    <n v="1"/>
    <n v="0"/>
    <n v="1"/>
    <n v="21"/>
    <b v="0"/>
    <x v="4"/>
    <x v="0"/>
    <n v="0.2"/>
  </r>
  <r>
    <n v="114"/>
    <d v="2011-01-05T00:00:00"/>
    <n v="1"/>
    <n v="0"/>
    <n v="1"/>
    <n v="22"/>
    <b v="0"/>
    <x v="4"/>
    <x v="0"/>
    <n v="0.18"/>
  </r>
  <r>
    <n v="115"/>
    <d v="2011-01-05T00:00:00"/>
    <n v="1"/>
    <n v="0"/>
    <n v="1"/>
    <n v="23"/>
    <b v="0"/>
    <x v="4"/>
    <x v="0"/>
    <n v="0.2"/>
  </r>
  <r>
    <n v="116"/>
    <d v="2011-01-06T00:00:00"/>
    <n v="1"/>
    <n v="0"/>
    <n v="1"/>
    <n v="0"/>
    <b v="0"/>
    <x v="5"/>
    <x v="0"/>
    <n v="0.18"/>
  </r>
  <r>
    <n v="117"/>
    <d v="2011-01-06T00:00:00"/>
    <n v="1"/>
    <n v="0"/>
    <n v="1"/>
    <n v="1"/>
    <b v="0"/>
    <x v="5"/>
    <x v="0"/>
    <n v="0.16"/>
  </r>
  <r>
    <n v="118"/>
    <d v="2011-01-06T00:00:00"/>
    <n v="1"/>
    <n v="0"/>
    <n v="1"/>
    <n v="2"/>
    <b v="0"/>
    <x v="5"/>
    <x v="0"/>
    <n v="0.16"/>
  </r>
  <r>
    <n v="119"/>
    <d v="2011-01-06T00:00:00"/>
    <n v="1"/>
    <n v="0"/>
    <n v="1"/>
    <n v="4"/>
    <b v="0"/>
    <x v="5"/>
    <x v="1"/>
    <n v="0.16"/>
  </r>
  <r>
    <n v="120"/>
    <d v="2011-01-06T00:00:00"/>
    <n v="1"/>
    <n v="0"/>
    <n v="1"/>
    <n v="5"/>
    <b v="0"/>
    <x v="5"/>
    <x v="1"/>
    <n v="0.14000000000000001"/>
  </r>
  <r>
    <n v="121"/>
    <d v="2011-01-06T00:00:00"/>
    <n v="1"/>
    <n v="0"/>
    <n v="1"/>
    <n v="6"/>
    <b v="0"/>
    <x v="5"/>
    <x v="1"/>
    <n v="0.14000000000000001"/>
  </r>
  <r>
    <n v="122"/>
    <d v="2011-01-06T00:00:00"/>
    <n v="1"/>
    <n v="0"/>
    <n v="1"/>
    <n v="7"/>
    <b v="0"/>
    <x v="5"/>
    <x v="1"/>
    <n v="0.16"/>
  </r>
  <r>
    <n v="123"/>
    <d v="2011-01-06T00:00:00"/>
    <n v="1"/>
    <n v="0"/>
    <n v="1"/>
    <n v="8"/>
    <b v="0"/>
    <x v="5"/>
    <x v="0"/>
    <n v="0.16"/>
  </r>
  <r>
    <n v="124"/>
    <d v="2011-01-06T00:00:00"/>
    <n v="1"/>
    <n v="0"/>
    <n v="1"/>
    <n v="9"/>
    <b v="0"/>
    <x v="5"/>
    <x v="1"/>
    <n v="0.18"/>
  </r>
  <r>
    <n v="125"/>
    <d v="2011-01-06T00:00:00"/>
    <n v="1"/>
    <n v="0"/>
    <n v="1"/>
    <n v="10"/>
    <b v="0"/>
    <x v="5"/>
    <x v="0"/>
    <n v="0.2"/>
  </r>
  <r>
    <n v="126"/>
    <d v="2011-01-06T00:00:00"/>
    <n v="1"/>
    <n v="0"/>
    <n v="1"/>
    <n v="11"/>
    <b v="0"/>
    <x v="5"/>
    <x v="0"/>
    <n v="0.22"/>
  </r>
  <r>
    <n v="127"/>
    <d v="2011-01-06T00:00:00"/>
    <n v="1"/>
    <n v="0"/>
    <n v="1"/>
    <n v="12"/>
    <b v="0"/>
    <x v="5"/>
    <x v="0"/>
    <n v="0.26"/>
  </r>
  <r>
    <n v="128"/>
    <d v="2011-01-06T00:00:00"/>
    <n v="1"/>
    <n v="0"/>
    <n v="1"/>
    <n v="13"/>
    <b v="0"/>
    <x v="5"/>
    <x v="0"/>
    <n v="0.26"/>
  </r>
  <r>
    <n v="129"/>
    <d v="2011-01-06T00:00:00"/>
    <n v="1"/>
    <n v="0"/>
    <n v="1"/>
    <n v="14"/>
    <b v="0"/>
    <x v="5"/>
    <x v="0"/>
    <n v="0.28000000000000003"/>
  </r>
  <r>
    <n v="130"/>
    <d v="2011-01-06T00:00:00"/>
    <n v="1"/>
    <n v="0"/>
    <n v="1"/>
    <n v="15"/>
    <b v="0"/>
    <x v="5"/>
    <x v="0"/>
    <n v="0.28000000000000003"/>
  </r>
  <r>
    <n v="131"/>
    <d v="2011-01-06T00:00:00"/>
    <n v="1"/>
    <n v="0"/>
    <n v="1"/>
    <n v="16"/>
    <b v="0"/>
    <x v="5"/>
    <x v="0"/>
    <n v="0.26"/>
  </r>
  <r>
    <n v="132"/>
    <d v="2011-01-06T00:00:00"/>
    <n v="1"/>
    <n v="0"/>
    <n v="1"/>
    <n v="17"/>
    <b v="0"/>
    <x v="5"/>
    <x v="0"/>
    <n v="0.22"/>
  </r>
  <r>
    <n v="133"/>
    <d v="2011-01-06T00:00:00"/>
    <n v="1"/>
    <n v="0"/>
    <n v="1"/>
    <n v="18"/>
    <b v="0"/>
    <x v="5"/>
    <x v="0"/>
    <n v="0.22"/>
  </r>
  <r>
    <n v="134"/>
    <d v="2011-01-06T00:00:00"/>
    <n v="1"/>
    <n v="0"/>
    <n v="1"/>
    <n v="19"/>
    <b v="0"/>
    <x v="5"/>
    <x v="0"/>
    <n v="0.22"/>
  </r>
  <r>
    <n v="135"/>
    <d v="2011-01-06T00:00:00"/>
    <n v="1"/>
    <n v="0"/>
    <n v="1"/>
    <n v="20"/>
    <b v="0"/>
    <x v="5"/>
    <x v="0"/>
    <n v="0.2"/>
  </r>
  <r>
    <n v="136"/>
    <d v="2011-01-06T00:00:00"/>
    <n v="1"/>
    <n v="0"/>
    <n v="1"/>
    <n v="21"/>
    <b v="0"/>
    <x v="5"/>
    <x v="1"/>
    <n v="0.22"/>
  </r>
  <r>
    <n v="137"/>
    <d v="2011-01-06T00:00:00"/>
    <n v="1"/>
    <n v="0"/>
    <n v="1"/>
    <n v="22"/>
    <b v="0"/>
    <x v="5"/>
    <x v="1"/>
    <n v="0.22"/>
  </r>
  <r>
    <n v="138"/>
    <d v="2011-01-06T00:00:00"/>
    <n v="1"/>
    <n v="0"/>
    <n v="1"/>
    <n v="23"/>
    <b v="0"/>
    <x v="5"/>
    <x v="1"/>
    <n v="0.2"/>
  </r>
  <r>
    <n v="139"/>
    <d v="2011-01-07T00:00:00"/>
    <n v="1"/>
    <n v="0"/>
    <n v="1"/>
    <n v="0"/>
    <b v="0"/>
    <x v="6"/>
    <x v="1"/>
    <n v="0.2"/>
  </r>
  <r>
    <n v="140"/>
    <d v="2011-01-07T00:00:00"/>
    <n v="1"/>
    <n v="0"/>
    <n v="1"/>
    <n v="1"/>
    <b v="0"/>
    <x v="6"/>
    <x v="1"/>
    <n v="0.2"/>
  </r>
  <r>
    <n v="141"/>
    <d v="2011-01-07T00:00:00"/>
    <n v="1"/>
    <n v="0"/>
    <n v="1"/>
    <n v="2"/>
    <b v="0"/>
    <x v="6"/>
    <x v="1"/>
    <n v="0.2"/>
  </r>
  <r>
    <n v="142"/>
    <d v="2011-01-07T00:00:00"/>
    <n v="1"/>
    <n v="0"/>
    <n v="1"/>
    <n v="4"/>
    <b v="0"/>
    <x v="6"/>
    <x v="1"/>
    <n v="0.2"/>
  </r>
  <r>
    <n v="143"/>
    <d v="2011-01-07T00:00:00"/>
    <n v="1"/>
    <n v="0"/>
    <n v="1"/>
    <n v="5"/>
    <b v="0"/>
    <x v="6"/>
    <x v="2"/>
    <n v="0.22"/>
  </r>
  <r>
    <n v="144"/>
    <d v="2011-01-07T00:00:00"/>
    <n v="1"/>
    <n v="0"/>
    <n v="1"/>
    <n v="6"/>
    <b v="0"/>
    <x v="6"/>
    <x v="1"/>
    <n v="0.2"/>
  </r>
  <r>
    <n v="145"/>
    <d v="2011-01-07T00:00:00"/>
    <n v="1"/>
    <n v="0"/>
    <n v="1"/>
    <n v="7"/>
    <b v="0"/>
    <x v="6"/>
    <x v="0"/>
    <n v="0.2"/>
  </r>
  <r>
    <n v="146"/>
    <d v="2011-01-07T00:00:00"/>
    <n v="1"/>
    <n v="0"/>
    <n v="1"/>
    <n v="8"/>
    <b v="0"/>
    <x v="6"/>
    <x v="0"/>
    <n v="0.2"/>
  </r>
  <r>
    <n v="147"/>
    <d v="2011-01-07T00:00:00"/>
    <n v="1"/>
    <n v="0"/>
    <n v="1"/>
    <n v="9"/>
    <b v="0"/>
    <x v="6"/>
    <x v="0"/>
    <n v="0.2"/>
  </r>
  <r>
    <n v="148"/>
    <d v="2011-01-07T00:00:00"/>
    <n v="1"/>
    <n v="0"/>
    <n v="1"/>
    <n v="10"/>
    <b v="0"/>
    <x v="6"/>
    <x v="0"/>
    <n v="0.22"/>
  </r>
  <r>
    <n v="149"/>
    <d v="2011-01-07T00:00:00"/>
    <n v="1"/>
    <n v="0"/>
    <n v="1"/>
    <n v="11"/>
    <b v="0"/>
    <x v="6"/>
    <x v="1"/>
    <n v="0.2"/>
  </r>
  <r>
    <n v="150"/>
    <d v="2011-01-07T00:00:00"/>
    <n v="1"/>
    <n v="0"/>
    <n v="1"/>
    <n v="12"/>
    <b v="0"/>
    <x v="6"/>
    <x v="1"/>
    <n v="0.2"/>
  </r>
  <r>
    <n v="151"/>
    <d v="2011-01-07T00:00:00"/>
    <n v="1"/>
    <n v="0"/>
    <n v="1"/>
    <n v="13"/>
    <b v="0"/>
    <x v="6"/>
    <x v="1"/>
    <n v="0.2"/>
  </r>
  <r>
    <n v="152"/>
    <d v="2011-01-07T00:00:00"/>
    <n v="1"/>
    <n v="0"/>
    <n v="1"/>
    <n v="14"/>
    <b v="0"/>
    <x v="6"/>
    <x v="1"/>
    <n v="0.2"/>
  </r>
  <r>
    <n v="153"/>
    <d v="2011-01-07T00:00:00"/>
    <n v="1"/>
    <n v="0"/>
    <n v="1"/>
    <n v="15"/>
    <b v="0"/>
    <x v="6"/>
    <x v="1"/>
    <n v="0.2"/>
  </r>
  <r>
    <n v="154"/>
    <d v="2011-01-07T00:00:00"/>
    <n v="1"/>
    <n v="0"/>
    <n v="1"/>
    <n v="16"/>
    <b v="0"/>
    <x v="6"/>
    <x v="1"/>
    <n v="0.2"/>
  </r>
  <r>
    <n v="155"/>
    <d v="2011-01-07T00:00:00"/>
    <n v="1"/>
    <n v="0"/>
    <n v="1"/>
    <n v="17"/>
    <b v="0"/>
    <x v="6"/>
    <x v="1"/>
    <n v="0.2"/>
  </r>
  <r>
    <n v="156"/>
    <d v="2011-01-07T00:00:00"/>
    <n v="1"/>
    <n v="0"/>
    <n v="1"/>
    <n v="18"/>
    <b v="0"/>
    <x v="6"/>
    <x v="0"/>
    <n v="0.2"/>
  </r>
  <r>
    <n v="157"/>
    <d v="2011-01-07T00:00:00"/>
    <n v="1"/>
    <n v="0"/>
    <n v="1"/>
    <n v="19"/>
    <b v="0"/>
    <x v="6"/>
    <x v="0"/>
    <n v="0.16"/>
  </r>
  <r>
    <n v="158"/>
    <d v="2011-01-07T00:00:00"/>
    <n v="1"/>
    <n v="0"/>
    <n v="1"/>
    <n v="20"/>
    <b v="0"/>
    <x v="6"/>
    <x v="0"/>
    <n v="0.18"/>
  </r>
  <r>
    <n v="159"/>
    <d v="2011-01-07T00:00:00"/>
    <n v="1"/>
    <n v="0"/>
    <n v="1"/>
    <n v="21"/>
    <b v="0"/>
    <x v="6"/>
    <x v="0"/>
    <n v="0.18"/>
  </r>
  <r>
    <n v="160"/>
    <d v="2011-01-07T00:00:00"/>
    <n v="1"/>
    <n v="0"/>
    <n v="1"/>
    <n v="22"/>
    <b v="0"/>
    <x v="6"/>
    <x v="1"/>
    <n v="0.18"/>
  </r>
  <r>
    <n v="161"/>
    <d v="2011-01-07T00:00:00"/>
    <n v="1"/>
    <n v="0"/>
    <n v="1"/>
    <n v="23"/>
    <b v="0"/>
    <x v="6"/>
    <x v="1"/>
    <n v="0.18"/>
  </r>
  <r>
    <n v="162"/>
    <d v="2011-01-08T00:00:00"/>
    <n v="1"/>
    <n v="0"/>
    <n v="1"/>
    <n v="0"/>
    <b v="0"/>
    <x v="0"/>
    <x v="1"/>
    <n v="0.18"/>
  </r>
  <r>
    <n v="163"/>
    <d v="2011-01-08T00:00:00"/>
    <n v="1"/>
    <n v="0"/>
    <n v="1"/>
    <n v="1"/>
    <b v="0"/>
    <x v="0"/>
    <x v="1"/>
    <n v="0.18"/>
  </r>
  <r>
    <n v="164"/>
    <d v="2011-01-08T00:00:00"/>
    <n v="1"/>
    <n v="0"/>
    <n v="1"/>
    <n v="2"/>
    <b v="0"/>
    <x v="0"/>
    <x v="1"/>
    <n v="0.18"/>
  </r>
  <r>
    <n v="165"/>
    <d v="2011-01-08T00:00:00"/>
    <n v="1"/>
    <n v="0"/>
    <n v="1"/>
    <n v="3"/>
    <b v="0"/>
    <x v="0"/>
    <x v="2"/>
    <n v="0.18"/>
  </r>
  <r>
    <n v="166"/>
    <d v="2011-01-08T00:00:00"/>
    <n v="1"/>
    <n v="0"/>
    <n v="1"/>
    <n v="4"/>
    <b v="0"/>
    <x v="0"/>
    <x v="2"/>
    <n v="0.18"/>
  </r>
  <r>
    <n v="167"/>
    <d v="2011-01-08T00:00:00"/>
    <n v="1"/>
    <n v="0"/>
    <n v="1"/>
    <n v="5"/>
    <b v="0"/>
    <x v="0"/>
    <x v="1"/>
    <n v="0.16"/>
  </r>
  <r>
    <n v="168"/>
    <d v="2011-01-08T00:00:00"/>
    <n v="1"/>
    <n v="0"/>
    <n v="1"/>
    <n v="6"/>
    <b v="0"/>
    <x v="0"/>
    <x v="1"/>
    <n v="0.16"/>
  </r>
  <r>
    <n v="169"/>
    <d v="2011-01-08T00:00:00"/>
    <n v="1"/>
    <n v="0"/>
    <n v="1"/>
    <n v="7"/>
    <b v="0"/>
    <x v="0"/>
    <x v="1"/>
    <n v="0.16"/>
  </r>
  <r>
    <n v="170"/>
    <d v="2011-01-08T00:00:00"/>
    <n v="1"/>
    <n v="0"/>
    <n v="1"/>
    <n v="8"/>
    <b v="0"/>
    <x v="0"/>
    <x v="2"/>
    <n v="0.16"/>
  </r>
  <r>
    <n v="171"/>
    <d v="2011-01-08T00:00:00"/>
    <n v="1"/>
    <n v="0"/>
    <n v="1"/>
    <n v="9"/>
    <b v="0"/>
    <x v="0"/>
    <x v="2"/>
    <n v="0.16"/>
  </r>
  <r>
    <n v="172"/>
    <d v="2011-01-08T00:00:00"/>
    <n v="1"/>
    <n v="0"/>
    <n v="1"/>
    <n v="10"/>
    <b v="0"/>
    <x v="0"/>
    <x v="1"/>
    <n v="0.18"/>
  </r>
  <r>
    <n v="173"/>
    <d v="2011-01-08T00:00:00"/>
    <n v="1"/>
    <n v="0"/>
    <n v="1"/>
    <n v="11"/>
    <b v="0"/>
    <x v="0"/>
    <x v="1"/>
    <n v="0.2"/>
  </r>
  <r>
    <n v="174"/>
    <d v="2011-01-08T00:00:00"/>
    <n v="1"/>
    <n v="0"/>
    <n v="1"/>
    <n v="12"/>
    <b v="0"/>
    <x v="0"/>
    <x v="1"/>
    <n v="0.2"/>
  </r>
  <r>
    <n v="175"/>
    <d v="2011-01-08T00:00:00"/>
    <n v="1"/>
    <n v="0"/>
    <n v="1"/>
    <n v="13"/>
    <b v="0"/>
    <x v="0"/>
    <x v="0"/>
    <n v="0.2"/>
  </r>
  <r>
    <n v="176"/>
    <d v="2011-01-08T00:00:00"/>
    <n v="1"/>
    <n v="0"/>
    <n v="1"/>
    <n v="14"/>
    <b v="0"/>
    <x v="0"/>
    <x v="0"/>
    <n v="0.2"/>
  </r>
  <r>
    <n v="177"/>
    <d v="2011-01-08T00:00:00"/>
    <n v="1"/>
    <n v="0"/>
    <n v="1"/>
    <n v="15"/>
    <b v="0"/>
    <x v="0"/>
    <x v="0"/>
    <n v="0.2"/>
  </r>
  <r>
    <n v="178"/>
    <d v="2011-01-08T00:00:00"/>
    <n v="1"/>
    <n v="0"/>
    <n v="1"/>
    <n v="16"/>
    <b v="0"/>
    <x v="0"/>
    <x v="0"/>
    <n v="0.18"/>
  </r>
  <r>
    <n v="179"/>
    <d v="2011-01-08T00:00:00"/>
    <n v="1"/>
    <n v="0"/>
    <n v="1"/>
    <n v="17"/>
    <b v="0"/>
    <x v="0"/>
    <x v="0"/>
    <n v="0.16"/>
  </r>
  <r>
    <n v="180"/>
    <d v="2011-01-08T00:00:00"/>
    <n v="1"/>
    <n v="0"/>
    <n v="1"/>
    <n v="18"/>
    <b v="0"/>
    <x v="0"/>
    <x v="0"/>
    <n v="0.14000000000000001"/>
  </r>
  <r>
    <n v="181"/>
    <d v="2011-01-08T00:00:00"/>
    <n v="1"/>
    <n v="0"/>
    <n v="1"/>
    <n v="19"/>
    <b v="0"/>
    <x v="0"/>
    <x v="0"/>
    <n v="0.14000000000000001"/>
  </r>
  <r>
    <n v="182"/>
    <d v="2011-01-08T00:00:00"/>
    <n v="1"/>
    <n v="0"/>
    <n v="1"/>
    <n v="20"/>
    <b v="0"/>
    <x v="0"/>
    <x v="0"/>
    <n v="0.12"/>
  </r>
  <r>
    <n v="183"/>
    <d v="2011-01-08T00:00:00"/>
    <n v="1"/>
    <n v="0"/>
    <n v="1"/>
    <n v="21"/>
    <b v="0"/>
    <x v="0"/>
    <x v="0"/>
    <n v="0.12"/>
  </r>
  <r>
    <n v="184"/>
    <d v="2011-01-08T00:00:00"/>
    <n v="1"/>
    <n v="0"/>
    <n v="1"/>
    <n v="22"/>
    <b v="0"/>
    <x v="0"/>
    <x v="0"/>
    <n v="0.12"/>
  </r>
  <r>
    <n v="185"/>
    <d v="2011-01-08T00:00:00"/>
    <n v="1"/>
    <n v="0"/>
    <n v="1"/>
    <n v="23"/>
    <b v="0"/>
    <x v="0"/>
    <x v="0"/>
    <n v="0.1"/>
  </r>
  <r>
    <n v="186"/>
    <d v="2011-01-09T00:00:00"/>
    <n v="1"/>
    <n v="0"/>
    <n v="1"/>
    <n v="0"/>
    <b v="0"/>
    <x v="1"/>
    <x v="0"/>
    <n v="0.1"/>
  </r>
  <r>
    <n v="187"/>
    <d v="2011-01-09T00:00:00"/>
    <n v="1"/>
    <n v="0"/>
    <n v="1"/>
    <n v="1"/>
    <b v="0"/>
    <x v="1"/>
    <x v="0"/>
    <n v="0.1"/>
  </r>
  <r>
    <n v="188"/>
    <d v="2011-01-09T00:00:00"/>
    <n v="1"/>
    <n v="0"/>
    <n v="1"/>
    <n v="2"/>
    <b v="0"/>
    <x v="1"/>
    <x v="0"/>
    <n v="0.1"/>
  </r>
  <r>
    <n v="189"/>
    <d v="2011-01-09T00:00:00"/>
    <n v="1"/>
    <n v="0"/>
    <n v="1"/>
    <n v="3"/>
    <b v="0"/>
    <x v="1"/>
    <x v="0"/>
    <n v="0.1"/>
  </r>
  <r>
    <n v="190"/>
    <d v="2011-01-09T00:00:00"/>
    <n v="1"/>
    <n v="0"/>
    <n v="1"/>
    <n v="4"/>
    <b v="0"/>
    <x v="1"/>
    <x v="0"/>
    <n v="0.08"/>
  </r>
  <r>
    <n v="191"/>
    <d v="2011-01-09T00:00:00"/>
    <n v="1"/>
    <n v="0"/>
    <n v="1"/>
    <n v="5"/>
    <b v="0"/>
    <x v="1"/>
    <x v="0"/>
    <n v="0.08"/>
  </r>
  <r>
    <n v="192"/>
    <d v="2011-01-09T00:00:00"/>
    <n v="1"/>
    <n v="0"/>
    <n v="1"/>
    <n v="6"/>
    <b v="0"/>
    <x v="1"/>
    <x v="0"/>
    <n v="0.1"/>
  </r>
  <r>
    <n v="193"/>
    <d v="2011-01-09T00:00:00"/>
    <n v="1"/>
    <n v="0"/>
    <n v="1"/>
    <n v="7"/>
    <b v="0"/>
    <x v="1"/>
    <x v="0"/>
    <n v="0.08"/>
  </r>
  <r>
    <n v="194"/>
    <d v="2011-01-09T00:00:00"/>
    <n v="1"/>
    <n v="0"/>
    <n v="1"/>
    <n v="8"/>
    <b v="0"/>
    <x v="1"/>
    <x v="0"/>
    <n v="0.1"/>
  </r>
  <r>
    <n v="195"/>
    <d v="2011-01-09T00:00:00"/>
    <n v="1"/>
    <n v="0"/>
    <n v="1"/>
    <n v="9"/>
    <b v="0"/>
    <x v="1"/>
    <x v="0"/>
    <n v="0.12"/>
  </r>
  <r>
    <n v="196"/>
    <d v="2011-01-09T00:00:00"/>
    <n v="1"/>
    <n v="0"/>
    <n v="1"/>
    <n v="10"/>
    <b v="0"/>
    <x v="1"/>
    <x v="0"/>
    <n v="0.14000000000000001"/>
  </r>
  <r>
    <n v="197"/>
    <d v="2011-01-09T00:00:00"/>
    <n v="1"/>
    <n v="0"/>
    <n v="1"/>
    <n v="11"/>
    <b v="0"/>
    <x v="1"/>
    <x v="0"/>
    <n v="0.16"/>
  </r>
  <r>
    <n v="198"/>
    <d v="2011-01-09T00:00:00"/>
    <n v="1"/>
    <n v="0"/>
    <n v="1"/>
    <n v="12"/>
    <b v="0"/>
    <x v="1"/>
    <x v="0"/>
    <n v="0.18"/>
  </r>
  <r>
    <n v="199"/>
    <d v="2011-01-09T00:00:00"/>
    <n v="1"/>
    <n v="0"/>
    <n v="1"/>
    <n v="13"/>
    <b v="0"/>
    <x v="1"/>
    <x v="0"/>
    <n v="0.2"/>
  </r>
  <r>
    <n v="200"/>
    <d v="2011-01-09T00:00:00"/>
    <n v="1"/>
    <n v="0"/>
    <n v="1"/>
    <n v="14"/>
    <b v="0"/>
    <x v="1"/>
    <x v="0"/>
    <n v="0.22"/>
  </r>
  <r>
    <n v="201"/>
    <d v="2011-01-09T00:00:00"/>
    <n v="1"/>
    <n v="0"/>
    <n v="1"/>
    <n v="15"/>
    <b v="0"/>
    <x v="1"/>
    <x v="0"/>
    <n v="0.22"/>
  </r>
  <r>
    <n v="202"/>
    <d v="2011-01-09T00:00:00"/>
    <n v="1"/>
    <n v="0"/>
    <n v="1"/>
    <n v="16"/>
    <b v="0"/>
    <x v="1"/>
    <x v="0"/>
    <n v="0.2"/>
  </r>
  <r>
    <n v="203"/>
    <d v="2011-01-09T00:00:00"/>
    <n v="1"/>
    <n v="0"/>
    <n v="1"/>
    <n v="17"/>
    <b v="0"/>
    <x v="1"/>
    <x v="0"/>
    <n v="0.18"/>
  </r>
  <r>
    <n v="204"/>
    <d v="2011-01-09T00:00:00"/>
    <n v="1"/>
    <n v="0"/>
    <n v="1"/>
    <n v="18"/>
    <b v="0"/>
    <x v="1"/>
    <x v="0"/>
    <n v="0.16"/>
  </r>
  <r>
    <n v="205"/>
    <d v="2011-01-09T00:00:00"/>
    <n v="1"/>
    <n v="0"/>
    <n v="1"/>
    <n v="19"/>
    <b v="0"/>
    <x v="1"/>
    <x v="0"/>
    <n v="0.16"/>
  </r>
  <r>
    <n v="206"/>
    <d v="2011-01-09T00:00:00"/>
    <n v="1"/>
    <n v="0"/>
    <n v="1"/>
    <n v="20"/>
    <b v="0"/>
    <x v="1"/>
    <x v="0"/>
    <n v="0.14000000000000001"/>
  </r>
  <r>
    <n v="207"/>
    <d v="2011-01-09T00:00:00"/>
    <n v="1"/>
    <n v="0"/>
    <n v="1"/>
    <n v="21"/>
    <b v="0"/>
    <x v="1"/>
    <x v="0"/>
    <n v="0.14000000000000001"/>
  </r>
  <r>
    <n v="208"/>
    <d v="2011-01-09T00:00:00"/>
    <n v="1"/>
    <n v="0"/>
    <n v="1"/>
    <n v="22"/>
    <b v="0"/>
    <x v="1"/>
    <x v="0"/>
    <n v="0.14000000000000001"/>
  </r>
  <r>
    <n v="209"/>
    <d v="2011-01-09T00:00:00"/>
    <n v="1"/>
    <n v="0"/>
    <n v="1"/>
    <n v="23"/>
    <b v="0"/>
    <x v="1"/>
    <x v="0"/>
    <n v="0.12"/>
  </r>
  <r>
    <n v="210"/>
    <d v="2011-01-10T00:00:00"/>
    <n v="1"/>
    <n v="0"/>
    <n v="1"/>
    <n v="0"/>
    <b v="0"/>
    <x v="2"/>
    <x v="0"/>
    <n v="0.12"/>
  </r>
  <r>
    <n v="211"/>
    <d v="2011-01-10T00:00:00"/>
    <n v="1"/>
    <n v="0"/>
    <n v="1"/>
    <n v="1"/>
    <b v="0"/>
    <x v="2"/>
    <x v="0"/>
    <n v="0.12"/>
  </r>
  <r>
    <n v="212"/>
    <d v="2011-01-10T00:00:00"/>
    <n v="1"/>
    <n v="0"/>
    <n v="1"/>
    <n v="2"/>
    <b v="0"/>
    <x v="2"/>
    <x v="0"/>
    <n v="0.12"/>
  </r>
  <r>
    <n v="213"/>
    <d v="2011-01-10T00:00:00"/>
    <n v="1"/>
    <n v="0"/>
    <n v="1"/>
    <n v="3"/>
    <b v="0"/>
    <x v="2"/>
    <x v="0"/>
    <n v="0.12"/>
  </r>
  <r>
    <n v="214"/>
    <d v="2011-01-10T00:00:00"/>
    <n v="1"/>
    <n v="0"/>
    <n v="1"/>
    <n v="4"/>
    <b v="0"/>
    <x v="2"/>
    <x v="0"/>
    <n v="0.1"/>
  </r>
  <r>
    <n v="215"/>
    <d v="2011-01-10T00:00:00"/>
    <n v="1"/>
    <n v="0"/>
    <n v="1"/>
    <n v="5"/>
    <b v="0"/>
    <x v="2"/>
    <x v="0"/>
    <n v="0.1"/>
  </r>
  <r>
    <n v="216"/>
    <d v="2011-01-10T00:00:00"/>
    <n v="1"/>
    <n v="0"/>
    <n v="1"/>
    <n v="6"/>
    <b v="0"/>
    <x v="2"/>
    <x v="0"/>
    <n v="0.12"/>
  </r>
  <r>
    <n v="217"/>
    <d v="2011-01-10T00:00:00"/>
    <n v="1"/>
    <n v="0"/>
    <n v="1"/>
    <n v="7"/>
    <b v="0"/>
    <x v="2"/>
    <x v="0"/>
    <n v="0.12"/>
  </r>
  <r>
    <n v="218"/>
    <d v="2011-01-10T00:00:00"/>
    <n v="1"/>
    <n v="0"/>
    <n v="1"/>
    <n v="8"/>
    <b v="0"/>
    <x v="2"/>
    <x v="1"/>
    <n v="0.12"/>
  </r>
  <r>
    <n v="219"/>
    <d v="2011-01-10T00:00:00"/>
    <n v="1"/>
    <n v="0"/>
    <n v="1"/>
    <n v="9"/>
    <b v="0"/>
    <x v="2"/>
    <x v="1"/>
    <n v="0.14000000000000001"/>
  </r>
  <r>
    <n v="220"/>
    <d v="2011-01-10T00:00:00"/>
    <n v="1"/>
    <n v="0"/>
    <n v="1"/>
    <n v="10"/>
    <b v="0"/>
    <x v="2"/>
    <x v="1"/>
    <n v="0.14000000000000001"/>
  </r>
  <r>
    <n v="221"/>
    <d v="2011-01-10T00:00:00"/>
    <n v="1"/>
    <n v="0"/>
    <n v="1"/>
    <n v="11"/>
    <b v="0"/>
    <x v="2"/>
    <x v="1"/>
    <n v="0.16"/>
  </r>
  <r>
    <n v="222"/>
    <d v="2011-01-10T00:00:00"/>
    <n v="1"/>
    <n v="0"/>
    <n v="1"/>
    <n v="12"/>
    <b v="0"/>
    <x v="2"/>
    <x v="1"/>
    <n v="0.2"/>
  </r>
  <r>
    <n v="223"/>
    <d v="2011-01-10T00:00:00"/>
    <n v="1"/>
    <n v="0"/>
    <n v="1"/>
    <n v="13"/>
    <b v="0"/>
    <x v="2"/>
    <x v="1"/>
    <n v="0.2"/>
  </r>
  <r>
    <n v="224"/>
    <d v="2011-01-10T00:00:00"/>
    <n v="1"/>
    <n v="0"/>
    <n v="1"/>
    <n v="14"/>
    <b v="0"/>
    <x v="2"/>
    <x v="1"/>
    <n v="0.2"/>
  </r>
  <r>
    <n v="225"/>
    <d v="2011-01-10T00:00:00"/>
    <n v="1"/>
    <n v="0"/>
    <n v="1"/>
    <n v="15"/>
    <b v="0"/>
    <x v="2"/>
    <x v="1"/>
    <n v="0.2"/>
  </r>
  <r>
    <n v="226"/>
    <d v="2011-01-10T00:00:00"/>
    <n v="1"/>
    <n v="0"/>
    <n v="1"/>
    <n v="16"/>
    <b v="0"/>
    <x v="2"/>
    <x v="0"/>
    <n v="0.2"/>
  </r>
  <r>
    <n v="227"/>
    <d v="2011-01-10T00:00:00"/>
    <n v="1"/>
    <n v="0"/>
    <n v="1"/>
    <n v="17"/>
    <b v="0"/>
    <x v="2"/>
    <x v="0"/>
    <n v="0.2"/>
  </r>
  <r>
    <n v="228"/>
    <d v="2011-01-10T00:00:00"/>
    <n v="1"/>
    <n v="0"/>
    <n v="1"/>
    <n v="18"/>
    <b v="0"/>
    <x v="2"/>
    <x v="0"/>
    <n v="0.2"/>
  </r>
  <r>
    <n v="229"/>
    <d v="2011-01-10T00:00:00"/>
    <n v="1"/>
    <n v="0"/>
    <n v="1"/>
    <n v="19"/>
    <b v="0"/>
    <x v="2"/>
    <x v="0"/>
    <n v="0.16"/>
  </r>
  <r>
    <n v="230"/>
    <d v="2011-01-10T00:00:00"/>
    <n v="1"/>
    <n v="0"/>
    <n v="1"/>
    <n v="20"/>
    <b v="0"/>
    <x v="2"/>
    <x v="0"/>
    <n v="0.16"/>
  </r>
  <r>
    <n v="231"/>
    <d v="2011-01-10T00:00:00"/>
    <n v="1"/>
    <n v="0"/>
    <n v="1"/>
    <n v="21"/>
    <b v="0"/>
    <x v="2"/>
    <x v="0"/>
    <n v="0.14000000000000001"/>
  </r>
  <r>
    <n v="232"/>
    <d v="2011-01-10T00:00:00"/>
    <n v="1"/>
    <n v="0"/>
    <n v="1"/>
    <n v="22"/>
    <b v="0"/>
    <x v="2"/>
    <x v="0"/>
    <n v="0.14000000000000001"/>
  </r>
  <r>
    <n v="233"/>
    <d v="2011-01-10T00:00:00"/>
    <n v="1"/>
    <n v="0"/>
    <n v="1"/>
    <n v="23"/>
    <b v="0"/>
    <x v="2"/>
    <x v="0"/>
    <n v="0.14000000000000001"/>
  </r>
  <r>
    <n v="234"/>
    <d v="2011-01-11T00:00:00"/>
    <n v="1"/>
    <n v="0"/>
    <n v="1"/>
    <n v="0"/>
    <b v="0"/>
    <x v="3"/>
    <x v="0"/>
    <n v="0.14000000000000001"/>
  </r>
  <r>
    <n v="235"/>
    <d v="2011-01-11T00:00:00"/>
    <n v="1"/>
    <n v="0"/>
    <n v="1"/>
    <n v="1"/>
    <b v="0"/>
    <x v="3"/>
    <x v="0"/>
    <n v="0.14000000000000001"/>
  </r>
  <r>
    <n v="236"/>
    <d v="2011-01-11T00:00:00"/>
    <n v="1"/>
    <n v="0"/>
    <n v="1"/>
    <n v="2"/>
    <b v="0"/>
    <x v="3"/>
    <x v="1"/>
    <n v="0.16"/>
  </r>
  <r>
    <n v="237"/>
    <d v="2011-01-11T00:00:00"/>
    <n v="1"/>
    <n v="0"/>
    <n v="1"/>
    <n v="5"/>
    <b v="0"/>
    <x v="3"/>
    <x v="1"/>
    <n v="0.16"/>
  </r>
  <r>
    <n v="238"/>
    <d v="2011-01-11T00:00:00"/>
    <n v="1"/>
    <n v="0"/>
    <n v="1"/>
    <n v="6"/>
    <b v="0"/>
    <x v="3"/>
    <x v="1"/>
    <n v="0.16"/>
  </r>
  <r>
    <n v="239"/>
    <d v="2011-01-11T00:00:00"/>
    <n v="1"/>
    <n v="0"/>
    <n v="1"/>
    <n v="7"/>
    <b v="0"/>
    <x v="3"/>
    <x v="1"/>
    <n v="0.16"/>
  </r>
  <r>
    <n v="240"/>
    <d v="2011-01-11T00:00:00"/>
    <n v="1"/>
    <n v="0"/>
    <n v="1"/>
    <n v="8"/>
    <b v="0"/>
    <x v="3"/>
    <x v="1"/>
    <n v="0.18"/>
  </r>
  <r>
    <n v="241"/>
    <d v="2011-01-11T00:00:00"/>
    <n v="1"/>
    <n v="0"/>
    <n v="1"/>
    <n v="9"/>
    <b v="0"/>
    <x v="3"/>
    <x v="1"/>
    <n v="0.18"/>
  </r>
  <r>
    <n v="242"/>
    <d v="2011-01-11T00:00:00"/>
    <n v="1"/>
    <n v="0"/>
    <n v="1"/>
    <n v="10"/>
    <b v="0"/>
    <x v="3"/>
    <x v="1"/>
    <n v="0.2"/>
  </r>
  <r>
    <n v="243"/>
    <d v="2011-01-11T00:00:00"/>
    <n v="1"/>
    <n v="0"/>
    <n v="1"/>
    <n v="11"/>
    <b v="0"/>
    <x v="3"/>
    <x v="1"/>
    <n v="0.2"/>
  </r>
  <r>
    <n v="244"/>
    <d v="2011-01-11T00:00:00"/>
    <n v="1"/>
    <n v="0"/>
    <n v="1"/>
    <n v="12"/>
    <b v="0"/>
    <x v="3"/>
    <x v="1"/>
    <n v="0.2"/>
  </r>
  <r>
    <n v="245"/>
    <d v="2011-01-11T00:00:00"/>
    <n v="1"/>
    <n v="0"/>
    <n v="1"/>
    <n v="13"/>
    <b v="0"/>
    <x v="3"/>
    <x v="1"/>
    <n v="0.2"/>
  </r>
  <r>
    <n v="246"/>
    <d v="2011-01-11T00:00:00"/>
    <n v="1"/>
    <n v="0"/>
    <n v="1"/>
    <n v="14"/>
    <b v="0"/>
    <x v="3"/>
    <x v="1"/>
    <n v="0.2"/>
  </r>
  <r>
    <n v="247"/>
    <d v="2011-01-11T00:00:00"/>
    <n v="1"/>
    <n v="0"/>
    <n v="1"/>
    <n v="15"/>
    <b v="0"/>
    <x v="3"/>
    <x v="1"/>
    <n v="0.16"/>
  </r>
  <r>
    <n v="248"/>
    <d v="2011-01-11T00:00:00"/>
    <n v="1"/>
    <n v="0"/>
    <n v="1"/>
    <n v="16"/>
    <b v="0"/>
    <x v="3"/>
    <x v="1"/>
    <n v="0.16"/>
  </r>
  <r>
    <n v="249"/>
    <d v="2011-01-11T00:00:00"/>
    <n v="1"/>
    <n v="0"/>
    <n v="1"/>
    <n v="17"/>
    <b v="0"/>
    <x v="3"/>
    <x v="1"/>
    <n v="0.16"/>
  </r>
  <r>
    <n v="250"/>
    <d v="2011-01-11T00:00:00"/>
    <n v="1"/>
    <n v="0"/>
    <n v="1"/>
    <n v="18"/>
    <b v="0"/>
    <x v="3"/>
    <x v="2"/>
    <n v="0.16"/>
  </r>
  <r>
    <n v="251"/>
    <d v="2011-01-11T00:00:00"/>
    <n v="1"/>
    <n v="0"/>
    <n v="1"/>
    <n v="19"/>
    <b v="0"/>
    <x v="3"/>
    <x v="2"/>
    <n v="0.16"/>
  </r>
  <r>
    <n v="252"/>
    <d v="2011-01-11T00:00:00"/>
    <n v="1"/>
    <n v="0"/>
    <n v="1"/>
    <n v="20"/>
    <b v="0"/>
    <x v="3"/>
    <x v="2"/>
    <n v="0.16"/>
  </r>
  <r>
    <n v="253"/>
    <d v="2011-01-11T00:00:00"/>
    <n v="1"/>
    <n v="0"/>
    <n v="1"/>
    <n v="21"/>
    <b v="0"/>
    <x v="3"/>
    <x v="2"/>
    <n v="0.16"/>
  </r>
  <r>
    <n v="254"/>
    <d v="2011-01-11T00:00:00"/>
    <n v="1"/>
    <n v="0"/>
    <n v="1"/>
    <n v="22"/>
    <b v="0"/>
    <x v="3"/>
    <x v="2"/>
    <n v="0.16"/>
  </r>
  <r>
    <n v="255"/>
    <d v="2011-01-11T00:00:00"/>
    <n v="1"/>
    <n v="0"/>
    <n v="1"/>
    <n v="23"/>
    <b v="0"/>
    <x v="3"/>
    <x v="2"/>
    <n v="0.16"/>
  </r>
  <r>
    <n v="256"/>
    <d v="2011-01-12T00:00:00"/>
    <n v="1"/>
    <n v="0"/>
    <n v="1"/>
    <n v="0"/>
    <b v="0"/>
    <x v="4"/>
    <x v="1"/>
    <n v="0.16"/>
  </r>
  <r>
    <n v="257"/>
    <d v="2011-01-12T00:00:00"/>
    <n v="1"/>
    <n v="0"/>
    <n v="1"/>
    <n v="1"/>
    <b v="0"/>
    <x v="4"/>
    <x v="1"/>
    <n v="0.16"/>
  </r>
  <r>
    <n v="258"/>
    <d v="2011-01-12T00:00:00"/>
    <n v="1"/>
    <n v="0"/>
    <n v="1"/>
    <n v="2"/>
    <b v="0"/>
    <x v="4"/>
    <x v="0"/>
    <n v="0.14000000000000001"/>
  </r>
  <r>
    <n v="259"/>
    <d v="2011-01-12T00:00:00"/>
    <n v="1"/>
    <n v="0"/>
    <n v="1"/>
    <n v="5"/>
    <b v="0"/>
    <x v="4"/>
    <x v="0"/>
    <n v="0.14000000000000001"/>
  </r>
  <r>
    <n v="260"/>
    <d v="2011-01-12T00:00:00"/>
    <n v="1"/>
    <n v="0"/>
    <n v="1"/>
    <n v="6"/>
    <b v="0"/>
    <x v="4"/>
    <x v="0"/>
    <n v="0.12"/>
  </r>
  <r>
    <n v="261"/>
    <d v="2011-01-12T00:00:00"/>
    <n v="1"/>
    <n v="0"/>
    <n v="1"/>
    <n v="7"/>
    <b v="0"/>
    <x v="4"/>
    <x v="0"/>
    <n v="0.14000000000000001"/>
  </r>
  <r>
    <n v="262"/>
    <d v="2011-01-12T00:00:00"/>
    <n v="1"/>
    <n v="0"/>
    <n v="1"/>
    <n v="8"/>
    <b v="0"/>
    <x v="4"/>
    <x v="0"/>
    <n v="0.16"/>
  </r>
  <r>
    <n v="263"/>
    <d v="2011-01-12T00:00:00"/>
    <n v="1"/>
    <n v="0"/>
    <n v="1"/>
    <n v="9"/>
    <b v="0"/>
    <x v="4"/>
    <x v="0"/>
    <n v="0.16"/>
  </r>
  <r>
    <n v="264"/>
    <d v="2011-01-12T00:00:00"/>
    <n v="1"/>
    <n v="0"/>
    <n v="1"/>
    <n v="10"/>
    <b v="0"/>
    <x v="4"/>
    <x v="0"/>
    <n v="0.18"/>
  </r>
  <r>
    <n v="265"/>
    <d v="2011-01-12T00:00:00"/>
    <n v="1"/>
    <n v="0"/>
    <n v="1"/>
    <n v="11"/>
    <b v="0"/>
    <x v="4"/>
    <x v="0"/>
    <n v="0.2"/>
  </r>
  <r>
    <n v="266"/>
    <d v="2011-01-12T00:00:00"/>
    <n v="1"/>
    <n v="0"/>
    <n v="1"/>
    <n v="12"/>
    <b v="0"/>
    <x v="4"/>
    <x v="0"/>
    <n v="0.2"/>
  </r>
  <r>
    <n v="267"/>
    <d v="2011-01-12T00:00:00"/>
    <n v="1"/>
    <n v="0"/>
    <n v="1"/>
    <n v="13"/>
    <b v="0"/>
    <x v="4"/>
    <x v="0"/>
    <n v="0.22"/>
  </r>
  <r>
    <n v="268"/>
    <d v="2011-01-12T00:00:00"/>
    <n v="1"/>
    <n v="0"/>
    <n v="1"/>
    <n v="14"/>
    <b v="0"/>
    <x v="4"/>
    <x v="0"/>
    <n v="0.2"/>
  </r>
  <r>
    <n v="269"/>
    <d v="2011-01-12T00:00:00"/>
    <n v="1"/>
    <n v="0"/>
    <n v="1"/>
    <n v="15"/>
    <b v="0"/>
    <x v="4"/>
    <x v="0"/>
    <n v="0.2"/>
  </r>
  <r>
    <n v="270"/>
    <d v="2011-01-12T00:00:00"/>
    <n v="1"/>
    <n v="0"/>
    <n v="1"/>
    <n v="16"/>
    <b v="0"/>
    <x v="4"/>
    <x v="0"/>
    <n v="0.22"/>
  </r>
  <r>
    <n v="271"/>
    <d v="2011-01-12T00:00:00"/>
    <n v="1"/>
    <n v="0"/>
    <n v="1"/>
    <n v="17"/>
    <b v="0"/>
    <x v="4"/>
    <x v="0"/>
    <n v="0.2"/>
  </r>
  <r>
    <n v="272"/>
    <d v="2011-01-12T00:00:00"/>
    <n v="1"/>
    <n v="0"/>
    <n v="1"/>
    <n v="18"/>
    <b v="0"/>
    <x v="4"/>
    <x v="0"/>
    <n v="0.2"/>
  </r>
  <r>
    <n v="273"/>
    <d v="2011-01-12T00:00:00"/>
    <n v="1"/>
    <n v="0"/>
    <n v="1"/>
    <n v="19"/>
    <b v="0"/>
    <x v="4"/>
    <x v="0"/>
    <n v="0.18"/>
  </r>
  <r>
    <n v="274"/>
    <d v="2011-01-12T00:00:00"/>
    <n v="1"/>
    <n v="0"/>
    <n v="1"/>
    <n v="20"/>
    <b v="0"/>
    <x v="4"/>
    <x v="0"/>
    <n v="0.16"/>
  </r>
  <r>
    <n v="275"/>
    <d v="2011-01-12T00:00:00"/>
    <n v="1"/>
    <n v="0"/>
    <n v="1"/>
    <n v="21"/>
    <b v="0"/>
    <x v="4"/>
    <x v="0"/>
    <n v="0.16"/>
  </r>
  <r>
    <n v="276"/>
    <d v="2011-01-12T00:00:00"/>
    <n v="1"/>
    <n v="0"/>
    <n v="1"/>
    <n v="22"/>
    <b v="0"/>
    <x v="4"/>
    <x v="0"/>
    <n v="0.16"/>
  </r>
  <r>
    <n v="277"/>
    <d v="2011-01-12T00:00:00"/>
    <n v="1"/>
    <n v="0"/>
    <n v="1"/>
    <n v="23"/>
    <b v="0"/>
    <x v="4"/>
    <x v="0"/>
    <n v="0.14000000000000001"/>
  </r>
  <r>
    <n v="278"/>
    <d v="2011-01-13T00:00:00"/>
    <n v="1"/>
    <n v="0"/>
    <n v="1"/>
    <n v="0"/>
    <b v="0"/>
    <x v="5"/>
    <x v="0"/>
    <n v="0.14000000000000001"/>
  </r>
  <r>
    <n v="279"/>
    <d v="2011-01-13T00:00:00"/>
    <n v="1"/>
    <n v="0"/>
    <n v="1"/>
    <n v="1"/>
    <b v="0"/>
    <x v="5"/>
    <x v="0"/>
    <n v="0.14000000000000001"/>
  </r>
  <r>
    <n v="280"/>
    <d v="2011-01-13T00:00:00"/>
    <n v="1"/>
    <n v="0"/>
    <n v="1"/>
    <n v="2"/>
    <b v="0"/>
    <x v="5"/>
    <x v="0"/>
    <n v="0.14000000000000001"/>
  </r>
  <r>
    <n v="281"/>
    <d v="2011-01-13T00:00:00"/>
    <n v="1"/>
    <n v="0"/>
    <n v="1"/>
    <n v="3"/>
    <b v="0"/>
    <x v="5"/>
    <x v="0"/>
    <n v="0.14000000000000001"/>
  </r>
  <r>
    <n v="282"/>
    <d v="2011-01-13T00:00:00"/>
    <n v="1"/>
    <n v="0"/>
    <n v="1"/>
    <n v="4"/>
    <b v="0"/>
    <x v="5"/>
    <x v="0"/>
    <n v="0.14000000000000001"/>
  </r>
  <r>
    <n v="283"/>
    <d v="2011-01-13T00:00:00"/>
    <n v="1"/>
    <n v="0"/>
    <n v="1"/>
    <n v="5"/>
    <b v="0"/>
    <x v="5"/>
    <x v="0"/>
    <n v="0.14000000000000001"/>
  </r>
  <r>
    <n v="284"/>
    <d v="2011-01-13T00:00:00"/>
    <n v="1"/>
    <n v="0"/>
    <n v="1"/>
    <n v="6"/>
    <b v="0"/>
    <x v="5"/>
    <x v="0"/>
    <n v="0.12"/>
  </r>
  <r>
    <n v="285"/>
    <d v="2011-01-13T00:00:00"/>
    <n v="1"/>
    <n v="0"/>
    <n v="1"/>
    <n v="7"/>
    <b v="0"/>
    <x v="5"/>
    <x v="0"/>
    <n v="0.12"/>
  </r>
  <r>
    <n v="286"/>
    <d v="2011-01-13T00:00:00"/>
    <n v="1"/>
    <n v="0"/>
    <n v="1"/>
    <n v="8"/>
    <b v="0"/>
    <x v="5"/>
    <x v="0"/>
    <n v="0.14000000000000001"/>
  </r>
  <r>
    <n v="287"/>
    <d v="2011-01-13T00:00:00"/>
    <n v="1"/>
    <n v="0"/>
    <n v="1"/>
    <n v="9"/>
    <b v="0"/>
    <x v="5"/>
    <x v="0"/>
    <n v="0.14000000000000001"/>
  </r>
  <r>
    <n v="288"/>
    <d v="2011-01-13T00:00:00"/>
    <n v="1"/>
    <n v="0"/>
    <n v="1"/>
    <n v="10"/>
    <b v="0"/>
    <x v="5"/>
    <x v="1"/>
    <n v="0.16"/>
  </r>
  <r>
    <n v="289"/>
    <d v="2011-01-13T00:00:00"/>
    <n v="1"/>
    <n v="0"/>
    <n v="1"/>
    <n v="11"/>
    <b v="0"/>
    <x v="5"/>
    <x v="1"/>
    <n v="0.2"/>
  </r>
  <r>
    <n v="290"/>
    <d v="2011-01-13T00:00:00"/>
    <n v="1"/>
    <n v="0"/>
    <n v="1"/>
    <n v="12"/>
    <b v="0"/>
    <x v="5"/>
    <x v="0"/>
    <n v="0.2"/>
  </r>
  <r>
    <n v="291"/>
    <d v="2011-01-13T00:00:00"/>
    <n v="1"/>
    <n v="0"/>
    <n v="1"/>
    <n v="13"/>
    <b v="0"/>
    <x v="5"/>
    <x v="0"/>
    <n v="0.22"/>
  </r>
  <r>
    <n v="292"/>
    <d v="2011-01-13T00:00:00"/>
    <n v="1"/>
    <n v="0"/>
    <n v="1"/>
    <n v="14"/>
    <b v="0"/>
    <x v="5"/>
    <x v="0"/>
    <n v="0.22"/>
  </r>
  <r>
    <n v="293"/>
    <d v="2011-01-13T00:00:00"/>
    <n v="1"/>
    <n v="0"/>
    <n v="1"/>
    <n v="15"/>
    <b v="0"/>
    <x v="5"/>
    <x v="0"/>
    <n v="0.24"/>
  </r>
  <r>
    <n v="294"/>
    <d v="2011-01-13T00:00:00"/>
    <n v="1"/>
    <n v="0"/>
    <n v="1"/>
    <n v="16"/>
    <b v="0"/>
    <x v="5"/>
    <x v="0"/>
    <n v="0.24"/>
  </r>
  <r>
    <n v="295"/>
    <d v="2011-01-13T00:00:00"/>
    <n v="1"/>
    <n v="0"/>
    <n v="1"/>
    <n v="17"/>
    <b v="0"/>
    <x v="5"/>
    <x v="0"/>
    <n v="0.2"/>
  </r>
  <r>
    <n v="296"/>
    <d v="2011-01-13T00:00:00"/>
    <n v="1"/>
    <n v="0"/>
    <n v="1"/>
    <n v="18"/>
    <b v="0"/>
    <x v="5"/>
    <x v="0"/>
    <n v="0.2"/>
  </r>
  <r>
    <n v="297"/>
    <d v="2011-01-13T00:00:00"/>
    <n v="1"/>
    <n v="0"/>
    <n v="1"/>
    <n v="19"/>
    <b v="0"/>
    <x v="5"/>
    <x v="0"/>
    <n v="0.16"/>
  </r>
  <r>
    <n v="298"/>
    <d v="2011-01-13T00:00:00"/>
    <n v="1"/>
    <n v="0"/>
    <n v="1"/>
    <n v="20"/>
    <b v="0"/>
    <x v="5"/>
    <x v="0"/>
    <n v="0.16"/>
  </r>
  <r>
    <n v="299"/>
    <d v="2011-01-13T00:00:00"/>
    <n v="1"/>
    <n v="0"/>
    <n v="1"/>
    <n v="21"/>
    <b v="0"/>
    <x v="5"/>
    <x v="0"/>
    <n v="0.14000000000000001"/>
  </r>
  <r>
    <n v="300"/>
    <d v="2011-01-13T00:00:00"/>
    <n v="1"/>
    <n v="0"/>
    <n v="1"/>
    <n v="22"/>
    <b v="0"/>
    <x v="5"/>
    <x v="0"/>
    <n v="0.14000000000000001"/>
  </r>
  <r>
    <n v="301"/>
    <d v="2011-01-13T00:00:00"/>
    <n v="1"/>
    <n v="0"/>
    <n v="1"/>
    <n v="23"/>
    <b v="0"/>
    <x v="5"/>
    <x v="0"/>
    <n v="0.12"/>
  </r>
  <r>
    <n v="302"/>
    <d v="2011-01-14T00:00:00"/>
    <n v="1"/>
    <n v="0"/>
    <n v="1"/>
    <n v="0"/>
    <b v="0"/>
    <x v="6"/>
    <x v="0"/>
    <n v="0.12"/>
  </r>
  <r>
    <n v="303"/>
    <d v="2011-01-14T00:00:00"/>
    <n v="1"/>
    <n v="0"/>
    <n v="1"/>
    <n v="1"/>
    <b v="0"/>
    <x v="6"/>
    <x v="0"/>
    <n v="0.1"/>
  </r>
  <r>
    <n v="304"/>
    <d v="2011-01-14T00:00:00"/>
    <n v="1"/>
    <n v="0"/>
    <n v="1"/>
    <n v="2"/>
    <b v="0"/>
    <x v="6"/>
    <x v="0"/>
    <n v="0.1"/>
  </r>
  <r>
    <n v="305"/>
    <d v="2011-01-14T00:00:00"/>
    <n v="1"/>
    <n v="0"/>
    <n v="1"/>
    <n v="3"/>
    <b v="0"/>
    <x v="6"/>
    <x v="0"/>
    <n v="0.1"/>
  </r>
  <r>
    <n v="306"/>
    <d v="2011-01-14T00:00:00"/>
    <n v="1"/>
    <n v="0"/>
    <n v="1"/>
    <n v="5"/>
    <b v="0"/>
    <x v="6"/>
    <x v="0"/>
    <n v="0.1"/>
  </r>
  <r>
    <n v="307"/>
    <d v="2011-01-14T00:00:00"/>
    <n v="1"/>
    <n v="0"/>
    <n v="1"/>
    <n v="6"/>
    <b v="0"/>
    <x v="6"/>
    <x v="0"/>
    <n v="0.1"/>
  </r>
  <r>
    <n v="308"/>
    <d v="2011-01-14T00:00:00"/>
    <n v="1"/>
    <n v="0"/>
    <n v="1"/>
    <n v="7"/>
    <b v="0"/>
    <x v="6"/>
    <x v="0"/>
    <n v="0.1"/>
  </r>
  <r>
    <n v="309"/>
    <d v="2011-01-14T00:00:00"/>
    <n v="1"/>
    <n v="0"/>
    <n v="1"/>
    <n v="8"/>
    <b v="0"/>
    <x v="6"/>
    <x v="0"/>
    <n v="0.12"/>
  </r>
  <r>
    <n v="310"/>
    <d v="2011-01-14T00:00:00"/>
    <n v="1"/>
    <n v="0"/>
    <n v="1"/>
    <n v="9"/>
    <b v="0"/>
    <x v="6"/>
    <x v="0"/>
    <n v="0.14000000000000001"/>
  </r>
  <r>
    <n v="311"/>
    <d v="2011-01-14T00:00:00"/>
    <n v="1"/>
    <n v="0"/>
    <n v="1"/>
    <n v="10"/>
    <b v="0"/>
    <x v="6"/>
    <x v="0"/>
    <n v="0.18"/>
  </r>
  <r>
    <n v="312"/>
    <d v="2011-01-14T00:00:00"/>
    <n v="1"/>
    <n v="0"/>
    <n v="1"/>
    <n v="11"/>
    <b v="0"/>
    <x v="6"/>
    <x v="0"/>
    <n v="0.18"/>
  </r>
  <r>
    <n v="313"/>
    <d v="2011-01-14T00:00:00"/>
    <n v="1"/>
    <n v="0"/>
    <n v="1"/>
    <n v="12"/>
    <b v="0"/>
    <x v="6"/>
    <x v="0"/>
    <n v="0.2"/>
  </r>
  <r>
    <n v="314"/>
    <d v="2011-01-14T00:00:00"/>
    <n v="1"/>
    <n v="0"/>
    <n v="1"/>
    <n v="13"/>
    <b v="0"/>
    <x v="6"/>
    <x v="0"/>
    <n v="0.22"/>
  </r>
  <r>
    <n v="315"/>
    <d v="2011-01-14T00:00:00"/>
    <n v="1"/>
    <n v="0"/>
    <n v="1"/>
    <n v="14"/>
    <b v="0"/>
    <x v="6"/>
    <x v="0"/>
    <n v="0.22"/>
  </r>
  <r>
    <n v="316"/>
    <d v="2011-01-14T00:00:00"/>
    <n v="1"/>
    <n v="0"/>
    <n v="1"/>
    <n v="15"/>
    <b v="0"/>
    <x v="6"/>
    <x v="0"/>
    <n v="0.24"/>
  </r>
  <r>
    <n v="317"/>
    <d v="2011-01-14T00:00:00"/>
    <n v="1"/>
    <n v="0"/>
    <n v="1"/>
    <n v="16"/>
    <b v="0"/>
    <x v="6"/>
    <x v="0"/>
    <n v="0.22"/>
  </r>
  <r>
    <n v="318"/>
    <d v="2011-01-14T00:00:00"/>
    <n v="1"/>
    <n v="0"/>
    <n v="1"/>
    <n v="17"/>
    <b v="0"/>
    <x v="6"/>
    <x v="0"/>
    <n v="0.22"/>
  </r>
  <r>
    <n v="319"/>
    <d v="2011-01-14T00:00:00"/>
    <n v="1"/>
    <n v="0"/>
    <n v="1"/>
    <n v="18"/>
    <b v="0"/>
    <x v="6"/>
    <x v="0"/>
    <n v="0.2"/>
  </r>
  <r>
    <n v="320"/>
    <d v="2011-01-14T00:00:00"/>
    <n v="1"/>
    <n v="0"/>
    <n v="1"/>
    <n v="19"/>
    <b v="0"/>
    <x v="6"/>
    <x v="0"/>
    <n v="0.16"/>
  </r>
  <r>
    <n v="321"/>
    <d v="2011-01-14T00:00:00"/>
    <n v="1"/>
    <n v="0"/>
    <n v="1"/>
    <n v="20"/>
    <b v="0"/>
    <x v="6"/>
    <x v="0"/>
    <n v="0.18"/>
  </r>
  <r>
    <n v="322"/>
    <d v="2011-01-14T00:00:00"/>
    <n v="1"/>
    <n v="0"/>
    <n v="1"/>
    <n v="21"/>
    <b v="0"/>
    <x v="6"/>
    <x v="0"/>
    <n v="0.16"/>
  </r>
  <r>
    <n v="323"/>
    <d v="2011-01-14T00:00:00"/>
    <n v="1"/>
    <n v="0"/>
    <n v="1"/>
    <n v="22"/>
    <b v="0"/>
    <x v="6"/>
    <x v="1"/>
    <n v="0.16"/>
  </r>
  <r>
    <n v="324"/>
    <d v="2011-01-14T00:00:00"/>
    <n v="1"/>
    <n v="0"/>
    <n v="1"/>
    <n v="23"/>
    <b v="0"/>
    <x v="6"/>
    <x v="1"/>
    <n v="0.18"/>
  </r>
  <r>
    <n v="325"/>
    <d v="2011-01-15T00:00:00"/>
    <n v="1"/>
    <n v="0"/>
    <n v="1"/>
    <n v="0"/>
    <b v="0"/>
    <x v="0"/>
    <x v="0"/>
    <n v="0.18"/>
  </r>
  <r>
    <n v="326"/>
    <d v="2011-01-15T00:00:00"/>
    <n v="1"/>
    <n v="0"/>
    <n v="1"/>
    <n v="1"/>
    <b v="0"/>
    <x v="0"/>
    <x v="1"/>
    <n v="0.16"/>
  </r>
  <r>
    <n v="327"/>
    <d v="2011-01-15T00:00:00"/>
    <n v="1"/>
    <n v="0"/>
    <n v="1"/>
    <n v="2"/>
    <b v="0"/>
    <x v="0"/>
    <x v="1"/>
    <n v="0.16"/>
  </r>
  <r>
    <n v="328"/>
    <d v="2011-01-15T00:00:00"/>
    <n v="1"/>
    <n v="0"/>
    <n v="1"/>
    <n v="3"/>
    <b v="0"/>
    <x v="0"/>
    <x v="1"/>
    <n v="0.16"/>
  </r>
  <r>
    <n v="329"/>
    <d v="2011-01-15T00:00:00"/>
    <n v="1"/>
    <n v="0"/>
    <n v="1"/>
    <n v="4"/>
    <b v="0"/>
    <x v="0"/>
    <x v="1"/>
    <n v="0.16"/>
  </r>
  <r>
    <n v="330"/>
    <d v="2011-01-15T00:00:00"/>
    <n v="1"/>
    <n v="0"/>
    <n v="1"/>
    <n v="5"/>
    <b v="0"/>
    <x v="0"/>
    <x v="0"/>
    <n v="0.16"/>
  </r>
  <r>
    <n v="331"/>
    <d v="2011-01-15T00:00:00"/>
    <n v="1"/>
    <n v="0"/>
    <n v="1"/>
    <n v="6"/>
    <b v="0"/>
    <x v="0"/>
    <x v="0"/>
    <n v="0.14000000000000001"/>
  </r>
  <r>
    <n v="332"/>
    <d v="2011-01-15T00:00:00"/>
    <n v="1"/>
    <n v="0"/>
    <n v="1"/>
    <n v="7"/>
    <b v="0"/>
    <x v="0"/>
    <x v="0"/>
    <n v="0.14000000000000001"/>
  </r>
  <r>
    <n v="333"/>
    <d v="2011-01-15T00:00:00"/>
    <n v="1"/>
    <n v="0"/>
    <n v="1"/>
    <n v="8"/>
    <b v="0"/>
    <x v="0"/>
    <x v="0"/>
    <n v="0.14000000000000001"/>
  </r>
  <r>
    <n v="334"/>
    <d v="2011-01-15T00:00:00"/>
    <n v="1"/>
    <n v="0"/>
    <n v="1"/>
    <n v="9"/>
    <b v="0"/>
    <x v="0"/>
    <x v="0"/>
    <n v="0.16"/>
  </r>
  <r>
    <n v="335"/>
    <d v="2011-01-15T00:00:00"/>
    <n v="1"/>
    <n v="0"/>
    <n v="1"/>
    <n v="10"/>
    <b v="0"/>
    <x v="0"/>
    <x v="0"/>
    <n v="0.18"/>
  </r>
  <r>
    <n v="336"/>
    <d v="2011-01-15T00:00:00"/>
    <n v="1"/>
    <n v="0"/>
    <n v="1"/>
    <n v="11"/>
    <b v="0"/>
    <x v="0"/>
    <x v="0"/>
    <n v="0.2"/>
  </r>
  <r>
    <n v="337"/>
    <d v="2011-01-15T00:00:00"/>
    <n v="1"/>
    <n v="0"/>
    <n v="1"/>
    <n v="12"/>
    <b v="0"/>
    <x v="0"/>
    <x v="0"/>
    <n v="0.24"/>
  </r>
  <r>
    <n v="338"/>
    <d v="2011-01-15T00:00:00"/>
    <n v="1"/>
    <n v="0"/>
    <n v="1"/>
    <n v="13"/>
    <b v="0"/>
    <x v="0"/>
    <x v="0"/>
    <n v="0.28000000000000003"/>
  </r>
  <r>
    <n v="339"/>
    <d v="2011-01-15T00:00:00"/>
    <n v="1"/>
    <n v="0"/>
    <n v="1"/>
    <n v="14"/>
    <b v="0"/>
    <x v="0"/>
    <x v="0"/>
    <n v="0.3"/>
  </r>
  <r>
    <n v="340"/>
    <d v="2011-01-15T00:00:00"/>
    <n v="1"/>
    <n v="0"/>
    <n v="1"/>
    <n v="15"/>
    <b v="0"/>
    <x v="0"/>
    <x v="1"/>
    <n v="0.32"/>
  </r>
  <r>
    <n v="341"/>
    <d v="2011-01-15T00:00:00"/>
    <n v="1"/>
    <n v="0"/>
    <n v="1"/>
    <n v="16"/>
    <b v="0"/>
    <x v="0"/>
    <x v="1"/>
    <n v="0.34"/>
  </r>
  <r>
    <n v="342"/>
    <d v="2011-01-15T00:00:00"/>
    <n v="1"/>
    <n v="0"/>
    <n v="1"/>
    <n v="17"/>
    <b v="0"/>
    <x v="0"/>
    <x v="1"/>
    <n v="0.32"/>
  </r>
  <r>
    <n v="343"/>
    <d v="2011-01-15T00:00:00"/>
    <n v="1"/>
    <n v="0"/>
    <n v="1"/>
    <n v="18"/>
    <b v="0"/>
    <x v="0"/>
    <x v="1"/>
    <n v="0.3"/>
  </r>
  <r>
    <n v="344"/>
    <d v="2011-01-15T00:00:00"/>
    <n v="1"/>
    <n v="0"/>
    <n v="1"/>
    <n v="19"/>
    <b v="0"/>
    <x v="0"/>
    <x v="1"/>
    <n v="0.32"/>
  </r>
  <r>
    <n v="345"/>
    <d v="2011-01-15T00:00:00"/>
    <n v="1"/>
    <n v="0"/>
    <n v="1"/>
    <n v="20"/>
    <b v="0"/>
    <x v="0"/>
    <x v="1"/>
    <n v="0.32"/>
  </r>
  <r>
    <n v="346"/>
    <d v="2011-01-15T00:00:00"/>
    <n v="1"/>
    <n v="0"/>
    <n v="1"/>
    <n v="21"/>
    <b v="0"/>
    <x v="0"/>
    <x v="1"/>
    <n v="0.32"/>
  </r>
  <r>
    <n v="347"/>
    <d v="2011-01-15T00:00:00"/>
    <n v="1"/>
    <n v="0"/>
    <n v="1"/>
    <n v="22"/>
    <b v="0"/>
    <x v="0"/>
    <x v="1"/>
    <n v="0.3"/>
  </r>
  <r>
    <n v="348"/>
    <d v="2011-01-15T00:00:00"/>
    <n v="1"/>
    <n v="0"/>
    <n v="1"/>
    <n v="23"/>
    <b v="0"/>
    <x v="0"/>
    <x v="0"/>
    <n v="0.3"/>
  </r>
  <r>
    <n v="349"/>
    <d v="2011-01-16T00:00:00"/>
    <n v="1"/>
    <n v="0"/>
    <n v="1"/>
    <n v="0"/>
    <b v="0"/>
    <x v="1"/>
    <x v="0"/>
    <n v="0.26"/>
  </r>
  <r>
    <n v="350"/>
    <d v="2011-01-16T00:00:00"/>
    <n v="1"/>
    <n v="0"/>
    <n v="1"/>
    <n v="1"/>
    <b v="0"/>
    <x v="1"/>
    <x v="0"/>
    <n v="0.26"/>
  </r>
  <r>
    <n v="351"/>
    <d v="2011-01-16T00:00:00"/>
    <n v="1"/>
    <n v="0"/>
    <n v="1"/>
    <n v="2"/>
    <b v="0"/>
    <x v="1"/>
    <x v="0"/>
    <n v="0.26"/>
  </r>
  <r>
    <n v="352"/>
    <d v="2011-01-16T00:00:00"/>
    <n v="1"/>
    <n v="0"/>
    <n v="1"/>
    <n v="3"/>
    <b v="0"/>
    <x v="1"/>
    <x v="0"/>
    <n v="0.22"/>
  </r>
  <r>
    <n v="353"/>
    <d v="2011-01-16T00:00:00"/>
    <n v="1"/>
    <n v="0"/>
    <n v="1"/>
    <n v="4"/>
    <b v="0"/>
    <x v="1"/>
    <x v="0"/>
    <n v="0.26"/>
  </r>
  <r>
    <n v="354"/>
    <d v="2011-01-16T00:00:00"/>
    <n v="1"/>
    <n v="0"/>
    <n v="1"/>
    <n v="5"/>
    <b v="0"/>
    <x v="1"/>
    <x v="1"/>
    <n v="0.26"/>
  </r>
  <r>
    <n v="355"/>
    <d v="2011-01-16T00:00:00"/>
    <n v="1"/>
    <n v="0"/>
    <n v="1"/>
    <n v="6"/>
    <b v="0"/>
    <x v="1"/>
    <x v="1"/>
    <n v="0.26"/>
  </r>
  <r>
    <n v="356"/>
    <d v="2011-01-16T00:00:00"/>
    <n v="1"/>
    <n v="0"/>
    <n v="1"/>
    <n v="7"/>
    <b v="0"/>
    <x v="1"/>
    <x v="1"/>
    <n v="0.24"/>
  </r>
  <r>
    <n v="357"/>
    <d v="2011-01-16T00:00:00"/>
    <n v="1"/>
    <n v="0"/>
    <n v="1"/>
    <n v="8"/>
    <b v="0"/>
    <x v="1"/>
    <x v="0"/>
    <n v="0.22"/>
  </r>
  <r>
    <n v="358"/>
    <d v="2011-01-16T00:00:00"/>
    <n v="1"/>
    <n v="0"/>
    <n v="1"/>
    <n v="9"/>
    <b v="0"/>
    <x v="1"/>
    <x v="0"/>
    <n v="0.22"/>
  </r>
  <r>
    <n v="359"/>
    <d v="2011-01-16T00:00:00"/>
    <n v="1"/>
    <n v="0"/>
    <n v="1"/>
    <n v="10"/>
    <b v="0"/>
    <x v="1"/>
    <x v="0"/>
    <n v="0.22"/>
  </r>
  <r>
    <n v="360"/>
    <d v="2011-01-16T00:00:00"/>
    <n v="1"/>
    <n v="0"/>
    <n v="1"/>
    <n v="11"/>
    <b v="0"/>
    <x v="1"/>
    <x v="0"/>
    <n v="0.24"/>
  </r>
  <r>
    <n v="361"/>
    <d v="2011-01-16T00:00:00"/>
    <n v="1"/>
    <n v="0"/>
    <n v="1"/>
    <n v="12"/>
    <b v="0"/>
    <x v="1"/>
    <x v="0"/>
    <n v="0.24"/>
  </r>
  <r>
    <n v="362"/>
    <d v="2011-01-16T00:00:00"/>
    <n v="1"/>
    <n v="0"/>
    <n v="1"/>
    <n v="13"/>
    <b v="0"/>
    <x v="1"/>
    <x v="0"/>
    <n v="0.26"/>
  </r>
  <r>
    <n v="363"/>
    <d v="2011-01-16T00:00:00"/>
    <n v="1"/>
    <n v="0"/>
    <n v="1"/>
    <n v="14"/>
    <b v="0"/>
    <x v="1"/>
    <x v="0"/>
    <n v="0.28000000000000003"/>
  </r>
  <r>
    <n v="364"/>
    <d v="2011-01-16T00:00:00"/>
    <n v="1"/>
    <n v="0"/>
    <n v="1"/>
    <n v="15"/>
    <b v="0"/>
    <x v="1"/>
    <x v="0"/>
    <n v="0.26"/>
  </r>
  <r>
    <n v="365"/>
    <d v="2011-01-16T00:00:00"/>
    <n v="1"/>
    <n v="0"/>
    <n v="1"/>
    <n v="16"/>
    <b v="0"/>
    <x v="1"/>
    <x v="0"/>
    <n v="0.24"/>
  </r>
  <r>
    <n v="366"/>
    <d v="2011-01-16T00:00:00"/>
    <n v="1"/>
    <n v="0"/>
    <n v="1"/>
    <n v="17"/>
    <b v="0"/>
    <x v="1"/>
    <x v="0"/>
    <n v="0.22"/>
  </r>
  <r>
    <n v="367"/>
    <d v="2011-01-16T00:00:00"/>
    <n v="1"/>
    <n v="0"/>
    <n v="1"/>
    <n v="18"/>
    <b v="0"/>
    <x v="1"/>
    <x v="0"/>
    <n v="0.2"/>
  </r>
  <r>
    <n v="368"/>
    <d v="2011-01-16T00:00:00"/>
    <n v="1"/>
    <n v="0"/>
    <n v="1"/>
    <n v="19"/>
    <b v="0"/>
    <x v="1"/>
    <x v="0"/>
    <n v="0.18"/>
  </r>
  <r>
    <n v="369"/>
    <d v="2011-01-16T00:00:00"/>
    <n v="1"/>
    <n v="0"/>
    <n v="1"/>
    <n v="20"/>
    <b v="0"/>
    <x v="1"/>
    <x v="0"/>
    <n v="0.18"/>
  </r>
  <r>
    <n v="370"/>
    <d v="2011-01-16T00:00:00"/>
    <n v="1"/>
    <n v="0"/>
    <n v="1"/>
    <n v="21"/>
    <b v="0"/>
    <x v="1"/>
    <x v="0"/>
    <n v="0.18"/>
  </r>
  <r>
    <n v="371"/>
    <d v="2011-01-16T00:00:00"/>
    <n v="1"/>
    <n v="0"/>
    <n v="1"/>
    <n v="22"/>
    <b v="0"/>
    <x v="1"/>
    <x v="1"/>
    <n v="0.2"/>
  </r>
  <r>
    <n v="372"/>
    <d v="2011-01-16T00:00:00"/>
    <n v="1"/>
    <n v="0"/>
    <n v="1"/>
    <n v="23"/>
    <b v="0"/>
    <x v="1"/>
    <x v="1"/>
    <n v="0.2"/>
  </r>
  <r>
    <n v="373"/>
    <d v="2011-01-17T00:00:00"/>
    <n v="1"/>
    <n v="0"/>
    <n v="1"/>
    <n v="0"/>
    <b v="1"/>
    <x v="2"/>
    <x v="1"/>
    <n v="0.2"/>
  </r>
  <r>
    <n v="374"/>
    <d v="2011-01-17T00:00:00"/>
    <n v="1"/>
    <n v="0"/>
    <n v="1"/>
    <n v="1"/>
    <b v="1"/>
    <x v="2"/>
    <x v="1"/>
    <n v="0.2"/>
  </r>
  <r>
    <n v="375"/>
    <d v="2011-01-17T00:00:00"/>
    <n v="1"/>
    <n v="0"/>
    <n v="1"/>
    <n v="2"/>
    <b v="1"/>
    <x v="2"/>
    <x v="1"/>
    <n v="0.18"/>
  </r>
  <r>
    <n v="376"/>
    <d v="2011-01-17T00:00:00"/>
    <n v="1"/>
    <n v="0"/>
    <n v="1"/>
    <n v="3"/>
    <b v="1"/>
    <x v="2"/>
    <x v="1"/>
    <n v="0.18"/>
  </r>
  <r>
    <n v="377"/>
    <d v="2011-01-17T00:00:00"/>
    <n v="1"/>
    <n v="0"/>
    <n v="1"/>
    <n v="4"/>
    <b v="1"/>
    <x v="2"/>
    <x v="1"/>
    <n v="0.18"/>
  </r>
  <r>
    <n v="378"/>
    <d v="2011-01-17T00:00:00"/>
    <n v="1"/>
    <n v="0"/>
    <n v="1"/>
    <n v="5"/>
    <b v="1"/>
    <x v="2"/>
    <x v="1"/>
    <n v="0.18"/>
  </r>
  <r>
    <n v="379"/>
    <d v="2011-01-17T00:00:00"/>
    <n v="1"/>
    <n v="0"/>
    <n v="1"/>
    <n v="6"/>
    <b v="1"/>
    <x v="2"/>
    <x v="1"/>
    <n v="0.18"/>
  </r>
  <r>
    <n v="380"/>
    <d v="2011-01-17T00:00:00"/>
    <n v="1"/>
    <n v="0"/>
    <n v="1"/>
    <n v="7"/>
    <b v="1"/>
    <x v="2"/>
    <x v="1"/>
    <n v="0.16"/>
  </r>
  <r>
    <n v="381"/>
    <d v="2011-01-17T00:00:00"/>
    <n v="1"/>
    <n v="0"/>
    <n v="1"/>
    <n v="8"/>
    <b v="1"/>
    <x v="2"/>
    <x v="1"/>
    <n v="0.16"/>
  </r>
  <r>
    <n v="382"/>
    <d v="2011-01-17T00:00:00"/>
    <n v="1"/>
    <n v="0"/>
    <n v="1"/>
    <n v="9"/>
    <b v="1"/>
    <x v="2"/>
    <x v="1"/>
    <n v="0.16"/>
  </r>
  <r>
    <n v="383"/>
    <d v="2011-01-17T00:00:00"/>
    <n v="1"/>
    <n v="0"/>
    <n v="1"/>
    <n v="10"/>
    <b v="1"/>
    <x v="2"/>
    <x v="1"/>
    <n v="0.16"/>
  </r>
  <r>
    <n v="384"/>
    <d v="2011-01-17T00:00:00"/>
    <n v="1"/>
    <n v="0"/>
    <n v="1"/>
    <n v="11"/>
    <b v="1"/>
    <x v="2"/>
    <x v="1"/>
    <n v="0.16"/>
  </r>
  <r>
    <n v="385"/>
    <d v="2011-01-17T00:00:00"/>
    <n v="1"/>
    <n v="0"/>
    <n v="1"/>
    <n v="12"/>
    <b v="1"/>
    <x v="2"/>
    <x v="1"/>
    <n v="0.18"/>
  </r>
  <r>
    <n v="386"/>
    <d v="2011-01-17T00:00:00"/>
    <n v="1"/>
    <n v="0"/>
    <n v="1"/>
    <n v="13"/>
    <b v="1"/>
    <x v="2"/>
    <x v="1"/>
    <n v="0.18"/>
  </r>
  <r>
    <n v="387"/>
    <d v="2011-01-17T00:00:00"/>
    <n v="1"/>
    <n v="0"/>
    <n v="1"/>
    <n v="14"/>
    <b v="1"/>
    <x v="2"/>
    <x v="1"/>
    <n v="0.18"/>
  </r>
  <r>
    <n v="388"/>
    <d v="2011-01-17T00:00:00"/>
    <n v="1"/>
    <n v="0"/>
    <n v="1"/>
    <n v="15"/>
    <b v="1"/>
    <x v="2"/>
    <x v="1"/>
    <n v="0.2"/>
  </r>
  <r>
    <n v="389"/>
    <d v="2011-01-17T00:00:00"/>
    <n v="1"/>
    <n v="0"/>
    <n v="1"/>
    <n v="16"/>
    <b v="1"/>
    <x v="2"/>
    <x v="1"/>
    <n v="0.2"/>
  </r>
  <r>
    <n v="390"/>
    <d v="2011-01-17T00:00:00"/>
    <n v="1"/>
    <n v="0"/>
    <n v="1"/>
    <n v="17"/>
    <b v="1"/>
    <x v="2"/>
    <x v="0"/>
    <n v="0.2"/>
  </r>
  <r>
    <n v="391"/>
    <d v="2011-01-17T00:00:00"/>
    <n v="1"/>
    <n v="0"/>
    <n v="1"/>
    <n v="18"/>
    <b v="1"/>
    <x v="2"/>
    <x v="1"/>
    <n v="0.18"/>
  </r>
  <r>
    <n v="392"/>
    <d v="2011-01-17T00:00:00"/>
    <n v="1"/>
    <n v="0"/>
    <n v="1"/>
    <n v="19"/>
    <b v="1"/>
    <x v="2"/>
    <x v="2"/>
    <n v="0.18"/>
  </r>
  <r>
    <n v="393"/>
    <d v="2011-01-17T00:00:00"/>
    <n v="1"/>
    <n v="0"/>
    <n v="1"/>
    <n v="20"/>
    <b v="1"/>
    <x v="2"/>
    <x v="2"/>
    <n v="0.16"/>
  </r>
  <r>
    <n v="394"/>
    <d v="2011-01-17T00:00:00"/>
    <n v="1"/>
    <n v="0"/>
    <n v="1"/>
    <n v="21"/>
    <b v="1"/>
    <x v="2"/>
    <x v="2"/>
    <n v="0.16"/>
  </r>
  <r>
    <n v="395"/>
    <d v="2011-01-17T00:00:00"/>
    <n v="1"/>
    <n v="0"/>
    <n v="1"/>
    <n v="22"/>
    <b v="1"/>
    <x v="2"/>
    <x v="2"/>
    <n v="0.14000000000000001"/>
  </r>
  <r>
    <n v="396"/>
    <d v="2011-01-17T00:00:00"/>
    <n v="1"/>
    <n v="0"/>
    <n v="1"/>
    <n v="23"/>
    <b v="1"/>
    <x v="2"/>
    <x v="2"/>
    <n v="0.16"/>
  </r>
  <r>
    <n v="397"/>
    <d v="2011-01-18T00:00:00"/>
    <n v="1"/>
    <n v="0"/>
    <n v="1"/>
    <n v="12"/>
    <b v="0"/>
    <x v="3"/>
    <x v="1"/>
    <n v="0.2"/>
  </r>
  <r>
    <n v="398"/>
    <d v="2011-01-18T00:00:00"/>
    <n v="1"/>
    <n v="0"/>
    <n v="1"/>
    <n v="13"/>
    <b v="0"/>
    <x v="3"/>
    <x v="1"/>
    <n v="0.2"/>
  </r>
  <r>
    <n v="399"/>
    <d v="2011-01-18T00:00:00"/>
    <n v="1"/>
    <n v="0"/>
    <n v="1"/>
    <n v="14"/>
    <b v="0"/>
    <x v="3"/>
    <x v="1"/>
    <n v="0.22"/>
  </r>
  <r>
    <n v="400"/>
    <d v="2011-01-18T00:00:00"/>
    <n v="1"/>
    <n v="0"/>
    <n v="1"/>
    <n v="15"/>
    <b v="0"/>
    <x v="3"/>
    <x v="1"/>
    <n v="0.22"/>
  </r>
  <r>
    <n v="401"/>
    <d v="2011-01-18T00:00:00"/>
    <n v="1"/>
    <n v="0"/>
    <n v="1"/>
    <n v="16"/>
    <b v="0"/>
    <x v="3"/>
    <x v="1"/>
    <n v="0.22"/>
  </r>
  <r>
    <n v="402"/>
    <d v="2011-01-18T00:00:00"/>
    <n v="1"/>
    <n v="0"/>
    <n v="1"/>
    <n v="17"/>
    <b v="0"/>
    <x v="3"/>
    <x v="1"/>
    <n v="0.22"/>
  </r>
  <r>
    <n v="403"/>
    <d v="2011-01-18T00:00:00"/>
    <n v="1"/>
    <n v="0"/>
    <n v="1"/>
    <n v="18"/>
    <b v="0"/>
    <x v="3"/>
    <x v="1"/>
    <n v="0.22"/>
  </r>
  <r>
    <n v="404"/>
    <d v="2011-01-18T00:00:00"/>
    <n v="1"/>
    <n v="0"/>
    <n v="1"/>
    <n v="19"/>
    <b v="0"/>
    <x v="3"/>
    <x v="1"/>
    <n v="0.22"/>
  </r>
  <r>
    <n v="405"/>
    <d v="2011-01-18T00:00:00"/>
    <n v="1"/>
    <n v="0"/>
    <n v="1"/>
    <n v="20"/>
    <b v="0"/>
    <x v="3"/>
    <x v="1"/>
    <n v="0.22"/>
  </r>
  <r>
    <n v="406"/>
    <d v="2011-01-18T00:00:00"/>
    <n v="1"/>
    <n v="0"/>
    <n v="1"/>
    <n v="21"/>
    <b v="0"/>
    <x v="3"/>
    <x v="1"/>
    <n v="0.22"/>
  </r>
  <r>
    <n v="407"/>
    <d v="2011-01-18T00:00:00"/>
    <n v="1"/>
    <n v="0"/>
    <n v="1"/>
    <n v="22"/>
    <b v="0"/>
    <x v="3"/>
    <x v="1"/>
    <n v="0.22"/>
  </r>
  <r>
    <n v="408"/>
    <d v="2011-01-18T00:00:00"/>
    <n v="1"/>
    <n v="0"/>
    <n v="1"/>
    <n v="23"/>
    <b v="0"/>
    <x v="3"/>
    <x v="1"/>
    <n v="0.22"/>
  </r>
  <r>
    <n v="409"/>
    <d v="2011-01-19T00:00:00"/>
    <n v="1"/>
    <n v="0"/>
    <n v="1"/>
    <n v="0"/>
    <b v="0"/>
    <x v="4"/>
    <x v="1"/>
    <n v="0.22"/>
  </r>
  <r>
    <n v="410"/>
    <d v="2011-01-19T00:00:00"/>
    <n v="1"/>
    <n v="0"/>
    <n v="1"/>
    <n v="1"/>
    <b v="0"/>
    <x v="4"/>
    <x v="2"/>
    <n v="0.22"/>
  </r>
  <r>
    <n v="411"/>
    <d v="2011-01-19T00:00:00"/>
    <n v="1"/>
    <n v="0"/>
    <n v="1"/>
    <n v="2"/>
    <b v="0"/>
    <x v="4"/>
    <x v="2"/>
    <n v="0.22"/>
  </r>
  <r>
    <n v="412"/>
    <d v="2011-01-19T00:00:00"/>
    <n v="1"/>
    <n v="0"/>
    <n v="1"/>
    <n v="4"/>
    <b v="0"/>
    <x v="4"/>
    <x v="2"/>
    <n v="0.22"/>
  </r>
  <r>
    <n v="413"/>
    <d v="2011-01-19T00:00:00"/>
    <n v="1"/>
    <n v="0"/>
    <n v="1"/>
    <n v="5"/>
    <b v="0"/>
    <x v="4"/>
    <x v="1"/>
    <n v="0.22"/>
  </r>
  <r>
    <n v="414"/>
    <d v="2011-01-19T00:00:00"/>
    <n v="1"/>
    <n v="0"/>
    <n v="1"/>
    <n v="6"/>
    <b v="0"/>
    <x v="4"/>
    <x v="1"/>
    <n v="0.22"/>
  </r>
  <r>
    <n v="415"/>
    <d v="2011-01-19T00:00:00"/>
    <n v="1"/>
    <n v="0"/>
    <n v="1"/>
    <n v="7"/>
    <b v="0"/>
    <x v="4"/>
    <x v="1"/>
    <n v="0.24"/>
  </r>
  <r>
    <n v="416"/>
    <d v="2011-01-19T00:00:00"/>
    <n v="1"/>
    <n v="0"/>
    <n v="1"/>
    <n v="8"/>
    <b v="0"/>
    <x v="4"/>
    <x v="1"/>
    <n v="0.24"/>
  </r>
  <r>
    <n v="417"/>
    <d v="2011-01-19T00:00:00"/>
    <n v="1"/>
    <n v="0"/>
    <n v="1"/>
    <n v="9"/>
    <b v="0"/>
    <x v="4"/>
    <x v="1"/>
    <n v="0.24"/>
  </r>
  <r>
    <n v="418"/>
    <d v="2011-01-19T00:00:00"/>
    <n v="1"/>
    <n v="0"/>
    <n v="1"/>
    <n v="10"/>
    <b v="0"/>
    <x v="4"/>
    <x v="1"/>
    <n v="0.26"/>
  </r>
  <r>
    <n v="419"/>
    <d v="2011-01-19T00:00:00"/>
    <n v="1"/>
    <n v="0"/>
    <n v="1"/>
    <n v="11"/>
    <b v="0"/>
    <x v="4"/>
    <x v="1"/>
    <n v="0.28000000000000003"/>
  </r>
  <r>
    <n v="420"/>
    <d v="2011-01-19T00:00:00"/>
    <n v="1"/>
    <n v="0"/>
    <n v="1"/>
    <n v="12"/>
    <b v="0"/>
    <x v="4"/>
    <x v="1"/>
    <n v="0.3"/>
  </r>
  <r>
    <n v="421"/>
    <d v="2011-01-19T00:00:00"/>
    <n v="1"/>
    <n v="0"/>
    <n v="1"/>
    <n v="13"/>
    <b v="0"/>
    <x v="4"/>
    <x v="0"/>
    <n v="0.4"/>
  </r>
  <r>
    <n v="422"/>
    <d v="2011-01-19T00:00:00"/>
    <n v="1"/>
    <n v="0"/>
    <n v="1"/>
    <n v="14"/>
    <b v="0"/>
    <x v="4"/>
    <x v="0"/>
    <n v="0.4"/>
  </r>
  <r>
    <n v="423"/>
    <d v="2011-01-19T00:00:00"/>
    <n v="1"/>
    <n v="0"/>
    <n v="1"/>
    <n v="15"/>
    <b v="0"/>
    <x v="4"/>
    <x v="0"/>
    <n v="0.4"/>
  </r>
  <r>
    <n v="424"/>
    <d v="2011-01-19T00:00:00"/>
    <n v="1"/>
    <n v="0"/>
    <n v="1"/>
    <n v="16"/>
    <b v="0"/>
    <x v="4"/>
    <x v="0"/>
    <n v="0.38"/>
  </r>
  <r>
    <n v="425"/>
    <d v="2011-01-19T00:00:00"/>
    <n v="1"/>
    <n v="0"/>
    <n v="1"/>
    <n v="17"/>
    <b v="0"/>
    <x v="4"/>
    <x v="0"/>
    <n v="0.36"/>
  </r>
  <r>
    <n v="426"/>
    <d v="2011-01-19T00:00:00"/>
    <n v="1"/>
    <n v="0"/>
    <n v="1"/>
    <n v="18"/>
    <b v="0"/>
    <x v="4"/>
    <x v="0"/>
    <n v="0.34"/>
  </r>
  <r>
    <n v="427"/>
    <d v="2011-01-19T00:00:00"/>
    <n v="1"/>
    <n v="0"/>
    <n v="1"/>
    <n v="19"/>
    <b v="0"/>
    <x v="4"/>
    <x v="0"/>
    <n v="0.32"/>
  </r>
  <r>
    <n v="428"/>
    <d v="2011-01-19T00:00:00"/>
    <n v="1"/>
    <n v="0"/>
    <n v="1"/>
    <n v="20"/>
    <b v="0"/>
    <x v="4"/>
    <x v="0"/>
    <n v="0.32"/>
  </r>
  <r>
    <n v="429"/>
    <d v="2011-01-19T00:00:00"/>
    <n v="1"/>
    <n v="0"/>
    <n v="1"/>
    <n v="21"/>
    <b v="0"/>
    <x v="4"/>
    <x v="0"/>
    <n v="0.32"/>
  </r>
  <r>
    <n v="430"/>
    <d v="2011-01-19T00:00:00"/>
    <n v="1"/>
    <n v="0"/>
    <n v="1"/>
    <n v="22"/>
    <b v="0"/>
    <x v="4"/>
    <x v="0"/>
    <n v="0.3"/>
  </r>
  <r>
    <n v="431"/>
    <d v="2011-01-19T00:00:00"/>
    <n v="1"/>
    <n v="0"/>
    <n v="1"/>
    <n v="23"/>
    <b v="0"/>
    <x v="4"/>
    <x v="0"/>
    <n v="0.3"/>
  </r>
  <r>
    <n v="432"/>
    <d v="2011-01-20T00:00:00"/>
    <n v="1"/>
    <n v="0"/>
    <n v="1"/>
    <n v="0"/>
    <b v="0"/>
    <x v="5"/>
    <x v="0"/>
    <n v="0.26"/>
  </r>
  <r>
    <n v="433"/>
    <d v="2011-01-20T00:00:00"/>
    <n v="1"/>
    <n v="0"/>
    <n v="1"/>
    <n v="1"/>
    <b v="0"/>
    <x v="5"/>
    <x v="0"/>
    <n v="0.26"/>
  </r>
  <r>
    <n v="434"/>
    <d v="2011-01-20T00:00:00"/>
    <n v="1"/>
    <n v="0"/>
    <n v="1"/>
    <n v="2"/>
    <b v="0"/>
    <x v="5"/>
    <x v="0"/>
    <n v="0.26"/>
  </r>
  <r>
    <n v="435"/>
    <d v="2011-01-20T00:00:00"/>
    <n v="1"/>
    <n v="0"/>
    <n v="1"/>
    <n v="3"/>
    <b v="0"/>
    <x v="5"/>
    <x v="0"/>
    <n v="0.26"/>
  </r>
  <r>
    <n v="436"/>
    <d v="2011-01-20T00:00:00"/>
    <n v="1"/>
    <n v="0"/>
    <n v="1"/>
    <n v="4"/>
    <b v="0"/>
    <x v="5"/>
    <x v="0"/>
    <n v="0.26"/>
  </r>
  <r>
    <n v="437"/>
    <d v="2011-01-20T00:00:00"/>
    <n v="1"/>
    <n v="0"/>
    <n v="1"/>
    <n v="5"/>
    <b v="0"/>
    <x v="5"/>
    <x v="0"/>
    <n v="0.24"/>
  </r>
  <r>
    <n v="438"/>
    <d v="2011-01-20T00:00:00"/>
    <n v="1"/>
    <n v="0"/>
    <n v="1"/>
    <n v="6"/>
    <b v="0"/>
    <x v="5"/>
    <x v="0"/>
    <n v="0.22"/>
  </r>
  <r>
    <n v="439"/>
    <d v="2011-01-20T00:00:00"/>
    <n v="1"/>
    <n v="0"/>
    <n v="1"/>
    <n v="7"/>
    <b v="0"/>
    <x v="5"/>
    <x v="0"/>
    <n v="0.22"/>
  </r>
  <r>
    <n v="440"/>
    <d v="2011-01-20T00:00:00"/>
    <n v="1"/>
    <n v="0"/>
    <n v="1"/>
    <n v="8"/>
    <b v="0"/>
    <x v="5"/>
    <x v="0"/>
    <n v="0.22"/>
  </r>
  <r>
    <n v="441"/>
    <d v="2011-01-20T00:00:00"/>
    <n v="1"/>
    <n v="0"/>
    <n v="1"/>
    <n v="9"/>
    <b v="0"/>
    <x v="5"/>
    <x v="1"/>
    <n v="0.24"/>
  </r>
  <r>
    <n v="442"/>
    <d v="2011-01-20T00:00:00"/>
    <n v="1"/>
    <n v="0"/>
    <n v="1"/>
    <n v="10"/>
    <b v="0"/>
    <x v="5"/>
    <x v="0"/>
    <n v="0.26"/>
  </r>
  <r>
    <n v="443"/>
    <d v="2011-01-20T00:00:00"/>
    <n v="1"/>
    <n v="0"/>
    <n v="1"/>
    <n v="11"/>
    <b v="0"/>
    <x v="5"/>
    <x v="1"/>
    <n v="0.28000000000000003"/>
  </r>
  <r>
    <n v="444"/>
    <d v="2011-01-20T00:00:00"/>
    <n v="1"/>
    <n v="0"/>
    <n v="1"/>
    <n v="12"/>
    <b v="0"/>
    <x v="5"/>
    <x v="1"/>
    <n v="0.3"/>
  </r>
  <r>
    <n v="445"/>
    <d v="2011-01-20T00:00:00"/>
    <n v="1"/>
    <n v="0"/>
    <n v="1"/>
    <n v="13"/>
    <b v="0"/>
    <x v="5"/>
    <x v="1"/>
    <n v="0.28000000000000003"/>
  </r>
  <r>
    <n v="446"/>
    <d v="2011-01-20T00:00:00"/>
    <n v="1"/>
    <n v="0"/>
    <n v="1"/>
    <n v="14"/>
    <b v="0"/>
    <x v="5"/>
    <x v="1"/>
    <n v="0.3"/>
  </r>
  <r>
    <n v="447"/>
    <d v="2011-01-20T00:00:00"/>
    <n v="1"/>
    <n v="0"/>
    <n v="1"/>
    <n v="15"/>
    <b v="0"/>
    <x v="5"/>
    <x v="1"/>
    <n v="0.32"/>
  </r>
  <r>
    <n v="448"/>
    <d v="2011-01-20T00:00:00"/>
    <n v="1"/>
    <n v="0"/>
    <n v="1"/>
    <n v="16"/>
    <b v="0"/>
    <x v="5"/>
    <x v="1"/>
    <n v="0.3"/>
  </r>
  <r>
    <n v="449"/>
    <d v="2011-01-20T00:00:00"/>
    <n v="1"/>
    <n v="0"/>
    <n v="1"/>
    <n v="17"/>
    <b v="0"/>
    <x v="5"/>
    <x v="1"/>
    <n v="0.3"/>
  </r>
  <r>
    <n v="450"/>
    <d v="2011-01-20T00:00:00"/>
    <n v="1"/>
    <n v="0"/>
    <n v="1"/>
    <n v="18"/>
    <b v="0"/>
    <x v="5"/>
    <x v="1"/>
    <n v="0.26"/>
  </r>
  <r>
    <n v="451"/>
    <d v="2011-01-20T00:00:00"/>
    <n v="1"/>
    <n v="0"/>
    <n v="1"/>
    <n v="19"/>
    <b v="0"/>
    <x v="5"/>
    <x v="0"/>
    <n v="0.26"/>
  </r>
  <r>
    <n v="452"/>
    <d v="2011-01-20T00:00:00"/>
    <n v="1"/>
    <n v="0"/>
    <n v="1"/>
    <n v="20"/>
    <b v="0"/>
    <x v="5"/>
    <x v="1"/>
    <n v="0.26"/>
  </r>
  <r>
    <n v="453"/>
    <d v="2011-01-20T00:00:00"/>
    <n v="1"/>
    <n v="0"/>
    <n v="1"/>
    <n v="21"/>
    <b v="0"/>
    <x v="5"/>
    <x v="1"/>
    <n v="0.24"/>
  </r>
  <r>
    <n v="454"/>
    <d v="2011-01-20T00:00:00"/>
    <n v="1"/>
    <n v="0"/>
    <n v="1"/>
    <n v="22"/>
    <b v="0"/>
    <x v="5"/>
    <x v="1"/>
    <n v="0.24"/>
  </r>
  <r>
    <n v="455"/>
    <d v="2011-01-20T00:00:00"/>
    <n v="1"/>
    <n v="0"/>
    <n v="1"/>
    <n v="23"/>
    <b v="0"/>
    <x v="5"/>
    <x v="1"/>
    <n v="0.24"/>
  </r>
  <r>
    <n v="456"/>
    <d v="2011-01-21T00:00:00"/>
    <n v="1"/>
    <n v="0"/>
    <n v="1"/>
    <n v="0"/>
    <b v="0"/>
    <x v="6"/>
    <x v="1"/>
    <n v="0.24"/>
  </r>
  <r>
    <n v="457"/>
    <d v="2011-01-21T00:00:00"/>
    <n v="1"/>
    <n v="0"/>
    <n v="1"/>
    <n v="1"/>
    <b v="0"/>
    <x v="6"/>
    <x v="1"/>
    <n v="0.24"/>
  </r>
  <r>
    <n v="458"/>
    <d v="2011-01-21T00:00:00"/>
    <n v="1"/>
    <n v="0"/>
    <n v="1"/>
    <n v="2"/>
    <b v="0"/>
    <x v="6"/>
    <x v="2"/>
    <n v="0.24"/>
  </r>
  <r>
    <n v="459"/>
    <d v="2011-01-21T00:00:00"/>
    <n v="1"/>
    <n v="0"/>
    <n v="1"/>
    <n v="3"/>
    <b v="0"/>
    <x v="6"/>
    <x v="2"/>
    <n v="0.22"/>
  </r>
  <r>
    <n v="460"/>
    <d v="2011-01-21T00:00:00"/>
    <n v="1"/>
    <n v="0"/>
    <n v="1"/>
    <n v="4"/>
    <b v="0"/>
    <x v="6"/>
    <x v="1"/>
    <n v="0.22"/>
  </r>
  <r>
    <n v="461"/>
    <d v="2011-01-21T00:00:00"/>
    <n v="1"/>
    <n v="0"/>
    <n v="1"/>
    <n v="5"/>
    <b v="0"/>
    <x v="6"/>
    <x v="0"/>
    <n v="0.24"/>
  </r>
  <r>
    <n v="462"/>
    <d v="2011-01-21T00:00:00"/>
    <n v="1"/>
    <n v="0"/>
    <n v="1"/>
    <n v="6"/>
    <b v="0"/>
    <x v="6"/>
    <x v="0"/>
    <n v="0.22"/>
  </r>
  <r>
    <n v="463"/>
    <d v="2011-01-21T00:00:00"/>
    <n v="1"/>
    <n v="0"/>
    <n v="1"/>
    <n v="7"/>
    <b v="0"/>
    <x v="6"/>
    <x v="0"/>
    <n v="0.2"/>
  </r>
  <r>
    <n v="464"/>
    <d v="2011-01-21T00:00:00"/>
    <n v="1"/>
    <n v="0"/>
    <n v="1"/>
    <n v="8"/>
    <b v="0"/>
    <x v="6"/>
    <x v="0"/>
    <n v="0.2"/>
  </r>
  <r>
    <n v="465"/>
    <d v="2011-01-21T00:00:00"/>
    <n v="1"/>
    <n v="0"/>
    <n v="1"/>
    <n v="9"/>
    <b v="0"/>
    <x v="6"/>
    <x v="0"/>
    <n v="0.2"/>
  </r>
  <r>
    <n v="466"/>
    <d v="2011-01-21T00:00:00"/>
    <n v="1"/>
    <n v="0"/>
    <n v="1"/>
    <n v="10"/>
    <b v="0"/>
    <x v="6"/>
    <x v="0"/>
    <n v="0.2"/>
  </r>
  <r>
    <n v="467"/>
    <d v="2011-01-21T00:00:00"/>
    <n v="1"/>
    <n v="0"/>
    <n v="1"/>
    <n v="11"/>
    <b v="0"/>
    <x v="6"/>
    <x v="0"/>
    <n v="0.22"/>
  </r>
  <r>
    <n v="468"/>
    <d v="2011-01-21T00:00:00"/>
    <n v="1"/>
    <n v="0"/>
    <n v="1"/>
    <n v="12"/>
    <b v="0"/>
    <x v="6"/>
    <x v="0"/>
    <n v="0.22"/>
  </r>
  <r>
    <n v="469"/>
    <d v="2011-01-21T00:00:00"/>
    <n v="1"/>
    <n v="0"/>
    <n v="1"/>
    <n v="13"/>
    <b v="0"/>
    <x v="6"/>
    <x v="0"/>
    <n v="0.2"/>
  </r>
  <r>
    <n v="470"/>
    <d v="2011-01-21T00:00:00"/>
    <n v="1"/>
    <n v="0"/>
    <n v="1"/>
    <n v="14"/>
    <b v="0"/>
    <x v="6"/>
    <x v="0"/>
    <n v="0.2"/>
  </r>
  <r>
    <n v="471"/>
    <d v="2011-01-21T00:00:00"/>
    <n v="1"/>
    <n v="0"/>
    <n v="1"/>
    <n v="15"/>
    <b v="0"/>
    <x v="6"/>
    <x v="0"/>
    <n v="0.16"/>
  </r>
  <r>
    <n v="472"/>
    <d v="2011-01-21T00:00:00"/>
    <n v="1"/>
    <n v="0"/>
    <n v="1"/>
    <n v="16"/>
    <b v="0"/>
    <x v="6"/>
    <x v="0"/>
    <n v="0.16"/>
  </r>
  <r>
    <n v="473"/>
    <d v="2011-01-21T00:00:00"/>
    <n v="1"/>
    <n v="0"/>
    <n v="1"/>
    <n v="17"/>
    <b v="0"/>
    <x v="6"/>
    <x v="0"/>
    <n v="0.14000000000000001"/>
  </r>
  <r>
    <n v="474"/>
    <d v="2011-01-21T00:00:00"/>
    <n v="1"/>
    <n v="0"/>
    <n v="1"/>
    <n v="18"/>
    <b v="0"/>
    <x v="6"/>
    <x v="0"/>
    <n v="0.12"/>
  </r>
  <r>
    <n v="475"/>
    <d v="2011-01-21T00:00:00"/>
    <n v="1"/>
    <n v="0"/>
    <n v="1"/>
    <n v="19"/>
    <b v="0"/>
    <x v="6"/>
    <x v="0"/>
    <n v="0.12"/>
  </r>
  <r>
    <n v="476"/>
    <d v="2011-01-21T00:00:00"/>
    <n v="1"/>
    <n v="0"/>
    <n v="1"/>
    <n v="20"/>
    <b v="0"/>
    <x v="6"/>
    <x v="0"/>
    <n v="0.1"/>
  </r>
  <r>
    <n v="477"/>
    <d v="2011-01-21T00:00:00"/>
    <n v="1"/>
    <n v="0"/>
    <n v="1"/>
    <n v="21"/>
    <b v="0"/>
    <x v="6"/>
    <x v="0"/>
    <n v="0.08"/>
  </r>
  <r>
    <n v="478"/>
    <d v="2011-01-21T00:00:00"/>
    <n v="1"/>
    <n v="0"/>
    <n v="1"/>
    <n v="22"/>
    <b v="0"/>
    <x v="6"/>
    <x v="0"/>
    <n v="0.06"/>
  </r>
  <r>
    <n v="479"/>
    <d v="2011-01-21T00:00:00"/>
    <n v="1"/>
    <n v="0"/>
    <n v="1"/>
    <n v="23"/>
    <b v="0"/>
    <x v="6"/>
    <x v="0"/>
    <n v="0.06"/>
  </r>
  <r>
    <n v="480"/>
    <d v="2011-01-22T00:00:00"/>
    <n v="1"/>
    <n v="0"/>
    <n v="1"/>
    <n v="0"/>
    <b v="0"/>
    <x v="0"/>
    <x v="0"/>
    <n v="0.04"/>
  </r>
  <r>
    <n v="481"/>
    <d v="2011-01-22T00:00:00"/>
    <n v="1"/>
    <n v="0"/>
    <n v="1"/>
    <n v="1"/>
    <b v="0"/>
    <x v="0"/>
    <x v="1"/>
    <n v="0.04"/>
  </r>
  <r>
    <n v="482"/>
    <d v="2011-01-22T00:00:00"/>
    <n v="1"/>
    <n v="0"/>
    <n v="1"/>
    <n v="2"/>
    <b v="0"/>
    <x v="0"/>
    <x v="1"/>
    <n v="0.04"/>
  </r>
  <r>
    <n v="483"/>
    <d v="2011-01-22T00:00:00"/>
    <n v="1"/>
    <n v="0"/>
    <n v="1"/>
    <n v="3"/>
    <b v="0"/>
    <x v="0"/>
    <x v="1"/>
    <n v="0.04"/>
  </r>
  <r>
    <n v="484"/>
    <d v="2011-01-22T00:00:00"/>
    <n v="1"/>
    <n v="0"/>
    <n v="1"/>
    <n v="4"/>
    <b v="0"/>
    <x v="0"/>
    <x v="1"/>
    <n v="0.02"/>
  </r>
  <r>
    <n v="485"/>
    <d v="2011-01-22T00:00:00"/>
    <n v="1"/>
    <n v="0"/>
    <n v="1"/>
    <n v="6"/>
    <b v="0"/>
    <x v="0"/>
    <x v="1"/>
    <n v="0.02"/>
  </r>
  <r>
    <n v="486"/>
    <d v="2011-01-22T00:00:00"/>
    <n v="1"/>
    <n v="0"/>
    <n v="1"/>
    <n v="7"/>
    <b v="0"/>
    <x v="0"/>
    <x v="0"/>
    <n v="0.02"/>
  </r>
  <r>
    <n v="487"/>
    <d v="2011-01-22T00:00:00"/>
    <n v="1"/>
    <n v="0"/>
    <n v="1"/>
    <n v="8"/>
    <b v="0"/>
    <x v="0"/>
    <x v="0"/>
    <n v="0.02"/>
  </r>
  <r>
    <n v="488"/>
    <d v="2011-01-22T00:00:00"/>
    <n v="1"/>
    <n v="0"/>
    <n v="1"/>
    <n v="9"/>
    <b v="0"/>
    <x v="0"/>
    <x v="0"/>
    <n v="0.04"/>
  </r>
  <r>
    <n v="489"/>
    <d v="2011-01-22T00:00:00"/>
    <n v="1"/>
    <n v="0"/>
    <n v="1"/>
    <n v="10"/>
    <b v="0"/>
    <x v="0"/>
    <x v="1"/>
    <n v="0.04"/>
  </r>
  <r>
    <n v="490"/>
    <d v="2011-01-22T00:00:00"/>
    <n v="1"/>
    <n v="0"/>
    <n v="1"/>
    <n v="11"/>
    <b v="0"/>
    <x v="0"/>
    <x v="1"/>
    <n v="0.06"/>
  </r>
  <r>
    <n v="491"/>
    <d v="2011-01-22T00:00:00"/>
    <n v="1"/>
    <n v="0"/>
    <n v="1"/>
    <n v="12"/>
    <b v="0"/>
    <x v="0"/>
    <x v="1"/>
    <n v="0.06"/>
  </r>
  <r>
    <n v="492"/>
    <d v="2011-01-22T00:00:00"/>
    <n v="1"/>
    <n v="0"/>
    <n v="1"/>
    <n v="13"/>
    <b v="0"/>
    <x v="0"/>
    <x v="0"/>
    <n v="0.08"/>
  </r>
  <r>
    <n v="493"/>
    <d v="2011-01-22T00:00:00"/>
    <n v="1"/>
    <n v="0"/>
    <n v="1"/>
    <n v="14"/>
    <b v="0"/>
    <x v="0"/>
    <x v="0"/>
    <n v="0.1"/>
  </r>
  <r>
    <n v="494"/>
    <d v="2011-01-22T00:00:00"/>
    <n v="1"/>
    <n v="0"/>
    <n v="1"/>
    <n v="15"/>
    <b v="0"/>
    <x v="0"/>
    <x v="0"/>
    <n v="0.12"/>
  </r>
  <r>
    <n v="495"/>
    <d v="2011-01-22T00:00:00"/>
    <n v="1"/>
    <n v="0"/>
    <n v="1"/>
    <n v="16"/>
    <b v="0"/>
    <x v="0"/>
    <x v="0"/>
    <n v="0.12"/>
  </r>
  <r>
    <n v="496"/>
    <d v="2011-01-22T00:00:00"/>
    <n v="1"/>
    <n v="0"/>
    <n v="1"/>
    <n v="17"/>
    <b v="0"/>
    <x v="0"/>
    <x v="0"/>
    <n v="0.12"/>
  </r>
  <r>
    <n v="497"/>
    <d v="2011-01-22T00:00:00"/>
    <n v="1"/>
    <n v="0"/>
    <n v="1"/>
    <n v="18"/>
    <b v="0"/>
    <x v="0"/>
    <x v="0"/>
    <n v="0.08"/>
  </r>
  <r>
    <n v="498"/>
    <d v="2011-01-22T00:00:00"/>
    <n v="1"/>
    <n v="0"/>
    <n v="1"/>
    <n v="19"/>
    <b v="0"/>
    <x v="0"/>
    <x v="0"/>
    <n v="0.08"/>
  </r>
  <r>
    <n v="499"/>
    <d v="2011-01-22T00:00:00"/>
    <n v="1"/>
    <n v="0"/>
    <n v="1"/>
    <n v="20"/>
    <b v="0"/>
    <x v="0"/>
    <x v="0"/>
    <n v="0.06"/>
  </r>
  <r>
    <n v="500"/>
    <d v="2011-01-22T00:00:00"/>
    <n v="1"/>
    <n v="0"/>
    <n v="1"/>
    <n v="21"/>
    <b v="0"/>
    <x v="0"/>
    <x v="0"/>
    <n v="0.06"/>
  </r>
  <r>
    <n v="501"/>
    <d v="2011-01-22T00:00:00"/>
    <n v="1"/>
    <n v="0"/>
    <n v="1"/>
    <n v="22"/>
    <b v="0"/>
    <x v="0"/>
    <x v="0"/>
    <n v="0.06"/>
  </r>
  <r>
    <n v="502"/>
    <d v="2011-01-22T00:00:00"/>
    <n v="1"/>
    <n v="0"/>
    <n v="1"/>
    <n v="23"/>
    <b v="0"/>
    <x v="0"/>
    <x v="0"/>
    <n v="0.04"/>
  </r>
  <r>
    <n v="503"/>
    <d v="2011-01-23T00:00:00"/>
    <n v="1"/>
    <n v="0"/>
    <n v="1"/>
    <n v="0"/>
    <b v="0"/>
    <x v="1"/>
    <x v="0"/>
    <n v="0.04"/>
  </r>
  <r>
    <n v="504"/>
    <d v="2011-01-23T00:00:00"/>
    <n v="1"/>
    <n v="0"/>
    <n v="1"/>
    <n v="1"/>
    <b v="0"/>
    <x v="1"/>
    <x v="0"/>
    <n v="0.04"/>
  </r>
  <r>
    <n v="505"/>
    <d v="2011-01-23T00:00:00"/>
    <n v="1"/>
    <n v="0"/>
    <n v="1"/>
    <n v="2"/>
    <b v="0"/>
    <x v="1"/>
    <x v="0"/>
    <n v="0.02"/>
  </r>
  <r>
    <n v="506"/>
    <d v="2011-01-23T00:00:00"/>
    <n v="1"/>
    <n v="0"/>
    <n v="1"/>
    <n v="3"/>
    <b v="0"/>
    <x v="1"/>
    <x v="0"/>
    <n v="0.02"/>
  </r>
  <r>
    <n v="507"/>
    <d v="2011-01-23T00:00:00"/>
    <n v="1"/>
    <n v="0"/>
    <n v="1"/>
    <n v="5"/>
    <b v="0"/>
    <x v="1"/>
    <x v="1"/>
    <n v="0.04"/>
  </r>
  <r>
    <n v="508"/>
    <d v="2011-01-23T00:00:00"/>
    <n v="1"/>
    <n v="0"/>
    <n v="1"/>
    <n v="6"/>
    <b v="0"/>
    <x v="1"/>
    <x v="1"/>
    <n v="0.04"/>
  </r>
  <r>
    <n v="509"/>
    <d v="2011-01-23T00:00:00"/>
    <n v="1"/>
    <n v="0"/>
    <n v="1"/>
    <n v="7"/>
    <b v="0"/>
    <x v="1"/>
    <x v="0"/>
    <n v="0.08"/>
  </r>
  <r>
    <n v="510"/>
    <d v="2011-01-23T00:00:00"/>
    <n v="1"/>
    <n v="0"/>
    <n v="1"/>
    <n v="8"/>
    <b v="0"/>
    <x v="1"/>
    <x v="0"/>
    <n v="0.06"/>
  </r>
  <r>
    <n v="511"/>
    <d v="2011-01-23T00:00:00"/>
    <n v="1"/>
    <n v="0"/>
    <n v="1"/>
    <n v="9"/>
    <b v="0"/>
    <x v="1"/>
    <x v="0"/>
    <n v="0.1"/>
  </r>
  <r>
    <n v="512"/>
    <d v="2011-01-23T00:00:00"/>
    <n v="1"/>
    <n v="0"/>
    <n v="1"/>
    <n v="10"/>
    <b v="0"/>
    <x v="1"/>
    <x v="0"/>
    <n v="0.14000000000000001"/>
  </r>
  <r>
    <n v="513"/>
    <d v="2011-01-23T00:00:00"/>
    <n v="1"/>
    <n v="0"/>
    <n v="1"/>
    <n v="11"/>
    <b v="0"/>
    <x v="1"/>
    <x v="0"/>
    <n v="0.14000000000000001"/>
  </r>
  <r>
    <n v="514"/>
    <d v="2011-01-23T00:00:00"/>
    <n v="1"/>
    <n v="0"/>
    <n v="1"/>
    <n v="12"/>
    <b v="0"/>
    <x v="1"/>
    <x v="0"/>
    <n v="0.16"/>
  </r>
  <r>
    <n v="515"/>
    <d v="2011-01-23T00:00:00"/>
    <n v="1"/>
    <n v="0"/>
    <n v="1"/>
    <n v="13"/>
    <b v="0"/>
    <x v="1"/>
    <x v="0"/>
    <n v="0.14000000000000001"/>
  </r>
  <r>
    <n v="516"/>
    <d v="2011-01-23T00:00:00"/>
    <n v="1"/>
    <n v="0"/>
    <n v="1"/>
    <n v="14"/>
    <b v="0"/>
    <x v="1"/>
    <x v="0"/>
    <n v="0.16"/>
  </r>
  <r>
    <n v="517"/>
    <d v="2011-01-23T00:00:00"/>
    <n v="1"/>
    <n v="0"/>
    <n v="1"/>
    <n v="15"/>
    <b v="0"/>
    <x v="1"/>
    <x v="0"/>
    <n v="0.16"/>
  </r>
  <r>
    <n v="518"/>
    <d v="2011-01-23T00:00:00"/>
    <n v="1"/>
    <n v="0"/>
    <n v="1"/>
    <n v="16"/>
    <b v="0"/>
    <x v="1"/>
    <x v="0"/>
    <n v="0.16"/>
  </r>
  <r>
    <n v="519"/>
    <d v="2011-01-23T00:00:00"/>
    <n v="1"/>
    <n v="0"/>
    <n v="1"/>
    <n v="17"/>
    <b v="0"/>
    <x v="1"/>
    <x v="0"/>
    <n v="0.14000000000000001"/>
  </r>
  <r>
    <n v="520"/>
    <d v="2011-01-23T00:00:00"/>
    <n v="1"/>
    <n v="0"/>
    <n v="1"/>
    <n v="18"/>
    <b v="0"/>
    <x v="1"/>
    <x v="0"/>
    <n v="0.12"/>
  </r>
  <r>
    <n v="521"/>
    <d v="2011-01-23T00:00:00"/>
    <n v="1"/>
    <n v="0"/>
    <n v="1"/>
    <n v="19"/>
    <b v="0"/>
    <x v="1"/>
    <x v="0"/>
    <n v="0.12"/>
  </r>
  <r>
    <n v="522"/>
    <d v="2011-01-23T00:00:00"/>
    <n v="1"/>
    <n v="0"/>
    <n v="1"/>
    <n v="20"/>
    <b v="0"/>
    <x v="1"/>
    <x v="0"/>
    <n v="0.1"/>
  </r>
  <r>
    <n v="523"/>
    <d v="2011-01-23T00:00:00"/>
    <n v="1"/>
    <n v="0"/>
    <n v="1"/>
    <n v="21"/>
    <b v="0"/>
    <x v="1"/>
    <x v="0"/>
    <n v="0.1"/>
  </r>
  <r>
    <n v="524"/>
    <d v="2011-01-23T00:00:00"/>
    <n v="1"/>
    <n v="0"/>
    <n v="1"/>
    <n v="22"/>
    <b v="0"/>
    <x v="1"/>
    <x v="0"/>
    <n v="0.08"/>
  </r>
  <r>
    <n v="525"/>
    <d v="2011-01-23T00:00:00"/>
    <n v="1"/>
    <n v="0"/>
    <n v="1"/>
    <n v="23"/>
    <b v="0"/>
    <x v="1"/>
    <x v="0"/>
    <n v="0.06"/>
  </r>
  <r>
    <n v="526"/>
    <d v="2011-01-24T00:00:00"/>
    <n v="1"/>
    <n v="0"/>
    <n v="1"/>
    <n v="0"/>
    <b v="0"/>
    <x v="2"/>
    <x v="0"/>
    <n v="0.06"/>
  </r>
  <r>
    <n v="527"/>
    <d v="2011-01-24T00:00:00"/>
    <n v="1"/>
    <n v="0"/>
    <n v="1"/>
    <n v="1"/>
    <b v="0"/>
    <x v="2"/>
    <x v="0"/>
    <n v="0.04"/>
  </r>
  <r>
    <n v="528"/>
    <d v="2011-01-24T00:00:00"/>
    <n v="1"/>
    <n v="0"/>
    <n v="1"/>
    <n v="3"/>
    <b v="0"/>
    <x v="2"/>
    <x v="0"/>
    <n v="0.04"/>
  </r>
  <r>
    <n v="529"/>
    <d v="2011-01-24T00:00:00"/>
    <n v="1"/>
    <n v="0"/>
    <n v="1"/>
    <n v="4"/>
    <b v="0"/>
    <x v="2"/>
    <x v="0"/>
    <n v="0.02"/>
  </r>
  <r>
    <n v="530"/>
    <d v="2011-01-24T00:00:00"/>
    <n v="1"/>
    <n v="0"/>
    <n v="1"/>
    <n v="5"/>
    <b v="0"/>
    <x v="2"/>
    <x v="0"/>
    <n v="0.02"/>
  </r>
  <r>
    <n v="531"/>
    <d v="2011-01-24T00:00:00"/>
    <n v="1"/>
    <n v="0"/>
    <n v="1"/>
    <n v="6"/>
    <b v="0"/>
    <x v="2"/>
    <x v="0"/>
    <n v="0.02"/>
  </r>
  <r>
    <n v="532"/>
    <d v="2011-01-24T00:00:00"/>
    <n v="1"/>
    <n v="0"/>
    <n v="1"/>
    <n v="7"/>
    <b v="0"/>
    <x v="2"/>
    <x v="0"/>
    <n v="0.02"/>
  </r>
  <r>
    <n v="533"/>
    <d v="2011-01-24T00:00:00"/>
    <n v="1"/>
    <n v="0"/>
    <n v="1"/>
    <n v="8"/>
    <b v="0"/>
    <x v="2"/>
    <x v="0"/>
    <n v="0.04"/>
  </r>
  <r>
    <n v="534"/>
    <d v="2011-01-24T00:00:00"/>
    <n v="1"/>
    <n v="0"/>
    <n v="1"/>
    <n v="9"/>
    <b v="0"/>
    <x v="2"/>
    <x v="0"/>
    <n v="0.06"/>
  </r>
  <r>
    <n v="535"/>
    <d v="2011-01-24T00:00:00"/>
    <n v="1"/>
    <n v="0"/>
    <n v="1"/>
    <n v="10"/>
    <b v="0"/>
    <x v="2"/>
    <x v="0"/>
    <n v="0.1"/>
  </r>
  <r>
    <n v="536"/>
    <d v="2011-01-24T00:00:00"/>
    <n v="1"/>
    <n v="0"/>
    <n v="1"/>
    <n v="11"/>
    <b v="0"/>
    <x v="2"/>
    <x v="0"/>
    <n v="0.1"/>
  </r>
  <r>
    <n v="537"/>
    <d v="2011-01-24T00:00:00"/>
    <n v="1"/>
    <n v="0"/>
    <n v="1"/>
    <n v="12"/>
    <b v="0"/>
    <x v="2"/>
    <x v="1"/>
    <n v="0.12"/>
  </r>
  <r>
    <n v="538"/>
    <d v="2011-01-24T00:00:00"/>
    <n v="1"/>
    <n v="0"/>
    <n v="1"/>
    <n v="13"/>
    <b v="0"/>
    <x v="2"/>
    <x v="1"/>
    <n v="0.14000000000000001"/>
  </r>
  <r>
    <n v="539"/>
    <d v="2011-01-24T00:00:00"/>
    <n v="1"/>
    <n v="0"/>
    <n v="1"/>
    <n v="14"/>
    <b v="0"/>
    <x v="2"/>
    <x v="1"/>
    <n v="0.14000000000000001"/>
  </r>
  <r>
    <n v="540"/>
    <d v="2011-01-24T00:00:00"/>
    <n v="1"/>
    <n v="0"/>
    <n v="1"/>
    <n v="15"/>
    <b v="0"/>
    <x v="2"/>
    <x v="0"/>
    <n v="0.16"/>
  </r>
  <r>
    <n v="541"/>
    <d v="2011-01-24T00:00:00"/>
    <n v="1"/>
    <n v="0"/>
    <n v="1"/>
    <n v="16"/>
    <b v="0"/>
    <x v="2"/>
    <x v="0"/>
    <n v="0.16"/>
  </r>
  <r>
    <n v="542"/>
    <d v="2011-01-24T00:00:00"/>
    <n v="1"/>
    <n v="0"/>
    <n v="1"/>
    <n v="17"/>
    <b v="0"/>
    <x v="2"/>
    <x v="0"/>
    <n v="0.14000000000000001"/>
  </r>
  <r>
    <n v="543"/>
    <d v="2011-01-24T00:00:00"/>
    <n v="1"/>
    <n v="0"/>
    <n v="1"/>
    <n v="18"/>
    <b v="0"/>
    <x v="2"/>
    <x v="0"/>
    <n v="0.14000000000000001"/>
  </r>
  <r>
    <n v="544"/>
    <d v="2011-01-24T00:00:00"/>
    <n v="1"/>
    <n v="0"/>
    <n v="1"/>
    <n v="19"/>
    <b v="0"/>
    <x v="2"/>
    <x v="0"/>
    <n v="0.14000000000000001"/>
  </r>
  <r>
    <n v="545"/>
    <d v="2011-01-24T00:00:00"/>
    <n v="1"/>
    <n v="0"/>
    <n v="1"/>
    <n v="20"/>
    <b v="0"/>
    <x v="2"/>
    <x v="0"/>
    <n v="0.14000000000000001"/>
  </r>
  <r>
    <n v="546"/>
    <d v="2011-01-24T00:00:00"/>
    <n v="1"/>
    <n v="0"/>
    <n v="1"/>
    <n v="21"/>
    <b v="0"/>
    <x v="2"/>
    <x v="0"/>
    <n v="0.14000000000000001"/>
  </r>
  <r>
    <n v="547"/>
    <d v="2011-01-24T00:00:00"/>
    <n v="1"/>
    <n v="0"/>
    <n v="1"/>
    <n v="22"/>
    <b v="0"/>
    <x v="2"/>
    <x v="1"/>
    <n v="0.14000000000000001"/>
  </r>
  <r>
    <n v="548"/>
    <d v="2011-01-24T00:00:00"/>
    <n v="1"/>
    <n v="0"/>
    <n v="1"/>
    <n v="23"/>
    <b v="0"/>
    <x v="2"/>
    <x v="1"/>
    <n v="0.16"/>
  </r>
  <r>
    <n v="549"/>
    <d v="2011-01-25T00:00:00"/>
    <n v="1"/>
    <n v="0"/>
    <n v="1"/>
    <n v="0"/>
    <b v="0"/>
    <x v="3"/>
    <x v="1"/>
    <n v="0.16"/>
  </r>
  <r>
    <n v="550"/>
    <d v="2011-01-25T00:00:00"/>
    <n v="1"/>
    <n v="0"/>
    <n v="1"/>
    <n v="1"/>
    <b v="0"/>
    <x v="3"/>
    <x v="1"/>
    <n v="0.16"/>
  </r>
  <r>
    <n v="551"/>
    <d v="2011-01-25T00:00:00"/>
    <n v="1"/>
    <n v="0"/>
    <n v="1"/>
    <n v="2"/>
    <b v="0"/>
    <x v="3"/>
    <x v="0"/>
    <n v="0.16"/>
  </r>
  <r>
    <n v="552"/>
    <d v="2011-01-25T00:00:00"/>
    <n v="1"/>
    <n v="0"/>
    <n v="1"/>
    <n v="4"/>
    <b v="0"/>
    <x v="3"/>
    <x v="0"/>
    <n v="0.14000000000000001"/>
  </r>
  <r>
    <n v="553"/>
    <d v="2011-01-25T00:00:00"/>
    <n v="1"/>
    <n v="0"/>
    <n v="1"/>
    <n v="5"/>
    <b v="0"/>
    <x v="3"/>
    <x v="0"/>
    <n v="0.14000000000000001"/>
  </r>
  <r>
    <n v="554"/>
    <d v="2011-01-25T00:00:00"/>
    <n v="1"/>
    <n v="0"/>
    <n v="1"/>
    <n v="6"/>
    <b v="0"/>
    <x v="3"/>
    <x v="0"/>
    <n v="0.16"/>
  </r>
  <r>
    <n v="555"/>
    <d v="2011-01-25T00:00:00"/>
    <n v="1"/>
    <n v="0"/>
    <n v="1"/>
    <n v="7"/>
    <b v="0"/>
    <x v="3"/>
    <x v="0"/>
    <n v="0.16"/>
  </r>
  <r>
    <n v="556"/>
    <d v="2011-01-25T00:00:00"/>
    <n v="1"/>
    <n v="0"/>
    <n v="1"/>
    <n v="8"/>
    <b v="0"/>
    <x v="3"/>
    <x v="1"/>
    <n v="0.16"/>
  </r>
  <r>
    <n v="557"/>
    <d v="2011-01-25T00:00:00"/>
    <n v="1"/>
    <n v="0"/>
    <n v="1"/>
    <n v="9"/>
    <b v="0"/>
    <x v="3"/>
    <x v="1"/>
    <n v="0.2"/>
  </r>
  <r>
    <n v="558"/>
    <d v="2011-01-25T00:00:00"/>
    <n v="1"/>
    <n v="0"/>
    <n v="1"/>
    <n v="10"/>
    <b v="0"/>
    <x v="3"/>
    <x v="1"/>
    <n v="0.22"/>
  </r>
  <r>
    <n v="559"/>
    <d v="2011-01-25T00:00:00"/>
    <n v="1"/>
    <n v="0"/>
    <n v="1"/>
    <n v="11"/>
    <b v="0"/>
    <x v="3"/>
    <x v="1"/>
    <n v="0.24"/>
  </r>
  <r>
    <n v="560"/>
    <d v="2011-01-25T00:00:00"/>
    <n v="1"/>
    <n v="0"/>
    <n v="1"/>
    <n v="12"/>
    <b v="0"/>
    <x v="3"/>
    <x v="1"/>
    <n v="0.26"/>
  </r>
  <r>
    <n v="561"/>
    <d v="2011-01-25T00:00:00"/>
    <n v="1"/>
    <n v="0"/>
    <n v="1"/>
    <n v="13"/>
    <b v="0"/>
    <x v="3"/>
    <x v="1"/>
    <n v="0.26"/>
  </r>
  <r>
    <n v="562"/>
    <d v="2011-01-25T00:00:00"/>
    <n v="1"/>
    <n v="0"/>
    <n v="1"/>
    <n v="14"/>
    <b v="0"/>
    <x v="3"/>
    <x v="1"/>
    <n v="0.3"/>
  </r>
  <r>
    <n v="563"/>
    <d v="2011-01-25T00:00:00"/>
    <n v="1"/>
    <n v="0"/>
    <n v="1"/>
    <n v="15"/>
    <b v="0"/>
    <x v="3"/>
    <x v="1"/>
    <n v="0.32"/>
  </r>
  <r>
    <n v="564"/>
    <d v="2011-01-25T00:00:00"/>
    <n v="1"/>
    <n v="0"/>
    <n v="1"/>
    <n v="16"/>
    <b v="0"/>
    <x v="3"/>
    <x v="1"/>
    <n v="0.32"/>
  </r>
  <r>
    <n v="565"/>
    <d v="2011-01-25T00:00:00"/>
    <n v="1"/>
    <n v="0"/>
    <n v="1"/>
    <n v="17"/>
    <b v="0"/>
    <x v="3"/>
    <x v="0"/>
    <n v="0.3"/>
  </r>
  <r>
    <n v="566"/>
    <d v="2011-01-25T00:00:00"/>
    <n v="1"/>
    <n v="0"/>
    <n v="1"/>
    <n v="18"/>
    <b v="0"/>
    <x v="3"/>
    <x v="1"/>
    <n v="0.3"/>
  </r>
  <r>
    <n v="567"/>
    <d v="2011-01-25T00:00:00"/>
    <n v="1"/>
    <n v="0"/>
    <n v="1"/>
    <n v="19"/>
    <b v="0"/>
    <x v="3"/>
    <x v="1"/>
    <n v="0.26"/>
  </r>
  <r>
    <n v="568"/>
    <d v="2011-01-25T00:00:00"/>
    <n v="1"/>
    <n v="0"/>
    <n v="1"/>
    <n v="20"/>
    <b v="0"/>
    <x v="3"/>
    <x v="0"/>
    <n v="0.24"/>
  </r>
  <r>
    <n v="569"/>
    <d v="2011-01-25T00:00:00"/>
    <n v="1"/>
    <n v="0"/>
    <n v="1"/>
    <n v="21"/>
    <b v="0"/>
    <x v="3"/>
    <x v="0"/>
    <n v="0.24"/>
  </r>
  <r>
    <n v="570"/>
    <d v="2011-01-25T00:00:00"/>
    <n v="1"/>
    <n v="0"/>
    <n v="1"/>
    <n v="22"/>
    <b v="0"/>
    <x v="3"/>
    <x v="0"/>
    <n v="0.22"/>
  </r>
  <r>
    <n v="571"/>
    <d v="2011-01-25T00:00:00"/>
    <n v="1"/>
    <n v="0"/>
    <n v="1"/>
    <n v="23"/>
    <b v="0"/>
    <x v="3"/>
    <x v="1"/>
    <n v="0.22"/>
  </r>
  <r>
    <n v="572"/>
    <d v="2011-01-26T00:00:00"/>
    <n v="1"/>
    <n v="0"/>
    <n v="1"/>
    <n v="0"/>
    <b v="0"/>
    <x v="4"/>
    <x v="1"/>
    <n v="0.22"/>
  </r>
  <r>
    <n v="573"/>
    <d v="2011-01-26T00:00:00"/>
    <n v="1"/>
    <n v="0"/>
    <n v="1"/>
    <n v="1"/>
    <b v="0"/>
    <x v="4"/>
    <x v="1"/>
    <n v="0.24"/>
  </r>
  <r>
    <n v="574"/>
    <d v="2011-01-26T00:00:00"/>
    <n v="1"/>
    <n v="0"/>
    <n v="1"/>
    <n v="2"/>
    <b v="0"/>
    <x v="4"/>
    <x v="2"/>
    <n v="0.22"/>
  </r>
  <r>
    <n v="575"/>
    <d v="2011-01-26T00:00:00"/>
    <n v="1"/>
    <n v="0"/>
    <n v="1"/>
    <n v="5"/>
    <b v="0"/>
    <x v="4"/>
    <x v="2"/>
    <n v="0.2"/>
  </r>
  <r>
    <n v="576"/>
    <d v="2011-01-26T00:00:00"/>
    <n v="1"/>
    <n v="0"/>
    <n v="1"/>
    <n v="6"/>
    <b v="0"/>
    <x v="4"/>
    <x v="2"/>
    <n v="0.2"/>
  </r>
  <r>
    <n v="577"/>
    <d v="2011-01-26T00:00:00"/>
    <n v="1"/>
    <n v="0"/>
    <n v="1"/>
    <n v="7"/>
    <b v="0"/>
    <x v="4"/>
    <x v="2"/>
    <n v="0.22"/>
  </r>
  <r>
    <n v="578"/>
    <d v="2011-01-26T00:00:00"/>
    <n v="1"/>
    <n v="0"/>
    <n v="1"/>
    <n v="8"/>
    <b v="0"/>
    <x v="4"/>
    <x v="2"/>
    <n v="0.22"/>
  </r>
  <r>
    <n v="579"/>
    <d v="2011-01-26T00:00:00"/>
    <n v="1"/>
    <n v="0"/>
    <n v="1"/>
    <n v="9"/>
    <b v="0"/>
    <x v="4"/>
    <x v="2"/>
    <n v="0.22"/>
  </r>
  <r>
    <n v="580"/>
    <d v="2011-01-26T00:00:00"/>
    <n v="1"/>
    <n v="0"/>
    <n v="1"/>
    <n v="10"/>
    <b v="0"/>
    <x v="4"/>
    <x v="2"/>
    <n v="0.22"/>
  </r>
  <r>
    <n v="581"/>
    <d v="2011-01-26T00:00:00"/>
    <n v="1"/>
    <n v="0"/>
    <n v="1"/>
    <n v="11"/>
    <b v="0"/>
    <x v="4"/>
    <x v="2"/>
    <n v="0.22"/>
  </r>
  <r>
    <n v="582"/>
    <d v="2011-01-26T00:00:00"/>
    <n v="1"/>
    <n v="0"/>
    <n v="1"/>
    <n v="12"/>
    <b v="0"/>
    <x v="4"/>
    <x v="2"/>
    <n v="0.22"/>
  </r>
  <r>
    <n v="583"/>
    <d v="2011-01-26T00:00:00"/>
    <n v="1"/>
    <n v="0"/>
    <n v="1"/>
    <n v="13"/>
    <b v="0"/>
    <x v="4"/>
    <x v="2"/>
    <n v="0.22"/>
  </r>
  <r>
    <n v="584"/>
    <d v="2011-01-26T00:00:00"/>
    <n v="1"/>
    <n v="0"/>
    <n v="1"/>
    <n v="14"/>
    <b v="0"/>
    <x v="4"/>
    <x v="2"/>
    <n v="0.22"/>
  </r>
  <r>
    <n v="585"/>
    <d v="2011-01-26T00:00:00"/>
    <n v="1"/>
    <n v="0"/>
    <n v="1"/>
    <n v="15"/>
    <b v="0"/>
    <x v="4"/>
    <x v="2"/>
    <n v="0.22"/>
  </r>
  <r>
    <n v="586"/>
    <d v="2011-01-26T00:00:00"/>
    <n v="1"/>
    <n v="0"/>
    <n v="1"/>
    <n v="16"/>
    <b v="0"/>
    <x v="4"/>
    <x v="3"/>
    <n v="0.22"/>
  </r>
  <r>
    <n v="587"/>
    <d v="2011-01-26T00:00:00"/>
    <n v="1"/>
    <n v="0"/>
    <n v="1"/>
    <n v="17"/>
    <b v="0"/>
    <x v="4"/>
    <x v="2"/>
    <n v="0.2"/>
  </r>
  <r>
    <n v="588"/>
    <d v="2011-01-27T00:00:00"/>
    <n v="1"/>
    <n v="0"/>
    <n v="1"/>
    <n v="16"/>
    <b v="0"/>
    <x v="5"/>
    <x v="0"/>
    <n v="0.22"/>
  </r>
  <r>
    <n v="589"/>
    <d v="2011-01-27T00:00:00"/>
    <n v="1"/>
    <n v="0"/>
    <n v="1"/>
    <n v="17"/>
    <b v="0"/>
    <x v="5"/>
    <x v="0"/>
    <n v="0.22"/>
  </r>
  <r>
    <n v="590"/>
    <d v="2011-01-27T00:00:00"/>
    <n v="1"/>
    <n v="0"/>
    <n v="1"/>
    <n v="18"/>
    <b v="0"/>
    <x v="5"/>
    <x v="0"/>
    <n v="0.2"/>
  </r>
  <r>
    <n v="591"/>
    <d v="2011-01-27T00:00:00"/>
    <n v="1"/>
    <n v="0"/>
    <n v="1"/>
    <n v="19"/>
    <b v="0"/>
    <x v="5"/>
    <x v="0"/>
    <n v="0.2"/>
  </r>
  <r>
    <n v="592"/>
    <d v="2011-01-27T00:00:00"/>
    <n v="1"/>
    <n v="0"/>
    <n v="1"/>
    <n v="20"/>
    <b v="0"/>
    <x v="5"/>
    <x v="0"/>
    <n v="0.18"/>
  </r>
  <r>
    <n v="593"/>
    <d v="2011-01-27T00:00:00"/>
    <n v="1"/>
    <n v="0"/>
    <n v="1"/>
    <n v="21"/>
    <b v="0"/>
    <x v="5"/>
    <x v="0"/>
    <n v="0.18"/>
  </r>
  <r>
    <n v="594"/>
    <d v="2011-01-27T00:00:00"/>
    <n v="1"/>
    <n v="0"/>
    <n v="1"/>
    <n v="22"/>
    <b v="0"/>
    <x v="5"/>
    <x v="0"/>
    <n v="0.18"/>
  </r>
  <r>
    <n v="595"/>
    <d v="2011-01-27T00:00:00"/>
    <n v="1"/>
    <n v="0"/>
    <n v="1"/>
    <n v="23"/>
    <b v="0"/>
    <x v="5"/>
    <x v="0"/>
    <n v="0.18"/>
  </r>
  <r>
    <n v="596"/>
    <d v="2011-01-28T00:00:00"/>
    <n v="1"/>
    <n v="0"/>
    <n v="1"/>
    <n v="0"/>
    <b v="0"/>
    <x v="6"/>
    <x v="1"/>
    <n v="0.2"/>
  </r>
  <r>
    <n v="597"/>
    <d v="2011-01-28T00:00:00"/>
    <n v="1"/>
    <n v="0"/>
    <n v="1"/>
    <n v="1"/>
    <b v="0"/>
    <x v="6"/>
    <x v="1"/>
    <n v="0.2"/>
  </r>
  <r>
    <n v="598"/>
    <d v="2011-01-28T00:00:00"/>
    <n v="1"/>
    <n v="0"/>
    <n v="1"/>
    <n v="2"/>
    <b v="0"/>
    <x v="6"/>
    <x v="1"/>
    <n v="0.2"/>
  </r>
  <r>
    <n v="599"/>
    <d v="2011-01-28T00:00:00"/>
    <n v="1"/>
    <n v="0"/>
    <n v="1"/>
    <n v="3"/>
    <b v="0"/>
    <x v="6"/>
    <x v="1"/>
    <n v="0.2"/>
  </r>
  <r>
    <n v="600"/>
    <d v="2011-01-28T00:00:00"/>
    <n v="1"/>
    <n v="0"/>
    <n v="1"/>
    <n v="5"/>
    <b v="0"/>
    <x v="6"/>
    <x v="1"/>
    <n v="0.18"/>
  </r>
  <r>
    <n v="601"/>
    <d v="2011-01-28T00:00:00"/>
    <n v="1"/>
    <n v="0"/>
    <n v="1"/>
    <n v="6"/>
    <b v="0"/>
    <x v="6"/>
    <x v="1"/>
    <n v="0.18"/>
  </r>
  <r>
    <n v="602"/>
    <d v="2011-01-28T00:00:00"/>
    <n v="1"/>
    <n v="0"/>
    <n v="1"/>
    <n v="7"/>
    <b v="0"/>
    <x v="6"/>
    <x v="1"/>
    <n v="0.16"/>
  </r>
  <r>
    <n v="603"/>
    <d v="2011-01-28T00:00:00"/>
    <n v="1"/>
    <n v="0"/>
    <n v="1"/>
    <n v="8"/>
    <b v="0"/>
    <x v="6"/>
    <x v="1"/>
    <n v="0.16"/>
  </r>
  <r>
    <n v="604"/>
    <d v="2011-01-28T00:00:00"/>
    <n v="1"/>
    <n v="0"/>
    <n v="1"/>
    <n v="9"/>
    <b v="0"/>
    <x v="6"/>
    <x v="2"/>
    <n v="0.18"/>
  </r>
  <r>
    <n v="605"/>
    <d v="2011-01-28T00:00:00"/>
    <n v="1"/>
    <n v="0"/>
    <n v="1"/>
    <n v="10"/>
    <b v="0"/>
    <x v="6"/>
    <x v="2"/>
    <n v="0.18"/>
  </r>
  <r>
    <n v="606"/>
    <d v="2011-01-28T00:00:00"/>
    <n v="1"/>
    <n v="0"/>
    <n v="1"/>
    <n v="11"/>
    <b v="0"/>
    <x v="6"/>
    <x v="2"/>
    <n v="0.18"/>
  </r>
  <r>
    <n v="607"/>
    <d v="2011-01-28T00:00:00"/>
    <n v="1"/>
    <n v="0"/>
    <n v="1"/>
    <n v="12"/>
    <b v="0"/>
    <x v="6"/>
    <x v="2"/>
    <n v="0.18"/>
  </r>
  <r>
    <n v="608"/>
    <d v="2011-01-28T00:00:00"/>
    <n v="1"/>
    <n v="0"/>
    <n v="1"/>
    <n v="13"/>
    <b v="0"/>
    <x v="6"/>
    <x v="2"/>
    <n v="0.18"/>
  </r>
  <r>
    <n v="609"/>
    <d v="2011-01-28T00:00:00"/>
    <n v="1"/>
    <n v="0"/>
    <n v="1"/>
    <n v="14"/>
    <b v="0"/>
    <x v="6"/>
    <x v="2"/>
    <n v="0.22"/>
  </r>
  <r>
    <n v="610"/>
    <d v="2011-01-28T00:00:00"/>
    <n v="1"/>
    <n v="0"/>
    <n v="1"/>
    <n v="15"/>
    <b v="0"/>
    <x v="6"/>
    <x v="1"/>
    <n v="0.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x v="0"/>
    <n v="6"/>
    <n v="1"/>
    <n v="0.24"/>
  </r>
  <r>
    <n v="2"/>
    <d v="2011-01-01T00:00:00"/>
    <n v="1"/>
    <n v="0"/>
    <n v="1"/>
    <n v="1"/>
    <x v="0"/>
    <n v="6"/>
    <n v="1"/>
    <n v="0.22"/>
  </r>
  <r>
    <n v="3"/>
    <d v="2011-01-01T00:00:00"/>
    <n v="1"/>
    <n v="0"/>
    <n v="1"/>
    <n v="2"/>
    <x v="0"/>
    <n v="6"/>
    <n v="1"/>
    <n v="0.22"/>
  </r>
  <r>
    <n v="4"/>
    <d v="2011-01-01T00:00:00"/>
    <n v="1"/>
    <n v="0"/>
    <n v="1"/>
    <n v="3"/>
    <x v="0"/>
    <n v="6"/>
    <n v="1"/>
    <n v="0.24"/>
  </r>
  <r>
    <n v="5"/>
    <d v="2011-01-01T00:00:00"/>
    <n v="1"/>
    <n v="0"/>
    <n v="1"/>
    <n v="4"/>
    <x v="0"/>
    <n v="6"/>
    <n v="1"/>
    <n v="0.24"/>
  </r>
  <r>
    <n v="6"/>
    <d v="2011-01-01T00:00:00"/>
    <n v="1"/>
    <n v="0"/>
    <n v="1"/>
    <n v="5"/>
    <x v="0"/>
    <n v="6"/>
    <n v="2"/>
    <n v="0.24"/>
  </r>
  <r>
    <n v="7"/>
    <d v="2011-01-01T00:00:00"/>
    <n v="1"/>
    <n v="0"/>
    <n v="1"/>
    <n v="6"/>
    <x v="0"/>
    <n v="6"/>
    <n v="1"/>
    <n v="0.22"/>
  </r>
  <r>
    <n v="8"/>
    <d v="2011-01-01T00:00:00"/>
    <n v="1"/>
    <n v="0"/>
    <n v="1"/>
    <n v="7"/>
    <x v="0"/>
    <n v="6"/>
    <n v="1"/>
    <n v="0.2"/>
  </r>
  <r>
    <n v="9"/>
    <d v="2011-01-01T00:00:00"/>
    <n v="1"/>
    <n v="0"/>
    <n v="1"/>
    <n v="8"/>
    <x v="0"/>
    <n v="6"/>
    <n v="1"/>
    <n v="0.24"/>
  </r>
  <r>
    <n v="10"/>
    <d v="2011-01-01T00:00:00"/>
    <n v="1"/>
    <n v="0"/>
    <n v="1"/>
    <n v="9"/>
    <x v="0"/>
    <n v="6"/>
    <n v="1"/>
    <n v="0.32"/>
  </r>
  <r>
    <n v="11"/>
    <d v="2011-01-01T00:00:00"/>
    <n v="1"/>
    <n v="0"/>
    <n v="1"/>
    <n v="10"/>
    <x v="0"/>
    <n v="6"/>
    <n v="1"/>
    <n v="0.38"/>
  </r>
  <r>
    <n v="12"/>
    <d v="2011-01-01T00:00:00"/>
    <n v="1"/>
    <n v="0"/>
    <n v="1"/>
    <n v="11"/>
    <x v="0"/>
    <n v="6"/>
    <n v="1"/>
    <n v="0.36"/>
  </r>
  <r>
    <n v="13"/>
    <d v="2011-01-01T00:00:00"/>
    <n v="1"/>
    <n v="0"/>
    <n v="1"/>
    <n v="12"/>
    <x v="0"/>
    <n v="6"/>
    <n v="1"/>
    <n v="0.42"/>
  </r>
  <r>
    <n v="14"/>
    <d v="2011-01-01T00:00:00"/>
    <n v="1"/>
    <n v="0"/>
    <n v="1"/>
    <n v="13"/>
    <x v="0"/>
    <n v="6"/>
    <n v="2"/>
    <n v="0.46"/>
  </r>
  <r>
    <n v="15"/>
    <d v="2011-01-01T00:00:00"/>
    <n v="1"/>
    <n v="0"/>
    <n v="1"/>
    <n v="14"/>
    <x v="0"/>
    <n v="6"/>
    <n v="2"/>
    <n v="0.46"/>
  </r>
  <r>
    <n v="16"/>
    <d v="2011-01-01T00:00:00"/>
    <n v="1"/>
    <n v="0"/>
    <n v="1"/>
    <n v="15"/>
    <x v="0"/>
    <n v="6"/>
    <n v="2"/>
    <n v="0.44"/>
  </r>
  <r>
    <n v="17"/>
    <d v="2011-01-01T00:00:00"/>
    <n v="1"/>
    <n v="0"/>
    <n v="1"/>
    <n v="16"/>
    <x v="0"/>
    <n v="6"/>
    <n v="2"/>
    <n v="0.42"/>
  </r>
  <r>
    <n v="18"/>
    <d v="2011-01-01T00:00:00"/>
    <n v="1"/>
    <n v="0"/>
    <n v="1"/>
    <n v="17"/>
    <x v="0"/>
    <n v="6"/>
    <n v="2"/>
    <n v="0.44"/>
  </r>
  <r>
    <n v="19"/>
    <d v="2011-01-01T00:00:00"/>
    <n v="1"/>
    <n v="0"/>
    <n v="1"/>
    <n v="18"/>
    <x v="0"/>
    <n v="6"/>
    <n v="3"/>
    <n v="0.42"/>
  </r>
  <r>
    <n v="20"/>
    <d v="2011-01-01T00:00:00"/>
    <n v="1"/>
    <n v="0"/>
    <n v="1"/>
    <n v="19"/>
    <x v="0"/>
    <n v="6"/>
    <n v="3"/>
    <n v="0.42"/>
  </r>
  <r>
    <n v="21"/>
    <d v="2011-01-01T00:00:00"/>
    <n v="1"/>
    <n v="0"/>
    <n v="1"/>
    <n v="20"/>
    <x v="0"/>
    <n v="6"/>
    <n v="2"/>
    <n v="0.4"/>
  </r>
  <r>
    <n v="22"/>
    <d v="2011-01-01T00:00:00"/>
    <n v="1"/>
    <n v="0"/>
    <n v="1"/>
    <n v="21"/>
    <x v="0"/>
    <n v="6"/>
    <n v="2"/>
    <n v="0.4"/>
  </r>
  <r>
    <n v="23"/>
    <d v="2011-01-01T00:00:00"/>
    <n v="1"/>
    <n v="0"/>
    <n v="1"/>
    <n v="22"/>
    <x v="0"/>
    <n v="6"/>
    <n v="2"/>
    <n v="0.4"/>
  </r>
  <r>
    <n v="24"/>
    <d v="2011-01-01T00:00:00"/>
    <n v="1"/>
    <n v="0"/>
    <n v="1"/>
    <n v="23"/>
    <x v="0"/>
    <n v="6"/>
    <n v="2"/>
    <n v="0.46"/>
  </r>
  <r>
    <n v="25"/>
    <d v="2011-01-02T00:00:00"/>
    <n v="1"/>
    <n v="0"/>
    <n v="1"/>
    <n v="0"/>
    <x v="0"/>
    <n v="0"/>
    <n v="2"/>
    <n v="0.46"/>
  </r>
  <r>
    <n v="26"/>
    <d v="2011-01-02T00:00:00"/>
    <n v="1"/>
    <n v="0"/>
    <n v="1"/>
    <n v="1"/>
    <x v="0"/>
    <n v="0"/>
    <n v="2"/>
    <n v="0.44"/>
  </r>
  <r>
    <n v="27"/>
    <d v="2011-01-02T00:00:00"/>
    <n v="1"/>
    <n v="0"/>
    <n v="1"/>
    <n v="2"/>
    <x v="0"/>
    <n v="0"/>
    <n v="2"/>
    <n v="0.42"/>
  </r>
  <r>
    <n v="28"/>
    <d v="2011-01-02T00:00:00"/>
    <n v="1"/>
    <n v="0"/>
    <n v="1"/>
    <n v="3"/>
    <x v="0"/>
    <n v="0"/>
    <n v="2"/>
    <n v="0.46"/>
  </r>
  <r>
    <n v="29"/>
    <d v="2011-01-02T00:00:00"/>
    <n v="1"/>
    <n v="0"/>
    <n v="1"/>
    <n v="4"/>
    <x v="0"/>
    <n v="0"/>
    <n v="2"/>
    <n v="0.46"/>
  </r>
  <r>
    <n v="30"/>
    <d v="2011-01-02T00:00:00"/>
    <n v="1"/>
    <n v="0"/>
    <n v="1"/>
    <n v="6"/>
    <x v="0"/>
    <n v="0"/>
    <n v="3"/>
    <n v="0.42"/>
  </r>
  <r>
    <n v="31"/>
    <d v="2011-01-02T00:00:00"/>
    <n v="1"/>
    <n v="0"/>
    <n v="1"/>
    <n v="7"/>
    <x v="0"/>
    <n v="0"/>
    <n v="2"/>
    <n v="0.4"/>
  </r>
  <r>
    <n v="32"/>
    <d v="2011-01-02T00:00:00"/>
    <n v="1"/>
    <n v="0"/>
    <n v="1"/>
    <n v="8"/>
    <x v="0"/>
    <n v="0"/>
    <n v="3"/>
    <n v="0.4"/>
  </r>
  <r>
    <n v="33"/>
    <d v="2011-01-02T00:00:00"/>
    <n v="1"/>
    <n v="0"/>
    <n v="1"/>
    <n v="9"/>
    <x v="0"/>
    <n v="0"/>
    <n v="2"/>
    <n v="0.38"/>
  </r>
  <r>
    <n v="34"/>
    <d v="2011-01-02T00:00:00"/>
    <n v="1"/>
    <n v="0"/>
    <n v="1"/>
    <n v="10"/>
    <x v="0"/>
    <n v="0"/>
    <n v="2"/>
    <n v="0.36"/>
  </r>
  <r>
    <n v="35"/>
    <d v="2011-01-02T00:00:00"/>
    <n v="1"/>
    <n v="0"/>
    <n v="1"/>
    <n v="11"/>
    <x v="0"/>
    <n v="0"/>
    <n v="2"/>
    <n v="0.36"/>
  </r>
  <r>
    <n v="36"/>
    <d v="2011-01-02T00:00:00"/>
    <n v="1"/>
    <n v="0"/>
    <n v="1"/>
    <n v="12"/>
    <x v="0"/>
    <n v="0"/>
    <n v="2"/>
    <n v="0.36"/>
  </r>
  <r>
    <n v="37"/>
    <d v="2011-01-02T00:00:00"/>
    <n v="1"/>
    <n v="0"/>
    <n v="1"/>
    <n v="13"/>
    <x v="0"/>
    <n v="0"/>
    <n v="2"/>
    <n v="0.36"/>
  </r>
  <r>
    <n v="38"/>
    <d v="2011-01-02T00:00:00"/>
    <n v="1"/>
    <n v="0"/>
    <n v="1"/>
    <n v="14"/>
    <x v="0"/>
    <n v="0"/>
    <n v="3"/>
    <n v="0.36"/>
  </r>
  <r>
    <n v="39"/>
    <d v="2011-01-02T00:00:00"/>
    <n v="1"/>
    <n v="0"/>
    <n v="1"/>
    <n v="15"/>
    <x v="0"/>
    <n v="0"/>
    <n v="3"/>
    <n v="0.34"/>
  </r>
  <r>
    <n v="40"/>
    <d v="2011-01-02T00:00:00"/>
    <n v="1"/>
    <n v="0"/>
    <n v="1"/>
    <n v="16"/>
    <x v="0"/>
    <n v="0"/>
    <n v="3"/>
    <n v="0.34"/>
  </r>
  <r>
    <n v="41"/>
    <d v="2011-01-02T00:00:00"/>
    <n v="1"/>
    <n v="0"/>
    <n v="1"/>
    <n v="17"/>
    <x v="0"/>
    <n v="0"/>
    <n v="1"/>
    <n v="0.34"/>
  </r>
  <r>
    <n v="42"/>
    <d v="2011-01-02T00:00:00"/>
    <n v="1"/>
    <n v="0"/>
    <n v="1"/>
    <n v="18"/>
    <x v="0"/>
    <n v="0"/>
    <n v="2"/>
    <n v="0.36"/>
  </r>
  <r>
    <n v="43"/>
    <d v="2011-01-02T00:00:00"/>
    <n v="1"/>
    <n v="0"/>
    <n v="1"/>
    <n v="19"/>
    <x v="0"/>
    <n v="0"/>
    <n v="1"/>
    <n v="0.32"/>
  </r>
  <r>
    <n v="44"/>
    <d v="2011-01-02T00:00:00"/>
    <n v="1"/>
    <n v="0"/>
    <n v="1"/>
    <n v="20"/>
    <x v="0"/>
    <n v="0"/>
    <n v="1"/>
    <n v="0.3"/>
  </r>
  <r>
    <n v="45"/>
    <d v="2011-01-02T00:00:00"/>
    <n v="1"/>
    <n v="0"/>
    <n v="1"/>
    <n v="21"/>
    <x v="0"/>
    <n v="0"/>
    <n v="1"/>
    <n v="0.26"/>
  </r>
  <r>
    <n v="46"/>
    <d v="2011-01-02T00:00:00"/>
    <n v="1"/>
    <n v="0"/>
    <n v="1"/>
    <n v="22"/>
    <x v="0"/>
    <n v="0"/>
    <n v="1"/>
    <n v="0.24"/>
  </r>
  <r>
    <n v="47"/>
    <d v="2011-01-02T00:00:00"/>
    <n v="1"/>
    <n v="0"/>
    <n v="1"/>
    <n v="23"/>
    <x v="0"/>
    <n v="0"/>
    <n v="1"/>
    <n v="0.22"/>
  </r>
  <r>
    <n v="48"/>
    <d v="2011-01-03T00:00:00"/>
    <n v="1"/>
    <n v="0"/>
    <n v="1"/>
    <n v="0"/>
    <x v="0"/>
    <n v="1"/>
    <n v="1"/>
    <n v="0.22"/>
  </r>
  <r>
    <n v="49"/>
    <d v="2011-01-03T00:00:00"/>
    <n v="1"/>
    <n v="0"/>
    <n v="1"/>
    <n v="1"/>
    <x v="0"/>
    <n v="1"/>
    <n v="1"/>
    <n v="0.2"/>
  </r>
  <r>
    <n v="50"/>
    <d v="2011-01-03T00:00:00"/>
    <n v="1"/>
    <n v="0"/>
    <n v="1"/>
    <n v="4"/>
    <x v="0"/>
    <n v="1"/>
    <n v="1"/>
    <n v="0.16"/>
  </r>
  <r>
    <n v="51"/>
    <d v="2011-01-03T00:00:00"/>
    <n v="1"/>
    <n v="0"/>
    <n v="1"/>
    <n v="5"/>
    <x v="0"/>
    <n v="1"/>
    <n v="1"/>
    <n v="0.16"/>
  </r>
  <r>
    <n v="52"/>
    <d v="2011-01-03T00:00:00"/>
    <n v="1"/>
    <n v="0"/>
    <n v="1"/>
    <n v="6"/>
    <x v="0"/>
    <n v="1"/>
    <n v="1"/>
    <n v="0.14000000000000001"/>
  </r>
  <r>
    <n v="53"/>
    <d v="2011-01-03T00:00:00"/>
    <n v="1"/>
    <n v="0"/>
    <n v="1"/>
    <n v="7"/>
    <x v="0"/>
    <n v="1"/>
    <n v="1"/>
    <n v="0.14000000000000001"/>
  </r>
  <r>
    <n v="54"/>
    <d v="2011-01-03T00:00:00"/>
    <n v="1"/>
    <n v="0"/>
    <n v="1"/>
    <n v="8"/>
    <x v="0"/>
    <n v="1"/>
    <n v="1"/>
    <n v="0.14000000000000001"/>
  </r>
  <r>
    <n v="55"/>
    <d v="2011-01-03T00:00:00"/>
    <n v="1"/>
    <n v="0"/>
    <n v="1"/>
    <n v="9"/>
    <x v="0"/>
    <n v="1"/>
    <n v="1"/>
    <n v="0.16"/>
  </r>
  <r>
    <n v="56"/>
    <d v="2011-01-03T00:00:00"/>
    <n v="1"/>
    <n v="0"/>
    <n v="1"/>
    <n v="10"/>
    <x v="0"/>
    <n v="1"/>
    <n v="1"/>
    <n v="0.18"/>
  </r>
  <r>
    <n v="57"/>
    <d v="2011-01-03T00:00:00"/>
    <n v="1"/>
    <n v="0"/>
    <n v="1"/>
    <n v="11"/>
    <x v="0"/>
    <n v="1"/>
    <n v="1"/>
    <n v="0.2"/>
  </r>
  <r>
    <n v="58"/>
    <d v="2011-01-03T00:00:00"/>
    <n v="1"/>
    <n v="0"/>
    <n v="1"/>
    <n v="12"/>
    <x v="0"/>
    <n v="1"/>
    <n v="1"/>
    <n v="0.22"/>
  </r>
  <r>
    <n v="59"/>
    <d v="2011-01-03T00:00:00"/>
    <n v="1"/>
    <n v="0"/>
    <n v="1"/>
    <n v="13"/>
    <x v="0"/>
    <n v="1"/>
    <n v="1"/>
    <n v="0.24"/>
  </r>
  <r>
    <n v="60"/>
    <d v="2011-01-03T00:00:00"/>
    <n v="1"/>
    <n v="0"/>
    <n v="1"/>
    <n v="14"/>
    <x v="0"/>
    <n v="1"/>
    <n v="1"/>
    <n v="0.26"/>
  </r>
  <r>
    <n v="61"/>
    <d v="2011-01-03T00:00:00"/>
    <n v="1"/>
    <n v="0"/>
    <n v="1"/>
    <n v="15"/>
    <x v="0"/>
    <n v="1"/>
    <n v="1"/>
    <n v="0.26"/>
  </r>
  <r>
    <n v="62"/>
    <d v="2011-01-03T00:00:00"/>
    <n v="1"/>
    <n v="0"/>
    <n v="1"/>
    <n v="16"/>
    <x v="0"/>
    <n v="1"/>
    <n v="1"/>
    <n v="0.26"/>
  </r>
  <r>
    <n v="63"/>
    <d v="2011-01-03T00:00:00"/>
    <n v="1"/>
    <n v="0"/>
    <n v="1"/>
    <n v="17"/>
    <x v="0"/>
    <n v="1"/>
    <n v="1"/>
    <n v="0.24"/>
  </r>
  <r>
    <n v="64"/>
    <d v="2011-01-03T00:00:00"/>
    <n v="1"/>
    <n v="0"/>
    <n v="1"/>
    <n v="18"/>
    <x v="0"/>
    <n v="1"/>
    <n v="1"/>
    <n v="0.24"/>
  </r>
  <r>
    <n v="65"/>
    <d v="2011-01-03T00:00:00"/>
    <n v="1"/>
    <n v="0"/>
    <n v="1"/>
    <n v="19"/>
    <x v="0"/>
    <n v="1"/>
    <n v="1"/>
    <n v="0.2"/>
  </r>
  <r>
    <n v="66"/>
    <d v="2011-01-03T00:00:00"/>
    <n v="1"/>
    <n v="0"/>
    <n v="1"/>
    <n v="20"/>
    <x v="0"/>
    <n v="1"/>
    <n v="1"/>
    <n v="0.2"/>
  </r>
  <r>
    <n v="67"/>
    <d v="2011-01-03T00:00:00"/>
    <n v="1"/>
    <n v="0"/>
    <n v="1"/>
    <n v="21"/>
    <x v="0"/>
    <n v="1"/>
    <n v="1"/>
    <n v="0.18"/>
  </r>
  <r>
    <n v="68"/>
    <d v="2011-01-03T00:00:00"/>
    <n v="1"/>
    <n v="0"/>
    <n v="1"/>
    <n v="22"/>
    <x v="0"/>
    <n v="1"/>
    <n v="1"/>
    <n v="0.14000000000000001"/>
  </r>
  <r>
    <n v="69"/>
    <d v="2011-01-03T00:00:00"/>
    <n v="1"/>
    <n v="0"/>
    <n v="1"/>
    <n v="23"/>
    <x v="0"/>
    <n v="1"/>
    <n v="1"/>
    <n v="0.18"/>
  </r>
  <r>
    <n v="70"/>
    <d v="2011-01-04T00:00:00"/>
    <n v="1"/>
    <n v="0"/>
    <n v="1"/>
    <n v="0"/>
    <x v="0"/>
    <n v="2"/>
    <n v="1"/>
    <n v="0.16"/>
  </r>
  <r>
    <n v="71"/>
    <d v="2011-01-04T00:00:00"/>
    <n v="1"/>
    <n v="0"/>
    <n v="1"/>
    <n v="1"/>
    <x v="0"/>
    <n v="2"/>
    <n v="1"/>
    <n v="0.16"/>
  </r>
  <r>
    <n v="72"/>
    <d v="2011-01-04T00:00:00"/>
    <n v="1"/>
    <n v="0"/>
    <n v="1"/>
    <n v="2"/>
    <x v="0"/>
    <n v="2"/>
    <n v="1"/>
    <n v="0.14000000000000001"/>
  </r>
  <r>
    <n v="73"/>
    <d v="2011-01-04T00:00:00"/>
    <n v="1"/>
    <n v="0"/>
    <n v="1"/>
    <n v="4"/>
    <x v="0"/>
    <n v="2"/>
    <n v="1"/>
    <n v="0.14000000000000001"/>
  </r>
  <r>
    <n v="74"/>
    <d v="2011-01-04T00:00:00"/>
    <n v="1"/>
    <n v="0"/>
    <n v="1"/>
    <n v="5"/>
    <x v="0"/>
    <n v="2"/>
    <n v="1"/>
    <n v="0.12"/>
  </r>
  <r>
    <n v="75"/>
    <d v="2011-01-04T00:00:00"/>
    <n v="1"/>
    <n v="0"/>
    <n v="1"/>
    <n v="6"/>
    <x v="0"/>
    <n v="2"/>
    <n v="1"/>
    <n v="0.12"/>
  </r>
  <r>
    <n v="76"/>
    <d v="2011-01-04T00:00:00"/>
    <n v="1"/>
    <n v="0"/>
    <n v="1"/>
    <n v="7"/>
    <x v="0"/>
    <n v="2"/>
    <n v="1"/>
    <n v="0.12"/>
  </r>
  <r>
    <n v="77"/>
    <d v="2011-01-04T00:00:00"/>
    <n v="1"/>
    <n v="0"/>
    <n v="1"/>
    <n v="8"/>
    <x v="0"/>
    <n v="2"/>
    <n v="1"/>
    <n v="0.14000000000000001"/>
  </r>
  <r>
    <n v="78"/>
    <d v="2011-01-04T00:00:00"/>
    <n v="1"/>
    <n v="0"/>
    <n v="1"/>
    <n v="9"/>
    <x v="0"/>
    <n v="2"/>
    <n v="1"/>
    <n v="0.16"/>
  </r>
  <r>
    <n v="79"/>
    <d v="2011-01-04T00:00:00"/>
    <n v="1"/>
    <n v="0"/>
    <n v="1"/>
    <n v="10"/>
    <x v="0"/>
    <n v="2"/>
    <n v="2"/>
    <n v="0.16"/>
  </r>
  <r>
    <n v="80"/>
    <d v="2011-01-04T00:00:00"/>
    <n v="1"/>
    <n v="0"/>
    <n v="1"/>
    <n v="11"/>
    <x v="0"/>
    <n v="2"/>
    <n v="1"/>
    <n v="0.22"/>
  </r>
  <r>
    <n v="81"/>
    <d v="2011-01-04T00:00:00"/>
    <n v="1"/>
    <n v="0"/>
    <n v="1"/>
    <n v="12"/>
    <x v="0"/>
    <n v="2"/>
    <n v="1"/>
    <n v="0.22"/>
  </r>
  <r>
    <n v="82"/>
    <d v="2011-01-04T00:00:00"/>
    <n v="1"/>
    <n v="0"/>
    <n v="1"/>
    <n v="13"/>
    <x v="0"/>
    <n v="2"/>
    <n v="1"/>
    <n v="0.24"/>
  </r>
  <r>
    <n v="83"/>
    <d v="2011-01-04T00:00:00"/>
    <n v="1"/>
    <n v="0"/>
    <n v="1"/>
    <n v="14"/>
    <x v="0"/>
    <n v="2"/>
    <n v="1"/>
    <n v="0.26"/>
  </r>
  <r>
    <n v="84"/>
    <d v="2011-01-04T00:00:00"/>
    <n v="1"/>
    <n v="0"/>
    <n v="1"/>
    <n v="15"/>
    <x v="0"/>
    <n v="2"/>
    <n v="1"/>
    <n v="0.28000000000000003"/>
  </r>
  <r>
    <n v="85"/>
    <d v="2011-01-04T00:00:00"/>
    <n v="1"/>
    <n v="0"/>
    <n v="1"/>
    <n v="16"/>
    <x v="0"/>
    <n v="2"/>
    <n v="1"/>
    <n v="0.3"/>
  </r>
  <r>
    <n v="86"/>
    <d v="2011-01-04T00:00:00"/>
    <n v="1"/>
    <n v="0"/>
    <n v="1"/>
    <n v="17"/>
    <x v="0"/>
    <n v="2"/>
    <n v="1"/>
    <n v="0.28000000000000003"/>
  </r>
  <r>
    <n v="87"/>
    <d v="2011-01-04T00:00:00"/>
    <n v="1"/>
    <n v="0"/>
    <n v="1"/>
    <n v="18"/>
    <x v="0"/>
    <n v="2"/>
    <n v="1"/>
    <n v="0.26"/>
  </r>
  <r>
    <n v="88"/>
    <d v="2011-01-04T00:00:00"/>
    <n v="1"/>
    <n v="0"/>
    <n v="1"/>
    <n v="19"/>
    <x v="0"/>
    <n v="2"/>
    <n v="1"/>
    <n v="0.24"/>
  </r>
  <r>
    <n v="89"/>
    <d v="2011-01-04T00:00:00"/>
    <n v="1"/>
    <n v="0"/>
    <n v="1"/>
    <n v="20"/>
    <x v="0"/>
    <n v="2"/>
    <n v="1"/>
    <n v="0.24"/>
  </r>
  <r>
    <n v="90"/>
    <d v="2011-01-04T00:00:00"/>
    <n v="1"/>
    <n v="0"/>
    <n v="1"/>
    <n v="21"/>
    <x v="0"/>
    <n v="2"/>
    <n v="1"/>
    <n v="0.22"/>
  </r>
  <r>
    <n v="91"/>
    <d v="2011-01-04T00:00:00"/>
    <n v="1"/>
    <n v="0"/>
    <n v="1"/>
    <n v="22"/>
    <x v="0"/>
    <n v="2"/>
    <n v="1"/>
    <n v="0.22"/>
  </r>
  <r>
    <n v="92"/>
    <d v="2011-01-04T00:00:00"/>
    <n v="1"/>
    <n v="0"/>
    <n v="1"/>
    <n v="23"/>
    <x v="0"/>
    <n v="2"/>
    <n v="1"/>
    <n v="0.2"/>
  </r>
  <r>
    <n v="93"/>
    <d v="2011-01-05T00:00:00"/>
    <n v="1"/>
    <n v="0"/>
    <n v="1"/>
    <n v="0"/>
    <x v="0"/>
    <n v="3"/>
    <n v="1"/>
    <n v="0.2"/>
  </r>
  <r>
    <n v="94"/>
    <d v="2011-01-05T00:00:00"/>
    <n v="1"/>
    <n v="0"/>
    <n v="1"/>
    <n v="1"/>
    <x v="0"/>
    <n v="3"/>
    <n v="1"/>
    <n v="0.16"/>
  </r>
  <r>
    <n v="95"/>
    <d v="2011-01-05T00:00:00"/>
    <n v="1"/>
    <n v="0"/>
    <n v="1"/>
    <n v="2"/>
    <x v="0"/>
    <n v="3"/>
    <n v="1"/>
    <n v="0.16"/>
  </r>
  <r>
    <n v="96"/>
    <d v="2011-01-05T00:00:00"/>
    <n v="1"/>
    <n v="0"/>
    <n v="1"/>
    <n v="4"/>
    <x v="0"/>
    <n v="3"/>
    <n v="1"/>
    <n v="0.24"/>
  </r>
  <r>
    <n v="97"/>
    <d v="2011-01-05T00:00:00"/>
    <n v="1"/>
    <n v="0"/>
    <n v="1"/>
    <n v="5"/>
    <x v="0"/>
    <n v="3"/>
    <n v="1"/>
    <n v="0.22"/>
  </r>
  <r>
    <n v="98"/>
    <d v="2011-01-05T00:00:00"/>
    <n v="1"/>
    <n v="0"/>
    <n v="1"/>
    <n v="6"/>
    <x v="0"/>
    <n v="3"/>
    <n v="1"/>
    <n v="0.2"/>
  </r>
  <r>
    <n v="99"/>
    <d v="2011-01-05T00:00:00"/>
    <n v="1"/>
    <n v="0"/>
    <n v="1"/>
    <n v="7"/>
    <x v="0"/>
    <n v="3"/>
    <n v="1"/>
    <n v="0.18"/>
  </r>
  <r>
    <n v="100"/>
    <d v="2011-01-05T00:00:00"/>
    <n v="1"/>
    <n v="0"/>
    <n v="1"/>
    <n v="8"/>
    <x v="0"/>
    <n v="3"/>
    <n v="1"/>
    <n v="0.2"/>
  </r>
  <r>
    <n v="101"/>
    <d v="2011-01-05T00:00:00"/>
    <n v="1"/>
    <n v="0"/>
    <n v="1"/>
    <n v="9"/>
    <x v="0"/>
    <n v="3"/>
    <n v="1"/>
    <n v="0.22"/>
  </r>
  <r>
    <n v="102"/>
    <d v="2011-01-05T00:00:00"/>
    <n v="1"/>
    <n v="0"/>
    <n v="1"/>
    <n v="10"/>
    <x v="0"/>
    <n v="3"/>
    <n v="1"/>
    <n v="0.22"/>
  </r>
  <r>
    <n v="103"/>
    <d v="2011-01-05T00:00:00"/>
    <n v="1"/>
    <n v="0"/>
    <n v="1"/>
    <n v="11"/>
    <x v="0"/>
    <n v="3"/>
    <n v="1"/>
    <n v="0.26"/>
  </r>
  <r>
    <n v="104"/>
    <d v="2011-01-05T00:00:00"/>
    <n v="1"/>
    <n v="0"/>
    <n v="1"/>
    <n v="12"/>
    <x v="0"/>
    <n v="3"/>
    <n v="1"/>
    <n v="0.26"/>
  </r>
  <r>
    <n v="105"/>
    <d v="2011-01-05T00:00:00"/>
    <n v="1"/>
    <n v="0"/>
    <n v="1"/>
    <n v="13"/>
    <x v="0"/>
    <n v="3"/>
    <n v="1"/>
    <n v="0.28000000000000003"/>
  </r>
  <r>
    <n v="106"/>
    <d v="2011-01-05T00:00:00"/>
    <n v="1"/>
    <n v="0"/>
    <n v="1"/>
    <n v="14"/>
    <x v="0"/>
    <n v="3"/>
    <n v="1"/>
    <n v="0.3"/>
  </r>
  <r>
    <n v="107"/>
    <d v="2011-01-05T00:00:00"/>
    <n v="1"/>
    <n v="0"/>
    <n v="1"/>
    <n v="15"/>
    <x v="0"/>
    <n v="3"/>
    <n v="1"/>
    <n v="0.3"/>
  </r>
  <r>
    <n v="108"/>
    <d v="2011-01-05T00:00:00"/>
    <n v="1"/>
    <n v="0"/>
    <n v="1"/>
    <n v="16"/>
    <x v="0"/>
    <n v="3"/>
    <n v="1"/>
    <n v="0.3"/>
  </r>
  <r>
    <n v="109"/>
    <d v="2011-01-05T00:00:00"/>
    <n v="1"/>
    <n v="0"/>
    <n v="1"/>
    <n v="17"/>
    <x v="0"/>
    <n v="3"/>
    <n v="1"/>
    <n v="0.24"/>
  </r>
  <r>
    <n v="110"/>
    <d v="2011-01-05T00:00:00"/>
    <n v="1"/>
    <n v="0"/>
    <n v="1"/>
    <n v="18"/>
    <x v="0"/>
    <n v="3"/>
    <n v="1"/>
    <n v="0.24"/>
  </r>
  <r>
    <n v="111"/>
    <d v="2011-01-05T00:00:00"/>
    <n v="1"/>
    <n v="0"/>
    <n v="1"/>
    <n v="19"/>
    <x v="0"/>
    <n v="3"/>
    <n v="1"/>
    <n v="0.24"/>
  </r>
  <r>
    <n v="112"/>
    <d v="2011-01-05T00:00:00"/>
    <n v="1"/>
    <n v="0"/>
    <n v="1"/>
    <n v="20"/>
    <x v="0"/>
    <n v="3"/>
    <n v="1"/>
    <n v="0.22"/>
  </r>
  <r>
    <n v="113"/>
    <d v="2011-01-05T00:00:00"/>
    <n v="1"/>
    <n v="0"/>
    <n v="1"/>
    <n v="21"/>
    <x v="0"/>
    <n v="3"/>
    <n v="1"/>
    <n v="0.2"/>
  </r>
  <r>
    <n v="114"/>
    <d v="2011-01-05T00:00:00"/>
    <n v="1"/>
    <n v="0"/>
    <n v="1"/>
    <n v="22"/>
    <x v="0"/>
    <n v="3"/>
    <n v="1"/>
    <n v="0.18"/>
  </r>
  <r>
    <n v="115"/>
    <d v="2011-01-05T00:00:00"/>
    <n v="1"/>
    <n v="0"/>
    <n v="1"/>
    <n v="23"/>
    <x v="0"/>
    <n v="3"/>
    <n v="1"/>
    <n v="0.2"/>
  </r>
  <r>
    <n v="116"/>
    <d v="2011-01-06T00:00:00"/>
    <n v="1"/>
    <n v="0"/>
    <n v="1"/>
    <n v="0"/>
    <x v="0"/>
    <n v="4"/>
    <n v="1"/>
    <n v="0.18"/>
  </r>
  <r>
    <n v="117"/>
    <d v="2011-01-06T00:00:00"/>
    <n v="1"/>
    <n v="0"/>
    <n v="1"/>
    <n v="1"/>
    <x v="0"/>
    <n v="4"/>
    <n v="1"/>
    <n v="0.16"/>
  </r>
  <r>
    <n v="118"/>
    <d v="2011-01-06T00:00:00"/>
    <n v="1"/>
    <n v="0"/>
    <n v="1"/>
    <n v="2"/>
    <x v="0"/>
    <n v="4"/>
    <n v="1"/>
    <n v="0.16"/>
  </r>
  <r>
    <n v="119"/>
    <d v="2011-01-06T00:00:00"/>
    <n v="1"/>
    <n v="0"/>
    <n v="1"/>
    <n v="4"/>
    <x v="0"/>
    <n v="4"/>
    <n v="2"/>
    <n v="0.16"/>
  </r>
  <r>
    <n v="120"/>
    <d v="2011-01-06T00:00:00"/>
    <n v="1"/>
    <n v="0"/>
    <n v="1"/>
    <n v="5"/>
    <x v="0"/>
    <n v="4"/>
    <n v="2"/>
    <n v="0.14000000000000001"/>
  </r>
  <r>
    <n v="121"/>
    <d v="2011-01-06T00:00:00"/>
    <n v="1"/>
    <n v="0"/>
    <n v="1"/>
    <n v="6"/>
    <x v="0"/>
    <n v="4"/>
    <n v="2"/>
    <n v="0.14000000000000001"/>
  </r>
  <r>
    <n v="122"/>
    <d v="2011-01-06T00:00:00"/>
    <n v="1"/>
    <n v="0"/>
    <n v="1"/>
    <n v="7"/>
    <x v="0"/>
    <n v="4"/>
    <n v="2"/>
    <n v="0.16"/>
  </r>
  <r>
    <n v="123"/>
    <d v="2011-01-06T00:00:00"/>
    <n v="1"/>
    <n v="0"/>
    <n v="1"/>
    <n v="8"/>
    <x v="0"/>
    <n v="4"/>
    <n v="1"/>
    <n v="0.16"/>
  </r>
  <r>
    <n v="124"/>
    <d v="2011-01-06T00:00:00"/>
    <n v="1"/>
    <n v="0"/>
    <n v="1"/>
    <n v="9"/>
    <x v="0"/>
    <n v="4"/>
    <n v="2"/>
    <n v="0.18"/>
  </r>
  <r>
    <n v="125"/>
    <d v="2011-01-06T00:00:00"/>
    <n v="1"/>
    <n v="0"/>
    <n v="1"/>
    <n v="10"/>
    <x v="0"/>
    <n v="4"/>
    <n v="1"/>
    <n v="0.2"/>
  </r>
  <r>
    <n v="126"/>
    <d v="2011-01-06T00:00:00"/>
    <n v="1"/>
    <n v="0"/>
    <n v="1"/>
    <n v="11"/>
    <x v="0"/>
    <n v="4"/>
    <n v="1"/>
    <n v="0.22"/>
  </r>
  <r>
    <n v="127"/>
    <d v="2011-01-06T00:00:00"/>
    <n v="1"/>
    <n v="0"/>
    <n v="1"/>
    <n v="12"/>
    <x v="0"/>
    <n v="4"/>
    <n v="1"/>
    <n v="0.26"/>
  </r>
  <r>
    <n v="128"/>
    <d v="2011-01-06T00:00:00"/>
    <n v="1"/>
    <n v="0"/>
    <n v="1"/>
    <n v="13"/>
    <x v="0"/>
    <n v="4"/>
    <n v="1"/>
    <n v="0.26"/>
  </r>
  <r>
    <n v="129"/>
    <d v="2011-01-06T00:00:00"/>
    <n v="1"/>
    <n v="0"/>
    <n v="1"/>
    <n v="14"/>
    <x v="0"/>
    <n v="4"/>
    <n v="1"/>
    <n v="0.28000000000000003"/>
  </r>
  <r>
    <n v="130"/>
    <d v="2011-01-06T00:00:00"/>
    <n v="1"/>
    <n v="0"/>
    <n v="1"/>
    <n v="15"/>
    <x v="0"/>
    <n v="4"/>
    <n v="1"/>
    <n v="0.28000000000000003"/>
  </r>
  <r>
    <n v="131"/>
    <d v="2011-01-06T00:00:00"/>
    <n v="1"/>
    <n v="0"/>
    <n v="1"/>
    <n v="16"/>
    <x v="0"/>
    <n v="4"/>
    <n v="1"/>
    <n v="0.26"/>
  </r>
  <r>
    <n v="132"/>
    <d v="2011-01-06T00:00:00"/>
    <n v="1"/>
    <n v="0"/>
    <n v="1"/>
    <n v="17"/>
    <x v="0"/>
    <n v="4"/>
    <n v="1"/>
    <n v="0.22"/>
  </r>
  <r>
    <n v="133"/>
    <d v="2011-01-06T00:00:00"/>
    <n v="1"/>
    <n v="0"/>
    <n v="1"/>
    <n v="18"/>
    <x v="0"/>
    <n v="4"/>
    <n v="1"/>
    <n v="0.22"/>
  </r>
  <r>
    <n v="134"/>
    <d v="2011-01-06T00:00:00"/>
    <n v="1"/>
    <n v="0"/>
    <n v="1"/>
    <n v="19"/>
    <x v="0"/>
    <n v="4"/>
    <n v="1"/>
    <n v="0.22"/>
  </r>
  <r>
    <n v="135"/>
    <d v="2011-01-06T00:00:00"/>
    <n v="1"/>
    <n v="0"/>
    <n v="1"/>
    <n v="20"/>
    <x v="0"/>
    <n v="4"/>
    <n v="1"/>
    <n v="0.2"/>
  </r>
  <r>
    <n v="136"/>
    <d v="2011-01-06T00:00:00"/>
    <n v="1"/>
    <n v="0"/>
    <n v="1"/>
    <n v="21"/>
    <x v="0"/>
    <n v="4"/>
    <n v="2"/>
    <n v="0.22"/>
  </r>
  <r>
    <n v="137"/>
    <d v="2011-01-06T00:00:00"/>
    <n v="1"/>
    <n v="0"/>
    <n v="1"/>
    <n v="22"/>
    <x v="0"/>
    <n v="4"/>
    <n v="2"/>
    <n v="0.22"/>
  </r>
  <r>
    <n v="138"/>
    <d v="2011-01-06T00:00:00"/>
    <n v="1"/>
    <n v="0"/>
    <n v="1"/>
    <n v="23"/>
    <x v="0"/>
    <n v="4"/>
    <n v="2"/>
    <n v="0.2"/>
  </r>
  <r>
    <n v="139"/>
    <d v="2011-01-07T00:00:00"/>
    <n v="1"/>
    <n v="0"/>
    <n v="1"/>
    <n v="0"/>
    <x v="0"/>
    <n v="5"/>
    <n v="2"/>
    <n v="0.2"/>
  </r>
  <r>
    <n v="140"/>
    <d v="2011-01-07T00:00:00"/>
    <n v="1"/>
    <n v="0"/>
    <n v="1"/>
    <n v="1"/>
    <x v="0"/>
    <n v="5"/>
    <n v="2"/>
    <n v="0.2"/>
  </r>
  <r>
    <n v="141"/>
    <d v="2011-01-07T00:00:00"/>
    <n v="1"/>
    <n v="0"/>
    <n v="1"/>
    <n v="2"/>
    <x v="0"/>
    <n v="5"/>
    <n v="2"/>
    <n v="0.2"/>
  </r>
  <r>
    <n v="142"/>
    <d v="2011-01-07T00:00:00"/>
    <n v="1"/>
    <n v="0"/>
    <n v="1"/>
    <n v="4"/>
    <x v="0"/>
    <n v="5"/>
    <n v="2"/>
    <n v="0.2"/>
  </r>
  <r>
    <n v="143"/>
    <d v="2011-01-07T00:00:00"/>
    <n v="1"/>
    <n v="0"/>
    <n v="1"/>
    <n v="5"/>
    <x v="0"/>
    <n v="5"/>
    <n v="3"/>
    <n v="0.22"/>
  </r>
  <r>
    <n v="144"/>
    <d v="2011-01-07T00:00:00"/>
    <n v="1"/>
    <n v="0"/>
    <n v="1"/>
    <n v="6"/>
    <x v="0"/>
    <n v="5"/>
    <n v="2"/>
    <n v="0.2"/>
  </r>
  <r>
    <n v="145"/>
    <d v="2011-01-07T00:00:00"/>
    <n v="1"/>
    <n v="0"/>
    <n v="1"/>
    <n v="7"/>
    <x v="0"/>
    <n v="5"/>
    <n v="1"/>
    <n v="0.2"/>
  </r>
  <r>
    <n v="146"/>
    <d v="2011-01-07T00:00:00"/>
    <n v="1"/>
    <n v="0"/>
    <n v="1"/>
    <n v="8"/>
    <x v="0"/>
    <n v="5"/>
    <n v="1"/>
    <n v="0.2"/>
  </r>
  <r>
    <n v="147"/>
    <d v="2011-01-07T00:00:00"/>
    <n v="1"/>
    <n v="0"/>
    <n v="1"/>
    <n v="9"/>
    <x v="0"/>
    <n v="5"/>
    <n v="1"/>
    <n v="0.2"/>
  </r>
  <r>
    <n v="148"/>
    <d v="2011-01-07T00:00:00"/>
    <n v="1"/>
    <n v="0"/>
    <n v="1"/>
    <n v="10"/>
    <x v="0"/>
    <n v="5"/>
    <n v="1"/>
    <n v="0.22"/>
  </r>
  <r>
    <n v="149"/>
    <d v="2011-01-07T00:00:00"/>
    <n v="1"/>
    <n v="0"/>
    <n v="1"/>
    <n v="11"/>
    <x v="0"/>
    <n v="5"/>
    <n v="2"/>
    <n v="0.2"/>
  </r>
  <r>
    <n v="150"/>
    <d v="2011-01-07T00:00:00"/>
    <n v="1"/>
    <n v="0"/>
    <n v="1"/>
    <n v="12"/>
    <x v="0"/>
    <n v="5"/>
    <n v="2"/>
    <n v="0.2"/>
  </r>
  <r>
    <n v="151"/>
    <d v="2011-01-07T00:00:00"/>
    <n v="1"/>
    <n v="0"/>
    <n v="1"/>
    <n v="13"/>
    <x v="0"/>
    <n v="5"/>
    <n v="2"/>
    <n v="0.2"/>
  </r>
  <r>
    <n v="152"/>
    <d v="2011-01-07T00:00:00"/>
    <n v="1"/>
    <n v="0"/>
    <n v="1"/>
    <n v="14"/>
    <x v="0"/>
    <n v="5"/>
    <n v="2"/>
    <n v="0.2"/>
  </r>
  <r>
    <n v="153"/>
    <d v="2011-01-07T00:00:00"/>
    <n v="1"/>
    <n v="0"/>
    <n v="1"/>
    <n v="15"/>
    <x v="0"/>
    <n v="5"/>
    <n v="2"/>
    <n v="0.2"/>
  </r>
  <r>
    <n v="154"/>
    <d v="2011-01-07T00:00:00"/>
    <n v="1"/>
    <n v="0"/>
    <n v="1"/>
    <n v="16"/>
    <x v="0"/>
    <n v="5"/>
    <n v="2"/>
    <n v="0.2"/>
  </r>
  <r>
    <n v="155"/>
    <d v="2011-01-07T00:00:00"/>
    <n v="1"/>
    <n v="0"/>
    <n v="1"/>
    <n v="17"/>
    <x v="0"/>
    <n v="5"/>
    <n v="2"/>
    <n v="0.2"/>
  </r>
  <r>
    <n v="156"/>
    <d v="2011-01-07T00:00:00"/>
    <n v="1"/>
    <n v="0"/>
    <n v="1"/>
    <n v="18"/>
    <x v="0"/>
    <n v="5"/>
    <n v="1"/>
    <n v="0.2"/>
  </r>
  <r>
    <n v="157"/>
    <d v="2011-01-07T00:00:00"/>
    <n v="1"/>
    <n v="0"/>
    <n v="1"/>
    <n v="19"/>
    <x v="0"/>
    <n v="5"/>
    <n v="1"/>
    <n v="0.16"/>
  </r>
  <r>
    <n v="158"/>
    <d v="2011-01-07T00:00:00"/>
    <n v="1"/>
    <n v="0"/>
    <n v="1"/>
    <n v="20"/>
    <x v="0"/>
    <n v="5"/>
    <n v="1"/>
    <n v="0.18"/>
  </r>
  <r>
    <n v="159"/>
    <d v="2011-01-07T00:00:00"/>
    <n v="1"/>
    <n v="0"/>
    <n v="1"/>
    <n v="21"/>
    <x v="0"/>
    <n v="5"/>
    <n v="1"/>
    <n v="0.18"/>
  </r>
  <r>
    <n v="160"/>
    <d v="2011-01-07T00:00:00"/>
    <n v="1"/>
    <n v="0"/>
    <n v="1"/>
    <n v="22"/>
    <x v="0"/>
    <n v="5"/>
    <n v="2"/>
    <n v="0.18"/>
  </r>
  <r>
    <n v="161"/>
    <d v="2011-01-07T00:00:00"/>
    <n v="1"/>
    <n v="0"/>
    <n v="1"/>
    <n v="23"/>
    <x v="0"/>
    <n v="5"/>
    <n v="2"/>
    <n v="0.18"/>
  </r>
  <r>
    <n v="162"/>
    <d v="2011-01-08T00:00:00"/>
    <n v="1"/>
    <n v="0"/>
    <n v="1"/>
    <n v="0"/>
    <x v="0"/>
    <n v="6"/>
    <n v="2"/>
    <n v="0.18"/>
  </r>
  <r>
    <n v="163"/>
    <d v="2011-01-08T00:00:00"/>
    <n v="1"/>
    <n v="0"/>
    <n v="1"/>
    <n v="1"/>
    <x v="0"/>
    <n v="6"/>
    <n v="2"/>
    <n v="0.18"/>
  </r>
  <r>
    <n v="164"/>
    <d v="2011-01-08T00:00:00"/>
    <n v="1"/>
    <n v="0"/>
    <n v="1"/>
    <n v="2"/>
    <x v="0"/>
    <n v="6"/>
    <n v="2"/>
    <n v="0.18"/>
  </r>
  <r>
    <n v="165"/>
    <d v="2011-01-08T00:00:00"/>
    <n v="1"/>
    <n v="0"/>
    <n v="1"/>
    <n v="3"/>
    <x v="0"/>
    <n v="6"/>
    <n v="3"/>
    <n v="0.18"/>
  </r>
  <r>
    <n v="166"/>
    <d v="2011-01-08T00:00:00"/>
    <n v="1"/>
    <n v="0"/>
    <n v="1"/>
    <n v="4"/>
    <x v="0"/>
    <n v="6"/>
    <n v="3"/>
    <n v="0.18"/>
  </r>
  <r>
    <n v="167"/>
    <d v="2011-01-08T00:00:00"/>
    <n v="1"/>
    <n v="0"/>
    <n v="1"/>
    <n v="5"/>
    <x v="0"/>
    <n v="6"/>
    <n v="2"/>
    <n v="0.16"/>
  </r>
  <r>
    <n v="168"/>
    <d v="2011-01-08T00:00:00"/>
    <n v="1"/>
    <n v="0"/>
    <n v="1"/>
    <n v="6"/>
    <x v="0"/>
    <n v="6"/>
    <n v="2"/>
    <n v="0.16"/>
  </r>
  <r>
    <n v="169"/>
    <d v="2011-01-08T00:00:00"/>
    <n v="1"/>
    <n v="0"/>
    <n v="1"/>
    <n v="7"/>
    <x v="0"/>
    <n v="6"/>
    <n v="2"/>
    <n v="0.16"/>
  </r>
  <r>
    <n v="170"/>
    <d v="2011-01-08T00:00:00"/>
    <n v="1"/>
    <n v="0"/>
    <n v="1"/>
    <n v="8"/>
    <x v="0"/>
    <n v="6"/>
    <n v="3"/>
    <n v="0.16"/>
  </r>
  <r>
    <n v="171"/>
    <d v="2011-01-08T00:00:00"/>
    <n v="1"/>
    <n v="0"/>
    <n v="1"/>
    <n v="9"/>
    <x v="0"/>
    <n v="6"/>
    <n v="3"/>
    <n v="0.16"/>
  </r>
  <r>
    <n v="172"/>
    <d v="2011-01-08T00:00:00"/>
    <n v="1"/>
    <n v="0"/>
    <n v="1"/>
    <n v="10"/>
    <x v="0"/>
    <n v="6"/>
    <n v="2"/>
    <n v="0.18"/>
  </r>
  <r>
    <n v="173"/>
    <d v="2011-01-08T00:00:00"/>
    <n v="1"/>
    <n v="0"/>
    <n v="1"/>
    <n v="11"/>
    <x v="0"/>
    <n v="6"/>
    <n v="2"/>
    <n v="0.2"/>
  </r>
  <r>
    <n v="174"/>
    <d v="2011-01-08T00:00:00"/>
    <n v="1"/>
    <n v="0"/>
    <n v="1"/>
    <n v="12"/>
    <x v="0"/>
    <n v="6"/>
    <n v="2"/>
    <n v="0.2"/>
  </r>
  <r>
    <n v="175"/>
    <d v="2011-01-08T00:00:00"/>
    <n v="1"/>
    <n v="0"/>
    <n v="1"/>
    <n v="13"/>
    <x v="0"/>
    <n v="6"/>
    <n v="1"/>
    <n v="0.2"/>
  </r>
  <r>
    <n v="176"/>
    <d v="2011-01-08T00:00:00"/>
    <n v="1"/>
    <n v="0"/>
    <n v="1"/>
    <n v="14"/>
    <x v="0"/>
    <n v="6"/>
    <n v="1"/>
    <n v="0.2"/>
  </r>
  <r>
    <n v="177"/>
    <d v="2011-01-08T00:00:00"/>
    <n v="1"/>
    <n v="0"/>
    <n v="1"/>
    <n v="15"/>
    <x v="0"/>
    <n v="6"/>
    <n v="1"/>
    <n v="0.2"/>
  </r>
  <r>
    <n v="178"/>
    <d v="2011-01-08T00:00:00"/>
    <n v="1"/>
    <n v="0"/>
    <n v="1"/>
    <n v="16"/>
    <x v="0"/>
    <n v="6"/>
    <n v="1"/>
    <n v="0.18"/>
  </r>
  <r>
    <n v="179"/>
    <d v="2011-01-08T00:00:00"/>
    <n v="1"/>
    <n v="0"/>
    <n v="1"/>
    <n v="17"/>
    <x v="0"/>
    <n v="6"/>
    <n v="1"/>
    <n v="0.16"/>
  </r>
  <r>
    <n v="180"/>
    <d v="2011-01-08T00:00:00"/>
    <n v="1"/>
    <n v="0"/>
    <n v="1"/>
    <n v="18"/>
    <x v="0"/>
    <n v="6"/>
    <n v="1"/>
    <n v="0.14000000000000001"/>
  </r>
  <r>
    <n v="181"/>
    <d v="2011-01-08T00:00:00"/>
    <n v="1"/>
    <n v="0"/>
    <n v="1"/>
    <n v="19"/>
    <x v="0"/>
    <n v="6"/>
    <n v="1"/>
    <n v="0.14000000000000001"/>
  </r>
  <r>
    <n v="182"/>
    <d v="2011-01-08T00:00:00"/>
    <n v="1"/>
    <n v="0"/>
    <n v="1"/>
    <n v="20"/>
    <x v="0"/>
    <n v="6"/>
    <n v="1"/>
    <n v="0.12"/>
  </r>
  <r>
    <n v="183"/>
    <d v="2011-01-08T00:00:00"/>
    <n v="1"/>
    <n v="0"/>
    <n v="1"/>
    <n v="21"/>
    <x v="0"/>
    <n v="6"/>
    <n v="1"/>
    <n v="0.12"/>
  </r>
  <r>
    <n v="184"/>
    <d v="2011-01-08T00:00:00"/>
    <n v="1"/>
    <n v="0"/>
    <n v="1"/>
    <n v="22"/>
    <x v="0"/>
    <n v="6"/>
    <n v="1"/>
    <n v="0.12"/>
  </r>
  <r>
    <n v="185"/>
    <d v="2011-01-08T00:00:00"/>
    <n v="1"/>
    <n v="0"/>
    <n v="1"/>
    <n v="23"/>
    <x v="0"/>
    <n v="6"/>
    <n v="1"/>
    <n v="0.1"/>
  </r>
  <r>
    <n v="186"/>
    <d v="2011-01-09T00:00:00"/>
    <n v="1"/>
    <n v="0"/>
    <n v="1"/>
    <n v="0"/>
    <x v="0"/>
    <n v="0"/>
    <n v="1"/>
    <n v="0.1"/>
  </r>
  <r>
    <n v="187"/>
    <d v="2011-01-09T00:00:00"/>
    <n v="1"/>
    <n v="0"/>
    <n v="1"/>
    <n v="1"/>
    <x v="0"/>
    <n v="0"/>
    <n v="1"/>
    <n v="0.1"/>
  </r>
  <r>
    <n v="188"/>
    <d v="2011-01-09T00:00:00"/>
    <n v="1"/>
    <n v="0"/>
    <n v="1"/>
    <n v="2"/>
    <x v="0"/>
    <n v="0"/>
    <n v="1"/>
    <n v="0.1"/>
  </r>
  <r>
    <n v="189"/>
    <d v="2011-01-09T00:00:00"/>
    <n v="1"/>
    <n v="0"/>
    <n v="1"/>
    <n v="3"/>
    <x v="0"/>
    <n v="0"/>
    <n v="1"/>
    <n v="0.1"/>
  </r>
  <r>
    <n v="190"/>
    <d v="2011-01-09T00:00:00"/>
    <n v="1"/>
    <n v="0"/>
    <n v="1"/>
    <n v="4"/>
    <x v="0"/>
    <n v="0"/>
    <n v="1"/>
    <n v="0.08"/>
  </r>
  <r>
    <n v="191"/>
    <d v="2011-01-09T00:00:00"/>
    <n v="1"/>
    <n v="0"/>
    <n v="1"/>
    <n v="5"/>
    <x v="0"/>
    <n v="0"/>
    <n v="1"/>
    <n v="0.08"/>
  </r>
  <r>
    <n v="192"/>
    <d v="2011-01-09T00:00:00"/>
    <n v="1"/>
    <n v="0"/>
    <n v="1"/>
    <n v="6"/>
    <x v="0"/>
    <n v="0"/>
    <n v="1"/>
    <n v="0.1"/>
  </r>
  <r>
    <n v="193"/>
    <d v="2011-01-09T00:00:00"/>
    <n v="1"/>
    <n v="0"/>
    <n v="1"/>
    <n v="7"/>
    <x v="0"/>
    <n v="0"/>
    <n v="1"/>
    <n v="0.08"/>
  </r>
  <r>
    <n v="194"/>
    <d v="2011-01-09T00:00:00"/>
    <n v="1"/>
    <n v="0"/>
    <n v="1"/>
    <n v="8"/>
    <x v="0"/>
    <n v="0"/>
    <n v="1"/>
    <n v="0.1"/>
  </r>
  <r>
    <n v="195"/>
    <d v="2011-01-09T00:00:00"/>
    <n v="1"/>
    <n v="0"/>
    <n v="1"/>
    <n v="9"/>
    <x v="0"/>
    <n v="0"/>
    <n v="1"/>
    <n v="0.12"/>
  </r>
  <r>
    <n v="196"/>
    <d v="2011-01-09T00:00:00"/>
    <n v="1"/>
    <n v="0"/>
    <n v="1"/>
    <n v="10"/>
    <x v="0"/>
    <n v="0"/>
    <n v="1"/>
    <n v="0.14000000000000001"/>
  </r>
  <r>
    <n v="197"/>
    <d v="2011-01-09T00:00:00"/>
    <n v="1"/>
    <n v="0"/>
    <n v="1"/>
    <n v="11"/>
    <x v="0"/>
    <n v="0"/>
    <n v="1"/>
    <n v="0.16"/>
  </r>
  <r>
    <n v="198"/>
    <d v="2011-01-09T00:00:00"/>
    <n v="1"/>
    <n v="0"/>
    <n v="1"/>
    <n v="12"/>
    <x v="0"/>
    <n v="0"/>
    <n v="1"/>
    <n v="0.18"/>
  </r>
  <r>
    <n v="199"/>
    <d v="2011-01-09T00:00:00"/>
    <n v="1"/>
    <n v="0"/>
    <n v="1"/>
    <n v="13"/>
    <x v="0"/>
    <n v="0"/>
    <n v="1"/>
    <n v="0.2"/>
  </r>
  <r>
    <n v="200"/>
    <d v="2011-01-09T00:00:00"/>
    <n v="1"/>
    <n v="0"/>
    <n v="1"/>
    <n v="14"/>
    <x v="0"/>
    <n v="0"/>
    <n v="1"/>
    <n v="0.22"/>
  </r>
  <r>
    <n v="201"/>
    <d v="2011-01-09T00:00:00"/>
    <n v="1"/>
    <n v="0"/>
    <n v="1"/>
    <n v="15"/>
    <x v="0"/>
    <n v="0"/>
    <n v="1"/>
    <n v="0.22"/>
  </r>
  <r>
    <n v="202"/>
    <d v="2011-01-09T00:00:00"/>
    <n v="1"/>
    <n v="0"/>
    <n v="1"/>
    <n v="16"/>
    <x v="0"/>
    <n v="0"/>
    <n v="1"/>
    <n v="0.2"/>
  </r>
  <r>
    <n v="203"/>
    <d v="2011-01-09T00:00:00"/>
    <n v="1"/>
    <n v="0"/>
    <n v="1"/>
    <n v="17"/>
    <x v="0"/>
    <n v="0"/>
    <n v="1"/>
    <n v="0.18"/>
  </r>
  <r>
    <n v="204"/>
    <d v="2011-01-09T00:00:00"/>
    <n v="1"/>
    <n v="0"/>
    <n v="1"/>
    <n v="18"/>
    <x v="0"/>
    <n v="0"/>
    <n v="1"/>
    <n v="0.16"/>
  </r>
  <r>
    <n v="205"/>
    <d v="2011-01-09T00:00:00"/>
    <n v="1"/>
    <n v="0"/>
    <n v="1"/>
    <n v="19"/>
    <x v="0"/>
    <n v="0"/>
    <n v="1"/>
    <n v="0.16"/>
  </r>
  <r>
    <n v="206"/>
    <d v="2011-01-09T00:00:00"/>
    <n v="1"/>
    <n v="0"/>
    <n v="1"/>
    <n v="20"/>
    <x v="0"/>
    <n v="0"/>
    <n v="1"/>
    <n v="0.14000000000000001"/>
  </r>
  <r>
    <n v="207"/>
    <d v="2011-01-09T00:00:00"/>
    <n v="1"/>
    <n v="0"/>
    <n v="1"/>
    <n v="21"/>
    <x v="0"/>
    <n v="0"/>
    <n v="1"/>
    <n v="0.14000000000000001"/>
  </r>
  <r>
    <n v="208"/>
    <d v="2011-01-09T00:00:00"/>
    <n v="1"/>
    <n v="0"/>
    <n v="1"/>
    <n v="22"/>
    <x v="0"/>
    <n v="0"/>
    <n v="1"/>
    <n v="0.14000000000000001"/>
  </r>
  <r>
    <n v="209"/>
    <d v="2011-01-09T00:00:00"/>
    <n v="1"/>
    <n v="0"/>
    <n v="1"/>
    <n v="23"/>
    <x v="0"/>
    <n v="0"/>
    <n v="1"/>
    <n v="0.12"/>
  </r>
  <r>
    <n v="210"/>
    <d v="2011-01-10T00:00:00"/>
    <n v="1"/>
    <n v="0"/>
    <n v="1"/>
    <n v="0"/>
    <x v="0"/>
    <n v="1"/>
    <n v="1"/>
    <n v="0.12"/>
  </r>
  <r>
    <n v="211"/>
    <d v="2011-01-10T00:00:00"/>
    <n v="1"/>
    <n v="0"/>
    <n v="1"/>
    <n v="1"/>
    <x v="0"/>
    <n v="1"/>
    <n v="1"/>
    <n v="0.12"/>
  </r>
  <r>
    <n v="212"/>
    <d v="2011-01-10T00:00:00"/>
    <n v="1"/>
    <n v="0"/>
    <n v="1"/>
    <n v="2"/>
    <x v="0"/>
    <n v="1"/>
    <n v="1"/>
    <n v="0.12"/>
  </r>
  <r>
    <n v="213"/>
    <d v="2011-01-10T00:00:00"/>
    <n v="1"/>
    <n v="0"/>
    <n v="1"/>
    <n v="3"/>
    <x v="0"/>
    <n v="1"/>
    <n v="1"/>
    <n v="0.12"/>
  </r>
  <r>
    <n v="214"/>
    <d v="2011-01-10T00:00:00"/>
    <n v="1"/>
    <n v="0"/>
    <n v="1"/>
    <n v="4"/>
    <x v="0"/>
    <n v="1"/>
    <n v="1"/>
    <n v="0.1"/>
  </r>
  <r>
    <n v="215"/>
    <d v="2011-01-10T00:00:00"/>
    <n v="1"/>
    <n v="0"/>
    <n v="1"/>
    <n v="5"/>
    <x v="0"/>
    <n v="1"/>
    <n v="1"/>
    <n v="0.1"/>
  </r>
  <r>
    <n v="216"/>
    <d v="2011-01-10T00:00:00"/>
    <n v="1"/>
    <n v="0"/>
    <n v="1"/>
    <n v="6"/>
    <x v="0"/>
    <n v="1"/>
    <n v="1"/>
    <n v="0.12"/>
  </r>
  <r>
    <n v="217"/>
    <d v="2011-01-10T00:00:00"/>
    <n v="1"/>
    <n v="0"/>
    <n v="1"/>
    <n v="7"/>
    <x v="0"/>
    <n v="1"/>
    <n v="1"/>
    <n v="0.12"/>
  </r>
  <r>
    <n v="218"/>
    <d v="2011-01-10T00:00:00"/>
    <n v="1"/>
    <n v="0"/>
    <n v="1"/>
    <n v="8"/>
    <x v="0"/>
    <n v="1"/>
    <n v="2"/>
    <n v="0.12"/>
  </r>
  <r>
    <n v="219"/>
    <d v="2011-01-10T00:00:00"/>
    <n v="1"/>
    <n v="0"/>
    <n v="1"/>
    <n v="9"/>
    <x v="0"/>
    <n v="1"/>
    <n v="2"/>
    <n v="0.14000000000000001"/>
  </r>
  <r>
    <n v="220"/>
    <d v="2011-01-10T00:00:00"/>
    <n v="1"/>
    <n v="0"/>
    <n v="1"/>
    <n v="10"/>
    <x v="0"/>
    <n v="1"/>
    <n v="2"/>
    <n v="0.14000000000000001"/>
  </r>
  <r>
    <n v="221"/>
    <d v="2011-01-10T00:00:00"/>
    <n v="1"/>
    <n v="0"/>
    <n v="1"/>
    <n v="11"/>
    <x v="0"/>
    <n v="1"/>
    <n v="2"/>
    <n v="0.16"/>
  </r>
  <r>
    <n v="222"/>
    <d v="2011-01-10T00:00:00"/>
    <n v="1"/>
    <n v="0"/>
    <n v="1"/>
    <n v="12"/>
    <x v="0"/>
    <n v="1"/>
    <n v="2"/>
    <n v="0.2"/>
  </r>
  <r>
    <n v="223"/>
    <d v="2011-01-10T00:00:00"/>
    <n v="1"/>
    <n v="0"/>
    <n v="1"/>
    <n v="13"/>
    <x v="0"/>
    <n v="1"/>
    <n v="2"/>
    <n v="0.2"/>
  </r>
  <r>
    <n v="224"/>
    <d v="2011-01-10T00:00:00"/>
    <n v="1"/>
    <n v="0"/>
    <n v="1"/>
    <n v="14"/>
    <x v="0"/>
    <n v="1"/>
    <n v="2"/>
    <n v="0.2"/>
  </r>
  <r>
    <n v="225"/>
    <d v="2011-01-10T00:00:00"/>
    <n v="1"/>
    <n v="0"/>
    <n v="1"/>
    <n v="15"/>
    <x v="0"/>
    <n v="1"/>
    <n v="2"/>
    <n v="0.2"/>
  </r>
  <r>
    <n v="226"/>
    <d v="2011-01-10T00:00:00"/>
    <n v="1"/>
    <n v="0"/>
    <n v="1"/>
    <n v="16"/>
    <x v="0"/>
    <n v="1"/>
    <n v="1"/>
    <n v="0.2"/>
  </r>
  <r>
    <n v="227"/>
    <d v="2011-01-10T00:00:00"/>
    <n v="1"/>
    <n v="0"/>
    <n v="1"/>
    <n v="17"/>
    <x v="0"/>
    <n v="1"/>
    <n v="1"/>
    <n v="0.2"/>
  </r>
  <r>
    <n v="228"/>
    <d v="2011-01-10T00:00:00"/>
    <n v="1"/>
    <n v="0"/>
    <n v="1"/>
    <n v="18"/>
    <x v="0"/>
    <n v="1"/>
    <n v="1"/>
    <n v="0.2"/>
  </r>
  <r>
    <n v="229"/>
    <d v="2011-01-10T00:00:00"/>
    <n v="1"/>
    <n v="0"/>
    <n v="1"/>
    <n v="19"/>
    <x v="0"/>
    <n v="1"/>
    <n v="1"/>
    <n v="0.16"/>
  </r>
  <r>
    <n v="230"/>
    <d v="2011-01-10T00:00:00"/>
    <n v="1"/>
    <n v="0"/>
    <n v="1"/>
    <n v="20"/>
    <x v="0"/>
    <n v="1"/>
    <n v="1"/>
    <n v="0.16"/>
  </r>
  <r>
    <n v="231"/>
    <d v="2011-01-10T00:00:00"/>
    <n v="1"/>
    <n v="0"/>
    <n v="1"/>
    <n v="21"/>
    <x v="0"/>
    <n v="1"/>
    <n v="1"/>
    <n v="0.14000000000000001"/>
  </r>
  <r>
    <n v="232"/>
    <d v="2011-01-10T00:00:00"/>
    <n v="1"/>
    <n v="0"/>
    <n v="1"/>
    <n v="22"/>
    <x v="0"/>
    <n v="1"/>
    <n v="1"/>
    <n v="0.14000000000000001"/>
  </r>
  <r>
    <n v="233"/>
    <d v="2011-01-10T00:00:00"/>
    <n v="1"/>
    <n v="0"/>
    <n v="1"/>
    <n v="23"/>
    <x v="0"/>
    <n v="1"/>
    <n v="1"/>
    <n v="0.14000000000000001"/>
  </r>
  <r>
    <n v="234"/>
    <d v="2011-01-11T00:00:00"/>
    <n v="1"/>
    <n v="0"/>
    <n v="1"/>
    <n v="0"/>
    <x v="0"/>
    <n v="2"/>
    <n v="1"/>
    <n v="0.14000000000000001"/>
  </r>
  <r>
    <n v="235"/>
    <d v="2011-01-11T00:00:00"/>
    <n v="1"/>
    <n v="0"/>
    <n v="1"/>
    <n v="1"/>
    <x v="0"/>
    <n v="2"/>
    <n v="1"/>
    <n v="0.14000000000000001"/>
  </r>
  <r>
    <n v="236"/>
    <d v="2011-01-11T00:00:00"/>
    <n v="1"/>
    <n v="0"/>
    <n v="1"/>
    <n v="2"/>
    <x v="0"/>
    <n v="2"/>
    <n v="2"/>
    <n v="0.16"/>
  </r>
  <r>
    <n v="237"/>
    <d v="2011-01-11T00:00:00"/>
    <n v="1"/>
    <n v="0"/>
    <n v="1"/>
    <n v="5"/>
    <x v="0"/>
    <n v="2"/>
    <n v="2"/>
    <n v="0.16"/>
  </r>
  <r>
    <n v="238"/>
    <d v="2011-01-11T00:00:00"/>
    <n v="1"/>
    <n v="0"/>
    <n v="1"/>
    <n v="6"/>
    <x v="0"/>
    <n v="2"/>
    <n v="2"/>
    <n v="0.16"/>
  </r>
  <r>
    <n v="239"/>
    <d v="2011-01-11T00:00:00"/>
    <n v="1"/>
    <n v="0"/>
    <n v="1"/>
    <n v="7"/>
    <x v="0"/>
    <n v="2"/>
    <n v="2"/>
    <n v="0.16"/>
  </r>
  <r>
    <n v="240"/>
    <d v="2011-01-11T00:00:00"/>
    <n v="1"/>
    <n v="0"/>
    <n v="1"/>
    <n v="8"/>
    <x v="0"/>
    <n v="2"/>
    <n v="2"/>
    <n v="0.18"/>
  </r>
  <r>
    <n v="241"/>
    <d v="2011-01-11T00:00:00"/>
    <n v="1"/>
    <n v="0"/>
    <n v="1"/>
    <n v="9"/>
    <x v="0"/>
    <n v="2"/>
    <n v="2"/>
    <n v="0.18"/>
  </r>
  <r>
    <n v="242"/>
    <d v="2011-01-11T00:00:00"/>
    <n v="1"/>
    <n v="0"/>
    <n v="1"/>
    <n v="10"/>
    <x v="0"/>
    <n v="2"/>
    <n v="2"/>
    <n v="0.2"/>
  </r>
  <r>
    <n v="243"/>
    <d v="2011-01-11T00:00:00"/>
    <n v="1"/>
    <n v="0"/>
    <n v="1"/>
    <n v="11"/>
    <x v="0"/>
    <n v="2"/>
    <n v="2"/>
    <n v="0.2"/>
  </r>
  <r>
    <n v="244"/>
    <d v="2011-01-11T00:00:00"/>
    <n v="1"/>
    <n v="0"/>
    <n v="1"/>
    <n v="12"/>
    <x v="0"/>
    <n v="2"/>
    <n v="2"/>
    <n v="0.2"/>
  </r>
  <r>
    <n v="245"/>
    <d v="2011-01-11T00:00:00"/>
    <n v="1"/>
    <n v="0"/>
    <n v="1"/>
    <n v="13"/>
    <x v="0"/>
    <n v="2"/>
    <n v="2"/>
    <n v="0.2"/>
  </r>
  <r>
    <n v="246"/>
    <d v="2011-01-11T00:00:00"/>
    <n v="1"/>
    <n v="0"/>
    <n v="1"/>
    <n v="14"/>
    <x v="0"/>
    <n v="2"/>
    <n v="2"/>
    <n v="0.2"/>
  </r>
  <r>
    <n v="247"/>
    <d v="2011-01-11T00:00:00"/>
    <n v="1"/>
    <n v="0"/>
    <n v="1"/>
    <n v="15"/>
    <x v="0"/>
    <n v="2"/>
    <n v="2"/>
    <n v="0.16"/>
  </r>
  <r>
    <n v="248"/>
    <d v="2011-01-11T00:00:00"/>
    <n v="1"/>
    <n v="0"/>
    <n v="1"/>
    <n v="16"/>
    <x v="0"/>
    <n v="2"/>
    <n v="2"/>
    <n v="0.16"/>
  </r>
  <r>
    <n v="249"/>
    <d v="2011-01-11T00:00:00"/>
    <n v="1"/>
    <n v="0"/>
    <n v="1"/>
    <n v="17"/>
    <x v="0"/>
    <n v="2"/>
    <n v="2"/>
    <n v="0.16"/>
  </r>
  <r>
    <n v="250"/>
    <d v="2011-01-11T00:00:00"/>
    <n v="1"/>
    <n v="0"/>
    <n v="1"/>
    <n v="18"/>
    <x v="0"/>
    <n v="2"/>
    <n v="3"/>
    <n v="0.16"/>
  </r>
  <r>
    <n v="251"/>
    <d v="2011-01-11T00:00:00"/>
    <n v="1"/>
    <n v="0"/>
    <n v="1"/>
    <n v="19"/>
    <x v="0"/>
    <n v="2"/>
    <n v="3"/>
    <n v="0.16"/>
  </r>
  <r>
    <n v="252"/>
    <d v="2011-01-11T00:00:00"/>
    <n v="1"/>
    <n v="0"/>
    <n v="1"/>
    <n v="20"/>
    <x v="0"/>
    <n v="2"/>
    <n v="3"/>
    <n v="0.16"/>
  </r>
  <r>
    <n v="253"/>
    <d v="2011-01-11T00:00:00"/>
    <n v="1"/>
    <n v="0"/>
    <n v="1"/>
    <n v="21"/>
    <x v="0"/>
    <n v="2"/>
    <n v="3"/>
    <n v="0.16"/>
  </r>
  <r>
    <n v="254"/>
    <d v="2011-01-11T00:00:00"/>
    <n v="1"/>
    <n v="0"/>
    <n v="1"/>
    <n v="22"/>
    <x v="0"/>
    <n v="2"/>
    <n v="3"/>
    <n v="0.16"/>
  </r>
  <r>
    <n v="255"/>
    <d v="2011-01-11T00:00:00"/>
    <n v="1"/>
    <n v="0"/>
    <n v="1"/>
    <n v="23"/>
    <x v="0"/>
    <n v="2"/>
    <n v="3"/>
    <n v="0.16"/>
  </r>
  <r>
    <n v="256"/>
    <d v="2011-01-12T00:00:00"/>
    <n v="1"/>
    <n v="0"/>
    <n v="1"/>
    <n v="0"/>
    <x v="0"/>
    <n v="3"/>
    <n v="2"/>
    <n v="0.16"/>
  </r>
  <r>
    <n v="257"/>
    <d v="2011-01-12T00:00:00"/>
    <n v="1"/>
    <n v="0"/>
    <n v="1"/>
    <n v="1"/>
    <x v="0"/>
    <n v="3"/>
    <n v="2"/>
    <n v="0.16"/>
  </r>
  <r>
    <n v="258"/>
    <d v="2011-01-12T00:00:00"/>
    <n v="1"/>
    <n v="0"/>
    <n v="1"/>
    <n v="2"/>
    <x v="0"/>
    <n v="3"/>
    <n v="1"/>
    <n v="0.14000000000000001"/>
  </r>
  <r>
    <n v="259"/>
    <d v="2011-01-12T00:00:00"/>
    <n v="1"/>
    <n v="0"/>
    <n v="1"/>
    <n v="5"/>
    <x v="0"/>
    <n v="3"/>
    <n v="1"/>
    <n v="0.14000000000000001"/>
  </r>
  <r>
    <n v="260"/>
    <d v="2011-01-12T00:00:00"/>
    <n v="1"/>
    <n v="0"/>
    <n v="1"/>
    <n v="6"/>
    <x v="0"/>
    <n v="3"/>
    <n v="1"/>
    <n v="0.12"/>
  </r>
  <r>
    <n v="261"/>
    <d v="2011-01-12T00:00:00"/>
    <n v="1"/>
    <n v="0"/>
    <n v="1"/>
    <n v="7"/>
    <x v="0"/>
    <n v="3"/>
    <n v="1"/>
    <n v="0.14000000000000001"/>
  </r>
  <r>
    <n v="262"/>
    <d v="2011-01-12T00:00:00"/>
    <n v="1"/>
    <n v="0"/>
    <n v="1"/>
    <n v="8"/>
    <x v="0"/>
    <n v="3"/>
    <n v="1"/>
    <n v="0.16"/>
  </r>
  <r>
    <n v="263"/>
    <d v="2011-01-12T00:00:00"/>
    <n v="1"/>
    <n v="0"/>
    <n v="1"/>
    <n v="9"/>
    <x v="0"/>
    <n v="3"/>
    <n v="1"/>
    <n v="0.16"/>
  </r>
  <r>
    <n v="264"/>
    <d v="2011-01-12T00:00:00"/>
    <n v="1"/>
    <n v="0"/>
    <n v="1"/>
    <n v="10"/>
    <x v="0"/>
    <n v="3"/>
    <n v="1"/>
    <n v="0.18"/>
  </r>
  <r>
    <n v="265"/>
    <d v="2011-01-12T00:00:00"/>
    <n v="1"/>
    <n v="0"/>
    <n v="1"/>
    <n v="11"/>
    <x v="0"/>
    <n v="3"/>
    <n v="1"/>
    <n v="0.2"/>
  </r>
  <r>
    <n v="266"/>
    <d v="2011-01-12T00:00:00"/>
    <n v="1"/>
    <n v="0"/>
    <n v="1"/>
    <n v="12"/>
    <x v="0"/>
    <n v="3"/>
    <n v="1"/>
    <n v="0.2"/>
  </r>
  <r>
    <n v="267"/>
    <d v="2011-01-12T00:00:00"/>
    <n v="1"/>
    <n v="0"/>
    <n v="1"/>
    <n v="13"/>
    <x v="0"/>
    <n v="3"/>
    <n v="1"/>
    <n v="0.22"/>
  </r>
  <r>
    <n v="268"/>
    <d v="2011-01-12T00:00:00"/>
    <n v="1"/>
    <n v="0"/>
    <n v="1"/>
    <n v="14"/>
    <x v="0"/>
    <n v="3"/>
    <n v="1"/>
    <n v="0.2"/>
  </r>
  <r>
    <n v="269"/>
    <d v="2011-01-12T00:00:00"/>
    <n v="1"/>
    <n v="0"/>
    <n v="1"/>
    <n v="15"/>
    <x v="0"/>
    <n v="3"/>
    <n v="1"/>
    <n v="0.2"/>
  </r>
  <r>
    <n v="270"/>
    <d v="2011-01-12T00:00:00"/>
    <n v="1"/>
    <n v="0"/>
    <n v="1"/>
    <n v="16"/>
    <x v="0"/>
    <n v="3"/>
    <n v="1"/>
    <n v="0.22"/>
  </r>
  <r>
    <n v="271"/>
    <d v="2011-01-12T00:00:00"/>
    <n v="1"/>
    <n v="0"/>
    <n v="1"/>
    <n v="17"/>
    <x v="0"/>
    <n v="3"/>
    <n v="1"/>
    <n v="0.2"/>
  </r>
  <r>
    <n v="272"/>
    <d v="2011-01-12T00:00:00"/>
    <n v="1"/>
    <n v="0"/>
    <n v="1"/>
    <n v="18"/>
    <x v="0"/>
    <n v="3"/>
    <n v="1"/>
    <n v="0.2"/>
  </r>
  <r>
    <n v="273"/>
    <d v="2011-01-12T00:00:00"/>
    <n v="1"/>
    <n v="0"/>
    <n v="1"/>
    <n v="19"/>
    <x v="0"/>
    <n v="3"/>
    <n v="1"/>
    <n v="0.18"/>
  </r>
  <r>
    <n v="274"/>
    <d v="2011-01-12T00:00:00"/>
    <n v="1"/>
    <n v="0"/>
    <n v="1"/>
    <n v="20"/>
    <x v="0"/>
    <n v="3"/>
    <n v="1"/>
    <n v="0.16"/>
  </r>
  <r>
    <n v="275"/>
    <d v="2011-01-12T00:00:00"/>
    <n v="1"/>
    <n v="0"/>
    <n v="1"/>
    <n v="21"/>
    <x v="0"/>
    <n v="3"/>
    <n v="1"/>
    <n v="0.16"/>
  </r>
  <r>
    <n v="276"/>
    <d v="2011-01-12T00:00:00"/>
    <n v="1"/>
    <n v="0"/>
    <n v="1"/>
    <n v="22"/>
    <x v="0"/>
    <n v="3"/>
    <n v="1"/>
    <n v="0.16"/>
  </r>
  <r>
    <n v="277"/>
    <d v="2011-01-12T00:00:00"/>
    <n v="1"/>
    <n v="0"/>
    <n v="1"/>
    <n v="23"/>
    <x v="0"/>
    <n v="3"/>
    <n v="1"/>
    <n v="0.14000000000000001"/>
  </r>
  <r>
    <n v="278"/>
    <d v="2011-01-13T00:00:00"/>
    <n v="1"/>
    <n v="0"/>
    <n v="1"/>
    <n v="0"/>
    <x v="0"/>
    <n v="4"/>
    <n v="1"/>
    <n v="0.14000000000000001"/>
  </r>
  <r>
    <n v="279"/>
    <d v="2011-01-13T00:00:00"/>
    <n v="1"/>
    <n v="0"/>
    <n v="1"/>
    <n v="1"/>
    <x v="0"/>
    <n v="4"/>
    <n v="1"/>
    <n v="0.14000000000000001"/>
  </r>
  <r>
    <n v="280"/>
    <d v="2011-01-13T00:00:00"/>
    <n v="1"/>
    <n v="0"/>
    <n v="1"/>
    <n v="2"/>
    <x v="0"/>
    <n v="4"/>
    <n v="1"/>
    <n v="0.14000000000000001"/>
  </r>
  <r>
    <n v="281"/>
    <d v="2011-01-13T00:00:00"/>
    <n v="1"/>
    <n v="0"/>
    <n v="1"/>
    <n v="3"/>
    <x v="0"/>
    <n v="4"/>
    <n v="1"/>
    <n v="0.14000000000000001"/>
  </r>
  <r>
    <n v="282"/>
    <d v="2011-01-13T00:00:00"/>
    <n v="1"/>
    <n v="0"/>
    <n v="1"/>
    <n v="4"/>
    <x v="0"/>
    <n v="4"/>
    <n v="1"/>
    <n v="0.14000000000000001"/>
  </r>
  <r>
    <n v="283"/>
    <d v="2011-01-13T00:00:00"/>
    <n v="1"/>
    <n v="0"/>
    <n v="1"/>
    <n v="5"/>
    <x v="0"/>
    <n v="4"/>
    <n v="1"/>
    <n v="0.14000000000000001"/>
  </r>
  <r>
    <n v="284"/>
    <d v="2011-01-13T00:00:00"/>
    <n v="1"/>
    <n v="0"/>
    <n v="1"/>
    <n v="6"/>
    <x v="0"/>
    <n v="4"/>
    <n v="1"/>
    <n v="0.12"/>
  </r>
  <r>
    <n v="285"/>
    <d v="2011-01-13T00:00:00"/>
    <n v="1"/>
    <n v="0"/>
    <n v="1"/>
    <n v="7"/>
    <x v="0"/>
    <n v="4"/>
    <n v="1"/>
    <n v="0.12"/>
  </r>
  <r>
    <n v="286"/>
    <d v="2011-01-13T00:00:00"/>
    <n v="1"/>
    <n v="0"/>
    <n v="1"/>
    <n v="8"/>
    <x v="0"/>
    <n v="4"/>
    <n v="1"/>
    <n v="0.14000000000000001"/>
  </r>
  <r>
    <n v="287"/>
    <d v="2011-01-13T00:00:00"/>
    <n v="1"/>
    <n v="0"/>
    <n v="1"/>
    <n v="9"/>
    <x v="0"/>
    <n v="4"/>
    <n v="1"/>
    <n v="0.14000000000000001"/>
  </r>
  <r>
    <n v="288"/>
    <d v="2011-01-13T00:00:00"/>
    <n v="1"/>
    <n v="0"/>
    <n v="1"/>
    <n v="10"/>
    <x v="0"/>
    <n v="4"/>
    <n v="2"/>
    <n v="0.16"/>
  </r>
  <r>
    <n v="289"/>
    <d v="2011-01-13T00:00:00"/>
    <n v="1"/>
    <n v="0"/>
    <n v="1"/>
    <n v="11"/>
    <x v="0"/>
    <n v="4"/>
    <n v="2"/>
    <n v="0.2"/>
  </r>
  <r>
    <n v="290"/>
    <d v="2011-01-13T00:00:00"/>
    <n v="1"/>
    <n v="0"/>
    <n v="1"/>
    <n v="12"/>
    <x v="0"/>
    <n v="4"/>
    <n v="1"/>
    <n v="0.2"/>
  </r>
  <r>
    <n v="291"/>
    <d v="2011-01-13T00:00:00"/>
    <n v="1"/>
    <n v="0"/>
    <n v="1"/>
    <n v="13"/>
    <x v="0"/>
    <n v="4"/>
    <n v="1"/>
    <n v="0.22"/>
  </r>
  <r>
    <n v="292"/>
    <d v="2011-01-13T00:00:00"/>
    <n v="1"/>
    <n v="0"/>
    <n v="1"/>
    <n v="14"/>
    <x v="0"/>
    <n v="4"/>
    <n v="1"/>
    <n v="0.22"/>
  </r>
  <r>
    <n v="293"/>
    <d v="2011-01-13T00:00:00"/>
    <n v="1"/>
    <n v="0"/>
    <n v="1"/>
    <n v="15"/>
    <x v="0"/>
    <n v="4"/>
    <n v="1"/>
    <n v="0.24"/>
  </r>
  <r>
    <n v="294"/>
    <d v="2011-01-13T00:00:00"/>
    <n v="1"/>
    <n v="0"/>
    <n v="1"/>
    <n v="16"/>
    <x v="0"/>
    <n v="4"/>
    <n v="1"/>
    <n v="0.24"/>
  </r>
  <r>
    <n v="295"/>
    <d v="2011-01-13T00:00:00"/>
    <n v="1"/>
    <n v="0"/>
    <n v="1"/>
    <n v="17"/>
    <x v="0"/>
    <n v="4"/>
    <n v="1"/>
    <n v="0.2"/>
  </r>
  <r>
    <n v="296"/>
    <d v="2011-01-13T00:00:00"/>
    <n v="1"/>
    <n v="0"/>
    <n v="1"/>
    <n v="18"/>
    <x v="0"/>
    <n v="4"/>
    <n v="1"/>
    <n v="0.2"/>
  </r>
  <r>
    <n v="297"/>
    <d v="2011-01-13T00:00:00"/>
    <n v="1"/>
    <n v="0"/>
    <n v="1"/>
    <n v="19"/>
    <x v="0"/>
    <n v="4"/>
    <n v="1"/>
    <n v="0.16"/>
  </r>
  <r>
    <n v="298"/>
    <d v="2011-01-13T00:00:00"/>
    <n v="1"/>
    <n v="0"/>
    <n v="1"/>
    <n v="20"/>
    <x v="0"/>
    <n v="4"/>
    <n v="1"/>
    <n v="0.16"/>
  </r>
  <r>
    <n v="299"/>
    <d v="2011-01-13T00:00:00"/>
    <n v="1"/>
    <n v="0"/>
    <n v="1"/>
    <n v="21"/>
    <x v="0"/>
    <n v="4"/>
    <n v="1"/>
    <n v="0.14000000000000001"/>
  </r>
  <r>
    <n v="300"/>
    <d v="2011-01-13T00:00:00"/>
    <n v="1"/>
    <n v="0"/>
    <n v="1"/>
    <n v="22"/>
    <x v="0"/>
    <n v="4"/>
    <n v="1"/>
    <n v="0.14000000000000001"/>
  </r>
  <r>
    <n v="301"/>
    <d v="2011-01-13T00:00:00"/>
    <n v="1"/>
    <n v="0"/>
    <n v="1"/>
    <n v="23"/>
    <x v="0"/>
    <n v="4"/>
    <n v="1"/>
    <n v="0.12"/>
  </r>
  <r>
    <n v="302"/>
    <d v="2011-01-14T00:00:00"/>
    <n v="1"/>
    <n v="0"/>
    <n v="1"/>
    <n v="0"/>
    <x v="0"/>
    <n v="5"/>
    <n v="1"/>
    <n v="0.12"/>
  </r>
  <r>
    <n v="303"/>
    <d v="2011-01-14T00:00:00"/>
    <n v="1"/>
    <n v="0"/>
    <n v="1"/>
    <n v="1"/>
    <x v="0"/>
    <n v="5"/>
    <n v="1"/>
    <n v="0.1"/>
  </r>
  <r>
    <n v="304"/>
    <d v="2011-01-14T00:00:00"/>
    <n v="1"/>
    <n v="0"/>
    <n v="1"/>
    <n v="2"/>
    <x v="0"/>
    <n v="5"/>
    <n v="1"/>
    <n v="0.1"/>
  </r>
  <r>
    <n v="305"/>
    <d v="2011-01-14T00:00:00"/>
    <n v="1"/>
    <n v="0"/>
    <n v="1"/>
    <n v="3"/>
    <x v="0"/>
    <n v="5"/>
    <n v="1"/>
    <n v="0.1"/>
  </r>
  <r>
    <n v="306"/>
    <d v="2011-01-14T00:00:00"/>
    <n v="1"/>
    <n v="0"/>
    <n v="1"/>
    <n v="5"/>
    <x v="0"/>
    <n v="5"/>
    <n v="1"/>
    <n v="0.1"/>
  </r>
  <r>
    <n v="307"/>
    <d v="2011-01-14T00:00:00"/>
    <n v="1"/>
    <n v="0"/>
    <n v="1"/>
    <n v="6"/>
    <x v="0"/>
    <n v="5"/>
    <n v="1"/>
    <n v="0.1"/>
  </r>
  <r>
    <n v="308"/>
    <d v="2011-01-14T00:00:00"/>
    <n v="1"/>
    <n v="0"/>
    <n v="1"/>
    <n v="7"/>
    <x v="0"/>
    <n v="5"/>
    <n v="1"/>
    <n v="0.1"/>
  </r>
  <r>
    <n v="309"/>
    <d v="2011-01-14T00:00:00"/>
    <n v="1"/>
    <n v="0"/>
    <n v="1"/>
    <n v="8"/>
    <x v="0"/>
    <n v="5"/>
    <n v="1"/>
    <n v="0.12"/>
  </r>
  <r>
    <n v="310"/>
    <d v="2011-01-14T00:00:00"/>
    <n v="1"/>
    <n v="0"/>
    <n v="1"/>
    <n v="9"/>
    <x v="0"/>
    <n v="5"/>
    <n v="1"/>
    <n v="0.14000000000000001"/>
  </r>
  <r>
    <n v="311"/>
    <d v="2011-01-14T00:00:00"/>
    <n v="1"/>
    <n v="0"/>
    <n v="1"/>
    <n v="10"/>
    <x v="0"/>
    <n v="5"/>
    <n v="1"/>
    <n v="0.18"/>
  </r>
  <r>
    <n v="312"/>
    <d v="2011-01-14T00:00:00"/>
    <n v="1"/>
    <n v="0"/>
    <n v="1"/>
    <n v="11"/>
    <x v="0"/>
    <n v="5"/>
    <n v="1"/>
    <n v="0.18"/>
  </r>
  <r>
    <n v="313"/>
    <d v="2011-01-14T00:00:00"/>
    <n v="1"/>
    <n v="0"/>
    <n v="1"/>
    <n v="12"/>
    <x v="0"/>
    <n v="5"/>
    <n v="1"/>
    <n v="0.2"/>
  </r>
  <r>
    <n v="314"/>
    <d v="2011-01-14T00:00:00"/>
    <n v="1"/>
    <n v="0"/>
    <n v="1"/>
    <n v="13"/>
    <x v="0"/>
    <n v="5"/>
    <n v="1"/>
    <n v="0.22"/>
  </r>
  <r>
    <n v="315"/>
    <d v="2011-01-14T00:00:00"/>
    <n v="1"/>
    <n v="0"/>
    <n v="1"/>
    <n v="14"/>
    <x v="0"/>
    <n v="5"/>
    <n v="1"/>
    <n v="0.22"/>
  </r>
  <r>
    <n v="316"/>
    <d v="2011-01-14T00:00:00"/>
    <n v="1"/>
    <n v="0"/>
    <n v="1"/>
    <n v="15"/>
    <x v="0"/>
    <n v="5"/>
    <n v="1"/>
    <n v="0.24"/>
  </r>
  <r>
    <n v="317"/>
    <d v="2011-01-14T00:00:00"/>
    <n v="1"/>
    <n v="0"/>
    <n v="1"/>
    <n v="16"/>
    <x v="0"/>
    <n v="5"/>
    <n v="1"/>
    <n v="0.22"/>
  </r>
  <r>
    <n v="318"/>
    <d v="2011-01-14T00:00:00"/>
    <n v="1"/>
    <n v="0"/>
    <n v="1"/>
    <n v="17"/>
    <x v="0"/>
    <n v="5"/>
    <n v="1"/>
    <n v="0.22"/>
  </r>
  <r>
    <n v="319"/>
    <d v="2011-01-14T00:00:00"/>
    <n v="1"/>
    <n v="0"/>
    <n v="1"/>
    <n v="18"/>
    <x v="0"/>
    <n v="5"/>
    <n v="1"/>
    <n v="0.2"/>
  </r>
  <r>
    <n v="320"/>
    <d v="2011-01-14T00:00:00"/>
    <n v="1"/>
    <n v="0"/>
    <n v="1"/>
    <n v="19"/>
    <x v="0"/>
    <n v="5"/>
    <n v="1"/>
    <n v="0.16"/>
  </r>
  <r>
    <n v="321"/>
    <d v="2011-01-14T00:00:00"/>
    <n v="1"/>
    <n v="0"/>
    <n v="1"/>
    <n v="20"/>
    <x v="0"/>
    <n v="5"/>
    <n v="1"/>
    <n v="0.18"/>
  </r>
  <r>
    <n v="322"/>
    <d v="2011-01-14T00:00:00"/>
    <n v="1"/>
    <n v="0"/>
    <n v="1"/>
    <n v="21"/>
    <x v="0"/>
    <n v="5"/>
    <n v="1"/>
    <n v="0.16"/>
  </r>
  <r>
    <n v="323"/>
    <d v="2011-01-14T00:00:00"/>
    <n v="1"/>
    <n v="0"/>
    <n v="1"/>
    <n v="22"/>
    <x v="0"/>
    <n v="5"/>
    <n v="2"/>
    <n v="0.16"/>
  </r>
  <r>
    <n v="324"/>
    <d v="2011-01-14T00:00:00"/>
    <n v="1"/>
    <n v="0"/>
    <n v="1"/>
    <n v="23"/>
    <x v="0"/>
    <n v="5"/>
    <n v="2"/>
    <n v="0.18"/>
  </r>
  <r>
    <n v="325"/>
    <d v="2011-01-15T00:00:00"/>
    <n v="1"/>
    <n v="0"/>
    <n v="1"/>
    <n v="0"/>
    <x v="0"/>
    <n v="6"/>
    <n v="1"/>
    <n v="0.18"/>
  </r>
  <r>
    <n v="326"/>
    <d v="2011-01-15T00:00:00"/>
    <n v="1"/>
    <n v="0"/>
    <n v="1"/>
    <n v="1"/>
    <x v="0"/>
    <n v="6"/>
    <n v="2"/>
    <n v="0.16"/>
  </r>
  <r>
    <n v="327"/>
    <d v="2011-01-15T00:00:00"/>
    <n v="1"/>
    <n v="0"/>
    <n v="1"/>
    <n v="2"/>
    <x v="0"/>
    <n v="6"/>
    <n v="2"/>
    <n v="0.16"/>
  </r>
  <r>
    <n v="328"/>
    <d v="2011-01-15T00:00:00"/>
    <n v="1"/>
    <n v="0"/>
    <n v="1"/>
    <n v="3"/>
    <x v="0"/>
    <n v="6"/>
    <n v="2"/>
    <n v="0.16"/>
  </r>
  <r>
    <n v="329"/>
    <d v="2011-01-15T00:00:00"/>
    <n v="1"/>
    <n v="0"/>
    <n v="1"/>
    <n v="4"/>
    <x v="0"/>
    <n v="6"/>
    <n v="2"/>
    <n v="0.16"/>
  </r>
  <r>
    <n v="330"/>
    <d v="2011-01-15T00:00:00"/>
    <n v="1"/>
    <n v="0"/>
    <n v="1"/>
    <n v="5"/>
    <x v="0"/>
    <n v="6"/>
    <n v="1"/>
    <n v="0.16"/>
  </r>
  <r>
    <n v="331"/>
    <d v="2011-01-15T00:00:00"/>
    <n v="1"/>
    <n v="0"/>
    <n v="1"/>
    <n v="6"/>
    <x v="0"/>
    <n v="6"/>
    <n v="1"/>
    <n v="0.14000000000000001"/>
  </r>
  <r>
    <n v="332"/>
    <d v="2011-01-15T00:00:00"/>
    <n v="1"/>
    <n v="0"/>
    <n v="1"/>
    <n v="7"/>
    <x v="0"/>
    <n v="6"/>
    <n v="1"/>
    <n v="0.14000000000000001"/>
  </r>
  <r>
    <n v="333"/>
    <d v="2011-01-15T00:00:00"/>
    <n v="1"/>
    <n v="0"/>
    <n v="1"/>
    <n v="8"/>
    <x v="0"/>
    <n v="6"/>
    <n v="1"/>
    <n v="0.14000000000000001"/>
  </r>
  <r>
    <n v="334"/>
    <d v="2011-01-15T00:00:00"/>
    <n v="1"/>
    <n v="0"/>
    <n v="1"/>
    <n v="9"/>
    <x v="0"/>
    <n v="6"/>
    <n v="1"/>
    <n v="0.16"/>
  </r>
  <r>
    <n v="335"/>
    <d v="2011-01-15T00:00:00"/>
    <n v="1"/>
    <n v="0"/>
    <n v="1"/>
    <n v="10"/>
    <x v="0"/>
    <n v="6"/>
    <n v="1"/>
    <n v="0.18"/>
  </r>
  <r>
    <n v="336"/>
    <d v="2011-01-15T00:00:00"/>
    <n v="1"/>
    <n v="0"/>
    <n v="1"/>
    <n v="11"/>
    <x v="0"/>
    <n v="6"/>
    <n v="1"/>
    <n v="0.2"/>
  </r>
  <r>
    <n v="337"/>
    <d v="2011-01-15T00:00:00"/>
    <n v="1"/>
    <n v="0"/>
    <n v="1"/>
    <n v="12"/>
    <x v="0"/>
    <n v="6"/>
    <n v="1"/>
    <n v="0.24"/>
  </r>
  <r>
    <n v="338"/>
    <d v="2011-01-15T00:00:00"/>
    <n v="1"/>
    <n v="0"/>
    <n v="1"/>
    <n v="13"/>
    <x v="0"/>
    <n v="6"/>
    <n v="1"/>
    <n v="0.28000000000000003"/>
  </r>
  <r>
    <n v="339"/>
    <d v="2011-01-15T00:00:00"/>
    <n v="1"/>
    <n v="0"/>
    <n v="1"/>
    <n v="14"/>
    <x v="0"/>
    <n v="6"/>
    <n v="1"/>
    <n v="0.3"/>
  </r>
  <r>
    <n v="340"/>
    <d v="2011-01-15T00:00:00"/>
    <n v="1"/>
    <n v="0"/>
    <n v="1"/>
    <n v="15"/>
    <x v="0"/>
    <n v="6"/>
    <n v="2"/>
    <n v="0.32"/>
  </r>
  <r>
    <n v="341"/>
    <d v="2011-01-15T00:00:00"/>
    <n v="1"/>
    <n v="0"/>
    <n v="1"/>
    <n v="16"/>
    <x v="0"/>
    <n v="6"/>
    <n v="2"/>
    <n v="0.34"/>
  </r>
  <r>
    <n v="342"/>
    <d v="2011-01-15T00:00:00"/>
    <n v="1"/>
    <n v="0"/>
    <n v="1"/>
    <n v="17"/>
    <x v="0"/>
    <n v="6"/>
    <n v="2"/>
    <n v="0.32"/>
  </r>
  <r>
    <n v="343"/>
    <d v="2011-01-15T00:00:00"/>
    <n v="1"/>
    <n v="0"/>
    <n v="1"/>
    <n v="18"/>
    <x v="0"/>
    <n v="6"/>
    <n v="2"/>
    <n v="0.3"/>
  </r>
  <r>
    <n v="344"/>
    <d v="2011-01-15T00:00:00"/>
    <n v="1"/>
    <n v="0"/>
    <n v="1"/>
    <n v="19"/>
    <x v="0"/>
    <n v="6"/>
    <n v="2"/>
    <n v="0.32"/>
  </r>
  <r>
    <n v="345"/>
    <d v="2011-01-15T00:00:00"/>
    <n v="1"/>
    <n v="0"/>
    <n v="1"/>
    <n v="20"/>
    <x v="0"/>
    <n v="6"/>
    <n v="2"/>
    <n v="0.32"/>
  </r>
  <r>
    <n v="346"/>
    <d v="2011-01-15T00:00:00"/>
    <n v="1"/>
    <n v="0"/>
    <n v="1"/>
    <n v="21"/>
    <x v="0"/>
    <n v="6"/>
    <n v="2"/>
    <n v="0.32"/>
  </r>
  <r>
    <n v="347"/>
    <d v="2011-01-15T00:00:00"/>
    <n v="1"/>
    <n v="0"/>
    <n v="1"/>
    <n v="22"/>
    <x v="0"/>
    <n v="6"/>
    <n v="2"/>
    <n v="0.3"/>
  </r>
  <r>
    <n v="348"/>
    <d v="2011-01-15T00:00:00"/>
    <n v="1"/>
    <n v="0"/>
    <n v="1"/>
    <n v="23"/>
    <x v="0"/>
    <n v="6"/>
    <n v="1"/>
    <n v="0.3"/>
  </r>
  <r>
    <n v="349"/>
    <d v="2011-01-16T00:00:00"/>
    <n v="1"/>
    <n v="0"/>
    <n v="1"/>
    <n v="0"/>
    <x v="0"/>
    <n v="0"/>
    <n v="1"/>
    <n v="0.26"/>
  </r>
  <r>
    <n v="350"/>
    <d v="2011-01-16T00:00:00"/>
    <n v="1"/>
    <n v="0"/>
    <n v="1"/>
    <n v="1"/>
    <x v="0"/>
    <n v="0"/>
    <n v="1"/>
    <n v="0.26"/>
  </r>
  <r>
    <n v="351"/>
    <d v="2011-01-16T00:00:00"/>
    <n v="1"/>
    <n v="0"/>
    <n v="1"/>
    <n v="2"/>
    <x v="0"/>
    <n v="0"/>
    <n v="1"/>
    <n v="0.26"/>
  </r>
  <r>
    <n v="352"/>
    <d v="2011-01-16T00:00:00"/>
    <n v="1"/>
    <n v="0"/>
    <n v="1"/>
    <n v="3"/>
    <x v="0"/>
    <n v="0"/>
    <n v="1"/>
    <n v="0.22"/>
  </r>
  <r>
    <n v="353"/>
    <d v="2011-01-16T00:00:00"/>
    <n v="1"/>
    <n v="0"/>
    <n v="1"/>
    <n v="4"/>
    <x v="0"/>
    <n v="0"/>
    <n v="1"/>
    <n v="0.26"/>
  </r>
  <r>
    <n v="354"/>
    <d v="2011-01-16T00:00:00"/>
    <n v="1"/>
    <n v="0"/>
    <n v="1"/>
    <n v="5"/>
    <x v="0"/>
    <n v="0"/>
    <n v="2"/>
    <n v="0.26"/>
  </r>
  <r>
    <n v="355"/>
    <d v="2011-01-16T00:00:00"/>
    <n v="1"/>
    <n v="0"/>
    <n v="1"/>
    <n v="6"/>
    <x v="0"/>
    <n v="0"/>
    <n v="2"/>
    <n v="0.26"/>
  </r>
  <r>
    <n v="356"/>
    <d v="2011-01-16T00:00:00"/>
    <n v="1"/>
    <n v="0"/>
    <n v="1"/>
    <n v="7"/>
    <x v="0"/>
    <n v="0"/>
    <n v="2"/>
    <n v="0.24"/>
  </r>
  <r>
    <n v="357"/>
    <d v="2011-01-16T00:00:00"/>
    <n v="1"/>
    <n v="0"/>
    <n v="1"/>
    <n v="8"/>
    <x v="0"/>
    <n v="0"/>
    <n v="1"/>
    <n v="0.22"/>
  </r>
  <r>
    <n v="358"/>
    <d v="2011-01-16T00:00:00"/>
    <n v="1"/>
    <n v="0"/>
    <n v="1"/>
    <n v="9"/>
    <x v="0"/>
    <n v="0"/>
    <n v="1"/>
    <n v="0.22"/>
  </r>
  <r>
    <n v="359"/>
    <d v="2011-01-16T00:00:00"/>
    <n v="1"/>
    <n v="0"/>
    <n v="1"/>
    <n v="10"/>
    <x v="0"/>
    <n v="0"/>
    <n v="1"/>
    <n v="0.22"/>
  </r>
  <r>
    <n v="360"/>
    <d v="2011-01-16T00:00:00"/>
    <n v="1"/>
    <n v="0"/>
    <n v="1"/>
    <n v="11"/>
    <x v="0"/>
    <n v="0"/>
    <n v="1"/>
    <n v="0.24"/>
  </r>
  <r>
    <n v="361"/>
    <d v="2011-01-16T00:00:00"/>
    <n v="1"/>
    <n v="0"/>
    <n v="1"/>
    <n v="12"/>
    <x v="0"/>
    <n v="0"/>
    <n v="1"/>
    <n v="0.24"/>
  </r>
  <r>
    <n v="362"/>
    <d v="2011-01-16T00:00:00"/>
    <n v="1"/>
    <n v="0"/>
    <n v="1"/>
    <n v="13"/>
    <x v="0"/>
    <n v="0"/>
    <n v="1"/>
    <n v="0.26"/>
  </r>
  <r>
    <n v="363"/>
    <d v="2011-01-16T00:00:00"/>
    <n v="1"/>
    <n v="0"/>
    <n v="1"/>
    <n v="14"/>
    <x v="0"/>
    <n v="0"/>
    <n v="1"/>
    <n v="0.28000000000000003"/>
  </r>
  <r>
    <n v="364"/>
    <d v="2011-01-16T00:00:00"/>
    <n v="1"/>
    <n v="0"/>
    <n v="1"/>
    <n v="15"/>
    <x v="0"/>
    <n v="0"/>
    <n v="1"/>
    <n v="0.26"/>
  </r>
  <r>
    <n v="365"/>
    <d v="2011-01-16T00:00:00"/>
    <n v="1"/>
    <n v="0"/>
    <n v="1"/>
    <n v="16"/>
    <x v="0"/>
    <n v="0"/>
    <n v="1"/>
    <n v="0.24"/>
  </r>
  <r>
    <n v="366"/>
    <d v="2011-01-16T00:00:00"/>
    <n v="1"/>
    <n v="0"/>
    <n v="1"/>
    <n v="17"/>
    <x v="0"/>
    <n v="0"/>
    <n v="1"/>
    <n v="0.22"/>
  </r>
  <r>
    <n v="367"/>
    <d v="2011-01-16T00:00:00"/>
    <n v="1"/>
    <n v="0"/>
    <n v="1"/>
    <n v="18"/>
    <x v="0"/>
    <n v="0"/>
    <n v="1"/>
    <n v="0.2"/>
  </r>
  <r>
    <n v="368"/>
    <d v="2011-01-16T00:00:00"/>
    <n v="1"/>
    <n v="0"/>
    <n v="1"/>
    <n v="19"/>
    <x v="0"/>
    <n v="0"/>
    <n v="1"/>
    <n v="0.18"/>
  </r>
  <r>
    <n v="369"/>
    <d v="2011-01-16T00:00:00"/>
    <n v="1"/>
    <n v="0"/>
    <n v="1"/>
    <n v="20"/>
    <x v="0"/>
    <n v="0"/>
    <n v="1"/>
    <n v="0.18"/>
  </r>
  <r>
    <n v="370"/>
    <d v="2011-01-16T00:00:00"/>
    <n v="1"/>
    <n v="0"/>
    <n v="1"/>
    <n v="21"/>
    <x v="0"/>
    <n v="0"/>
    <n v="1"/>
    <n v="0.18"/>
  </r>
  <r>
    <n v="371"/>
    <d v="2011-01-16T00:00:00"/>
    <n v="1"/>
    <n v="0"/>
    <n v="1"/>
    <n v="22"/>
    <x v="0"/>
    <n v="0"/>
    <n v="2"/>
    <n v="0.2"/>
  </r>
  <r>
    <n v="372"/>
    <d v="2011-01-16T00:00:00"/>
    <n v="1"/>
    <n v="0"/>
    <n v="1"/>
    <n v="23"/>
    <x v="0"/>
    <n v="0"/>
    <n v="2"/>
    <n v="0.2"/>
  </r>
  <r>
    <n v="373"/>
    <d v="2011-01-17T00:00:00"/>
    <n v="1"/>
    <n v="0"/>
    <n v="1"/>
    <n v="0"/>
    <x v="1"/>
    <n v="1"/>
    <n v="2"/>
    <n v="0.2"/>
  </r>
  <r>
    <n v="374"/>
    <d v="2011-01-17T00:00:00"/>
    <n v="1"/>
    <n v="0"/>
    <n v="1"/>
    <n v="1"/>
    <x v="1"/>
    <n v="1"/>
    <n v="2"/>
    <n v="0.2"/>
  </r>
  <r>
    <n v="375"/>
    <d v="2011-01-17T00:00:00"/>
    <n v="1"/>
    <n v="0"/>
    <n v="1"/>
    <n v="2"/>
    <x v="1"/>
    <n v="1"/>
    <n v="2"/>
    <n v="0.18"/>
  </r>
  <r>
    <n v="376"/>
    <d v="2011-01-17T00:00:00"/>
    <n v="1"/>
    <n v="0"/>
    <n v="1"/>
    <n v="3"/>
    <x v="1"/>
    <n v="1"/>
    <n v="2"/>
    <n v="0.18"/>
  </r>
  <r>
    <n v="377"/>
    <d v="2011-01-17T00:00:00"/>
    <n v="1"/>
    <n v="0"/>
    <n v="1"/>
    <n v="4"/>
    <x v="1"/>
    <n v="1"/>
    <n v="2"/>
    <n v="0.18"/>
  </r>
  <r>
    <n v="378"/>
    <d v="2011-01-17T00:00:00"/>
    <n v="1"/>
    <n v="0"/>
    <n v="1"/>
    <n v="5"/>
    <x v="1"/>
    <n v="1"/>
    <n v="2"/>
    <n v="0.18"/>
  </r>
  <r>
    <n v="379"/>
    <d v="2011-01-17T00:00:00"/>
    <n v="1"/>
    <n v="0"/>
    <n v="1"/>
    <n v="6"/>
    <x v="1"/>
    <n v="1"/>
    <n v="2"/>
    <n v="0.18"/>
  </r>
  <r>
    <n v="380"/>
    <d v="2011-01-17T00:00:00"/>
    <n v="1"/>
    <n v="0"/>
    <n v="1"/>
    <n v="7"/>
    <x v="1"/>
    <n v="1"/>
    <n v="2"/>
    <n v="0.16"/>
  </r>
  <r>
    <n v="381"/>
    <d v="2011-01-17T00:00:00"/>
    <n v="1"/>
    <n v="0"/>
    <n v="1"/>
    <n v="8"/>
    <x v="1"/>
    <n v="1"/>
    <n v="2"/>
    <n v="0.16"/>
  </r>
  <r>
    <n v="382"/>
    <d v="2011-01-17T00:00:00"/>
    <n v="1"/>
    <n v="0"/>
    <n v="1"/>
    <n v="9"/>
    <x v="1"/>
    <n v="1"/>
    <n v="2"/>
    <n v="0.16"/>
  </r>
  <r>
    <n v="383"/>
    <d v="2011-01-17T00:00:00"/>
    <n v="1"/>
    <n v="0"/>
    <n v="1"/>
    <n v="10"/>
    <x v="1"/>
    <n v="1"/>
    <n v="2"/>
    <n v="0.16"/>
  </r>
  <r>
    <n v="384"/>
    <d v="2011-01-17T00:00:00"/>
    <n v="1"/>
    <n v="0"/>
    <n v="1"/>
    <n v="11"/>
    <x v="1"/>
    <n v="1"/>
    <n v="2"/>
    <n v="0.16"/>
  </r>
  <r>
    <n v="385"/>
    <d v="2011-01-17T00:00:00"/>
    <n v="1"/>
    <n v="0"/>
    <n v="1"/>
    <n v="12"/>
    <x v="1"/>
    <n v="1"/>
    <n v="2"/>
    <n v="0.18"/>
  </r>
  <r>
    <n v="386"/>
    <d v="2011-01-17T00:00:00"/>
    <n v="1"/>
    <n v="0"/>
    <n v="1"/>
    <n v="13"/>
    <x v="1"/>
    <n v="1"/>
    <n v="2"/>
    <n v="0.18"/>
  </r>
  <r>
    <n v="387"/>
    <d v="2011-01-17T00:00:00"/>
    <n v="1"/>
    <n v="0"/>
    <n v="1"/>
    <n v="14"/>
    <x v="1"/>
    <n v="1"/>
    <n v="2"/>
    <n v="0.18"/>
  </r>
  <r>
    <n v="388"/>
    <d v="2011-01-17T00:00:00"/>
    <n v="1"/>
    <n v="0"/>
    <n v="1"/>
    <n v="15"/>
    <x v="1"/>
    <n v="1"/>
    <n v="2"/>
    <n v="0.2"/>
  </r>
  <r>
    <n v="389"/>
    <d v="2011-01-17T00:00:00"/>
    <n v="1"/>
    <n v="0"/>
    <n v="1"/>
    <n v="16"/>
    <x v="1"/>
    <n v="1"/>
    <n v="2"/>
    <n v="0.2"/>
  </r>
  <r>
    <n v="390"/>
    <d v="2011-01-17T00:00:00"/>
    <n v="1"/>
    <n v="0"/>
    <n v="1"/>
    <n v="17"/>
    <x v="1"/>
    <n v="1"/>
    <n v="1"/>
    <n v="0.2"/>
  </r>
  <r>
    <n v="391"/>
    <d v="2011-01-17T00:00:00"/>
    <n v="1"/>
    <n v="0"/>
    <n v="1"/>
    <n v="18"/>
    <x v="1"/>
    <n v="1"/>
    <n v="2"/>
    <n v="0.18"/>
  </r>
  <r>
    <n v="392"/>
    <d v="2011-01-17T00:00:00"/>
    <n v="1"/>
    <n v="0"/>
    <n v="1"/>
    <n v="19"/>
    <x v="1"/>
    <n v="1"/>
    <n v="3"/>
    <n v="0.18"/>
  </r>
  <r>
    <n v="393"/>
    <d v="2011-01-17T00:00:00"/>
    <n v="1"/>
    <n v="0"/>
    <n v="1"/>
    <n v="20"/>
    <x v="1"/>
    <n v="1"/>
    <n v="3"/>
    <n v="0.16"/>
  </r>
  <r>
    <n v="394"/>
    <d v="2011-01-17T00:00:00"/>
    <n v="1"/>
    <n v="0"/>
    <n v="1"/>
    <n v="21"/>
    <x v="1"/>
    <n v="1"/>
    <n v="3"/>
    <n v="0.16"/>
  </r>
  <r>
    <n v="395"/>
    <d v="2011-01-17T00:00:00"/>
    <n v="1"/>
    <n v="0"/>
    <n v="1"/>
    <n v="22"/>
    <x v="1"/>
    <n v="1"/>
    <n v="3"/>
    <n v="0.14000000000000001"/>
  </r>
  <r>
    <n v="396"/>
    <d v="2011-01-17T00:00:00"/>
    <n v="1"/>
    <n v="0"/>
    <n v="1"/>
    <n v="23"/>
    <x v="1"/>
    <n v="1"/>
    <n v="3"/>
    <n v="0.16"/>
  </r>
  <r>
    <n v="397"/>
    <d v="2011-01-18T00:00:00"/>
    <n v="1"/>
    <n v="0"/>
    <n v="1"/>
    <n v="12"/>
    <x v="0"/>
    <n v="2"/>
    <n v="2"/>
    <n v="0.2"/>
  </r>
  <r>
    <n v="398"/>
    <d v="2011-01-18T00:00:00"/>
    <n v="1"/>
    <n v="0"/>
    <n v="1"/>
    <n v="13"/>
    <x v="0"/>
    <n v="2"/>
    <n v="2"/>
    <n v="0.2"/>
  </r>
  <r>
    <n v="399"/>
    <d v="2011-01-18T00:00:00"/>
    <n v="1"/>
    <n v="0"/>
    <n v="1"/>
    <n v="14"/>
    <x v="0"/>
    <n v="2"/>
    <n v="2"/>
    <n v="0.22"/>
  </r>
  <r>
    <n v="400"/>
    <d v="2011-01-18T00:00:00"/>
    <n v="1"/>
    <n v="0"/>
    <n v="1"/>
    <n v="15"/>
    <x v="0"/>
    <n v="2"/>
    <n v="2"/>
    <n v="0.22"/>
  </r>
  <r>
    <n v="401"/>
    <d v="2011-01-18T00:00:00"/>
    <n v="1"/>
    <n v="0"/>
    <n v="1"/>
    <n v="16"/>
    <x v="0"/>
    <n v="2"/>
    <n v="2"/>
    <n v="0.22"/>
  </r>
  <r>
    <n v="402"/>
    <d v="2011-01-18T00:00:00"/>
    <n v="1"/>
    <n v="0"/>
    <n v="1"/>
    <n v="17"/>
    <x v="0"/>
    <n v="2"/>
    <n v="2"/>
    <n v="0.22"/>
  </r>
  <r>
    <n v="403"/>
    <d v="2011-01-18T00:00:00"/>
    <n v="1"/>
    <n v="0"/>
    <n v="1"/>
    <n v="18"/>
    <x v="0"/>
    <n v="2"/>
    <n v="2"/>
    <n v="0.22"/>
  </r>
  <r>
    <n v="404"/>
    <d v="2011-01-18T00:00:00"/>
    <n v="1"/>
    <n v="0"/>
    <n v="1"/>
    <n v="19"/>
    <x v="0"/>
    <n v="2"/>
    <n v="2"/>
    <n v="0.22"/>
  </r>
  <r>
    <n v="405"/>
    <d v="2011-01-18T00:00:00"/>
    <n v="1"/>
    <n v="0"/>
    <n v="1"/>
    <n v="20"/>
    <x v="0"/>
    <n v="2"/>
    <n v="2"/>
    <n v="0.22"/>
  </r>
  <r>
    <n v="406"/>
    <d v="2011-01-18T00:00:00"/>
    <n v="1"/>
    <n v="0"/>
    <n v="1"/>
    <n v="21"/>
    <x v="0"/>
    <n v="2"/>
    <n v="2"/>
    <n v="0.22"/>
  </r>
  <r>
    <n v="407"/>
    <d v="2011-01-18T00:00:00"/>
    <n v="1"/>
    <n v="0"/>
    <n v="1"/>
    <n v="22"/>
    <x v="0"/>
    <n v="2"/>
    <n v="2"/>
    <n v="0.22"/>
  </r>
  <r>
    <n v="408"/>
    <d v="2011-01-18T00:00:00"/>
    <n v="1"/>
    <n v="0"/>
    <n v="1"/>
    <n v="23"/>
    <x v="0"/>
    <n v="2"/>
    <n v="2"/>
    <n v="0.22"/>
  </r>
  <r>
    <n v="409"/>
    <d v="2011-01-19T00:00:00"/>
    <n v="1"/>
    <n v="0"/>
    <n v="1"/>
    <n v="0"/>
    <x v="0"/>
    <n v="3"/>
    <n v="2"/>
    <n v="0.22"/>
  </r>
  <r>
    <n v="410"/>
    <d v="2011-01-19T00:00:00"/>
    <n v="1"/>
    <n v="0"/>
    <n v="1"/>
    <n v="1"/>
    <x v="0"/>
    <n v="3"/>
    <n v="3"/>
    <n v="0.22"/>
  </r>
  <r>
    <n v="411"/>
    <d v="2011-01-19T00:00:00"/>
    <n v="1"/>
    <n v="0"/>
    <n v="1"/>
    <n v="2"/>
    <x v="0"/>
    <n v="3"/>
    <n v="3"/>
    <n v="0.22"/>
  </r>
  <r>
    <n v="412"/>
    <d v="2011-01-19T00:00:00"/>
    <n v="1"/>
    <n v="0"/>
    <n v="1"/>
    <n v="4"/>
    <x v="0"/>
    <n v="3"/>
    <n v="3"/>
    <n v="0.22"/>
  </r>
  <r>
    <n v="413"/>
    <d v="2011-01-19T00:00:00"/>
    <n v="1"/>
    <n v="0"/>
    <n v="1"/>
    <n v="5"/>
    <x v="0"/>
    <n v="3"/>
    <n v="2"/>
    <n v="0.22"/>
  </r>
  <r>
    <n v="414"/>
    <d v="2011-01-19T00:00:00"/>
    <n v="1"/>
    <n v="0"/>
    <n v="1"/>
    <n v="6"/>
    <x v="0"/>
    <n v="3"/>
    <n v="2"/>
    <n v="0.22"/>
  </r>
  <r>
    <n v="415"/>
    <d v="2011-01-19T00:00:00"/>
    <n v="1"/>
    <n v="0"/>
    <n v="1"/>
    <n v="7"/>
    <x v="0"/>
    <n v="3"/>
    <n v="2"/>
    <n v="0.24"/>
  </r>
  <r>
    <n v="416"/>
    <d v="2011-01-19T00:00:00"/>
    <n v="1"/>
    <n v="0"/>
    <n v="1"/>
    <n v="8"/>
    <x v="0"/>
    <n v="3"/>
    <n v="2"/>
    <n v="0.24"/>
  </r>
  <r>
    <n v="417"/>
    <d v="2011-01-19T00:00:00"/>
    <n v="1"/>
    <n v="0"/>
    <n v="1"/>
    <n v="9"/>
    <x v="0"/>
    <n v="3"/>
    <n v="2"/>
    <n v="0.24"/>
  </r>
  <r>
    <n v="418"/>
    <d v="2011-01-19T00:00:00"/>
    <n v="1"/>
    <n v="0"/>
    <n v="1"/>
    <n v="10"/>
    <x v="0"/>
    <n v="3"/>
    <n v="2"/>
    <n v="0.26"/>
  </r>
  <r>
    <n v="419"/>
    <d v="2011-01-19T00:00:00"/>
    <n v="1"/>
    <n v="0"/>
    <n v="1"/>
    <n v="11"/>
    <x v="0"/>
    <n v="3"/>
    <n v="2"/>
    <n v="0.28000000000000003"/>
  </r>
  <r>
    <n v="420"/>
    <d v="2011-01-19T00:00:00"/>
    <n v="1"/>
    <n v="0"/>
    <n v="1"/>
    <n v="12"/>
    <x v="0"/>
    <n v="3"/>
    <n v="2"/>
    <n v="0.3"/>
  </r>
  <r>
    <n v="421"/>
    <d v="2011-01-19T00:00:00"/>
    <n v="1"/>
    <n v="0"/>
    <n v="1"/>
    <n v="13"/>
    <x v="0"/>
    <n v="3"/>
    <n v="1"/>
    <n v="0.4"/>
  </r>
  <r>
    <n v="422"/>
    <d v="2011-01-19T00:00:00"/>
    <n v="1"/>
    <n v="0"/>
    <n v="1"/>
    <n v="14"/>
    <x v="0"/>
    <n v="3"/>
    <n v="1"/>
    <n v="0.4"/>
  </r>
  <r>
    <n v="423"/>
    <d v="2011-01-19T00:00:00"/>
    <n v="1"/>
    <n v="0"/>
    <n v="1"/>
    <n v="15"/>
    <x v="0"/>
    <n v="3"/>
    <n v="1"/>
    <n v="0.4"/>
  </r>
  <r>
    <n v="424"/>
    <d v="2011-01-19T00:00:00"/>
    <n v="1"/>
    <n v="0"/>
    <n v="1"/>
    <n v="16"/>
    <x v="0"/>
    <n v="3"/>
    <n v="1"/>
    <n v="0.38"/>
  </r>
  <r>
    <n v="425"/>
    <d v="2011-01-19T00:00:00"/>
    <n v="1"/>
    <n v="0"/>
    <n v="1"/>
    <n v="17"/>
    <x v="0"/>
    <n v="3"/>
    <n v="1"/>
    <n v="0.36"/>
  </r>
  <r>
    <n v="426"/>
    <d v="2011-01-19T00:00:00"/>
    <n v="1"/>
    <n v="0"/>
    <n v="1"/>
    <n v="18"/>
    <x v="0"/>
    <n v="3"/>
    <n v="1"/>
    <n v="0.34"/>
  </r>
  <r>
    <n v="427"/>
    <d v="2011-01-19T00:00:00"/>
    <n v="1"/>
    <n v="0"/>
    <n v="1"/>
    <n v="19"/>
    <x v="0"/>
    <n v="3"/>
    <n v="1"/>
    <n v="0.32"/>
  </r>
  <r>
    <n v="428"/>
    <d v="2011-01-19T00:00:00"/>
    <n v="1"/>
    <n v="0"/>
    <n v="1"/>
    <n v="20"/>
    <x v="0"/>
    <n v="3"/>
    <n v="1"/>
    <n v="0.32"/>
  </r>
  <r>
    <n v="429"/>
    <d v="2011-01-19T00:00:00"/>
    <n v="1"/>
    <n v="0"/>
    <n v="1"/>
    <n v="21"/>
    <x v="0"/>
    <n v="3"/>
    <n v="1"/>
    <n v="0.32"/>
  </r>
  <r>
    <n v="430"/>
    <d v="2011-01-19T00:00:00"/>
    <n v="1"/>
    <n v="0"/>
    <n v="1"/>
    <n v="22"/>
    <x v="0"/>
    <n v="3"/>
    <n v="1"/>
    <n v="0.3"/>
  </r>
  <r>
    <n v="431"/>
    <d v="2011-01-19T00:00:00"/>
    <n v="1"/>
    <n v="0"/>
    <n v="1"/>
    <n v="23"/>
    <x v="0"/>
    <n v="3"/>
    <n v="1"/>
    <n v="0.3"/>
  </r>
  <r>
    <n v="432"/>
    <d v="2011-01-20T00:00:00"/>
    <n v="1"/>
    <n v="0"/>
    <n v="1"/>
    <n v="0"/>
    <x v="0"/>
    <n v="4"/>
    <n v="1"/>
    <n v="0.26"/>
  </r>
  <r>
    <n v="433"/>
    <d v="2011-01-20T00:00:00"/>
    <n v="1"/>
    <n v="0"/>
    <n v="1"/>
    <n v="1"/>
    <x v="0"/>
    <n v="4"/>
    <n v="1"/>
    <n v="0.26"/>
  </r>
  <r>
    <n v="434"/>
    <d v="2011-01-20T00:00:00"/>
    <n v="1"/>
    <n v="0"/>
    <n v="1"/>
    <n v="2"/>
    <x v="0"/>
    <n v="4"/>
    <n v="1"/>
    <n v="0.26"/>
  </r>
  <r>
    <n v="435"/>
    <d v="2011-01-20T00:00:00"/>
    <n v="1"/>
    <n v="0"/>
    <n v="1"/>
    <n v="3"/>
    <x v="0"/>
    <n v="4"/>
    <n v="1"/>
    <n v="0.26"/>
  </r>
  <r>
    <n v="436"/>
    <d v="2011-01-20T00:00:00"/>
    <n v="1"/>
    <n v="0"/>
    <n v="1"/>
    <n v="4"/>
    <x v="0"/>
    <n v="4"/>
    <n v="1"/>
    <n v="0.26"/>
  </r>
  <r>
    <n v="437"/>
    <d v="2011-01-20T00:00:00"/>
    <n v="1"/>
    <n v="0"/>
    <n v="1"/>
    <n v="5"/>
    <x v="0"/>
    <n v="4"/>
    <n v="1"/>
    <n v="0.24"/>
  </r>
  <r>
    <n v="438"/>
    <d v="2011-01-20T00:00:00"/>
    <n v="1"/>
    <n v="0"/>
    <n v="1"/>
    <n v="6"/>
    <x v="0"/>
    <n v="4"/>
    <n v="1"/>
    <n v="0.22"/>
  </r>
  <r>
    <n v="439"/>
    <d v="2011-01-20T00:00:00"/>
    <n v="1"/>
    <n v="0"/>
    <n v="1"/>
    <n v="7"/>
    <x v="0"/>
    <n v="4"/>
    <n v="1"/>
    <n v="0.22"/>
  </r>
  <r>
    <n v="440"/>
    <d v="2011-01-20T00:00:00"/>
    <n v="1"/>
    <n v="0"/>
    <n v="1"/>
    <n v="8"/>
    <x v="0"/>
    <n v="4"/>
    <n v="1"/>
    <n v="0.22"/>
  </r>
  <r>
    <n v="441"/>
    <d v="2011-01-20T00:00:00"/>
    <n v="1"/>
    <n v="0"/>
    <n v="1"/>
    <n v="9"/>
    <x v="0"/>
    <n v="4"/>
    <n v="2"/>
    <n v="0.24"/>
  </r>
  <r>
    <n v="442"/>
    <d v="2011-01-20T00:00:00"/>
    <n v="1"/>
    <n v="0"/>
    <n v="1"/>
    <n v="10"/>
    <x v="0"/>
    <n v="4"/>
    <n v="1"/>
    <n v="0.26"/>
  </r>
  <r>
    <n v="443"/>
    <d v="2011-01-20T00:00:00"/>
    <n v="1"/>
    <n v="0"/>
    <n v="1"/>
    <n v="11"/>
    <x v="0"/>
    <n v="4"/>
    <n v="2"/>
    <n v="0.28000000000000003"/>
  </r>
  <r>
    <n v="444"/>
    <d v="2011-01-20T00:00:00"/>
    <n v="1"/>
    <n v="0"/>
    <n v="1"/>
    <n v="12"/>
    <x v="0"/>
    <n v="4"/>
    <n v="2"/>
    <n v="0.3"/>
  </r>
  <r>
    <n v="445"/>
    <d v="2011-01-20T00:00:00"/>
    <n v="1"/>
    <n v="0"/>
    <n v="1"/>
    <n v="13"/>
    <x v="0"/>
    <n v="4"/>
    <n v="2"/>
    <n v="0.28000000000000003"/>
  </r>
  <r>
    <n v="446"/>
    <d v="2011-01-20T00:00:00"/>
    <n v="1"/>
    <n v="0"/>
    <n v="1"/>
    <n v="14"/>
    <x v="0"/>
    <n v="4"/>
    <n v="2"/>
    <n v="0.3"/>
  </r>
  <r>
    <n v="447"/>
    <d v="2011-01-20T00:00:00"/>
    <n v="1"/>
    <n v="0"/>
    <n v="1"/>
    <n v="15"/>
    <x v="0"/>
    <n v="4"/>
    <n v="2"/>
    <n v="0.32"/>
  </r>
  <r>
    <n v="448"/>
    <d v="2011-01-20T00:00:00"/>
    <n v="1"/>
    <n v="0"/>
    <n v="1"/>
    <n v="16"/>
    <x v="0"/>
    <n v="4"/>
    <n v="2"/>
    <n v="0.3"/>
  </r>
  <r>
    <n v="449"/>
    <d v="2011-01-20T00:00:00"/>
    <n v="1"/>
    <n v="0"/>
    <n v="1"/>
    <n v="17"/>
    <x v="0"/>
    <n v="4"/>
    <n v="2"/>
    <n v="0.3"/>
  </r>
  <r>
    <n v="450"/>
    <d v="2011-01-20T00:00:00"/>
    <n v="1"/>
    <n v="0"/>
    <n v="1"/>
    <n v="18"/>
    <x v="0"/>
    <n v="4"/>
    <n v="2"/>
    <n v="0.26"/>
  </r>
  <r>
    <n v="451"/>
    <d v="2011-01-20T00:00:00"/>
    <n v="1"/>
    <n v="0"/>
    <n v="1"/>
    <n v="19"/>
    <x v="0"/>
    <n v="4"/>
    <n v="1"/>
    <n v="0.26"/>
  </r>
  <r>
    <n v="452"/>
    <d v="2011-01-20T00:00:00"/>
    <n v="1"/>
    <n v="0"/>
    <n v="1"/>
    <n v="20"/>
    <x v="0"/>
    <n v="4"/>
    <n v="2"/>
    <n v="0.26"/>
  </r>
  <r>
    <n v="453"/>
    <d v="2011-01-20T00:00:00"/>
    <n v="1"/>
    <n v="0"/>
    <n v="1"/>
    <n v="21"/>
    <x v="0"/>
    <n v="4"/>
    <n v="2"/>
    <n v="0.24"/>
  </r>
  <r>
    <n v="454"/>
    <d v="2011-01-20T00:00:00"/>
    <n v="1"/>
    <n v="0"/>
    <n v="1"/>
    <n v="22"/>
    <x v="0"/>
    <n v="4"/>
    <n v="2"/>
    <n v="0.24"/>
  </r>
  <r>
    <n v="455"/>
    <d v="2011-01-20T00:00:00"/>
    <n v="1"/>
    <n v="0"/>
    <n v="1"/>
    <n v="23"/>
    <x v="0"/>
    <n v="4"/>
    <n v="2"/>
    <n v="0.24"/>
  </r>
  <r>
    <n v="456"/>
    <d v="2011-01-21T00:00:00"/>
    <n v="1"/>
    <n v="0"/>
    <n v="1"/>
    <n v="0"/>
    <x v="0"/>
    <n v="5"/>
    <n v="2"/>
    <n v="0.24"/>
  </r>
  <r>
    <n v="457"/>
    <d v="2011-01-21T00:00:00"/>
    <n v="1"/>
    <n v="0"/>
    <n v="1"/>
    <n v="1"/>
    <x v="0"/>
    <n v="5"/>
    <n v="2"/>
    <n v="0.24"/>
  </r>
  <r>
    <n v="458"/>
    <d v="2011-01-21T00:00:00"/>
    <n v="1"/>
    <n v="0"/>
    <n v="1"/>
    <n v="2"/>
    <x v="0"/>
    <n v="5"/>
    <n v="3"/>
    <n v="0.24"/>
  </r>
  <r>
    <n v="459"/>
    <d v="2011-01-21T00:00:00"/>
    <n v="1"/>
    <n v="0"/>
    <n v="1"/>
    <n v="3"/>
    <x v="0"/>
    <n v="5"/>
    <n v="3"/>
    <n v="0.22"/>
  </r>
  <r>
    <n v="460"/>
    <d v="2011-01-21T00:00:00"/>
    <n v="1"/>
    <n v="0"/>
    <n v="1"/>
    <n v="4"/>
    <x v="0"/>
    <n v="5"/>
    <n v="2"/>
    <n v="0.22"/>
  </r>
  <r>
    <n v="461"/>
    <d v="2011-01-21T00:00:00"/>
    <n v="1"/>
    <n v="0"/>
    <n v="1"/>
    <n v="5"/>
    <x v="0"/>
    <n v="5"/>
    <n v="1"/>
    <n v="0.24"/>
  </r>
  <r>
    <n v="462"/>
    <d v="2011-01-21T00:00:00"/>
    <n v="1"/>
    <n v="0"/>
    <n v="1"/>
    <n v="6"/>
    <x v="0"/>
    <n v="5"/>
    <n v="1"/>
    <n v="0.22"/>
  </r>
  <r>
    <n v="463"/>
    <d v="2011-01-21T00:00:00"/>
    <n v="1"/>
    <n v="0"/>
    <n v="1"/>
    <n v="7"/>
    <x v="0"/>
    <n v="5"/>
    <n v="1"/>
    <n v="0.2"/>
  </r>
  <r>
    <n v="464"/>
    <d v="2011-01-21T00:00:00"/>
    <n v="1"/>
    <n v="0"/>
    <n v="1"/>
    <n v="8"/>
    <x v="0"/>
    <n v="5"/>
    <n v="1"/>
    <n v="0.2"/>
  </r>
  <r>
    <n v="465"/>
    <d v="2011-01-21T00:00:00"/>
    <n v="1"/>
    <n v="0"/>
    <n v="1"/>
    <n v="9"/>
    <x v="0"/>
    <n v="5"/>
    <n v="1"/>
    <n v="0.2"/>
  </r>
  <r>
    <n v="466"/>
    <d v="2011-01-21T00:00:00"/>
    <n v="1"/>
    <n v="0"/>
    <n v="1"/>
    <n v="10"/>
    <x v="0"/>
    <n v="5"/>
    <n v="1"/>
    <n v="0.2"/>
  </r>
  <r>
    <n v="467"/>
    <d v="2011-01-21T00:00:00"/>
    <n v="1"/>
    <n v="0"/>
    <n v="1"/>
    <n v="11"/>
    <x v="0"/>
    <n v="5"/>
    <n v="1"/>
    <n v="0.22"/>
  </r>
  <r>
    <n v="468"/>
    <d v="2011-01-21T00:00:00"/>
    <n v="1"/>
    <n v="0"/>
    <n v="1"/>
    <n v="12"/>
    <x v="0"/>
    <n v="5"/>
    <n v="1"/>
    <n v="0.22"/>
  </r>
  <r>
    <n v="469"/>
    <d v="2011-01-21T00:00:00"/>
    <n v="1"/>
    <n v="0"/>
    <n v="1"/>
    <n v="13"/>
    <x v="0"/>
    <n v="5"/>
    <n v="1"/>
    <n v="0.2"/>
  </r>
  <r>
    <n v="470"/>
    <d v="2011-01-21T00:00:00"/>
    <n v="1"/>
    <n v="0"/>
    <n v="1"/>
    <n v="14"/>
    <x v="0"/>
    <n v="5"/>
    <n v="1"/>
    <n v="0.2"/>
  </r>
  <r>
    <n v="471"/>
    <d v="2011-01-21T00:00:00"/>
    <n v="1"/>
    <n v="0"/>
    <n v="1"/>
    <n v="15"/>
    <x v="0"/>
    <n v="5"/>
    <n v="1"/>
    <n v="0.16"/>
  </r>
  <r>
    <n v="472"/>
    <d v="2011-01-21T00:00:00"/>
    <n v="1"/>
    <n v="0"/>
    <n v="1"/>
    <n v="16"/>
    <x v="0"/>
    <n v="5"/>
    <n v="1"/>
    <n v="0.16"/>
  </r>
  <r>
    <n v="473"/>
    <d v="2011-01-21T00:00:00"/>
    <n v="1"/>
    <n v="0"/>
    <n v="1"/>
    <n v="17"/>
    <x v="0"/>
    <n v="5"/>
    <n v="1"/>
    <n v="0.14000000000000001"/>
  </r>
  <r>
    <n v="474"/>
    <d v="2011-01-21T00:00:00"/>
    <n v="1"/>
    <n v="0"/>
    <n v="1"/>
    <n v="18"/>
    <x v="0"/>
    <n v="5"/>
    <n v="1"/>
    <n v="0.12"/>
  </r>
  <r>
    <n v="475"/>
    <d v="2011-01-21T00:00:00"/>
    <n v="1"/>
    <n v="0"/>
    <n v="1"/>
    <n v="19"/>
    <x v="0"/>
    <n v="5"/>
    <n v="1"/>
    <n v="0.12"/>
  </r>
  <r>
    <n v="476"/>
    <d v="2011-01-21T00:00:00"/>
    <n v="1"/>
    <n v="0"/>
    <n v="1"/>
    <n v="20"/>
    <x v="0"/>
    <n v="5"/>
    <n v="1"/>
    <n v="0.1"/>
  </r>
  <r>
    <n v="477"/>
    <d v="2011-01-21T00:00:00"/>
    <n v="1"/>
    <n v="0"/>
    <n v="1"/>
    <n v="21"/>
    <x v="0"/>
    <n v="5"/>
    <n v="1"/>
    <n v="0.08"/>
  </r>
  <r>
    <n v="478"/>
    <d v="2011-01-21T00:00:00"/>
    <n v="1"/>
    <n v="0"/>
    <n v="1"/>
    <n v="22"/>
    <x v="0"/>
    <n v="5"/>
    <n v="1"/>
    <n v="0.06"/>
  </r>
  <r>
    <n v="479"/>
    <d v="2011-01-21T00:00:00"/>
    <n v="1"/>
    <n v="0"/>
    <n v="1"/>
    <n v="23"/>
    <x v="0"/>
    <n v="5"/>
    <n v="1"/>
    <n v="0.06"/>
  </r>
  <r>
    <n v="480"/>
    <d v="2011-01-22T00:00:00"/>
    <n v="1"/>
    <n v="0"/>
    <n v="1"/>
    <n v="0"/>
    <x v="0"/>
    <n v="6"/>
    <n v="1"/>
    <n v="0.04"/>
  </r>
  <r>
    <n v="481"/>
    <d v="2011-01-22T00:00:00"/>
    <n v="1"/>
    <n v="0"/>
    <n v="1"/>
    <n v="1"/>
    <x v="0"/>
    <n v="6"/>
    <n v="2"/>
    <n v="0.04"/>
  </r>
  <r>
    <n v="482"/>
    <d v="2011-01-22T00:00:00"/>
    <n v="1"/>
    <n v="0"/>
    <n v="1"/>
    <n v="2"/>
    <x v="0"/>
    <n v="6"/>
    <n v="2"/>
    <n v="0.04"/>
  </r>
  <r>
    <n v="483"/>
    <d v="2011-01-22T00:00:00"/>
    <n v="1"/>
    <n v="0"/>
    <n v="1"/>
    <n v="3"/>
    <x v="0"/>
    <n v="6"/>
    <n v="2"/>
    <n v="0.04"/>
  </r>
  <r>
    <n v="484"/>
    <d v="2011-01-22T00:00:00"/>
    <n v="1"/>
    <n v="0"/>
    <n v="1"/>
    <n v="4"/>
    <x v="0"/>
    <n v="6"/>
    <n v="2"/>
    <n v="0.02"/>
  </r>
  <r>
    <n v="485"/>
    <d v="2011-01-22T00:00:00"/>
    <n v="1"/>
    <n v="0"/>
    <n v="1"/>
    <n v="6"/>
    <x v="0"/>
    <n v="6"/>
    <n v="2"/>
    <n v="0.02"/>
  </r>
  <r>
    <n v="486"/>
    <d v="2011-01-22T00:00:00"/>
    <n v="1"/>
    <n v="0"/>
    <n v="1"/>
    <n v="7"/>
    <x v="0"/>
    <n v="6"/>
    <n v="1"/>
    <n v="0.02"/>
  </r>
  <r>
    <n v="487"/>
    <d v="2011-01-22T00:00:00"/>
    <n v="1"/>
    <n v="0"/>
    <n v="1"/>
    <n v="8"/>
    <x v="0"/>
    <n v="6"/>
    <n v="1"/>
    <n v="0.02"/>
  </r>
  <r>
    <n v="488"/>
    <d v="2011-01-22T00:00:00"/>
    <n v="1"/>
    <n v="0"/>
    <n v="1"/>
    <n v="9"/>
    <x v="0"/>
    <n v="6"/>
    <n v="1"/>
    <n v="0.04"/>
  </r>
  <r>
    <n v="489"/>
    <d v="2011-01-22T00:00:00"/>
    <n v="1"/>
    <n v="0"/>
    <n v="1"/>
    <n v="10"/>
    <x v="0"/>
    <n v="6"/>
    <n v="2"/>
    <n v="0.04"/>
  </r>
  <r>
    <n v="490"/>
    <d v="2011-01-22T00:00:00"/>
    <n v="1"/>
    <n v="0"/>
    <n v="1"/>
    <n v="11"/>
    <x v="0"/>
    <n v="6"/>
    <n v="2"/>
    <n v="0.06"/>
  </r>
  <r>
    <n v="491"/>
    <d v="2011-01-22T00:00:00"/>
    <n v="1"/>
    <n v="0"/>
    <n v="1"/>
    <n v="12"/>
    <x v="0"/>
    <n v="6"/>
    <n v="2"/>
    <n v="0.06"/>
  </r>
  <r>
    <n v="492"/>
    <d v="2011-01-22T00:00:00"/>
    <n v="1"/>
    <n v="0"/>
    <n v="1"/>
    <n v="13"/>
    <x v="0"/>
    <n v="6"/>
    <n v="1"/>
    <n v="0.08"/>
  </r>
  <r>
    <n v="493"/>
    <d v="2011-01-22T00:00:00"/>
    <n v="1"/>
    <n v="0"/>
    <n v="1"/>
    <n v="14"/>
    <x v="0"/>
    <n v="6"/>
    <n v="1"/>
    <n v="0.1"/>
  </r>
  <r>
    <n v="494"/>
    <d v="2011-01-22T00:00:00"/>
    <n v="1"/>
    <n v="0"/>
    <n v="1"/>
    <n v="15"/>
    <x v="0"/>
    <n v="6"/>
    <n v="1"/>
    <n v="0.12"/>
  </r>
  <r>
    <n v="495"/>
    <d v="2011-01-22T00:00:00"/>
    <n v="1"/>
    <n v="0"/>
    <n v="1"/>
    <n v="16"/>
    <x v="0"/>
    <n v="6"/>
    <n v="1"/>
    <n v="0.12"/>
  </r>
  <r>
    <n v="496"/>
    <d v="2011-01-22T00:00:00"/>
    <n v="1"/>
    <n v="0"/>
    <n v="1"/>
    <n v="17"/>
    <x v="0"/>
    <n v="6"/>
    <n v="1"/>
    <n v="0.12"/>
  </r>
  <r>
    <n v="497"/>
    <d v="2011-01-22T00:00:00"/>
    <n v="1"/>
    <n v="0"/>
    <n v="1"/>
    <n v="18"/>
    <x v="0"/>
    <n v="6"/>
    <n v="1"/>
    <n v="0.08"/>
  </r>
  <r>
    <n v="498"/>
    <d v="2011-01-22T00:00:00"/>
    <n v="1"/>
    <n v="0"/>
    <n v="1"/>
    <n v="19"/>
    <x v="0"/>
    <n v="6"/>
    <n v="1"/>
    <n v="0.08"/>
  </r>
  <r>
    <n v="499"/>
    <d v="2011-01-22T00:00:00"/>
    <n v="1"/>
    <n v="0"/>
    <n v="1"/>
    <n v="20"/>
    <x v="0"/>
    <n v="6"/>
    <n v="1"/>
    <n v="0.06"/>
  </r>
  <r>
    <n v="500"/>
    <d v="2011-01-22T00:00:00"/>
    <n v="1"/>
    <n v="0"/>
    <n v="1"/>
    <n v="21"/>
    <x v="0"/>
    <n v="6"/>
    <n v="1"/>
    <n v="0.06"/>
  </r>
  <r>
    <n v="501"/>
    <d v="2011-01-22T00:00:00"/>
    <n v="1"/>
    <n v="0"/>
    <n v="1"/>
    <n v="22"/>
    <x v="0"/>
    <n v="6"/>
    <n v="1"/>
    <n v="0.06"/>
  </r>
  <r>
    <n v="502"/>
    <d v="2011-01-22T00:00:00"/>
    <n v="1"/>
    <n v="0"/>
    <n v="1"/>
    <n v="23"/>
    <x v="0"/>
    <n v="6"/>
    <n v="1"/>
    <n v="0.04"/>
  </r>
  <r>
    <n v="503"/>
    <d v="2011-01-23T00:00:00"/>
    <n v="1"/>
    <n v="0"/>
    <n v="1"/>
    <n v="0"/>
    <x v="0"/>
    <n v="0"/>
    <n v="1"/>
    <n v="0.04"/>
  </r>
  <r>
    <n v="504"/>
    <d v="2011-01-23T00:00:00"/>
    <n v="1"/>
    <n v="0"/>
    <n v="1"/>
    <n v="1"/>
    <x v="0"/>
    <n v="0"/>
    <n v="1"/>
    <n v="0.04"/>
  </r>
  <r>
    <n v="505"/>
    <d v="2011-01-23T00:00:00"/>
    <n v="1"/>
    <n v="0"/>
    <n v="1"/>
    <n v="2"/>
    <x v="0"/>
    <n v="0"/>
    <n v="1"/>
    <n v="0.02"/>
  </r>
  <r>
    <n v="506"/>
    <d v="2011-01-23T00:00:00"/>
    <n v="1"/>
    <n v="0"/>
    <n v="1"/>
    <n v="3"/>
    <x v="0"/>
    <n v="0"/>
    <n v="1"/>
    <n v="0.02"/>
  </r>
  <r>
    <n v="507"/>
    <d v="2011-01-23T00:00:00"/>
    <n v="1"/>
    <n v="0"/>
    <n v="1"/>
    <n v="5"/>
    <x v="0"/>
    <n v="0"/>
    <n v="2"/>
    <n v="0.04"/>
  </r>
  <r>
    <n v="508"/>
    <d v="2011-01-23T00:00:00"/>
    <n v="1"/>
    <n v="0"/>
    <n v="1"/>
    <n v="6"/>
    <x v="0"/>
    <n v="0"/>
    <n v="2"/>
    <n v="0.04"/>
  </r>
  <r>
    <n v="509"/>
    <d v="2011-01-23T00:00:00"/>
    <n v="1"/>
    <n v="0"/>
    <n v="1"/>
    <n v="7"/>
    <x v="0"/>
    <n v="0"/>
    <n v="1"/>
    <n v="0.08"/>
  </r>
  <r>
    <n v="510"/>
    <d v="2011-01-23T00:00:00"/>
    <n v="1"/>
    <n v="0"/>
    <n v="1"/>
    <n v="8"/>
    <x v="0"/>
    <n v="0"/>
    <n v="1"/>
    <n v="0.06"/>
  </r>
  <r>
    <n v="511"/>
    <d v="2011-01-23T00:00:00"/>
    <n v="1"/>
    <n v="0"/>
    <n v="1"/>
    <n v="9"/>
    <x v="0"/>
    <n v="0"/>
    <n v="1"/>
    <n v="0.1"/>
  </r>
  <r>
    <n v="512"/>
    <d v="2011-01-23T00:00:00"/>
    <n v="1"/>
    <n v="0"/>
    <n v="1"/>
    <n v="10"/>
    <x v="0"/>
    <n v="0"/>
    <n v="1"/>
    <n v="0.14000000000000001"/>
  </r>
  <r>
    <n v="513"/>
    <d v="2011-01-23T00:00:00"/>
    <n v="1"/>
    <n v="0"/>
    <n v="1"/>
    <n v="11"/>
    <x v="0"/>
    <n v="0"/>
    <n v="1"/>
    <n v="0.14000000000000001"/>
  </r>
  <r>
    <n v="514"/>
    <d v="2011-01-23T00:00:00"/>
    <n v="1"/>
    <n v="0"/>
    <n v="1"/>
    <n v="12"/>
    <x v="0"/>
    <n v="0"/>
    <n v="1"/>
    <n v="0.16"/>
  </r>
  <r>
    <n v="515"/>
    <d v="2011-01-23T00:00:00"/>
    <n v="1"/>
    <n v="0"/>
    <n v="1"/>
    <n v="13"/>
    <x v="0"/>
    <n v="0"/>
    <n v="1"/>
    <n v="0.14000000000000001"/>
  </r>
  <r>
    <n v="516"/>
    <d v="2011-01-23T00:00:00"/>
    <n v="1"/>
    <n v="0"/>
    <n v="1"/>
    <n v="14"/>
    <x v="0"/>
    <n v="0"/>
    <n v="1"/>
    <n v="0.16"/>
  </r>
  <r>
    <n v="517"/>
    <d v="2011-01-23T00:00:00"/>
    <n v="1"/>
    <n v="0"/>
    <n v="1"/>
    <n v="15"/>
    <x v="0"/>
    <n v="0"/>
    <n v="1"/>
    <n v="0.16"/>
  </r>
  <r>
    <n v="518"/>
    <d v="2011-01-23T00:00:00"/>
    <n v="1"/>
    <n v="0"/>
    <n v="1"/>
    <n v="16"/>
    <x v="0"/>
    <n v="0"/>
    <n v="1"/>
    <n v="0.16"/>
  </r>
  <r>
    <n v="519"/>
    <d v="2011-01-23T00:00:00"/>
    <n v="1"/>
    <n v="0"/>
    <n v="1"/>
    <n v="17"/>
    <x v="0"/>
    <n v="0"/>
    <n v="1"/>
    <n v="0.14000000000000001"/>
  </r>
  <r>
    <n v="520"/>
    <d v="2011-01-23T00:00:00"/>
    <n v="1"/>
    <n v="0"/>
    <n v="1"/>
    <n v="18"/>
    <x v="0"/>
    <n v="0"/>
    <n v="1"/>
    <n v="0.12"/>
  </r>
  <r>
    <n v="521"/>
    <d v="2011-01-23T00:00:00"/>
    <n v="1"/>
    <n v="0"/>
    <n v="1"/>
    <n v="19"/>
    <x v="0"/>
    <n v="0"/>
    <n v="1"/>
    <n v="0.12"/>
  </r>
  <r>
    <n v="522"/>
    <d v="2011-01-23T00:00:00"/>
    <n v="1"/>
    <n v="0"/>
    <n v="1"/>
    <n v="20"/>
    <x v="0"/>
    <n v="0"/>
    <n v="1"/>
    <n v="0.1"/>
  </r>
  <r>
    <n v="523"/>
    <d v="2011-01-23T00:00:00"/>
    <n v="1"/>
    <n v="0"/>
    <n v="1"/>
    <n v="21"/>
    <x v="0"/>
    <n v="0"/>
    <n v="1"/>
    <n v="0.1"/>
  </r>
  <r>
    <n v="524"/>
    <d v="2011-01-23T00:00:00"/>
    <n v="1"/>
    <n v="0"/>
    <n v="1"/>
    <n v="22"/>
    <x v="0"/>
    <n v="0"/>
    <n v="1"/>
    <n v="0.08"/>
  </r>
  <r>
    <n v="525"/>
    <d v="2011-01-23T00:00:00"/>
    <n v="1"/>
    <n v="0"/>
    <n v="1"/>
    <n v="23"/>
    <x v="0"/>
    <n v="0"/>
    <n v="1"/>
    <n v="0.06"/>
  </r>
  <r>
    <n v="526"/>
    <d v="2011-01-24T00:00:00"/>
    <n v="1"/>
    <n v="0"/>
    <n v="1"/>
    <n v="0"/>
    <x v="0"/>
    <n v="1"/>
    <n v="1"/>
    <n v="0.06"/>
  </r>
  <r>
    <n v="527"/>
    <d v="2011-01-24T00:00:00"/>
    <n v="1"/>
    <n v="0"/>
    <n v="1"/>
    <n v="1"/>
    <x v="0"/>
    <n v="1"/>
    <n v="1"/>
    <n v="0.04"/>
  </r>
  <r>
    <n v="528"/>
    <d v="2011-01-24T00:00:00"/>
    <n v="1"/>
    <n v="0"/>
    <n v="1"/>
    <n v="3"/>
    <x v="0"/>
    <n v="1"/>
    <n v="1"/>
    <n v="0.04"/>
  </r>
  <r>
    <n v="529"/>
    <d v="2011-01-24T00:00:00"/>
    <n v="1"/>
    <n v="0"/>
    <n v="1"/>
    <n v="4"/>
    <x v="0"/>
    <n v="1"/>
    <n v="1"/>
    <n v="0.02"/>
  </r>
  <r>
    <n v="530"/>
    <d v="2011-01-24T00:00:00"/>
    <n v="1"/>
    <n v="0"/>
    <n v="1"/>
    <n v="5"/>
    <x v="0"/>
    <n v="1"/>
    <n v="1"/>
    <n v="0.02"/>
  </r>
  <r>
    <n v="531"/>
    <d v="2011-01-24T00:00:00"/>
    <n v="1"/>
    <n v="0"/>
    <n v="1"/>
    <n v="6"/>
    <x v="0"/>
    <n v="1"/>
    <n v="1"/>
    <n v="0.02"/>
  </r>
  <r>
    <n v="532"/>
    <d v="2011-01-24T00:00:00"/>
    <n v="1"/>
    <n v="0"/>
    <n v="1"/>
    <n v="7"/>
    <x v="0"/>
    <n v="1"/>
    <n v="1"/>
    <n v="0.02"/>
  </r>
  <r>
    <n v="533"/>
    <d v="2011-01-24T00:00:00"/>
    <n v="1"/>
    <n v="0"/>
    <n v="1"/>
    <n v="8"/>
    <x v="0"/>
    <n v="1"/>
    <n v="1"/>
    <n v="0.04"/>
  </r>
  <r>
    <n v="534"/>
    <d v="2011-01-24T00:00:00"/>
    <n v="1"/>
    <n v="0"/>
    <n v="1"/>
    <n v="9"/>
    <x v="0"/>
    <n v="1"/>
    <n v="1"/>
    <n v="0.06"/>
  </r>
  <r>
    <n v="535"/>
    <d v="2011-01-24T00:00:00"/>
    <n v="1"/>
    <n v="0"/>
    <n v="1"/>
    <n v="10"/>
    <x v="0"/>
    <n v="1"/>
    <n v="1"/>
    <n v="0.1"/>
  </r>
  <r>
    <n v="536"/>
    <d v="2011-01-24T00:00:00"/>
    <n v="1"/>
    <n v="0"/>
    <n v="1"/>
    <n v="11"/>
    <x v="0"/>
    <n v="1"/>
    <n v="1"/>
    <n v="0.1"/>
  </r>
  <r>
    <n v="537"/>
    <d v="2011-01-24T00:00:00"/>
    <n v="1"/>
    <n v="0"/>
    <n v="1"/>
    <n v="12"/>
    <x v="0"/>
    <n v="1"/>
    <n v="2"/>
    <n v="0.12"/>
  </r>
  <r>
    <n v="538"/>
    <d v="2011-01-24T00:00:00"/>
    <n v="1"/>
    <n v="0"/>
    <n v="1"/>
    <n v="13"/>
    <x v="0"/>
    <n v="1"/>
    <n v="2"/>
    <n v="0.14000000000000001"/>
  </r>
  <r>
    <n v="539"/>
    <d v="2011-01-24T00:00:00"/>
    <n v="1"/>
    <n v="0"/>
    <n v="1"/>
    <n v="14"/>
    <x v="0"/>
    <n v="1"/>
    <n v="2"/>
    <n v="0.14000000000000001"/>
  </r>
  <r>
    <n v="540"/>
    <d v="2011-01-24T00:00:00"/>
    <n v="1"/>
    <n v="0"/>
    <n v="1"/>
    <n v="15"/>
    <x v="0"/>
    <n v="1"/>
    <n v="1"/>
    <n v="0.16"/>
  </r>
  <r>
    <n v="541"/>
    <d v="2011-01-24T00:00:00"/>
    <n v="1"/>
    <n v="0"/>
    <n v="1"/>
    <n v="16"/>
    <x v="0"/>
    <n v="1"/>
    <n v="1"/>
    <n v="0.16"/>
  </r>
  <r>
    <n v="542"/>
    <d v="2011-01-24T00:00:00"/>
    <n v="1"/>
    <n v="0"/>
    <n v="1"/>
    <n v="17"/>
    <x v="0"/>
    <n v="1"/>
    <n v="1"/>
    <n v="0.14000000000000001"/>
  </r>
  <r>
    <n v="543"/>
    <d v="2011-01-24T00:00:00"/>
    <n v="1"/>
    <n v="0"/>
    <n v="1"/>
    <n v="18"/>
    <x v="0"/>
    <n v="1"/>
    <n v="1"/>
    <n v="0.14000000000000001"/>
  </r>
  <r>
    <n v="544"/>
    <d v="2011-01-24T00:00:00"/>
    <n v="1"/>
    <n v="0"/>
    <n v="1"/>
    <n v="19"/>
    <x v="0"/>
    <n v="1"/>
    <n v="1"/>
    <n v="0.14000000000000001"/>
  </r>
  <r>
    <n v="545"/>
    <d v="2011-01-24T00:00:00"/>
    <n v="1"/>
    <n v="0"/>
    <n v="1"/>
    <n v="20"/>
    <x v="0"/>
    <n v="1"/>
    <n v="1"/>
    <n v="0.14000000000000001"/>
  </r>
  <r>
    <n v="546"/>
    <d v="2011-01-24T00:00:00"/>
    <n v="1"/>
    <n v="0"/>
    <n v="1"/>
    <n v="21"/>
    <x v="0"/>
    <n v="1"/>
    <n v="1"/>
    <n v="0.14000000000000001"/>
  </r>
  <r>
    <n v="547"/>
    <d v="2011-01-24T00:00:00"/>
    <n v="1"/>
    <n v="0"/>
    <n v="1"/>
    <n v="22"/>
    <x v="0"/>
    <n v="1"/>
    <n v="2"/>
    <n v="0.14000000000000001"/>
  </r>
  <r>
    <n v="548"/>
    <d v="2011-01-24T00:00:00"/>
    <n v="1"/>
    <n v="0"/>
    <n v="1"/>
    <n v="23"/>
    <x v="0"/>
    <n v="1"/>
    <n v="2"/>
    <n v="0.16"/>
  </r>
  <r>
    <n v="549"/>
    <d v="2011-01-25T00:00:00"/>
    <n v="1"/>
    <n v="0"/>
    <n v="1"/>
    <n v="0"/>
    <x v="0"/>
    <n v="2"/>
    <n v="2"/>
    <n v="0.16"/>
  </r>
  <r>
    <n v="550"/>
    <d v="2011-01-25T00:00:00"/>
    <n v="1"/>
    <n v="0"/>
    <n v="1"/>
    <n v="1"/>
    <x v="0"/>
    <n v="2"/>
    <n v="2"/>
    <n v="0.16"/>
  </r>
  <r>
    <n v="551"/>
    <d v="2011-01-25T00:00:00"/>
    <n v="1"/>
    <n v="0"/>
    <n v="1"/>
    <n v="2"/>
    <x v="0"/>
    <n v="2"/>
    <n v="1"/>
    <n v="0.16"/>
  </r>
  <r>
    <n v="552"/>
    <d v="2011-01-25T00:00:00"/>
    <n v="1"/>
    <n v="0"/>
    <n v="1"/>
    <n v="4"/>
    <x v="0"/>
    <n v="2"/>
    <n v="1"/>
    <n v="0.14000000000000001"/>
  </r>
  <r>
    <n v="553"/>
    <d v="2011-01-25T00:00:00"/>
    <n v="1"/>
    <n v="0"/>
    <n v="1"/>
    <n v="5"/>
    <x v="0"/>
    <n v="2"/>
    <n v="1"/>
    <n v="0.14000000000000001"/>
  </r>
  <r>
    <n v="554"/>
    <d v="2011-01-25T00:00:00"/>
    <n v="1"/>
    <n v="0"/>
    <n v="1"/>
    <n v="6"/>
    <x v="0"/>
    <n v="2"/>
    <n v="1"/>
    <n v="0.16"/>
  </r>
  <r>
    <n v="555"/>
    <d v="2011-01-25T00:00:00"/>
    <n v="1"/>
    <n v="0"/>
    <n v="1"/>
    <n v="7"/>
    <x v="0"/>
    <n v="2"/>
    <n v="1"/>
    <n v="0.16"/>
  </r>
  <r>
    <n v="556"/>
    <d v="2011-01-25T00:00:00"/>
    <n v="1"/>
    <n v="0"/>
    <n v="1"/>
    <n v="8"/>
    <x v="0"/>
    <n v="2"/>
    <n v="2"/>
    <n v="0.16"/>
  </r>
  <r>
    <n v="557"/>
    <d v="2011-01-25T00:00:00"/>
    <n v="1"/>
    <n v="0"/>
    <n v="1"/>
    <n v="9"/>
    <x v="0"/>
    <n v="2"/>
    <n v="2"/>
    <n v="0.2"/>
  </r>
  <r>
    <n v="558"/>
    <d v="2011-01-25T00:00:00"/>
    <n v="1"/>
    <n v="0"/>
    <n v="1"/>
    <n v="10"/>
    <x v="0"/>
    <n v="2"/>
    <n v="2"/>
    <n v="0.22"/>
  </r>
  <r>
    <n v="559"/>
    <d v="2011-01-25T00:00:00"/>
    <n v="1"/>
    <n v="0"/>
    <n v="1"/>
    <n v="11"/>
    <x v="0"/>
    <n v="2"/>
    <n v="2"/>
    <n v="0.24"/>
  </r>
  <r>
    <n v="560"/>
    <d v="2011-01-25T00:00:00"/>
    <n v="1"/>
    <n v="0"/>
    <n v="1"/>
    <n v="12"/>
    <x v="0"/>
    <n v="2"/>
    <n v="2"/>
    <n v="0.26"/>
  </r>
  <r>
    <n v="561"/>
    <d v="2011-01-25T00:00:00"/>
    <n v="1"/>
    <n v="0"/>
    <n v="1"/>
    <n v="13"/>
    <x v="0"/>
    <n v="2"/>
    <n v="2"/>
    <n v="0.26"/>
  </r>
  <r>
    <n v="562"/>
    <d v="2011-01-25T00:00:00"/>
    <n v="1"/>
    <n v="0"/>
    <n v="1"/>
    <n v="14"/>
    <x v="0"/>
    <n v="2"/>
    <n v="2"/>
    <n v="0.3"/>
  </r>
  <r>
    <n v="563"/>
    <d v="2011-01-25T00:00:00"/>
    <n v="1"/>
    <n v="0"/>
    <n v="1"/>
    <n v="15"/>
    <x v="0"/>
    <n v="2"/>
    <n v="2"/>
    <n v="0.32"/>
  </r>
  <r>
    <n v="564"/>
    <d v="2011-01-25T00:00:00"/>
    <n v="1"/>
    <n v="0"/>
    <n v="1"/>
    <n v="16"/>
    <x v="0"/>
    <n v="2"/>
    <n v="2"/>
    <n v="0.32"/>
  </r>
  <r>
    <n v="565"/>
    <d v="2011-01-25T00:00:00"/>
    <n v="1"/>
    <n v="0"/>
    <n v="1"/>
    <n v="17"/>
    <x v="0"/>
    <n v="2"/>
    <n v="1"/>
    <n v="0.3"/>
  </r>
  <r>
    <n v="566"/>
    <d v="2011-01-25T00:00:00"/>
    <n v="1"/>
    <n v="0"/>
    <n v="1"/>
    <n v="18"/>
    <x v="0"/>
    <n v="2"/>
    <n v="2"/>
    <n v="0.3"/>
  </r>
  <r>
    <n v="567"/>
    <d v="2011-01-25T00:00:00"/>
    <n v="1"/>
    <n v="0"/>
    <n v="1"/>
    <n v="19"/>
    <x v="0"/>
    <n v="2"/>
    <n v="2"/>
    <n v="0.26"/>
  </r>
  <r>
    <n v="568"/>
    <d v="2011-01-25T00:00:00"/>
    <n v="1"/>
    <n v="0"/>
    <n v="1"/>
    <n v="20"/>
    <x v="0"/>
    <n v="2"/>
    <n v="1"/>
    <n v="0.24"/>
  </r>
  <r>
    <n v="569"/>
    <d v="2011-01-25T00:00:00"/>
    <n v="1"/>
    <n v="0"/>
    <n v="1"/>
    <n v="21"/>
    <x v="0"/>
    <n v="2"/>
    <n v="1"/>
    <n v="0.24"/>
  </r>
  <r>
    <n v="570"/>
    <d v="2011-01-25T00:00:00"/>
    <n v="1"/>
    <n v="0"/>
    <n v="1"/>
    <n v="22"/>
    <x v="0"/>
    <n v="2"/>
    <n v="1"/>
    <n v="0.22"/>
  </r>
  <r>
    <n v="571"/>
    <d v="2011-01-25T00:00:00"/>
    <n v="1"/>
    <n v="0"/>
    <n v="1"/>
    <n v="23"/>
    <x v="0"/>
    <n v="2"/>
    <n v="2"/>
    <n v="0.22"/>
  </r>
  <r>
    <n v="572"/>
    <d v="2011-01-26T00:00:00"/>
    <n v="1"/>
    <n v="0"/>
    <n v="1"/>
    <n v="0"/>
    <x v="0"/>
    <n v="3"/>
    <n v="2"/>
    <n v="0.22"/>
  </r>
  <r>
    <n v="573"/>
    <d v="2011-01-26T00:00:00"/>
    <n v="1"/>
    <n v="0"/>
    <n v="1"/>
    <n v="1"/>
    <x v="0"/>
    <n v="3"/>
    <n v="2"/>
    <n v="0.24"/>
  </r>
  <r>
    <n v="574"/>
    <d v="2011-01-26T00:00:00"/>
    <n v="1"/>
    <n v="0"/>
    <n v="1"/>
    <n v="2"/>
    <x v="0"/>
    <n v="3"/>
    <n v="3"/>
    <n v="0.22"/>
  </r>
  <r>
    <n v="575"/>
    <d v="2011-01-26T00:00:00"/>
    <n v="1"/>
    <n v="0"/>
    <n v="1"/>
    <n v="5"/>
    <x v="0"/>
    <n v="3"/>
    <n v="3"/>
    <n v="0.2"/>
  </r>
  <r>
    <n v="576"/>
    <d v="2011-01-26T00:00:00"/>
    <n v="1"/>
    <n v="0"/>
    <n v="1"/>
    <n v="6"/>
    <x v="0"/>
    <n v="3"/>
    <n v="3"/>
    <n v="0.2"/>
  </r>
  <r>
    <n v="577"/>
    <d v="2011-01-26T00:00:00"/>
    <n v="1"/>
    <n v="0"/>
    <n v="1"/>
    <n v="7"/>
    <x v="0"/>
    <n v="3"/>
    <n v="3"/>
    <n v="0.22"/>
  </r>
  <r>
    <n v="578"/>
    <d v="2011-01-26T00:00:00"/>
    <n v="1"/>
    <n v="0"/>
    <n v="1"/>
    <n v="8"/>
    <x v="0"/>
    <n v="3"/>
    <n v="3"/>
    <n v="0.22"/>
  </r>
  <r>
    <n v="579"/>
    <d v="2011-01-26T00:00:00"/>
    <n v="1"/>
    <n v="0"/>
    <n v="1"/>
    <n v="9"/>
    <x v="0"/>
    <n v="3"/>
    <n v="3"/>
    <n v="0.22"/>
  </r>
  <r>
    <n v="580"/>
    <d v="2011-01-26T00:00:00"/>
    <n v="1"/>
    <n v="0"/>
    <n v="1"/>
    <n v="10"/>
    <x v="0"/>
    <n v="3"/>
    <n v="3"/>
    <n v="0.22"/>
  </r>
  <r>
    <n v="581"/>
    <d v="2011-01-26T00:00:00"/>
    <n v="1"/>
    <n v="0"/>
    <n v="1"/>
    <n v="11"/>
    <x v="0"/>
    <n v="3"/>
    <n v="3"/>
    <n v="0.22"/>
  </r>
  <r>
    <n v="582"/>
    <d v="2011-01-26T00:00:00"/>
    <n v="1"/>
    <n v="0"/>
    <n v="1"/>
    <n v="12"/>
    <x v="0"/>
    <n v="3"/>
    <n v="3"/>
    <n v="0.22"/>
  </r>
  <r>
    <n v="583"/>
    <d v="2011-01-26T00:00:00"/>
    <n v="1"/>
    <n v="0"/>
    <n v="1"/>
    <n v="13"/>
    <x v="0"/>
    <n v="3"/>
    <n v="3"/>
    <n v="0.22"/>
  </r>
  <r>
    <n v="584"/>
    <d v="2011-01-26T00:00:00"/>
    <n v="1"/>
    <n v="0"/>
    <n v="1"/>
    <n v="14"/>
    <x v="0"/>
    <n v="3"/>
    <n v="3"/>
    <n v="0.22"/>
  </r>
  <r>
    <n v="585"/>
    <d v="2011-01-26T00:00:00"/>
    <n v="1"/>
    <n v="0"/>
    <n v="1"/>
    <n v="15"/>
    <x v="0"/>
    <n v="3"/>
    <n v="3"/>
    <n v="0.22"/>
  </r>
  <r>
    <n v="586"/>
    <d v="2011-01-26T00:00:00"/>
    <n v="1"/>
    <n v="0"/>
    <n v="1"/>
    <n v="16"/>
    <x v="0"/>
    <n v="3"/>
    <n v="4"/>
    <n v="0.22"/>
  </r>
  <r>
    <n v="587"/>
    <d v="2011-01-26T00:00:00"/>
    <n v="1"/>
    <n v="0"/>
    <n v="1"/>
    <n v="17"/>
    <x v="0"/>
    <n v="3"/>
    <n v="3"/>
    <n v="0.2"/>
  </r>
  <r>
    <n v="588"/>
    <d v="2011-01-27T00:00:00"/>
    <n v="1"/>
    <n v="0"/>
    <n v="1"/>
    <n v="16"/>
    <x v="0"/>
    <n v="4"/>
    <n v="1"/>
    <n v="0.22"/>
  </r>
  <r>
    <n v="589"/>
    <d v="2011-01-27T00:00:00"/>
    <n v="1"/>
    <n v="0"/>
    <n v="1"/>
    <n v="17"/>
    <x v="0"/>
    <n v="4"/>
    <n v="1"/>
    <n v="0.22"/>
  </r>
  <r>
    <n v="590"/>
    <d v="2011-01-27T00:00:00"/>
    <n v="1"/>
    <n v="0"/>
    <n v="1"/>
    <n v="18"/>
    <x v="0"/>
    <n v="4"/>
    <n v="1"/>
    <n v="0.2"/>
  </r>
  <r>
    <n v="591"/>
    <d v="2011-01-27T00:00:00"/>
    <n v="1"/>
    <n v="0"/>
    <n v="1"/>
    <n v="19"/>
    <x v="0"/>
    <n v="4"/>
    <n v="1"/>
    <n v="0.2"/>
  </r>
  <r>
    <n v="592"/>
    <d v="2011-01-27T00:00:00"/>
    <n v="1"/>
    <n v="0"/>
    <n v="1"/>
    <n v="20"/>
    <x v="0"/>
    <n v="4"/>
    <n v="1"/>
    <n v="0.18"/>
  </r>
  <r>
    <n v="593"/>
    <d v="2011-01-27T00:00:00"/>
    <n v="1"/>
    <n v="0"/>
    <n v="1"/>
    <n v="21"/>
    <x v="0"/>
    <n v="4"/>
    <n v="1"/>
    <n v="0.18"/>
  </r>
  <r>
    <n v="594"/>
    <d v="2011-01-27T00:00:00"/>
    <n v="1"/>
    <n v="0"/>
    <n v="1"/>
    <n v="22"/>
    <x v="0"/>
    <n v="4"/>
    <n v="1"/>
    <n v="0.18"/>
  </r>
  <r>
    <n v="595"/>
    <d v="2011-01-27T00:00:00"/>
    <n v="1"/>
    <n v="0"/>
    <n v="1"/>
    <n v="23"/>
    <x v="0"/>
    <n v="4"/>
    <n v="1"/>
    <n v="0.18"/>
  </r>
  <r>
    <n v="596"/>
    <d v="2011-01-28T00:00:00"/>
    <n v="1"/>
    <n v="0"/>
    <n v="1"/>
    <n v="0"/>
    <x v="0"/>
    <n v="5"/>
    <n v="2"/>
    <n v="0.2"/>
  </r>
  <r>
    <n v="597"/>
    <d v="2011-01-28T00:00:00"/>
    <n v="1"/>
    <n v="0"/>
    <n v="1"/>
    <n v="1"/>
    <x v="0"/>
    <n v="5"/>
    <n v="2"/>
    <n v="0.2"/>
  </r>
  <r>
    <n v="598"/>
    <d v="2011-01-28T00:00:00"/>
    <n v="1"/>
    <n v="0"/>
    <n v="1"/>
    <n v="2"/>
    <x v="0"/>
    <n v="5"/>
    <n v="2"/>
    <n v="0.2"/>
  </r>
  <r>
    <n v="599"/>
    <d v="2011-01-28T00:00:00"/>
    <n v="1"/>
    <n v="0"/>
    <n v="1"/>
    <n v="3"/>
    <x v="0"/>
    <n v="5"/>
    <n v="2"/>
    <n v="0.2"/>
  </r>
  <r>
    <n v="600"/>
    <d v="2011-01-28T00:00:00"/>
    <n v="1"/>
    <n v="0"/>
    <n v="1"/>
    <n v="5"/>
    <x v="0"/>
    <n v="5"/>
    <n v="2"/>
    <n v="0.18"/>
  </r>
  <r>
    <n v="601"/>
    <d v="2011-01-28T00:00:00"/>
    <n v="1"/>
    <n v="0"/>
    <n v="1"/>
    <n v="6"/>
    <x v="0"/>
    <n v="5"/>
    <n v="2"/>
    <n v="0.18"/>
  </r>
  <r>
    <n v="602"/>
    <d v="2011-01-28T00:00:00"/>
    <n v="1"/>
    <n v="0"/>
    <n v="1"/>
    <n v="7"/>
    <x v="0"/>
    <n v="5"/>
    <n v="2"/>
    <n v="0.16"/>
  </r>
  <r>
    <n v="603"/>
    <d v="2011-01-28T00:00:00"/>
    <n v="1"/>
    <n v="0"/>
    <n v="1"/>
    <n v="8"/>
    <x v="0"/>
    <n v="5"/>
    <n v="2"/>
    <n v="0.16"/>
  </r>
  <r>
    <n v="604"/>
    <d v="2011-01-28T00:00:00"/>
    <n v="1"/>
    <n v="0"/>
    <n v="1"/>
    <n v="9"/>
    <x v="0"/>
    <n v="5"/>
    <n v="3"/>
    <n v="0.18"/>
  </r>
  <r>
    <n v="605"/>
    <d v="2011-01-28T00:00:00"/>
    <n v="1"/>
    <n v="0"/>
    <n v="1"/>
    <n v="10"/>
    <x v="0"/>
    <n v="5"/>
    <n v="3"/>
    <n v="0.18"/>
  </r>
  <r>
    <n v="606"/>
    <d v="2011-01-28T00:00:00"/>
    <n v="1"/>
    <n v="0"/>
    <n v="1"/>
    <n v="11"/>
    <x v="0"/>
    <n v="5"/>
    <n v="3"/>
    <n v="0.18"/>
  </r>
  <r>
    <n v="607"/>
    <d v="2011-01-28T00:00:00"/>
    <n v="1"/>
    <n v="0"/>
    <n v="1"/>
    <n v="12"/>
    <x v="0"/>
    <n v="5"/>
    <n v="3"/>
    <n v="0.18"/>
  </r>
  <r>
    <n v="608"/>
    <d v="2011-01-28T00:00:00"/>
    <n v="1"/>
    <n v="0"/>
    <n v="1"/>
    <n v="13"/>
    <x v="0"/>
    <n v="5"/>
    <n v="3"/>
    <n v="0.18"/>
  </r>
  <r>
    <n v="609"/>
    <d v="2011-01-28T00:00:00"/>
    <n v="1"/>
    <n v="0"/>
    <n v="1"/>
    <n v="14"/>
    <x v="0"/>
    <n v="5"/>
    <n v="3"/>
    <n v="0.22"/>
  </r>
  <r>
    <n v="610"/>
    <d v="2011-01-28T00:00:00"/>
    <n v="1"/>
    <n v="0"/>
    <n v="1"/>
    <n v="15"/>
    <x v="0"/>
    <n v="5"/>
    <n v="2"/>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D1C74A-4079-4387-939C-E596844EBCF3}" name="PivotTable1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s">
  <location ref="H23:M32" firstHeaderRow="1" firstDataRow="2" firstDataCol="1"/>
  <pivotFields count="10">
    <pivotField showAll="0"/>
    <pivotField numFmtId="164" showAll="0"/>
    <pivotField showAll="0"/>
    <pivotField showAll="0"/>
    <pivotField showAll="0"/>
    <pivotField showAll="0"/>
    <pivotField showAll="0"/>
    <pivotField axis="axisRow" showAll="0">
      <items count="8">
        <item x="1"/>
        <item x="2"/>
        <item x="3"/>
        <item x="4"/>
        <item x="5"/>
        <item x="6"/>
        <item x="0"/>
        <item t="default"/>
      </items>
    </pivotField>
    <pivotField axis="axisCol" dataField="1" showAll="0">
      <items count="5">
        <item x="0"/>
        <item x="1"/>
        <item x="2"/>
        <item x="3"/>
        <item t="default"/>
      </items>
    </pivotField>
    <pivotField numFmtId="2" showAll="0"/>
  </pivotFields>
  <rowFields count="1">
    <field x="7"/>
  </rowFields>
  <rowItems count="8">
    <i>
      <x/>
    </i>
    <i>
      <x v="1"/>
    </i>
    <i>
      <x v="2"/>
    </i>
    <i>
      <x v="3"/>
    </i>
    <i>
      <x v="4"/>
    </i>
    <i>
      <x v="5"/>
    </i>
    <i>
      <x v="6"/>
    </i>
    <i t="grand">
      <x/>
    </i>
  </rowItems>
  <colFields count="1">
    <field x="8"/>
  </colFields>
  <colItems count="5">
    <i>
      <x/>
    </i>
    <i>
      <x v="1"/>
    </i>
    <i>
      <x v="2"/>
    </i>
    <i>
      <x v="3"/>
    </i>
    <i t="grand">
      <x/>
    </i>
  </colItems>
  <dataFields count="1">
    <dataField name="Weather_Situations" fld="8" subtotal="count" baseField="7" baseItem="0"/>
  </dataFields>
  <formats count="20">
    <format dxfId="0">
      <pivotArea type="all" dataOnly="0" outline="0" fieldPosition="0"/>
    </format>
    <format dxfId="1">
      <pivotArea outline="0" collapsedLevelsAreSubtotals="1" fieldPosition="0"/>
    </format>
    <format dxfId="2">
      <pivotArea type="origin" dataOnly="0" labelOnly="1" outline="0" fieldPosition="0"/>
    </format>
    <format dxfId="3">
      <pivotArea field="8" type="button" dataOnly="0" labelOnly="1" outline="0" axis="axisCol" fieldPosition="0"/>
    </format>
    <format dxfId="4">
      <pivotArea type="topRight" dataOnly="0" labelOnly="1" outline="0" fieldPosition="0"/>
    </format>
    <format dxfId="5">
      <pivotArea field="7" type="button" dataOnly="0" labelOnly="1" outline="0" axis="axisRow" fieldPosition="0"/>
    </format>
    <format dxfId="6">
      <pivotArea dataOnly="0" labelOnly="1" fieldPosition="0">
        <references count="1">
          <reference field="7" count="0"/>
        </references>
      </pivotArea>
    </format>
    <format dxfId="7">
      <pivotArea dataOnly="0" labelOnly="1" grandRow="1" outline="0" fieldPosition="0"/>
    </format>
    <format dxfId="8">
      <pivotArea dataOnly="0" labelOnly="1" fieldPosition="0">
        <references count="1">
          <reference field="8" count="0"/>
        </references>
      </pivotArea>
    </format>
    <format dxfId="9">
      <pivotArea dataOnly="0" labelOnly="1" grandCol="1" outline="0" fieldPosition="0"/>
    </format>
    <format dxfId="10">
      <pivotArea type="all" dataOnly="0" outline="0" fieldPosition="0"/>
    </format>
    <format dxfId="11">
      <pivotArea outline="0" collapsedLevelsAreSubtotals="1" fieldPosition="0"/>
    </format>
    <format dxfId="12">
      <pivotArea type="origin" dataOnly="0" labelOnly="1" outline="0" fieldPosition="0"/>
    </format>
    <format dxfId="13">
      <pivotArea field="8" type="button" dataOnly="0" labelOnly="1" outline="0" axis="axisCol" fieldPosition="0"/>
    </format>
    <format dxfId="14">
      <pivotArea type="topRight" dataOnly="0" labelOnly="1" outline="0" fieldPosition="0"/>
    </format>
    <format dxfId="15">
      <pivotArea field="7" type="button" dataOnly="0" labelOnly="1" outline="0" axis="axisRow" fieldPosition="0"/>
    </format>
    <format dxfId="16">
      <pivotArea dataOnly="0" labelOnly="1" fieldPosition="0">
        <references count="1">
          <reference field="7" count="0"/>
        </references>
      </pivotArea>
    </format>
    <format dxfId="17">
      <pivotArea dataOnly="0" labelOnly="1" grandRow="1" outline="0" fieldPosition="0"/>
    </format>
    <format dxfId="18">
      <pivotArea dataOnly="0" labelOnly="1" fieldPosition="0">
        <references count="1">
          <reference field="8" count="0"/>
        </references>
      </pivotArea>
    </format>
    <format dxfId="1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D95D6-F31D-4614-9944-8B69A4C3C1E1}" name="PivotTable1" cacheId="24"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ays" colHeaderCaption="Weather">
  <location ref="A3:F12" firstHeaderRow="1" firstDataRow="2" firstDataCol="1"/>
  <pivotFields count="10">
    <pivotField showAll="0"/>
    <pivotField numFmtId="164" showAll="0"/>
    <pivotField showAll="0"/>
    <pivotField showAll="0"/>
    <pivotField showAll="0"/>
    <pivotField showAll="0"/>
    <pivotField showAll="0"/>
    <pivotField axis="axisRow" showAll="0">
      <items count="8">
        <item x="1"/>
        <item x="2"/>
        <item x="3"/>
        <item x="4"/>
        <item x="5"/>
        <item x="6"/>
        <item x="0"/>
        <item t="default"/>
      </items>
    </pivotField>
    <pivotField axis="axisCol" dataField="1" showAll="0">
      <items count="5">
        <item x="0"/>
        <item x="1"/>
        <item x="2"/>
        <item x="3"/>
        <item t="default"/>
      </items>
    </pivotField>
    <pivotField numFmtId="2" showAll="0"/>
  </pivotFields>
  <rowFields count="1">
    <field x="7"/>
  </rowFields>
  <rowItems count="8">
    <i>
      <x/>
    </i>
    <i>
      <x v="1"/>
    </i>
    <i>
      <x v="2"/>
    </i>
    <i>
      <x v="3"/>
    </i>
    <i>
      <x v="4"/>
    </i>
    <i>
      <x v="5"/>
    </i>
    <i>
      <x v="6"/>
    </i>
    <i t="grand">
      <x/>
    </i>
  </rowItems>
  <colFields count="1">
    <field x="8"/>
  </colFields>
  <colItems count="5">
    <i>
      <x/>
    </i>
    <i>
      <x v="1"/>
    </i>
    <i>
      <x v="2"/>
    </i>
    <i>
      <x v="3"/>
    </i>
    <i t="grand">
      <x/>
    </i>
  </colItems>
  <dataFields count="1">
    <dataField name="Count of Weather_Situation" fld="8" subtotal="count" baseField="7" baseItem="0"/>
  </dataFields>
  <formats count="40">
    <format dxfId="20">
      <pivotArea type="all" dataOnly="0" outline="0" fieldPosition="0"/>
    </format>
    <format dxfId="21">
      <pivotArea outline="0" collapsedLevelsAreSubtotals="1" fieldPosition="0"/>
    </format>
    <format dxfId="22">
      <pivotArea field="7" type="button" dataOnly="0" labelOnly="1" outline="0" axis="axisRow" fieldPosition="0"/>
    </format>
    <format dxfId="23">
      <pivotArea dataOnly="0" labelOnly="1" fieldPosition="0">
        <references count="1">
          <reference field="7" count="0"/>
        </references>
      </pivotArea>
    </format>
    <format dxfId="24">
      <pivotArea dataOnly="0" labelOnly="1" grandRow="1" outline="0" fieldPosition="0"/>
    </format>
    <format dxfId="25">
      <pivotArea dataOnly="0" labelOnly="1" outline="0" axis="axisValues" fieldPosition="0"/>
    </format>
    <format dxfId="26">
      <pivotArea type="all" dataOnly="0" outline="0" fieldPosition="0"/>
    </format>
    <format dxfId="27">
      <pivotArea outline="0" collapsedLevelsAreSubtotals="1" fieldPosition="0"/>
    </format>
    <format dxfId="28">
      <pivotArea field="7" type="button" dataOnly="0" labelOnly="1" outline="0" axis="axisRow" fieldPosition="0"/>
    </format>
    <format dxfId="29">
      <pivotArea dataOnly="0" labelOnly="1" fieldPosition="0">
        <references count="1">
          <reference field="7" count="0"/>
        </references>
      </pivotArea>
    </format>
    <format dxfId="30">
      <pivotArea dataOnly="0" labelOnly="1" grandRow="1" outline="0" fieldPosition="0"/>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field="7" type="button" dataOnly="0" labelOnly="1" outline="0" axis="axisRow" fieldPosition="0"/>
    </format>
    <format dxfId="35">
      <pivotArea dataOnly="0" labelOnly="1" fieldPosition="0">
        <references count="1">
          <reference field="7" count="0"/>
        </references>
      </pivotArea>
    </format>
    <format dxfId="36">
      <pivotArea dataOnly="0" labelOnly="1" grandRow="1" outline="0" fieldPosition="0"/>
    </format>
    <format dxfId="37">
      <pivotArea dataOnly="0" labelOnly="1" outline="0" axis="axisValues" fieldPosition="0"/>
    </format>
    <format dxfId="38">
      <pivotArea type="all" dataOnly="0" outline="0" fieldPosition="0"/>
    </format>
    <format dxfId="39">
      <pivotArea outline="0" collapsedLevelsAreSubtotals="1" fieldPosition="0"/>
    </format>
    <format dxfId="40">
      <pivotArea field="7" type="button" dataOnly="0" labelOnly="1" outline="0" axis="axisRow" fieldPosition="0"/>
    </format>
    <format dxfId="41">
      <pivotArea dataOnly="0" labelOnly="1" fieldPosition="0">
        <references count="1">
          <reference field="7" count="0"/>
        </references>
      </pivotArea>
    </format>
    <format dxfId="42">
      <pivotArea dataOnly="0" labelOnly="1" grandRow="1" outline="0" fieldPosition="0"/>
    </format>
    <format dxfId="43">
      <pivotArea dataOnly="0" labelOnly="1" outline="0" axis="axisValues" fieldPosition="0"/>
    </format>
    <format dxfId="44">
      <pivotArea type="all" dataOnly="0" outline="0" fieldPosition="0"/>
    </format>
    <format dxfId="45">
      <pivotArea outline="0" collapsedLevelsAreSubtotals="1" fieldPosition="0"/>
    </format>
    <format dxfId="46">
      <pivotArea field="7" type="button" dataOnly="0" labelOnly="1" outline="0" axis="axisRow" fieldPosition="0"/>
    </format>
    <format dxfId="47">
      <pivotArea dataOnly="0" labelOnly="1" fieldPosition="0">
        <references count="1">
          <reference field="7" count="0"/>
        </references>
      </pivotArea>
    </format>
    <format dxfId="48">
      <pivotArea dataOnly="0" labelOnly="1" grandRow="1" outline="0" fieldPosition="0"/>
    </format>
    <format dxfId="49">
      <pivotArea dataOnly="0" labelOnly="1" outline="0" axis="axisValues" fieldPosition="0"/>
    </format>
    <format dxfId="50">
      <pivotArea type="all" dataOnly="0" outline="0" fieldPosition="0"/>
    </format>
    <format dxfId="51">
      <pivotArea outline="0" collapsedLevelsAreSubtotals="1" fieldPosition="0"/>
    </format>
    <format dxfId="52">
      <pivotArea type="origin" dataOnly="0" labelOnly="1" outline="0" fieldPosition="0"/>
    </format>
    <format dxfId="53">
      <pivotArea field="8" type="button" dataOnly="0" labelOnly="1" outline="0" axis="axisCol" fieldPosition="0"/>
    </format>
    <format dxfId="54">
      <pivotArea type="topRight" dataOnly="0" labelOnly="1" outline="0" fieldPosition="0"/>
    </format>
    <format dxfId="55">
      <pivotArea field="7" type="button" dataOnly="0" labelOnly="1" outline="0" axis="axisRow" fieldPosition="0"/>
    </format>
    <format dxfId="56">
      <pivotArea dataOnly="0" labelOnly="1" fieldPosition="0">
        <references count="1">
          <reference field="7" count="0"/>
        </references>
      </pivotArea>
    </format>
    <format dxfId="57">
      <pivotArea dataOnly="0" labelOnly="1" grandRow="1" outline="0" fieldPosition="0"/>
    </format>
    <format dxfId="58">
      <pivotArea dataOnly="0" labelOnly="1" fieldPosition="0">
        <references count="1">
          <reference field="8" count="0"/>
        </references>
      </pivotArea>
    </format>
    <format dxfId="5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FEA002-5F87-408A-82DB-C4D0291A972E}"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C47" firstHeaderRow="0" firstDataRow="1" firstDataCol="1"/>
  <pivotFields count="10">
    <pivotField showAll="0"/>
    <pivotField numFmtId="164" showAll="0"/>
    <pivotField showAll="0"/>
    <pivotField showAll="0"/>
    <pivotField showAll="0"/>
    <pivotField showAll="0"/>
    <pivotField axis="axisRow" dataField="1" showAll="0">
      <items count="3">
        <item x="0"/>
        <item x="1"/>
        <item t="default"/>
      </items>
    </pivotField>
    <pivotField showAll="0"/>
    <pivotField dataField="1" showAll="0"/>
    <pivotField numFmtId="2" showAll="0"/>
  </pivotFields>
  <rowFields count="1">
    <field x="6"/>
  </rowFields>
  <rowItems count="3">
    <i>
      <x/>
    </i>
    <i>
      <x v="1"/>
    </i>
    <i t="grand">
      <x/>
    </i>
  </rowItems>
  <colFields count="1">
    <field x="-2"/>
  </colFields>
  <colItems count="2">
    <i>
      <x/>
    </i>
    <i i="1">
      <x v="1"/>
    </i>
  </colItems>
  <dataFields count="2">
    <dataField name="Average of Weather_Situation" fld="8" subtotal="average" baseField="6" baseItem="0"/>
    <dataField name="Count of holiday" fld="6" subtotal="count" baseField="6" baseItem="0"/>
  </dataFields>
  <formats count="2">
    <format dxfId="60">
      <pivotArea collapsedLevelsAreSubtotals="1" fieldPosition="0">
        <references count="1">
          <reference field="6" count="1">
            <x v="0"/>
          </reference>
        </references>
      </pivotArea>
    </format>
    <format dxfId="61">
      <pivotArea collapsedLevelsAreSubtotals="1" fieldPosition="0">
        <references count="1">
          <reference field="6" count="1">
            <x v="1"/>
          </reference>
        </references>
      </pivotArea>
    </format>
  </format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7AB65B-C351-4142-A6FA-A4BAB4926993}"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5:C82" firstHeaderRow="1" firstDataRow="1" firstDataCol="0"/>
  <pivotFields count="8">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E85F7E-B4E9-46DF-A683-5A890FF0D16C}"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1" firstHeaderRow="1" firstDataRow="1" firstDataCol="1"/>
  <pivotFields count="10">
    <pivotField showAll="0"/>
    <pivotField numFmtId="164" showAll="0"/>
    <pivotField showAll="0"/>
    <pivotField showAll="0"/>
    <pivotField showAll="0"/>
    <pivotField showAll="0"/>
    <pivotField showAll="0"/>
    <pivotField axis="axisRow" showAll="0">
      <items count="8">
        <item x="1"/>
        <item x="2"/>
        <item x="3"/>
        <item x="4"/>
        <item x="5"/>
        <item x="6"/>
        <item x="0"/>
        <item t="default"/>
      </items>
    </pivotField>
    <pivotField showAll="0"/>
    <pivotField dataField="1" numFmtId="2" showAll="0"/>
  </pivotFields>
  <rowFields count="1">
    <field x="7"/>
  </rowFields>
  <rowItems count="8">
    <i>
      <x/>
    </i>
    <i>
      <x v="1"/>
    </i>
    <i>
      <x v="2"/>
    </i>
    <i>
      <x v="3"/>
    </i>
    <i>
      <x v="4"/>
    </i>
    <i>
      <x v="5"/>
    </i>
    <i>
      <x v="6"/>
    </i>
    <i t="grand">
      <x/>
    </i>
  </rowItems>
  <colItems count="1">
    <i/>
  </colItems>
  <dataFields count="1">
    <dataField name="Average of Temperature" fld="9" subtotal="average" baseField="7" baseItem="0" numFmtId="2"/>
  </dataFields>
  <formats count="18">
    <format dxfId="62">
      <pivotArea type="all" dataOnly="0" outline="0" fieldPosition="0"/>
    </format>
    <format dxfId="63">
      <pivotArea outline="0" collapsedLevelsAreSubtotals="1" fieldPosition="0"/>
    </format>
    <format dxfId="64">
      <pivotArea field="7" type="button" dataOnly="0" labelOnly="1" outline="0" axis="axisRow" fieldPosition="0"/>
    </format>
    <format dxfId="65">
      <pivotArea dataOnly="0" labelOnly="1" fieldPosition="0">
        <references count="1">
          <reference field="7" count="0"/>
        </references>
      </pivotArea>
    </format>
    <format dxfId="66">
      <pivotArea dataOnly="0" labelOnly="1" grandRow="1" outline="0" fieldPosition="0"/>
    </format>
    <format dxfId="67">
      <pivotArea dataOnly="0" labelOnly="1" outline="0" axis="axisValues" fieldPosition="0"/>
    </format>
    <format dxfId="68">
      <pivotArea type="all" dataOnly="0" outline="0" fieldPosition="0"/>
    </format>
    <format dxfId="69">
      <pivotArea outline="0" collapsedLevelsAreSubtotals="1" fieldPosition="0"/>
    </format>
    <format dxfId="70">
      <pivotArea field="7" type="button" dataOnly="0" labelOnly="1" outline="0" axis="axisRow" fieldPosition="0"/>
    </format>
    <format dxfId="71">
      <pivotArea dataOnly="0" labelOnly="1" fieldPosition="0">
        <references count="1">
          <reference field="7" count="0"/>
        </references>
      </pivotArea>
    </format>
    <format dxfId="72">
      <pivotArea dataOnly="0" labelOnly="1" grandRow="1" outline="0" fieldPosition="0"/>
    </format>
    <format dxfId="73">
      <pivotArea dataOnly="0" labelOnly="1" outline="0" axis="axisValues" fieldPosition="0"/>
    </format>
    <format dxfId="74">
      <pivotArea type="all" dataOnly="0" outline="0" fieldPosition="0"/>
    </format>
    <format dxfId="75">
      <pivotArea outline="0" collapsedLevelsAreSubtotals="1" fieldPosition="0"/>
    </format>
    <format dxfId="76">
      <pivotArea field="7" type="button" dataOnly="0" labelOnly="1" outline="0" axis="axisRow" fieldPosition="0"/>
    </format>
    <format dxfId="77">
      <pivotArea dataOnly="0" labelOnly="1" fieldPosition="0">
        <references count="1">
          <reference field="7" count="0"/>
        </references>
      </pivotArea>
    </format>
    <format dxfId="78">
      <pivotArea dataOnly="0" labelOnly="1" grandRow="1" outline="0"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3E6EF3-DB6C-4ABC-AFE5-8067F5ED48A8}"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D112" firstHeaderRow="0" firstDataRow="1" firstDataCol="1"/>
  <pivotFields count="8">
    <pivotField showAll="0"/>
    <pivotField showAll="0"/>
    <pivotField showAll="0"/>
    <pivotField axis="axisRow"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showAll="0"/>
    <pivotField dataField="1" showAll="0"/>
    <pivotField dataField="1" showAll="0"/>
    <pivotField dataField="1" showAll="0"/>
  </pivotFields>
  <rowFields count="1">
    <field x="3"/>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2"/>
  </colFields>
  <colItems count="3">
    <i>
      <x/>
    </i>
    <i i="1">
      <x v="1"/>
    </i>
    <i i="2">
      <x v="2"/>
    </i>
  </colItems>
  <dataFields count="3">
    <dataField name="Sum of Casual Customer" fld="5" baseField="0" baseItem="0"/>
    <dataField name="Sum of registered Customer" fld="6" baseField="0" baseItem="0"/>
    <dataField name="Sum of cnt" fld="7"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A0AC47-97E3-4CA9-8941-0B7C13334D54}"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Windspeed">
  <location ref="F3:I24" firstHeaderRow="0" firstDataRow="1" firstDataCol="1"/>
  <pivotFields count="8">
    <pivotField showAll="0"/>
    <pivotField showAll="0"/>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Casual Customers" fld="5" baseField="0" baseItem="0"/>
    <dataField name="Registered Customers" fld="6" baseField="0" baseItem="0"/>
    <dataField name="Total Customers" fld="7" baseField="0" baseItem="0"/>
  </dataFields>
  <formats count="25">
    <format dxfId="316">
      <pivotArea type="all" dataOnly="0" outline="0" fieldPosition="0"/>
    </format>
    <format dxfId="315">
      <pivotArea outline="0" collapsedLevelsAreSubtotals="1" fieldPosition="0"/>
    </format>
    <format dxfId="314">
      <pivotArea field="4" type="button" dataOnly="0" labelOnly="1" outline="0" axis="axisRow" fieldPosition="0"/>
    </format>
    <format dxfId="313">
      <pivotArea dataOnly="0" labelOnly="1" fieldPosition="0">
        <references count="1">
          <reference field="4" count="0"/>
        </references>
      </pivotArea>
    </format>
    <format dxfId="312">
      <pivotArea dataOnly="0" labelOnly="1" grandRow="1" outline="0" fieldPosition="0"/>
    </format>
    <format dxfId="311">
      <pivotArea dataOnly="0" labelOnly="1" outline="0" fieldPosition="0">
        <references count="1">
          <reference field="4294967294" count="3">
            <x v="0"/>
            <x v="1"/>
            <x v="2"/>
          </reference>
        </references>
      </pivotArea>
    </format>
    <format dxfId="310">
      <pivotArea type="all" dataOnly="0" outline="0" fieldPosition="0"/>
    </format>
    <format dxfId="309">
      <pivotArea outline="0" collapsedLevelsAreSubtotals="1" fieldPosition="0"/>
    </format>
    <format dxfId="308">
      <pivotArea field="4" type="button" dataOnly="0" labelOnly="1" outline="0" axis="axisRow" fieldPosition="0"/>
    </format>
    <format dxfId="307">
      <pivotArea dataOnly="0" labelOnly="1" fieldPosition="0">
        <references count="1">
          <reference field="4" count="0"/>
        </references>
      </pivotArea>
    </format>
    <format dxfId="306">
      <pivotArea dataOnly="0" labelOnly="1" grandRow="1" outline="0" fieldPosition="0"/>
    </format>
    <format dxfId="305">
      <pivotArea dataOnly="0" labelOnly="1" outline="0" fieldPosition="0">
        <references count="1">
          <reference field="4294967294" count="3">
            <x v="0"/>
            <x v="1"/>
            <x v="2"/>
          </reference>
        </references>
      </pivotArea>
    </format>
    <format dxfId="304">
      <pivotArea type="all" dataOnly="0" outline="0" fieldPosition="0"/>
    </format>
    <format dxfId="303">
      <pivotArea outline="0" collapsedLevelsAreSubtotals="1" fieldPosition="0"/>
    </format>
    <format dxfId="302">
      <pivotArea field="4" type="button" dataOnly="0" labelOnly="1" outline="0" axis="axisRow" fieldPosition="0"/>
    </format>
    <format dxfId="301">
      <pivotArea dataOnly="0" labelOnly="1" fieldPosition="0">
        <references count="1">
          <reference field="4" count="0"/>
        </references>
      </pivotArea>
    </format>
    <format dxfId="300">
      <pivotArea dataOnly="0" labelOnly="1" grandRow="1" outline="0" fieldPosition="0"/>
    </format>
    <format dxfId="299">
      <pivotArea dataOnly="0" labelOnly="1" outline="0" fieldPosition="0">
        <references count="1">
          <reference field="4294967294" count="3">
            <x v="0"/>
            <x v="1"/>
            <x v="2"/>
          </reference>
        </references>
      </pivotArea>
    </format>
    <format dxfId="298">
      <pivotArea type="all" dataOnly="0" outline="0" fieldPosition="0"/>
    </format>
    <format dxfId="297">
      <pivotArea outline="0" collapsedLevelsAreSubtotals="1" fieldPosition="0"/>
    </format>
    <format dxfId="296">
      <pivotArea dataOnly="0" labelOnly="1" fieldPosition="0">
        <references count="1">
          <reference field="4" count="0"/>
        </references>
      </pivotArea>
    </format>
    <format dxfId="295">
      <pivotArea field="4" type="button" dataOnly="0" labelOnly="1" outline="0" axis="axisRow" fieldPosition="0"/>
    </format>
    <format dxfId="294">
      <pivotArea dataOnly="0" labelOnly="1" outline="0" fieldPosition="0">
        <references count="1">
          <reference field="4294967294" count="3">
            <x v="0"/>
            <x v="1"/>
            <x v="2"/>
          </reference>
        </references>
      </pivotArea>
    </format>
    <format dxfId="293">
      <pivotArea grandRow="1" outline="0" collapsedLevelsAreSubtotals="1" fieldPosition="0"/>
    </format>
    <format dxfId="292">
      <pivotArea dataOnly="0" labelOnly="1" grandRow="1" outline="0" fieldPosition="0"/>
    </format>
  </formats>
  <conditionalFormats count="3">
    <conditionalFormat priority="1">
      <pivotAreas count="1">
        <pivotArea type="data" collapsedLevelsAreSubtotals="1" fieldPosition="0">
          <references count="2">
            <reference field="4294967294" count="1" selected="0">
              <x v="2"/>
            </reference>
            <reference field="4" count="20">
              <x v="0"/>
              <x v="1"/>
              <x v="2"/>
              <x v="3"/>
              <x v="4"/>
              <x v="5"/>
              <x v="6"/>
              <x v="7"/>
              <x v="8"/>
              <x v="9"/>
              <x v="10"/>
              <x v="11"/>
              <x v="12"/>
              <x v="13"/>
              <x v="14"/>
              <x v="15"/>
              <x v="16"/>
              <x v="17"/>
              <x v="18"/>
              <x v="19"/>
            </reference>
          </references>
        </pivotArea>
      </pivotAreas>
    </conditionalFormat>
    <conditionalFormat priority="2">
      <pivotAreas count="1">
        <pivotArea type="data" collapsedLevelsAreSubtotals="1" fieldPosition="0">
          <references count="2">
            <reference field="4294967294" count="1" selected="0">
              <x v="1"/>
            </reference>
            <reference field="4" count="20">
              <x v="0"/>
              <x v="1"/>
              <x v="2"/>
              <x v="3"/>
              <x v="4"/>
              <x v="5"/>
              <x v="6"/>
              <x v="7"/>
              <x v="8"/>
              <x v="9"/>
              <x v="10"/>
              <x v="11"/>
              <x v="12"/>
              <x v="13"/>
              <x v="14"/>
              <x v="15"/>
              <x v="16"/>
              <x v="17"/>
              <x v="18"/>
              <x v="19"/>
            </reference>
          </references>
        </pivotArea>
      </pivotAreas>
    </conditionalFormat>
    <conditionalFormat priority="3">
      <pivotAreas count="1">
        <pivotArea type="data" collapsedLevelsAreSubtotals="1" fieldPosition="0">
          <references count="2">
            <reference field="4294967294" count="1" selected="0">
              <x v="0"/>
            </reference>
            <reference field="4" count="20">
              <x v="0"/>
              <x v="1"/>
              <x v="2"/>
              <x v="3"/>
              <x v="4"/>
              <x v="5"/>
              <x v="6"/>
              <x v="7"/>
              <x v="8"/>
              <x v="9"/>
              <x v="10"/>
              <x v="11"/>
              <x v="12"/>
              <x v="13"/>
              <x v="14"/>
              <x v="15"/>
              <x v="16"/>
              <x v="17"/>
              <x v="18"/>
              <x v="19"/>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5A60C0-A636-4AE2-B661-46506B28F51E}"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ys">
  <location ref="A8:C16" firstHeaderRow="0" firstDataRow="1" firstDataCol="1"/>
  <pivotFields count="16">
    <pivotField showAll="0"/>
    <pivotField numFmtId="164"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8">
        <item x="1"/>
        <item x="2"/>
        <item x="3"/>
        <item x="4"/>
        <item x="5"/>
        <item x="6"/>
        <item x="0"/>
        <item t="default"/>
      </items>
    </pivotField>
    <pivotField showAll="0"/>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showAll="0"/>
  </pivotFields>
  <rowFields count="1">
    <field x="7"/>
  </rowFields>
  <rowItems count="8">
    <i>
      <x/>
    </i>
    <i>
      <x v="1"/>
    </i>
    <i>
      <x v="2"/>
    </i>
    <i>
      <x v="3"/>
    </i>
    <i>
      <x v="4"/>
    </i>
    <i>
      <x v="5"/>
    </i>
    <i>
      <x v="6"/>
    </i>
    <i t="grand">
      <x/>
    </i>
  </rowItems>
  <colFields count="1">
    <field x="-2"/>
  </colFields>
  <colItems count="2">
    <i>
      <x/>
    </i>
    <i i="1">
      <x v="1"/>
    </i>
  </colItems>
  <dataFields count="2">
    <dataField name="Casual Customers" fld="13" subtotal="count" baseField="7" baseItem="0"/>
    <dataField name="Registered Customers" fld="14" subtotal="count" baseField="7" baseItem="0"/>
  </dataFields>
  <formats count="18">
    <format dxfId="252">
      <pivotArea type="all" dataOnly="0" outline="0" fieldPosition="0"/>
    </format>
    <format dxfId="251">
      <pivotArea outline="0" collapsedLevelsAreSubtotals="1" fieldPosition="0"/>
    </format>
    <format dxfId="250">
      <pivotArea field="7" type="button" dataOnly="0" labelOnly="1" outline="0" axis="axisRow" fieldPosition="0"/>
    </format>
    <format dxfId="249">
      <pivotArea dataOnly="0" labelOnly="1" fieldPosition="0">
        <references count="1">
          <reference field="7" count="0"/>
        </references>
      </pivotArea>
    </format>
    <format dxfId="248">
      <pivotArea dataOnly="0" labelOnly="1" grandRow="1" outline="0" fieldPosition="0"/>
    </format>
    <format dxfId="247">
      <pivotArea dataOnly="0" labelOnly="1" outline="0" fieldPosition="0">
        <references count="1">
          <reference field="4294967294" count="2">
            <x v="0"/>
            <x v="1"/>
          </reference>
        </references>
      </pivotArea>
    </format>
    <format dxfId="246">
      <pivotArea type="all" dataOnly="0" outline="0" fieldPosition="0"/>
    </format>
    <format dxfId="245">
      <pivotArea outline="0" collapsedLevelsAreSubtotals="1" fieldPosition="0"/>
    </format>
    <format dxfId="244">
      <pivotArea field="7" type="button" dataOnly="0" labelOnly="1" outline="0" axis="axisRow" fieldPosition="0"/>
    </format>
    <format dxfId="243">
      <pivotArea dataOnly="0" labelOnly="1" fieldPosition="0">
        <references count="1">
          <reference field="7" count="0"/>
        </references>
      </pivotArea>
    </format>
    <format dxfId="242">
      <pivotArea dataOnly="0" labelOnly="1" grandRow="1" outline="0" fieldPosition="0"/>
    </format>
    <format dxfId="241">
      <pivotArea dataOnly="0" labelOnly="1" outline="0" fieldPosition="0">
        <references count="1">
          <reference field="4294967294" count="2">
            <x v="0"/>
            <x v="1"/>
          </reference>
        </references>
      </pivotArea>
    </format>
    <format dxfId="240">
      <pivotArea type="all" dataOnly="0" outline="0" fieldPosition="0"/>
    </format>
    <format dxfId="239">
      <pivotArea outline="0" collapsedLevelsAreSubtotals="1" fieldPosition="0"/>
    </format>
    <format dxfId="238">
      <pivotArea field="7" type="button" dataOnly="0" labelOnly="1" outline="0" axis="axisRow" fieldPosition="0"/>
    </format>
    <format dxfId="237">
      <pivotArea dataOnly="0" labelOnly="1" fieldPosition="0">
        <references count="1">
          <reference field="7" count="0"/>
        </references>
      </pivotArea>
    </format>
    <format dxfId="236">
      <pivotArea dataOnly="0" labelOnly="1" grandRow="1" outline="0" fieldPosition="0"/>
    </format>
    <format dxfId="235">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423579-327E-4BE4-9CD3-63464EC8F115}" name="PivotTable4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91:C99" firstHeaderRow="1" firstDataRow="1" firstDataCol="1"/>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showAll="0">
      <items count="8">
        <item x="1"/>
        <item x="2"/>
        <item x="3"/>
        <item x="4"/>
        <item x="5"/>
        <item x="6"/>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Average of Temperature" fld="10" subtotal="average" baseField="8" baseItem="0"/>
  </dataFields>
  <formats count="13">
    <format dxfId="116">
      <pivotArea collapsedLevelsAreSubtotals="1" fieldPosition="0">
        <references count="2">
          <reference field="4294967294" count="1" selected="0">
            <x v="0"/>
          </reference>
          <reference field="8" count="0"/>
        </references>
      </pivotArea>
    </format>
    <format dxfId="115">
      <pivotArea type="all" dataOnly="0" outline="0" fieldPosition="0"/>
    </format>
    <format dxfId="114">
      <pivotArea outline="0" collapsedLevelsAreSubtotals="1" fieldPosition="0"/>
    </format>
    <format dxfId="113">
      <pivotArea field="8" type="button" dataOnly="0" labelOnly="1" outline="0" axis="axisRow" fieldPosition="0"/>
    </format>
    <format dxfId="112">
      <pivotArea dataOnly="0" labelOnly="1" fieldPosition="0">
        <references count="1">
          <reference field="8" count="0"/>
        </references>
      </pivotArea>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8" type="button" dataOnly="0" labelOnly="1" outline="0" axis="axisRow" fieldPosition="0"/>
    </format>
    <format dxfId="106">
      <pivotArea dataOnly="0" labelOnly="1" fieldPosition="0">
        <references count="1">
          <reference field="8" count="0"/>
        </references>
      </pivotArea>
    </format>
    <format dxfId="105">
      <pivotArea dataOnly="0" labelOnly="1" grandRow="1" outline="0" fieldPosition="0"/>
    </format>
    <format dxfId="104">
      <pivotArea dataOnly="0" labelOnly="1" outline="0" axis="axisValues" fieldPosition="0"/>
    </format>
  </formats>
  <chartFormats count="8">
    <chartFormat chart="0" format="3"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8" count="1" selected="0">
            <x v="0"/>
          </reference>
        </references>
      </pivotArea>
    </chartFormat>
    <chartFormat chart="0" format="7">
      <pivotArea type="data" outline="0" fieldPosition="0">
        <references count="2">
          <reference field="4294967294" count="1" selected="0">
            <x v="0"/>
          </reference>
          <reference field="8" count="1" selected="0">
            <x v="1"/>
          </reference>
        </references>
      </pivotArea>
    </chartFormat>
    <chartFormat chart="0" format="8">
      <pivotArea type="data" outline="0" fieldPosition="0">
        <references count="2">
          <reference field="4294967294" count="1" selected="0">
            <x v="0"/>
          </reference>
          <reference field="8" count="1" selected="0">
            <x v="2"/>
          </reference>
        </references>
      </pivotArea>
    </chartFormat>
    <chartFormat chart="0" format="9">
      <pivotArea type="data" outline="0" fieldPosition="0">
        <references count="2">
          <reference field="4294967294" count="1" selected="0">
            <x v="0"/>
          </reference>
          <reference field="8" count="1" selected="0">
            <x v="3"/>
          </reference>
        </references>
      </pivotArea>
    </chartFormat>
    <chartFormat chart="0" format="10">
      <pivotArea type="data" outline="0" fieldPosition="0">
        <references count="2">
          <reference field="4294967294" count="1" selected="0">
            <x v="0"/>
          </reference>
          <reference field="8" count="1" selected="0">
            <x v="4"/>
          </reference>
        </references>
      </pivotArea>
    </chartFormat>
    <chartFormat chart="0" format="11">
      <pivotArea type="data" outline="0" fieldPosition="0">
        <references count="2">
          <reference field="4294967294" count="1" selected="0">
            <x v="0"/>
          </reference>
          <reference field="8" count="1" selected="0">
            <x v="5"/>
          </reference>
        </references>
      </pivotArea>
    </chartFormat>
    <chartFormat chart="0" format="12">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9C8761-2BCE-4FE0-B37C-92B4EB7168FE}"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75:C80" firstHeaderRow="1" firstDataRow="1" firstDataCol="1"/>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Casual Customer" fld="17" baseField="0" baseItem="0"/>
  </dataFields>
  <formats count="12">
    <format dxfId="128">
      <pivotArea type="all" dataOnly="0" outline="0" fieldPosition="0"/>
    </format>
    <format dxfId="127">
      <pivotArea outline="0" collapsedLevelsAreSubtotals="1" fieldPosition="0"/>
    </format>
    <format dxfId="126">
      <pivotArea field="9" type="button" dataOnly="0" labelOnly="1" outline="0" axis="axisRow" fieldPosition="0"/>
    </format>
    <format dxfId="125">
      <pivotArea dataOnly="0" labelOnly="1" fieldPosition="0">
        <references count="1">
          <reference field="9" count="0"/>
        </references>
      </pivotArea>
    </format>
    <format dxfId="124">
      <pivotArea dataOnly="0" labelOnly="1" grandRow="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9" type="button" dataOnly="0" labelOnly="1" outline="0" axis="axisRow" fieldPosition="0"/>
    </format>
    <format dxfId="119">
      <pivotArea dataOnly="0" labelOnly="1" fieldPosition="0">
        <references count="1">
          <reference field="9" count="0"/>
        </references>
      </pivotArea>
    </format>
    <format dxfId="118">
      <pivotArea dataOnly="0" labelOnly="1" grandRow="1" outline="0" fieldPosition="0"/>
    </format>
    <format dxfId="117">
      <pivotArea dataOnly="0" labelOnly="1" outline="0" axis="axisValues" fieldPosition="0"/>
    </format>
  </formats>
  <chartFormats count="5">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1"/>
          </reference>
        </references>
      </pivotArea>
    </chartFormat>
    <chartFormat chart="0" format="7">
      <pivotArea type="data" outline="0" fieldPosition="0">
        <references count="2">
          <reference field="4294967294" count="1" selected="0">
            <x v="0"/>
          </reference>
          <reference field="9" count="1" selected="0">
            <x v="2"/>
          </reference>
        </references>
      </pivotArea>
    </chartFormat>
    <chartFormat chart="0" format="8">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438945-2802-4BF8-9113-04DF215CF4FC}"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2:B173" firstHeaderRow="0" firstDataRow="1" firstDataCol="0"/>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Registered Customers" fld="18" baseField="0" baseItem="0"/>
    <dataField name="Casual Customers" fld="1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8D8CE8-C31E-412D-AAF0-2EDB01BBCEFF}"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umidity">
  <location ref="A143:D148" firstHeaderRow="0" firstDataRow="1" firstDataCol="1"/>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axis="axisRow" showAll="0">
      <items count="5">
        <item x="2"/>
        <item x="0"/>
        <item x="3"/>
        <item x="1"/>
        <item t="default"/>
      </items>
    </pivotField>
    <pivotField showAll="0"/>
    <pivotField showAll="0"/>
    <pivotField dataField="1"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5">
    <i>
      <x/>
    </i>
    <i>
      <x v="1"/>
    </i>
    <i>
      <x v="2"/>
    </i>
    <i>
      <x v="3"/>
    </i>
    <i t="grand">
      <x/>
    </i>
  </rowItems>
  <colFields count="1">
    <field x="-2"/>
  </colFields>
  <colItems count="3">
    <i>
      <x/>
    </i>
    <i i="1">
      <x v="1"/>
    </i>
    <i i="2">
      <x v="2"/>
    </i>
  </colItems>
  <dataFields count="3">
    <dataField name="Casual Customers" fld="17" baseField="0" baseItem="0"/>
    <dataField name="Registered Customers" fld="18" baseField="0" baseItem="0"/>
    <dataField name="Total Riders" fld="19"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AB5292-15CA-4835-AE1C-F96270D2885A}"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ate">
  <location ref="C209:D210" firstHeaderRow="0" firstDataRow="1" firstDataCol="0"/>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Fields count="1">
    <field x="-2"/>
  </colFields>
  <colItems count="2">
    <i>
      <x/>
    </i>
    <i i="1">
      <x v="1"/>
    </i>
  </colItems>
  <dataFields count="2">
    <dataField name="Registered Customers" fld="18" baseField="0" baseItem="0"/>
    <dataField name="Total Rides" fld="1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EE4C11-4150-4E01-BC68-0A1E40B6CE4F}" name="PivotTable4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89:I97" firstHeaderRow="1" firstDataRow="1" firstDataCol="1"/>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showAll="0">
      <items count="8">
        <item x="1"/>
        <item x="2"/>
        <item x="3"/>
        <item x="4"/>
        <item x="5"/>
        <item x="6"/>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Average of atemp" fld="12" subtotal="average" baseField="8" baseItem="0"/>
  </dataFields>
  <formats count="12">
    <format dxfId="140">
      <pivotArea type="all" dataOnly="0" outline="0" fieldPosition="0"/>
    </format>
    <format dxfId="139">
      <pivotArea outline="0" collapsedLevelsAreSubtotals="1" fieldPosition="0"/>
    </format>
    <format dxfId="138">
      <pivotArea field="8" type="button" dataOnly="0" labelOnly="1" outline="0" axis="axisRow" fieldPosition="0"/>
    </format>
    <format dxfId="137">
      <pivotArea dataOnly="0" labelOnly="1" fieldPosition="0">
        <references count="1">
          <reference field="8" count="0"/>
        </references>
      </pivotArea>
    </format>
    <format dxfId="136">
      <pivotArea dataOnly="0" labelOnly="1" grandRow="1" outline="0"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8" type="button" dataOnly="0" labelOnly="1" outline="0" axis="axisRow" fieldPosition="0"/>
    </format>
    <format dxfId="131">
      <pivotArea dataOnly="0" labelOnly="1" fieldPosition="0">
        <references count="1">
          <reference field="8" count="0"/>
        </references>
      </pivotArea>
    </format>
    <format dxfId="130">
      <pivotArea dataOnly="0" labelOnly="1" grandRow="1" outline="0" fieldPosition="0"/>
    </format>
    <format dxfId="12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3CB83A2-BE71-451E-ADE4-60233ADE77AA}" name="PivotTable5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05:C113" firstHeaderRow="1" firstDataRow="1" firstDataCol="1"/>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6">
        <item x="3"/>
        <item x="1"/>
        <item x="4"/>
        <item x="2"/>
        <item x="0"/>
        <item t="default"/>
      </items>
    </pivotField>
    <pivotField showAll="0">
      <items count="3">
        <item x="0"/>
        <item x="1"/>
        <item t="default"/>
      </items>
    </pivotField>
    <pivotField axis="axisRow" showAll="0">
      <items count="8">
        <item x="1"/>
        <item x="2"/>
        <item x="3"/>
        <item x="4"/>
        <item x="5"/>
        <item x="6"/>
        <item x="0"/>
        <item t="default"/>
      </items>
    </pivotField>
    <pivotField showAll="0">
      <items count="5">
        <item x="0"/>
        <item x="1"/>
        <item x="2"/>
        <item x="3"/>
        <item t="default"/>
      </items>
    </pivotField>
    <pivotField showAll="0"/>
    <pivotField showAll="0">
      <items count="5">
        <item x="3"/>
        <item x="2"/>
        <item x="0"/>
        <item x="1"/>
        <item t="default"/>
      </items>
    </pivotField>
    <pivotField showAll="0"/>
    <pivotField showAll="0"/>
    <pivotField showAll="0">
      <items count="5">
        <item x="2"/>
        <item x="0"/>
        <item x="3"/>
        <item x="1"/>
        <item t="default"/>
      </items>
    </pivotField>
    <pivotField showAll="0"/>
    <pivotField showAll="0">
      <items count="4">
        <item x="2"/>
        <item x="0"/>
        <item x="1"/>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Sum of cnt" fld="19" baseField="0" baseItem="0"/>
  </dataFields>
  <formats count="12">
    <format dxfId="152">
      <pivotArea type="all" dataOnly="0" outline="0" fieldPosition="0"/>
    </format>
    <format dxfId="151">
      <pivotArea outline="0" collapsedLevelsAreSubtotals="1" fieldPosition="0"/>
    </format>
    <format dxfId="150">
      <pivotArea field="8" type="button" dataOnly="0" labelOnly="1" outline="0" axis="axisRow" fieldPosition="0"/>
    </format>
    <format dxfId="149">
      <pivotArea dataOnly="0" labelOnly="1" fieldPosition="0">
        <references count="1">
          <reference field="8" count="0"/>
        </references>
      </pivotArea>
    </format>
    <format dxfId="148">
      <pivotArea dataOnly="0" labelOnly="1" grandRow="1" outline="0"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8" type="button" dataOnly="0" labelOnly="1" outline="0" axis="axisRow" fieldPosition="0"/>
    </format>
    <format dxfId="143">
      <pivotArea dataOnly="0" labelOnly="1" fieldPosition="0">
        <references count="1">
          <reference field="8" count="0"/>
        </references>
      </pivotArea>
    </format>
    <format dxfId="142">
      <pivotArea dataOnly="0" labelOnly="1" grandRow="1" outline="0" fieldPosition="0"/>
    </format>
    <format dxfId="141">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C0E1215-B429-4855-B48B-BDDC7DB17703}"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ate">
  <location ref="A190:B238" firstHeaderRow="1" firstDataRow="1" firstDataCol="1"/>
  <pivotFields count="23">
    <pivotField showAll="0"/>
    <pivotField axis="axisRow"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x="0"/>
        <item x="1"/>
        <item x="2"/>
        <item x="3"/>
        <item x="4"/>
        <item x="5"/>
        <item x="6"/>
        <item x="7"/>
        <item x="8"/>
        <item x="9"/>
        <item x="10"/>
        <item x="11"/>
        <item x="12"/>
        <item x="13"/>
      </items>
    </pivotField>
  </pivotFields>
  <rowFields count="3">
    <field x="22"/>
    <field x="21"/>
    <field x="1"/>
  </rowFields>
  <rowItems count="48">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t="grand">
      <x/>
    </i>
  </rowItems>
  <colItems count="1">
    <i/>
  </colItems>
  <dataFields count="1">
    <dataField name="Sum of cnt"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BEC0F85-01F8-4D4F-B872-EF953FDB5F10}" name="PivotTable3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69:H74" firstHeaderRow="1" firstDataRow="1" firstDataCol="1"/>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gistered Customer" fld="18" baseField="0" baseItem="0"/>
  </dataFields>
  <formats count="12">
    <format dxfId="164">
      <pivotArea type="all" dataOnly="0" outline="0" fieldPosition="0"/>
    </format>
    <format dxfId="163">
      <pivotArea outline="0" collapsedLevelsAreSubtotals="1" fieldPosition="0"/>
    </format>
    <format dxfId="162">
      <pivotArea field="9" type="button" dataOnly="0" labelOnly="1" outline="0" axis="axisRow" fieldPosition="0"/>
    </format>
    <format dxfId="161">
      <pivotArea dataOnly="0" labelOnly="1" fieldPosition="0">
        <references count="1">
          <reference field="9" count="0"/>
        </references>
      </pivotArea>
    </format>
    <format dxfId="160">
      <pivotArea dataOnly="0" labelOnly="1" grandRow="1" outline="0"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field="9" type="button" dataOnly="0" labelOnly="1" outline="0" axis="axisRow" fieldPosition="0"/>
    </format>
    <format dxfId="155">
      <pivotArea dataOnly="0" labelOnly="1" fieldPosition="0">
        <references count="1">
          <reference field="9" count="0"/>
        </references>
      </pivotArea>
    </format>
    <format dxfId="154">
      <pivotArea dataOnly="0" labelOnly="1" grandRow="1" outline="0" fieldPosition="0"/>
    </format>
    <format dxfId="15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17280E9-4458-45F3-B222-9AFF69DEF07D}" name="Daily bike rides"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ay">
  <location ref="B16:D24" firstHeaderRow="0" firstDataRow="1" firstDataCol="1"/>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showAll="0">
      <items count="8">
        <item x="1"/>
        <item x="2"/>
        <item x="3"/>
        <item x="4"/>
        <item x="5"/>
        <item x="6"/>
        <item x="0"/>
        <item t="default"/>
      </items>
    </pivotField>
    <pivotField showAll="0"/>
    <pivotField showAll="0"/>
    <pivotField showAll="0">
      <items count="5">
        <item x="3"/>
        <item x="2"/>
        <item x="0"/>
        <item x="1"/>
        <item t="default"/>
      </items>
    </pivotField>
    <pivotField showAll="0"/>
    <pivotField showAll="0"/>
    <pivotField showAll="0"/>
    <pivotField showAll="0"/>
    <pivotField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Fields count="1">
    <field x="-2"/>
  </colFields>
  <colItems count="2">
    <i>
      <x/>
    </i>
    <i i="1">
      <x v="1"/>
    </i>
  </colItems>
  <dataFields count="2">
    <dataField name="Casual Customers" fld="17" baseField="8" baseItem="1"/>
    <dataField name="Registered Customers" fld="18" baseField="8" baseItem="1"/>
  </dataFields>
  <formats count="26">
    <format dxfId="190">
      <pivotArea type="all" dataOnly="0" outline="0" fieldPosition="0"/>
    </format>
    <format dxfId="189">
      <pivotArea outline="0" collapsedLevelsAreSubtotals="1" fieldPosition="0"/>
    </format>
    <format dxfId="188">
      <pivotArea field="8" type="button" dataOnly="0" labelOnly="1" outline="0" axis="axisRow" fieldPosition="0"/>
    </format>
    <format dxfId="187">
      <pivotArea dataOnly="0" labelOnly="1" fieldPosition="0">
        <references count="1">
          <reference field="8" count="0"/>
        </references>
      </pivotArea>
    </format>
    <format dxfId="186">
      <pivotArea dataOnly="0" labelOnly="1" grandRow="1" outline="0" fieldPosition="0"/>
    </format>
    <format dxfId="185">
      <pivotArea dataOnly="0" labelOnly="1" outline="0" fieldPosition="0">
        <references count="1">
          <reference field="4294967294" count="2">
            <x v="0"/>
            <x v="1"/>
          </reference>
        </references>
      </pivotArea>
    </format>
    <format dxfId="184">
      <pivotArea type="all" dataOnly="0" outline="0" fieldPosition="0"/>
    </format>
    <format dxfId="183">
      <pivotArea outline="0" collapsedLevelsAreSubtotals="1" fieldPosition="0"/>
    </format>
    <format dxfId="182">
      <pivotArea field="8" type="button" dataOnly="0" labelOnly="1" outline="0" axis="axisRow" fieldPosition="0"/>
    </format>
    <format dxfId="181">
      <pivotArea dataOnly="0" labelOnly="1" fieldPosition="0">
        <references count="1">
          <reference field="8" count="0"/>
        </references>
      </pivotArea>
    </format>
    <format dxfId="180">
      <pivotArea dataOnly="0" labelOnly="1" grandRow="1" outline="0" fieldPosition="0"/>
    </format>
    <format dxfId="179">
      <pivotArea dataOnly="0" labelOnly="1" outline="0" fieldPosition="0">
        <references count="1">
          <reference field="4294967294" count="2">
            <x v="0"/>
            <x v="1"/>
          </reference>
        </references>
      </pivotArea>
    </format>
    <format dxfId="178">
      <pivotArea type="all" dataOnly="0" outline="0" fieldPosition="0"/>
    </format>
    <format dxfId="177">
      <pivotArea outline="0" collapsedLevelsAreSubtotals="1" fieldPosition="0"/>
    </format>
    <format dxfId="176">
      <pivotArea field="8" type="button" dataOnly="0" labelOnly="1" outline="0" axis="axisRow" fieldPosition="0"/>
    </format>
    <format dxfId="175">
      <pivotArea dataOnly="0" labelOnly="1" fieldPosition="0">
        <references count="1">
          <reference field="8" count="0"/>
        </references>
      </pivotArea>
    </format>
    <format dxfId="174">
      <pivotArea dataOnly="0" labelOnly="1" grandRow="1" outline="0" fieldPosition="0"/>
    </format>
    <format dxfId="173">
      <pivotArea dataOnly="0" labelOnly="1" outline="0" fieldPosition="0">
        <references count="1">
          <reference field="4294967294" count="2">
            <x v="0"/>
            <x v="1"/>
          </reference>
        </references>
      </pivotArea>
    </format>
    <format dxfId="172">
      <pivotArea type="all" dataOnly="0" outline="0" fieldPosition="0"/>
    </format>
    <format dxfId="171">
      <pivotArea outline="0" collapsedLevelsAreSubtotals="1" fieldPosition="0"/>
    </format>
    <format dxfId="170">
      <pivotArea field="8" type="button" dataOnly="0" labelOnly="1" outline="0" axis="axisRow" fieldPosition="0"/>
    </format>
    <format dxfId="169">
      <pivotArea dataOnly="0" labelOnly="1" fieldPosition="0">
        <references count="1">
          <reference field="8" count="0"/>
        </references>
      </pivotArea>
    </format>
    <format dxfId="168">
      <pivotArea dataOnly="0" labelOnly="1" grandRow="1" outline="0" fieldPosition="0"/>
    </format>
    <format dxfId="167">
      <pivotArea dataOnly="0" labelOnly="1" outline="0" fieldPosition="0">
        <references count="1">
          <reference field="4294967294" count="2">
            <x v="0"/>
            <x v="1"/>
          </reference>
        </references>
      </pivotArea>
    </format>
    <format dxfId="166">
      <pivotArea field="8" type="button" dataOnly="0" labelOnly="1" outline="0" axis="axisRow" fieldPosition="0"/>
    </format>
    <format dxfId="165">
      <pivotArea dataOnly="0" labelOnly="1" outline="0" fieldPosition="0">
        <references count="1">
          <reference field="4294967294" count="2">
            <x v="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4"/>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083CB1C-732E-4645-8CB6-973C3F060E87}" name="Hourly bike rides"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Hours">
  <location ref="B40:D65" firstHeaderRow="0" firstDataRow="1" firstDataCol="1"/>
  <pivotFields count="23">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asual Customers" fld="17" baseField="0" baseItem="0"/>
    <dataField name="Registered Customers" fld="18" baseField="0" baseItem="0"/>
  </dataFields>
  <formats count="32">
    <format dxfId="222">
      <pivotArea type="all" dataOnly="0" outline="0" fieldPosition="0"/>
    </format>
    <format dxfId="221">
      <pivotArea outline="0" collapsedLevelsAreSubtotals="1" fieldPosition="0"/>
    </format>
    <format dxfId="220">
      <pivotArea field="5" type="button" dataOnly="0" labelOnly="1" outline="0" axis="axisRow" fieldPosition="0"/>
    </format>
    <format dxfId="219">
      <pivotArea dataOnly="0" labelOnly="1" fieldPosition="0">
        <references count="1">
          <reference field="5" count="0"/>
        </references>
      </pivotArea>
    </format>
    <format dxfId="218">
      <pivotArea dataOnly="0" labelOnly="1" grandRow="1" outline="0" fieldPosition="0"/>
    </format>
    <format dxfId="217">
      <pivotArea dataOnly="0" labelOnly="1" outline="0" fieldPosition="0">
        <references count="1">
          <reference field="4294967294" count="2">
            <x v="0"/>
            <x v="1"/>
          </reference>
        </references>
      </pivotArea>
    </format>
    <format dxfId="216">
      <pivotArea type="all" dataOnly="0" outline="0" fieldPosition="0"/>
    </format>
    <format dxfId="215">
      <pivotArea outline="0" collapsedLevelsAreSubtotals="1" fieldPosition="0"/>
    </format>
    <format dxfId="214">
      <pivotArea field="5" type="button" dataOnly="0" labelOnly="1" outline="0" axis="axisRow" fieldPosition="0"/>
    </format>
    <format dxfId="213">
      <pivotArea dataOnly="0" labelOnly="1" fieldPosition="0">
        <references count="1">
          <reference field="5" count="0"/>
        </references>
      </pivotArea>
    </format>
    <format dxfId="212">
      <pivotArea dataOnly="0" labelOnly="1" grandRow="1" outline="0" fieldPosition="0"/>
    </format>
    <format dxfId="211">
      <pivotArea dataOnly="0" labelOnly="1" outline="0" fieldPosition="0">
        <references count="1">
          <reference field="4294967294" count="2">
            <x v="0"/>
            <x v="1"/>
          </reference>
        </references>
      </pivotArea>
    </format>
    <format dxfId="210">
      <pivotArea type="all" dataOnly="0" outline="0" fieldPosition="0"/>
    </format>
    <format dxfId="209">
      <pivotArea outline="0" collapsedLevelsAreSubtotals="1" fieldPosition="0"/>
    </format>
    <format dxfId="208">
      <pivotArea field="5" type="button" dataOnly="0" labelOnly="1" outline="0" axis="axisRow" fieldPosition="0"/>
    </format>
    <format dxfId="207">
      <pivotArea dataOnly="0" labelOnly="1" fieldPosition="0">
        <references count="1">
          <reference field="5" count="0"/>
        </references>
      </pivotArea>
    </format>
    <format dxfId="206">
      <pivotArea dataOnly="0" labelOnly="1" grandRow="1" outline="0" fieldPosition="0"/>
    </format>
    <format dxfId="205">
      <pivotArea dataOnly="0" labelOnly="1" outline="0" fieldPosition="0">
        <references count="1">
          <reference field="4294967294" count="2">
            <x v="0"/>
            <x v="1"/>
          </reference>
        </references>
      </pivotArea>
    </format>
    <format dxfId="204">
      <pivotArea type="all" dataOnly="0" outline="0" fieldPosition="0"/>
    </format>
    <format dxfId="203">
      <pivotArea outline="0" collapsedLevelsAreSubtotals="1" fieldPosition="0"/>
    </format>
    <format dxfId="202">
      <pivotArea field="5" type="button" dataOnly="0" labelOnly="1" outline="0" axis="axisRow" fieldPosition="0"/>
    </format>
    <format dxfId="201">
      <pivotArea dataOnly="0" labelOnly="1" fieldPosition="0">
        <references count="1">
          <reference field="5" count="0"/>
        </references>
      </pivotArea>
    </format>
    <format dxfId="200">
      <pivotArea dataOnly="0" labelOnly="1" grandRow="1" outline="0" fieldPosition="0"/>
    </format>
    <format dxfId="199">
      <pivotArea dataOnly="0" labelOnly="1" outline="0" fieldPosition="0">
        <references count="1">
          <reference field="4294967294" count="2">
            <x v="0"/>
            <x v="1"/>
          </reference>
        </references>
      </pivotArea>
    </format>
    <format dxfId="198">
      <pivotArea type="all" dataOnly="0" outline="0" fieldPosition="0"/>
    </format>
    <format dxfId="197">
      <pivotArea outline="0" collapsedLevelsAreSubtotals="1" fieldPosition="0"/>
    </format>
    <format dxfId="196">
      <pivotArea field="5" type="button" dataOnly="0" labelOnly="1" outline="0" axis="axisRow" fieldPosition="0"/>
    </format>
    <format dxfId="195">
      <pivotArea dataOnly="0" labelOnly="1" fieldPosition="0">
        <references count="1">
          <reference field="5" count="0"/>
        </references>
      </pivotArea>
    </format>
    <format dxfId="194">
      <pivotArea dataOnly="0" labelOnly="1" grandRow="1" outline="0" fieldPosition="0"/>
    </format>
    <format dxfId="193">
      <pivotArea dataOnly="0" labelOnly="1" outline="0" fieldPosition="0">
        <references count="1">
          <reference field="4294967294" count="2">
            <x v="0"/>
            <x v="1"/>
          </reference>
        </references>
      </pivotArea>
    </format>
    <format dxfId="192">
      <pivotArea field="5" type="button" dataOnly="0" labelOnly="1" outline="0" axis="axisRow" fieldPosition="0"/>
    </format>
    <format dxfId="191">
      <pivotArea dataOnly="0" labelOnly="1" outline="0" fieldPosition="0">
        <references count="1">
          <reference field="4294967294" count="2">
            <x v="0"/>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B6A280E-3D28-47B1-A5F2-6C4F42AD57F0}" name="PivotTable6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30:C133" firstHeaderRow="1" firstDataRow="1" firstDataCol="1"/>
  <pivotFields count="23">
    <pivotField showAll="0"/>
    <pivotField axis="axisRow"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1"/>
  </rowFields>
  <rowItems count="3">
    <i>
      <x v="1"/>
    </i>
    <i>
      <x v="2"/>
    </i>
    <i t="grand">
      <x/>
    </i>
  </rowItems>
  <colItems count="1">
    <i/>
  </colItems>
  <dataFields count="1">
    <dataField name="Sum of cnt" fld="19" baseField="0" baseItem="0"/>
  </dataFields>
  <formats count="12">
    <format dxfId="234">
      <pivotArea type="all" dataOnly="0" outline="0" fieldPosition="0"/>
    </format>
    <format dxfId="233">
      <pivotArea outline="0" collapsedLevelsAreSubtotals="1" fieldPosition="0"/>
    </format>
    <format dxfId="232">
      <pivotArea field="22" type="button" dataOnly="0" labelOnly="1" outline="0" axis="axisRow" fieldPosition="0"/>
    </format>
    <format dxfId="231">
      <pivotArea dataOnly="0" labelOnly="1" fieldPosition="0">
        <references count="1">
          <reference field="22" count="2">
            <x v="1"/>
            <x v="2"/>
          </reference>
        </references>
      </pivotArea>
    </format>
    <format dxfId="230">
      <pivotArea dataOnly="0" labelOnly="1" grandRow="1" outline="0"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field="22" type="button" dataOnly="0" labelOnly="1" outline="0" axis="axisRow" fieldPosition="0"/>
    </format>
    <format dxfId="225">
      <pivotArea dataOnly="0" labelOnly="1" fieldPosition="0">
        <references count="1">
          <reference field="22" count="2">
            <x v="1"/>
            <x v="2"/>
          </reference>
        </references>
      </pivotArea>
    </format>
    <format dxfId="224">
      <pivotArea dataOnly="0" labelOnly="1" grandRow="1" outline="0" fieldPosition="0"/>
    </format>
    <format dxfId="22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egory" xr10:uid="{0E9011A2-F332-443B-9DCF-7EFB44C31A6D}" sourceName="Temp Category">
  <pivotTables>
    <pivotTable tabId="10" name="Daily bike rides"/>
  </pivotTables>
  <data>
    <tabular pivotCacheId="1946914863">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9AF827FA-D07D-4E33-8AB6-E95FA8F2B3D5}" sourceName="Time of day">
  <pivotTables>
    <pivotTable tabId="10" name="Hourly bike rides"/>
  </pivotTables>
  <data>
    <tabular pivotCacheId="1946914863">
      <items count="5">
        <i x="3" s="1"/>
        <i x="1"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1" xr10:uid="{3E2F94C2-E42C-4048-81FE-9E670CAEE5AB}" sourceName="Time of day">
  <pivotTables>
    <pivotTable tabId="10" name="PivotTable59"/>
  </pivotTables>
  <data>
    <tabular pivotCacheId="1946914863">
      <items count="5">
        <i x="3" s="1"/>
        <i x="1"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egory1" xr10:uid="{D913C25A-5491-4C2F-80F7-DCBC065FCAD7}" sourceName="Temp Category">
  <pivotTables>
    <pivotTable tabId="10" name="PivotTable59"/>
  </pivotTables>
  <data>
    <tabular pivotCacheId="1946914863">
      <items count="4">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_Cat" xr10:uid="{36398AF5-A704-49B8-AE4D-CD74CE8B533E}" sourceName="Humid Cat">
  <pivotTables>
    <pivotTable tabId="10" name="PivotTable59"/>
  </pivotTables>
  <data>
    <tabular pivotCacheId="1946914863">
      <items count="4">
        <i x="2" s="1"/>
        <i x="0"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728417A5-9FFF-49A7-B328-9896E55C7758}" sourceName="Weather_Situation">
  <pivotTables>
    <pivotTable tabId="10" name="PivotTable59"/>
  </pivotTables>
  <data>
    <tabular pivotCacheId="1946914863">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_category" xr10:uid="{603A22D6-0DF8-4AD4-B1FA-3DF725035B4A}" sourceName="Windspeed category">
  <pivotTables>
    <pivotTable tabId="10" name="PivotTable59"/>
  </pivotTables>
  <data>
    <tabular pivotCacheId="1946914863">
      <items count="3">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egory2" xr10:uid="{4461771F-A56D-4DE6-A83D-9092B7919AC7}" sourceName="Temp Category">
  <pivotTables>
    <pivotTable tabId="10" name="PivotTable1"/>
  </pivotTables>
  <data>
    <tabular pivotCacheId="1946914863">
      <items count="4">
        <i x="3" s="1"/>
        <i x="2"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 xr10:uid="{AF84C79A-6A65-4F79-B8F1-6F2ECE1B4ACE}" sourceName="hum">
  <pivotTables>
    <pivotTable tabId="6" name="PivotTable6"/>
  </pivotTables>
  <data>
    <tabular pivotCacheId="1033071532">
      <items count="61">
        <i x="58" s="1"/>
        <i x="59" s="1"/>
        <i x="60" s="1"/>
        <i x="57" s="1"/>
        <i x="40" s="1"/>
        <i x="44" s="1"/>
        <i x="24" s="1"/>
        <i x="25" s="1"/>
        <i x="39" s="1"/>
        <i x="46" s="1"/>
        <i x="23" s="1"/>
        <i x="42" s="1"/>
        <i x="38" s="1"/>
        <i x="41" s="1"/>
        <i x="17" s="1"/>
        <i x="22" s="1"/>
        <i x="48" s="1"/>
        <i x="16" s="1"/>
        <i x="21" s="1"/>
        <i x="18" s="1"/>
        <i x="49" s="1"/>
        <i x="15" s="1"/>
        <i x="19" s="1"/>
        <i x="37" s="1"/>
        <i x="36" s="1"/>
        <i x="20" s="1"/>
        <i x="33" s="1"/>
        <i x="35" s="1"/>
        <i x="45" s="1"/>
        <i x="47" s="1"/>
        <i x="28" s="1"/>
        <i x="34" s="1"/>
        <i x="14" s="1"/>
        <i x="52" s="1"/>
        <i x="29" s="1"/>
        <i x="54" s="1"/>
        <i x="53" s="1"/>
        <i x="51" s="1"/>
        <i x="30" s="1"/>
        <i x="26" s="1"/>
        <i x="55" s="1"/>
        <i x="13" s="1"/>
        <i x="31" s="1"/>
        <i x="27" s="1"/>
        <i x="56" s="1"/>
        <i x="12" s="1"/>
        <i x="6" s="1"/>
        <i x="32" s="1"/>
        <i x="2" s="1"/>
        <i x="4" s="1"/>
        <i x="5" s="1"/>
        <i x="1" s="1"/>
        <i x="0" s="1"/>
        <i x="7" s="1"/>
        <i x="3" s="1"/>
        <i x="9" s="1"/>
        <i x="8" s="1"/>
        <i x="50" s="1"/>
        <i x="43" s="1"/>
        <i x="10" s="1"/>
        <i x="1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1E0E8871-804C-4231-A43C-4622C2107581}" sourceName="hr">
  <pivotTables>
    <pivotTable tabId="8" name="PivotTable1"/>
  </pivotTables>
  <data>
    <tabular pivotCacheId="1441054430">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um" xr10:uid="{F7F0E6BC-7739-42B4-8EA3-CAA634B8E582}" cache="Slicer_hum" caption="hum" startItem="23"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A1ED5CCE-E3FE-4853-846E-3ED0A839BBDF}" cache="Slicer_hr" caption="hr"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 Category" xr10:uid="{75ED7204-E5B8-48B8-B816-14A2CC316CDD}" cache="Slicer_Temp_Category" caption="Temp Category" rowHeight="209550"/>
  <slicer name="Time of day" xr10:uid="{E37F2936-299F-4B7B-922B-3C23B02856E4}" cache="Slicer_Time_of_day" caption="Time of day" style="SlicerStyleLight4" rowHeight="209550"/>
  <slicer name="Time of day 1" xr10:uid="{C43627C3-8D1E-4159-A98C-2304A9C445B1}" cache="Slicer_Time_of_day1" caption="Time of day" style="SlicerStyleDark2" rowHeight="209550"/>
  <slicer name="Temp Category 1" xr10:uid="{F88C139E-296F-4E26-9BC5-D3254BDA2DEF}" cache="Slicer_Temp_Category1" caption="Temp Category" style="SlicerStyleDark2" rowHeight="209550"/>
  <slicer name="Humid Cat" xr10:uid="{389B3F4F-ABEC-4F55-86E8-D8E04AF2654D}" cache="Slicer_Humid_Cat" caption="Humid Cat" style="SlicerStyleDark5" rowHeight="209550"/>
  <slicer name="Weather_Situation" xr10:uid="{B259625A-C007-4A8E-A59A-6001FBFA61D2}" cache="Slicer_Weather_Situation" caption="Weather_Situation" style="SlicerStyleDark2" rowHeight="209550"/>
  <slicer name="Windspeed category" xr10:uid="{D3E80EEE-B736-4FEA-8DF4-83E01A7AB802}" cache="Slicer_Windspeed_category" caption="Windspeed category" style="SlicerStyleDark2" rowHeight="209550"/>
  <slicer name="Temp Category 2" xr10:uid="{B792576D-918B-4046-A2D7-D8D92E4C05F7}" cache="Slicer_Temp_Category2" caption="Temp 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8247A-1064-431C-A487-9CE4F3982D0E}" name="Table1" displayName="Table1" ref="A1:M611" totalsRowShown="0" headerRowDxfId="342" dataDxfId="340" headerRowBorderDxfId="341" tableBorderDxfId="339" totalsRowBorderDxfId="338">
  <autoFilter ref="A1:M611" xr:uid="{C3F8247A-1064-431C-A487-9CE4F3982D0E}"/>
  <tableColumns count="13">
    <tableColumn id="1" xr3:uid="{95A68CE3-1273-467C-9B9D-85B1DAB1E70E}" name="Instant" dataDxfId="337"/>
    <tableColumn id="2" xr3:uid="{F81FC04D-F0C2-4E4F-85E9-4E66E562C11D}" name="Date" dataDxfId="336"/>
    <tableColumn id="3" xr3:uid="{DFBC5B1E-9944-4F36-9946-6A05A109970D}" name="Season" dataDxfId="335"/>
    <tableColumn id="4" xr3:uid="{7849C1EE-DB53-429A-8F18-6EFDA19DDECD}" name="yr" dataDxfId="334"/>
    <tableColumn id="5" xr3:uid="{BC7BAAB5-D352-4636-A460-2457CE0C79F3}" name="mnth" dataDxfId="333"/>
    <tableColumn id="6" xr3:uid="{5DA59E2C-CEF6-4879-9817-BA6336729233}" name="hr" dataDxfId="332"/>
    <tableColumn id="11" xr3:uid="{6744DE7F-1E55-4273-8CEA-B61042E182FD}" name="time of day" dataDxfId="82"/>
    <tableColumn id="7" xr3:uid="{2EDE909C-A13A-40E0-9CE9-540566D5D1B8}" name="holiday" dataDxfId="331"/>
    <tableColumn id="8" xr3:uid="{23118745-522D-4A4C-8D0D-AE57A549C284}" name="weekday" dataDxfId="330"/>
    <tableColumn id="9" xr3:uid="{B10D43D6-D58B-456F-89C8-8D3E8AA89237}" name="Weather_Situation" dataDxfId="329"/>
    <tableColumn id="12" xr3:uid="{4E406E6B-5C7C-42E3-9E9D-89D1E36C51A7}" name="Weather" dataDxfId="81"/>
    <tableColumn id="13" xr3:uid="{255D014C-3D5C-4128-98D7-0F1EDBD3EFF7}" name="Column1" dataDxfId="80"/>
    <tableColumn id="10" xr3:uid="{2049C91B-54E3-4DED-8A52-23C0DE3CFC35}" name="Temperature" dataDxfId="328"/>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A08EF9-A2BB-4BF4-86CB-DCA7EB0AF311}" name="Table3" displayName="Table3" ref="A1:H611" totalsRowShown="0" headerRowDxfId="327" dataDxfId="326" tableBorderDxfId="325" headerRowCellStyle="Normal 2" dataCellStyle="Normal 2">
  <autoFilter ref="A1:H611" xr:uid="{1AA08EF9-A2BB-4BF4-86CB-DCA7EB0AF311}"/>
  <tableColumns count="8">
    <tableColumn id="1" xr3:uid="{07CCE665-6690-4EC2-8D12-A93E9D5E50F1}" name="Unnamed: 0" dataDxfId="324" dataCellStyle="Normal 2"/>
    <tableColumn id="2" xr3:uid="{375E4EEC-0BBB-4AE6-A638-9ADF693E15C2}" name="Instant" dataDxfId="323" dataCellStyle="Normal 2"/>
    <tableColumn id="3" xr3:uid="{BC22564D-47DD-4B45-BD51-A93327AD2DAD}" name="Atemp" dataDxfId="322" dataCellStyle="Normal 2"/>
    <tableColumn id="4" xr3:uid="{6CDB378F-168D-4EAC-91FF-B84E75F1DD32}" name="Humidity" dataDxfId="321" dataCellStyle="Normal 2"/>
    <tableColumn id="5" xr3:uid="{F417E169-D1C9-411B-B44D-CE79819C1721}" name="Windspeed" dataDxfId="320" dataCellStyle="Normal 2"/>
    <tableColumn id="6" xr3:uid="{32280856-A37F-4787-8A11-F3A3BBDB8CF2}" name="Casual Customer" dataDxfId="319" dataCellStyle="Normal 2"/>
    <tableColumn id="7" xr3:uid="{462B1391-68F7-4AAA-8CE8-BC0987A1F26A}" name="Registered Customer" dataDxfId="318" dataCellStyle="Normal 2"/>
    <tableColumn id="8" xr3:uid="{FCADCFE5-8A84-45E7-8702-5FD431A64809}" name="Total Customers" dataDxfId="317" dataCellStyle="Normal 2"/>
  </tableColumns>
  <tableStyleInfo name="TableStyleDark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9B5F5A-4F61-4194-981D-D554870032C4}" name="Combined12" displayName="Combined12" ref="A1:Q611" headerRowDxfId="291" dataDxfId="289" headerRowBorderDxfId="290" tableBorderDxfId="288" totalsRowBorderDxfId="287" headerRowCellStyle="Normal 2" dataCellStyle="Normal 2">
  <autoFilter ref="A1:Q611" xr:uid="{0B9B5F5A-4F61-4194-981D-D554870032C4}"/>
  <tableColumns count="17">
    <tableColumn id="1" xr3:uid="{B34A8323-63A6-4C05-9EC9-243149999E61}" name="Instant" totalsRowLabel="Total" dataDxfId="286" totalsRowDxfId="285"/>
    <tableColumn id="2" xr3:uid="{5E97843C-4596-406E-ABC4-BF33DA84B8DA}" name="Date" dataDxfId="284" totalsRowDxfId="283"/>
    <tableColumn id="3" xr3:uid="{55EFC546-9B0B-4831-9BEB-15416B5D9BAE}" name="Season" dataDxfId="282" totalsRowDxfId="281"/>
    <tableColumn id="4" xr3:uid="{318AC018-F12B-402B-B468-6022AD365333}" name="Year" dataDxfId="280" totalsRowDxfId="279"/>
    <tableColumn id="5" xr3:uid="{6850EFF8-206A-4485-9F63-5D0CA3EFE3BC}" name="Month" dataDxfId="278" totalsRowDxfId="277"/>
    <tableColumn id="6" xr3:uid="{3145F461-47FD-430E-9944-AEAC9A270A7B}" name="Hour" dataDxfId="276" totalsRowDxfId="275"/>
    <tableColumn id="18" xr3:uid="{110B7F84-A2A6-4180-B0F3-C4422625EDCC}" name="Time Category" dataDxfId="274" totalsRowDxfId="273">
      <calculatedColumnFormula array="1">_xlfn.IFS(F2&lt;3,"Night",F2&lt;=6,"Early Morning",F2&lt;8,"Morning",F2&lt;10,"Late Morning",F2&lt;12,"Afternoon",F2&lt;16,"Afternoon",F2&lt;=18,"Early Evening",F2&lt;=20,"Evening",F2&lt;=22,"Late Evening",F2&lt;=23,"Night")</calculatedColumnFormula>
    </tableColumn>
    <tableColumn id="7" xr3:uid="{8C2F4E63-2CF2-46FB-A4DA-0A523C80E288}" name="Holiday" dataDxfId="272" totalsRowDxfId="271"/>
    <tableColumn id="8" xr3:uid="{3644D2B7-A29A-40E0-BD67-48E1D5FCD0FE}" name="Weekday" dataDxfId="270" totalsRowDxfId="269"/>
    <tableColumn id="9" xr3:uid="{A006E59F-E568-4A36-A6E1-4DA47A0D7BDE}" name="Weather_Situation" dataDxfId="268" totalsRowDxfId="267"/>
    <tableColumn id="10" xr3:uid="{61AA3099-BCC7-4B69-9A2B-7AFE89100E5D}" name="Temperature" dataDxfId="266" totalsRowDxfId="265"/>
    <tableColumn id="11" xr3:uid="{C372DB9E-2AAC-4A8C-BFE5-D375DC1E5FB2}" name="Atemp" dataDxfId="264" totalsRowDxfId="263" dataCellStyle="Normal 2"/>
    <tableColumn id="12" xr3:uid="{89DB09E9-F87C-4F49-B633-D0FBB86BFD4B}" name="Humidity" dataDxfId="262" totalsRowDxfId="261" dataCellStyle="Normal 2"/>
    <tableColumn id="13" xr3:uid="{61DDC2FD-9B8E-45BB-B352-1C2E7CFA7D2C}" name="Windspeed" dataDxfId="260" totalsRowDxfId="259" dataCellStyle="Normal 2"/>
    <tableColumn id="14" xr3:uid="{7F73F8A4-10AA-497A-ACBE-FC1454F51DB4}" name="Casual Customer" dataDxfId="258" totalsRowDxfId="257" dataCellStyle="Normal 2"/>
    <tableColumn id="15" xr3:uid="{4AC0EAB6-0DDE-4138-83B6-C25C53683982}" name="Registered Customer" dataDxfId="256" totalsRowDxfId="255" dataCellStyle="Normal 2"/>
    <tableColumn id="16" xr3:uid="{FAFF2E05-139E-430E-9549-1F7BBF361F04}" name="Total" totalsRowFunction="sum" dataDxfId="254" totalsRowDxfId="253" dataCellStyle="Normal 2"/>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279398-B6FB-4A96-8733-06E3375893B3}" name="Table4" displayName="Table4" ref="A1:U1001" totalsRowShown="0" headerRowDxfId="389" dataDxfId="387" headerRowBorderDxfId="388" tableBorderDxfId="386" totalsRowBorderDxfId="385" headerRowCellStyle="Normal 2">
  <autoFilter ref="A1:U1001" xr:uid="{68279398-B6FB-4A96-8733-06E3375893B3}"/>
  <sortState xmlns:xlrd2="http://schemas.microsoft.com/office/spreadsheetml/2017/richdata2" ref="A2:U1001">
    <sortCondition ref="A1:A1001"/>
  </sortState>
  <tableColumns count="21">
    <tableColumn id="1" xr3:uid="{EDBFFF60-DC96-487F-B1CD-559566D1C3C7}" name="Instant" dataDxfId="384" totalsRowDxfId="383"/>
    <tableColumn id="2" xr3:uid="{AC7838E4-233D-4741-9AEB-B64B9FFE2BDD}" name="Date" dataDxfId="382" totalsRowDxfId="381"/>
    <tableColumn id="3" xr3:uid="{C93F98CC-8EAF-4C10-9395-978E9F873F75}" name="Season" dataDxfId="380" totalsRowDxfId="379"/>
    <tableColumn id="4" xr3:uid="{B638F8EA-7BBD-4A12-A549-2CC2BE6150B3}" name="Year" dataDxfId="378" totalsRowDxfId="377"/>
    <tableColumn id="5" xr3:uid="{7800992A-E523-4B5E-A8E6-2C0CFF6290CA}" name="Month" dataDxfId="376" totalsRowDxfId="375"/>
    <tableColumn id="6" xr3:uid="{23FCB4CD-71F4-4479-8F29-D958F1C12796}" name="Hour" dataDxfId="374" totalsRowDxfId="373"/>
    <tableColumn id="17" xr3:uid="{04FCCF34-00F7-466A-8656-CC8262442569}" name="Time of day" dataDxfId="372" totalsRowDxfId="371">
      <calculatedColumnFormula array="1">_xlfn.IFS(F2&lt;4,"Night",F2&lt;=6,"Early Morning",F2&lt;11,"Morning",F2&lt;12,"Afternoon",F2&lt;=16,"Afternoon",F2&lt;=20,"Evening",F2&gt;=21,"Night")</calculatedColumnFormula>
    </tableColumn>
    <tableColumn id="7" xr3:uid="{E0728B22-A98E-44BC-AC77-B4350614E543}" name="Holiday" dataDxfId="370" totalsRowDxfId="369"/>
    <tableColumn id="8" xr3:uid="{FB0C8BF8-61B6-4425-8EFB-9C4512E32789}" name="Weekday" dataDxfId="368" totalsRowDxfId="367"/>
    <tableColumn id="9" xr3:uid="{498742E3-F1DE-434B-9B7B-9B332270D80D}" name="Weather_Situation" dataDxfId="366" totalsRowDxfId="365"/>
    <tableColumn id="10" xr3:uid="{95D9A664-3BCB-4B95-8B54-257CED2304E6}" name="Temperature" dataDxfId="364" totalsRowDxfId="363"/>
    <tableColumn id="18" xr3:uid="{4E75FAA8-F4CA-4A4A-833D-1796444AD6AA}" name="Temp Category" dataDxfId="362" totalsRowDxfId="361">
      <calculatedColumnFormula array="1">_xlfn.IFS(K2&lt;0.15,"Cold",K2&lt;0.25,"Mild",K2&lt;=0.32,"Warm",K2&gt;=0.33,"Hot")</calculatedColumnFormula>
    </tableColumn>
    <tableColumn id="11" xr3:uid="{D70E3EB4-67C2-44C6-B295-4DB9BB104FF8}" name="Atemp" dataDxfId="360" totalsRowDxfId="359"/>
    <tableColumn id="12" xr3:uid="{D8B3796E-262E-4643-8627-1D0DB529167E}" name="Humidity" dataDxfId="358" totalsRowDxfId="357"/>
    <tableColumn id="20" xr3:uid="{ECA3D0C2-8889-4F19-9B10-2DF10F4B8315}" name="Humid Cat" dataDxfId="356" totalsRowDxfId="355">
      <calculatedColumnFormula array="1">_xlfn.IFS(N2&gt;0.61, "High Humidity", N2&gt;=0.6, "Humid", N2&gt;0.4, "Less Humidity", TRUE, "Dry")</calculatedColumnFormula>
    </tableColumn>
    <tableColumn id="13" xr3:uid="{80360C4A-3EB6-48FB-86DD-C071DF20A857}" name="Windspeed" dataDxfId="354" totalsRowDxfId="353"/>
    <tableColumn id="21" xr3:uid="{2AE8CBD3-E80D-4BEE-96F2-2C6E05C26C8C}" name="Windspeed category" dataDxfId="352" totalsRowDxfId="351">
      <calculatedColumnFormula array="1">_xlfn.IFS(P2&lt;=0.2,"Low Windspeed",P2&lt;0.4,"Medium Windspeed",P2&gt;=0.41,"High Windspeed")</calculatedColumnFormula>
    </tableColumn>
    <tableColumn id="14" xr3:uid="{D44BA230-34AE-4D43-93E3-875ED81ED2A1}" name="Casual Customer" dataDxfId="350" totalsRowDxfId="349"/>
    <tableColumn id="15" xr3:uid="{7061B14A-D64B-4F64-8186-9C86561E2518}" name="registered Customer" dataDxfId="348" totalsRowDxfId="347"/>
    <tableColumn id="16" xr3:uid="{BD142970-C03E-4770-BACE-195AB1E2D162}" name="cnt" dataDxfId="346" totalsRowDxfId="345"/>
    <tableColumn id="19" xr3:uid="{C8DBE5CD-6B2E-41AB-AEE5-95BE16822240}" name="Rides Demand" dataDxfId="344" totalsRowDxfId="343">
      <calculatedColumnFormula array="1">_xlfn.IFS(T2&lt;=70,"Low",T2&lt;=160,"Medium",T2&gt;=161,"High")</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5817C2-E546-4B7A-8C33-ED160B071DB4}" name="Table5" displayName="Table5" ref="A1:P391" totalsRowShown="0" headerRowDxfId="103" dataDxfId="101" headerRowBorderDxfId="102" tableBorderDxfId="100" totalsRowBorderDxfId="99">
  <autoFilter ref="A1:P391" xr:uid="{D355D9CC-9717-4C30-8E6F-394A082C3EDF}"/>
  <tableColumns count="16">
    <tableColumn id="1" xr3:uid="{87DBEDDB-6B6B-4156-BEE8-ECA60B5342C2}" name="Instant" dataDxfId="98"/>
    <tableColumn id="2" xr3:uid="{7B3E03E3-71A8-491F-A368-0BB936BA5726}" name="Date" dataDxfId="97"/>
    <tableColumn id="3" xr3:uid="{4E58778D-B66E-4ABF-91DD-93A9C4FA185A}" name="Season" dataDxfId="96"/>
    <tableColumn id="4" xr3:uid="{6CC26EF8-9593-48E9-83C1-2E997CDFDE0C}" name="Year" dataDxfId="95"/>
    <tableColumn id="5" xr3:uid="{5BE50100-81CF-465B-A28A-F1FF2DB4D459}" name="Month" dataDxfId="94"/>
    <tableColumn id="6" xr3:uid="{186DADA6-2186-4FE5-B2F8-63DAFBBF69BE}" name="Hour" dataDxfId="93"/>
    <tableColumn id="7" xr3:uid="{FFBF6508-BD55-485C-96CE-97EF1E777DED}" name="Holiday" dataDxfId="92"/>
    <tableColumn id="8" xr3:uid="{A3E2D162-DBC3-4E6D-89AA-E747EC1DCA71}" name="Weekday" dataDxfId="91"/>
    <tableColumn id="9" xr3:uid="{82465EA6-8700-4715-A442-D7086C3CB3D2}" name="Weathersit" dataDxfId="90"/>
    <tableColumn id="10" xr3:uid="{810A1D2D-AB70-49B5-9667-E0EBFD3C6262}" name="Temp" dataDxfId="89"/>
    <tableColumn id="11" xr3:uid="{5217C617-872A-4692-ADCA-6DD4386E9A3B}" name="Atemp" dataDxfId="88"/>
    <tableColumn id="12" xr3:uid="{E50D529A-E7B9-47C5-BC8E-FB9C57DAF42D}" name="Humidity" dataDxfId="87"/>
    <tableColumn id="13" xr3:uid="{D4F57F70-A77C-4A1B-884D-1FEBDCF92C43}" name="Windspeed" dataDxfId="86"/>
    <tableColumn id="14" xr3:uid="{768BB06A-7EA7-4B41-AB39-90373287E348}" name="Casual Customers" dataDxfId="85"/>
    <tableColumn id="15" xr3:uid="{E989E92F-DA09-4CFA-BD19-949BBCB59A7A}" name="Registered Customers" dataDxfId="84"/>
    <tableColumn id="16" xr3:uid="{B546D97C-132B-4AE6-8D78-6836226A76A2}" name="Total Customer" dataDxfId="83"/>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7-08T12:08:58.58" personId="{8E915010-52D4-4B7B-8773-A74363B439EC}" id="{552A1E05-35DD-4BF7-9158-896A0F48FB27}">
    <text>This datashet is incomplete if we check the 2 and 3, so dataset 1 and 2 should be combined so that we can merge 3 with that.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rinterSettings" Target="../printerSettings/printerSettings2.bin"/><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microsoft.com/office/2007/relationships/slicer" Target="../slicers/slicer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outlinePr summaryBelow="0" summaryRight="0"/>
  </sheetPr>
  <dimension ref="A1:M611"/>
  <sheetViews>
    <sheetView workbookViewId="0"/>
  </sheetViews>
  <sheetFormatPr defaultColWidth="12.6640625" defaultRowHeight="15.75" customHeight="1" x14ac:dyDescent="0.25"/>
  <cols>
    <col min="10" max="12" width="19.109375" customWidth="1"/>
    <col min="13" max="13" width="14" customWidth="1"/>
  </cols>
  <sheetData>
    <row r="1" spans="1:13" ht="13.2" x14ac:dyDescent="0.25">
      <c r="A1" s="22" t="s">
        <v>9</v>
      </c>
      <c r="B1" s="23" t="s">
        <v>10</v>
      </c>
      <c r="C1" s="23" t="s">
        <v>11</v>
      </c>
      <c r="D1" s="23" t="s">
        <v>0</v>
      </c>
      <c r="E1" s="23" t="s">
        <v>1</v>
      </c>
      <c r="F1" s="23" t="s">
        <v>2</v>
      </c>
      <c r="G1" s="23" t="s">
        <v>148</v>
      </c>
      <c r="H1" s="23" t="s">
        <v>3</v>
      </c>
      <c r="I1" s="23" t="s">
        <v>4</v>
      </c>
      <c r="J1" s="23" t="s">
        <v>12</v>
      </c>
      <c r="K1" s="24" t="s">
        <v>139</v>
      </c>
      <c r="L1" s="24" t="s">
        <v>147</v>
      </c>
      <c r="M1" s="24" t="s">
        <v>13</v>
      </c>
    </row>
    <row r="2" spans="1:13" ht="13.2" x14ac:dyDescent="0.25">
      <c r="A2" s="7">
        <v>1</v>
      </c>
      <c r="B2" s="3">
        <v>40544</v>
      </c>
      <c r="C2" s="2">
        <v>1</v>
      </c>
      <c r="D2" s="2">
        <v>0</v>
      </c>
      <c r="E2" s="2">
        <v>1</v>
      </c>
      <c r="F2" s="2">
        <v>0</v>
      </c>
      <c r="G2" s="2"/>
      <c r="H2" s="2" t="b">
        <v>0</v>
      </c>
      <c r="I2" s="2">
        <v>6</v>
      </c>
      <c r="J2" s="2">
        <v>1</v>
      </c>
      <c r="K2" s="65"/>
      <c r="L2" s="65"/>
      <c r="M2" s="21">
        <v>0.24</v>
      </c>
    </row>
    <row r="3" spans="1:13" ht="13.2" x14ac:dyDescent="0.25">
      <c r="A3" s="7">
        <v>2</v>
      </c>
      <c r="B3" s="3">
        <v>40544</v>
      </c>
      <c r="C3" s="2">
        <v>1</v>
      </c>
      <c r="D3" s="2">
        <v>0</v>
      </c>
      <c r="E3" s="2">
        <v>1</v>
      </c>
      <c r="F3" s="2">
        <v>1</v>
      </c>
      <c r="G3" s="2"/>
      <c r="H3" s="2" t="b">
        <v>0</v>
      </c>
      <c r="I3" s="2">
        <v>6</v>
      </c>
      <c r="J3" s="2">
        <v>1</v>
      </c>
      <c r="K3" s="65"/>
      <c r="L3" s="65"/>
      <c r="M3" s="21">
        <v>0.22</v>
      </c>
    </row>
    <row r="4" spans="1:13" ht="13.2" x14ac:dyDescent="0.25">
      <c r="A4" s="7">
        <v>3</v>
      </c>
      <c r="B4" s="3">
        <v>40544</v>
      </c>
      <c r="C4" s="2">
        <v>1</v>
      </c>
      <c r="D4" s="2">
        <v>0</v>
      </c>
      <c r="E4" s="2">
        <v>1</v>
      </c>
      <c r="F4" s="2">
        <v>2</v>
      </c>
      <c r="G4" s="2"/>
      <c r="H4" s="2" t="b">
        <v>0</v>
      </c>
      <c r="I4" s="2">
        <v>6</v>
      </c>
      <c r="J4" s="2">
        <v>1</v>
      </c>
      <c r="K4" s="65"/>
      <c r="L4" s="65"/>
      <c r="M4" s="21">
        <v>0.22</v>
      </c>
    </row>
    <row r="5" spans="1:13" ht="13.2" x14ac:dyDescent="0.25">
      <c r="A5" s="7">
        <v>4</v>
      </c>
      <c r="B5" s="3">
        <v>40544</v>
      </c>
      <c r="C5" s="2">
        <v>1</v>
      </c>
      <c r="D5" s="2">
        <v>0</v>
      </c>
      <c r="E5" s="2">
        <v>1</v>
      </c>
      <c r="F5" s="2">
        <v>3</v>
      </c>
      <c r="G5" s="2"/>
      <c r="H5" s="2" t="b">
        <v>0</v>
      </c>
      <c r="I5" s="2">
        <v>6</v>
      </c>
      <c r="J5" s="2">
        <v>1</v>
      </c>
      <c r="K5" s="65"/>
      <c r="L5" s="65"/>
      <c r="M5" s="21">
        <v>0.24</v>
      </c>
    </row>
    <row r="6" spans="1:13" ht="13.2" x14ac:dyDescent="0.25">
      <c r="A6" s="7">
        <v>5</v>
      </c>
      <c r="B6" s="3">
        <v>40544</v>
      </c>
      <c r="C6" s="2">
        <v>1</v>
      </c>
      <c r="D6" s="2">
        <v>0</v>
      </c>
      <c r="E6" s="2">
        <v>1</v>
      </c>
      <c r="F6" s="2">
        <v>4</v>
      </c>
      <c r="G6" s="2"/>
      <c r="H6" s="2" t="b">
        <v>0</v>
      </c>
      <c r="I6" s="2">
        <v>6</v>
      </c>
      <c r="J6" s="2">
        <v>1</v>
      </c>
      <c r="K6" s="65"/>
      <c r="L6" s="65"/>
      <c r="M6" s="21">
        <v>0.24</v>
      </c>
    </row>
    <row r="7" spans="1:13" ht="13.2" x14ac:dyDescent="0.25">
      <c r="A7" s="7">
        <v>6</v>
      </c>
      <c r="B7" s="3">
        <v>40544</v>
      </c>
      <c r="C7" s="2">
        <v>1</v>
      </c>
      <c r="D7" s="2">
        <v>0</v>
      </c>
      <c r="E7" s="2">
        <v>1</v>
      </c>
      <c r="F7" s="2">
        <v>5</v>
      </c>
      <c r="G7" s="2"/>
      <c r="H7" s="2" t="b">
        <v>0</v>
      </c>
      <c r="I7" s="2">
        <v>6</v>
      </c>
      <c r="J7" s="2">
        <v>2</v>
      </c>
      <c r="K7" s="65"/>
      <c r="L7" s="65"/>
      <c r="M7" s="21">
        <v>0.24</v>
      </c>
    </row>
    <row r="8" spans="1:13" ht="13.2" x14ac:dyDescent="0.25">
      <c r="A8" s="7">
        <v>7</v>
      </c>
      <c r="B8" s="3">
        <v>40544</v>
      </c>
      <c r="C8" s="2">
        <v>1</v>
      </c>
      <c r="D8" s="2">
        <v>0</v>
      </c>
      <c r="E8" s="2">
        <v>1</v>
      </c>
      <c r="F8" s="2">
        <v>6</v>
      </c>
      <c r="G8" s="2"/>
      <c r="H8" s="2" t="b">
        <v>0</v>
      </c>
      <c r="I8" s="2">
        <v>6</v>
      </c>
      <c r="J8" s="2">
        <v>1</v>
      </c>
      <c r="K8" s="65"/>
      <c r="L8" s="65"/>
      <c r="M8" s="21">
        <v>0.22</v>
      </c>
    </row>
    <row r="9" spans="1:13" ht="13.2" x14ac:dyDescent="0.25">
      <c r="A9" s="7">
        <v>8</v>
      </c>
      <c r="B9" s="3">
        <v>40544</v>
      </c>
      <c r="C9" s="2">
        <v>1</v>
      </c>
      <c r="D9" s="2">
        <v>0</v>
      </c>
      <c r="E9" s="2">
        <v>1</v>
      </c>
      <c r="F9" s="2">
        <v>7</v>
      </c>
      <c r="G9" s="2"/>
      <c r="H9" s="2" t="b">
        <v>0</v>
      </c>
      <c r="I9" s="2">
        <v>6</v>
      </c>
      <c r="J9" s="2">
        <v>1</v>
      </c>
      <c r="K9" s="65"/>
      <c r="L9" s="65"/>
      <c r="M9" s="21">
        <v>0.2</v>
      </c>
    </row>
    <row r="10" spans="1:13" ht="13.2" x14ac:dyDescent="0.25">
      <c r="A10" s="7">
        <v>9</v>
      </c>
      <c r="B10" s="3">
        <v>40544</v>
      </c>
      <c r="C10" s="2">
        <v>1</v>
      </c>
      <c r="D10" s="2">
        <v>0</v>
      </c>
      <c r="E10" s="2">
        <v>1</v>
      </c>
      <c r="F10" s="2">
        <v>8</v>
      </c>
      <c r="G10" s="2"/>
      <c r="H10" s="2" t="b">
        <v>0</v>
      </c>
      <c r="I10" s="2">
        <v>6</v>
      </c>
      <c r="J10" s="2">
        <v>1</v>
      </c>
      <c r="K10" s="65"/>
      <c r="L10" s="65"/>
      <c r="M10" s="21">
        <v>0.24</v>
      </c>
    </row>
    <row r="11" spans="1:13" ht="13.2" x14ac:dyDescent="0.25">
      <c r="A11" s="7">
        <v>10</v>
      </c>
      <c r="B11" s="3">
        <v>40544</v>
      </c>
      <c r="C11" s="2">
        <v>1</v>
      </c>
      <c r="D11" s="2">
        <v>0</v>
      </c>
      <c r="E11" s="2">
        <v>1</v>
      </c>
      <c r="F11" s="2">
        <v>9</v>
      </c>
      <c r="G11" s="2"/>
      <c r="H11" s="2" t="b">
        <v>0</v>
      </c>
      <c r="I11" s="2">
        <v>6</v>
      </c>
      <c r="J11" s="2">
        <v>1</v>
      </c>
      <c r="K11" s="65"/>
      <c r="L11" s="65"/>
      <c r="M11" s="21">
        <v>0.32</v>
      </c>
    </row>
    <row r="12" spans="1:13" ht="13.2" x14ac:dyDescent="0.25">
      <c r="A12" s="7">
        <v>11</v>
      </c>
      <c r="B12" s="3">
        <v>40544</v>
      </c>
      <c r="C12" s="2">
        <v>1</v>
      </c>
      <c r="D12" s="2">
        <v>0</v>
      </c>
      <c r="E12" s="2">
        <v>1</v>
      </c>
      <c r="F12" s="2">
        <v>10</v>
      </c>
      <c r="G12" s="2"/>
      <c r="H12" s="2" t="b">
        <v>0</v>
      </c>
      <c r="I12" s="2">
        <v>6</v>
      </c>
      <c r="J12" s="2">
        <v>1</v>
      </c>
      <c r="K12" s="65"/>
      <c r="L12" s="65"/>
      <c r="M12" s="21">
        <v>0.38</v>
      </c>
    </row>
    <row r="13" spans="1:13" ht="13.2" x14ac:dyDescent="0.25">
      <c r="A13" s="7">
        <v>12</v>
      </c>
      <c r="B13" s="3">
        <v>40544</v>
      </c>
      <c r="C13" s="2">
        <v>1</v>
      </c>
      <c r="D13" s="2">
        <v>0</v>
      </c>
      <c r="E13" s="2">
        <v>1</v>
      </c>
      <c r="F13" s="2">
        <v>11</v>
      </c>
      <c r="G13" s="2"/>
      <c r="H13" s="2" t="b">
        <v>0</v>
      </c>
      <c r="I13" s="2">
        <v>6</v>
      </c>
      <c r="J13" s="2">
        <v>1</v>
      </c>
      <c r="K13" s="65"/>
      <c r="L13" s="65"/>
      <c r="M13" s="21">
        <v>0.36</v>
      </c>
    </row>
    <row r="14" spans="1:13" ht="13.2" x14ac:dyDescent="0.25">
      <c r="A14" s="7">
        <v>13</v>
      </c>
      <c r="B14" s="3">
        <v>40544</v>
      </c>
      <c r="C14" s="2">
        <v>1</v>
      </c>
      <c r="D14" s="2">
        <v>0</v>
      </c>
      <c r="E14" s="2">
        <v>1</v>
      </c>
      <c r="F14" s="2">
        <v>12</v>
      </c>
      <c r="G14" s="2"/>
      <c r="H14" s="2" t="b">
        <v>0</v>
      </c>
      <c r="I14" s="2">
        <v>6</v>
      </c>
      <c r="J14" s="2">
        <v>1</v>
      </c>
      <c r="K14" s="65"/>
      <c r="L14" s="65"/>
      <c r="M14" s="21">
        <v>0.42</v>
      </c>
    </row>
    <row r="15" spans="1:13" ht="13.2" x14ac:dyDescent="0.25">
      <c r="A15" s="7">
        <v>14</v>
      </c>
      <c r="B15" s="3">
        <v>40544</v>
      </c>
      <c r="C15" s="2">
        <v>1</v>
      </c>
      <c r="D15" s="2">
        <v>0</v>
      </c>
      <c r="E15" s="2">
        <v>1</v>
      </c>
      <c r="F15" s="2">
        <v>13</v>
      </c>
      <c r="G15" s="2"/>
      <c r="H15" s="2" t="b">
        <v>0</v>
      </c>
      <c r="I15" s="2">
        <v>6</v>
      </c>
      <c r="J15" s="2">
        <v>2</v>
      </c>
      <c r="K15" s="65"/>
      <c r="L15" s="65"/>
      <c r="M15" s="21">
        <v>0.46</v>
      </c>
    </row>
    <row r="16" spans="1:13" ht="13.2" x14ac:dyDescent="0.25">
      <c r="A16" s="7">
        <v>15</v>
      </c>
      <c r="B16" s="3">
        <v>40544</v>
      </c>
      <c r="C16" s="2">
        <v>1</v>
      </c>
      <c r="D16" s="2">
        <v>0</v>
      </c>
      <c r="E16" s="2">
        <v>1</v>
      </c>
      <c r="F16" s="2">
        <v>14</v>
      </c>
      <c r="G16" s="2"/>
      <c r="H16" s="2" t="b">
        <v>0</v>
      </c>
      <c r="I16" s="2">
        <v>6</v>
      </c>
      <c r="J16" s="2">
        <v>2</v>
      </c>
      <c r="K16" s="65"/>
      <c r="L16" s="65"/>
      <c r="M16" s="21">
        <v>0.46</v>
      </c>
    </row>
    <row r="17" spans="1:13" ht="13.2" x14ac:dyDescent="0.25">
      <c r="A17" s="7">
        <v>16</v>
      </c>
      <c r="B17" s="3">
        <v>40544</v>
      </c>
      <c r="C17" s="2">
        <v>1</v>
      </c>
      <c r="D17" s="2">
        <v>0</v>
      </c>
      <c r="E17" s="2">
        <v>1</v>
      </c>
      <c r="F17" s="2">
        <v>15</v>
      </c>
      <c r="G17" s="2"/>
      <c r="H17" s="2" t="b">
        <v>0</v>
      </c>
      <c r="I17" s="2">
        <v>6</v>
      </c>
      <c r="J17" s="2">
        <v>2</v>
      </c>
      <c r="K17" s="65"/>
      <c r="L17" s="65"/>
      <c r="M17" s="21">
        <v>0.44</v>
      </c>
    </row>
    <row r="18" spans="1:13" ht="13.2" x14ac:dyDescent="0.25">
      <c r="A18" s="7">
        <v>17</v>
      </c>
      <c r="B18" s="3">
        <v>40544</v>
      </c>
      <c r="C18" s="2">
        <v>1</v>
      </c>
      <c r="D18" s="2">
        <v>0</v>
      </c>
      <c r="E18" s="2">
        <v>1</v>
      </c>
      <c r="F18" s="2">
        <v>16</v>
      </c>
      <c r="G18" s="2"/>
      <c r="H18" s="2" t="b">
        <v>0</v>
      </c>
      <c r="I18" s="2">
        <v>6</v>
      </c>
      <c r="J18" s="2">
        <v>2</v>
      </c>
      <c r="K18" s="65"/>
      <c r="L18" s="65"/>
      <c r="M18" s="21">
        <v>0.42</v>
      </c>
    </row>
    <row r="19" spans="1:13" ht="13.2" x14ac:dyDescent="0.25">
      <c r="A19" s="7">
        <v>18</v>
      </c>
      <c r="B19" s="3">
        <v>40544</v>
      </c>
      <c r="C19" s="2">
        <v>1</v>
      </c>
      <c r="D19" s="2">
        <v>0</v>
      </c>
      <c r="E19" s="2">
        <v>1</v>
      </c>
      <c r="F19" s="2">
        <v>17</v>
      </c>
      <c r="G19" s="2"/>
      <c r="H19" s="2" t="b">
        <v>0</v>
      </c>
      <c r="I19" s="2">
        <v>6</v>
      </c>
      <c r="J19" s="2">
        <v>2</v>
      </c>
      <c r="K19" s="65"/>
      <c r="L19" s="65"/>
      <c r="M19" s="21">
        <v>0.44</v>
      </c>
    </row>
    <row r="20" spans="1:13" ht="13.2" x14ac:dyDescent="0.25">
      <c r="A20" s="7">
        <v>19</v>
      </c>
      <c r="B20" s="3">
        <v>40544</v>
      </c>
      <c r="C20" s="2">
        <v>1</v>
      </c>
      <c r="D20" s="2">
        <v>0</v>
      </c>
      <c r="E20" s="2">
        <v>1</v>
      </c>
      <c r="F20" s="2">
        <v>18</v>
      </c>
      <c r="G20" s="2"/>
      <c r="H20" s="2" t="b">
        <v>0</v>
      </c>
      <c r="I20" s="2">
        <v>6</v>
      </c>
      <c r="J20" s="2">
        <v>3</v>
      </c>
      <c r="K20" s="65"/>
      <c r="L20" s="65"/>
      <c r="M20" s="21">
        <v>0.42</v>
      </c>
    </row>
    <row r="21" spans="1:13" ht="13.2" x14ac:dyDescent="0.25">
      <c r="A21" s="7">
        <v>20</v>
      </c>
      <c r="B21" s="3">
        <v>40544</v>
      </c>
      <c r="C21" s="2">
        <v>1</v>
      </c>
      <c r="D21" s="2">
        <v>0</v>
      </c>
      <c r="E21" s="2">
        <v>1</v>
      </c>
      <c r="F21" s="2">
        <v>19</v>
      </c>
      <c r="G21" s="2"/>
      <c r="H21" s="2" t="b">
        <v>0</v>
      </c>
      <c r="I21" s="2">
        <v>6</v>
      </c>
      <c r="J21" s="2">
        <v>3</v>
      </c>
      <c r="K21" s="65"/>
      <c r="L21" s="65"/>
      <c r="M21" s="21">
        <v>0.42</v>
      </c>
    </row>
    <row r="22" spans="1:13" ht="13.2" x14ac:dyDescent="0.25">
      <c r="A22" s="7">
        <v>21</v>
      </c>
      <c r="B22" s="3">
        <v>40544</v>
      </c>
      <c r="C22" s="2">
        <v>1</v>
      </c>
      <c r="D22" s="2">
        <v>0</v>
      </c>
      <c r="E22" s="2">
        <v>1</v>
      </c>
      <c r="F22" s="2">
        <v>20</v>
      </c>
      <c r="G22" s="2"/>
      <c r="H22" s="2" t="b">
        <v>0</v>
      </c>
      <c r="I22" s="2">
        <v>6</v>
      </c>
      <c r="J22" s="2">
        <v>2</v>
      </c>
      <c r="K22" s="65"/>
      <c r="L22" s="65"/>
      <c r="M22" s="21">
        <v>0.4</v>
      </c>
    </row>
    <row r="23" spans="1:13" ht="13.2" x14ac:dyDescent="0.25">
      <c r="A23" s="7">
        <v>22</v>
      </c>
      <c r="B23" s="3">
        <v>40544</v>
      </c>
      <c r="C23" s="2">
        <v>1</v>
      </c>
      <c r="D23" s="2">
        <v>0</v>
      </c>
      <c r="E23" s="2">
        <v>1</v>
      </c>
      <c r="F23" s="2">
        <v>21</v>
      </c>
      <c r="G23" s="2"/>
      <c r="H23" s="2" t="b">
        <v>0</v>
      </c>
      <c r="I23" s="2">
        <v>6</v>
      </c>
      <c r="J23" s="2">
        <v>2</v>
      </c>
      <c r="K23" s="65"/>
      <c r="L23" s="65"/>
      <c r="M23" s="21">
        <v>0.4</v>
      </c>
    </row>
    <row r="24" spans="1:13" ht="13.2" x14ac:dyDescent="0.25">
      <c r="A24" s="7">
        <v>23</v>
      </c>
      <c r="B24" s="3">
        <v>40544</v>
      </c>
      <c r="C24" s="2">
        <v>1</v>
      </c>
      <c r="D24" s="2">
        <v>0</v>
      </c>
      <c r="E24" s="2">
        <v>1</v>
      </c>
      <c r="F24" s="2">
        <v>22</v>
      </c>
      <c r="G24" s="2"/>
      <c r="H24" s="2" t="b">
        <v>0</v>
      </c>
      <c r="I24" s="2">
        <v>6</v>
      </c>
      <c r="J24" s="2">
        <v>2</v>
      </c>
      <c r="K24" s="65"/>
      <c r="L24" s="65"/>
      <c r="M24" s="21">
        <v>0.4</v>
      </c>
    </row>
    <row r="25" spans="1:13" ht="13.2" x14ac:dyDescent="0.25">
      <c r="A25" s="7">
        <v>24</v>
      </c>
      <c r="B25" s="3">
        <v>40544</v>
      </c>
      <c r="C25" s="2">
        <v>1</v>
      </c>
      <c r="D25" s="2">
        <v>0</v>
      </c>
      <c r="E25" s="2">
        <v>1</v>
      </c>
      <c r="F25" s="2">
        <v>23</v>
      </c>
      <c r="G25" s="2"/>
      <c r="H25" s="2" t="b">
        <v>0</v>
      </c>
      <c r="I25" s="2">
        <v>6</v>
      </c>
      <c r="J25" s="2">
        <v>2</v>
      </c>
      <c r="K25" s="65"/>
      <c r="L25" s="65"/>
      <c r="M25" s="21">
        <v>0.46</v>
      </c>
    </row>
    <row r="26" spans="1:13" ht="13.2" x14ac:dyDescent="0.25">
      <c r="A26" s="7">
        <v>25</v>
      </c>
      <c r="B26" s="3">
        <v>40545</v>
      </c>
      <c r="C26" s="2">
        <v>1</v>
      </c>
      <c r="D26" s="2">
        <v>0</v>
      </c>
      <c r="E26" s="2">
        <v>1</v>
      </c>
      <c r="F26" s="2">
        <v>0</v>
      </c>
      <c r="G26" s="2"/>
      <c r="H26" s="2" t="b">
        <v>0</v>
      </c>
      <c r="I26" s="2">
        <v>0</v>
      </c>
      <c r="J26" s="2">
        <v>2</v>
      </c>
      <c r="K26" s="65"/>
      <c r="L26" s="65"/>
      <c r="M26" s="21">
        <v>0.46</v>
      </c>
    </row>
    <row r="27" spans="1:13" ht="13.2" x14ac:dyDescent="0.25">
      <c r="A27" s="7">
        <v>26</v>
      </c>
      <c r="B27" s="3">
        <v>40545</v>
      </c>
      <c r="C27" s="2">
        <v>1</v>
      </c>
      <c r="D27" s="2">
        <v>0</v>
      </c>
      <c r="E27" s="2">
        <v>1</v>
      </c>
      <c r="F27" s="2">
        <v>1</v>
      </c>
      <c r="G27" s="2"/>
      <c r="H27" s="2" t="b">
        <v>0</v>
      </c>
      <c r="I27" s="2">
        <v>0</v>
      </c>
      <c r="J27" s="2">
        <v>2</v>
      </c>
      <c r="K27" s="65"/>
      <c r="L27" s="65"/>
      <c r="M27" s="21">
        <v>0.44</v>
      </c>
    </row>
    <row r="28" spans="1:13" ht="13.2" x14ac:dyDescent="0.25">
      <c r="A28" s="7">
        <v>27</v>
      </c>
      <c r="B28" s="3">
        <v>40545</v>
      </c>
      <c r="C28" s="2">
        <v>1</v>
      </c>
      <c r="D28" s="2">
        <v>0</v>
      </c>
      <c r="E28" s="2">
        <v>1</v>
      </c>
      <c r="F28" s="2">
        <v>2</v>
      </c>
      <c r="G28" s="2"/>
      <c r="H28" s="2" t="b">
        <v>0</v>
      </c>
      <c r="I28" s="2">
        <v>0</v>
      </c>
      <c r="J28" s="2">
        <v>2</v>
      </c>
      <c r="K28" s="65"/>
      <c r="L28" s="65"/>
      <c r="M28" s="21">
        <v>0.42</v>
      </c>
    </row>
    <row r="29" spans="1:13" ht="13.2" x14ac:dyDescent="0.25">
      <c r="A29" s="7">
        <v>28</v>
      </c>
      <c r="B29" s="3">
        <v>40545</v>
      </c>
      <c r="C29" s="2">
        <v>1</v>
      </c>
      <c r="D29" s="2">
        <v>0</v>
      </c>
      <c r="E29" s="2">
        <v>1</v>
      </c>
      <c r="F29" s="2">
        <v>3</v>
      </c>
      <c r="G29" s="2"/>
      <c r="H29" s="2" t="b">
        <v>0</v>
      </c>
      <c r="I29" s="2">
        <v>0</v>
      </c>
      <c r="J29" s="2">
        <v>2</v>
      </c>
      <c r="K29" s="65"/>
      <c r="L29" s="65"/>
      <c r="M29" s="21">
        <v>0.46</v>
      </c>
    </row>
    <row r="30" spans="1:13" ht="13.2" x14ac:dyDescent="0.25">
      <c r="A30" s="7">
        <v>29</v>
      </c>
      <c r="B30" s="3">
        <v>40545</v>
      </c>
      <c r="C30" s="2">
        <v>1</v>
      </c>
      <c r="D30" s="2">
        <v>0</v>
      </c>
      <c r="E30" s="2">
        <v>1</v>
      </c>
      <c r="F30" s="2">
        <v>4</v>
      </c>
      <c r="G30" s="2"/>
      <c r="H30" s="2" t="b">
        <v>0</v>
      </c>
      <c r="I30" s="2">
        <v>0</v>
      </c>
      <c r="J30" s="2">
        <v>2</v>
      </c>
      <c r="K30" s="65"/>
      <c r="L30" s="65"/>
      <c r="M30" s="21">
        <v>0.46</v>
      </c>
    </row>
    <row r="31" spans="1:13" ht="13.2" x14ac:dyDescent="0.25">
      <c r="A31" s="7">
        <v>30</v>
      </c>
      <c r="B31" s="3">
        <v>40545</v>
      </c>
      <c r="C31" s="2">
        <v>1</v>
      </c>
      <c r="D31" s="2">
        <v>0</v>
      </c>
      <c r="E31" s="2">
        <v>1</v>
      </c>
      <c r="F31" s="2">
        <v>6</v>
      </c>
      <c r="G31" s="2"/>
      <c r="H31" s="2" t="b">
        <v>0</v>
      </c>
      <c r="I31" s="2">
        <v>0</v>
      </c>
      <c r="J31" s="2">
        <v>3</v>
      </c>
      <c r="K31" s="65"/>
      <c r="L31" s="65"/>
      <c r="M31" s="21">
        <v>0.42</v>
      </c>
    </row>
    <row r="32" spans="1:13" ht="13.2" x14ac:dyDescent="0.25">
      <c r="A32" s="7">
        <v>31</v>
      </c>
      <c r="B32" s="3">
        <v>40545</v>
      </c>
      <c r="C32" s="2">
        <v>1</v>
      </c>
      <c r="D32" s="2">
        <v>0</v>
      </c>
      <c r="E32" s="2">
        <v>1</v>
      </c>
      <c r="F32" s="2">
        <v>7</v>
      </c>
      <c r="G32" s="2"/>
      <c r="H32" s="2" t="b">
        <v>0</v>
      </c>
      <c r="I32" s="2">
        <v>0</v>
      </c>
      <c r="J32" s="2">
        <v>2</v>
      </c>
      <c r="K32" s="65"/>
      <c r="L32" s="65"/>
      <c r="M32" s="21">
        <v>0.4</v>
      </c>
    </row>
    <row r="33" spans="1:13" ht="13.2" x14ac:dyDescent="0.25">
      <c r="A33" s="7">
        <v>32</v>
      </c>
      <c r="B33" s="3">
        <v>40545</v>
      </c>
      <c r="C33" s="2">
        <v>1</v>
      </c>
      <c r="D33" s="2">
        <v>0</v>
      </c>
      <c r="E33" s="2">
        <v>1</v>
      </c>
      <c r="F33" s="2">
        <v>8</v>
      </c>
      <c r="G33" s="2"/>
      <c r="H33" s="2" t="b">
        <v>0</v>
      </c>
      <c r="I33" s="2">
        <v>0</v>
      </c>
      <c r="J33" s="2">
        <v>3</v>
      </c>
      <c r="K33" s="65"/>
      <c r="L33" s="65"/>
      <c r="M33" s="21">
        <v>0.4</v>
      </c>
    </row>
    <row r="34" spans="1:13" ht="13.2" x14ac:dyDescent="0.25">
      <c r="A34" s="7">
        <v>33</v>
      </c>
      <c r="B34" s="3">
        <v>40545</v>
      </c>
      <c r="C34" s="2">
        <v>1</v>
      </c>
      <c r="D34" s="2">
        <v>0</v>
      </c>
      <c r="E34" s="2">
        <v>1</v>
      </c>
      <c r="F34" s="2">
        <v>9</v>
      </c>
      <c r="G34" s="2"/>
      <c r="H34" s="2" t="b">
        <v>0</v>
      </c>
      <c r="I34" s="2">
        <v>0</v>
      </c>
      <c r="J34" s="2">
        <v>2</v>
      </c>
      <c r="K34" s="65"/>
      <c r="L34" s="65"/>
      <c r="M34" s="21">
        <v>0.38</v>
      </c>
    </row>
    <row r="35" spans="1:13" ht="13.2" x14ac:dyDescent="0.25">
      <c r="A35" s="7">
        <v>34</v>
      </c>
      <c r="B35" s="3">
        <v>40545</v>
      </c>
      <c r="C35" s="2">
        <v>1</v>
      </c>
      <c r="D35" s="2">
        <v>0</v>
      </c>
      <c r="E35" s="2">
        <v>1</v>
      </c>
      <c r="F35" s="2">
        <v>10</v>
      </c>
      <c r="G35" s="2"/>
      <c r="H35" s="2" t="b">
        <v>0</v>
      </c>
      <c r="I35" s="2">
        <v>0</v>
      </c>
      <c r="J35" s="2">
        <v>2</v>
      </c>
      <c r="K35" s="65"/>
      <c r="L35" s="65"/>
      <c r="M35" s="21">
        <v>0.36</v>
      </c>
    </row>
    <row r="36" spans="1:13" ht="13.2" x14ac:dyDescent="0.25">
      <c r="A36" s="7">
        <v>35</v>
      </c>
      <c r="B36" s="3">
        <v>40545</v>
      </c>
      <c r="C36" s="2">
        <v>1</v>
      </c>
      <c r="D36" s="2">
        <v>0</v>
      </c>
      <c r="E36" s="2">
        <v>1</v>
      </c>
      <c r="F36" s="2">
        <v>11</v>
      </c>
      <c r="G36" s="2"/>
      <c r="H36" s="2" t="b">
        <v>0</v>
      </c>
      <c r="I36" s="2">
        <v>0</v>
      </c>
      <c r="J36" s="2">
        <v>2</v>
      </c>
      <c r="K36" s="65"/>
      <c r="L36" s="65"/>
      <c r="M36" s="21">
        <v>0.36</v>
      </c>
    </row>
    <row r="37" spans="1:13" ht="13.2" x14ac:dyDescent="0.25">
      <c r="A37" s="7">
        <v>36</v>
      </c>
      <c r="B37" s="3">
        <v>40545</v>
      </c>
      <c r="C37" s="2">
        <v>1</v>
      </c>
      <c r="D37" s="2">
        <v>0</v>
      </c>
      <c r="E37" s="2">
        <v>1</v>
      </c>
      <c r="F37" s="2">
        <v>12</v>
      </c>
      <c r="G37" s="2"/>
      <c r="H37" s="2" t="b">
        <v>0</v>
      </c>
      <c r="I37" s="2">
        <v>0</v>
      </c>
      <c r="J37" s="2">
        <v>2</v>
      </c>
      <c r="K37" s="65"/>
      <c r="L37" s="65"/>
      <c r="M37" s="21">
        <v>0.36</v>
      </c>
    </row>
    <row r="38" spans="1:13" ht="13.2" x14ac:dyDescent="0.25">
      <c r="A38" s="7">
        <v>37</v>
      </c>
      <c r="B38" s="3">
        <v>40545</v>
      </c>
      <c r="C38" s="2">
        <v>1</v>
      </c>
      <c r="D38" s="2">
        <v>0</v>
      </c>
      <c r="E38" s="2">
        <v>1</v>
      </c>
      <c r="F38" s="2">
        <v>13</v>
      </c>
      <c r="G38" s="2"/>
      <c r="H38" s="2" t="b">
        <v>0</v>
      </c>
      <c r="I38" s="2">
        <v>0</v>
      </c>
      <c r="J38" s="2">
        <v>2</v>
      </c>
      <c r="K38" s="65"/>
      <c r="L38" s="65"/>
      <c r="M38" s="21">
        <v>0.36</v>
      </c>
    </row>
    <row r="39" spans="1:13" ht="13.2" x14ac:dyDescent="0.25">
      <c r="A39" s="7">
        <v>38</v>
      </c>
      <c r="B39" s="3">
        <v>40545</v>
      </c>
      <c r="C39" s="2">
        <v>1</v>
      </c>
      <c r="D39" s="2">
        <v>0</v>
      </c>
      <c r="E39" s="2">
        <v>1</v>
      </c>
      <c r="F39" s="2">
        <v>14</v>
      </c>
      <c r="G39" s="2"/>
      <c r="H39" s="2" t="b">
        <v>0</v>
      </c>
      <c r="I39" s="2">
        <v>0</v>
      </c>
      <c r="J39" s="2">
        <v>3</v>
      </c>
      <c r="K39" s="65"/>
      <c r="L39" s="65"/>
      <c r="M39" s="21">
        <v>0.36</v>
      </c>
    </row>
    <row r="40" spans="1:13" ht="13.2" x14ac:dyDescent="0.25">
      <c r="A40" s="7">
        <v>39</v>
      </c>
      <c r="B40" s="3">
        <v>40545</v>
      </c>
      <c r="C40" s="2">
        <v>1</v>
      </c>
      <c r="D40" s="2">
        <v>0</v>
      </c>
      <c r="E40" s="2">
        <v>1</v>
      </c>
      <c r="F40" s="2">
        <v>15</v>
      </c>
      <c r="G40" s="2"/>
      <c r="H40" s="2" t="b">
        <v>0</v>
      </c>
      <c r="I40" s="2">
        <v>0</v>
      </c>
      <c r="J40" s="2">
        <v>3</v>
      </c>
      <c r="K40" s="65"/>
      <c r="L40" s="65"/>
      <c r="M40" s="21">
        <v>0.34</v>
      </c>
    </row>
    <row r="41" spans="1:13" ht="13.2" x14ac:dyDescent="0.25">
      <c r="A41" s="7">
        <v>40</v>
      </c>
      <c r="B41" s="3">
        <v>40545</v>
      </c>
      <c r="C41" s="2">
        <v>1</v>
      </c>
      <c r="D41" s="2">
        <v>0</v>
      </c>
      <c r="E41" s="2">
        <v>1</v>
      </c>
      <c r="F41" s="2">
        <v>16</v>
      </c>
      <c r="G41" s="2"/>
      <c r="H41" s="2" t="b">
        <v>0</v>
      </c>
      <c r="I41" s="2">
        <v>0</v>
      </c>
      <c r="J41" s="2">
        <v>3</v>
      </c>
      <c r="K41" s="65"/>
      <c r="L41" s="65"/>
      <c r="M41" s="21">
        <v>0.34</v>
      </c>
    </row>
    <row r="42" spans="1:13" ht="13.2" x14ac:dyDescent="0.25">
      <c r="A42" s="7">
        <v>41</v>
      </c>
      <c r="B42" s="3">
        <v>40545</v>
      </c>
      <c r="C42" s="2">
        <v>1</v>
      </c>
      <c r="D42" s="2">
        <v>0</v>
      </c>
      <c r="E42" s="2">
        <v>1</v>
      </c>
      <c r="F42" s="2">
        <v>17</v>
      </c>
      <c r="G42" s="2"/>
      <c r="H42" s="2" t="b">
        <v>0</v>
      </c>
      <c r="I42" s="2">
        <v>0</v>
      </c>
      <c r="J42" s="2">
        <v>1</v>
      </c>
      <c r="K42" s="65"/>
      <c r="L42" s="65"/>
      <c r="M42" s="21">
        <v>0.34</v>
      </c>
    </row>
    <row r="43" spans="1:13" ht="13.2" x14ac:dyDescent="0.25">
      <c r="A43" s="7">
        <v>42</v>
      </c>
      <c r="B43" s="3">
        <v>40545</v>
      </c>
      <c r="C43" s="2">
        <v>1</v>
      </c>
      <c r="D43" s="2">
        <v>0</v>
      </c>
      <c r="E43" s="2">
        <v>1</v>
      </c>
      <c r="F43" s="2">
        <v>18</v>
      </c>
      <c r="G43" s="2"/>
      <c r="H43" s="2" t="b">
        <v>0</v>
      </c>
      <c r="I43" s="2">
        <v>0</v>
      </c>
      <c r="J43" s="2">
        <v>2</v>
      </c>
      <c r="K43" s="65"/>
      <c r="L43" s="65"/>
      <c r="M43" s="21">
        <v>0.36</v>
      </c>
    </row>
    <row r="44" spans="1:13" ht="13.2" x14ac:dyDescent="0.25">
      <c r="A44" s="7">
        <v>43</v>
      </c>
      <c r="B44" s="3">
        <v>40545</v>
      </c>
      <c r="C44" s="2">
        <v>1</v>
      </c>
      <c r="D44" s="2">
        <v>0</v>
      </c>
      <c r="E44" s="2">
        <v>1</v>
      </c>
      <c r="F44" s="2">
        <v>19</v>
      </c>
      <c r="G44" s="2"/>
      <c r="H44" s="2" t="b">
        <v>0</v>
      </c>
      <c r="I44" s="2">
        <v>0</v>
      </c>
      <c r="J44" s="2">
        <v>1</v>
      </c>
      <c r="K44" s="65"/>
      <c r="L44" s="65"/>
      <c r="M44" s="21">
        <v>0.32</v>
      </c>
    </row>
    <row r="45" spans="1:13" ht="13.2" x14ac:dyDescent="0.25">
      <c r="A45" s="7">
        <v>44</v>
      </c>
      <c r="B45" s="3">
        <v>40545</v>
      </c>
      <c r="C45" s="2">
        <v>1</v>
      </c>
      <c r="D45" s="2">
        <v>0</v>
      </c>
      <c r="E45" s="2">
        <v>1</v>
      </c>
      <c r="F45" s="2">
        <v>20</v>
      </c>
      <c r="G45" s="2"/>
      <c r="H45" s="2" t="b">
        <v>0</v>
      </c>
      <c r="I45" s="2">
        <v>0</v>
      </c>
      <c r="J45" s="2">
        <v>1</v>
      </c>
      <c r="K45" s="65"/>
      <c r="L45" s="65"/>
      <c r="M45" s="21">
        <v>0.3</v>
      </c>
    </row>
    <row r="46" spans="1:13" ht="13.2" x14ac:dyDescent="0.25">
      <c r="A46" s="7">
        <v>45</v>
      </c>
      <c r="B46" s="3">
        <v>40545</v>
      </c>
      <c r="C46" s="2">
        <v>1</v>
      </c>
      <c r="D46" s="2">
        <v>0</v>
      </c>
      <c r="E46" s="2">
        <v>1</v>
      </c>
      <c r="F46" s="2">
        <v>21</v>
      </c>
      <c r="G46" s="2"/>
      <c r="H46" s="2" t="b">
        <v>0</v>
      </c>
      <c r="I46" s="2">
        <v>0</v>
      </c>
      <c r="J46" s="2">
        <v>1</v>
      </c>
      <c r="K46" s="65"/>
      <c r="L46" s="65"/>
      <c r="M46" s="21">
        <v>0.26</v>
      </c>
    </row>
    <row r="47" spans="1:13" ht="13.2" x14ac:dyDescent="0.25">
      <c r="A47" s="7">
        <v>46</v>
      </c>
      <c r="B47" s="3">
        <v>40545</v>
      </c>
      <c r="C47" s="2">
        <v>1</v>
      </c>
      <c r="D47" s="2">
        <v>0</v>
      </c>
      <c r="E47" s="2">
        <v>1</v>
      </c>
      <c r="F47" s="2">
        <v>22</v>
      </c>
      <c r="G47" s="2"/>
      <c r="H47" s="2" t="b">
        <v>0</v>
      </c>
      <c r="I47" s="2">
        <v>0</v>
      </c>
      <c r="J47" s="2">
        <v>1</v>
      </c>
      <c r="K47" s="65"/>
      <c r="L47" s="65"/>
      <c r="M47" s="21">
        <v>0.24</v>
      </c>
    </row>
    <row r="48" spans="1:13" ht="13.2" x14ac:dyDescent="0.25">
      <c r="A48" s="7">
        <v>47</v>
      </c>
      <c r="B48" s="3">
        <v>40545</v>
      </c>
      <c r="C48" s="2">
        <v>1</v>
      </c>
      <c r="D48" s="2">
        <v>0</v>
      </c>
      <c r="E48" s="2">
        <v>1</v>
      </c>
      <c r="F48" s="2">
        <v>23</v>
      </c>
      <c r="G48" s="2"/>
      <c r="H48" s="2" t="b">
        <v>0</v>
      </c>
      <c r="I48" s="2">
        <v>0</v>
      </c>
      <c r="J48" s="2">
        <v>1</v>
      </c>
      <c r="K48" s="65"/>
      <c r="L48" s="65"/>
      <c r="M48" s="21">
        <v>0.22</v>
      </c>
    </row>
    <row r="49" spans="1:13" ht="13.2" x14ac:dyDescent="0.25">
      <c r="A49" s="7">
        <v>48</v>
      </c>
      <c r="B49" s="3">
        <v>40546</v>
      </c>
      <c r="C49" s="2">
        <v>1</v>
      </c>
      <c r="D49" s="2">
        <v>0</v>
      </c>
      <c r="E49" s="2">
        <v>1</v>
      </c>
      <c r="F49" s="2">
        <v>0</v>
      </c>
      <c r="G49" s="2"/>
      <c r="H49" s="2" t="b">
        <v>0</v>
      </c>
      <c r="I49" s="2">
        <v>1</v>
      </c>
      <c r="J49" s="2">
        <v>1</v>
      </c>
      <c r="K49" s="65"/>
      <c r="L49" s="65"/>
      <c r="M49" s="21">
        <v>0.22</v>
      </c>
    </row>
    <row r="50" spans="1:13" ht="13.2" x14ac:dyDescent="0.25">
      <c r="A50" s="7">
        <v>49</v>
      </c>
      <c r="B50" s="3">
        <v>40546</v>
      </c>
      <c r="C50" s="2">
        <v>1</v>
      </c>
      <c r="D50" s="2">
        <v>0</v>
      </c>
      <c r="E50" s="2">
        <v>1</v>
      </c>
      <c r="F50" s="2">
        <v>1</v>
      </c>
      <c r="G50" s="2"/>
      <c r="H50" s="2" t="b">
        <v>0</v>
      </c>
      <c r="I50" s="2">
        <v>1</v>
      </c>
      <c r="J50" s="2">
        <v>1</v>
      </c>
      <c r="K50" s="65"/>
      <c r="L50" s="65"/>
      <c r="M50" s="21">
        <v>0.2</v>
      </c>
    </row>
    <row r="51" spans="1:13" ht="13.2" x14ac:dyDescent="0.25">
      <c r="A51" s="7">
        <v>50</v>
      </c>
      <c r="B51" s="3">
        <v>40546</v>
      </c>
      <c r="C51" s="2">
        <v>1</v>
      </c>
      <c r="D51" s="2">
        <v>0</v>
      </c>
      <c r="E51" s="2">
        <v>1</v>
      </c>
      <c r="F51" s="2">
        <v>4</v>
      </c>
      <c r="G51" s="2"/>
      <c r="H51" s="2" t="b">
        <v>0</v>
      </c>
      <c r="I51" s="2">
        <v>1</v>
      </c>
      <c r="J51" s="2">
        <v>1</v>
      </c>
      <c r="K51" s="65"/>
      <c r="L51" s="65"/>
      <c r="M51" s="21">
        <v>0.16</v>
      </c>
    </row>
    <row r="52" spans="1:13" ht="13.2" x14ac:dyDescent="0.25">
      <c r="A52" s="7">
        <v>51</v>
      </c>
      <c r="B52" s="3">
        <v>40546</v>
      </c>
      <c r="C52" s="2">
        <v>1</v>
      </c>
      <c r="D52" s="2">
        <v>0</v>
      </c>
      <c r="E52" s="2">
        <v>1</v>
      </c>
      <c r="F52" s="2">
        <v>5</v>
      </c>
      <c r="G52" s="2"/>
      <c r="H52" s="2" t="b">
        <v>0</v>
      </c>
      <c r="I52" s="2">
        <v>1</v>
      </c>
      <c r="J52" s="2">
        <v>1</v>
      </c>
      <c r="K52" s="65"/>
      <c r="L52" s="65"/>
      <c r="M52" s="21">
        <v>0.16</v>
      </c>
    </row>
    <row r="53" spans="1:13" ht="13.2" x14ac:dyDescent="0.25">
      <c r="A53" s="7">
        <v>52</v>
      </c>
      <c r="B53" s="3">
        <v>40546</v>
      </c>
      <c r="C53" s="2">
        <v>1</v>
      </c>
      <c r="D53" s="2">
        <v>0</v>
      </c>
      <c r="E53" s="2">
        <v>1</v>
      </c>
      <c r="F53" s="2">
        <v>6</v>
      </c>
      <c r="G53" s="2"/>
      <c r="H53" s="2" t="b">
        <v>0</v>
      </c>
      <c r="I53" s="2">
        <v>1</v>
      </c>
      <c r="J53" s="2">
        <v>1</v>
      </c>
      <c r="K53" s="65"/>
      <c r="L53" s="65"/>
      <c r="M53" s="21">
        <v>0.14000000000000001</v>
      </c>
    </row>
    <row r="54" spans="1:13" ht="13.2" x14ac:dyDescent="0.25">
      <c r="A54" s="7">
        <v>53</v>
      </c>
      <c r="B54" s="3">
        <v>40546</v>
      </c>
      <c r="C54" s="2">
        <v>1</v>
      </c>
      <c r="D54" s="2">
        <v>0</v>
      </c>
      <c r="E54" s="2">
        <v>1</v>
      </c>
      <c r="F54" s="2">
        <v>7</v>
      </c>
      <c r="G54" s="2"/>
      <c r="H54" s="2" t="b">
        <v>0</v>
      </c>
      <c r="I54" s="2">
        <v>1</v>
      </c>
      <c r="J54" s="2">
        <v>1</v>
      </c>
      <c r="K54" s="65"/>
      <c r="L54" s="65"/>
      <c r="M54" s="21">
        <v>0.14000000000000001</v>
      </c>
    </row>
    <row r="55" spans="1:13" ht="13.2" x14ac:dyDescent="0.25">
      <c r="A55" s="7">
        <v>54</v>
      </c>
      <c r="B55" s="3">
        <v>40546</v>
      </c>
      <c r="C55" s="2">
        <v>1</v>
      </c>
      <c r="D55" s="2">
        <v>0</v>
      </c>
      <c r="E55" s="2">
        <v>1</v>
      </c>
      <c r="F55" s="2">
        <v>8</v>
      </c>
      <c r="G55" s="2"/>
      <c r="H55" s="2" t="b">
        <v>0</v>
      </c>
      <c r="I55" s="2">
        <v>1</v>
      </c>
      <c r="J55" s="2">
        <v>1</v>
      </c>
      <c r="K55" s="65"/>
      <c r="L55" s="65"/>
      <c r="M55" s="21">
        <v>0.14000000000000001</v>
      </c>
    </row>
    <row r="56" spans="1:13" ht="13.2" x14ac:dyDescent="0.25">
      <c r="A56" s="7">
        <v>55</v>
      </c>
      <c r="B56" s="3">
        <v>40546</v>
      </c>
      <c r="C56" s="2">
        <v>1</v>
      </c>
      <c r="D56" s="2">
        <v>0</v>
      </c>
      <c r="E56" s="2">
        <v>1</v>
      </c>
      <c r="F56" s="2">
        <v>9</v>
      </c>
      <c r="G56" s="2"/>
      <c r="H56" s="2" t="b">
        <v>0</v>
      </c>
      <c r="I56" s="2">
        <v>1</v>
      </c>
      <c r="J56" s="2">
        <v>1</v>
      </c>
      <c r="K56" s="65"/>
      <c r="L56" s="65"/>
      <c r="M56" s="21">
        <v>0.16</v>
      </c>
    </row>
    <row r="57" spans="1:13" ht="13.2" x14ac:dyDescent="0.25">
      <c r="A57" s="7">
        <v>56</v>
      </c>
      <c r="B57" s="3">
        <v>40546</v>
      </c>
      <c r="C57" s="2">
        <v>1</v>
      </c>
      <c r="D57" s="2">
        <v>0</v>
      </c>
      <c r="E57" s="2">
        <v>1</v>
      </c>
      <c r="F57" s="2">
        <v>10</v>
      </c>
      <c r="G57" s="2"/>
      <c r="H57" s="2" t="b">
        <v>0</v>
      </c>
      <c r="I57" s="2">
        <v>1</v>
      </c>
      <c r="J57" s="2">
        <v>1</v>
      </c>
      <c r="K57" s="65"/>
      <c r="L57" s="65"/>
      <c r="M57" s="21">
        <v>0.18</v>
      </c>
    </row>
    <row r="58" spans="1:13" ht="13.2" x14ac:dyDescent="0.25">
      <c r="A58" s="7">
        <v>57</v>
      </c>
      <c r="B58" s="3">
        <v>40546</v>
      </c>
      <c r="C58" s="2">
        <v>1</v>
      </c>
      <c r="D58" s="2">
        <v>0</v>
      </c>
      <c r="E58" s="2">
        <v>1</v>
      </c>
      <c r="F58" s="2">
        <v>11</v>
      </c>
      <c r="G58" s="2"/>
      <c r="H58" s="2" t="b">
        <v>0</v>
      </c>
      <c r="I58" s="2">
        <v>1</v>
      </c>
      <c r="J58" s="2">
        <v>1</v>
      </c>
      <c r="K58" s="65"/>
      <c r="L58" s="65"/>
      <c r="M58" s="21">
        <v>0.2</v>
      </c>
    </row>
    <row r="59" spans="1:13" ht="13.2" x14ac:dyDescent="0.25">
      <c r="A59" s="7">
        <v>58</v>
      </c>
      <c r="B59" s="3">
        <v>40546</v>
      </c>
      <c r="C59" s="2">
        <v>1</v>
      </c>
      <c r="D59" s="2">
        <v>0</v>
      </c>
      <c r="E59" s="2">
        <v>1</v>
      </c>
      <c r="F59" s="2">
        <v>12</v>
      </c>
      <c r="G59" s="2"/>
      <c r="H59" s="2" t="b">
        <v>0</v>
      </c>
      <c r="I59" s="2">
        <v>1</v>
      </c>
      <c r="J59" s="2">
        <v>1</v>
      </c>
      <c r="K59" s="65"/>
      <c r="L59" s="65"/>
      <c r="M59" s="21">
        <v>0.22</v>
      </c>
    </row>
    <row r="60" spans="1:13" ht="13.2" x14ac:dyDescent="0.25">
      <c r="A60" s="7">
        <v>59</v>
      </c>
      <c r="B60" s="3">
        <v>40546</v>
      </c>
      <c r="C60" s="2">
        <v>1</v>
      </c>
      <c r="D60" s="2">
        <v>0</v>
      </c>
      <c r="E60" s="2">
        <v>1</v>
      </c>
      <c r="F60" s="2">
        <v>13</v>
      </c>
      <c r="G60" s="2"/>
      <c r="H60" s="2" t="b">
        <v>0</v>
      </c>
      <c r="I60" s="2">
        <v>1</v>
      </c>
      <c r="J60" s="2">
        <v>1</v>
      </c>
      <c r="K60" s="65"/>
      <c r="L60" s="65"/>
      <c r="M60" s="21">
        <v>0.24</v>
      </c>
    </row>
    <row r="61" spans="1:13" ht="13.2" x14ac:dyDescent="0.25">
      <c r="A61" s="7">
        <v>60</v>
      </c>
      <c r="B61" s="3">
        <v>40546</v>
      </c>
      <c r="C61" s="2">
        <v>1</v>
      </c>
      <c r="D61" s="2">
        <v>0</v>
      </c>
      <c r="E61" s="2">
        <v>1</v>
      </c>
      <c r="F61" s="2">
        <v>14</v>
      </c>
      <c r="G61" s="2"/>
      <c r="H61" s="2" t="b">
        <v>0</v>
      </c>
      <c r="I61" s="2">
        <v>1</v>
      </c>
      <c r="J61" s="2">
        <v>1</v>
      </c>
      <c r="K61" s="65"/>
      <c r="L61" s="65"/>
      <c r="M61" s="21">
        <v>0.26</v>
      </c>
    </row>
    <row r="62" spans="1:13" ht="13.2" x14ac:dyDescent="0.25">
      <c r="A62" s="7">
        <v>61</v>
      </c>
      <c r="B62" s="3">
        <v>40546</v>
      </c>
      <c r="C62" s="2">
        <v>1</v>
      </c>
      <c r="D62" s="2">
        <v>0</v>
      </c>
      <c r="E62" s="2">
        <v>1</v>
      </c>
      <c r="F62" s="2">
        <v>15</v>
      </c>
      <c r="G62" s="2"/>
      <c r="H62" s="2" t="b">
        <v>0</v>
      </c>
      <c r="I62" s="2">
        <v>1</v>
      </c>
      <c r="J62" s="2">
        <v>1</v>
      </c>
      <c r="K62" s="65"/>
      <c r="L62" s="65"/>
      <c r="M62" s="21">
        <v>0.26</v>
      </c>
    </row>
    <row r="63" spans="1:13" ht="13.2" x14ac:dyDescent="0.25">
      <c r="A63" s="7">
        <v>62</v>
      </c>
      <c r="B63" s="3">
        <v>40546</v>
      </c>
      <c r="C63" s="2">
        <v>1</v>
      </c>
      <c r="D63" s="2">
        <v>0</v>
      </c>
      <c r="E63" s="2">
        <v>1</v>
      </c>
      <c r="F63" s="2">
        <v>16</v>
      </c>
      <c r="G63" s="2"/>
      <c r="H63" s="2" t="b">
        <v>0</v>
      </c>
      <c r="I63" s="2">
        <v>1</v>
      </c>
      <c r="J63" s="2">
        <v>1</v>
      </c>
      <c r="K63" s="65"/>
      <c r="L63" s="65"/>
      <c r="M63" s="21">
        <v>0.26</v>
      </c>
    </row>
    <row r="64" spans="1:13" ht="13.2" x14ac:dyDescent="0.25">
      <c r="A64" s="7">
        <v>63</v>
      </c>
      <c r="B64" s="3">
        <v>40546</v>
      </c>
      <c r="C64" s="2">
        <v>1</v>
      </c>
      <c r="D64" s="2">
        <v>0</v>
      </c>
      <c r="E64" s="2">
        <v>1</v>
      </c>
      <c r="F64" s="2">
        <v>17</v>
      </c>
      <c r="G64" s="2"/>
      <c r="H64" s="2" t="b">
        <v>0</v>
      </c>
      <c r="I64" s="2">
        <v>1</v>
      </c>
      <c r="J64" s="2">
        <v>1</v>
      </c>
      <c r="K64" s="65"/>
      <c r="L64" s="65"/>
      <c r="M64" s="21">
        <v>0.24</v>
      </c>
    </row>
    <row r="65" spans="1:13" ht="13.2" x14ac:dyDescent="0.25">
      <c r="A65" s="7">
        <v>64</v>
      </c>
      <c r="B65" s="3">
        <v>40546</v>
      </c>
      <c r="C65" s="2">
        <v>1</v>
      </c>
      <c r="D65" s="2">
        <v>0</v>
      </c>
      <c r="E65" s="2">
        <v>1</v>
      </c>
      <c r="F65" s="2">
        <v>18</v>
      </c>
      <c r="G65" s="2"/>
      <c r="H65" s="2" t="b">
        <v>0</v>
      </c>
      <c r="I65" s="2">
        <v>1</v>
      </c>
      <c r="J65" s="2">
        <v>1</v>
      </c>
      <c r="K65" s="65"/>
      <c r="L65" s="65"/>
      <c r="M65" s="21">
        <v>0.24</v>
      </c>
    </row>
    <row r="66" spans="1:13" ht="13.2" x14ac:dyDescent="0.25">
      <c r="A66" s="7">
        <v>65</v>
      </c>
      <c r="B66" s="3">
        <v>40546</v>
      </c>
      <c r="C66" s="2">
        <v>1</v>
      </c>
      <c r="D66" s="2">
        <v>0</v>
      </c>
      <c r="E66" s="2">
        <v>1</v>
      </c>
      <c r="F66" s="2">
        <v>19</v>
      </c>
      <c r="G66" s="2"/>
      <c r="H66" s="2" t="b">
        <v>0</v>
      </c>
      <c r="I66" s="2">
        <v>1</v>
      </c>
      <c r="J66" s="2">
        <v>1</v>
      </c>
      <c r="K66" s="65"/>
      <c r="L66" s="65"/>
      <c r="M66" s="21">
        <v>0.2</v>
      </c>
    </row>
    <row r="67" spans="1:13" ht="13.2" x14ac:dyDescent="0.25">
      <c r="A67" s="7">
        <v>66</v>
      </c>
      <c r="B67" s="3">
        <v>40546</v>
      </c>
      <c r="C67" s="2">
        <v>1</v>
      </c>
      <c r="D67" s="2">
        <v>0</v>
      </c>
      <c r="E67" s="2">
        <v>1</v>
      </c>
      <c r="F67" s="2">
        <v>20</v>
      </c>
      <c r="G67" s="2"/>
      <c r="H67" s="2" t="b">
        <v>0</v>
      </c>
      <c r="I67" s="2">
        <v>1</v>
      </c>
      <c r="J67" s="2">
        <v>1</v>
      </c>
      <c r="K67" s="65"/>
      <c r="L67" s="65"/>
      <c r="M67" s="21">
        <v>0.2</v>
      </c>
    </row>
    <row r="68" spans="1:13" ht="13.2" x14ac:dyDescent="0.25">
      <c r="A68" s="7">
        <v>67</v>
      </c>
      <c r="B68" s="3">
        <v>40546</v>
      </c>
      <c r="C68" s="2">
        <v>1</v>
      </c>
      <c r="D68" s="2">
        <v>0</v>
      </c>
      <c r="E68" s="2">
        <v>1</v>
      </c>
      <c r="F68" s="2">
        <v>21</v>
      </c>
      <c r="G68" s="2"/>
      <c r="H68" s="2" t="b">
        <v>0</v>
      </c>
      <c r="I68" s="2">
        <v>1</v>
      </c>
      <c r="J68" s="2">
        <v>1</v>
      </c>
      <c r="K68" s="65"/>
      <c r="L68" s="65"/>
      <c r="M68" s="21">
        <v>0.18</v>
      </c>
    </row>
    <row r="69" spans="1:13" ht="13.2" x14ac:dyDescent="0.25">
      <c r="A69" s="7">
        <v>68</v>
      </c>
      <c r="B69" s="3">
        <v>40546</v>
      </c>
      <c r="C69" s="2">
        <v>1</v>
      </c>
      <c r="D69" s="2">
        <v>0</v>
      </c>
      <c r="E69" s="2">
        <v>1</v>
      </c>
      <c r="F69" s="2">
        <v>22</v>
      </c>
      <c r="G69" s="2"/>
      <c r="H69" s="2" t="b">
        <v>0</v>
      </c>
      <c r="I69" s="2">
        <v>1</v>
      </c>
      <c r="J69" s="2">
        <v>1</v>
      </c>
      <c r="K69" s="65"/>
      <c r="L69" s="65"/>
      <c r="M69" s="21">
        <v>0.14000000000000001</v>
      </c>
    </row>
    <row r="70" spans="1:13" ht="13.2" x14ac:dyDescent="0.25">
      <c r="A70" s="7">
        <v>69</v>
      </c>
      <c r="B70" s="3">
        <v>40546</v>
      </c>
      <c r="C70" s="2">
        <v>1</v>
      </c>
      <c r="D70" s="2">
        <v>0</v>
      </c>
      <c r="E70" s="2">
        <v>1</v>
      </c>
      <c r="F70" s="2">
        <v>23</v>
      </c>
      <c r="G70" s="2"/>
      <c r="H70" s="2" t="b">
        <v>0</v>
      </c>
      <c r="I70" s="2">
        <v>1</v>
      </c>
      <c r="J70" s="2">
        <v>1</v>
      </c>
      <c r="K70" s="65"/>
      <c r="L70" s="65"/>
      <c r="M70" s="21">
        <v>0.18</v>
      </c>
    </row>
    <row r="71" spans="1:13" ht="13.2" x14ac:dyDescent="0.25">
      <c r="A71" s="7">
        <v>70</v>
      </c>
      <c r="B71" s="3">
        <v>40547</v>
      </c>
      <c r="C71" s="2">
        <v>1</v>
      </c>
      <c r="D71" s="2">
        <v>0</v>
      </c>
      <c r="E71" s="2">
        <v>1</v>
      </c>
      <c r="F71" s="2">
        <v>0</v>
      </c>
      <c r="G71" s="2"/>
      <c r="H71" s="2" t="b">
        <v>0</v>
      </c>
      <c r="I71" s="2">
        <v>2</v>
      </c>
      <c r="J71" s="2">
        <v>1</v>
      </c>
      <c r="K71" s="65"/>
      <c r="L71" s="65"/>
      <c r="M71" s="21">
        <v>0.16</v>
      </c>
    </row>
    <row r="72" spans="1:13" ht="13.2" x14ac:dyDescent="0.25">
      <c r="A72" s="7">
        <v>71</v>
      </c>
      <c r="B72" s="3">
        <v>40547</v>
      </c>
      <c r="C72" s="2">
        <v>1</v>
      </c>
      <c r="D72" s="2">
        <v>0</v>
      </c>
      <c r="E72" s="2">
        <v>1</v>
      </c>
      <c r="F72" s="2">
        <v>1</v>
      </c>
      <c r="G72" s="2"/>
      <c r="H72" s="2" t="b">
        <v>0</v>
      </c>
      <c r="I72" s="2">
        <v>2</v>
      </c>
      <c r="J72" s="2">
        <v>1</v>
      </c>
      <c r="K72" s="65"/>
      <c r="L72" s="65"/>
      <c r="M72" s="21">
        <v>0.16</v>
      </c>
    </row>
    <row r="73" spans="1:13" ht="13.2" x14ac:dyDescent="0.25">
      <c r="A73" s="7">
        <v>72</v>
      </c>
      <c r="B73" s="3">
        <v>40547</v>
      </c>
      <c r="C73" s="2">
        <v>1</v>
      </c>
      <c r="D73" s="2">
        <v>0</v>
      </c>
      <c r="E73" s="2">
        <v>1</v>
      </c>
      <c r="F73" s="2">
        <v>2</v>
      </c>
      <c r="G73" s="2"/>
      <c r="H73" s="2" t="b">
        <v>0</v>
      </c>
      <c r="I73" s="2">
        <v>2</v>
      </c>
      <c r="J73" s="2">
        <v>1</v>
      </c>
      <c r="K73" s="65"/>
      <c r="L73" s="65"/>
      <c r="M73" s="21">
        <v>0.14000000000000001</v>
      </c>
    </row>
    <row r="74" spans="1:13" ht="13.2" x14ac:dyDescent="0.25">
      <c r="A74" s="7">
        <v>73</v>
      </c>
      <c r="B74" s="3">
        <v>40547</v>
      </c>
      <c r="C74" s="2">
        <v>1</v>
      </c>
      <c r="D74" s="2">
        <v>0</v>
      </c>
      <c r="E74" s="2">
        <v>1</v>
      </c>
      <c r="F74" s="2">
        <v>4</v>
      </c>
      <c r="G74" s="2"/>
      <c r="H74" s="2" t="b">
        <v>0</v>
      </c>
      <c r="I74" s="2">
        <v>2</v>
      </c>
      <c r="J74" s="2">
        <v>1</v>
      </c>
      <c r="K74" s="65"/>
      <c r="L74" s="65"/>
      <c r="M74" s="21">
        <v>0.14000000000000001</v>
      </c>
    </row>
    <row r="75" spans="1:13" ht="13.2" x14ac:dyDescent="0.25">
      <c r="A75" s="7">
        <v>74</v>
      </c>
      <c r="B75" s="3">
        <v>40547</v>
      </c>
      <c r="C75" s="2">
        <v>1</v>
      </c>
      <c r="D75" s="2">
        <v>0</v>
      </c>
      <c r="E75" s="2">
        <v>1</v>
      </c>
      <c r="F75" s="2">
        <v>5</v>
      </c>
      <c r="G75" s="2"/>
      <c r="H75" s="2" t="b">
        <v>0</v>
      </c>
      <c r="I75" s="2">
        <v>2</v>
      </c>
      <c r="J75" s="2">
        <v>1</v>
      </c>
      <c r="K75" s="65"/>
      <c r="L75" s="65"/>
      <c r="M75" s="21">
        <v>0.12</v>
      </c>
    </row>
    <row r="76" spans="1:13" ht="13.2" x14ac:dyDescent="0.25">
      <c r="A76" s="7">
        <v>75</v>
      </c>
      <c r="B76" s="3">
        <v>40547</v>
      </c>
      <c r="C76" s="2">
        <v>1</v>
      </c>
      <c r="D76" s="2">
        <v>0</v>
      </c>
      <c r="E76" s="2">
        <v>1</v>
      </c>
      <c r="F76" s="2">
        <v>6</v>
      </c>
      <c r="G76" s="2"/>
      <c r="H76" s="2" t="b">
        <v>0</v>
      </c>
      <c r="I76" s="2">
        <v>2</v>
      </c>
      <c r="J76" s="2">
        <v>1</v>
      </c>
      <c r="K76" s="65"/>
      <c r="L76" s="65"/>
      <c r="M76" s="21">
        <v>0.12</v>
      </c>
    </row>
    <row r="77" spans="1:13" ht="13.2" x14ac:dyDescent="0.25">
      <c r="A77" s="7">
        <v>76</v>
      </c>
      <c r="B77" s="3">
        <v>40547</v>
      </c>
      <c r="C77" s="2">
        <v>1</v>
      </c>
      <c r="D77" s="2">
        <v>0</v>
      </c>
      <c r="E77" s="2">
        <v>1</v>
      </c>
      <c r="F77" s="2">
        <v>7</v>
      </c>
      <c r="G77" s="2"/>
      <c r="H77" s="2" t="b">
        <v>0</v>
      </c>
      <c r="I77" s="2">
        <v>2</v>
      </c>
      <c r="J77" s="2">
        <v>1</v>
      </c>
      <c r="K77" s="65"/>
      <c r="L77" s="65"/>
      <c r="M77" s="21">
        <v>0.12</v>
      </c>
    </row>
    <row r="78" spans="1:13" ht="13.2" x14ac:dyDescent="0.25">
      <c r="A78" s="7">
        <v>77</v>
      </c>
      <c r="B78" s="3">
        <v>40547</v>
      </c>
      <c r="C78" s="2">
        <v>1</v>
      </c>
      <c r="D78" s="2">
        <v>0</v>
      </c>
      <c r="E78" s="2">
        <v>1</v>
      </c>
      <c r="F78" s="2">
        <v>8</v>
      </c>
      <c r="G78" s="2"/>
      <c r="H78" s="2" t="b">
        <v>0</v>
      </c>
      <c r="I78" s="2">
        <v>2</v>
      </c>
      <c r="J78" s="2">
        <v>1</v>
      </c>
      <c r="K78" s="65"/>
      <c r="L78" s="65"/>
      <c r="M78" s="21">
        <v>0.14000000000000001</v>
      </c>
    </row>
    <row r="79" spans="1:13" ht="13.2" x14ac:dyDescent="0.25">
      <c r="A79" s="7">
        <v>78</v>
      </c>
      <c r="B79" s="3">
        <v>40547</v>
      </c>
      <c r="C79" s="2">
        <v>1</v>
      </c>
      <c r="D79" s="2">
        <v>0</v>
      </c>
      <c r="E79" s="2">
        <v>1</v>
      </c>
      <c r="F79" s="2">
        <v>9</v>
      </c>
      <c r="G79" s="2"/>
      <c r="H79" s="2" t="b">
        <v>0</v>
      </c>
      <c r="I79" s="2">
        <v>2</v>
      </c>
      <c r="J79" s="2">
        <v>1</v>
      </c>
      <c r="K79" s="65"/>
      <c r="L79" s="65"/>
      <c r="M79" s="21">
        <v>0.16</v>
      </c>
    </row>
    <row r="80" spans="1:13" ht="13.2" x14ac:dyDescent="0.25">
      <c r="A80" s="7">
        <v>79</v>
      </c>
      <c r="B80" s="3">
        <v>40547</v>
      </c>
      <c r="C80" s="2">
        <v>1</v>
      </c>
      <c r="D80" s="2">
        <v>0</v>
      </c>
      <c r="E80" s="2">
        <v>1</v>
      </c>
      <c r="F80" s="2">
        <v>10</v>
      </c>
      <c r="G80" s="2"/>
      <c r="H80" s="2" t="b">
        <v>0</v>
      </c>
      <c r="I80" s="2">
        <v>2</v>
      </c>
      <c r="J80" s="2">
        <v>2</v>
      </c>
      <c r="K80" s="65"/>
      <c r="L80" s="65"/>
      <c r="M80" s="21">
        <v>0.16</v>
      </c>
    </row>
    <row r="81" spans="1:13" ht="13.2" x14ac:dyDescent="0.25">
      <c r="A81" s="7">
        <v>80</v>
      </c>
      <c r="B81" s="3">
        <v>40547</v>
      </c>
      <c r="C81" s="2">
        <v>1</v>
      </c>
      <c r="D81" s="2">
        <v>0</v>
      </c>
      <c r="E81" s="2">
        <v>1</v>
      </c>
      <c r="F81" s="2">
        <v>11</v>
      </c>
      <c r="G81" s="2"/>
      <c r="H81" s="2" t="b">
        <v>0</v>
      </c>
      <c r="I81" s="2">
        <v>2</v>
      </c>
      <c r="J81" s="2">
        <v>1</v>
      </c>
      <c r="K81" s="65"/>
      <c r="L81" s="65"/>
      <c r="M81" s="21">
        <v>0.22</v>
      </c>
    </row>
    <row r="82" spans="1:13" ht="13.2" x14ac:dyDescent="0.25">
      <c r="A82" s="7">
        <v>81</v>
      </c>
      <c r="B82" s="3">
        <v>40547</v>
      </c>
      <c r="C82" s="2">
        <v>1</v>
      </c>
      <c r="D82" s="2">
        <v>0</v>
      </c>
      <c r="E82" s="2">
        <v>1</v>
      </c>
      <c r="F82" s="2">
        <v>12</v>
      </c>
      <c r="G82" s="2"/>
      <c r="H82" s="2" t="b">
        <v>0</v>
      </c>
      <c r="I82" s="2">
        <v>2</v>
      </c>
      <c r="J82" s="2">
        <v>1</v>
      </c>
      <c r="K82" s="65"/>
      <c r="L82" s="65"/>
      <c r="M82" s="21">
        <v>0.22</v>
      </c>
    </row>
    <row r="83" spans="1:13" ht="13.2" x14ac:dyDescent="0.25">
      <c r="A83" s="7">
        <v>82</v>
      </c>
      <c r="B83" s="3">
        <v>40547</v>
      </c>
      <c r="C83" s="2">
        <v>1</v>
      </c>
      <c r="D83" s="2">
        <v>0</v>
      </c>
      <c r="E83" s="2">
        <v>1</v>
      </c>
      <c r="F83" s="2">
        <v>13</v>
      </c>
      <c r="G83" s="2"/>
      <c r="H83" s="2" t="b">
        <v>0</v>
      </c>
      <c r="I83" s="2">
        <v>2</v>
      </c>
      <c r="J83" s="2">
        <v>1</v>
      </c>
      <c r="K83" s="65"/>
      <c r="L83" s="65"/>
      <c r="M83" s="21">
        <v>0.24</v>
      </c>
    </row>
    <row r="84" spans="1:13" ht="13.2" x14ac:dyDescent="0.25">
      <c r="A84" s="7">
        <v>83</v>
      </c>
      <c r="B84" s="3">
        <v>40547</v>
      </c>
      <c r="C84" s="2">
        <v>1</v>
      </c>
      <c r="D84" s="2">
        <v>0</v>
      </c>
      <c r="E84" s="2">
        <v>1</v>
      </c>
      <c r="F84" s="2">
        <v>14</v>
      </c>
      <c r="G84" s="2"/>
      <c r="H84" s="2" t="b">
        <v>0</v>
      </c>
      <c r="I84" s="2">
        <v>2</v>
      </c>
      <c r="J84" s="2">
        <v>1</v>
      </c>
      <c r="K84" s="65"/>
      <c r="L84" s="65"/>
      <c r="M84" s="21">
        <v>0.26</v>
      </c>
    </row>
    <row r="85" spans="1:13" ht="13.2" x14ac:dyDescent="0.25">
      <c r="A85" s="7">
        <v>84</v>
      </c>
      <c r="B85" s="3">
        <v>40547</v>
      </c>
      <c r="C85" s="2">
        <v>1</v>
      </c>
      <c r="D85" s="2">
        <v>0</v>
      </c>
      <c r="E85" s="2">
        <v>1</v>
      </c>
      <c r="F85" s="2">
        <v>15</v>
      </c>
      <c r="G85" s="2"/>
      <c r="H85" s="2" t="b">
        <v>0</v>
      </c>
      <c r="I85" s="2">
        <v>2</v>
      </c>
      <c r="J85" s="2">
        <v>1</v>
      </c>
      <c r="K85" s="65"/>
      <c r="L85" s="65"/>
      <c r="M85" s="21">
        <v>0.28000000000000003</v>
      </c>
    </row>
    <row r="86" spans="1:13" ht="13.2" x14ac:dyDescent="0.25">
      <c r="A86" s="7">
        <v>85</v>
      </c>
      <c r="B86" s="3">
        <v>40547</v>
      </c>
      <c r="C86" s="2">
        <v>1</v>
      </c>
      <c r="D86" s="2">
        <v>0</v>
      </c>
      <c r="E86" s="2">
        <v>1</v>
      </c>
      <c r="F86" s="2">
        <v>16</v>
      </c>
      <c r="G86" s="2"/>
      <c r="H86" s="2" t="b">
        <v>0</v>
      </c>
      <c r="I86" s="2">
        <v>2</v>
      </c>
      <c r="J86" s="2">
        <v>1</v>
      </c>
      <c r="K86" s="65"/>
      <c r="L86" s="65"/>
      <c r="M86" s="21">
        <v>0.3</v>
      </c>
    </row>
    <row r="87" spans="1:13" ht="13.2" x14ac:dyDescent="0.25">
      <c r="A87" s="7">
        <v>86</v>
      </c>
      <c r="B87" s="3">
        <v>40547</v>
      </c>
      <c r="C87" s="2">
        <v>1</v>
      </c>
      <c r="D87" s="2">
        <v>0</v>
      </c>
      <c r="E87" s="2">
        <v>1</v>
      </c>
      <c r="F87" s="2">
        <v>17</v>
      </c>
      <c r="G87" s="2"/>
      <c r="H87" s="2" t="b">
        <v>0</v>
      </c>
      <c r="I87" s="2">
        <v>2</v>
      </c>
      <c r="J87" s="2">
        <v>1</v>
      </c>
      <c r="K87" s="65"/>
      <c r="L87" s="65"/>
      <c r="M87" s="21">
        <v>0.28000000000000003</v>
      </c>
    </row>
    <row r="88" spans="1:13" ht="13.2" x14ac:dyDescent="0.25">
      <c r="A88" s="7">
        <v>87</v>
      </c>
      <c r="B88" s="3">
        <v>40547</v>
      </c>
      <c r="C88" s="2">
        <v>1</v>
      </c>
      <c r="D88" s="2">
        <v>0</v>
      </c>
      <c r="E88" s="2">
        <v>1</v>
      </c>
      <c r="F88" s="2">
        <v>18</v>
      </c>
      <c r="G88" s="2"/>
      <c r="H88" s="2" t="b">
        <v>0</v>
      </c>
      <c r="I88" s="2">
        <v>2</v>
      </c>
      <c r="J88" s="2">
        <v>1</v>
      </c>
      <c r="K88" s="65"/>
      <c r="L88" s="65"/>
      <c r="M88" s="21">
        <v>0.26</v>
      </c>
    </row>
    <row r="89" spans="1:13" ht="13.2" x14ac:dyDescent="0.25">
      <c r="A89" s="7">
        <v>88</v>
      </c>
      <c r="B89" s="3">
        <v>40547</v>
      </c>
      <c r="C89" s="2">
        <v>1</v>
      </c>
      <c r="D89" s="2">
        <v>0</v>
      </c>
      <c r="E89" s="2">
        <v>1</v>
      </c>
      <c r="F89" s="2">
        <v>19</v>
      </c>
      <c r="G89" s="2"/>
      <c r="H89" s="2" t="b">
        <v>0</v>
      </c>
      <c r="I89" s="2">
        <v>2</v>
      </c>
      <c r="J89" s="2">
        <v>1</v>
      </c>
      <c r="K89" s="65"/>
      <c r="L89" s="65"/>
      <c r="M89" s="21">
        <v>0.24</v>
      </c>
    </row>
    <row r="90" spans="1:13" ht="13.2" x14ac:dyDescent="0.25">
      <c r="A90" s="7">
        <v>89</v>
      </c>
      <c r="B90" s="3">
        <v>40547</v>
      </c>
      <c r="C90" s="2">
        <v>1</v>
      </c>
      <c r="D90" s="2">
        <v>0</v>
      </c>
      <c r="E90" s="2">
        <v>1</v>
      </c>
      <c r="F90" s="2">
        <v>20</v>
      </c>
      <c r="G90" s="2"/>
      <c r="H90" s="2" t="b">
        <v>0</v>
      </c>
      <c r="I90" s="2">
        <v>2</v>
      </c>
      <c r="J90" s="2">
        <v>1</v>
      </c>
      <c r="K90" s="65"/>
      <c r="L90" s="65"/>
      <c r="M90" s="21">
        <v>0.24</v>
      </c>
    </row>
    <row r="91" spans="1:13" ht="13.2" x14ac:dyDescent="0.25">
      <c r="A91" s="7">
        <v>90</v>
      </c>
      <c r="B91" s="3">
        <v>40547</v>
      </c>
      <c r="C91" s="2">
        <v>1</v>
      </c>
      <c r="D91" s="2">
        <v>0</v>
      </c>
      <c r="E91" s="2">
        <v>1</v>
      </c>
      <c r="F91" s="2">
        <v>21</v>
      </c>
      <c r="G91" s="2"/>
      <c r="H91" s="2" t="b">
        <v>0</v>
      </c>
      <c r="I91" s="2">
        <v>2</v>
      </c>
      <c r="J91" s="2">
        <v>1</v>
      </c>
      <c r="K91" s="65"/>
      <c r="L91" s="65"/>
      <c r="M91" s="21">
        <v>0.22</v>
      </c>
    </row>
    <row r="92" spans="1:13" ht="13.2" x14ac:dyDescent="0.25">
      <c r="A92" s="7">
        <v>91</v>
      </c>
      <c r="B92" s="3">
        <v>40547</v>
      </c>
      <c r="C92" s="2">
        <v>1</v>
      </c>
      <c r="D92" s="2">
        <v>0</v>
      </c>
      <c r="E92" s="2">
        <v>1</v>
      </c>
      <c r="F92" s="2">
        <v>22</v>
      </c>
      <c r="G92" s="2"/>
      <c r="H92" s="2" t="b">
        <v>0</v>
      </c>
      <c r="I92" s="2">
        <v>2</v>
      </c>
      <c r="J92" s="2">
        <v>1</v>
      </c>
      <c r="K92" s="65"/>
      <c r="L92" s="65"/>
      <c r="M92" s="21">
        <v>0.22</v>
      </c>
    </row>
    <row r="93" spans="1:13" ht="13.2" x14ac:dyDescent="0.25">
      <c r="A93" s="7">
        <v>92</v>
      </c>
      <c r="B93" s="3">
        <v>40547</v>
      </c>
      <c r="C93" s="2">
        <v>1</v>
      </c>
      <c r="D93" s="2">
        <v>0</v>
      </c>
      <c r="E93" s="2">
        <v>1</v>
      </c>
      <c r="F93" s="2">
        <v>23</v>
      </c>
      <c r="G93" s="2"/>
      <c r="H93" s="2" t="b">
        <v>0</v>
      </c>
      <c r="I93" s="2">
        <v>2</v>
      </c>
      <c r="J93" s="2">
        <v>1</v>
      </c>
      <c r="K93" s="65"/>
      <c r="L93" s="65"/>
      <c r="M93" s="21">
        <v>0.2</v>
      </c>
    </row>
    <row r="94" spans="1:13" ht="13.2" x14ac:dyDescent="0.25">
      <c r="A94" s="7">
        <v>93</v>
      </c>
      <c r="B94" s="3">
        <v>40548</v>
      </c>
      <c r="C94" s="2">
        <v>1</v>
      </c>
      <c r="D94" s="2">
        <v>0</v>
      </c>
      <c r="E94" s="2">
        <v>1</v>
      </c>
      <c r="F94" s="2">
        <v>0</v>
      </c>
      <c r="G94" s="2"/>
      <c r="H94" s="2" t="b">
        <v>0</v>
      </c>
      <c r="I94" s="2">
        <v>3</v>
      </c>
      <c r="J94" s="2">
        <v>1</v>
      </c>
      <c r="K94" s="65"/>
      <c r="L94" s="65"/>
      <c r="M94" s="21">
        <v>0.2</v>
      </c>
    </row>
    <row r="95" spans="1:13" ht="13.2" x14ac:dyDescent="0.25">
      <c r="A95" s="7">
        <v>94</v>
      </c>
      <c r="B95" s="3">
        <v>40548</v>
      </c>
      <c r="C95" s="2">
        <v>1</v>
      </c>
      <c r="D95" s="2">
        <v>0</v>
      </c>
      <c r="E95" s="2">
        <v>1</v>
      </c>
      <c r="F95" s="2">
        <v>1</v>
      </c>
      <c r="G95" s="2"/>
      <c r="H95" s="2" t="b">
        <v>0</v>
      </c>
      <c r="I95" s="2">
        <v>3</v>
      </c>
      <c r="J95" s="2">
        <v>1</v>
      </c>
      <c r="K95" s="65"/>
      <c r="L95" s="65"/>
      <c r="M95" s="21">
        <v>0.16</v>
      </c>
    </row>
    <row r="96" spans="1:13" ht="13.2" x14ac:dyDescent="0.25">
      <c r="A96" s="7">
        <v>95</v>
      </c>
      <c r="B96" s="3">
        <v>40548</v>
      </c>
      <c r="C96" s="2">
        <v>1</v>
      </c>
      <c r="D96" s="2">
        <v>0</v>
      </c>
      <c r="E96" s="2">
        <v>1</v>
      </c>
      <c r="F96" s="2">
        <v>2</v>
      </c>
      <c r="G96" s="2"/>
      <c r="H96" s="2" t="b">
        <v>0</v>
      </c>
      <c r="I96" s="2">
        <v>3</v>
      </c>
      <c r="J96" s="2">
        <v>1</v>
      </c>
      <c r="K96" s="65"/>
      <c r="L96" s="65"/>
      <c r="M96" s="21">
        <v>0.16</v>
      </c>
    </row>
    <row r="97" spans="1:13" ht="13.2" x14ac:dyDescent="0.25">
      <c r="A97" s="7">
        <v>96</v>
      </c>
      <c r="B97" s="3">
        <v>40548</v>
      </c>
      <c r="C97" s="2">
        <v>1</v>
      </c>
      <c r="D97" s="2">
        <v>0</v>
      </c>
      <c r="E97" s="2">
        <v>1</v>
      </c>
      <c r="F97" s="2">
        <v>4</v>
      </c>
      <c r="G97" s="2"/>
      <c r="H97" s="2" t="b">
        <v>0</v>
      </c>
      <c r="I97" s="2">
        <v>3</v>
      </c>
      <c r="J97" s="2">
        <v>1</v>
      </c>
      <c r="K97" s="65"/>
      <c r="L97" s="65"/>
      <c r="M97" s="21">
        <v>0.24</v>
      </c>
    </row>
    <row r="98" spans="1:13" ht="13.2" x14ac:dyDescent="0.25">
      <c r="A98" s="7">
        <v>97</v>
      </c>
      <c r="B98" s="3">
        <v>40548</v>
      </c>
      <c r="C98" s="2">
        <v>1</v>
      </c>
      <c r="D98" s="2">
        <v>0</v>
      </c>
      <c r="E98" s="2">
        <v>1</v>
      </c>
      <c r="F98" s="2">
        <v>5</v>
      </c>
      <c r="G98" s="2"/>
      <c r="H98" s="2" t="b">
        <v>0</v>
      </c>
      <c r="I98" s="2">
        <v>3</v>
      </c>
      <c r="J98" s="2">
        <v>1</v>
      </c>
      <c r="K98" s="65"/>
      <c r="L98" s="65"/>
      <c r="M98" s="21">
        <v>0.22</v>
      </c>
    </row>
    <row r="99" spans="1:13" ht="13.2" x14ac:dyDescent="0.25">
      <c r="A99" s="7">
        <v>98</v>
      </c>
      <c r="B99" s="3">
        <v>40548</v>
      </c>
      <c r="C99" s="2">
        <v>1</v>
      </c>
      <c r="D99" s="2">
        <v>0</v>
      </c>
      <c r="E99" s="2">
        <v>1</v>
      </c>
      <c r="F99" s="2">
        <v>6</v>
      </c>
      <c r="G99" s="2"/>
      <c r="H99" s="2" t="b">
        <v>0</v>
      </c>
      <c r="I99" s="2">
        <v>3</v>
      </c>
      <c r="J99" s="2">
        <v>1</v>
      </c>
      <c r="K99" s="65"/>
      <c r="L99" s="65"/>
      <c r="M99" s="21">
        <v>0.2</v>
      </c>
    </row>
    <row r="100" spans="1:13" ht="13.2" x14ac:dyDescent="0.25">
      <c r="A100" s="7">
        <v>99</v>
      </c>
      <c r="B100" s="3">
        <v>40548</v>
      </c>
      <c r="C100" s="2">
        <v>1</v>
      </c>
      <c r="D100" s="2">
        <v>0</v>
      </c>
      <c r="E100" s="2">
        <v>1</v>
      </c>
      <c r="F100" s="2">
        <v>7</v>
      </c>
      <c r="G100" s="2"/>
      <c r="H100" s="2" t="b">
        <v>0</v>
      </c>
      <c r="I100" s="2">
        <v>3</v>
      </c>
      <c r="J100" s="2">
        <v>1</v>
      </c>
      <c r="K100" s="65"/>
      <c r="L100" s="65"/>
      <c r="M100" s="21">
        <v>0.18</v>
      </c>
    </row>
    <row r="101" spans="1:13" ht="13.2" x14ac:dyDescent="0.25">
      <c r="A101" s="7">
        <v>100</v>
      </c>
      <c r="B101" s="3">
        <v>40548</v>
      </c>
      <c r="C101" s="2">
        <v>1</v>
      </c>
      <c r="D101" s="2">
        <v>0</v>
      </c>
      <c r="E101" s="2">
        <v>1</v>
      </c>
      <c r="F101" s="2">
        <v>8</v>
      </c>
      <c r="G101" s="2"/>
      <c r="H101" s="2" t="b">
        <v>0</v>
      </c>
      <c r="I101" s="2">
        <v>3</v>
      </c>
      <c r="J101" s="2">
        <v>1</v>
      </c>
      <c r="K101" s="65"/>
      <c r="L101" s="65"/>
      <c r="M101" s="21">
        <v>0.2</v>
      </c>
    </row>
    <row r="102" spans="1:13" ht="13.2" x14ac:dyDescent="0.25">
      <c r="A102" s="7">
        <v>101</v>
      </c>
      <c r="B102" s="3">
        <v>40548</v>
      </c>
      <c r="C102" s="2">
        <v>1</v>
      </c>
      <c r="D102" s="2">
        <v>0</v>
      </c>
      <c r="E102" s="2">
        <v>1</v>
      </c>
      <c r="F102" s="2">
        <v>9</v>
      </c>
      <c r="G102" s="2"/>
      <c r="H102" s="2" t="b">
        <v>0</v>
      </c>
      <c r="I102" s="2">
        <v>3</v>
      </c>
      <c r="J102" s="2">
        <v>1</v>
      </c>
      <c r="K102" s="65"/>
      <c r="L102" s="65"/>
      <c r="M102" s="21">
        <v>0.22</v>
      </c>
    </row>
    <row r="103" spans="1:13" ht="13.2" x14ac:dyDescent="0.25">
      <c r="A103" s="7">
        <v>102</v>
      </c>
      <c r="B103" s="3">
        <v>40548</v>
      </c>
      <c r="C103" s="2">
        <v>1</v>
      </c>
      <c r="D103" s="2">
        <v>0</v>
      </c>
      <c r="E103" s="2">
        <v>1</v>
      </c>
      <c r="F103" s="2">
        <v>10</v>
      </c>
      <c r="G103" s="2"/>
      <c r="H103" s="2" t="b">
        <v>0</v>
      </c>
      <c r="I103" s="2">
        <v>3</v>
      </c>
      <c r="J103" s="2">
        <v>1</v>
      </c>
      <c r="K103" s="65"/>
      <c r="L103" s="65"/>
      <c r="M103" s="21">
        <v>0.22</v>
      </c>
    </row>
    <row r="104" spans="1:13" ht="13.2" x14ac:dyDescent="0.25">
      <c r="A104" s="7">
        <v>103</v>
      </c>
      <c r="B104" s="3">
        <v>40548</v>
      </c>
      <c r="C104" s="2">
        <v>1</v>
      </c>
      <c r="D104" s="2">
        <v>0</v>
      </c>
      <c r="E104" s="2">
        <v>1</v>
      </c>
      <c r="F104" s="2">
        <v>11</v>
      </c>
      <c r="G104" s="2"/>
      <c r="H104" s="2" t="b">
        <v>0</v>
      </c>
      <c r="I104" s="2">
        <v>3</v>
      </c>
      <c r="J104" s="2">
        <v>1</v>
      </c>
      <c r="K104" s="65"/>
      <c r="L104" s="65"/>
      <c r="M104" s="21">
        <v>0.26</v>
      </c>
    </row>
    <row r="105" spans="1:13" ht="13.2" x14ac:dyDescent="0.25">
      <c r="A105" s="7">
        <v>104</v>
      </c>
      <c r="B105" s="3">
        <v>40548</v>
      </c>
      <c r="C105" s="2">
        <v>1</v>
      </c>
      <c r="D105" s="2">
        <v>0</v>
      </c>
      <c r="E105" s="2">
        <v>1</v>
      </c>
      <c r="F105" s="2">
        <v>12</v>
      </c>
      <c r="G105" s="2"/>
      <c r="H105" s="2" t="b">
        <v>0</v>
      </c>
      <c r="I105" s="2">
        <v>3</v>
      </c>
      <c r="J105" s="2">
        <v>1</v>
      </c>
      <c r="K105" s="65"/>
      <c r="L105" s="65"/>
      <c r="M105" s="21">
        <v>0.26</v>
      </c>
    </row>
    <row r="106" spans="1:13" ht="13.2" x14ac:dyDescent="0.25">
      <c r="A106" s="7">
        <v>105</v>
      </c>
      <c r="B106" s="3">
        <v>40548</v>
      </c>
      <c r="C106" s="2">
        <v>1</v>
      </c>
      <c r="D106" s="2">
        <v>0</v>
      </c>
      <c r="E106" s="2">
        <v>1</v>
      </c>
      <c r="F106" s="2">
        <v>13</v>
      </c>
      <c r="G106" s="2"/>
      <c r="H106" s="2" t="b">
        <v>0</v>
      </c>
      <c r="I106" s="2">
        <v>3</v>
      </c>
      <c r="J106" s="2">
        <v>1</v>
      </c>
      <c r="K106" s="65"/>
      <c r="L106" s="65"/>
      <c r="M106" s="21">
        <v>0.28000000000000003</v>
      </c>
    </row>
    <row r="107" spans="1:13" ht="13.2" x14ac:dyDescent="0.25">
      <c r="A107" s="7">
        <v>106</v>
      </c>
      <c r="B107" s="3">
        <v>40548</v>
      </c>
      <c r="C107" s="2">
        <v>1</v>
      </c>
      <c r="D107" s="2">
        <v>0</v>
      </c>
      <c r="E107" s="2">
        <v>1</v>
      </c>
      <c r="F107" s="2">
        <v>14</v>
      </c>
      <c r="G107" s="2"/>
      <c r="H107" s="2" t="b">
        <v>0</v>
      </c>
      <c r="I107" s="2">
        <v>3</v>
      </c>
      <c r="J107" s="2">
        <v>1</v>
      </c>
      <c r="K107" s="65"/>
      <c r="L107" s="65"/>
      <c r="M107" s="21">
        <v>0.3</v>
      </c>
    </row>
    <row r="108" spans="1:13" ht="13.2" x14ac:dyDescent="0.25">
      <c r="A108" s="7">
        <v>107</v>
      </c>
      <c r="B108" s="3">
        <v>40548</v>
      </c>
      <c r="C108" s="2">
        <v>1</v>
      </c>
      <c r="D108" s="2">
        <v>0</v>
      </c>
      <c r="E108" s="2">
        <v>1</v>
      </c>
      <c r="F108" s="2">
        <v>15</v>
      </c>
      <c r="G108" s="2"/>
      <c r="H108" s="2" t="b">
        <v>0</v>
      </c>
      <c r="I108" s="2">
        <v>3</v>
      </c>
      <c r="J108" s="2">
        <v>1</v>
      </c>
      <c r="K108" s="65"/>
      <c r="L108" s="65"/>
      <c r="M108" s="21">
        <v>0.3</v>
      </c>
    </row>
    <row r="109" spans="1:13" ht="13.2" x14ac:dyDescent="0.25">
      <c r="A109" s="7">
        <v>108</v>
      </c>
      <c r="B109" s="3">
        <v>40548</v>
      </c>
      <c r="C109" s="2">
        <v>1</v>
      </c>
      <c r="D109" s="2">
        <v>0</v>
      </c>
      <c r="E109" s="2">
        <v>1</v>
      </c>
      <c r="F109" s="2">
        <v>16</v>
      </c>
      <c r="G109" s="2"/>
      <c r="H109" s="2" t="b">
        <v>0</v>
      </c>
      <c r="I109" s="2">
        <v>3</v>
      </c>
      <c r="J109" s="2">
        <v>1</v>
      </c>
      <c r="K109" s="65"/>
      <c r="L109" s="65"/>
      <c r="M109" s="21">
        <v>0.3</v>
      </c>
    </row>
    <row r="110" spans="1:13" ht="13.2" x14ac:dyDescent="0.25">
      <c r="A110" s="7">
        <v>109</v>
      </c>
      <c r="B110" s="3">
        <v>40548</v>
      </c>
      <c r="C110" s="2">
        <v>1</v>
      </c>
      <c r="D110" s="2">
        <v>0</v>
      </c>
      <c r="E110" s="2">
        <v>1</v>
      </c>
      <c r="F110" s="2">
        <v>17</v>
      </c>
      <c r="G110" s="2"/>
      <c r="H110" s="2" t="b">
        <v>0</v>
      </c>
      <c r="I110" s="2">
        <v>3</v>
      </c>
      <c r="J110" s="2">
        <v>1</v>
      </c>
      <c r="K110" s="65"/>
      <c r="L110" s="65"/>
      <c r="M110" s="21">
        <v>0.24</v>
      </c>
    </row>
    <row r="111" spans="1:13" ht="13.2" x14ac:dyDescent="0.25">
      <c r="A111" s="7">
        <v>110</v>
      </c>
      <c r="B111" s="3">
        <v>40548</v>
      </c>
      <c r="C111" s="2">
        <v>1</v>
      </c>
      <c r="D111" s="2">
        <v>0</v>
      </c>
      <c r="E111" s="2">
        <v>1</v>
      </c>
      <c r="F111" s="2">
        <v>18</v>
      </c>
      <c r="G111" s="2"/>
      <c r="H111" s="2" t="b">
        <v>0</v>
      </c>
      <c r="I111" s="2">
        <v>3</v>
      </c>
      <c r="J111" s="2">
        <v>1</v>
      </c>
      <c r="K111" s="65"/>
      <c r="L111" s="65"/>
      <c r="M111" s="21">
        <v>0.24</v>
      </c>
    </row>
    <row r="112" spans="1:13" ht="13.2" x14ac:dyDescent="0.25">
      <c r="A112" s="7">
        <v>111</v>
      </c>
      <c r="B112" s="3">
        <v>40548</v>
      </c>
      <c r="C112" s="2">
        <v>1</v>
      </c>
      <c r="D112" s="2">
        <v>0</v>
      </c>
      <c r="E112" s="2">
        <v>1</v>
      </c>
      <c r="F112" s="2">
        <v>19</v>
      </c>
      <c r="G112" s="2"/>
      <c r="H112" s="2" t="b">
        <v>0</v>
      </c>
      <c r="I112" s="2">
        <v>3</v>
      </c>
      <c r="J112" s="2">
        <v>1</v>
      </c>
      <c r="K112" s="65"/>
      <c r="L112" s="65"/>
      <c r="M112" s="21">
        <v>0.24</v>
      </c>
    </row>
    <row r="113" spans="1:13" ht="13.2" x14ac:dyDescent="0.25">
      <c r="A113" s="7">
        <v>112</v>
      </c>
      <c r="B113" s="3">
        <v>40548</v>
      </c>
      <c r="C113" s="2">
        <v>1</v>
      </c>
      <c r="D113" s="2">
        <v>0</v>
      </c>
      <c r="E113" s="2">
        <v>1</v>
      </c>
      <c r="F113" s="2">
        <v>20</v>
      </c>
      <c r="G113" s="2"/>
      <c r="H113" s="2" t="b">
        <v>0</v>
      </c>
      <c r="I113" s="2">
        <v>3</v>
      </c>
      <c r="J113" s="2">
        <v>1</v>
      </c>
      <c r="K113" s="65"/>
      <c r="L113" s="65"/>
      <c r="M113" s="21">
        <v>0.22</v>
      </c>
    </row>
    <row r="114" spans="1:13" ht="13.2" x14ac:dyDescent="0.25">
      <c r="A114" s="7">
        <v>113</v>
      </c>
      <c r="B114" s="3">
        <v>40548</v>
      </c>
      <c r="C114" s="2">
        <v>1</v>
      </c>
      <c r="D114" s="2">
        <v>0</v>
      </c>
      <c r="E114" s="2">
        <v>1</v>
      </c>
      <c r="F114" s="2">
        <v>21</v>
      </c>
      <c r="G114" s="2"/>
      <c r="H114" s="2" t="b">
        <v>0</v>
      </c>
      <c r="I114" s="2">
        <v>3</v>
      </c>
      <c r="J114" s="2">
        <v>1</v>
      </c>
      <c r="K114" s="65"/>
      <c r="L114" s="65"/>
      <c r="M114" s="21">
        <v>0.2</v>
      </c>
    </row>
    <row r="115" spans="1:13" ht="13.2" x14ac:dyDescent="0.25">
      <c r="A115" s="7">
        <v>114</v>
      </c>
      <c r="B115" s="3">
        <v>40548</v>
      </c>
      <c r="C115" s="2">
        <v>1</v>
      </c>
      <c r="D115" s="2">
        <v>0</v>
      </c>
      <c r="E115" s="2">
        <v>1</v>
      </c>
      <c r="F115" s="2">
        <v>22</v>
      </c>
      <c r="G115" s="2"/>
      <c r="H115" s="2" t="b">
        <v>0</v>
      </c>
      <c r="I115" s="2">
        <v>3</v>
      </c>
      <c r="J115" s="2">
        <v>1</v>
      </c>
      <c r="K115" s="65"/>
      <c r="L115" s="65"/>
      <c r="M115" s="21">
        <v>0.18</v>
      </c>
    </row>
    <row r="116" spans="1:13" ht="13.2" x14ac:dyDescent="0.25">
      <c r="A116" s="7">
        <v>115</v>
      </c>
      <c r="B116" s="3">
        <v>40548</v>
      </c>
      <c r="C116" s="2">
        <v>1</v>
      </c>
      <c r="D116" s="2">
        <v>0</v>
      </c>
      <c r="E116" s="2">
        <v>1</v>
      </c>
      <c r="F116" s="2">
        <v>23</v>
      </c>
      <c r="G116" s="2"/>
      <c r="H116" s="2" t="b">
        <v>0</v>
      </c>
      <c r="I116" s="2">
        <v>3</v>
      </c>
      <c r="J116" s="2">
        <v>1</v>
      </c>
      <c r="K116" s="65"/>
      <c r="L116" s="65"/>
      <c r="M116" s="21">
        <v>0.2</v>
      </c>
    </row>
    <row r="117" spans="1:13" ht="13.2" x14ac:dyDescent="0.25">
      <c r="A117" s="7">
        <v>116</v>
      </c>
      <c r="B117" s="3">
        <v>40549</v>
      </c>
      <c r="C117" s="2">
        <v>1</v>
      </c>
      <c r="D117" s="2">
        <v>0</v>
      </c>
      <c r="E117" s="2">
        <v>1</v>
      </c>
      <c r="F117" s="2">
        <v>0</v>
      </c>
      <c r="G117" s="2"/>
      <c r="H117" s="2" t="b">
        <v>0</v>
      </c>
      <c r="I117" s="2">
        <v>4</v>
      </c>
      <c r="J117" s="2">
        <v>1</v>
      </c>
      <c r="K117" s="65"/>
      <c r="L117" s="65"/>
      <c r="M117" s="21">
        <v>0.18</v>
      </c>
    </row>
    <row r="118" spans="1:13" ht="13.2" x14ac:dyDescent="0.25">
      <c r="A118" s="7">
        <v>117</v>
      </c>
      <c r="B118" s="3">
        <v>40549</v>
      </c>
      <c r="C118" s="2">
        <v>1</v>
      </c>
      <c r="D118" s="2">
        <v>0</v>
      </c>
      <c r="E118" s="2">
        <v>1</v>
      </c>
      <c r="F118" s="2">
        <v>1</v>
      </c>
      <c r="G118" s="2"/>
      <c r="H118" s="2" t="b">
        <v>0</v>
      </c>
      <c r="I118" s="2">
        <v>4</v>
      </c>
      <c r="J118" s="2">
        <v>1</v>
      </c>
      <c r="K118" s="65"/>
      <c r="L118" s="65"/>
      <c r="M118" s="21">
        <v>0.16</v>
      </c>
    </row>
    <row r="119" spans="1:13" ht="13.2" x14ac:dyDescent="0.25">
      <c r="A119" s="7">
        <v>118</v>
      </c>
      <c r="B119" s="3">
        <v>40549</v>
      </c>
      <c r="C119" s="2">
        <v>1</v>
      </c>
      <c r="D119" s="2">
        <v>0</v>
      </c>
      <c r="E119" s="2">
        <v>1</v>
      </c>
      <c r="F119" s="2">
        <v>2</v>
      </c>
      <c r="G119" s="2"/>
      <c r="H119" s="2" t="b">
        <v>0</v>
      </c>
      <c r="I119" s="2">
        <v>4</v>
      </c>
      <c r="J119" s="2">
        <v>1</v>
      </c>
      <c r="K119" s="65"/>
      <c r="L119" s="65"/>
      <c r="M119" s="21">
        <v>0.16</v>
      </c>
    </row>
    <row r="120" spans="1:13" ht="13.2" x14ac:dyDescent="0.25">
      <c r="A120" s="7">
        <v>119</v>
      </c>
      <c r="B120" s="3">
        <v>40549</v>
      </c>
      <c r="C120" s="2">
        <v>1</v>
      </c>
      <c r="D120" s="2">
        <v>0</v>
      </c>
      <c r="E120" s="2">
        <v>1</v>
      </c>
      <c r="F120" s="2">
        <v>4</v>
      </c>
      <c r="G120" s="2"/>
      <c r="H120" s="2" t="b">
        <v>0</v>
      </c>
      <c r="I120" s="2">
        <v>4</v>
      </c>
      <c r="J120" s="2">
        <v>2</v>
      </c>
      <c r="K120" s="65"/>
      <c r="L120" s="65"/>
      <c r="M120" s="21">
        <v>0.16</v>
      </c>
    </row>
    <row r="121" spans="1:13" ht="13.2" x14ac:dyDescent="0.25">
      <c r="A121" s="7">
        <v>120</v>
      </c>
      <c r="B121" s="3">
        <v>40549</v>
      </c>
      <c r="C121" s="2">
        <v>1</v>
      </c>
      <c r="D121" s="2">
        <v>0</v>
      </c>
      <c r="E121" s="2">
        <v>1</v>
      </c>
      <c r="F121" s="2">
        <v>5</v>
      </c>
      <c r="G121" s="2"/>
      <c r="H121" s="2" t="b">
        <v>0</v>
      </c>
      <c r="I121" s="2">
        <v>4</v>
      </c>
      <c r="J121" s="2">
        <v>2</v>
      </c>
      <c r="K121" s="65"/>
      <c r="L121" s="65"/>
      <c r="M121" s="21">
        <v>0.14000000000000001</v>
      </c>
    </row>
    <row r="122" spans="1:13" ht="13.2" x14ac:dyDescent="0.25">
      <c r="A122" s="7">
        <v>121</v>
      </c>
      <c r="B122" s="3">
        <v>40549</v>
      </c>
      <c r="C122" s="2">
        <v>1</v>
      </c>
      <c r="D122" s="2">
        <v>0</v>
      </c>
      <c r="E122" s="2">
        <v>1</v>
      </c>
      <c r="F122" s="2">
        <v>6</v>
      </c>
      <c r="G122" s="2"/>
      <c r="H122" s="2" t="b">
        <v>0</v>
      </c>
      <c r="I122" s="2">
        <v>4</v>
      </c>
      <c r="J122" s="2">
        <v>2</v>
      </c>
      <c r="K122" s="65"/>
      <c r="L122" s="65"/>
      <c r="M122" s="21">
        <v>0.14000000000000001</v>
      </c>
    </row>
    <row r="123" spans="1:13" ht="13.2" x14ac:dyDescent="0.25">
      <c r="A123" s="7">
        <v>122</v>
      </c>
      <c r="B123" s="3">
        <v>40549</v>
      </c>
      <c r="C123" s="2">
        <v>1</v>
      </c>
      <c r="D123" s="2">
        <v>0</v>
      </c>
      <c r="E123" s="2">
        <v>1</v>
      </c>
      <c r="F123" s="2">
        <v>7</v>
      </c>
      <c r="G123" s="2"/>
      <c r="H123" s="2" t="b">
        <v>0</v>
      </c>
      <c r="I123" s="2">
        <v>4</v>
      </c>
      <c r="J123" s="2">
        <v>2</v>
      </c>
      <c r="K123" s="65"/>
      <c r="L123" s="65"/>
      <c r="M123" s="21">
        <v>0.16</v>
      </c>
    </row>
    <row r="124" spans="1:13" ht="13.2" x14ac:dyDescent="0.25">
      <c r="A124" s="7">
        <v>123</v>
      </c>
      <c r="B124" s="3">
        <v>40549</v>
      </c>
      <c r="C124" s="2">
        <v>1</v>
      </c>
      <c r="D124" s="2">
        <v>0</v>
      </c>
      <c r="E124" s="2">
        <v>1</v>
      </c>
      <c r="F124" s="2">
        <v>8</v>
      </c>
      <c r="G124" s="2"/>
      <c r="H124" s="2" t="b">
        <v>0</v>
      </c>
      <c r="I124" s="2">
        <v>4</v>
      </c>
      <c r="J124" s="2">
        <v>1</v>
      </c>
      <c r="K124" s="65"/>
      <c r="L124" s="65"/>
      <c r="M124" s="21">
        <v>0.16</v>
      </c>
    </row>
    <row r="125" spans="1:13" ht="13.2" x14ac:dyDescent="0.25">
      <c r="A125" s="7">
        <v>124</v>
      </c>
      <c r="B125" s="3">
        <v>40549</v>
      </c>
      <c r="C125" s="2">
        <v>1</v>
      </c>
      <c r="D125" s="2">
        <v>0</v>
      </c>
      <c r="E125" s="2">
        <v>1</v>
      </c>
      <c r="F125" s="2">
        <v>9</v>
      </c>
      <c r="G125" s="2"/>
      <c r="H125" s="2" t="b">
        <v>0</v>
      </c>
      <c r="I125" s="2">
        <v>4</v>
      </c>
      <c r="J125" s="2">
        <v>2</v>
      </c>
      <c r="K125" s="65"/>
      <c r="L125" s="65"/>
      <c r="M125" s="21">
        <v>0.18</v>
      </c>
    </row>
    <row r="126" spans="1:13" ht="13.2" x14ac:dyDescent="0.25">
      <c r="A126" s="7">
        <v>125</v>
      </c>
      <c r="B126" s="3">
        <v>40549</v>
      </c>
      <c r="C126" s="2">
        <v>1</v>
      </c>
      <c r="D126" s="2">
        <v>0</v>
      </c>
      <c r="E126" s="2">
        <v>1</v>
      </c>
      <c r="F126" s="2">
        <v>10</v>
      </c>
      <c r="G126" s="2"/>
      <c r="H126" s="2" t="b">
        <v>0</v>
      </c>
      <c r="I126" s="2">
        <v>4</v>
      </c>
      <c r="J126" s="2">
        <v>1</v>
      </c>
      <c r="K126" s="65"/>
      <c r="L126" s="65"/>
      <c r="M126" s="21">
        <v>0.2</v>
      </c>
    </row>
    <row r="127" spans="1:13" ht="13.2" x14ac:dyDescent="0.25">
      <c r="A127" s="7">
        <v>126</v>
      </c>
      <c r="B127" s="3">
        <v>40549</v>
      </c>
      <c r="C127" s="2">
        <v>1</v>
      </c>
      <c r="D127" s="2">
        <v>0</v>
      </c>
      <c r="E127" s="2">
        <v>1</v>
      </c>
      <c r="F127" s="2">
        <v>11</v>
      </c>
      <c r="G127" s="2"/>
      <c r="H127" s="2" t="b">
        <v>0</v>
      </c>
      <c r="I127" s="2">
        <v>4</v>
      </c>
      <c r="J127" s="2">
        <v>1</v>
      </c>
      <c r="K127" s="65"/>
      <c r="L127" s="65"/>
      <c r="M127" s="21">
        <v>0.22</v>
      </c>
    </row>
    <row r="128" spans="1:13" ht="13.2" x14ac:dyDescent="0.25">
      <c r="A128" s="7">
        <v>127</v>
      </c>
      <c r="B128" s="3">
        <v>40549</v>
      </c>
      <c r="C128" s="2">
        <v>1</v>
      </c>
      <c r="D128" s="2">
        <v>0</v>
      </c>
      <c r="E128" s="2">
        <v>1</v>
      </c>
      <c r="F128" s="2">
        <v>12</v>
      </c>
      <c r="G128" s="2"/>
      <c r="H128" s="2" t="b">
        <v>0</v>
      </c>
      <c r="I128" s="2">
        <v>4</v>
      </c>
      <c r="J128" s="2">
        <v>1</v>
      </c>
      <c r="K128" s="65"/>
      <c r="L128" s="65"/>
      <c r="M128" s="21">
        <v>0.26</v>
      </c>
    </row>
    <row r="129" spans="1:13" ht="13.2" x14ac:dyDescent="0.25">
      <c r="A129" s="7">
        <v>128</v>
      </c>
      <c r="B129" s="3">
        <v>40549</v>
      </c>
      <c r="C129" s="2">
        <v>1</v>
      </c>
      <c r="D129" s="2">
        <v>0</v>
      </c>
      <c r="E129" s="2">
        <v>1</v>
      </c>
      <c r="F129" s="2">
        <v>13</v>
      </c>
      <c r="G129" s="2"/>
      <c r="H129" s="2" t="b">
        <v>0</v>
      </c>
      <c r="I129" s="2">
        <v>4</v>
      </c>
      <c r="J129" s="2">
        <v>1</v>
      </c>
      <c r="K129" s="65"/>
      <c r="L129" s="65"/>
      <c r="M129" s="21">
        <v>0.26</v>
      </c>
    </row>
    <row r="130" spans="1:13" ht="13.2" x14ac:dyDescent="0.25">
      <c r="A130" s="7">
        <v>129</v>
      </c>
      <c r="B130" s="3">
        <v>40549</v>
      </c>
      <c r="C130" s="2">
        <v>1</v>
      </c>
      <c r="D130" s="2">
        <v>0</v>
      </c>
      <c r="E130" s="2">
        <v>1</v>
      </c>
      <c r="F130" s="2">
        <v>14</v>
      </c>
      <c r="G130" s="2"/>
      <c r="H130" s="2" t="b">
        <v>0</v>
      </c>
      <c r="I130" s="2">
        <v>4</v>
      </c>
      <c r="J130" s="2">
        <v>1</v>
      </c>
      <c r="K130" s="65"/>
      <c r="L130" s="65"/>
      <c r="M130" s="21">
        <v>0.28000000000000003</v>
      </c>
    </row>
    <row r="131" spans="1:13" ht="13.2" x14ac:dyDescent="0.25">
      <c r="A131" s="7">
        <v>130</v>
      </c>
      <c r="B131" s="3">
        <v>40549</v>
      </c>
      <c r="C131" s="2">
        <v>1</v>
      </c>
      <c r="D131" s="2">
        <v>0</v>
      </c>
      <c r="E131" s="2">
        <v>1</v>
      </c>
      <c r="F131" s="2">
        <v>15</v>
      </c>
      <c r="G131" s="2"/>
      <c r="H131" s="2" t="b">
        <v>0</v>
      </c>
      <c r="I131" s="2">
        <v>4</v>
      </c>
      <c r="J131" s="2">
        <v>1</v>
      </c>
      <c r="K131" s="65"/>
      <c r="L131" s="65"/>
      <c r="M131" s="21">
        <v>0.28000000000000003</v>
      </c>
    </row>
    <row r="132" spans="1:13" ht="13.2" x14ac:dyDescent="0.25">
      <c r="A132" s="7">
        <v>131</v>
      </c>
      <c r="B132" s="3">
        <v>40549</v>
      </c>
      <c r="C132" s="2">
        <v>1</v>
      </c>
      <c r="D132" s="2">
        <v>0</v>
      </c>
      <c r="E132" s="2">
        <v>1</v>
      </c>
      <c r="F132" s="2">
        <v>16</v>
      </c>
      <c r="G132" s="2"/>
      <c r="H132" s="2" t="b">
        <v>0</v>
      </c>
      <c r="I132" s="2">
        <v>4</v>
      </c>
      <c r="J132" s="2">
        <v>1</v>
      </c>
      <c r="K132" s="65"/>
      <c r="L132" s="65"/>
      <c r="M132" s="21">
        <v>0.26</v>
      </c>
    </row>
    <row r="133" spans="1:13" ht="13.2" x14ac:dyDescent="0.25">
      <c r="A133" s="7">
        <v>132</v>
      </c>
      <c r="B133" s="3">
        <v>40549</v>
      </c>
      <c r="C133" s="2">
        <v>1</v>
      </c>
      <c r="D133" s="2">
        <v>0</v>
      </c>
      <c r="E133" s="2">
        <v>1</v>
      </c>
      <c r="F133" s="2">
        <v>17</v>
      </c>
      <c r="G133" s="2"/>
      <c r="H133" s="2" t="b">
        <v>0</v>
      </c>
      <c r="I133" s="2">
        <v>4</v>
      </c>
      <c r="J133" s="2">
        <v>1</v>
      </c>
      <c r="K133" s="65"/>
      <c r="L133" s="65"/>
      <c r="M133" s="21">
        <v>0.22</v>
      </c>
    </row>
    <row r="134" spans="1:13" ht="13.2" x14ac:dyDescent="0.25">
      <c r="A134" s="7">
        <v>133</v>
      </c>
      <c r="B134" s="3">
        <v>40549</v>
      </c>
      <c r="C134" s="2">
        <v>1</v>
      </c>
      <c r="D134" s="2">
        <v>0</v>
      </c>
      <c r="E134" s="2">
        <v>1</v>
      </c>
      <c r="F134" s="2">
        <v>18</v>
      </c>
      <c r="G134" s="2"/>
      <c r="H134" s="2" t="b">
        <v>0</v>
      </c>
      <c r="I134" s="2">
        <v>4</v>
      </c>
      <c r="J134" s="2">
        <v>1</v>
      </c>
      <c r="K134" s="65"/>
      <c r="L134" s="65"/>
      <c r="M134" s="21">
        <v>0.22</v>
      </c>
    </row>
    <row r="135" spans="1:13" ht="13.2" x14ac:dyDescent="0.25">
      <c r="A135" s="7">
        <v>134</v>
      </c>
      <c r="B135" s="3">
        <v>40549</v>
      </c>
      <c r="C135" s="2">
        <v>1</v>
      </c>
      <c r="D135" s="2">
        <v>0</v>
      </c>
      <c r="E135" s="2">
        <v>1</v>
      </c>
      <c r="F135" s="2">
        <v>19</v>
      </c>
      <c r="G135" s="2"/>
      <c r="H135" s="2" t="b">
        <v>0</v>
      </c>
      <c r="I135" s="2">
        <v>4</v>
      </c>
      <c r="J135" s="2">
        <v>1</v>
      </c>
      <c r="K135" s="65"/>
      <c r="L135" s="65"/>
      <c r="M135" s="21">
        <v>0.22</v>
      </c>
    </row>
    <row r="136" spans="1:13" ht="13.2" x14ac:dyDescent="0.25">
      <c r="A136" s="7">
        <v>135</v>
      </c>
      <c r="B136" s="3">
        <v>40549</v>
      </c>
      <c r="C136" s="2">
        <v>1</v>
      </c>
      <c r="D136" s="2">
        <v>0</v>
      </c>
      <c r="E136" s="2">
        <v>1</v>
      </c>
      <c r="F136" s="2">
        <v>20</v>
      </c>
      <c r="G136" s="2"/>
      <c r="H136" s="2" t="b">
        <v>0</v>
      </c>
      <c r="I136" s="2">
        <v>4</v>
      </c>
      <c r="J136" s="2">
        <v>1</v>
      </c>
      <c r="K136" s="65"/>
      <c r="L136" s="65"/>
      <c r="M136" s="21">
        <v>0.2</v>
      </c>
    </row>
    <row r="137" spans="1:13" ht="13.2" x14ac:dyDescent="0.25">
      <c r="A137" s="7">
        <v>136</v>
      </c>
      <c r="B137" s="3">
        <v>40549</v>
      </c>
      <c r="C137" s="2">
        <v>1</v>
      </c>
      <c r="D137" s="2">
        <v>0</v>
      </c>
      <c r="E137" s="2">
        <v>1</v>
      </c>
      <c r="F137" s="2">
        <v>21</v>
      </c>
      <c r="G137" s="2"/>
      <c r="H137" s="2" t="b">
        <v>0</v>
      </c>
      <c r="I137" s="2">
        <v>4</v>
      </c>
      <c r="J137" s="2">
        <v>2</v>
      </c>
      <c r="K137" s="65"/>
      <c r="L137" s="65"/>
      <c r="M137" s="21">
        <v>0.22</v>
      </c>
    </row>
    <row r="138" spans="1:13" ht="13.2" x14ac:dyDescent="0.25">
      <c r="A138" s="7">
        <v>137</v>
      </c>
      <c r="B138" s="3">
        <v>40549</v>
      </c>
      <c r="C138" s="2">
        <v>1</v>
      </c>
      <c r="D138" s="2">
        <v>0</v>
      </c>
      <c r="E138" s="2">
        <v>1</v>
      </c>
      <c r="F138" s="2">
        <v>22</v>
      </c>
      <c r="G138" s="2"/>
      <c r="H138" s="2" t="b">
        <v>0</v>
      </c>
      <c r="I138" s="2">
        <v>4</v>
      </c>
      <c r="J138" s="2">
        <v>2</v>
      </c>
      <c r="K138" s="65"/>
      <c r="L138" s="65"/>
      <c r="M138" s="21">
        <v>0.22</v>
      </c>
    </row>
    <row r="139" spans="1:13" ht="13.2" x14ac:dyDescent="0.25">
      <c r="A139" s="7">
        <v>138</v>
      </c>
      <c r="B139" s="3">
        <v>40549</v>
      </c>
      <c r="C139" s="2">
        <v>1</v>
      </c>
      <c r="D139" s="2">
        <v>0</v>
      </c>
      <c r="E139" s="2">
        <v>1</v>
      </c>
      <c r="F139" s="2">
        <v>23</v>
      </c>
      <c r="G139" s="2"/>
      <c r="H139" s="2" t="b">
        <v>0</v>
      </c>
      <c r="I139" s="2">
        <v>4</v>
      </c>
      <c r="J139" s="2">
        <v>2</v>
      </c>
      <c r="K139" s="65"/>
      <c r="L139" s="65"/>
      <c r="M139" s="21">
        <v>0.2</v>
      </c>
    </row>
    <row r="140" spans="1:13" ht="13.2" x14ac:dyDescent="0.25">
      <c r="A140" s="7">
        <v>139</v>
      </c>
      <c r="B140" s="3">
        <v>40550</v>
      </c>
      <c r="C140" s="2">
        <v>1</v>
      </c>
      <c r="D140" s="2">
        <v>0</v>
      </c>
      <c r="E140" s="2">
        <v>1</v>
      </c>
      <c r="F140" s="2">
        <v>0</v>
      </c>
      <c r="G140" s="2"/>
      <c r="H140" s="2" t="b">
        <v>0</v>
      </c>
      <c r="I140" s="2">
        <v>5</v>
      </c>
      <c r="J140" s="2">
        <v>2</v>
      </c>
      <c r="K140" s="65"/>
      <c r="L140" s="65"/>
      <c r="M140" s="21">
        <v>0.2</v>
      </c>
    </row>
    <row r="141" spans="1:13" ht="13.2" x14ac:dyDescent="0.25">
      <c r="A141" s="7">
        <v>140</v>
      </c>
      <c r="B141" s="3">
        <v>40550</v>
      </c>
      <c r="C141" s="2">
        <v>1</v>
      </c>
      <c r="D141" s="2">
        <v>0</v>
      </c>
      <c r="E141" s="2">
        <v>1</v>
      </c>
      <c r="F141" s="2">
        <v>1</v>
      </c>
      <c r="G141" s="2"/>
      <c r="H141" s="2" t="b">
        <v>0</v>
      </c>
      <c r="I141" s="2">
        <v>5</v>
      </c>
      <c r="J141" s="2">
        <v>2</v>
      </c>
      <c r="K141" s="65"/>
      <c r="L141" s="65"/>
      <c r="M141" s="21">
        <v>0.2</v>
      </c>
    </row>
    <row r="142" spans="1:13" ht="13.2" x14ac:dyDescent="0.25">
      <c r="A142" s="7">
        <v>141</v>
      </c>
      <c r="B142" s="3">
        <v>40550</v>
      </c>
      <c r="C142" s="2">
        <v>1</v>
      </c>
      <c r="D142" s="2">
        <v>0</v>
      </c>
      <c r="E142" s="2">
        <v>1</v>
      </c>
      <c r="F142" s="2">
        <v>2</v>
      </c>
      <c r="G142" s="2"/>
      <c r="H142" s="2" t="b">
        <v>0</v>
      </c>
      <c r="I142" s="2">
        <v>5</v>
      </c>
      <c r="J142" s="2">
        <v>2</v>
      </c>
      <c r="K142" s="65"/>
      <c r="L142" s="65"/>
      <c r="M142" s="21">
        <v>0.2</v>
      </c>
    </row>
    <row r="143" spans="1:13" ht="13.2" x14ac:dyDescent="0.25">
      <c r="A143" s="7">
        <v>142</v>
      </c>
      <c r="B143" s="3">
        <v>40550</v>
      </c>
      <c r="C143" s="2">
        <v>1</v>
      </c>
      <c r="D143" s="2">
        <v>0</v>
      </c>
      <c r="E143" s="2">
        <v>1</v>
      </c>
      <c r="F143" s="2">
        <v>4</v>
      </c>
      <c r="G143" s="2"/>
      <c r="H143" s="2" t="b">
        <v>0</v>
      </c>
      <c r="I143" s="2">
        <v>5</v>
      </c>
      <c r="J143" s="2">
        <v>2</v>
      </c>
      <c r="K143" s="65"/>
      <c r="L143" s="65"/>
      <c r="M143" s="21">
        <v>0.2</v>
      </c>
    </row>
    <row r="144" spans="1:13" ht="13.2" x14ac:dyDescent="0.25">
      <c r="A144" s="7">
        <v>143</v>
      </c>
      <c r="B144" s="3">
        <v>40550</v>
      </c>
      <c r="C144" s="2">
        <v>1</v>
      </c>
      <c r="D144" s="2">
        <v>0</v>
      </c>
      <c r="E144" s="2">
        <v>1</v>
      </c>
      <c r="F144" s="2">
        <v>5</v>
      </c>
      <c r="G144" s="2"/>
      <c r="H144" s="2" t="b">
        <v>0</v>
      </c>
      <c r="I144" s="2">
        <v>5</v>
      </c>
      <c r="J144" s="2">
        <v>3</v>
      </c>
      <c r="K144" s="65"/>
      <c r="L144" s="65"/>
      <c r="M144" s="21">
        <v>0.22</v>
      </c>
    </row>
    <row r="145" spans="1:13" ht="13.2" x14ac:dyDescent="0.25">
      <c r="A145" s="7">
        <v>144</v>
      </c>
      <c r="B145" s="3">
        <v>40550</v>
      </c>
      <c r="C145" s="2">
        <v>1</v>
      </c>
      <c r="D145" s="2">
        <v>0</v>
      </c>
      <c r="E145" s="2">
        <v>1</v>
      </c>
      <c r="F145" s="2">
        <v>6</v>
      </c>
      <c r="G145" s="2"/>
      <c r="H145" s="2" t="b">
        <v>0</v>
      </c>
      <c r="I145" s="2">
        <v>5</v>
      </c>
      <c r="J145" s="2">
        <v>2</v>
      </c>
      <c r="K145" s="65"/>
      <c r="L145" s="65"/>
      <c r="M145" s="21">
        <v>0.2</v>
      </c>
    </row>
    <row r="146" spans="1:13" ht="13.2" x14ac:dyDescent="0.25">
      <c r="A146" s="7">
        <v>145</v>
      </c>
      <c r="B146" s="3">
        <v>40550</v>
      </c>
      <c r="C146" s="2">
        <v>1</v>
      </c>
      <c r="D146" s="2">
        <v>0</v>
      </c>
      <c r="E146" s="2">
        <v>1</v>
      </c>
      <c r="F146" s="2">
        <v>7</v>
      </c>
      <c r="G146" s="2"/>
      <c r="H146" s="2" t="b">
        <v>0</v>
      </c>
      <c r="I146" s="2">
        <v>5</v>
      </c>
      <c r="J146" s="2">
        <v>1</v>
      </c>
      <c r="K146" s="65"/>
      <c r="L146" s="65"/>
      <c r="M146" s="21">
        <v>0.2</v>
      </c>
    </row>
    <row r="147" spans="1:13" ht="13.2" x14ac:dyDescent="0.25">
      <c r="A147" s="7">
        <v>146</v>
      </c>
      <c r="B147" s="3">
        <v>40550</v>
      </c>
      <c r="C147" s="2">
        <v>1</v>
      </c>
      <c r="D147" s="2">
        <v>0</v>
      </c>
      <c r="E147" s="2">
        <v>1</v>
      </c>
      <c r="F147" s="2">
        <v>8</v>
      </c>
      <c r="G147" s="2"/>
      <c r="H147" s="2" t="b">
        <v>0</v>
      </c>
      <c r="I147" s="2">
        <v>5</v>
      </c>
      <c r="J147" s="2">
        <v>1</v>
      </c>
      <c r="K147" s="65"/>
      <c r="L147" s="65"/>
      <c r="M147" s="21">
        <v>0.2</v>
      </c>
    </row>
    <row r="148" spans="1:13" ht="13.2" x14ac:dyDescent="0.25">
      <c r="A148" s="7">
        <v>147</v>
      </c>
      <c r="B148" s="3">
        <v>40550</v>
      </c>
      <c r="C148" s="2">
        <v>1</v>
      </c>
      <c r="D148" s="2">
        <v>0</v>
      </c>
      <c r="E148" s="2">
        <v>1</v>
      </c>
      <c r="F148" s="2">
        <v>9</v>
      </c>
      <c r="G148" s="2"/>
      <c r="H148" s="2" t="b">
        <v>0</v>
      </c>
      <c r="I148" s="2">
        <v>5</v>
      </c>
      <c r="J148" s="2">
        <v>1</v>
      </c>
      <c r="K148" s="65"/>
      <c r="L148" s="65"/>
      <c r="M148" s="21">
        <v>0.2</v>
      </c>
    </row>
    <row r="149" spans="1:13" ht="13.2" x14ac:dyDescent="0.25">
      <c r="A149" s="7">
        <v>148</v>
      </c>
      <c r="B149" s="3">
        <v>40550</v>
      </c>
      <c r="C149" s="2">
        <v>1</v>
      </c>
      <c r="D149" s="2">
        <v>0</v>
      </c>
      <c r="E149" s="2">
        <v>1</v>
      </c>
      <c r="F149" s="2">
        <v>10</v>
      </c>
      <c r="G149" s="2"/>
      <c r="H149" s="2" t="b">
        <v>0</v>
      </c>
      <c r="I149" s="2">
        <v>5</v>
      </c>
      <c r="J149" s="2">
        <v>1</v>
      </c>
      <c r="K149" s="65"/>
      <c r="L149" s="65"/>
      <c r="M149" s="21">
        <v>0.22</v>
      </c>
    </row>
    <row r="150" spans="1:13" ht="13.2" x14ac:dyDescent="0.25">
      <c r="A150" s="7">
        <v>149</v>
      </c>
      <c r="B150" s="3">
        <v>40550</v>
      </c>
      <c r="C150" s="2">
        <v>1</v>
      </c>
      <c r="D150" s="2">
        <v>0</v>
      </c>
      <c r="E150" s="2">
        <v>1</v>
      </c>
      <c r="F150" s="2">
        <v>11</v>
      </c>
      <c r="G150" s="2"/>
      <c r="H150" s="2" t="b">
        <v>0</v>
      </c>
      <c r="I150" s="2">
        <v>5</v>
      </c>
      <c r="J150" s="2">
        <v>2</v>
      </c>
      <c r="K150" s="65"/>
      <c r="L150" s="65"/>
      <c r="M150" s="21">
        <v>0.2</v>
      </c>
    </row>
    <row r="151" spans="1:13" ht="13.2" x14ac:dyDescent="0.25">
      <c r="A151" s="7">
        <v>150</v>
      </c>
      <c r="B151" s="3">
        <v>40550</v>
      </c>
      <c r="C151" s="2">
        <v>1</v>
      </c>
      <c r="D151" s="2">
        <v>0</v>
      </c>
      <c r="E151" s="2">
        <v>1</v>
      </c>
      <c r="F151" s="2">
        <v>12</v>
      </c>
      <c r="G151" s="2"/>
      <c r="H151" s="2" t="b">
        <v>0</v>
      </c>
      <c r="I151" s="2">
        <v>5</v>
      </c>
      <c r="J151" s="2">
        <v>2</v>
      </c>
      <c r="K151" s="65"/>
      <c r="L151" s="65"/>
      <c r="M151" s="21">
        <v>0.2</v>
      </c>
    </row>
    <row r="152" spans="1:13" ht="13.2" x14ac:dyDescent="0.25">
      <c r="A152" s="7">
        <v>151</v>
      </c>
      <c r="B152" s="3">
        <v>40550</v>
      </c>
      <c r="C152" s="2">
        <v>1</v>
      </c>
      <c r="D152" s="2">
        <v>0</v>
      </c>
      <c r="E152" s="2">
        <v>1</v>
      </c>
      <c r="F152" s="2">
        <v>13</v>
      </c>
      <c r="G152" s="2"/>
      <c r="H152" s="2" t="b">
        <v>0</v>
      </c>
      <c r="I152" s="2">
        <v>5</v>
      </c>
      <c r="J152" s="2">
        <v>2</v>
      </c>
      <c r="K152" s="65"/>
      <c r="L152" s="65"/>
      <c r="M152" s="21">
        <v>0.2</v>
      </c>
    </row>
    <row r="153" spans="1:13" ht="13.2" x14ac:dyDescent="0.25">
      <c r="A153" s="7">
        <v>152</v>
      </c>
      <c r="B153" s="3">
        <v>40550</v>
      </c>
      <c r="C153" s="2">
        <v>1</v>
      </c>
      <c r="D153" s="2">
        <v>0</v>
      </c>
      <c r="E153" s="2">
        <v>1</v>
      </c>
      <c r="F153" s="2">
        <v>14</v>
      </c>
      <c r="G153" s="2"/>
      <c r="H153" s="2" t="b">
        <v>0</v>
      </c>
      <c r="I153" s="2">
        <v>5</v>
      </c>
      <c r="J153" s="2">
        <v>2</v>
      </c>
      <c r="K153" s="65"/>
      <c r="L153" s="65"/>
      <c r="M153" s="21">
        <v>0.2</v>
      </c>
    </row>
    <row r="154" spans="1:13" ht="13.2" x14ac:dyDescent="0.25">
      <c r="A154" s="7">
        <v>153</v>
      </c>
      <c r="B154" s="3">
        <v>40550</v>
      </c>
      <c r="C154" s="2">
        <v>1</v>
      </c>
      <c r="D154" s="2">
        <v>0</v>
      </c>
      <c r="E154" s="2">
        <v>1</v>
      </c>
      <c r="F154" s="2">
        <v>15</v>
      </c>
      <c r="G154" s="2"/>
      <c r="H154" s="2" t="b">
        <v>0</v>
      </c>
      <c r="I154" s="2">
        <v>5</v>
      </c>
      <c r="J154" s="2">
        <v>2</v>
      </c>
      <c r="K154" s="65"/>
      <c r="L154" s="65"/>
      <c r="M154" s="21">
        <v>0.2</v>
      </c>
    </row>
    <row r="155" spans="1:13" ht="13.2" x14ac:dyDescent="0.25">
      <c r="A155" s="7">
        <v>154</v>
      </c>
      <c r="B155" s="3">
        <v>40550</v>
      </c>
      <c r="C155" s="2">
        <v>1</v>
      </c>
      <c r="D155" s="2">
        <v>0</v>
      </c>
      <c r="E155" s="2">
        <v>1</v>
      </c>
      <c r="F155" s="2">
        <v>16</v>
      </c>
      <c r="G155" s="2"/>
      <c r="H155" s="2" t="b">
        <v>0</v>
      </c>
      <c r="I155" s="2">
        <v>5</v>
      </c>
      <c r="J155" s="2">
        <v>2</v>
      </c>
      <c r="K155" s="65"/>
      <c r="L155" s="65"/>
      <c r="M155" s="21">
        <v>0.2</v>
      </c>
    </row>
    <row r="156" spans="1:13" ht="13.2" x14ac:dyDescent="0.25">
      <c r="A156" s="7">
        <v>155</v>
      </c>
      <c r="B156" s="3">
        <v>40550</v>
      </c>
      <c r="C156" s="2">
        <v>1</v>
      </c>
      <c r="D156" s="2">
        <v>0</v>
      </c>
      <c r="E156" s="2">
        <v>1</v>
      </c>
      <c r="F156" s="2">
        <v>17</v>
      </c>
      <c r="G156" s="2"/>
      <c r="H156" s="2" t="b">
        <v>0</v>
      </c>
      <c r="I156" s="2">
        <v>5</v>
      </c>
      <c r="J156" s="2">
        <v>2</v>
      </c>
      <c r="K156" s="65"/>
      <c r="L156" s="65"/>
      <c r="M156" s="21">
        <v>0.2</v>
      </c>
    </row>
    <row r="157" spans="1:13" ht="13.2" x14ac:dyDescent="0.25">
      <c r="A157" s="7">
        <v>156</v>
      </c>
      <c r="B157" s="3">
        <v>40550</v>
      </c>
      <c r="C157" s="2">
        <v>1</v>
      </c>
      <c r="D157" s="2">
        <v>0</v>
      </c>
      <c r="E157" s="2">
        <v>1</v>
      </c>
      <c r="F157" s="2">
        <v>18</v>
      </c>
      <c r="G157" s="2"/>
      <c r="H157" s="2" t="b">
        <v>0</v>
      </c>
      <c r="I157" s="2">
        <v>5</v>
      </c>
      <c r="J157" s="2">
        <v>1</v>
      </c>
      <c r="K157" s="65"/>
      <c r="L157" s="65"/>
      <c r="M157" s="21">
        <v>0.2</v>
      </c>
    </row>
    <row r="158" spans="1:13" ht="13.2" x14ac:dyDescent="0.25">
      <c r="A158" s="7">
        <v>157</v>
      </c>
      <c r="B158" s="3">
        <v>40550</v>
      </c>
      <c r="C158" s="2">
        <v>1</v>
      </c>
      <c r="D158" s="2">
        <v>0</v>
      </c>
      <c r="E158" s="2">
        <v>1</v>
      </c>
      <c r="F158" s="2">
        <v>19</v>
      </c>
      <c r="G158" s="2"/>
      <c r="H158" s="2" t="b">
        <v>0</v>
      </c>
      <c r="I158" s="2">
        <v>5</v>
      </c>
      <c r="J158" s="2">
        <v>1</v>
      </c>
      <c r="K158" s="65"/>
      <c r="L158" s="65"/>
      <c r="M158" s="21">
        <v>0.16</v>
      </c>
    </row>
    <row r="159" spans="1:13" ht="13.2" x14ac:dyDescent="0.25">
      <c r="A159" s="7">
        <v>158</v>
      </c>
      <c r="B159" s="3">
        <v>40550</v>
      </c>
      <c r="C159" s="2">
        <v>1</v>
      </c>
      <c r="D159" s="2">
        <v>0</v>
      </c>
      <c r="E159" s="2">
        <v>1</v>
      </c>
      <c r="F159" s="2">
        <v>20</v>
      </c>
      <c r="G159" s="2"/>
      <c r="H159" s="2" t="b">
        <v>0</v>
      </c>
      <c r="I159" s="2">
        <v>5</v>
      </c>
      <c r="J159" s="2">
        <v>1</v>
      </c>
      <c r="K159" s="65"/>
      <c r="L159" s="65"/>
      <c r="M159" s="21">
        <v>0.18</v>
      </c>
    </row>
    <row r="160" spans="1:13" ht="13.2" x14ac:dyDescent="0.25">
      <c r="A160" s="7">
        <v>159</v>
      </c>
      <c r="B160" s="3">
        <v>40550</v>
      </c>
      <c r="C160" s="2">
        <v>1</v>
      </c>
      <c r="D160" s="2">
        <v>0</v>
      </c>
      <c r="E160" s="2">
        <v>1</v>
      </c>
      <c r="F160" s="2">
        <v>21</v>
      </c>
      <c r="G160" s="2"/>
      <c r="H160" s="2" t="b">
        <v>0</v>
      </c>
      <c r="I160" s="2">
        <v>5</v>
      </c>
      <c r="J160" s="2">
        <v>1</v>
      </c>
      <c r="K160" s="65"/>
      <c r="L160" s="65"/>
      <c r="M160" s="21">
        <v>0.18</v>
      </c>
    </row>
    <row r="161" spans="1:13" ht="13.2" x14ac:dyDescent="0.25">
      <c r="A161" s="7">
        <v>160</v>
      </c>
      <c r="B161" s="3">
        <v>40550</v>
      </c>
      <c r="C161" s="2">
        <v>1</v>
      </c>
      <c r="D161" s="2">
        <v>0</v>
      </c>
      <c r="E161" s="2">
        <v>1</v>
      </c>
      <c r="F161" s="2">
        <v>22</v>
      </c>
      <c r="G161" s="2"/>
      <c r="H161" s="2" t="b">
        <v>0</v>
      </c>
      <c r="I161" s="2">
        <v>5</v>
      </c>
      <c r="J161" s="2">
        <v>2</v>
      </c>
      <c r="K161" s="65"/>
      <c r="L161" s="65"/>
      <c r="M161" s="21">
        <v>0.18</v>
      </c>
    </row>
    <row r="162" spans="1:13" ht="13.2" x14ac:dyDescent="0.25">
      <c r="A162" s="7">
        <v>161</v>
      </c>
      <c r="B162" s="3">
        <v>40550</v>
      </c>
      <c r="C162" s="2">
        <v>1</v>
      </c>
      <c r="D162" s="2">
        <v>0</v>
      </c>
      <c r="E162" s="2">
        <v>1</v>
      </c>
      <c r="F162" s="2">
        <v>23</v>
      </c>
      <c r="G162" s="2"/>
      <c r="H162" s="2" t="b">
        <v>0</v>
      </c>
      <c r="I162" s="2">
        <v>5</v>
      </c>
      <c r="J162" s="2">
        <v>2</v>
      </c>
      <c r="K162" s="65"/>
      <c r="L162" s="65"/>
      <c r="M162" s="21">
        <v>0.18</v>
      </c>
    </row>
    <row r="163" spans="1:13" ht="13.2" x14ac:dyDescent="0.25">
      <c r="A163" s="7">
        <v>162</v>
      </c>
      <c r="B163" s="3">
        <v>40551</v>
      </c>
      <c r="C163" s="2">
        <v>1</v>
      </c>
      <c r="D163" s="2">
        <v>0</v>
      </c>
      <c r="E163" s="2">
        <v>1</v>
      </c>
      <c r="F163" s="2">
        <v>0</v>
      </c>
      <c r="G163" s="2"/>
      <c r="H163" s="2" t="b">
        <v>0</v>
      </c>
      <c r="I163" s="2">
        <v>6</v>
      </c>
      <c r="J163" s="2">
        <v>2</v>
      </c>
      <c r="K163" s="65"/>
      <c r="L163" s="65"/>
      <c r="M163" s="21">
        <v>0.18</v>
      </c>
    </row>
    <row r="164" spans="1:13" ht="13.2" x14ac:dyDescent="0.25">
      <c r="A164" s="7">
        <v>163</v>
      </c>
      <c r="B164" s="3">
        <v>40551</v>
      </c>
      <c r="C164" s="2">
        <v>1</v>
      </c>
      <c r="D164" s="2">
        <v>0</v>
      </c>
      <c r="E164" s="2">
        <v>1</v>
      </c>
      <c r="F164" s="2">
        <v>1</v>
      </c>
      <c r="G164" s="2"/>
      <c r="H164" s="2" t="b">
        <v>0</v>
      </c>
      <c r="I164" s="2">
        <v>6</v>
      </c>
      <c r="J164" s="2">
        <v>2</v>
      </c>
      <c r="K164" s="65"/>
      <c r="L164" s="65"/>
      <c r="M164" s="21">
        <v>0.18</v>
      </c>
    </row>
    <row r="165" spans="1:13" ht="13.2" x14ac:dyDescent="0.25">
      <c r="A165" s="7">
        <v>164</v>
      </c>
      <c r="B165" s="3">
        <v>40551</v>
      </c>
      <c r="C165" s="2">
        <v>1</v>
      </c>
      <c r="D165" s="2">
        <v>0</v>
      </c>
      <c r="E165" s="2">
        <v>1</v>
      </c>
      <c r="F165" s="2">
        <v>2</v>
      </c>
      <c r="G165" s="2"/>
      <c r="H165" s="2" t="b">
        <v>0</v>
      </c>
      <c r="I165" s="2">
        <v>6</v>
      </c>
      <c r="J165" s="2">
        <v>2</v>
      </c>
      <c r="K165" s="65"/>
      <c r="L165" s="65"/>
      <c r="M165" s="21">
        <v>0.18</v>
      </c>
    </row>
    <row r="166" spans="1:13" ht="13.2" x14ac:dyDescent="0.25">
      <c r="A166" s="7">
        <v>165</v>
      </c>
      <c r="B166" s="3">
        <v>40551</v>
      </c>
      <c r="C166" s="2">
        <v>1</v>
      </c>
      <c r="D166" s="2">
        <v>0</v>
      </c>
      <c r="E166" s="2">
        <v>1</v>
      </c>
      <c r="F166" s="2">
        <v>3</v>
      </c>
      <c r="G166" s="2"/>
      <c r="H166" s="2" t="b">
        <v>0</v>
      </c>
      <c r="I166" s="2">
        <v>6</v>
      </c>
      <c r="J166" s="2">
        <v>3</v>
      </c>
      <c r="K166" s="65"/>
      <c r="L166" s="65"/>
      <c r="M166" s="21">
        <v>0.18</v>
      </c>
    </row>
    <row r="167" spans="1:13" ht="13.2" x14ac:dyDescent="0.25">
      <c r="A167" s="7">
        <v>166</v>
      </c>
      <c r="B167" s="3">
        <v>40551</v>
      </c>
      <c r="C167" s="2">
        <v>1</v>
      </c>
      <c r="D167" s="2">
        <v>0</v>
      </c>
      <c r="E167" s="2">
        <v>1</v>
      </c>
      <c r="F167" s="2">
        <v>4</v>
      </c>
      <c r="G167" s="2"/>
      <c r="H167" s="2" t="b">
        <v>0</v>
      </c>
      <c r="I167" s="2">
        <v>6</v>
      </c>
      <c r="J167" s="2">
        <v>3</v>
      </c>
      <c r="K167" s="65"/>
      <c r="L167" s="65"/>
      <c r="M167" s="21">
        <v>0.18</v>
      </c>
    </row>
    <row r="168" spans="1:13" ht="13.2" x14ac:dyDescent="0.25">
      <c r="A168" s="7">
        <v>167</v>
      </c>
      <c r="B168" s="3">
        <v>40551</v>
      </c>
      <c r="C168" s="2">
        <v>1</v>
      </c>
      <c r="D168" s="2">
        <v>0</v>
      </c>
      <c r="E168" s="2">
        <v>1</v>
      </c>
      <c r="F168" s="2">
        <v>5</v>
      </c>
      <c r="G168" s="2"/>
      <c r="H168" s="2" t="b">
        <v>0</v>
      </c>
      <c r="I168" s="2">
        <v>6</v>
      </c>
      <c r="J168" s="2">
        <v>2</v>
      </c>
      <c r="K168" s="65"/>
      <c r="L168" s="65"/>
      <c r="M168" s="21">
        <v>0.16</v>
      </c>
    </row>
    <row r="169" spans="1:13" ht="13.2" x14ac:dyDescent="0.25">
      <c r="A169" s="7">
        <v>168</v>
      </c>
      <c r="B169" s="3">
        <v>40551</v>
      </c>
      <c r="C169" s="2">
        <v>1</v>
      </c>
      <c r="D169" s="2">
        <v>0</v>
      </c>
      <c r="E169" s="2">
        <v>1</v>
      </c>
      <c r="F169" s="2">
        <v>6</v>
      </c>
      <c r="G169" s="2"/>
      <c r="H169" s="2" t="b">
        <v>0</v>
      </c>
      <c r="I169" s="2">
        <v>6</v>
      </c>
      <c r="J169" s="2">
        <v>2</v>
      </c>
      <c r="K169" s="65"/>
      <c r="L169" s="65"/>
      <c r="M169" s="21">
        <v>0.16</v>
      </c>
    </row>
    <row r="170" spans="1:13" ht="13.2" x14ac:dyDescent="0.25">
      <c r="A170" s="7">
        <v>169</v>
      </c>
      <c r="B170" s="3">
        <v>40551</v>
      </c>
      <c r="C170" s="2">
        <v>1</v>
      </c>
      <c r="D170" s="2">
        <v>0</v>
      </c>
      <c r="E170" s="2">
        <v>1</v>
      </c>
      <c r="F170" s="2">
        <v>7</v>
      </c>
      <c r="G170" s="2"/>
      <c r="H170" s="2" t="b">
        <v>0</v>
      </c>
      <c r="I170" s="2">
        <v>6</v>
      </c>
      <c r="J170" s="2">
        <v>2</v>
      </c>
      <c r="K170" s="65"/>
      <c r="L170" s="65"/>
      <c r="M170" s="21">
        <v>0.16</v>
      </c>
    </row>
    <row r="171" spans="1:13" ht="13.2" x14ac:dyDescent="0.25">
      <c r="A171" s="7">
        <v>170</v>
      </c>
      <c r="B171" s="3">
        <v>40551</v>
      </c>
      <c r="C171" s="2">
        <v>1</v>
      </c>
      <c r="D171" s="2">
        <v>0</v>
      </c>
      <c r="E171" s="2">
        <v>1</v>
      </c>
      <c r="F171" s="2">
        <v>8</v>
      </c>
      <c r="G171" s="2"/>
      <c r="H171" s="2" t="b">
        <v>0</v>
      </c>
      <c r="I171" s="2">
        <v>6</v>
      </c>
      <c r="J171" s="2">
        <v>3</v>
      </c>
      <c r="K171" s="65"/>
      <c r="L171" s="65"/>
      <c r="M171" s="21">
        <v>0.16</v>
      </c>
    </row>
    <row r="172" spans="1:13" ht="13.2" x14ac:dyDescent="0.25">
      <c r="A172" s="7">
        <v>171</v>
      </c>
      <c r="B172" s="3">
        <v>40551</v>
      </c>
      <c r="C172" s="2">
        <v>1</v>
      </c>
      <c r="D172" s="2">
        <v>0</v>
      </c>
      <c r="E172" s="2">
        <v>1</v>
      </c>
      <c r="F172" s="2">
        <v>9</v>
      </c>
      <c r="G172" s="2"/>
      <c r="H172" s="2" t="b">
        <v>0</v>
      </c>
      <c r="I172" s="2">
        <v>6</v>
      </c>
      <c r="J172" s="2">
        <v>3</v>
      </c>
      <c r="K172" s="65"/>
      <c r="L172" s="65"/>
      <c r="M172" s="21">
        <v>0.16</v>
      </c>
    </row>
    <row r="173" spans="1:13" ht="13.2" x14ac:dyDescent="0.25">
      <c r="A173" s="7">
        <v>172</v>
      </c>
      <c r="B173" s="3">
        <v>40551</v>
      </c>
      <c r="C173" s="2">
        <v>1</v>
      </c>
      <c r="D173" s="2">
        <v>0</v>
      </c>
      <c r="E173" s="2">
        <v>1</v>
      </c>
      <c r="F173" s="2">
        <v>10</v>
      </c>
      <c r="G173" s="2"/>
      <c r="H173" s="2" t="b">
        <v>0</v>
      </c>
      <c r="I173" s="2">
        <v>6</v>
      </c>
      <c r="J173" s="2">
        <v>2</v>
      </c>
      <c r="K173" s="65"/>
      <c r="L173" s="65"/>
      <c r="M173" s="21">
        <v>0.18</v>
      </c>
    </row>
    <row r="174" spans="1:13" ht="13.2" x14ac:dyDescent="0.25">
      <c r="A174" s="7">
        <v>173</v>
      </c>
      <c r="B174" s="3">
        <v>40551</v>
      </c>
      <c r="C174" s="2">
        <v>1</v>
      </c>
      <c r="D174" s="2">
        <v>0</v>
      </c>
      <c r="E174" s="2">
        <v>1</v>
      </c>
      <c r="F174" s="2">
        <v>11</v>
      </c>
      <c r="G174" s="2"/>
      <c r="H174" s="2" t="b">
        <v>0</v>
      </c>
      <c r="I174" s="2">
        <v>6</v>
      </c>
      <c r="J174" s="2">
        <v>2</v>
      </c>
      <c r="K174" s="65"/>
      <c r="L174" s="65"/>
      <c r="M174" s="21">
        <v>0.2</v>
      </c>
    </row>
    <row r="175" spans="1:13" ht="13.2" x14ac:dyDescent="0.25">
      <c r="A175" s="7">
        <v>174</v>
      </c>
      <c r="B175" s="3">
        <v>40551</v>
      </c>
      <c r="C175" s="2">
        <v>1</v>
      </c>
      <c r="D175" s="2">
        <v>0</v>
      </c>
      <c r="E175" s="2">
        <v>1</v>
      </c>
      <c r="F175" s="2">
        <v>12</v>
      </c>
      <c r="G175" s="2"/>
      <c r="H175" s="2" t="b">
        <v>0</v>
      </c>
      <c r="I175" s="2">
        <v>6</v>
      </c>
      <c r="J175" s="2">
        <v>2</v>
      </c>
      <c r="K175" s="65"/>
      <c r="L175" s="65"/>
      <c r="M175" s="21">
        <v>0.2</v>
      </c>
    </row>
    <row r="176" spans="1:13" ht="13.2" x14ac:dyDescent="0.25">
      <c r="A176" s="7">
        <v>175</v>
      </c>
      <c r="B176" s="3">
        <v>40551</v>
      </c>
      <c r="C176" s="2">
        <v>1</v>
      </c>
      <c r="D176" s="2">
        <v>0</v>
      </c>
      <c r="E176" s="2">
        <v>1</v>
      </c>
      <c r="F176" s="2">
        <v>13</v>
      </c>
      <c r="G176" s="2"/>
      <c r="H176" s="2" t="b">
        <v>0</v>
      </c>
      <c r="I176" s="2">
        <v>6</v>
      </c>
      <c r="J176" s="2">
        <v>1</v>
      </c>
      <c r="K176" s="65"/>
      <c r="L176" s="65"/>
      <c r="M176" s="21">
        <v>0.2</v>
      </c>
    </row>
    <row r="177" spans="1:13" ht="13.2" x14ac:dyDescent="0.25">
      <c r="A177" s="7">
        <v>176</v>
      </c>
      <c r="B177" s="3">
        <v>40551</v>
      </c>
      <c r="C177" s="2">
        <v>1</v>
      </c>
      <c r="D177" s="2">
        <v>0</v>
      </c>
      <c r="E177" s="2">
        <v>1</v>
      </c>
      <c r="F177" s="2">
        <v>14</v>
      </c>
      <c r="G177" s="2"/>
      <c r="H177" s="2" t="b">
        <v>0</v>
      </c>
      <c r="I177" s="2">
        <v>6</v>
      </c>
      <c r="J177" s="2">
        <v>1</v>
      </c>
      <c r="K177" s="65"/>
      <c r="L177" s="65"/>
      <c r="M177" s="21">
        <v>0.2</v>
      </c>
    </row>
    <row r="178" spans="1:13" ht="13.2" x14ac:dyDescent="0.25">
      <c r="A178" s="7">
        <v>177</v>
      </c>
      <c r="B178" s="3">
        <v>40551</v>
      </c>
      <c r="C178" s="2">
        <v>1</v>
      </c>
      <c r="D178" s="2">
        <v>0</v>
      </c>
      <c r="E178" s="2">
        <v>1</v>
      </c>
      <c r="F178" s="2">
        <v>15</v>
      </c>
      <c r="G178" s="2"/>
      <c r="H178" s="2" t="b">
        <v>0</v>
      </c>
      <c r="I178" s="2">
        <v>6</v>
      </c>
      <c r="J178" s="2">
        <v>1</v>
      </c>
      <c r="K178" s="65"/>
      <c r="L178" s="65"/>
      <c r="M178" s="21">
        <v>0.2</v>
      </c>
    </row>
    <row r="179" spans="1:13" ht="13.2" x14ac:dyDescent="0.25">
      <c r="A179" s="7">
        <v>178</v>
      </c>
      <c r="B179" s="3">
        <v>40551</v>
      </c>
      <c r="C179" s="2">
        <v>1</v>
      </c>
      <c r="D179" s="2">
        <v>0</v>
      </c>
      <c r="E179" s="2">
        <v>1</v>
      </c>
      <c r="F179" s="2">
        <v>16</v>
      </c>
      <c r="G179" s="2"/>
      <c r="H179" s="2" t="b">
        <v>0</v>
      </c>
      <c r="I179" s="2">
        <v>6</v>
      </c>
      <c r="J179" s="2">
        <v>1</v>
      </c>
      <c r="K179" s="65"/>
      <c r="L179" s="65"/>
      <c r="M179" s="21">
        <v>0.18</v>
      </c>
    </row>
    <row r="180" spans="1:13" ht="13.2" x14ac:dyDescent="0.25">
      <c r="A180" s="7">
        <v>179</v>
      </c>
      <c r="B180" s="3">
        <v>40551</v>
      </c>
      <c r="C180" s="2">
        <v>1</v>
      </c>
      <c r="D180" s="2">
        <v>0</v>
      </c>
      <c r="E180" s="2">
        <v>1</v>
      </c>
      <c r="F180" s="2">
        <v>17</v>
      </c>
      <c r="G180" s="2"/>
      <c r="H180" s="2" t="b">
        <v>0</v>
      </c>
      <c r="I180" s="2">
        <v>6</v>
      </c>
      <c r="J180" s="2">
        <v>1</v>
      </c>
      <c r="K180" s="65"/>
      <c r="L180" s="65"/>
      <c r="M180" s="21">
        <v>0.16</v>
      </c>
    </row>
    <row r="181" spans="1:13" ht="13.2" x14ac:dyDescent="0.25">
      <c r="A181" s="7">
        <v>180</v>
      </c>
      <c r="B181" s="3">
        <v>40551</v>
      </c>
      <c r="C181" s="2">
        <v>1</v>
      </c>
      <c r="D181" s="2">
        <v>0</v>
      </c>
      <c r="E181" s="2">
        <v>1</v>
      </c>
      <c r="F181" s="2">
        <v>18</v>
      </c>
      <c r="G181" s="2"/>
      <c r="H181" s="2" t="b">
        <v>0</v>
      </c>
      <c r="I181" s="2">
        <v>6</v>
      </c>
      <c r="J181" s="2">
        <v>1</v>
      </c>
      <c r="K181" s="65"/>
      <c r="L181" s="65"/>
      <c r="M181" s="21">
        <v>0.14000000000000001</v>
      </c>
    </row>
    <row r="182" spans="1:13" ht="13.2" x14ac:dyDescent="0.25">
      <c r="A182" s="7">
        <v>181</v>
      </c>
      <c r="B182" s="3">
        <v>40551</v>
      </c>
      <c r="C182" s="2">
        <v>1</v>
      </c>
      <c r="D182" s="2">
        <v>0</v>
      </c>
      <c r="E182" s="2">
        <v>1</v>
      </c>
      <c r="F182" s="2">
        <v>19</v>
      </c>
      <c r="G182" s="2"/>
      <c r="H182" s="2" t="b">
        <v>0</v>
      </c>
      <c r="I182" s="2">
        <v>6</v>
      </c>
      <c r="J182" s="2">
        <v>1</v>
      </c>
      <c r="K182" s="65"/>
      <c r="L182" s="65"/>
      <c r="M182" s="21">
        <v>0.14000000000000001</v>
      </c>
    </row>
    <row r="183" spans="1:13" ht="13.2" x14ac:dyDescent="0.25">
      <c r="A183" s="7">
        <v>182</v>
      </c>
      <c r="B183" s="3">
        <v>40551</v>
      </c>
      <c r="C183" s="2">
        <v>1</v>
      </c>
      <c r="D183" s="2">
        <v>0</v>
      </c>
      <c r="E183" s="2">
        <v>1</v>
      </c>
      <c r="F183" s="2">
        <v>20</v>
      </c>
      <c r="G183" s="2"/>
      <c r="H183" s="2" t="b">
        <v>0</v>
      </c>
      <c r="I183" s="2">
        <v>6</v>
      </c>
      <c r="J183" s="2">
        <v>1</v>
      </c>
      <c r="K183" s="65"/>
      <c r="L183" s="65"/>
      <c r="M183" s="21">
        <v>0.12</v>
      </c>
    </row>
    <row r="184" spans="1:13" ht="13.2" x14ac:dyDescent="0.25">
      <c r="A184" s="7">
        <v>183</v>
      </c>
      <c r="B184" s="3">
        <v>40551</v>
      </c>
      <c r="C184" s="2">
        <v>1</v>
      </c>
      <c r="D184" s="2">
        <v>0</v>
      </c>
      <c r="E184" s="2">
        <v>1</v>
      </c>
      <c r="F184" s="2">
        <v>21</v>
      </c>
      <c r="G184" s="2"/>
      <c r="H184" s="2" t="b">
        <v>0</v>
      </c>
      <c r="I184" s="2">
        <v>6</v>
      </c>
      <c r="J184" s="2">
        <v>1</v>
      </c>
      <c r="K184" s="65"/>
      <c r="L184" s="65"/>
      <c r="M184" s="21">
        <v>0.12</v>
      </c>
    </row>
    <row r="185" spans="1:13" ht="13.2" x14ac:dyDescent="0.25">
      <c r="A185" s="7">
        <v>184</v>
      </c>
      <c r="B185" s="3">
        <v>40551</v>
      </c>
      <c r="C185" s="2">
        <v>1</v>
      </c>
      <c r="D185" s="2">
        <v>0</v>
      </c>
      <c r="E185" s="2">
        <v>1</v>
      </c>
      <c r="F185" s="2">
        <v>22</v>
      </c>
      <c r="G185" s="2"/>
      <c r="H185" s="2" t="b">
        <v>0</v>
      </c>
      <c r="I185" s="2">
        <v>6</v>
      </c>
      <c r="J185" s="2">
        <v>1</v>
      </c>
      <c r="K185" s="65"/>
      <c r="L185" s="65"/>
      <c r="M185" s="21">
        <v>0.12</v>
      </c>
    </row>
    <row r="186" spans="1:13" ht="13.2" x14ac:dyDescent="0.25">
      <c r="A186" s="7">
        <v>185</v>
      </c>
      <c r="B186" s="3">
        <v>40551</v>
      </c>
      <c r="C186" s="2">
        <v>1</v>
      </c>
      <c r="D186" s="2">
        <v>0</v>
      </c>
      <c r="E186" s="2">
        <v>1</v>
      </c>
      <c r="F186" s="2">
        <v>23</v>
      </c>
      <c r="G186" s="2"/>
      <c r="H186" s="2" t="b">
        <v>0</v>
      </c>
      <c r="I186" s="2">
        <v>6</v>
      </c>
      <c r="J186" s="2">
        <v>1</v>
      </c>
      <c r="K186" s="65"/>
      <c r="L186" s="65"/>
      <c r="M186" s="21">
        <v>0.1</v>
      </c>
    </row>
    <row r="187" spans="1:13" ht="13.2" x14ac:dyDescent="0.25">
      <c r="A187" s="7">
        <v>186</v>
      </c>
      <c r="B187" s="3">
        <v>40552</v>
      </c>
      <c r="C187" s="2">
        <v>1</v>
      </c>
      <c r="D187" s="2">
        <v>0</v>
      </c>
      <c r="E187" s="2">
        <v>1</v>
      </c>
      <c r="F187" s="2">
        <v>0</v>
      </c>
      <c r="G187" s="2"/>
      <c r="H187" s="2" t="b">
        <v>0</v>
      </c>
      <c r="I187" s="2">
        <v>0</v>
      </c>
      <c r="J187" s="2">
        <v>1</v>
      </c>
      <c r="K187" s="65"/>
      <c r="L187" s="65"/>
      <c r="M187" s="21">
        <v>0.1</v>
      </c>
    </row>
    <row r="188" spans="1:13" ht="13.2" x14ac:dyDescent="0.25">
      <c r="A188" s="7">
        <v>187</v>
      </c>
      <c r="B188" s="3">
        <v>40552</v>
      </c>
      <c r="C188" s="2">
        <v>1</v>
      </c>
      <c r="D188" s="2">
        <v>0</v>
      </c>
      <c r="E188" s="2">
        <v>1</v>
      </c>
      <c r="F188" s="2">
        <v>1</v>
      </c>
      <c r="G188" s="2"/>
      <c r="H188" s="2" t="b">
        <v>0</v>
      </c>
      <c r="I188" s="2">
        <v>0</v>
      </c>
      <c r="J188" s="2">
        <v>1</v>
      </c>
      <c r="K188" s="65"/>
      <c r="L188" s="65"/>
      <c r="M188" s="21">
        <v>0.1</v>
      </c>
    </row>
    <row r="189" spans="1:13" ht="13.2" x14ac:dyDescent="0.25">
      <c r="A189" s="7">
        <v>188</v>
      </c>
      <c r="B189" s="3">
        <v>40552</v>
      </c>
      <c r="C189" s="2">
        <v>1</v>
      </c>
      <c r="D189" s="2">
        <v>0</v>
      </c>
      <c r="E189" s="2">
        <v>1</v>
      </c>
      <c r="F189" s="2">
        <v>2</v>
      </c>
      <c r="G189" s="2"/>
      <c r="H189" s="2" t="b">
        <v>0</v>
      </c>
      <c r="I189" s="2">
        <v>0</v>
      </c>
      <c r="J189" s="2">
        <v>1</v>
      </c>
      <c r="K189" s="65"/>
      <c r="L189" s="65"/>
      <c r="M189" s="21">
        <v>0.1</v>
      </c>
    </row>
    <row r="190" spans="1:13" ht="13.2" x14ac:dyDescent="0.25">
      <c r="A190" s="7">
        <v>189</v>
      </c>
      <c r="B190" s="3">
        <v>40552</v>
      </c>
      <c r="C190" s="2">
        <v>1</v>
      </c>
      <c r="D190" s="2">
        <v>0</v>
      </c>
      <c r="E190" s="2">
        <v>1</v>
      </c>
      <c r="F190" s="2">
        <v>3</v>
      </c>
      <c r="G190" s="2"/>
      <c r="H190" s="2" t="b">
        <v>0</v>
      </c>
      <c r="I190" s="2">
        <v>0</v>
      </c>
      <c r="J190" s="2">
        <v>1</v>
      </c>
      <c r="K190" s="65"/>
      <c r="L190" s="65"/>
      <c r="M190" s="21">
        <v>0.1</v>
      </c>
    </row>
    <row r="191" spans="1:13" ht="13.2" x14ac:dyDescent="0.25">
      <c r="A191" s="7">
        <v>190</v>
      </c>
      <c r="B191" s="3">
        <v>40552</v>
      </c>
      <c r="C191" s="2">
        <v>1</v>
      </c>
      <c r="D191" s="2">
        <v>0</v>
      </c>
      <c r="E191" s="2">
        <v>1</v>
      </c>
      <c r="F191" s="2">
        <v>4</v>
      </c>
      <c r="G191" s="2"/>
      <c r="H191" s="2" t="b">
        <v>0</v>
      </c>
      <c r="I191" s="2">
        <v>0</v>
      </c>
      <c r="J191" s="2">
        <v>1</v>
      </c>
      <c r="K191" s="65"/>
      <c r="L191" s="65"/>
      <c r="M191" s="21">
        <v>0.08</v>
      </c>
    </row>
    <row r="192" spans="1:13" ht="13.2" x14ac:dyDescent="0.25">
      <c r="A192" s="7">
        <v>191</v>
      </c>
      <c r="B192" s="3">
        <v>40552</v>
      </c>
      <c r="C192" s="2">
        <v>1</v>
      </c>
      <c r="D192" s="2">
        <v>0</v>
      </c>
      <c r="E192" s="2">
        <v>1</v>
      </c>
      <c r="F192" s="2">
        <v>5</v>
      </c>
      <c r="G192" s="2"/>
      <c r="H192" s="2" t="b">
        <v>0</v>
      </c>
      <c r="I192" s="2">
        <v>0</v>
      </c>
      <c r="J192" s="2">
        <v>1</v>
      </c>
      <c r="K192" s="65"/>
      <c r="L192" s="65"/>
      <c r="M192" s="21">
        <v>0.08</v>
      </c>
    </row>
    <row r="193" spans="1:13" ht="13.2" x14ac:dyDescent="0.25">
      <c r="A193" s="7">
        <v>192</v>
      </c>
      <c r="B193" s="3">
        <v>40552</v>
      </c>
      <c r="C193" s="2">
        <v>1</v>
      </c>
      <c r="D193" s="2">
        <v>0</v>
      </c>
      <c r="E193" s="2">
        <v>1</v>
      </c>
      <c r="F193" s="2">
        <v>6</v>
      </c>
      <c r="G193" s="2"/>
      <c r="H193" s="2" t="b">
        <v>0</v>
      </c>
      <c r="I193" s="2">
        <v>0</v>
      </c>
      <c r="J193" s="2">
        <v>1</v>
      </c>
      <c r="K193" s="65"/>
      <c r="L193" s="65"/>
      <c r="M193" s="21">
        <v>0.1</v>
      </c>
    </row>
    <row r="194" spans="1:13" ht="13.2" x14ac:dyDescent="0.25">
      <c r="A194" s="7">
        <v>193</v>
      </c>
      <c r="B194" s="3">
        <v>40552</v>
      </c>
      <c r="C194" s="2">
        <v>1</v>
      </c>
      <c r="D194" s="2">
        <v>0</v>
      </c>
      <c r="E194" s="2">
        <v>1</v>
      </c>
      <c r="F194" s="2">
        <v>7</v>
      </c>
      <c r="G194" s="2"/>
      <c r="H194" s="2" t="b">
        <v>0</v>
      </c>
      <c r="I194" s="2">
        <v>0</v>
      </c>
      <c r="J194" s="2">
        <v>1</v>
      </c>
      <c r="K194" s="65"/>
      <c r="L194" s="65"/>
      <c r="M194" s="21">
        <v>0.08</v>
      </c>
    </row>
    <row r="195" spans="1:13" ht="13.2" x14ac:dyDescent="0.25">
      <c r="A195" s="7">
        <v>194</v>
      </c>
      <c r="B195" s="3">
        <v>40552</v>
      </c>
      <c r="C195" s="2">
        <v>1</v>
      </c>
      <c r="D195" s="2">
        <v>0</v>
      </c>
      <c r="E195" s="2">
        <v>1</v>
      </c>
      <c r="F195" s="2">
        <v>8</v>
      </c>
      <c r="G195" s="2"/>
      <c r="H195" s="2" t="b">
        <v>0</v>
      </c>
      <c r="I195" s="2">
        <v>0</v>
      </c>
      <c r="J195" s="2">
        <v>1</v>
      </c>
      <c r="K195" s="65"/>
      <c r="L195" s="65"/>
      <c r="M195" s="21">
        <v>0.1</v>
      </c>
    </row>
    <row r="196" spans="1:13" ht="13.2" x14ac:dyDescent="0.25">
      <c r="A196" s="7">
        <v>195</v>
      </c>
      <c r="B196" s="3">
        <v>40552</v>
      </c>
      <c r="C196" s="2">
        <v>1</v>
      </c>
      <c r="D196" s="2">
        <v>0</v>
      </c>
      <c r="E196" s="2">
        <v>1</v>
      </c>
      <c r="F196" s="2">
        <v>9</v>
      </c>
      <c r="G196" s="2"/>
      <c r="H196" s="2" t="b">
        <v>0</v>
      </c>
      <c r="I196" s="2">
        <v>0</v>
      </c>
      <c r="J196" s="2">
        <v>1</v>
      </c>
      <c r="K196" s="65"/>
      <c r="L196" s="65"/>
      <c r="M196" s="21">
        <v>0.12</v>
      </c>
    </row>
    <row r="197" spans="1:13" ht="13.2" x14ac:dyDescent="0.25">
      <c r="A197" s="7">
        <v>196</v>
      </c>
      <c r="B197" s="3">
        <v>40552</v>
      </c>
      <c r="C197" s="2">
        <v>1</v>
      </c>
      <c r="D197" s="2">
        <v>0</v>
      </c>
      <c r="E197" s="2">
        <v>1</v>
      </c>
      <c r="F197" s="2">
        <v>10</v>
      </c>
      <c r="G197" s="2"/>
      <c r="H197" s="2" t="b">
        <v>0</v>
      </c>
      <c r="I197" s="2">
        <v>0</v>
      </c>
      <c r="J197" s="2">
        <v>1</v>
      </c>
      <c r="K197" s="65"/>
      <c r="L197" s="65"/>
      <c r="M197" s="21">
        <v>0.14000000000000001</v>
      </c>
    </row>
    <row r="198" spans="1:13" ht="13.2" x14ac:dyDescent="0.25">
      <c r="A198" s="7">
        <v>197</v>
      </c>
      <c r="B198" s="3">
        <v>40552</v>
      </c>
      <c r="C198" s="2">
        <v>1</v>
      </c>
      <c r="D198" s="2">
        <v>0</v>
      </c>
      <c r="E198" s="2">
        <v>1</v>
      </c>
      <c r="F198" s="2">
        <v>11</v>
      </c>
      <c r="G198" s="2"/>
      <c r="H198" s="2" t="b">
        <v>0</v>
      </c>
      <c r="I198" s="2">
        <v>0</v>
      </c>
      <c r="J198" s="2">
        <v>1</v>
      </c>
      <c r="K198" s="65"/>
      <c r="L198" s="65"/>
      <c r="M198" s="21">
        <v>0.16</v>
      </c>
    </row>
    <row r="199" spans="1:13" ht="13.2" x14ac:dyDescent="0.25">
      <c r="A199" s="7">
        <v>198</v>
      </c>
      <c r="B199" s="3">
        <v>40552</v>
      </c>
      <c r="C199" s="2">
        <v>1</v>
      </c>
      <c r="D199" s="2">
        <v>0</v>
      </c>
      <c r="E199" s="2">
        <v>1</v>
      </c>
      <c r="F199" s="2">
        <v>12</v>
      </c>
      <c r="G199" s="2"/>
      <c r="H199" s="2" t="b">
        <v>0</v>
      </c>
      <c r="I199" s="2">
        <v>0</v>
      </c>
      <c r="J199" s="2">
        <v>1</v>
      </c>
      <c r="K199" s="65"/>
      <c r="L199" s="65"/>
      <c r="M199" s="21">
        <v>0.18</v>
      </c>
    </row>
    <row r="200" spans="1:13" ht="13.2" x14ac:dyDescent="0.25">
      <c r="A200" s="7">
        <v>199</v>
      </c>
      <c r="B200" s="3">
        <v>40552</v>
      </c>
      <c r="C200" s="2">
        <v>1</v>
      </c>
      <c r="D200" s="2">
        <v>0</v>
      </c>
      <c r="E200" s="2">
        <v>1</v>
      </c>
      <c r="F200" s="2">
        <v>13</v>
      </c>
      <c r="G200" s="2"/>
      <c r="H200" s="2" t="b">
        <v>0</v>
      </c>
      <c r="I200" s="2">
        <v>0</v>
      </c>
      <c r="J200" s="2">
        <v>1</v>
      </c>
      <c r="K200" s="65"/>
      <c r="L200" s="65"/>
      <c r="M200" s="21">
        <v>0.2</v>
      </c>
    </row>
    <row r="201" spans="1:13" ht="13.2" x14ac:dyDescent="0.25">
      <c r="A201" s="7">
        <v>200</v>
      </c>
      <c r="B201" s="3">
        <v>40552</v>
      </c>
      <c r="C201" s="2">
        <v>1</v>
      </c>
      <c r="D201" s="2">
        <v>0</v>
      </c>
      <c r="E201" s="2">
        <v>1</v>
      </c>
      <c r="F201" s="2">
        <v>14</v>
      </c>
      <c r="G201" s="2"/>
      <c r="H201" s="2" t="b">
        <v>0</v>
      </c>
      <c r="I201" s="2">
        <v>0</v>
      </c>
      <c r="J201" s="2">
        <v>1</v>
      </c>
      <c r="K201" s="65"/>
      <c r="L201" s="65"/>
      <c r="M201" s="21">
        <v>0.22</v>
      </c>
    </row>
    <row r="202" spans="1:13" ht="13.2" x14ac:dyDescent="0.25">
      <c r="A202" s="7">
        <v>201</v>
      </c>
      <c r="B202" s="3">
        <v>40552</v>
      </c>
      <c r="C202" s="2">
        <v>1</v>
      </c>
      <c r="D202" s="2">
        <v>0</v>
      </c>
      <c r="E202" s="2">
        <v>1</v>
      </c>
      <c r="F202" s="2">
        <v>15</v>
      </c>
      <c r="G202" s="2"/>
      <c r="H202" s="2" t="b">
        <v>0</v>
      </c>
      <c r="I202" s="2">
        <v>0</v>
      </c>
      <c r="J202" s="2">
        <v>1</v>
      </c>
      <c r="K202" s="65"/>
      <c r="L202" s="65"/>
      <c r="M202" s="21">
        <v>0.22</v>
      </c>
    </row>
    <row r="203" spans="1:13" ht="13.2" x14ac:dyDescent="0.25">
      <c r="A203" s="7">
        <v>202</v>
      </c>
      <c r="B203" s="3">
        <v>40552</v>
      </c>
      <c r="C203" s="2">
        <v>1</v>
      </c>
      <c r="D203" s="2">
        <v>0</v>
      </c>
      <c r="E203" s="2">
        <v>1</v>
      </c>
      <c r="F203" s="2">
        <v>16</v>
      </c>
      <c r="G203" s="2"/>
      <c r="H203" s="2" t="b">
        <v>0</v>
      </c>
      <c r="I203" s="2">
        <v>0</v>
      </c>
      <c r="J203" s="2">
        <v>1</v>
      </c>
      <c r="K203" s="65"/>
      <c r="L203" s="65"/>
      <c r="M203" s="21">
        <v>0.2</v>
      </c>
    </row>
    <row r="204" spans="1:13" ht="13.2" x14ac:dyDescent="0.25">
      <c r="A204" s="7">
        <v>203</v>
      </c>
      <c r="B204" s="3">
        <v>40552</v>
      </c>
      <c r="C204" s="2">
        <v>1</v>
      </c>
      <c r="D204" s="2">
        <v>0</v>
      </c>
      <c r="E204" s="2">
        <v>1</v>
      </c>
      <c r="F204" s="2">
        <v>17</v>
      </c>
      <c r="G204" s="2"/>
      <c r="H204" s="2" t="b">
        <v>0</v>
      </c>
      <c r="I204" s="2">
        <v>0</v>
      </c>
      <c r="J204" s="2">
        <v>1</v>
      </c>
      <c r="K204" s="65"/>
      <c r="L204" s="65"/>
      <c r="M204" s="21">
        <v>0.18</v>
      </c>
    </row>
    <row r="205" spans="1:13" ht="13.2" x14ac:dyDescent="0.25">
      <c r="A205" s="7">
        <v>204</v>
      </c>
      <c r="B205" s="3">
        <v>40552</v>
      </c>
      <c r="C205" s="2">
        <v>1</v>
      </c>
      <c r="D205" s="2">
        <v>0</v>
      </c>
      <c r="E205" s="2">
        <v>1</v>
      </c>
      <c r="F205" s="2">
        <v>18</v>
      </c>
      <c r="G205" s="2"/>
      <c r="H205" s="2" t="b">
        <v>0</v>
      </c>
      <c r="I205" s="2">
        <v>0</v>
      </c>
      <c r="J205" s="2">
        <v>1</v>
      </c>
      <c r="K205" s="65"/>
      <c r="L205" s="65"/>
      <c r="M205" s="21">
        <v>0.16</v>
      </c>
    </row>
    <row r="206" spans="1:13" ht="13.2" x14ac:dyDescent="0.25">
      <c r="A206" s="7">
        <v>205</v>
      </c>
      <c r="B206" s="3">
        <v>40552</v>
      </c>
      <c r="C206" s="2">
        <v>1</v>
      </c>
      <c r="D206" s="2">
        <v>0</v>
      </c>
      <c r="E206" s="2">
        <v>1</v>
      </c>
      <c r="F206" s="2">
        <v>19</v>
      </c>
      <c r="G206" s="2"/>
      <c r="H206" s="2" t="b">
        <v>0</v>
      </c>
      <c r="I206" s="2">
        <v>0</v>
      </c>
      <c r="J206" s="2">
        <v>1</v>
      </c>
      <c r="K206" s="65"/>
      <c r="L206" s="65"/>
      <c r="M206" s="21">
        <v>0.16</v>
      </c>
    </row>
    <row r="207" spans="1:13" ht="13.2" x14ac:dyDescent="0.25">
      <c r="A207" s="7">
        <v>206</v>
      </c>
      <c r="B207" s="3">
        <v>40552</v>
      </c>
      <c r="C207" s="2">
        <v>1</v>
      </c>
      <c r="D207" s="2">
        <v>0</v>
      </c>
      <c r="E207" s="2">
        <v>1</v>
      </c>
      <c r="F207" s="2">
        <v>20</v>
      </c>
      <c r="G207" s="2"/>
      <c r="H207" s="2" t="b">
        <v>0</v>
      </c>
      <c r="I207" s="2">
        <v>0</v>
      </c>
      <c r="J207" s="2">
        <v>1</v>
      </c>
      <c r="K207" s="65"/>
      <c r="L207" s="65"/>
      <c r="M207" s="21">
        <v>0.14000000000000001</v>
      </c>
    </row>
    <row r="208" spans="1:13" ht="13.2" x14ac:dyDescent="0.25">
      <c r="A208" s="7">
        <v>207</v>
      </c>
      <c r="B208" s="3">
        <v>40552</v>
      </c>
      <c r="C208" s="2">
        <v>1</v>
      </c>
      <c r="D208" s="2">
        <v>0</v>
      </c>
      <c r="E208" s="2">
        <v>1</v>
      </c>
      <c r="F208" s="2">
        <v>21</v>
      </c>
      <c r="G208" s="2"/>
      <c r="H208" s="2" t="b">
        <v>0</v>
      </c>
      <c r="I208" s="2">
        <v>0</v>
      </c>
      <c r="J208" s="2">
        <v>1</v>
      </c>
      <c r="K208" s="65"/>
      <c r="L208" s="65"/>
      <c r="M208" s="21">
        <v>0.14000000000000001</v>
      </c>
    </row>
    <row r="209" spans="1:13" ht="13.2" x14ac:dyDescent="0.25">
      <c r="A209" s="7">
        <v>208</v>
      </c>
      <c r="B209" s="3">
        <v>40552</v>
      </c>
      <c r="C209" s="2">
        <v>1</v>
      </c>
      <c r="D209" s="2">
        <v>0</v>
      </c>
      <c r="E209" s="2">
        <v>1</v>
      </c>
      <c r="F209" s="2">
        <v>22</v>
      </c>
      <c r="G209" s="2"/>
      <c r="H209" s="2" t="b">
        <v>0</v>
      </c>
      <c r="I209" s="2">
        <v>0</v>
      </c>
      <c r="J209" s="2">
        <v>1</v>
      </c>
      <c r="K209" s="65"/>
      <c r="L209" s="65"/>
      <c r="M209" s="21">
        <v>0.14000000000000001</v>
      </c>
    </row>
    <row r="210" spans="1:13" ht="13.2" x14ac:dyDescent="0.25">
      <c r="A210" s="7">
        <v>209</v>
      </c>
      <c r="B210" s="3">
        <v>40552</v>
      </c>
      <c r="C210" s="2">
        <v>1</v>
      </c>
      <c r="D210" s="2">
        <v>0</v>
      </c>
      <c r="E210" s="2">
        <v>1</v>
      </c>
      <c r="F210" s="2">
        <v>23</v>
      </c>
      <c r="G210" s="2"/>
      <c r="H210" s="2" t="b">
        <v>0</v>
      </c>
      <c r="I210" s="2">
        <v>0</v>
      </c>
      <c r="J210" s="2">
        <v>1</v>
      </c>
      <c r="K210" s="65"/>
      <c r="L210" s="65"/>
      <c r="M210" s="21">
        <v>0.12</v>
      </c>
    </row>
    <row r="211" spans="1:13" ht="13.2" x14ac:dyDescent="0.25">
      <c r="A211" s="7">
        <v>210</v>
      </c>
      <c r="B211" s="3">
        <v>40553</v>
      </c>
      <c r="C211" s="2">
        <v>1</v>
      </c>
      <c r="D211" s="2">
        <v>0</v>
      </c>
      <c r="E211" s="2">
        <v>1</v>
      </c>
      <c r="F211" s="2">
        <v>0</v>
      </c>
      <c r="G211" s="2"/>
      <c r="H211" s="2" t="b">
        <v>0</v>
      </c>
      <c r="I211" s="2">
        <v>1</v>
      </c>
      <c r="J211" s="2">
        <v>1</v>
      </c>
      <c r="K211" s="65"/>
      <c r="L211" s="65"/>
      <c r="M211" s="21">
        <v>0.12</v>
      </c>
    </row>
    <row r="212" spans="1:13" ht="13.2" x14ac:dyDescent="0.25">
      <c r="A212" s="7">
        <v>211</v>
      </c>
      <c r="B212" s="3">
        <v>40553</v>
      </c>
      <c r="C212" s="2">
        <v>1</v>
      </c>
      <c r="D212" s="2">
        <v>0</v>
      </c>
      <c r="E212" s="2">
        <v>1</v>
      </c>
      <c r="F212" s="2">
        <v>1</v>
      </c>
      <c r="G212" s="2"/>
      <c r="H212" s="2" t="b">
        <v>0</v>
      </c>
      <c r="I212" s="2">
        <v>1</v>
      </c>
      <c r="J212" s="2">
        <v>1</v>
      </c>
      <c r="K212" s="65"/>
      <c r="L212" s="65"/>
      <c r="M212" s="21">
        <v>0.12</v>
      </c>
    </row>
    <row r="213" spans="1:13" ht="13.2" x14ac:dyDescent="0.25">
      <c r="A213" s="7">
        <v>212</v>
      </c>
      <c r="B213" s="3">
        <v>40553</v>
      </c>
      <c r="C213" s="2">
        <v>1</v>
      </c>
      <c r="D213" s="2">
        <v>0</v>
      </c>
      <c r="E213" s="2">
        <v>1</v>
      </c>
      <c r="F213" s="2">
        <v>2</v>
      </c>
      <c r="G213" s="2"/>
      <c r="H213" s="2" t="b">
        <v>0</v>
      </c>
      <c r="I213" s="2">
        <v>1</v>
      </c>
      <c r="J213" s="2">
        <v>1</v>
      </c>
      <c r="K213" s="65"/>
      <c r="L213" s="65"/>
      <c r="M213" s="21">
        <v>0.12</v>
      </c>
    </row>
    <row r="214" spans="1:13" ht="13.2" x14ac:dyDescent="0.25">
      <c r="A214" s="7">
        <v>213</v>
      </c>
      <c r="B214" s="3">
        <v>40553</v>
      </c>
      <c r="C214" s="2">
        <v>1</v>
      </c>
      <c r="D214" s="2">
        <v>0</v>
      </c>
      <c r="E214" s="2">
        <v>1</v>
      </c>
      <c r="F214" s="2">
        <v>3</v>
      </c>
      <c r="G214" s="2"/>
      <c r="H214" s="2" t="b">
        <v>0</v>
      </c>
      <c r="I214" s="2">
        <v>1</v>
      </c>
      <c r="J214" s="2">
        <v>1</v>
      </c>
      <c r="K214" s="65"/>
      <c r="L214" s="65"/>
      <c r="M214" s="21">
        <v>0.12</v>
      </c>
    </row>
    <row r="215" spans="1:13" ht="13.2" x14ac:dyDescent="0.25">
      <c r="A215" s="7">
        <v>214</v>
      </c>
      <c r="B215" s="3">
        <v>40553</v>
      </c>
      <c r="C215" s="2">
        <v>1</v>
      </c>
      <c r="D215" s="2">
        <v>0</v>
      </c>
      <c r="E215" s="2">
        <v>1</v>
      </c>
      <c r="F215" s="2">
        <v>4</v>
      </c>
      <c r="G215" s="2"/>
      <c r="H215" s="2" t="b">
        <v>0</v>
      </c>
      <c r="I215" s="2">
        <v>1</v>
      </c>
      <c r="J215" s="2">
        <v>1</v>
      </c>
      <c r="K215" s="65"/>
      <c r="L215" s="65"/>
      <c r="M215" s="21">
        <v>0.1</v>
      </c>
    </row>
    <row r="216" spans="1:13" ht="13.2" x14ac:dyDescent="0.25">
      <c r="A216" s="7">
        <v>215</v>
      </c>
      <c r="B216" s="3">
        <v>40553</v>
      </c>
      <c r="C216" s="2">
        <v>1</v>
      </c>
      <c r="D216" s="2">
        <v>0</v>
      </c>
      <c r="E216" s="2">
        <v>1</v>
      </c>
      <c r="F216" s="2">
        <v>5</v>
      </c>
      <c r="G216" s="2"/>
      <c r="H216" s="2" t="b">
        <v>0</v>
      </c>
      <c r="I216" s="2">
        <v>1</v>
      </c>
      <c r="J216" s="2">
        <v>1</v>
      </c>
      <c r="K216" s="65"/>
      <c r="L216" s="65"/>
      <c r="M216" s="21">
        <v>0.1</v>
      </c>
    </row>
    <row r="217" spans="1:13" ht="13.2" x14ac:dyDescent="0.25">
      <c r="A217" s="7">
        <v>216</v>
      </c>
      <c r="B217" s="3">
        <v>40553</v>
      </c>
      <c r="C217" s="2">
        <v>1</v>
      </c>
      <c r="D217" s="2">
        <v>0</v>
      </c>
      <c r="E217" s="2">
        <v>1</v>
      </c>
      <c r="F217" s="2">
        <v>6</v>
      </c>
      <c r="G217" s="2"/>
      <c r="H217" s="2" t="b">
        <v>0</v>
      </c>
      <c r="I217" s="2">
        <v>1</v>
      </c>
      <c r="J217" s="2">
        <v>1</v>
      </c>
      <c r="K217" s="65"/>
      <c r="L217" s="65"/>
      <c r="M217" s="21">
        <v>0.12</v>
      </c>
    </row>
    <row r="218" spans="1:13" ht="13.2" x14ac:dyDescent="0.25">
      <c r="A218" s="7">
        <v>217</v>
      </c>
      <c r="B218" s="3">
        <v>40553</v>
      </c>
      <c r="C218" s="2">
        <v>1</v>
      </c>
      <c r="D218" s="2">
        <v>0</v>
      </c>
      <c r="E218" s="2">
        <v>1</v>
      </c>
      <c r="F218" s="2">
        <v>7</v>
      </c>
      <c r="G218" s="2"/>
      <c r="H218" s="2" t="b">
        <v>0</v>
      </c>
      <c r="I218" s="2">
        <v>1</v>
      </c>
      <c r="J218" s="2">
        <v>1</v>
      </c>
      <c r="K218" s="65"/>
      <c r="L218" s="65"/>
      <c r="M218" s="21">
        <v>0.12</v>
      </c>
    </row>
    <row r="219" spans="1:13" ht="13.2" x14ac:dyDescent="0.25">
      <c r="A219" s="7">
        <v>218</v>
      </c>
      <c r="B219" s="3">
        <v>40553</v>
      </c>
      <c r="C219" s="2">
        <v>1</v>
      </c>
      <c r="D219" s="2">
        <v>0</v>
      </c>
      <c r="E219" s="2">
        <v>1</v>
      </c>
      <c r="F219" s="2">
        <v>8</v>
      </c>
      <c r="G219" s="2"/>
      <c r="H219" s="2" t="b">
        <v>0</v>
      </c>
      <c r="I219" s="2">
        <v>1</v>
      </c>
      <c r="J219" s="2">
        <v>2</v>
      </c>
      <c r="K219" s="65"/>
      <c r="L219" s="65"/>
      <c r="M219" s="21">
        <v>0.12</v>
      </c>
    </row>
    <row r="220" spans="1:13" ht="13.2" x14ac:dyDescent="0.25">
      <c r="A220" s="7">
        <v>219</v>
      </c>
      <c r="B220" s="3">
        <v>40553</v>
      </c>
      <c r="C220" s="2">
        <v>1</v>
      </c>
      <c r="D220" s="2">
        <v>0</v>
      </c>
      <c r="E220" s="2">
        <v>1</v>
      </c>
      <c r="F220" s="2">
        <v>9</v>
      </c>
      <c r="G220" s="2"/>
      <c r="H220" s="2" t="b">
        <v>0</v>
      </c>
      <c r="I220" s="2">
        <v>1</v>
      </c>
      <c r="J220" s="2">
        <v>2</v>
      </c>
      <c r="K220" s="65"/>
      <c r="L220" s="65"/>
      <c r="M220" s="21">
        <v>0.14000000000000001</v>
      </c>
    </row>
    <row r="221" spans="1:13" ht="13.2" x14ac:dyDescent="0.25">
      <c r="A221" s="7">
        <v>220</v>
      </c>
      <c r="B221" s="3">
        <v>40553</v>
      </c>
      <c r="C221" s="2">
        <v>1</v>
      </c>
      <c r="D221" s="2">
        <v>0</v>
      </c>
      <c r="E221" s="2">
        <v>1</v>
      </c>
      <c r="F221" s="2">
        <v>10</v>
      </c>
      <c r="G221" s="2"/>
      <c r="H221" s="2" t="b">
        <v>0</v>
      </c>
      <c r="I221" s="2">
        <v>1</v>
      </c>
      <c r="J221" s="2">
        <v>2</v>
      </c>
      <c r="K221" s="65"/>
      <c r="L221" s="65"/>
      <c r="M221" s="21">
        <v>0.14000000000000001</v>
      </c>
    </row>
    <row r="222" spans="1:13" ht="13.2" x14ac:dyDescent="0.25">
      <c r="A222" s="7">
        <v>221</v>
      </c>
      <c r="B222" s="3">
        <v>40553</v>
      </c>
      <c r="C222" s="2">
        <v>1</v>
      </c>
      <c r="D222" s="2">
        <v>0</v>
      </c>
      <c r="E222" s="2">
        <v>1</v>
      </c>
      <c r="F222" s="2">
        <v>11</v>
      </c>
      <c r="G222" s="2"/>
      <c r="H222" s="2" t="b">
        <v>0</v>
      </c>
      <c r="I222" s="2">
        <v>1</v>
      </c>
      <c r="J222" s="2">
        <v>2</v>
      </c>
      <c r="K222" s="65"/>
      <c r="L222" s="65"/>
      <c r="M222" s="21">
        <v>0.16</v>
      </c>
    </row>
    <row r="223" spans="1:13" ht="13.2" x14ac:dyDescent="0.25">
      <c r="A223" s="7">
        <v>222</v>
      </c>
      <c r="B223" s="3">
        <v>40553</v>
      </c>
      <c r="C223" s="2">
        <v>1</v>
      </c>
      <c r="D223" s="2">
        <v>0</v>
      </c>
      <c r="E223" s="2">
        <v>1</v>
      </c>
      <c r="F223" s="2">
        <v>12</v>
      </c>
      <c r="G223" s="2"/>
      <c r="H223" s="2" t="b">
        <v>0</v>
      </c>
      <c r="I223" s="2">
        <v>1</v>
      </c>
      <c r="J223" s="2">
        <v>2</v>
      </c>
      <c r="K223" s="65"/>
      <c r="L223" s="65"/>
      <c r="M223" s="21">
        <v>0.2</v>
      </c>
    </row>
    <row r="224" spans="1:13" ht="13.2" x14ac:dyDescent="0.25">
      <c r="A224" s="7">
        <v>223</v>
      </c>
      <c r="B224" s="3">
        <v>40553</v>
      </c>
      <c r="C224" s="2">
        <v>1</v>
      </c>
      <c r="D224" s="2">
        <v>0</v>
      </c>
      <c r="E224" s="2">
        <v>1</v>
      </c>
      <c r="F224" s="2">
        <v>13</v>
      </c>
      <c r="G224" s="2"/>
      <c r="H224" s="2" t="b">
        <v>0</v>
      </c>
      <c r="I224" s="2">
        <v>1</v>
      </c>
      <c r="J224" s="2">
        <v>2</v>
      </c>
      <c r="K224" s="65"/>
      <c r="L224" s="65"/>
      <c r="M224" s="21">
        <v>0.2</v>
      </c>
    </row>
    <row r="225" spans="1:13" ht="13.2" x14ac:dyDescent="0.25">
      <c r="A225" s="7">
        <v>224</v>
      </c>
      <c r="B225" s="3">
        <v>40553</v>
      </c>
      <c r="C225" s="2">
        <v>1</v>
      </c>
      <c r="D225" s="2">
        <v>0</v>
      </c>
      <c r="E225" s="2">
        <v>1</v>
      </c>
      <c r="F225" s="2">
        <v>14</v>
      </c>
      <c r="G225" s="2"/>
      <c r="H225" s="2" t="b">
        <v>0</v>
      </c>
      <c r="I225" s="2">
        <v>1</v>
      </c>
      <c r="J225" s="2">
        <v>2</v>
      </c>
      <c r="K225" s="65"/>
      <c r="L225" s="65"/>
      <c r="M225" s="21">
        <v>0.2</v>
      </c>
    </row>
    <row r="226" spans="1:13" ht="13.2" x14ac:dyDescent="0.25">
      <c r="A226" s="7">
        <v>225</v>
      </c>
      <c r="B226" s="3">
        <v>40553</v>
      </c>
      <c r="C226" s="2">
        <v>1</v>
      </c>
      <c r="D226" s="2">
        <v>0</v>
      </c>
      <c r="E226" s="2">
        <v>1</v>
      </c>
      <c r="F226" s="2">
        <v>15</v>
      </c>
      <c r="G226" s="2"/>
      <c r="H226" s="2" t="b">
        <v>0</v>
      </c>
      <c r="I226" s="2">
        <v>1</v>
      </c>
      <c r="J226" s="2">
        <v>2</v>
      </c>
      <c r="K226" s="65"/>
      <c r="L226" s="65"/>
      <c r="M226" s="21">
        <v>0.2</v>
      </c>
    </row>
    <row r="227" spans="1:13" ht="13.2" x14ac:dyDescent="0.25">
      <c r="A227" s="7">
        <v>226</v>
      </c>
      <c r="B227" s="3">
        <v>40553</v>
      </c>
      <c r="C227" s="2">
        <v>1</v>
      </c>
      <c r="D227" s="2">
        <v>0</v>
      </c>
      <c r="E227" s="2">
        <v>1</v>
      </c>
      <c r="F227" s="2">
        <v>16</v>
      </c>
      <c r="G227" s="2"/>
      <c r="H227" s="2" t="b">
        <v>0</v>
      </c>
      <c r="I227" s="2">
        <v>1</v>
      </c>
      <c r="J227" s="2">
        <v>1</v>
      </c>
      <c r="K227" s="65"/>
      <c r="L227" s="65"/>
      <c r="M227" s="21">
        <v>0.2</v>
      </c>
    </row>
    <row r="228" spans="1:13" ht="13.2" x14ac:dyDescent="0.25">
      <c r="A228" s="7">
        <v>227</v>
      </c>
      <c r="B228" s="3">
        <v>40553</v>
      </c>
      <c r="C228" s="2">
        <v>1</v>
      </c>
      <c r="D228" s="2">
        <v>0</v>
      </c>
      <c r="E228" s="2">
        <v>1</v>
      </c>
      <c r="F228" s="2">
        <v>17</v>
      </c>
      <c r="G228" s="2"/>
      <c r="H228" s="2" t="b">
        <v>0</v>
      </c>
      <c r="I228" s="2">
        <v>1</v>
      </c>
      <c r="J228" s="2">
        <v>1</v>
      </c>
      <c r="K228" s="65"/>
      <c r="L228" s="65"/>
      <c r="M228" s="21">
        <v>0.2</v>
      </c>
    </row>
    <row r="229" spans="1:13" ht="13.2" x14ac:dyDescent="0.25">
      <c r="A229" s="7">
        <v>228</v>
      </c>
      <c r="B229" s="3">
        <v>40553</v>
      </c>
      <c r="C229" s="2">
        <v>1</v>
      </c>
      <c r="D229" s="2">
        <v>0</v>
      </c>
      <c r="E229" s="2">
        <v>1</v>
      </c>
      <c r="F229" s="2">
        <v>18</v>
      </c>
      <c r="G229" s="2"/>
      <c r="H229" s="2" t="b">
        <v>0</v>
      </c>
      <c r="I229" s="2">
        <v>1</v>
      </c>
      <c r="J229" s="2">
        <v>1</v>
      </c>
      <c r="K229" s="65"/>
      <c r="L229" s="65"/>
      <c r="M229" s="21">
        <v>0.2</v>
      </c>
    </row>
    <row r="230" spans="1:13" ht="13.2" x14ac:dyDescent="0.25">
      <c r="A230" s="7">
        <v>229</v>
      </c>
      <c r="B230" s="3">
        <v>40553</v>
      </c>
      <c r="C230" s="2">
        <v>1</v>
      </c>
      <c r="D230" s="2">
        <v>0</v>
      </c>
      <c r="E230" s="2">
        <v>1</v>
      </c>
      <c r="F230" s="2">
        <v>19</v>
      </c>
      <c r="G230" s="2"/>
      <c r="H230" s="2" t="b">
        <v>0</v>
      </c>
      <c r="I230" s="2">
        <v>1</v>
      </c>
      <c r="J230" s="2">
        <v>1</v>
      </c>
      <c r="K230" s="65"/>
      <c r="L230" s="65"/>
      <c r="M230" s="21">
        <v>0.16</v>
      </c>
    </row>
    <row r="231" spans="1:13" ht="13.2" x14ac:dyDescent="0.25">
      <c r="A231" s="7">
        <v>230</v>
      </c>
      <c r="B231" s="3">
        <v>40553</v>
      </c>
      <c r="C231" s="2">
        <v>1</v>
      </c>
      <c r="D231" s="2">
        <v>0</v>
      </c>
      <c r="E231" s="2">
        <v>1</v>
      </c>
      <c r="F231" s="2">
        <v>20</v>
      </c>
      <c r="G231" s="2"/>
      <c r="H231" s="2" t="b">
        <v>0</v>
      </c>
      <c r="I231" s="2">
        <v>1</v>
      </c>
      <c r="J231" s="2">
        <v>1</v>
      </c>
      <c r="K231" s="65"/>
      <c r="L231" s="65"/>
      <c r="M231" s="21">
        <v>0.16</v>
      </c>
    </row>
    <row r="232" spans="1:13" ht="13.2" x14ac:dyDescent="0.25">
      <c r="A232" s="7">
        <v>231</v>
      </c>
      <c r="B232" s="3">
        <v>40553</v>
      </c>
      <c r="C232" s="2">
        <v>1</v>
      </c>
      <c r="D232" s="2">
        <v>0</v>
      </c>
      <c r="E232" s="2">
        <v>1</v>
      </c>
      <c r="F232" s="2">
        <v>21</v>
      </c>
      <c r="G232" s="2"/>
      <c r="H232" s="2" t="b">
        <v>0</v>
      </c>
      <c r="I232" s="2">
        <v>1</v>
      </c>
      <c r="J232" s="2">
        <v>1</v>
      </c>
      <c r="K232" s="65"/>
      <c r="L232" s="65"/>
      <c r="M232" s="21">
        <v>0.14000000000000001</v>
      </c>
    </row>
    <row r="233" spans="1:13" ht="13.2" x14ac:dyDescent="0.25">
      <c r="A233" s="7">
        <v>232</v>
      </c>
      <c r="B233" s="3">
        <v>40553</v>
      </c>
      <c r="C233" s="2">
        <v>1</v>
      </c>
      <c r="D233" s="2">
        <v>0</v>
      </c>
      <c r="E233" s="2">
        <v>1</v>
      </c>
      <c r="F233" s="2">
        <v>22</v>
      </c>
      <c r="G233" s="2"/>
      <c r="H233" s="2" t="b">
        <v>0</v>
      </c>
      <c r="I233" s="2">
        <v>1</v>
      </c>
      <c r="J233" s="2">
        <v>1</v>
      </c>
      <c r="K233" s="65"/>
      <c r="L233" s="65"/>
      <c r="M233" s="21">
        <v>0.14000000000000001</v>
      </c>
    </row>
    <row r="234" spans="1:13" ht="13.2" x14ac:dyDescent="0.25">
      <c r="A234" s="7">
        <v>233</v>
      </c>
      <c r="B234" s="3">
        <v>40553</v>
      </c>
      <c r="C234" s="2">
        <v>1</v>
      </c>
      <c r="D234" s="2">
        <v>0</v>
      </c>
      <c r="E234" s="2">
        <v>1</v>
      </c>
      <c r="F234" s="2">
        <v>23</v>
      </c>
      <c r="G234" s="2"/>
      <c r="H234" s="2" t="b">
        <v>0</v>
      </c>
      <c r="I234" s="2">
        <v>1</v>
      </c>
      <c r="J234" s="2">
        <v>1</v>
      </c>
      <c r="K234" s="65"/>
      <c r="L234" s="65"/>
      <c r="M234" s="21">
        <v>0.14000000000000001</v>
      </c>
    </row>
    <row r="235" spans="1:13" ht="13.2" x14ac:dyDescent="0.25">
      <c r="A235" s="7">
        <v>234</v>
      </c>
      <c r="B235" s="3">
        <v>40554</v>
      </c>
      <c r="C235" s="2">
        <v>1</v>
      </c>
      <c r="D235" s="2">
        <v>0</v>
      </c>
      <c r="E235" s="2">
        <v>1</v>
      </c>
      <c r="F235" s="2">
        <v>0</v>
      </c>
      <c r="G235" s="2"/>
      <c r="H235" s="2" t="b">
        <v>0</v>
      </c>
      <c r="I235" s="2">
        <v>2</v>
      </c>
      <c r="J235" s="2">
        <v>1</v>
      </c>
      <c r="K235" s="65"/>
      <c r="L235" s="65"/>
      <c r="M235" s="21">
        <v>0.14000000000000001</v>
      </c>
    </row>
    <row r="236" spans="1:13" ht="13.2" x14ac:dyDescent="0.25">
      <c r="A236" s="7">
        <v>235</v>
      </c>
      <c r="B236" s="3">
        <v>40554</v>
      </c>
      <c r="C236" s="2">
        <v>1</v>
      </c>
      <c r="D236" s="2">
        <v>0</v>
      </c>
      <c r="E236" s="2">
        <v>1</v>
      </c>
      <c r="F236" s="2">
        <v>1</v>
      </c>
      <c r="G236" s="2"/>
      <c r="H236" s="2" t="b">
        <v>0</v>
      </c>
      <c r="I236" s="2">
        <v>2</v>
      </c>
      <c r="J236" s="2">
        <v>1</v>
      </c>
      <c r="K236" s="65"/>
      <c r="L236" s="65"/>
      <c r="M236" s="21">
        <v>0.14000000000000001</v>
      </c>
    </row>
    <row r="237" spans="1:13" ht="13.2" x14ac:dyDescent="0.25">
      <c r="A237" s="7">
        <v>236</v>
      </c>
      <c r="B237" s="3">
        <v>40554</v>
      </c>
      <c r="C237" s="2">
        <v>1</v>
      </c>
      <c r="D237" s="2">
        <v>0</v>
      </c>
      <c r="E237" s="2">
        <v>1</v>
      </c>
      <c r="F237" s="2">
        <v>2</v>
      </c>
      <c r="G237" s="2"/>
      <c r="H237" s="2" t="b">
        <v>0</v>
      </c>
      <c r="I237" s="2">
        <v>2</v>
      </c>
      <c r="J237" s="2">
        <v>2</v>
      </c>
      <c r="K237" s="65"/>
      <c r="L237" s="65"/>
      <c r="M237" s="21">
        <v>0.16</v>
      </c>
    </row>
    <row r="238" spans="1:13" ht="13.2" x14ac:dyDescent="0.25">
      <c r="A238" s="7">
        <v>237</v>
      </c>
      <c r="B238" s="3">
        <v>40554</v>
      </c>
      <c r="C238" s="2">
        <v>1</v>
      </c>
      <c r="D238" s="2">
        <v>0</v>
      </c>
      <c r="E238" s="2">
        <v>1</v>
      </c>
      <c r="F238" s="2">
        <v>5</v>
      </c>
      <c r="G238" s="2"/>
      <c r="H238" s="2" t="b">
        <v>0</v>
      </c>
      <c r="I238" s="2">
        <v>2</v>
      </c>
      <c r="J238" s="2">
        <v>2</v>
      </c>
      <c r="K238" s="65"/>
      <c r="L238" s="65"/>
      <c r="M238" s="21">
        <v>0.16</v>
      </c>
    </row>
    <row r="239" spans="1:13" ht="13.2" x14ac:dyDescent="0.25">
      <c r="A239" s="7">
        <v>238</v>
      </c>
      <c r="B239" s="3">
        <v>40554</v>
      </c>
      <c r="C239" s="2">
        <v>1</v>
      </c>
      <c r="D239" s="2">
        <v>0</v>
      </c>
      <c r="E239" s="2">
        <v>1</v>
      </c>
      <c r="F239" s="2">
        <v>6</v>
      </c>
      <c r="G239" s="2"/>
      <c r="H239" s="2" t="b">
        <v>0</v>
      </c>
      <c r="I239" s="2">
        <v>2</v>
      </c>
      <c r="J239" s="2">
        <v>2</v>
      </c>
      <c r="K239" s="65"/>
      <c r="L239" s="65"/>
      <c r="M239" s="21">
        <v>0.16</v>
      </c>
    </row>
    <row r="240" spans="1:13" ht="13.2" x14ac:dyDescent="0.25">
      <c r="A240" s="7">
        <v>239</v>
      </c>
      <c r="B240" s="3">
        <v>40554</v>
      </c>
      <c r="C240" s="2">
        <v>1</v>
      </c>
      <c r="D240" s="2">
        <v>0</v>
      </c>
      <c r="E240" s="2">
        <v>1</v>
      </c>
      <c r="F240" s="2">
        <v>7</v>
      </c>
      <c r="G240" s="2"/>
      <c r="H240" s="2" t="b">
        <v>0</v>
      </c>
      <c r="I240" s="2">
        <v>2</v>
      </c>
      <c r="J240" s="2">
        <v>2</v>
      </c>
      <c r="K240" s="65"/>
      <c r="L240" s="65"/>
      <c r="M240" s="21">
        <v>0.16</v>
      </c>
    </row>
    <row r="241" spans="1:13" ht="13.2" x14ac:dyDescent="0.25">
      <c r="A241" s="7">
        <v>240</v>
      </c>
      <c r="B241" s="3">
        <v>40554</v>
      </c>
      <c r="C241" s="2">
        <v>1</v>
      </c>
      <c r="D241" s="2">
        <v>0</v>
      </c>
      <c r="E241" s="2">
        <v>1</v>
      </c>
      <c r="F241" s="2">
        <v>8</v>
      </c>
      <c r="G241" s="2"/>
      <c r="H241" s="2" t="b">
        <v>0</v>
      </c>
      <c r="I241" s="2">
        <v>2</v>
      </c>
      <c r="J241" s="2">
        <v>2</v>
      </c>
      <c r="K241" s="65"/>
      <c r="L241" s="65"/>
      <c r="M241" s="21">
        <v>0.18</v>
      </c>
    </row>
    <row r="242" spans="1:13" ht="13.2" x14ac:dyDescent="0.25">
      <c r="A242" s="7">
        <v>241</v>
      </c>
      <c r="B242" s="3">
        <v>40554</v>
      </c>
      <c r="C242" s="2">
        <v>1</v>
      </c>
      <c r="D242" s="2">
        <v>0</v>
      </c>
      <c r="E242" s="2">
        <v>1</v>
      </c>
      <c r="F242" s="2">
        <v>9</v>
      </c>
      <c r="G242" s="2"/>
      <c r="H242" s="2" t="b">
        <v>0</v>
      </c>
      <c r="I242" s="2">
        <v>2</v>
      </c>
      <c r="J242" s="2">
        <v>2</v>
      </c>
      <c r="K242" s="65"/>
      <c r="L242" s="65"/>
      <c r="M242" s="21">
        <v>0.18</v>
      </c>
    </row>
    <row r="243" spans="1:13" ht="13.2" x14ac:dyDescent="0.25">
      <c r="A243" s="7">
        <v>242</v>
      </c>
      <c r="B243" s="3">
        <v>40554</v>
      </c>
      <c r="C243" s="2">
        <v>1</v>
      </c>
      <c r="D243" s="2">
        <v>0</v>
      </c>
      <c r="E243" s="2">
        <v>1</v>
      </c>
      <c r="F243" s="2">
        <v>10</v>
      </c>
      <c r="G243" s="2"/>
      <c r="H243" s="2" t="b">
        <v>0</v>
      </c>
      <c r="I243" s="2">
        <v>2</v>
      </c>
      <c r="J243" s="2">
        <v>2</v>
      </c>
      <c r="K243" s="65"/>
      <c r="L243" s="65"/>
      <c r="M243" s="21">
        <v>0.2</v>
      </c>
    </row>
    <row r="244" spans="1:13" ht="13.2" x14ac:dyDescent="0.25">
      <c r="A244" s="7">
        <v>243</v>
      </c>
      <c r="B244" s="3">
        <v>40554</v>
      </c>
      <c r="C244" s="2">
        <v>1</v>
      </c>
      <c r="D244" s="2">
        <v>0</v>
      </c>
      <c r="E244" s="2">
        <v>1</v>
      </c>
      <c r="F244" s="2">
        <v>11</v>
      </c>
      <c r="G244" s="2"/>
      <c r="H244" s="2" t="b">
        <v>0</v>
      </c>
      <c r="I244" s="2">
        <v>2</v>
      </c>
      <c r="J244" s="2">
        <v>2</v>
      </c>
      <c r="K244" s="65"/>
      <c r="L244" s="65"/>
      <c r="M244" s="21">
        <v>0.2</v>
      </c>
    </row>
    <row r="245" spans="1:13" ht="13.2" x14ac:dyDescent="0.25">
      <c r="A245" s="7">
        <v>244</v>
      </c>
      <c r="B245" s="3">
        <v>40554</v>
      </c>
      <c r="C245" s="2">
        <v>1</v>
      </c>
      <c r="D245" s="2">
        <v>0</v>
      </c>
      <c r="E245" s="2">
        <v>1</v>
      </c>
      <c r="F245" s="2">
        <v>12</v>
      </c>
      <c r="G245" s="2"/>
      <c r="H245" s="2" t="b">
        <v>0</v>
      </c>
      <c r="I245" s="2">
        <v>2</v>
      </c>
      <c r="J245" s="2">
        <v>2</v>
      </c>
      <c r="K245" s="65"/>
      <c r="L245" s="65"/>
      <c r="M245" s="21">
        <v>0.2</v>
      </c>
    </row>
    <row r="246" spans="1:13" ht="13.2" x14ac:dyDescent="0.25">
      <c r="A246" s="7">
        <v>245</v>
      </c>
      <c r="B246" s="3">
        <v>40554</v>
      </c>
      <c r="C246" s="2">
        <v>1</v>
      </c>
      <c r="D246" s="2">
        <v>0</v>
      </c>
      <c r="E246" s="2">
        <v>1</v>
      </c>
      <c r="F246" s="2">
        <v>13</v>
      </c>
      <c r="G246" s="2"/>
      <c r="H246" s="2" t="b">
        <v>0</v>
      </c>
      <c r="I246" s="2">
        <v>2</v>
      </c>
      <c r="J246" s="2">
        <v>2</v>
      </c>
      <c r="K246" s="65"/>
      <c r="L246" s="65"/>
      <c r="M246" s="21">
        <v>0.2</v>
      </c>
    </row>
    <row r="247" spans="1:13" ht="13.2" x14ac:dyDescent="0.25">
      <c r="A247" s="7">
        <v>246</v>
      </c>
      <c r="B247" s="3">
        <v>40554</v>
      </c>
      <c r="C247" s="2">
        <v>1</v>
      </c>
      <c r="D247" s="2">
        <v>0</v>
      </c>
      <c r="E247" s="2">
        <v>1</v>
      </c>
      <c r="F247" s="2">
        <v>14</v>
      </c>
      <c r="G247" s="2"/>
      <c r="H247" s="2" t="b">
        <v>0</v>
      </c>
      <c r="I247" s="2">
        <v>2</v>
      </c>
      <c r="J247" s="2">
        <v>2</v>
      </c>
      <c r="K247" s="65"/>
      <c r="L247" s="65"/>
      <c r="M247" s="21">
        <v>0.2</v>
      </c>
    </row>
    <row r="248" spans="1:13" ht="13.2" x14ac:dyDescent="0.25">
      <c r="A248" s="7">
        <v>247</v>
      </c>
      <c r="B248" s="3">
        <v>40554</v>
      </c>
      <c r="C248" s="2">
        <v>1</v>
      </c>
      <c r="D248" s="2">
        <v>0</v>
      </c>
      <c r="E248" s="2">
        <v>1</v>
      </c>
      <c r="F248" s="2">
        <v>15</v>
      </c>
      <c r="G248" s="2"/>
      <c r="H248" s="2" t="b">
        <v>0</v>
      </c>
      <c r="I248" s="2">
        <v>2</v>
      </c>
      <c r="J248" s="2">
        <v>2</v>
      </c>
      <c r="K248" s="65"/>
      <c r="L248" s="65"/>
      <c r="M248" s="21">
        <v>0.16</v>
      </c>
    </row>
    <row r="249" spans="1:13" ht="13.2" x14ac:dyDescent="0.25">
      <c r="A249" s="7">
        <v>248</v>
      </c>
      <c r="B249" s="3">
        <v>40554</v>
      </c>
      <c r="C249" s="2">
        <v>1</v>
      </c>
      <c r="D249" s="2">
        <v>0</v>
      </c>
      <c r="E249" s="2">
        <v>1</v>
      </c>
      <c r="F249" s="2">
        <v>16</v>
      </c>
      <c r="G249" s="2"/>
      <c r="H249" s="2" t="b">
        <v>0</v>
      </c>
      <c r="I249" s="2">
        <v>2</v>
      </c>
      <c r="J249" s="2">
        <v>2</v>
      </c>
      <c r="K249" s="65"/>
      <c r="L249" s="65"/>
      <c r="M249" s="21">
        <v>0.16</v>
      </c>
    </row>
    <row r="250" spans="1:13" ht="13.2" x14ac:dyDescent="0.25">
      <c r="A250" s="7">
        <v>249</v>
      </c>
      <c r="B250" s="3">
        <v>40554</v>
      </c>
      <c r="C250" s="2">
        <v>1</v>
      </c>
      <c r="D250" s="2">
        <v>0</v>
      </c>
      <c r="E250" s="2">
        <v>1</v>
      </c>
      <c r="F250" s="2">
        <v>17</v>
      </c>
      <c r="G250" s="2"/>
      <c r="H250" s="2" t="b">
        <v>0</v>
      </c>
      <c r="I250" s="2">
        <v>2</v>
      </c>
      <c r="J250" s="2">
        <v>2</v>
      </c>
      <c r="K250" s="65"/>
      <c r="L250" s="65"/>
      <c r="M250" s="21">
        <v>0.16</v>
      </c>
    </row>
    <row r="251" spans="1:13" ht="13.2" x14ac:dyDescent="0.25">
      <c r="A251" s="7">
        <v>250</v>
      </c>
      <c r="B251" s="3">
        <v>40554</v>
      </c>
      <c r="C251" s="2">
        <v>1</v>
      </c>
      <c r="D251" s="2">
        <v>0</v>
      </c>
      <c r="E251" s="2">
        <v>1</v>
      </c>
      <c r="F251" s="2">
        <v>18</v>
      </c>
      <c r="G251" s="2"/>
      <c r="H251" s="2" t="b">
        <v>0</v>
      </c>
      <c r="I251" s="2">
        <v>2</v>
      </c>
      <c r="J251" s="2">
        <v>3</v>
      </c>
      <c r="K251" s="65"/>
      <c r="L251" s="65"/>
      <c r="M251" s="21">
        <v>0.16</v>
      </c>
    </row>
    <row r="252" spans="1:13" ht="13.2" x14ac:dyDescent="0.25">
      <c r="A252" s="7">
        <v>251</v>
      </c>
      <c r="B252" s="3">
        <v>40554</v>
      </c>
      <c r="C252" s="2">
        <v>1</v>
      </c>
      <c r="D252" s="2">
        <v>0</v>
      </c>
      <c r="E252" s="2">
        <v>1</v>
      </c>
      <c r="F252" s="2">
        <v>19</v>
      </c>
      <c r="G252" s="2"/>
      <c r="H252" s="2" t="b">
        <v>0</v>
      </c>
      <c r="I252" s="2">
        <v>2</v>
      </c>
      <c r="J252" s="2">
        <v>3</v>
      </c>
      <c r="K252" s="65"/>
      <c r="L252" s="65"/>
      <c r="M252" s="21">
        <v>0.16</v>
      </c>
    </row>
    <row r="253" spans="1:13" ht="13.2" x14ac:dyDescent="0.25">
      <c r="A253" s="7">
        <v>252</v>
      </c>
      <c r="B253" s="3">
        <v>40554</v>
      </c>
      <c r="C253" s="2">
        <v>1</v>
      </c>
      <c r="D253" s="2">
        <v>0</v>
      </c>
      <c r="E253" s="2">
        <v>1</v>
      </c>
      <c r="F253" s="2">
        <v>20</v>
      </c>
      <c r="G253" s="2"/>
      <c r="H253" s="2" t="b">
        <v>0</v>
      </c>
      <c r="I253" s="2">
        <v>2</v>
      </c>
      <c r="J253" s="2">
        <v>3</v>
      </c>
      <c r="K253" s="65"/>
      <c r="L253" s="65"/>
      <c r="M253" s="21">
        <v>0.16</v>
      </c>
    </row>
    <row r="254" spans="1:13" ht="13.2" x14ac:dyDescent="0.25">
      <c r="A254" s="7">
        <v>253</v>
      </c>
      <c r="B254" s="3">
        <v>40554</v>
      </c>
      <c r="C254" s="2">
        <v>1</v>
      </c>
      <c r="D254" s="2">
        <v>0</v>
      </c>
      <c r="E254" s="2">
        <v>1</v>
      </c>
      <c r="F254" s="2">
        <v>21</v>
      </c>
      <c r="G254" s="2"/>
      <c r="H254" s="2" t="b">
        <v>0</v>
      </c>
      <c r="I254" s="2">
        <v>2</v>
      </c>
      <c r="J254" s="2">
        <v>3</v>
      </c>
      <c r="K254" s="65"/>
      <c r="L254" s="65"/>
      <c r="M254" s="21">
        <v>0.16</v>
      </c>
    </row>
    <row r="255" spans="1:13" ht="13.2" x14ac:dyDescent="0.25">
      <c r="A255" s="7">
        <v>254</v>
      </c>
      <c r="B255" s="3">
        <v>40554</v>
      </c>
      <c r="C255" s="2">
        <v>1</v>
      </c>
      <c r="D255" s="2">
        <v>0</v>
      </c>
      <c r="E255" s="2">
        <v>1</v>
      </c>
      <c r="F255" s="2">
        <v>22</v>
      </c>
      <c r="G255" s="2"/>
      <c r="H255" s="2" t="b">
        <v>0</v>
      </c>
      <c r="I255" s="2">
        <v>2</v>
      </c>
      <c r="J255" s="2">
        <v>3</v>
      </c>
      <c r="K255" s="65"/>
      <c r="L255" s="65"/>
      <c r="M255" s="21">
        <v>0.16</v>
      </c>
    </row>
    <row r="256" spans="1:13" ht="13.2" x14ac:dyDescent="0.25">
      <c r="A256" s="7">
        <v>255</v>
      </c>
      <c r="B256" s="3">
        <v>40554</v>
      </c>
      <c r="C256" s="2">
        <v>1</v>
      </c>
      <c r="D256" s="2">
        <v>0</v>
      </c>
      <c r="E256" s="2">
        <v>1</v>
      </c>
      <c r="F256" s="2">
        <v>23</v>
      </c>
      <c r="G256" s="2"/>
      <c r="H256" s="2" t="b">
        <v>0</v>
      </c>
      <c r="I256" s="2">
        <v>2</v>
      </c>
      <c r="J256" s="2">
        <v>3</v>
      </c>
      <c r="K256" s="65"/>
      <c r="L256" s="65"/>
      <c r="M256" s="21">
        <v>0.16</v>
      </c>
    </row>
    <row r="257" spans="1:13" ht="13.2" x14ac:dyDescent="0.25">
      <c r="A257" s="7">
        <v>256</v>
      </c>
      <c r="B257" s="3">
        <v>40555</v>
      </c>
      <c r="C257" s="2">
        <v>1</v>
      </c>
      <c r="D257" s="2">
        <v>0</v>
      </c>
      <c r="E257" s="2">
        <v>1</v>
      </c>
      <c r="F257" s="2">
        <v>0</v>
      </c>
      <c r="G257" s="2"/>
      <c r="H257" s="2" t="b">
        <v>0</v>
      </c>
      <c r="I257" s="2">
        <v>3</v>
      </c>
      <c r="J257" s="2">
        <v>2</v>
      </c>
      <c r="K257" s="65"/>
      <c r="L257" s="65"/>
      <c r="M257" s="21">
        <v>0.16</v>
      </c>
    </row>
    <row r="258" spans="1:13" ht="13.2" x14ac:dyDescent="0.25">
      <c r="A258" s="7">
        <v>257</v>
      </c>
      <c r="B258" s="3">
        <v>40555</v>
      </c>
      <c r="C258" s="2">
        <v>1</v>
      </c>
      <c r="D258" s="2">
        <v>0</v>
      </c>
      <c r="E258" s="2">
        <v>1</v>
      </c>
      <c r="F258" s="2">
        <v>1</v>
      </c>
      <c r="G258" s="2"/>
      <c r="H258" s="2" t="b">
        <v>0</v>
      </c>
      <c r="I258" s="2">
        <v>3</v>
      </c>
      <c r="J258" s="2">
        <v>2</v>
      </c>
      <c r="K258" s="65"/>
      <c r="L258" s="65"/>
      <c r="M258" s="21">
        <v>0.16</v>
      </c>
    </row>
    <row r="259" spans="1:13" ht="13.2" x14ac:dyDescent="0.25">
      <c r="A259" s="7">
        <v>258</v>
      </c>
      <c r="B259" s="3">
        <v>40555</v>
      </c>
      <c r="C259" s="2">
        <v>1</v>
      </c>
      <c r="D259" s="2">
        <v>0</v>
      </c>
      <c r="E259" s="2">
        <v>1</v>
      </c>
      <c r="F259" s="2">
        <v>2</v>
      </c>
      <c r="G259" s="2"/>
      <c r="H259" s="2" t="b">
        <v>0</v>
      </c>
      <c r="I259" s="2">
        <v>3</v>
      </c>
      <c r="J259" s="2">
        <v>1</v>
      </c>
      <c r="K259" s="65"/>
      <c r="L259" s="65"/>
      <c r="M259" s="21">
        <v>0.14000000000000001</v>
      </c>
    </row>
    <row r="260" spans="1:13" ht="13.2" x14ac:dyDescent="0.25">
      <c r="A260" s="7">
        <v>259</v>
      </c>
      <c r="B260" s="3">
        <v>40555</v>
      </c>
      <c r="C260" s="2">
        <v>1</v>
      </c>
      <c r="D260" s="2">
        <v>0</v>
      </c>
      <c r="E260" s="2">
        <v>1</v>
      </c>
      <c r="F260" s="2">
        <v>5</v>
      </c>
      <c r="G260" s="2"/>
      <c r="H260" s="2" t="b">
        <v>0</v>
      </c>
      <c r="I260" s="2">
        <v>3</v>
      </c>
      <c r="J260" s="2">
        <v>1</v>
      </c>
      <c r="K260" s="65"/>
      <c r="L260" s="65"/>
      <c r="M260" s="21">
        <v>0.14000000000000001</v>
      </c>
    </row>
    <row r="261" spans="1:13" ht="13.2" x14ac:dyDescent="0.25">
      <c r="A261" s="7">
        <v>260</v>
      </c>
      <c r="B261" s="3">
        <v>40555</v>
      </c>
      <c r="C261" s="2">
        <v>1</v>
      </c>
      <c r="D261" s="2">
        <v>0</v>
      </c>
      <c r="E261" s="2">
        <v>1</v>
      </c>
      <c r="F261" s="2">
        <v>6</v>
      </c>
      <c r="G261" s="2"/>
      <c r="H261" s="2" t="b">
        <v>0</v>
      </c>
      <c r="I261" s="2">
        <v>3</v>
      </c>
      <c r="J261" s="2">
        <v>1</v>
      </c>
      <c r="K261" s="65"/>
      <c r="L261" s="65"/>
      <c r="M261" s="21">
        <v>0.12</v>
      </c>
    </row>
    <row r="262" spans="1:13" ht="13.2" x14ac:dyDescent="0.25">
      <c r="A262" s="7">
        <v>261</v>
      </c>
      <c r="B262" s="3">
        <v>40555</v>
      </c>
      <c r="C262" s="2">
        <v>1</v>
      </c>
      <c r="D262" s="2">
        <v>0</v>
      </c>
      <c r="E262" s="2">
        <v>1</v>
      </c>
      <c r="F262" s="2">
        <v>7</v>
      </c>
      <c r="G262" s="2"/>
      <c r="H262" s="2" t="b">
        <v>0</v>
      </c>
      <c r="I262" s="2">
        <v>3</v>
      </c>
      <c r="J262" s="2">
        <v>1</v>
      </c>
      <c r="K262" s="65"/>
      <c r="L262" s="65"/>
      <c r="M262" s="21">
        <v>0.14000000000000001</v>
      </c>
    </row>
    <row r="263" spans="1:13" ht="13.2" x14ac:dyDescent="0.25">
      <c r="A263" s="7">
        <v>262</v>
      </c>
      <c r="B263" s="3">
        <v>40555</v>
      </c>
      <c r="C263" s="2">
        <v>1</v>
      </c>
      <c r="D263" s="2">
        <v>0</v>
      </c>
      <c r="E263" s="2">
        <v>1</v>
      </c>
      <c r="F263" s="2">
        <v>8</v>
      </c>
      <c r="G263" s="2"/>
      <c r="H263" s="2" t="b">
        <v>0</v>
      </c>
      <c r="I263" s="2">
        <v>3</v>
      </c>
      <c r="J263" s="2">
        <v>1</v>
      </c>
      <c r="K263" s="65"/>
      <c r="L263" s="65"/>
      <c r="M263" s="21">
        <v>0.16</v>
      </c>
    </row>
    <row r="264" spans="1:13" ht="13.2" x14ac:dyDescent="0.25">
      <c r="A264" s="7">
        <v>263</v>
      </c>
      <c r="B264" s="3">
        <v>40555</v>
      </c>
      <c r="C264" s="2">
        <v>1</v>
      </c>
      <c r="D264" s="2">
        <v>0</v>
      </c>
      <c r="E264" s="2">
        <v>1</v>
      </c>
      <c r="F264" s="2">
        <v>9</v>
      </c>
      <c r="G264" s="2"/>
      <c r="H264" s="2" t="b">
        <v>0</v>
      </c>
      <c r="I264" s="2">
        <v>3</v>
      </c>
      <c r="J264" s="2">
        <v>1</v>
      </c>
      <c r="K264" s="65"/>
      <c r="L264" s="65"/>
      <c r="M264" s="21">
        <v>0.16</v>
      </c>
    </row>
    <row r="265" spans="1:13" ht="13.2" x14ac:dyDescent="0.25">
      <c r="A265" s="7">
        <v>264</v>
      </c>
      <c r="B265" s="3">
        <v>40555</v>
      </c>
      <c r="C265" s="2">
        <v>1</v>
      </c>
      <c r="D265" s="2">
        <v>0</v>
      </c>
      <c r="E265" s="2">
        <v>1</v>
      </c>
      <c r="F265" s="2">
        <v>10</v>
      </c>
      <c r="G265" s="2"/>
      <c r="H265" s="2" t="b">
        <v>0</v>
      </c>
      <c r="I265" s="2">
        <v>3</v>
      </c>
      <c r="J265" s="2">
        <v>1</v>
      </c>
      <c r="K265" s="65"/>
      <c r="L265" s="65"/>
      <c r="M265" s="21">
        <v>0.18</v>
      </c>
    </row>
    <row r="266" spans="1:13" ht="13.2" x14ac:dyDescent="0.25">
      <c r="A266" s="7">
        <v>265</v>
      </c>
      <c r="B266" s="3">
        <v>40555</v>
      </c>
      <c r="C266" s="2">
        <v>1</v>
      </c>
      <c r="D266" s="2">
        <v>0</v>
      </c>
      <c r="E266" s="2">
        <v>1</v>
      </c>
      <c r="F266" s="2">
        <v>11</v>
      </c>
      <c r="G266" s="2"/>
      <c r="H266" s="2" t="b">
        <v>0</v>
      </c>
      <c r="I266" s="2">
        <v>3</v>
      </c>
      <c r="J266" s="2">
        <v>1</v>
      </c>
      <c r="K266" s="65"/>
      <c r="L266" s="65"/>
      <c r="M266" s="21">
        <v>0.2</v>
      </c>
    </row>
    <row r="267" spans="1:13" ht="13.2" x14ac:dyDescent="0.25">
      <c r="A267" s="7">
        <v>266</v>
      </c>
      <c r="B267" s="3">
        <v>40555</v>
      </c>
      <c r="C267" s="2">
        <v>1</v>
      </c>
      <c r="D267" s="2">
        <v>0</v>
      </c>
      <c r="E267" s="2">
        <v>1</v>
      </c>
      <c r="F267" s="2">
        <v>12</v>
      </c>
      <c r="G267" s="2"/>
      <c r="H267" s="2" t="b">
        <v>0</v>
      </c>
      <c r="I267" s="2">
        <v>3</v>
      </c>
      <c r="J267" s="2">
        <v>1</v>
      </c>
      <c r="K267" s="65"/>
      <c r="L267" s="65"/>
      <c r="M267" s="21">
        <v>0.2</v>
      </c>
    </row>
    <row r="268" spans="1:13" ht="13.2" x14ac:dyDescent="0.25">
      <c r="A268" s="7">
        <v>267</v>
      </c>
      <c r="B268" s="3">
        <v>40555</v>
      </c>
      <c r="C268" s="2">
        <v>1</v>
      </c>
      <c r="D268" s="2">
        <v>0</v>
      </c>
      <c r="E268" s="2">
        <v>1</v>
      </c>
      <c r="F268" s="2">
        <v>13</v>
      </c>
      <c r="G268" s="2"/>
      <c r="H268" s="2" t="b">
        <v>0</v>
      </c>
      <c r="I268" s="2">
        <v>3</v>
      </c>
      <c r="J268" s="2">
        <v>1</v>
      </c>
      <c r="K268" s="65"/>
      <c r="L268" s="65"/>
      <c r="M268" s="21">
        <v>0.22</v>
      </c>
    </row>
    <row r="269" spans="1:13" ht="13.2" x14ac:dyDescent="0.25">
      <c r="A269" s="7">
        <v>268</v>
      </c>
      <c r="B269" s="3">
        <v>40555</v>
      </c>
      <c r="C269" s="2">
        <v>1</v>
      </c>
      <c r="D269" s="2">
        <v>0</v>
      </c>
      <c r="E269" s="2">
        <v>1</v>
      </c>
      <c r="F269" s="2">
        <v>14</v>
      </c>
      <c r="G269" s="2"/>
      <c r="H269" s="2" t="b">
        <v>0</v>
      </c>
      <c r="I269" s="2">
        <v>3</v>
      </c>
      <c r="J269" s="2">
        <v>1</v>
      </c>
      <c r="K269" s="65"/>
      <c r="L269" s="65"/>
      <c r="M269" s="21">
        <v>0.2</v>
      </c>
    </row>
    <row r="270" spans="1:13" ht="13.2" x14ac:dyDescent="0.25">
      <c r="A270" s="7">
        <v>269</v>
      </c>
      <c r="B270" s="3">
        <v>40555</v>
      </c>
      <c r="C270" s="2">
        <v>1</v>
      </c>
      <c r="D270" s="2">
        <v>0</v>
      </c>
      <c r="E270" s="2">
        <v>1</v>
      </c>
      <c r="F270" s="2">
        <v>15</v>
      </c>
      <c r="G270" s="2"/>
      <c r="H270" s="2" t="b">
        <v>0</v>
      </c>
      <c r="I270" s="2">
        <v>3</v>
      </c>
      <c r="J270" s="2">
        <v>1</v>
      </c>
      <c r="K270" s="65"/>
      <c r="L270" s="65"/>
      <c r="M270" s="21">
        <v>0.2</v>
      </c>
    </row>
    <row r="271" spans="1:13" ht="13.2" x14ac:dyDescent="0.25">
      <c r="A271" s="7">
        <v>270</v>
      </c>
      <c r="B271" s="3">
        <v>40555</v>
      </c>
      <c r="C271" s="2">
        <v>1</v>
      </c>
      <c r="D271" s="2">
        <v>0</v>
      </c>
      <c r="E271" s="2">
        <v>1</v>
      </c>
      <c r="F271" s="2">
        <v>16</v>
      </c>
      <c r="G271" s="2"/>
      <c r="H271" s="2" t="b">
        <v>0</v>
      </c>
      <c r="I271" s="2">
        <v>3</v>
      </c>
      <c r="J271" s="2">
        <v>1</v>
      </c>
      <c r="K271" s="65"/>
      <c r="L271" s="65"/>
      <c r="M271" s="21">
        <v>0.22</v>
      </c>
    </row>
    <row r="272" spans="1:13" ht="13.2" x14ac:dyDescent="0.25">
      <c r="A272" s="7">
        <v>271</v>
      </c>
      <c r="B272" s="3">
        <v>40555</v>
      </c>
      <c r="C272" s="2">
        <v>1</v>
      </c>
      <c r="D272" s="2">
        <v>0</v>
      </c>
      <c r="E272" s="2">
        <v>1</v>
      </c>
      <c r="F272" s="2">
        <v>17</v>
      </c>
      <c r="G272" s="2"/>
      <c r="H272" s="2" t="b">
        <v>0</v>
      </c>
      <c r="I272" s="2">
        <v>3</v>
      </c>
      <c r="J272" s="2">
        <v>1</v>
      </c>
      <c r="K272" s="65"/>
      <c r="L272" s="65"/>
      <c r="M272" s="21">
        <v>0.2</v>
      </c>
    </row>
    <row r="273" spans="1:13" ht="13.2" x14ac:dyDescent="0.25">
      <c r="A273" s="7">
        <v>272</v>
      </c>
      <c r="B273" s="3">
        <v>40555</v>
      </c>
      <c r="C273" s="2">
        <v>1</v>
      </c>
      <c r="D273" s="2">
        <v>0</v>
      </c>
      <c r="E273" s="2">
        <v>1</v>
      </c>
      <c r="F273" s="2">
        <v>18</v>
      </c>
      <c r="G273" s="2"/>
      <c r="H273" s="2" t="b">
        <v>0</v>
      </c>
      <c r="I273" s="2">
        <v>3</v>
      </c>
      <c r="J273" s="2">
        <v>1</v>
      </c>
      <c r="K273" s="65"/>
      <c r="L273" s="65"/>
      <c r="M273" s="21">
        <v>0.2</v>
      </c>
    </row>
    <row r="274" spans="1:13" ht="13.2" x14ac:dyDescent="0.25">
      <c r="A274" s="7">
        <v>273</v>
      </c>
      <c r="B274" s="3">
        <v>40555</v>
      </c>
      <c r="C274" s="2">
        <v>1</v>
      </c>
      <c r="D274" s="2">
        <v>0</v>
      </c>
      <c r="E274" s="2">
        <v>1</v>
      </c>
      <c r="F274" s="2">
        <v>19</v>
      </c>
      <c r="G274" s="2"/>
      <c r="H274" s="2" t="b">
        <v>0</v>
      </c>
      <c r="I274" s="2">
        <v>3</v>
      </c>
      <c r="J274" s="2">
        <v>1</v>
      </c>
      <c r="K274" s="65"/>
      <c r="L274" s="65"/>
      <c r="M274" s="21">
        <v>0.18</v>
      </c>
    </row>
    <row r="275" spans="1:13" ht="13.2" x14ac:dyDescent="0.25">
      <c r="A275" s="7">
        <v>274</v>
      </c>
      <c r="B275" s="3">
        <v>40555</v>
      </c>
      <c r="C275" s="2">
        <v>1</v>
      </c>
      <c r="D275" s="2">
        <v>0</v>
      </c>
      <c r="E275" s="2">
        <v>1</v>
      </c>
      <c r="F275" s="2">
        <v>20</v>
      </c>
      <c r="G275" s="2"/>
      <c r="H275" s="2" t="b">
        <v>0</v>
      </c>
      <c r="I275" s="2">
        <v>3</v>
      </c>
      <c r="J275" s="2">
        <v>1</v>
      </c>
      <c r="K275" s="65"/>
      <c r="L275" s="65"/>
      <c r="M275" s="21">
        <v>0.16</v>
      </c>
    </row>
    <row r="276" spans="1:13" ht="13.2" x14ac:dyDescent="0.25">
      <c r="A276" s="7">
        <v>275</v>
      </c>
      <c r="B276" s="3">
        <v>40555</v>
      </c>
      <c r="C276" s="2">
        <v>1</v>
      </c>
      <c r="D276" s="2">
        <v>0</v>
      </c>
      <c r="E276" s="2">
        <v>1</v>
      </c>
      <c r="F276" s="2">
        <v>21</v>
      </c>
      <c r="G276" s="2"/>
      <c r="H276" s="2" t="b">
        <v>0</v>
      </c>
      <c r="I276" s="2">
        <v>3</v>
      </c>
      <c r="J276" s="2">
        <v>1</v>
      </c>
      <c r="K276" s="65"/>
      <c r="L276" s="65"/>
      <c r="M276" s="21">
        <v>0.16</v>
      </c>
    </row>
    <row r="277" spans="1:13" ht="13.2" x14ac:dyDescent="0.25">
      <c r="A277" s="7">
        <v>276</v>
      </c>
      <c r="B277" s="3">
        <v>40555</v>
      </c>
      <c r="C277" s="2">
        <v>1</v>
      </c>
      <c r="D277" s="2">
        <v>0</v>
      </c>
      <c r="E277" s="2">
        <v>1</v>
      </c>
      <c r="F277" s="2">
        <v>22</v>
      </c>
      <c r="G277" s="2"/>
      <c r="H277" s="2" t="b">
        <v>0</v>
      </c>
      <c r="I277" s="2">
        <v>3</v>
      </c>
      <c r="J277" s="2">
        <v>1</v>
      </c>
      <c r="K277" s="65"/>
      <c r="L277" s="65"/>
      <c r="M277" s="21">
        <v>0.16</v>
      </c>
    </row>
    <row r="278" spans="1:13" ht="13.2" x14ac:dyDescent="0.25">
      <c r="A278" s="7">
        <v>277</v>
      </c>
      <c r="B278" s="3">
        <v>40555</v>
      </c>
      <c r="C278" s="2">
        <v>1</v>
      </c>
      <c r="D278" s="2">
        <v>0</v>
      </c>
      <c r="E278" s="2">
        <v>1</v>
      </c>
      <c r="F278" s="2">
        <v>23</v>
      </c>
      <c r="G278" s="2"/>
      <c r="H278" s="2" t="b">
        <v>0</v>
      </c>
      <c r="I278" s="2">
        <v>3</v>
      </c>
      <c r="J278" s="2">
        <v>1</v>
      </c>
      <c r="K278" s="65"/>
      <c r="L278" s="65"/>
      <c r="M278" s="21">
        <v>0.14000000000000001</v>
      </c>
    </row>
    <row r="279" spans="1:13" ht="13.2" x14ac:dyDescent="0.25">
      <c r="A279" s="7">
        <v>278</v>
      </c>
      <c r="B279" s="3">
        <v>40556</v>
      </c>
      <c r="C279" s="2">
        <v>1</v>
      </c>
      <c r="D279" s="2">
        <v>0</v>
      </c>
      <c r="E279" s="2">
        <v>1</v>
      </c>
      <c r="F279" s="2">
        <v>0</v>
      </c>
      <c r="G279" s="2"/>
      <c r="H279" s="2" t="b">
        <v>0</v>
      </c>
      <c r="I279" s="2">
        <v>4</v>
      </c>
      <c r="J279" s="2">
        <v>1</v>
      </c>
      <c r="K279" s="65"/>
      <c r="L279" s="65"/>
      <c r="M279" s="21">
        <v>0.14000000000000001</v>
      </c>
    </row>
    <row r="280" spans="1:13" ht="13.2" x14ac:dyDescent="0.25">
      <c r="A280" s="7">
        <v>279</v>
      </c>
      <c r="B280" s="3">
        <v>40556</v>
      </c>
      <c r="C280" s="2">
        <v>1</v>
      </c>
      <c r="D280" s="2">
        <v>0</v>
      </c>
      <c r="E280" s="2">
        <v>1</v>
      </c>
      <c r="F280" s="2">
        <v>1</v>
      </c>
      <c r="G280" s="2"/>
      <c r="H280" s="2" t="b">
        <v>0</v>
      </c>
      <c r="I280" s="2">
        <v>4</v>
      </c>
      <c r="J280" s="2">
        <v>1</v>
      </c>
      <c r="K280" s="65"/>
      <c r="L280" s="65"/>
      <c r="M280" s="21">
        <v>0.14000000000000001</v>
      </c>
    </row>
    <row r="281" spans="1:13" ht="13.2" x14ac:dyDescent="0.25">
      <c r="A281" s="7">
        <v>280</v>
      </c>
      <c r="B281" s="3">
        <v>40556</v>
      </c>
      <c r="C281" s="2">
        <v>1</v>
      </c>
      <c r="D281" s="2">
        <v>0</v>
      </c>
      <c r="E281" s="2">
        <v>1</v>
      </c>
      <c r="F281" s="2">
        <v>2</v>
      </c>
      <c r="G281" s="2"/>
      <c r="H281" s="2" t="b">
        <v>0</v>
      </c>
      <c r="I281" s="2">
        <v>4</v>
      </c>
      <c r="J281" s="2">
        <v>1</v>
      </c>
      <c r="K281" s="65"/>
      <c r="L281" s="65"/>
      <c r="M281" s="21">
        <v>0.14000000000000001</v>
      </c>
    </row>
    <row r="282" spans="1:13" ht="13.2" x14ac:dyDescent="0.25">
      <c r="A282" s="7">
        <v>281</v>
      </c>
      <c r="B282" s="3">
        <v>40556</v>
      </c>
      <c r="C282" s="2">
        <v>1</v>
      </c>
      <c r="D282" s="2">
        <v>0</v>
      </c>
      <c r="E282" s="2">
        <v>1</v>
      </c>
      <c r="F282" s="2">
        <v>3</v>
      </c>
      <c r="G282" s="2"/>
      <c r="H282" s="2" t="b">
        <v>0</v>
      </c>
      <c r="I282" s="2">
        <v>4</v>
      </c>
      <c r="J282" s="2">
        <v>1</v>
      </c>
      <c r="K282" s="65"/>
      <c r="L282" s="65"/>
      <c r="M282" s="21">
        <v>0.14000000000000001</v>
      </c>
    </row>
    <row r="283" spans="1:13" ht="13.2" x14ac:dyDescent="0.25">
      <c r="A283" s="7">
        <v>282</v>
      </c>
      <c r="B283" s="3">
        <v>40556</v>
      </c>
      <c r="C283" s="2">
        <v>1</v>
      </c>
      <c r="D283" s="2">
        <v>0</v>
      </c>
      <c r="E283" s="2">
        <v>1</v>
      </c>
      <c r="F283" s="2">
        <v>4</v>
      </c>
      <c r="G283" s="2"/>
      <c r="H283" s="2" t="b">
        <v>0</v>
      </c>
      <c r="I283" s="2">
        <v>4</v>
      </c>
      <c r="J283" s="2">
        <v>1</v>
      </c>
      <c r="K283" s="65"/>
      <c r="L283" s="65"/>
      <c r="M283" s="21">
        <v>0.14000000000000001</v>
      </c>
    </row>
    <row r="284" spans="1:13" ht="13.2" x14ac:dyDescent="0.25">
      <c r="A284" s="7">
        <v>283</v>
      </c>
      <c r="B284" s="3">
        <v>40556</v>
      </c>
      <c r="C284" s="2">
        <v>1</v>
      </c>
      <c r="D284" s="2">
        <v>0</v>
      </c>
      <c r="E284" s="2">
        <v>1</v>
      </c>
      <c r="F284" s="2">
        <v>5</v>
      </c>
      <c r="G284" s="2"/>
      <c r="H284" s="2" t="b">
        <v>0</v>
      </c>
      <c r="I284" s="2">
        <v>4</v>
      </c>
      <c r="J284" s="2">
        <v>1</v>
      </c>
      <c r="K284" s="65"/>
      <c r="L284" s="65"/>
      <c r="M284" s="21">
        <v>0.14000000000000001</v>
      </c>
    </row>
    <row r="285" spans="1:13" ht="13.2" x14ac:dyDescent="0.25">
      <c r="A285" s="7">
        <v>284</v>
      </c>
      <c r="B285" s="3">
        <v>40556</v>
      </c>
      <c r="C285" s="2">
        <v>1</v>
      </c>
      <c r="D285" s="2">
        <v>0</v>
      </c>
      <c r="E285" s="2">
        <v>1</v>
      </c>
      <c r="F285" s="2">
        <v>6</v>
      </c>
      <c r="G285" s="2"/>
      <c r="H285" s="2" t="b">
        <v>0</v>
      </c>
      <c r="I285" s="2">
        <v>4</v>
      </c>
      <c r="J285" s="2">
        <v>1</v>
      </c>
      <c r="K285" s="65"/>
      <c r="L285" s="65"/>
      <c r="M285" s="21">
        <v>0.12</v>
      </c>
    </row>
    <row r="286" spans="1:13" ht="13.2" x14ac:dyDescent="0.25">
      <c r="A286" s="7">
        <v>285</v>
      </c>
      <c r="B286" s="3">
        <v>40556</v>
      </c>
      <c r="C286" s="2">
        <v>1</v>
      </c>
      <c r="D286" s="2">
        <v>0</v>
      </c>
      <c r="E286" s="2">
        <v>1</v>
      </c>
      <c r="F286" s="2">
        <v>7</v>
      </c>
      <c r="G286" s="2"/>
      <c r="H286" s="2" t="b">
        <v>0</v>
      </c>
      <c r="I286" s="2">
        <v>4</v>
      </c>
      <c r="J286" s="2">
        <v>1</v>
      </c>
      <c r="K286" s="65"/>
      <c r="L286" s="65"/>
      <c r="M286" s="21">
        <v>0.12</v>
      </c>
    </row>
    <row r="287" spans="1:13" ht="13.2" x14ac:dyDescent="0.25">
      <c r="A287" s="7">
        <v>286</v>
      </c>
      <c r="B287" s="3">
        <v>40556</v>
      </c>
      <c r="C287" s="2">
        <v>1</v>
      </c>
      <c r="D287" s="2">
        <v>0</v>
      </c>
      <c r="E287" s="2">
        <v>1</v>
      </c>
      <c r="F287" s="2">
        <v>8</v>
      </c>
      <c r="G287" s="2"/>
      <c r="H287" s="2" t="b">
        <v>0</v>
      </c>
      <c r="I287" s="2">
        <v>4</v>
      </c>
      <c r="J287" s="2">
        <v>1</v>
      </c>
      <c r="K287" s="65"/>
      <c r="L287" s="65"/>
      <c r="M287" s="21">
        <v>0.14000000000000001</v>
      </c>
    </row>
    <row r="288" spans="1:13" ht="13.2" x14ac:dyDescent="0.25">
      <c r="A288" s="7">
        <v>287</v>
      </c>
      <c r="B288" s="3">
        <v>40556</v>
      </c>
      <c r="C288" s="2">
        <v>1</v>
      </c>
      <c r="D288" s="2">
        <v>0</v>
      </c>
      <c r="E288" s="2">
        <v>1</v>
      </c>
      <c r="F288" s="2">
        <v>9</v>
      </c>
      <c r="G288" s="2"/>
      <c r="H288" s="2" t="b">
        <v>0</v>
      </c>
      <c r="I288" s="2">
        <v>4</v>
      </c>
      <c r="J288" s="2">
        <v>1</v>
      </c>
      <c r="K288" s="65"/>
      <c r="L288" s="65"/>
      <c r="M288" s="21">
        <v>0.14000000000000001</v>
      </c>
    </row>
    <row r="289" spans="1:13" ht="13.2" x14ac:dyDescent="0.25">
      <c r="A289" s="7">
        <v>288</v>
      </c>
      <c r="B289" s="3">
        <v>40556</v>
      </c>
      <c r="C289" s="2">
        <v>1</v>
      </c>
      <c r="D289" s="2">
        <v>0</v>
      </c>
      <c r="E289" s="2">
        <v>1</v>
      </c>
      <c r="F289" s="2">
        <v>10</v>
      </c>
      <c r="G289" s="2"/>
      <c r="H289" s="2" t="b">
        <v>0</v>
      </c>
      <c r="I289" s="2">
        <v>4</v>
      </c>
      <c r="J289" s="2">
        <v>2</v>
      </c>
      <c r="K289" s="65"/>
      <c r="L289" s="65"/>
      <c r="M289" s="21">
        <v>0.16</v>
      </c>
    </row>
    <row r="290" spans="1:13" ht="13.2" x14ac:dyDescent="0.25">
      <c r="A290" s="7">
        <v>289</v>
      </c>
      <c r="B290" s="3">
        <v>40556</v>
      </c>
      <c r="C290" s="2">
        <v>1</v>
      </c>
      <c r="D290" s="2">
        <v>0</v>
      </c>
      <c r="E290" s="2">
        <v>1</v>
      </c>
      <c r="F290" s="2">
        <v>11</v>
      </c>
      <c r="G290" s="2"/>
      <c r="H290" s="2" t="b">
        <v>0</v>
      </c>
      <c r="I290" s="2">
        <v>4</v>
      </c>
      <c r="J290" s="2">
        <v>2</v>
      </c>
      <c r="K290" s="65"/>
      <c r="L290" s="65"/>
      <c r="M290" s="21">
        <v>0.2</v>
      </c>
    </row>
    <row r="291" spans="1:13" ht="13.2" x14ac:dyDescent="0.25">
      <c r="A291" s="7">
        <v>290</v>
      </c>
      <c r="B291" s="3">
        <v>40556</v>
      </c>
      <c r="C291" s="2">
        <v>1</v>
      </c>
      <c r="D291" s="2">
        <v>0</v>
      </c>
      <c r="E291" s="2">
        <v>1</v>
      </c>
      <c r="F291" s="2">
        <v>12</v>
      </c>
      <c r="G291" s="2"/>
      <c r="H291" s="2" t="b">
        <v>0</v>
      </c>
      <c r="I291" s="2">
        <v>4</v>
      </c>
      <c r="J291" s="2">
        <v>1</v>
      </c>
      <c r="K291" s="65"/>
      <c r="L291" s="65"/>
      <c r="M291" s="21">
        <v>0.2</v>
      </c>
    </row>
    <row r="292" spans="1:13" ht="13.2" x14ac:dyDescent="0.25">
      <c r="A292" s="7">
        <v>291</v>
      </c>
      <c r="B292" s="3">
        <v>40556</v>
      </c>
      <c r="C292" s="2">
        <v>1</v>
      </c>
      <c r="D292" s="2">
        <v>0</v>
      </c>
      <c r="E292" s="2">
        <v>1</v>
      </c>
      <c r="F292" s="2">
        <v>13</v>
      </c>
      <c r="G292" s="2"/>
      <c r="H292" s="2" t="b">
        <v>0</v>
      </c>
      <c r="I292" s="2">
        <v>4</v>
      </c>
      <c r="J292" s="2">
        <v>1</v>
      </c>
      <c r="K292" s="65"/>
      <c r="L292" s="65"/>
      <c r="M292" s="21">
        <v>0.22</v>
      </c>
    </row>
    <row r="293" spans="1:13" ht="13.2" x14ac:dyDescent="0.25">
      <c r="A293" s="7">
        <v>292</v>
      </c>
      <c r="B293" s="3">
        <v>40556</v>
      </c>
      <c r="C293" s="2">
        <v>1</v>
      </c>
      <c r="D293" s="2">
        <v>0</v>
      </c>
      <c r="E293" s="2">
        <v>1</v>
      </c>
      <c r="F293" s="2">
        <v>14</v>
      </c>
      <c r="G293" s="2"/>
      <c r="H293" s="2" t="b">
        <v>0</v>
      </c>
      <c r="I293" s="2">
        <v>4</v>
      </c>
      <c r="J293" s="2">
        <v>1</v>
      </c>
      <c r="K293" s="65"/>
      <c r="L293" s="65"/>
      <c r="M293" s="21">
        <v>0.22</v>
      </c>
    </row>
    <row r="294" spans="1:13" ht="13.2" x14ac:dyDescent="0.25">
      <c r="A294" s="7">
        <v>293</v>
      </c>
      <c r="B294" s="3">
        <v>40556</v>
      </c>
      <c r="C294" s="2">
        <v>1</v>
      </c>
      <c r="D294" s="2">
        <v>0</v>
      </c>
      <c r="E294" s="2">
        <v>1</v>
      </c>
      <c r="F294" s="2">
        <v>15</v>
      </c>
      <c r="G294" s="2"/>
      <c r="H294" s="2" t="b">
        <v>0</v>
      </c>
      <c r="I294" s="2">
        <v>4</v>
      </c>
      <c r="J294" s="2">
        <v>1</v>
      </c>
      <c r="K294" s="65"/>
      <c r="L294" s="65"/>
      <c r="M294" s="21">
        <v>0.24</v>
      </c>
    </row>
    <row r="295" spans="1:13" ht="13.2" x14ac:dyDescent="0.25">
      <c r="A295" s="7">
        <v>294</v>
      </c>
      <c r="B295" s="3">
        <v>40556</v>
      </c>
      <c r="C295" s="2">
        <v>1</v>
      </c>
      <c r="D295" s="2">
        <v>0</v>
      </c>
      <c r="E295" s="2">
        <v>1</v>
      </c>
      <c r="F295" s="2">
        <v>16</v>
      </c>
      <c r="G295" s="2"/>
      <c r="H295" s="2" t="b">
        <v>0</v>
      </c>
      <c r="I295" s="2">
        <v>4</v>
      </c>
      <c r="J295" s="2">
        <v>1</v>
      </c>
      <c r="K295" s="65"/>
      <c r="L295" s="65"/>
      <c r="M295" s="21">
        <v>0.24</v>
      </c>
    </row>
    <row r="296" spans="1:13" ht="13.2" x14ac:dyDescent="0.25">
      <c r="A296" s="7">
        <v>295</v>
      </c>
      <c r="B296" s="3">
        <v>40556</v>
      </c>
      <c r="C296" s="2">
        <v>1</v>
      </c>
      <c r="D296" s="2">
        <v>0</v>
      </c>
      <c r="E296" s="2">
        <v>1</v>
      </c>
      <c r="F296" s="2">
        <v>17</v>
      </c>
      <c r="G296" s="2"/>
      <c r="H296" s="2" t="b">
        <v>0</v>
      </c>
      <c r="I296" s="2">
        <v>4</v>
      </c>
      <c r="J296" s="2">
        <v>1</v>
      </c>
      <c r="K296" s="65"/>
      <c r="L296" s="65"/>
      <c r="M296" s="21">
        <v>0.2</v>
      </c>
    </row>
    <row r="297" spans="1:13" ht="13.2" x14ac:dyDescent="0.25">
      <c r="A297" s="7">
        <v>296</v>
      </c>
      <c r="B297" s="3">
        <v>40556</v>
      </c>
      <c r="C297" s="2">
        <v>1</v>
      </c>
      <c r="D297" s="2">
        <v>0</v>
      </c>
      <c r="E297" s="2">
        <v>1</v>
      </c>
      <c r="F297" s="2">
        <v>18</v>
      </c>
      <c r="G297" s="2"/>
      <c r="H297" s="2" t="b">
        <v>0</v>
      </c>
      <c r="I297" s="2">
        <v>4</v>
      </c>
      <c r="J297" s="2">
        <v>1</v>
      </c>
      <c r="K297" s="65"/>
      <c r="L297" s="65"/>
      <c r="M297" s="21">
        <v>0.2</v>
      </c>
    </row>
    <row r="298" spans="1:13" ht="13.2" x14ac:dyDescent="0.25">
      <c r="A298" s="7">
        <v>297</v>
      </c>
      <c r="B298" s="3">
        <v>40556</v>
      </c>
      <c r="C298" s="2">
        <v>1</v>
      </c>
      <c r="D298" s="2">
        <v>0</v>
      </c>
      <c r="E298" s="2">
        <v>1</v>
      </c>
      <c r="F298" s="2">
        <v>19</v>
      </c>
      <c r="G298" s="2"/>
      <c r="H298" s="2" t="b">
        <v>0</v>
      </c>
      <c r="I298" s="2">
        <v>4</v>
      </c>
      <c r="J298" s="2">
        <v>1</v>
      </c>
      <c r="K298" s="65"/>
      <c r="L298" s="65"/>
      <c r="M298" s="21">
        <v>0.16</v>
      </c>
    </row>
    <row r="299" spans="1:13" ht="13.2" x14ac:dyDescent="0.25">
      <c r="A299" s="7">
        <v>298</v>
      </c>
      <c r="B299" s="3">
        <v>40556</v>
      </c>
      <c r="C299" s="2">
        <v>1</v>
      </c>
      <c r="D299" s="2">
        <v>0</v>
      </c>
      <c r="E299" s="2">
        <v>1</v>
      </c>
      <c r="F299" s="2">
        <v>20</v>
      </c>
      <c r="G299" s="2"/>
      <c r="H299" s="2" t="b">
        <v>0</v>
      </c>
      <c r="I299" s="2">
        <v>4</v>
      </c>
      <c r="J299" s="2">
        <v>1</v>
      </c>
      <c r="K299" s="65"/>
      <c r="L299" s="65"/>
      <c r="M299" s="21">
        <v>0.16</v>
      </c>
    </row>
    <row r="300" spans="1:13" ht="13.2" x14ac:dyDescent="0.25">
      <c r="A300" s="7">
        <v>299</v>
      </c>
      <c r="B300" s="3">
        <v>40556</v>
      </c>
      <c r="C300" s="2">
        <v>1</v>
      </c>
      <c r="D300" s="2">
        <v>0</v>
      </c>
      <c r="E300" s="2">
        <v>1</v>
      </c>
      <c r="F300" s="2">
        <v>21</v>
      </c>
      <c r="G300" s="2"/>
      <c r="H300" s="2" t="b">
        <v>0</v>
      </c>
      <c r="I300" s="2">
        <v>4</v>
      </c>
      <c r="J300" s="2">
        <v>1</v>
      </c>
      <c r="K300" s="65"/>
      <c r="L300" s="65"/>
      <c r="M300" s="21">
        <v>0.14000000000000001</v>
      </c>
    </row>
    <row r="301" spans="1:13" ht="13.2" x14ac:dyDescent="0.25">
      <c r="A301" s="7">
        <v>300</v>
      </c>
      <c r="B301" s="3">
        <v>40556</v>
      </c>
      <c r="C301" s="2">
        <v>1</v>
      </c>
      <c r="D301" s="2">
        <v>0</v>
      </c>
      <c r="E301" s="2">
        <v>1</v>
      </c>
      <c r="F301" s="2">
        <v>22</v>
      </c>
      <c r="G301" s="2"/>
      <c r="H301" s="2" t="b">
        <v>0</v>
      </c>
      <c r="I301" s="2">
        <v>4</v>
      </c>
      <c r="J301" s="2">
        <v>1</v>
      </c>
      <c r="K301" s="65"/>
      <c r="L301" s="65"/>
      <c r="M301" s="21">
        <v>0.14000000000000001</v>
      </c>
    </row>
    <row r="302" spans="1:13" ht="13.2" x14ac:dyDescent="0.25">
      <c r="A302" s="7">
        <v>301</v>
      </c>
      <c r="B302" s="3">
        <v>40556</v>
      </c>
      <c r="C302" s="2">
        <v>1</v>
      </c>
      <c r="D302" s="2">
        <v>0</v>
      </c>
      <c r="E302" s="2">
        <v>1</v>
      </c>
      <c r="F302" s="2">
        <v>23</v>
      </c>
      <c r="G302" s="2"/>
      <c r="H302" s="2" t="b">
        <v>0</v>
      </c>
      <c r="I302" s="2">
        <v>4</v>
      </c>
      <c r="J302" s="2">
        <v>1</v>
      </c>
      <c r="K302" s="65"/>
      <c r="L302" s="65"/>
      <c r="M302" s="21">
        <v>0.12</v>
      </c>
    </row>
    <row r="303" spans="1:13" ht="13.2" x14ac:dyDescent="0.25">
      <c r="A303" s="7">
        <v>302</v>
      </c>
      <c r="B303" s="3">
        <v>40557</v>
      </c>
      <c r="C303" s="2">
        <v>1</v>
      </c>
      <c r="D303" s="2">
        <v>0</v>
      </c>
      <c r="E303" s="2">
        <v>1</v>
      </c>
      <c r="F303" s="2">
        <v>0</v>
      </c>
      <c r="G303" s="2"/>
      <c r="H303" s="2" t="b">
        <v>0</v>
      </c>
      <c r="I303" s="2">
        <v>5</v>
      </c>
      <c r="J303" s="2">
        <v>1</v>
      </c>
      <c r="K303" s="65"/>
      <c r="L303" s="65"/>
      <c r="M303" s="21">
        <v>0.12</v>
      </c>
    </row>
    <row r="304" spans="1:13" ht="13.2" x14ac:dyDescent="0.25">
      <c r="A304" s="7">
        <v>303</v>
      </c>
      <c r="B304" s="3">
        <v>40557</v>
      </c>
      <c r="C304" s="2">
        <v>1</v>
      </c>
      <c r="D304" s="2">
        <v>0</v>
      </c>
      <c r="E304" s="2">
        <v>1</v>
      </c>
      <c r="F304" s="2">
        <v>1</v>
      </c>
      <c r="G304" s="2"/>
      <c r="H304" s="2" t="b">
        <v>0</v>
      </c>
      <c r="I304" s="2">
        <v>5</v>
      </c>
      <c r="J304" s="2">
        <v>1</v>
      </c>
      <c r="K304" s="65"/>
      <c r="L304" s="65"/>
      <c r="M304" s="21">
        <v>0.1</v>
      </c>
    </row>
    <row r="305" spans="1:13" ht="13.2" x14ac:dyDescent="0.25">
      <c r="A305" s="7">
        <v>304</v>
      </c>
      <c r="B305" s="3">
        <v>40557</v>
      </c>
      <c r="C305" s="2">
        <v>1</v>
      </c>
      <c r="D305" s="2">
        <v>0</v>
      </c>
      <c r="E305" s="2">
        <v>1</v>
      </c>
      <c r="F305" s="2">
        <v>2</v>
      </c>
      <c r="G305" s="2"/>
      <c r="H305" s="2" t="b">
        <v>0</v>
      </c>
      <c r="I305" s="2">
        <v>5</v>
      </c>
      <c r="J305" s="2">
        <v>1</v>
      </c>
      <c r="K305" s="65"/>
      <c r="L305" s="65"/>
      <c r="M305" s="21">
        <v>0.1</v>
      </c>
    </row>
    <row r="306" spans="1:13" ht="13.2" x14ac:dyDescent="0.25">
      <c r="A306" s="7">
        <v>305</v>
      </c>
      <c r="B306" s="3">
        <v>40557</v>
      </c>
      <c r="C306" s="2">
        <v>1</v>
      </c>
      <c r="D306" s="2">
        <v>0</v>
      </c>
      <c r="E306" s="2">
        <v>1</v>
      </c>
      <c r="F306" s="2">
        <v>3</v>
      </c>
      <c r="G306" s="2"/>
      <c r="H306" s="2" t="b">
        <v>0</v>
      </c>
      <c r="I306" s="2">
        <v>5</v>
      </c>
      <c r="J306" s="2">
        <v>1</v>
      </c>
      <c r="K306" s="65"/>
      <c r="L306" s="65"/>
      <c r="M306" s="21">
        <v>0.1</v>
      </c>
    </row>
    <row r="307" spans="1:13" ht="13.2" x14ac:dyDescent="0.25">
      <c r="A307" s="7">
        <v>306</v>
      </c>
      <c r="B307" s="3">
        <v>40557</v>
      </c>
      <c r="C307" s="2">
        <v>1</v>
      </c>
      <c r="D307" s="2">
        <v>0</v>
      </c>
      <c r="E307" s="2">
        <v>1</v>
      </c>
      <c r="F307" s="2">
        <v>5</v>
      </c>
      <c r="G307" s="2"/>
      <c r="H307" s="2" t="b">
        <v>0</v>
      </c>
      <c r="I307" s="2">
        <v>5</v>
      </c>
      <c r="J307" s="2">
        <v>1</v>
      </c>
      <c r="K307" s="65"/>
      <c r="L307" s="65"/>
      <c r="M307" s="21">
        <v>0.1</v>
      </c>
    </row>
    <row r="308" spans="1:13" ht="13.2" x14ac:dyDescent="0.25">
      <c r="A308" s="7">
        <v>307</v>
      </c>
      <c r="B308" s="3">
        <v>40557</v>
      </c>
      <c r="C308" s="2">
        <v>1</v>
      </c>
      <c r="D308" s="2">
        <v>0</v>
      </c>
      <c r="E308" s="2">
        <v>1</v>
      </c>
      <c r="F308" s="2">
        <v>6</v>
      </c>
      <c r="G308" s="2"/>
      <c r="H308" s="2" t="b">
        <v>0</v>
      </c>
      <c r="I308" s="2">
        <v>5</v>
      </c>
      <c r="J308" s="2">
        <v>1</v>
      </c>
      <c r="K308" s="65"/>
      <c r="L308" s="65"/>
      <c r="M308" s="21">
        <v>0.1</v>
      </c>
    </row>
    <row r="309" spans="1:13" ht="13.2" x14ac:dyDescent="0.25">
      <c r="A309" s="7">
        <v>308</v>
      </c>
      <c r="B309" s="3">
        <v>40557</v>
      </c>
      <c r="C309" s="2">
        <v>1</v>
      </c>
      <c r="D309" s="2">
        <v>0</v>
      </c>
      <c r="E309" s="2">
        <v>1</v>
      </c>
      <c r="F309" s="2">
        <v>7</v>
      </c>
      <c r="G309" s="2"/>
      <c r="H309" s="2" t="b">
        <v>0</v>
      </c>
      <c r="I309" s="2">
        <v>5</v>
      </c>
      <c r="J309" s="2">
        <v>1</v>
      </c>
      <c r="K309" s="65"/>
      <c r="L309" s="65"/>
      <c r="M309" s="21">
        <v>0.1</v>
      </c>
    </row>
    <row r="310" spans="1:13" ht="13.2" x14ac:dyDescent="0.25">
      <c r="A310" s="7">
        <v>309</v>
      </c>
      <c r="B310" s="3">
        <v>40557</v>
      </c>
      <c r="C310" s="2">
        <v>1</v>
      </c>
      <c r="D310" s="2">
        <v>0</v>
      </c>
      <c r="E310" s="2">
        <v>1</v>
      </c>
      <c r="F310" s="2">
        <v>8</v>
      </c>
      <c r="G310" s="2"/>
      <c r="H310" s="2" t="b">
        <v>0</v>
      </c>
      <c r="I310" s="2">
        <v>5</v>
      </c>
      <c r="J310" s="2">
        <v>1</v>
      </c>
      <c r="K310" s="65"/>
      <c r="L310" s="65"/>
      <c r="M310" s="21">
        <v>0.12</v>
      </c>
    </row>
    <row r="311" spans="1:13" ht="13.2" x14ac:dyDescent="0.25">
      <c r="A311" s="7">
        <v>310</v>
      </c>
      <c r="B311" s="3">
        <v>40557</v>
      </c>
      <c r="C311" s="2">
        <v>1</v>
      </c>
      <c r="D311" s="2">
        <v>0</v>
      </c>
      <c r="E311" s="2">
        <v>1</v>
      </c>
      <c r="F311" s="2">
        <v>9</v>
      </c>
      <c r="G311" s="2"/>
      <c r="H311" s="2" t="b">
        <v>0</v>
      </c>
      <c r="I311" s="2">
        <v>5</v>
      </c>
      <c r="J311" s="2">
        <v>1</v>
      </c>
      <c r="K311" s="65"/>
      <c r="L311" s="65"/>
      <c r="M311" s="21">
        <v>0.14000000000000001</v>
      </c>
    </row>
    <row r="312" spans="1:13" ht="13.2" x14ac:dyDescent="0.25">
      <c r="A312" s="7">
        <v>311</v>
      </c>
      <c r="B312" s="3">
        <v>40557</v>
      </c>
      <c r="C312" s="2">
        <v>1</v>
      </c>
      <c r="D312" s="2">
        <v>0</v>
      </c>
      <c r="E312" s="2">
        <v>1</v>
      </c>
      <c r="F312" s="2">
        <v>10</v>
      </c>
      <c r="G312" s="2"/>
      <c r="H312" s="2" t="b">
        <v>0</v>
      </c>
      <c r="I312" s="2">
        <v>5</v>
      </c>
      <c r="J312" s="2">
        <v>1</v>
      </c>
      <c r="K312" s="65"/>
      <c r="L312" s="65"/>
      <c r="M312" s="21">
        <v>0.18</v>
      </c>
    </row>
    <row r="313" spans="1:13" ht="13.2" x14ac:dyDescent="0.25">
      <c r="A313" s="7">
        <v>312</v>
      </c>
      <c r="B313" s="3">
        <v>40557</v>
      </c>
      <c r="C313" s="2">
        <v>1</v>
      </c>
      <c r="D313" s="2">
        <v>0</v>
      </c>
      <c r="E313" s="2">
        <v>1</v>
      </c>
      <c r="F313" s="2">
        <v>11</v>
      </c>
      <c r="G313" s="2"/>
      <c r="H313" s="2" t="b">
        <v>0</v>
      </c>
      <c r="I313" s="2">
        <v>5</v>
      </c>
      <c r="J313" s="2">
        <v>1</v>
      </c>
      <c r="K313" s="65"/>
      <c r="L313" s="65"/>
      <c r="M313" s="21">
        <v>0.18</v>
      </c>
    </row>
    <row r="314" spans="1:13" ht="13.2" x14ac:dyDescent="0.25">
      <c r="A314" s="7">
        <v>313</v>
      </c>
      <c r="B314" s="3">
        <v>40557</v>
      </c>
      <c r="C314" s="2">
        <v>1</v>
      </c>
      <c r="D314" s="2">
        <v>0</v>
      </c>
      <c r="E314" s="2">
        <v>1</v>
      </c>
      <c r="F314" s="2">
        <v>12</v>
      </c>
      <c r="G314" s="2"/>
      <c r="H314" s="2" t="b">
        <v>0</v>
      </c>
      <c r="I314" s="2">
        <v>5</v>
      </c>
      <c r="J314" s="2">
        <v>1</v>
      </c>
      <c r="K314" s="65"/>
      <c r="L314" s="65"/>
      <c r="M314" s="21">
        <v>0.2</v>
      </c>
    </row>
    <row r="315" spans="1:13" ht="13.2" x14ac:dyDescent="0.25">
      <c r="A315" s="7">
        <v>314</v>
      </c>
      <c r="B315" s="3">
        <v>40557</v>
      </c>
      <c r="C315" s="2">
        <v>1</v>
      </c>
      <c r="D315" s="2">
        <v>0</v>
      </c>
      <c r="E315" s="2">
        <v>1</v>
      </c>
      <c r="F315" s="2">
        <v>13</v>
      </c>
      <c r="G315" s="2"/>
      <c r="H315" s="2" t="b">
        <v>0</v>
      </c>
      <c r="I315" s="2">
        <v>5</v>
      </c>
      <c r="J315" s="2">
        <v>1</v>
      </c>
      <c r="K315" s="65"/>
      <c r="L315" s="65"/>
      <c r="M315" s="21">
        <v>0.22</v>
      </c>
    </row>
    <row r="316" spans="1:13" ht="13.2" x14ac:dyDescent="0.25">
      <c r="A316" s="7">
        <v>315</v>
      </c>
      <c r="B316" s="3">
        <v>40557</v>
      </c>
      <c r="C316" s="2">
        <v>1</v>
      </c>
      <c r="D316" s="2">
        <v>0</v>
      </c>
      <c r="E316" s="2">
        <v>1</v>
      </c>
      <c r="F316" s="2">
        <v>14</v>
      </c>
      <c r="G316" s="2"/>
      <c r="H316" s="2" t="b">
        <v>0</v>
      </c>
      <c r="I316" s="2">
        <v>5</v>
      </c>
      <c r="J316" s="2">
        <v>1</v>
      </c>
      <c r="K316" s="65"/>
      <c r="L316" s="65"/>
      <c r="M316" s="21">
        <v>0.22</v>
      </c>
    </row>
    <row r="317" spans="1:13" ht="13.2" x14ac:dyDescent="0.25">
      <c r="A317" s="7">
        <v>316</v>
      </c>
      <c r="B317" s="3">
        <v>40557</v>
      </c>
      <c r="C317" s="2">
        <v>1</v>
      </c>
      <c r="D317" s="2">
        <v>0</v>
      </c>
      <c r="E317" s="2">
        <v>1</v>
      </c>
      <c r="F317" s="2">
        <v>15</v>
      </c>
      <c r="G317" s="2"/>
      <c r="H317" s="2" t="b">
        <v>0</v>
      </c>
      <c r="I317" s="2">
        <v>5</v>
      </c>
      <c r="J317" s="2">
        <v>1</v>
      </c>
      <c r="K317" s="65"/>
      <c r="L317" s="65"/>
      <c r="M317" s="21">
        <v>0.24</v>
      </c>
    </row>
    <row r="318" spans="1:13" ht="13.2" x14ac:dyDescent="0.25">
      <c r="A318" s="7">
        <v>317</v>
      </c>
      <c r="B318" s="3">
        <v>40557</v>
      </c>
      <c r="C318" s="2">
        <v>1</v>
      </c>
      <c r="D318" s="2">
        <v>0</v>
      </c>
      <c r="E318" s="2">
        <v>1</v>
      </c>
      <c r="F318" s="2">
        <v>16</v>
      </c>
      <c r="G318" s="2"/>
      <c r="H318" s="2" t="b">
        <v>0</v>
      </c>
      <c r="I318" s="2">
        <v>5</v>
      </c>
      <c r="J318" s="2">
        <v>1</v>
      </c>
      <c r="K318" s="65"/>
      <c r="L318" s="65"/>
      <c r="M318" s="21">
        <v>0.22</v>
      </c>
    </row>
    <row r="319" spans="1:13" ht="13.2" x14ac:dyDescent="0.25">
      <c r="A319" s="7">
        <v>318</v>
      </c>
      <c r="B319" s="3">
        <v>40557</v>
      </c>
      <c r="C319" s="2">
        <v>1</v>
      </c>
      <c r="D319" s="2">
        <v>0</v>
      </c>
      <c r="E319" s="2">
        <v>1</v>
      </c>
      <c r="F319" s="2">
        <v>17</v>
      </c>
      <c r="G319" s="2"/>
      <c r="H319" s="2" t="b">
        <v>0</v>
      </c>
      <c r="I319" s="2">
        <v>5</v>
      </c>
      <c r="J319" s="2">
        <v>1</v>
      </c>
      <c r="K319" s="65"/>
      <c r="L319" s="65"/>
      <c r="M319" s="21">
        <v>0.22</v>
      </c>
    </row>
    <row r="320" spans="1:13" ht="13.2" x14ac:dyDescent="0.25">
      <c r="A320" s="7">
        <v>319</v>
      </c>
      <c r="B320" s="3">
        <v>40557</v>
      </c>
      <c r="C320" s="2">
        <v>1</v>
      </c>
      <c r="D320" s="2">
        <v>0</v>
      </c>
      <c r="E320" s="2">
        <v>1</v>
      </c>
      <c r="F320" s="2">
        <v>18</v>
      </c>
      <c r="G320" s="2"/>
      <c r="H320" s="2" t="b">
        <v>0</v>
      </c>
      <c r="I320" s="2">
        <v>5</v>
      </c>
      <c r="J320" s="2">
        <v>1</v>
      </c>
      <c r="K320" s="65"/>
      <c r="L320" s="65"/>
      <c r="M320" s="21">
        <v>0.2</v>
      </c>
    </row>
    <row r="321" spans="1:13" ht="13.2" x14ac:dyDescent="0.25">
      <c r="A321" s="7">
        <v>320</v>
      </c>
      <c r="B321" s="3">
        <v>40557</v>
      </c>
      <c r="C321" s="2">
        <v>1</v>
      </c>
      <c r="D321" s="2">
        <v>0</v>
      </c>
      <c r="E321" s="2">
        <v>1</v>
      </c>
      <c r="F321" s="2">
        <v>19</v>
      </c>
      <c r="G321" s="2"/>
      <c r="H321" s="2" t="b">
        <v>0</v>
      </c>
      <c r="I321" s="2">
        <v>5</v>
      </c>
      <c r="J321" s="2">
        <v>1</v>
      </c>
      <c r="K321" s="65"/>
      <c r="L321" s="65"/>
      <c r="M321" s="21">
        <v>0.16</v>
      </c>
    </row>
    <row r="322" spans="1:13" ht="13.2" x14ac:dyDescent="0.25">
      <c r="A322" s="7">
        <v>321</v>
      </c>
      <c r="B322" s="3">
        <v>40557</v>
      </c>
      <c r="C322" s="2">
        <v>1</v>
      </c>
      <c r="D322" s="2">
        <v>0</v>
      </c>
      <c r="E322" s="2">
        <v>1</v>
      </c>
      <c r="F322" s="2">
        <v>20</v>
      </c>
      <c r="G322" s="2"/>
      <c r="H322" s="2" t="b">
        <v>0</v>
      </c>
      <c r="I322" s="2">
        <v>5</v>
      </c>
      <c r="J322" s="2">
        <v>1</v>
      </c>
      <c r="K322" s="65"/>
      <c r="L322" s="65"/>
      <c r="M322" s="21">
        <v>0.18</v>
      </c>
    </row>
    <row r="323" spans="1:13" ht="13.2" x14ac:dyDescent="0.25">
      <c r="A323" s="7">
        <v>322</v>
      </c>
      <c r="B323" s="3">
        <v>40557</v>
      </c>
      <c r="C323" s="2">
        <v>1</v>
      </c>
      <c r="D323" s="2">
        <v>0</v>
      </c>
      <c r="E323" s="2">
        <v>1</v>
      </c>
      <c r="F323" s="2">
        <v>21</v>
      </c>
      <c r="G323" s="2"/>
      <c r="H323" s="2" t="b">
        <v>0</v>
      </c>
      <c r="I323" s="2">
        <v>5</v>
      </c>
      <c r="J323" s="2">
        <v>1</v>
      </c>
      <c r="K323" s="65"/>
      <c r="L323" s="65"/>
      <c r="M323" s="21">
        <v>0.16</v>
      </c>
    </row>
    <row r="324" spans="1:13" ht="13.2" x14ac:dyDescent="0.25">
      <c r="A324" s="7">
        <v>323</v>
      </c>
      <c r="B324" s="3">
        <v>40557</v>
      </c>
      <c r="C324" s="2">
        <v>1</v>
      </c>
      <c r="D324" s="2">
        <v>0</v>
      </c>
      <c r="E324" s="2">
        <v>1</v>
      </c>
      <c r="F324" s="2">
        <v>22</v>
      </c>
      <c r="G324" s="2"/>
      <c r="H324" s="2" t="b">
        <v>0</v>
      </c>
      <c r="I324" s="2">
        <v>5</v>
      </c>
      <c r="J324" s="2">
        <v>2</v>
      </c>
      <c r="K324" s="65"/>
      <c r="L324" s="65"/>
      <c r="M324" s="21">
        <v>0.16</v>
      </c>
    </row>
    <row r="325" spans="1:13" ht="13.2" x14ac:dyDescent="0.25">
      <c r="A325" s="7">
        <v>324</v>
      </c>
      <c r="B325" s="3">
        <v>40557</v>
      </c>
      <c r="C325" s="2">
        <v>1</v>
      </c>
      <c r="D325" s="2">
        <v>0</v>
      </c>
      <c r="E325" s="2">
        <v>1</v>
      </c>
      <c r="F325" s="2">
        <v>23</v>
      </c>
      <c r="G325" s="2"/>
      <c r="H325" s="2" t="b">
        <v>0</v>
      </c>
      <c r="I325" s="2">
        <v>5</v>
      </c>
      <c r="J325" s="2">
        <v>2</v>
      </c>
      <c r="K325" s="65"/>
      <c r="L325" s="65"/>
      <c r="M325" s="21">
        <v>0.18</v>
      </c>
    </row>
    <row r="326" spans="1:13" ht="13.2" x14ac:dyDescent="0.25">
      <c r="A326" s="7">
        <v>325</v>
      </c>
      <c r="B326" s="3">
        <v>40558</v>
      </c>
      <c r="C326" s="2">
        <v>1</v>
      </c>
      <c r="D326" s="2">
        <v>0</v>
      </c>
      <c r="E326" s="2">
        <v>1</v>
      </c>
      <c r="F326" s="2">
        <v>0</v>
      </c>
      <c r="G326" s="2"/>
      <c r="H326" s="2" t="b">
        <v>0</v>
      </c>
      <c r="I326" s="2">
        <v>6</v>
      </c>
      <c r="J326" s="2">
        <v>1</v>
      </c>
      <c r="K326" s="65"/>
      <c r="L326" s="65"/>
      <c r="M326" s="21">
        <v>0.18</v>
      </c>
    </row>
    <row r="327" spans="1:13" ht="13.2" x14ac:dyDescent="0.25">
      <c r="A327" s="7">
        <v>326</v>
      </c>
      <c r="B327" s="3">
        <v>40558</v>
      </c>
      <c r="C327" s="2">
        <v>1</v>
      </c>
      <c r="D327" s="2">
        <v>0</v>
      </c>
      <c r="E327" s="2">
        <v>1</v>
      </c>
      <c r="F327" s="2">
        <v>1</v>
      </c>
      <c r="G327" s="2"/>
      <c r="H327" s="2" t="b">
        <v>0</v>
      </c>
      <c r="I327" s="2">
        <v>6</v>
      </c>
      <c r="J327" s="2">
        <v>2</v>
      </c>
      <c r="K327" s="65"/>
      <c r="L327" s="65"/>
      <c r="M327" s="21">
        <v>0.16</v>
      </c>
    </row>
    <row r="328" spans="1:13" ht="13.2" x14ac:dyDescent="0.25">
      <c r="A328" s="7">
        <v>327</v>
      </c>
      <c r="B328" s="3">
        <v>40558</v>
      </c>
      <c r="C328" s="2">
        <v>1</v>
      </c>
      <c r="D328" s="2">
        <v>0</v>
      </c>
      <c r="E328" s="2">
        <v>1</v>
      </c>
      <c r="F328" s="2">
        <v>2</v>
      </c>
      <c r="G328" s="2"/>
      <c r="H328" s="2" t="b">
        <v>0</v>
      </c>
      <c r="I328" s="2">
        <v>6</v>
      </c>
      <c r="J328" s="2">
        <v>2</v>
      </c>
      <c r="K328" s="65"/>
      <c r="L328" s="65"/>
      <c r="M328" s="21">
        <v>0.16</v>
      </c>
    </row>
    <row r="329" spans="1:13" ht="13.2" x14ac:dyDescent="0.25">
      <c r="A329" s="7">
        <v>328</v>
      </c>
      <c r="B329" s="3">
        <v>40558</v>
      </c>
      <c r="C329" s="2">
        <v>1</v>
      </c>
      <c r="D329" s="2">
        <v>0</v>
      </c>
      <c r="E329" s="2">
        <v>1</v>
      </c>
      <c r="F329" s="2">
        <v>3</v>
      </c>
      <c r="G329" s="2"/>
      <c r="H329" s="2" t="b">
        <v>0</v>
      </c>
      <c r="I329" s="2">
        <v>6</v>
      </c>
      <c r="J329" s="2">
        <v>2</v>
      </c>
      <c r="K329" s="65"/>
      <c r="L329" s="65"/>
      <c r="M329" s="21">
        <v>0.16</v>
      </c>
    </row>
    <row r="330" spans="1:13" ht="13.2" x14ac:dyDescent="0.25">
      <c r="A330" s="7">
        <v>329</v>
      </c>
      <c r="B330" s="3">
        <v>40558</v>
      </c>
      <c r="C330" s="2">
        <v>1</v>
      </c>
      <c r="D330" s="2">
        <v>0</v>
      </c>
      <c r="E330" s="2">
        <v>1</v>
      </c>
      <c r="F330" s="2">
        <v>4</v>
      </c>
      <c r="G330" s="2"/>
      <c r="H330" s="2" t="b">
        <v>0</v>
      </c>
      <c r="I330" s="2">
        <v>6</v>
      </c>
      <c r="J330" s="2">
        <v>2</v>
      </c>
      <c r="K330" s="65"/>
      <c r="L330" s="65"/>
      <c r="M330" s="21">
        <v>0.16</v>
      </c>
    </row>
    <row r="331" spans="1:13" ht="13.2" x14ac:dyDescent="0.25">
      <c r="A331" s="7">
        <v>330</v>
      </c>
      <c r="B331" s="3">
        <v>40558</v>
      </c>
      <c r="C331" s="2">
        <v>1</v>
      </c>
      <c r="D331" s="2">
        <v>0</v>
      </c>
      <c r="E331" s="2">
        <v>1</v>
      </c>
      <c r="F331" s="2">
        <v>5</v>
      </c>
      <c r="G331" s="2"/>
      <c r="H331" s="2" t="b">
        <v>0</v>
      </c>
      <c r="I331" s="2">
        <v>6</v>
      </c>
      <c r="J331" s="2">
        <v>1</v>
      </c>
      <c r="K331" s="65"/>
      <c r="L331" s="65"/>
      <c r="M331" s="21">
        <v>0.16</v>
      </c>
    </row>
    <row r="332" spans="1:13" ht="13.2" x14ac:dyDescent="0.25">
      <c r="A332" s="7">
        <v>331</v>
      </c>
      <c r="B332" s="3">
        <v>40558</v>
      </c>
      <c r="C332" s="2">
        <v>1</v>
      </c>
      <c r="D332" s="2">
        <v>0</v>
      </c>
      <c r="E332" s="2">
        <v>1</v>
      </c>
      <c r="F332" s="2">
        <v>6</v>
      </c>
      <c r="G332" s="2"/>
      <c r="H332" s="2" t="b">
        <v>0</v>
      </c>
      <c r="I332" s="2">
        <v>6</v>
      </c>
      <c r="J332" s="2">
        <v>1</v>
      </c>
      <c r="K332" s="65"/>
      <c r="L332" s="65"/>
      <c r="M332" s="21">
        <v>0.14000000000000001</v>
      </c>
    </row>
    <row r="333" spans="1:13" ht="13.2" x14ac:dyDescent="0.25">
      <c r="A333" s="7">
        <v>332</v>
      </c>
      <c r="B333" s="3">
        <v>40558</v>
      </c>
      <c r="C333" s="2">
        <v>1</v>
      </c>
      <c r="D333" s="2">
        <v>0</v>
      </c>
      <c r="E333" s="2">
        <v>1</v>
      </c>
      <c r="F333" s="2">
        <v>7</v>
      </c>
      <c r="G333" s="2"/>
      <c r="H333" s="2" t="b">
        <v>0</v>
      </c>
      <c r="I333" s="2">
        <v>6</v>
      </c>
      <c r="J333" s="2">
        <v>1</v>
      </c>
      <c r="K333" s="65"/>
      <c r="L333" s="65"/>
      <c r="M333" s="21">
        <v>0.14000000000000001</v>
      </c>
    </row>
    <row r="334" spans="1:13" ht="13.2" x14ac:dyDescent="0.25">
      <c r="A334" s="7">
        <v>333</v>
      </c>
      <c r="B334" s="3">
        <v>40558</v>
      </c>
      <c r="C334" s="2">
        <v>1</v>
      </c>
      <c r="D334" s="2">
        <v>0</v>
      </c>
      <c r="E334" s="2">
        <v>1</v>
      </c>
      <c r="F334" s="2">
        <v>8</v>
      </c>
      <c r="G334" s="2"/>
      <c r="H334" s="2" t="b">
        <v>0</v>
      </c>
      <c r="I334" s="2">
        <v>6</v>
      </c>
      <c r="J334" s="2">
        <v>1</v>
      </c>
      <c r="K334" s="65"/>
      <c r="L334" s="65"/>
      <c r="M334" s="21">
        <v>0.14000000000000001</v>
      </c>
    </row>
    <row r="335" spans="1:13" ht="13.2" x14ac:dyDescent="0.25">
      <c r="A335" s="7">
        <v>334</v>
      </c>
      <c r="B335" s="3">
        <v>40558</v>
      </c>
      <c r="C335" s="2">
        <v>1</v>
      </c>
      <c r="D335" s="2">
        <v>0</v>
      </c>
      <c r="E335" s="2">
        <v>1</v>
      </c>
      <c r="F335" s="2">
        <v>9</v>
      </c>
      <c r="G335" s="2"/>
      <c r="H335" s="2" t="b">
        <v>0</v>
      </c>
      <c r="I335" s="2">
        <v>6</v>
      </c>
      <c r="J335" s="2">
        <v>1</v>
      </c>
      <c r="K335" s="65"/>
      <c r="L335" s="65"/>
      <c r="M335" s="21">
        <v>0.16</v>
      </c>
    </row>
    <row r="336" spans="1:13" ht="13.2" x14ac:dyDescent="0.25">
      <c r="A336" s="7">
        <v>335</v>
      </c>
      <c r="B336" s="3">
        <v>40558</v>
      </c>
      <c r="C336" s="2">
        <v>1</v>
      </c>
      <c r="D336" s="2">
        <v>0</v>
      </c>
      <c r="E336" s="2">
        <v>1</v>
      </c>
      <c r="F336" s="2">
        <v>10</v>
      </c>
      <c r="G336" s="2"/>
      <c r="H336" s="2" t="b">
        <v>0</v>
      </c>
      <c r="I336" s="2">
        <v>6</v>
      </c>
      <c r="J336" s="2">
        <v>1</v>
      </c>
      <c r="K336" s="65"/>
      <c r="L336" s="65"/>
      <c r="M336" s="21">
        <v>0.18</v>
      </c>
    </row>
    <row r="337" spans="1:13" ht="13.2" x14ac:dyDescent="0.25">
      <c r="A337" s="7">
        <v>336</v>
      </c>
      <c r="B337" s="3">
        <v>40558</v>
      </c>
      <c r="C337" s="2">
        <v>1</v>
      </c>
      <c r="D337" s="2">
        <v>0</v>
      </c>
      <c r="E337" s="2">
        <v>1</v>
      </c>
      <c r="F337" s="2">
        <v>11</v>
      </c>
      <c r="G337" s="2"/>
      <c r="H337" s="2" t="b">
        <v>0</v>
      </c>
      <c r="I337" s="2">
        <v>6</v>
      </c>
      <c r="J337" s="2">
        <v>1</v>
      </c>
      <c r="K337" s="65"/>
      <c r="L337" s="65"/>
      <c r="M337" s="21">
        <v>0.2</v>
      </c>
    </row>
    <row r="338" spans="1:13" ht="13.2" x14ac:dyDescent="0.25">
      <c r="A338" s="7">
        <v>337</v>
      </c>
      <c r="B338" s="3">
        <v>40558</v>
      </c>
      <c r="C338" s="2">
        <v>1</v>
      </c>
      <c r="D338" s="2">
        <v>0</v>
      </c>
      <c r="E338" s="2">
        <v>1</v>
      </c>
      <c r="F338" s="2">
        <v>12</v>
      </c>
      <c r="G338" s="2"/>
      <c r="H338" s="2" t="b">
        <v>0</v>
      </c>
      <c r="I338" s="2">
        <v>6</v>
      </c>
      <c r="J338" s="2">
        <v>1</v>
      </c>
      <c r="K338" s="65"/>
      <c r="L338" s="65"/>
      <c r="M338" s="21">
        <v>0.24</v>
      </c>
    </row>
    <row r="339" spans="1:13" ht="13.2" x14ac:dyDescent="0.25">
      <c r="A339" s="7">
        <v>338</v>
      </c>
      <c r="B339" s="3">
        <v>40558</v>
      </c>
      <c r="C339" s="2">
        <v>1</v>
      </c>
      <c r="D339" s="2">
        <v>0</v>
      </c>
      <c r="E339" s="2">
        <v>1</v>
      </c>
      <c r="F339" s="2">
        <v>13</v>
      </c>
      <c r="G339" s="2"/>
      <c r="H339" s="2" t="b">
        <v>0</v>
      </c>
      <c r="I339" s="2">
        <v>6</v>
      </c>
      <c r="J339" s="2">
        <v>1</v>
      </c>
      <c r="K339" s="65"/>
      <c r="L339" s="65"/>
      <c r="M339" s="21">
        <v>0.28000000000000003</v>
      </c>
    </row>
    <row r="340" spans="1:13" ht="13.2" x14ac:dyDescent="0.25">
      <c r="A340" s="7">
        <v>339</v>
      </c>
      <c r="B340" s="3">
        <v>40558</v>
      </c>
      <c r="C340" s="2">
        <v>1</v>
      </c>
      <c r="D340" s="2">
        <v>0</v>
      </c>
      <c r="E340" s="2">
        <v>1</v>
      </c>
      <c r="F340" s="2">
        <v>14</v>
      </c>
      <c r="G340" s="2"/>
      <c r="H340" s="2" t="b">
        <v>0</v>
      </c>
      <c r="I340" s="2">
        <v>6</v>
      </c>
      <c r="J340" s="2">
        <v>1</v>
      </c>
      <c r="K340" s="65"/>
      <c r="L340" s="65"/>
      <c r="M340" s="21">
        <v>0.3</v>
      </c>
    </row>
    <row r="341" spans="1:13" ht="13.2" x14ac:dyDescent="0.25">
      <c r="A341" s="7">
        <v>340</v>
      </c>
      <c r="B341" s="3">
        <v>40558</v>
      </c>
      <c r="C341" s="2">
        <v>1</v>
      </c>
      <c r="D341" s="2">
        <v>0</v>
      </c>
      <c r="E341" s="2">
        <v>1</v>
      </c>
      <c r="F341" s="2">
        <v>15</v>
      </c>
      <c r="G341" s="2"/>
      <c r="H341" s="2" t="b">
        <v>0</v>
      </c>
      <c r="I341" s="2">
        <v>6</v>
      </c>
      <c r="J341" s="2">
        <v>2</v>
      </c>
      <c r="K341" s="65"/>
      <c r="L341" s="65"/>
      <c r="M341" s="21">
        <v>0.32</v>
      </c>
    </row>
    <row r="342" spans="1:13" ht="13.2" x14ac:dyDescent="0.25">
      <c r="A342" s="7">
        <v>341</v>
      </c>
      <c r="B342" s="3">
        <v>40558</v>
      </c>
      <c r="C342" s="2">
        <v>1</v>
      </c>
      <c r="D342" s="2">
        <v>0</v>
      </c>
      <c r="E342" s="2">
        <v>1</v>
      </c>
      <c r="F342" s="2">
        <v>16</v>
      </c>
      <c r="G342" s="2"/>
      <c r="H342" s="2" t="b">
        <v>0</v>
      </c>
      <c r="I342" s="2">
        <v>6</v>
      </c>
      <c r="J342" s="2">
        <v>2</v>
      </c>
      <c r="K342" s="65"/>
      <c r="L342" s="65"/>
      <c r="M342" s="21">
        <v>0.34</v>
      </c>
    </row>
    <row r="343" spans="1:13" ht="13.2" x14ac:dyDescent="0.25">
      <c r="A343" s="7">
        <v>342</v>
      </c>
      <c r="B343" s="3">
        <v>40558</v>
      </c>
      <c r="C343" s="2">
        <v>1</v>
      </c>
      <c r="D343" s="2">
        <v>0</v>
      </c>
      <c r="E343" s="2">
        <v>1</v>
      </c>
      <c r="F343" s="2">
        <v>17</v>
      </c>
      <c r="G343" s="2"/>
      <c r="H343" s="2" t="b">
        <v>0</v>
      </c>
      <c r="I343" s="2">
        <v>6</v>
      </c>
      <c r="J343" s="2">
        <v>2</v>
      </c>
      <c r="K343" s="65"/>
      <c r="L343" s="65"/>
      <c r="M343" s="21">
        <v>0.32</v>
      </c>
    </row>
    <row r="344" spans="1:13" ht="13.2" x14ac:dyDescent="0.25">
      <c r="A344" s="7">
        <v>343</v>
      </c>
      <c r="B344" s="3">
        <v>40558</v>
      </c>
      <c r="C344" s="2">
        <v>1</v>
      </c>
      <c r="D344" s="2">
        <v>0</v>
      </c>
      <c r="E344" s="2">
        <v>1</v>
      </c>
      <c r="F344" s="2">
        <v>18</v>
      </c>
      <c r="G344" s="2"/>
      <c r="H344" s="2" t="b">
        <v>0</v>
      </c>
      <c r="I344" s="2">
        <v>6</v>
      </c>
      <c r="J344" s="2">
        <v>2</v>
      </c>
      <c r="K344" s="65"/>
      <c r="L344" s="65"/>
      <c r="M344" s="21">
        <v>0.3</v>
      </c>
    </row>
    <row r="345" spans="1:13" ht="13.2" x14ac:dyDescent="0.25">
      <c r="A345" s="7">
        <v>344</v>
      </c>
      <c r="B345" s="3">
        <v>40558</v>
      </c>
      <c r="C345" s="2">
        <v>1</v>
      </c>
      <c r="D345" s="2">
        <v>0</v>
      </c>
      <c r="E345" s="2">
        <v>1</v>
      </c>
      <c r="F345" s="2">
        <v>19</v>
      </c>
      <c r="G345" s="2"/>
      <c r="H345" s="2" t="b">
        <v>0</v>
      </c>
      <c r="I345" s="2">
        <v>6</v>
      </c>
      <c r="J345" s="2">
        <v>2</v>
      </c>
      <c r="K345" s="65"/>
      <c r="L345" s="65"/>
      <c r="M345" s="21">
        <v>0.32</v>
      </c>
    </row>
    <row r="346" spans="1:13" ht="13.2" x14ac:dyDescent="0.25">
      <c r="A346" s="7">
        <v>345</v>
      </c>
      <c r="B346" s="3">
        <v>40558</v>
      </c>
      <c r="C346" s="2">
        <v>1</v>
      </c>
      <c r="D346" s="2">
        <v>0</v>
      </c>
      <c r="E346" s="2">
        <v>1</v>
      </c>
      <c r="F346" s="2">
        <v>20</v>
      </c>
      <c r="G346" s="2"/>
      <c r="H346" s="2" t="b">
        <v>0</v>
      </c>
      <c r="I346" s="2">
        <v>6</v>
      </c>
      <c r="J346" s="2">
        <v>2</v>
      </c>
      <c r="K346" s="65"/>
      <c r="L346" s="65"/>
      <c r="M346" s="21">
        <v>0.32</v>
      </c>
    </row>
    <row r="347" spans="1:13" ht="13.2" x14ac:dyDescent="0.25">
      <c r="A347" s="7">
        <v>346</v>
      </c>
      <c r="B347" s="3">
        <v>40558</v>
      </c>
      <c r="C347" s="2">
        <v>1</v>
      </c>
      <c r="D347" s="2">
        <v>0</v>
      </c>
      <c r="E347" s="2">
        <v>1</v>
      </c>
      <c r="F347" s="2">
        <v>21</v>
      </c>
      <c r="G347" s="2"/>
      <c r="H347" s="2" t="b">
        <v>0</v>
      </c>
      <c r="I347" s="2">
        <v>6</v>
      </c>
      <c r="J347" s="2">
        <v>2</v>
      </c>
      <c r="K347" s="65"/>
      <c r="L347" s="65"/>
      <c r="M347" s="21">
        <v>0.32</v>
      </c>
    </row>
    <row r="348" spans="1:13" ht="13.2" x14ac:dyDescent="0.25">
      <c r="A348" s="7">
        <v>347</v>
      </c>
      <c r="B348" s="3">
        <v>40558</v>
      </c>
      <c r="C348" s="2">
        <v>1</v>
      </c>
      <c r="D348" s="2">
        <v>0</v>
      </c>
      <c r="E348" s="2">
        <v>1</v>
      </c>
      <c r="F348" s="2">
        <v>22</v>
      </c>
      <c r="G348" s="2"/>
      <c r="H348" s="2" t="b">
        <v>0</v>
      </c>
      <c r="I348" s="2">
        <v>6</v>
      </c>
      <c r="J348" s="2">
        <v>2</v>
      </c>
      <c r="K348" s="65"/>
      <c r="L348" s="65"/>
      <c r="M348" s="21">
        <v>0.3</v>
      </c>
    </row>
    <row r="349" spans="1:13" ht="13.2" x14ac:dyDescent="0.25">
      <c r="A349" s="7">
        <v>348</v>
      </c>
      <c r="B349" s="3">
        <v>40558</v>
      </c>
      <c r="C349" s="2">
        <v>1</v>
      </c>
      <c r="D349" s="2">
        <v>0</v>
      </c>
      <c r="E349" s="2">
        <v>1</v>
      </c>
      <c r="F349" s="2">
        <v>23</v>
      </c>
      <c r="G349" s="2"/>
      <c r="H349" s="2" t="b">
        <v>0</v>
      </c>
      <c r="I349" s="2">
        <v>6</v>
      </c>
      <c r="J349" s="2">
        <v>1</v>
      </c>
      <c r="K349" s="65"/>
      <c r="L349" s="65"/>
      <c r="M349" s="21">
        <v>0.3</v>
      </c>
    </row>
    <row r="350" spans="1:13" ht="13.2" x14ac:dyDescent="0.25">
      <c r="A350" s="7">
        <v>349</v>
      </c>
      <c r="B350" s="3">
        <v>40559</v>
      </c>
      <c r="C350" s="2">
        <v>1</v>
      </c>
      <c r="D350" s="2">
        <v>0</v>
      </c>
      <c r="E350" s="2">
        <v>1</v>
      </c>
      <c r="F350" s="2">
        <v>0</v>
      </c>
      <c r="G350" s="2"/>
      <c r="H350" s="2" t="b">
        <v>0</v>
      </c>
      <c r="I350" s="2">
        <v>0</v>
      </c>
      <c r="J350" s="2">
        <v>1</v>
      </c>
      <c r="K350" s="65"/>
      <c r="L350" s="65"/>
      <c r="M350" s="21">
        <v>0.26</v>
      </c>
    </row>
    <row r="351" spans="1:13" ht="13.2" x14ac:dyDescent="0.25">
      <c r="A351" s="7">
        <v>350</v>
      </c>
      <c r="B351" s="3">
        <v>40559</v>
      </c>
      <c r="C351" s="2">
        <v>1</v>
      </c>
      <c r="D351" s="2">
        <v>0</v>
      </c>
      <c r="E351" s="2">
        <v>1</v>
      </c>
      <c r="F351" s="2">
        <v>1</v>
      </c>
      <c r="G351" s="2"/>
      <c r="H351" s="2" t="b">
        <v>0</v>
      </c>
      <c r="I351" s="2">
        <v>0</v>
      </c>
      <c r="J351" s="2">
        <v>1</v>
      </c>
      <c r="K351" s="65"/>
      <c r="L351" s="65"/>
      <c r="M351" s="21">
        <v>0.26</v>
      </c>
    </row>
    <row r="352" spans="1:13" ht="13.2" x14ac:dyDescent="0.25">
      <c r="A352" s="7">
        <v>351</v>
      </c>
      <c r="B352" s="3">
        <v>40559</v>
      </c>
      <c r="C352" s="2">
        <v>1</v>
      </c>
      <c r="D352" s="2">
        <v>0</v>
      </c>
      <c r="E352" s="2">
        <v>1</v>
      </c>
      <c r="F352" s="2">
        <v>2</v>
      </c>
      <c r="G352" s="2"/>
      <c r="H352" s="2" t="b">
        <v>0</v>
      </c>
      <c r="I352" s="2">
        <v>0</v>
      </c>
      <c r="J352" s="2">
        <v>1</v>
      </c>
      <c r="K352" s="65"/>
      <c r="L352" s="65"/>
      <c r="M352" s="21">
        <v>0.26</v>
      </c>
    </row>
    <row r="353" spans="1:13" ht="13.2" x14ac:dyDescent="0.25">
      <c r="A353" s="7">
        <v>352</v>
      </c>
      <c r="B353" s="3">
        <v>40559</v>
      </c>
      <c r="C353" s="2">
        <v>1</v>
      </c>
      <c r="D353" s="2">
        <v>0</v>
      </c>
      <c r="E353" s="2">
        <v>1</v>
      </c>
      <c r="F353" s="2">
        <v>3</v>
      </c>
      <c r="G353" s="2"/>
      <c r="H353" s="2" t="b">
        <v>0</v>
      </c>
      <c r="I353" s="2">
        <v>0</v>
      </c>
      <c r="J353" s="2">
        <v>1</v>
      </c>
      <c r="K353" s="65"/>
      <c r="L353" s="65"/>
      <c r="M353" s="21">
        <v>0.22</v>
      </c>
    </row>
    <row r="354" spans="1:13" ht="13.2" x14ac:dyDescent="0.25">
      <c r="A354" s="7">
        <v>353</v>
      </c>
      <c r="B354" s="3">
        <v>40559</v>
      </c>
      <c r="C354" s="2">
        <v>1</v>
      </c>
      <c r="D354" s="2">
        <v>0</v>
      </c>
      <c r="E354" s="2">
        <v>1</v>
      </c>
      <c r="F354" s="2">
        <v>4</v>
      </c>
      <c r="G354" s="2"/>
      <c r="H354" s="2" t="b">
        <v>0</v>
      </c>
      <c r="I354" s="2">
        <v>0</v>
      </c>
      <c r="J354" s="2">
        <v>1</v>
      </c>
      <c r="K354" s="65"/>
      <c r="L354" s="65"/>
      <c r="M354" s="21">
        <v>0.26</v>
      </c>
    </row>
    <row r="355" spans="1:13" ht="13.2" x14ac:dyDescent="0.25">
      <c r="A355" s="7">
        <v>354</v>
      </c>
      <c r="B355" s="3">
        <v>40559</v>
      </c>
      <c r="C355" s="2">
        <v>1</v>
      </c>
      <c r="D355" s="2">
        <v>0</v>
      </c>
      <c r="E355" s="2">
        <v>1</v>
      </c>
      <c r="F355" s="2">
        <v>5</v>
      </c>
      <c r="G355" s="2"/>
      <c r="H355" s="2" t="b">
        <v>0</v>
      </c>
      <c r="I355" s="2">
        <v>0</v>
      </c>
      <c r="J355" s="2">
        <v>2</v>
      </c>
      <c r="K355" s="65"/>
      <c r="L355" s="65"/>
      <c r="M355" s="21">
        <v>0.26</v>
      </c>
    </row>
    <row r="356" spans="1:13" ht="13.2" x14ac:dyDescent="0.25">
      <c r="A356" s="7">
        <v>355</v>
      </c>
      <c r="B356" s="3">
        <v>40559</v>
      </c>
      <c r="C356" s="2">
        <v>1</v>
      </c>
      <c r="D356" s="2">
        <v>0</v>
      </c>
      <c r="E356" s="2">
        <v>1</v>
      </c>
      <c r="F356" s="2">
        <v>6</v>
      </c>
      <c r="G356" s="2"/>
      <c r="H356" s="2" t="b">
        <v>0</v>
      </c>
      <c r="I356" s="2">
        <v>0</v>
      </c>
      <c r="J356" s="2">
        <v>2</v>
      </c>
      <c r="K356" s="65"/>
      <c r="L356" s="65"/>
      <c r="M356" s="21">
        <v>0.26</v>
      </c>
    </row>
    <row r="357" spans="1:13" ht="13.2" x14ac:dyDescent="0.25">
      <c r="A357" s="7">
        <v>356</v>
      </c>
      <c r="B357" s="3">
        <v>40559</v>
      </c>
      <c r="C357" s="2">
        <v>1</v>
      </c>
      <c r="D357" s="2">
        <v>0</v>
      </c>
      <c r="E357" s="2">
        <v>1</v>
      </c>
      <c r="F357" s="2">
        <v>7</v>
      </c>
      <c r="G357" s="2"/>
      <c r="H357" s="2" t="b">
        <v>0</v>
      </c>
      <c r="I357" s="2">
        <v>0</v>
      </c>
      <c r="J357" s="2">
        <v>2</v>
      </c>
      <c r="K357" s="65"/>
      <c r="L357" s="65"/>
      <c r="M357" s="21">
        <v>0.24</v>
      </c>
    </row>
    <row r="358" spans="1:13" ht="13.2" x14ac:dyDescent="0.25">
      <c r="A358" s="7">
        <v>357</v>
      </c>
      <c r="B358" s="3">
        <v>40559</v>
      </c>
      <c r="C358" s="2">
        <v>1</v>
      </c>
      <c r="D358" s="2">
        <v>0</v>
      </c>
      <c r="E358" s="2">
        <v>1</v>
      </c>
      <c r="F358" s="2">
        <v>8</v>
      </c>
      <c r="G358" s="2"/>
      <c r="H358" s="2" t="b">
        <v>0</v>
      </c>
      <c r="I358" s="2">
        <v>0</v>
      </c>
      <c r="J358" s="2">
        <v>1</v>
      </c>
      <c r="K358" s="65"/>
      <c r="L358" s="65"/>
      <c r="M358" s="21">
        <v>0.22</v>
      </c>
    </row>
    <row r="359" spans="1:13" ht="13.2" x14ac:dyDescent="0.25">
      <c r="A359" s="7">
        <v>358</v>
      </c>
      <c r="B359" s="3">
        <v>40559</v>
      </c>
      <c r="C359" s="2">
        <v>1</v>
      </c>
      <c r="D359" s="2">
        <v>0</v>
      </c>
      <c r="E359" s="2">
        <v>1</v>
      </c>
      <c r="F359" s="2">
        <v>9</v>
      </c>
      <c r="G359" s="2"/>
      <c r="H359" s="2" t="b">
        <v>0</v>
      </c>
      <c r="I359" s="2">
        <v>0</v>
      </c>
      <c r="J359" s="2">
        <v>1</v>
      </c>
      <c r="K359" s="65"/>
      <c r="L359" s="65"/>
      <c r="M359" s="21">
        <v>0.22</v>
      </c>
    </row>
    <row r="360" spans="1:13" ht="13.2" x14ac:dyDescent="0.25">
      <c r="A360" s="7">
        <v>359</v>
      </c>
      <c r="B360" s="3">
        <v>40559</v>
      </c>
      <c r="C360" s="2">
        <v>1</v>
      </c>
      <c r="D360" s="2">
        <v>0</v>
      </c>
      <c r="E360" s="2">
        <v>1</v>
      </c>
      <c r="F360" s="2">
        <v>10</v>
      </c>
      <c r="G360" s="2"/>
      <c r="H360" s="2" t="b">
        <v>0</v>
      </c>
      <c r="I360" s="2">
        <v>0</v>
      </c>
      <c r="J360" s="2">
        <v>1</v>
      </c>
      <c r="K360" s="65"/>
      <c r="L360" s="65"/>
      <c r="M360" s="21">
        <v>0.22</v>
      </c>
    </row>
    <row r="361" spans="1:13" ht="13.2" x14ac:dyDescent="0.25">
      <c r="A361" s="7">
        <v>360</v>
      </c>
      <c r="B361" s="3">
        <v>40559</v>
      </c>
      <c r="C361" s="2">
        <v>1</v>
      </c>
      <c r="D361" s="2">
        <v>0</v>
      </c>
      <c r="E361" s="2">
        <v>1</v>
      </c>
      <c r="F361" s="2">
        <v>11</v>
      </c>
      <c r="G361" s="2"/>
      <c r="H361" s="2" t="b">
        <v>0</v>
      </c>
      <c r="I361" s="2">
        <v>0</v>
      </c>
      <c r="J361" s="2">
        <v>1</v>
      </c>
      <c r="K361" s="65"/>
      <c r="L361" s="65"/>
      <c r="M361" s="21">
        <v>0.24</v>
      </c>
    </row>
    <row r="362" spans="1:13" ht="13.2" x14ac:dyDescent="0.25">
      <c r="A362" s="7">
        <v>361</v>
      </c>
      <c r="B362" s="3">
        <v>40559</v>
      </c>
      <c r="C362" s="2">
        <v>1</v>
      </c>
      <c r="D362" s="2">
        <v>0</v>
      </c>
      <c r="E362" s="2">
        <v>1</v>
      </c>
      <c r="F362" s="2">
        <v>12</v>
      </c>
      <c r="G362" s="2"/>
      <c r="H362" s="2" t="b">
        <v>0</v>
      </c>
      <c r="I362" s="2">
        <v>0</v>
      </c>
      <c r="J362" s="2">
        <v>1</v>
      </c>
      <c r="K362" s="65"/>
      <c r="L362" s="65"/>
      <c r="M362" s="21">
        <v>0.24</v>
      </c>
    </row>
    <row r="363" spans="1:13" ht="13.2" x14ac:dyDescent="0.25">
      <c r="A363" s="7">
        <v>362</v>
      </c>
      <c r="B363" s="3">
        <v>40559</v>
      </c>
      <c r="C363" s="2">
        <v>1</v>
      </c>
      <c r="D363" s="2">
        <v>0</v>
      </c>
      <c r="E363" s="2">
        <v>1</v>
      </c>
      <c r="F363" s="2">
        <v>13</v>
      </c>
      <c r="G363" s="2"/>
      <c r="H363" s="2" t="b">
        <v>0</v>
      </c>
      <c r="I363" s="2">
        <v>0</v>
      </c>
      <c r="J363" s="2">
        <v>1</v>
      </c>
      <c r="K363" s="65"/>
      <c r="L363" s="65"/>
      <c r="M363" s="21">
        <v>0.26</v>
      </c>
    </row>
    <row r="364" spans="1:13" ht="13.2" x14ac:dyDescent="0.25">
      <c r="A364" s="7">
        <v>363</v>
      </c>
      <c r="B364" s="3">
        <v>40559</v>
      </c>
      <c r="C364" s="2">
        <v>1</v>
      </c>
      <c r="D364" s="2">
        <v>0</v>
      </c>
      <c r="E364" s="2">
        <v>1</v>
      </c>
      <c r="F364" s="2">
        <v>14</v>
      </c>
      <c r="G364" s="2"/>
      <c r="H364" s="2" t="b">
        <v>0</v>
      </c>
      <c r="I364" s="2">
        <v>0</v>
      </c>
      <c r="J364" s="2">
        <v>1</v>
      </c>
      <c r="K364" s="65"/>
      <c r="L364" s="65"/>
      <c r="M364" s="21">
        <v>0.28000000000000003</v>
      </c>
    </row>
    <row r="365" spans="1:13" ht="13.2" x14ac:dyDescent="0.25">
      <c r="A365" s="7">
        <v>364</v>
      </c>
      <c r="B365" s="3">
        <v>40559</v>
      </c>
      <c r="C365" s="2">
        <v>1</v>
      </c>
      <c r="D365" s="2">
        <v>0</v>
      </c>
      <c r="E365" s="2">
        <v>1</v>
      </c>
      <c r="F365" s="2">
        <v>15</v>
      </c>
      <c r="G365" s="2"/>
      <c r="H365" s="2" t="b">
        <v>0</v>
      </c>
      <c r="I365" s="2">
        <v>0</v>
      </c>
      <c r="J365" s="2">
        <v>1</v>
      </c>
      <c r="K365" s="65"/>
      <c r="L365" s="65"/>
      <c r="M365" s="21">
        <v>0.26</v>
      </c>
    </row>
    <row r="366" spans="1:13" ht="13.2" x14ac:dyDescent="0.25">
      <c r="A366" s="7">
        <v>365</v>
      </c>
      <c r="B366" s="3">
        <v>40559</v>
      </c>
      <c r="C366" s="2">
        <v>1</v>
      </c>
      <c r="D366" s="2">
        <v>0</v>
      </c>
      <c r="E366" s="2">
        <v>1</v>
      </c>
      <c r="F366" s="2">
        <v>16</v>
      </c>
      <c r="G366" s="2"/>
      <c r="H366" s="2" t="b">
        <v>0</v>
      </c>
      <c r="I366" s="2">
        <v>0</v>
      </c>
      <c r="J366" s="2">
        <v>1</v>
      </c>
      <c r="K366" s="65"/>
      <c r="L366" s="65"/>
      <c r="M366" s="21">
        <v>0.24</v>
      </c>
    </row>
    <row r="367" spans="1:13" ht="13.2" x14ac:dyDescent="0.25">
      <c r="A367" s="7">
        <v>366</v>
      </c>
      <c r="B367" s="3">
        <v>40559</v>
      </c>
      <c r="C367" s="2">
        <v>1</v>
      </c>
      <c r="D367" s="2">
        <v>0</v>
      </c>
      <c r="E367" s="2">
        <v>1</v>
      </c>
      <c r="F367" s="2">
        <v>17</v>
      </c>
      <c r="G367" s="2"/>
      <c r="H367" s="2" t="b">
        <v>0</v>
      </c>
      <c r="I367" s="2">
        <v>0</v>
      </c>
      <c r="J367" s="2">
        <v>1</v>
      </c>
      <c r="K367" s="65"/>
      <c r="L367" s="65"/>
      <c r="M367" s="21">
        <v>0.22</v>
      </c>
    </row>
    <row r="368" spans="1:13" ht="13.2" x14ac:dyDescent="0.25">
      <c r="A368" s="7">
        <v>367</v>
      </c>
      <c r="B368" s="3">
        <v>40559</v>
      </c>
      <c r="C368" s="2">
        <v>1</v>
      </c>
      <c r="D368" s="2">
        <v>0</v>
      </c>
      <c r="E368" s="2">
        <v>1</v>
      </c>
      <c r="F368" s="2">
        <v>18</v>
      </c>
      <c r="G368" s="2"/>
      <c r="H368" s="2" t="b">
        <v>0</v>
      </c>
      <c r="I368" s="2">
        <v>0</v>
      </c>
      <c r="J368" s="2">
        <v>1</v>
      </c>
      <c r="K368" s="65"/>
      <c r="L368" s="65"/>
      <c r="M368" s="21">
        <v>0.2</v>
      </c>
    </row>
    <row r="369" spans="1:13" ht="13.2" x14ac:dyDescent="0.25">
      <c r="A369" s="7">
        <v>368</v>
      </c>
      <c r="B369" s="3">
        <v>40559</v>
      </c>
      <c r="C369" s="2">
        <v>1</v>
      </c>
      <c r="D369" s="2">
        <v>0</v>
      </c>
      <c r="E369" s="2">
        <v>1</v>
      </c>
      <c r="F369" s="2">
        <v>19</v>
      </c>
      <c r="G369" s="2"/>
      <c r="H369" s="2" t="b">
        <v>0</v>
      </c>
      <c r="I369" s="2">
        <v>0</v>
      </c>
      <c r="J369" s="2">
        <v>1</v>
      </c>
      <c r="K369" s="65"/>
      <c r="L369" s="65"/>
      <c r="M369" s="21">
        <v>0.18</v>
      </c>
    </row>
    <row r="370" spans="1:13" ht="13.2" x14ac:dyDescent="0.25">
      <c r="A370" s="7">
        <v>369</v>
      </c>
      <c r="B370" s="3">
        <v>40559</v>
      </c>
      <c r="C370" s="2">
        <v>1</v>
      </c>
      <c r="D370" s="2">
        <v>0</v>
      </c>
      <c r="E370" s="2">
        <v>1</v>
      </c>
      <c r="F370" s="2">
        <v>20</v>
      </c>
      <c r="G370" s="2"/>
      <c r="H370" s="2" t="b">
        <v>0</v>
      </c>
      <c r="I370" s="2">
        <v>0</v>
      </c>
      <c r="J370" s="2">
        <v>1</v>
      </c>
      <c r="K370" s="65"/>
      <c r="L370" s="65"/>
      <c r="M370" s="21">
        <v>0.18</v>
      </c>
    </row>
    <row r="371" spans="1:13" ht="13.2" x14ac:dyDescent="0.25">
      <c r="A371" s="7">
        <v>370</v>
      </c>
      <c r="B371" s="3">
        <v>40559</v>
      </c>
      <c r="C371" s="2">
        <v>1</v>
      </c>
      <c r="D371" s="2">
        <v>0</v>
      </c>
      <c r="E371" s="2">
        <v>1</v>
      </c>
      <c r="F371" s="2">
        <v>21</v>
      </c>
      <c r="G371" s="2"/>
      <c r="H371" s="2" t="b">
        <v>0</v>
      </c>
      <c r="I371" s="2">
        <v>0</v>
      </c>
      <c r="J371" s="2">
        <v>1</v>
      </c>
      <c r="K371" s="65"/>
      <c r="L371" s="65"/>
      <c r="M371" s="21">
        <v>0.18</v>
      </c>
    </row>
    <row r="372" spans="1:13" ht="13.2" x14ac:dyDescent="0.25">
      <c r="A372" s="7">
        <v>371</v>
      </c>
      <c r="B372" s="3">
        <v>40559</v>
      </c>
      <c r="C372" s="2">
        <v>1</v>
      </c>
      <c r="D372" s="2">
        <v>0</v>
      </c>
      <c r="E372" s="2">
        <v>1</v>
      </c>
      <c r="F372" s="2">
        <v>22</v>
      </c>
      <c r="G372" s="2"/>
      <c r="H372" s="2" t="b">
        <v>0</v>
      </c>
      <c r="I372" s="2">
        <v>0</v>
      </c>
      <c r="J372" s="2">
        <v>2</v>
      </c>
      <c r="K372" s="65"/>
      <c r="L372" s="65"/>
      <c r="M372" s="21">
        <v>0.2</v>
      </c>
    </row>
    <row r="373" spans="1:13" ht="13.2" x14ac:dyDescent="0.25">
      <c r="A373" s="7">
        <v>372</v>
      </c>
      <c r="B373" s="3">
        <v>40559</v>
      </c>
      <c r="C373" s="2">
        <v>1</v>
      </c>
      <c r="D373" s="2">
        <v>0</v>
      </c>
      <c r="E373" s="2">
        <v>1</v>
      </c>
      <c r="F373" s="2">
        <v>23</v>
      </c>
      <c r="G373" s="2"/>
      <c r="H373" s="2" t="b">
        <v>0</v>
      </c>
      <c r="I373" s="2">
        <v>0</v>
      </c>
      <c r="J373" s="2">
        <v>2</v>
      </c>
      <c r="K373" s="65"/>
      <c r="L373" s="65"/>
      <c r="M373" s="21">
        <v>0.2</v>
      </c>
    </row>
    <row r="374" spans="1:13" ht="13.2" x14ac:dyDescent="0.25">
      <c r="A374" s="7">
        <v>373</v>
      </c>
      <c r="B374" s="3">
        <v>40560</v>
      </c>
      <c r="C374" s="2">
        <v>1</v>
      </c>
      <c r="D374" s="2">
        <v>0</v>
      </c>
      <c r="E374" s="2">
        <v>1</v>
      </c>
      <c r="F374" s="2">
        <v>0</v>
      </c>
      <c r="G374" s="2"/>
      <c r="H374" s="2" t="b">
        <v>1</v>
      </c>
      <c r="I374" s="2">
        <v>1</v>
      </c>
      <c r="J374" s="2">
        <v>2</v>
      </c>
      <c r="K374" s="65"/>
      <c r="L374" s="65"/>
      <c r="M374" s="21">
        <v>0.2</v>
      </c>
    </row>
    <row r="375" spans="1:13" ht="13.2" x14ac:dyDescent="0.25">
      <c r="A375" s="7">
        <v>374</v>
      </c>
      <c r="B375" s="3">
        <v>40560</v>
      </c>
      <c r="C375" s="2">
        <v>1</v>
      </c>
      <c r="D375" s="2">
        <v>0</v>
      </c>
      <c r="E375" s="2">
        <v>1</v>
      </c>
      <c r="F375" s="2">
        <v>1</v>
      </c>
      <c r="G375" s="2"/>
      <c r="H375" s="2" t="b">
        <v>1</v>
      </c>
      <c r="I375" s="2">
        <v>1</v>
      </c>
      <c r="J375" s="2">
        <v>2</v>
      </c>
      <c r="K375" s="65"/>
      <c r="L375" s="65"/>
      <c r="M375" s="21">
        <v>0.2</v>
      </c>
    </row>
    <row r="376" spans="1:13" ht="13.2" x14ac:dyDescent="0.25">
      <c r="A376" s="7">
        <v>375</v>
      </c>
      <c r="B376" s="3">
        <v>40560</v>
      </c>
      <c r="C376" s="2">
        <v>1</v>
      </c>
      <c r="D376" s="2">
        <v>0</v>
      </c>
      <c r="E376" s="2">
        <v>1</v>
      </c>
      <c r="F376" s="2">
        <v>2</v>
      </c>
      <c r="G376" s="2"/>
      <c r="H376" s="2" t="b">
        <v>1</v>
      </c>
      <c r="I376" s="2">
        <v>1</v>
      </c>
      <c r="J376" s="2">
        <v>2</v>
      </c>
      <c r="K376" s="65"/>
      <c r="L376" s="65"/>
      <c r="M376" s="21">
        <v>0.18</v>
      </c>
    </row>
    <row r="377" spans="1:13" ht="13.2" x14ac:dyDescent="0.25">
      <c r="A377" s="7">
        <v>376</v>
      </c>
      <c r="B377" s="3">
        <v>40560</v>
      </c>
      <c r="C377" s="2">
        <v>1</v>
      </c>
      <c r="D377" s="2">
        <v>0</v>
      </c>
      <c r="E377" s="2">
        <v>1</v>
      </c>
      <c r="F377" s="2">
        <v>3</v>
      </c>
      <c r="G377" s="2"/>
      <c r="H377" s="2" t="b">
        <v>1</v>
      </c>
      <c r="I377" s="2">
        <v>1</v>
      </c>
      <c r="J377" s="2">
        <v>2</v>
      </c>
      <c r="K377" s="65"/>
      <c r="L377" s="65"/>
      <c r="M377" s="21">
        <v>0.18</v>
      </c>
    </row>
    <row r="378" spans="1:13" ht="13.2" x14ac:dyDescent="0.25">
      <c r="A378" s="7">
        <v>377</v>
      </c>
      <c r="B378" s="3">
        <v>40560</v>
      </c>
      <c r="C378" s="2">
        <v>1</v>
      </c>
      <c r="D378" s="2">
        <v>0</v>
      </c>
      <c r="E378" s="2">
        <v>1</v>
      </c>
      <c r="F378" s="2">
        <v>4</v>
      </c>
      <c r="G378" s="2"/>
      <c r="H378" s="2" t="b">
        <v>1</v>
      </c>
      <c r="I378" s="2">
        <v>1</v>
      </c>
      <c r="J378" s="2">
        <v>2</v>
      </c>
      <c r="K378" s="65"/>
      <c r="L378" s="65"/>
      <c r="M378" s="21">
        <v>0.18</v>
      </c>
    </row>
    <row r="379" spans="1:13" ht="13.2" x14ac:dyDescent="0.25">
      <c r="A379" s="7">
        <v>378</v>
      </c>
      <c r="B379" s="3">
        <v>40560</v>
      </c>
      <c r="C379" s="2">
        <v>1</v>
      </c>
      <c r="D379" s="2">
        <v>0</v>
      </c>
      <c r="E379" s="2">
        <v>1</v>
      </c>
      <c r="F379" s="2">
        <v>5</v>
      </c>
      <c r="G379" s="2"/>
      <c r="H379" s="2" t="b">
        <v>1</v>
      </c>
      <c r="I379" s="2">
        <v>1</v>
      </c>
      <c r="J379" s="2">
        <v>2</v>
      </c>
      <c r="K379" s="65"/>
      <c r="L379" s="65"/>
      <c r="M379" s="21">
        <v>0.18</v>
      </c>
    </row>
    <row r="380" spans="1:13" ht="13.2" x14ac:dyDescent="0.25">
      <c r="A380" s="7">
        <v>379</v>
      </c>
      <c r="B380" s="3">
        <v>40560</v>
      </c>
      <c r="C380" s="2">
        <v>1</v>
      </c>
      <c r="D380" s="2">
        <v>0</v>
      </c>
      <c r="E380" s="2">
        <v>1</v>
      </c>
      <c r="F380" s="2">
        <v>6</v>
      </c>
      <c r="G380" s="2"/>
      <c r="H380" s="2" t="b">
        <v>1</v>
      </c>
      <c r="I380" s="2">
        <v>1</v>
      </c>
      <c r="J380" s="2">
        <v>2</v>
      </c>
      <c r="K380" s="65"/>
      <c r="L380" s="65"/>
      <c r="M380" s="21">
        <v>0.18</v>
      </c>
    </row>
    <row r="381" spans="1:13" ht="13.2" x14ac:dyDescent="0.25">
      <c r="A381" s="7">
        <v>380</v>
      </c>
      <c r="B381" s="3">
        <v>40560</v>
      </c>
      <c r="C381" s="2">
        <v>1</v>
      </c>
      <c r="D381" s="2">
        <v>0</v>
      </c>
      <c r="E381" s="2">
        <v>1</v>
      </c>
      <c r="F381" s="2">
        <v>7</v>
      </c>
      <c r="G381" s="2"/>
      <c r="H381" s="2" t="b">
        <v>1</v>
      </c>
      <c r="I381" s="2">
        <v>1</v>
      </c>
      <c r="J381" s="2">
        <v>2</v>
      </c>
      <c r="K381" s="65"/>
      <c r="L381" s="65"/>
      <c r="M381" s="21">
        <v>0.16</v>
      </c>
    </row>
    <row r="382" spans="1:13" ht="13.2" x14ac:dyDescent="0.25">
      <c r="A382" s="7">
        <v>381</v>
      </c>
      <c r="B382" s="3">
        <v>40560</v>
      </c>
      <c r="C382" s="2">
        <v>1</v>
      </c>
      <c r="D382" s="2">
        <v>0</v>
      </c>
      <c r="E382" s="2">
        <v>1</v>
      </c>
      <c r="F382" s="2">
        <v>8</v>
      </c>
      <c r="G382" s="2"/>
      <c r="H382" s="2" t="b">
        <v>1</v>
      </c>
      <c r="I382" s="2">
        <v>1</v>
      </c>
      <c r="J382" s="2">
        <v>2</v>
      </c>
      <c r="K382" s="65"/>
      <c r="L382" s="65"/>
      <c r="M382" s="21">
        <v>0.16</v>
      </c>
    </row>
    <row r="383" spans="1:13" ht="13.2" x14ac:dyDescent="0.25">
      <c r="A383" s="7">
        <v>382</v>
      </c>
      <c r="B383" s="3">
        <v>40560</v>
      </c>
      <c r="C383" s="2">
        <v>1</v>
      </c>
      <c r="D383" s="2">
        <v>0</v>
      </c>
      <c r="E383" s="2">
        <v>1</v>
      </c>
      <c r="F383" s="2">
        <v>9</v>
      </c>
      <c r="G383" s="2"/>
      <c r="H383" s="2" t="b">
        <v>1</v>
      </c>
      <c r="I383" s="2">
        <v>1</v>
      </c>
      <c r="J383" s="2">
        <v>2</v>
      </c>
      <c r="K383" s="65"/>
      <c r="L383" s="65"/>
      <c r="M383" s="21">
        <v>0.16</v>
      </c>
    </row>
    <row r="384" spans="1:13" ht="13.2" x14ac:dyDescent="0.25">
      <c r="A384" s="7">
        <v>383</v>
      </c>
      <c r="B384" s="3">
        <v>40560</v>
      </c>
      <c r="C384" s="2">
        <v>1</v>
      </c>
      <c r="D384" s="2">
        <v>0</v>
      </c>
      <c r="E384" s="2">
        <v>1</v>
      </c>
      <c r="F384" s="2">
        <v>10</v>
      </c>
      <c r="G384" s="2"/>
      <c r="H384" s="2" t="b">
        <v>1</v>
      </c>
      <c r="I384" s="2">
        <v>1</v>
      </c>
      <c r="J384" s="2">
        <v>2</v>
      </c>
      <c r="K384" s="65"/>
      <c r="L384" s="65"/>
      <c r="M384" s="21">
        <v>0.16</v>
      </c>
    </row>
    <row r="385" spans="1:13" ht="13.2" x14ac:dyDescent="0.25">
      <c r="A385" s="7">
        <v>384</v>
      </c>
      <c r="B385" s="3">
        <v>40560</v>
      </c>
      <c r="C385" s="2">
        <v>1</v>
      </c>
      <c r="D385" s="2">
        <v>0</v>
      </c>
      <c r="E385" s="2">
        <v>1</v>
      </c>
      <c r="F385" s="2">
        <v>11</v>
      </c>
      <c r="G385" s="2"/>
      <c r="H385" s="2" t="b">
        <v>1</v>
      </c>
      <c r="I385" s="2">
        <v>1</v>
      </c>
      <c r="J385" s="2">
        <v>2</v>
      </c>
      <c r="K385" s="65"/>
      <c r="L385" s="65"/>
      <c r="M385" s="21">
        <v>0.16</v>
      </c>
    </row>
    <row r="386" spans="1:13" ht="13.2" x14ac:dyDescent="0.25">
      <c r="A386" s="7">
        <v>385</v>
      </c>
      <c r="B386" s="3">
        <v>40560</v>
      </c>
      <c r="C386" s="2">
        <v>1</v>
      </c>
      <c r="D386" s="2">
        <v>0</v>
      </c>
      <c r="E386" s="2">
        <v>1</v>
      </c>
      <c r="F386" s="2">
        <v>12</v>
      </c>
      <c r="G386" s="2"/>
      <c r="H386" s="2" t="b">
        <v>1</v>
      </c>
      <c r="I386" s="2">
        <v>1</v>
      </c>
      <c r="J386" s="2">
        <v>2</v>
      </c>
      <c r="K386" s="65"/>
      <c r="L386" s="65"/>
      <c r="M386" s="21">
        <v>0.18</v>
      </c>
    </row>
    <row r="387" spans="1:13" ht="13.2" x14ac:dyDescent="0.25">
      <c r="A387" s="7">
        <v>386</v>
      </c>
      <c r="B387" s="3">
        <v>40560</v>
      </c>
      <c r="C387" s="2">
        <v>1</v>
      </c>
      <c r="D387" s="2">
        <v>0</v>
      </c>
      <c r="E387" s="2">
        <v>1</v>
      </c>
      <c r="F387" s="2">
        <v>13</v>
      </c>
      <c r="G387" s="2"/>
      <c r="H387" s="2" t="b">
        <v>1</v>
      </c>
      <c r="I387" s="2">
        <v>1</v>
      </c>
      <c r="J387" s="2">
        <v>2</v>
      </c>
      <c r="K387" s="65"/>
      <c r="L387" s="65"/>
      <c r="M387" s="21">
        <v>0.18</v>
      </c>
    </row>
    <row r="388" spans="1:13" ht="13.2" x14ac:dyDescent="0.25">
      <c r="A388" s="7">
        <v>387</v>
      </c>
      <c r="B388" s="3">
        <v>40560</v>
      </c>
      <c r="C388" s="2">
        <v>1</v>
      </c>
      <c r="D388" s="2">
        <v>0</v>
      </c>
      <c r="E388" s="2">
        <v>1</v>
      </c>
      <c r="F388" s="2">
        <v>14</v>
      </c>
      <c r="G388" s="2"/>
      <c r="H388" s="2" t="b">
        <v>1</v>
      </c>
      <c r="I388" s="2">
        <v>1</v>
      </c>
      <c r="J388" s="2">
        <v>2</v>
      </c>
      <c r="K388" s="65"/>
      <c r="L388" s="65"/>
      <c r="M388" s="21">
        <v>0.18</v>
      </c>
    </row>
    <row r="389" spans="1:13" ht="13.2" x14ac:dyDescent="0.25">
      <c r="A389" s="7">
        <v>388</v>
      </c>
      <c r="B389" s="3">
        <v>40560</v>
      </c>
      <c r="C389" s="2">
        <v>1</v>
      </c>
      <c r="D389" s="2">
        <v>0</v>
      </c>
      <c r="E389" s="2">
        <v>1</v>
      </c>
      <c r="F389" s="2">
        <v>15</v>
      </c>
      <c r="G389" s="2"/>
      <c r="H389" s="2" t="b">
        <v>1</v>
      </c>
      <c r="I389" s="2">
        <v>1</v>
      </c>
      <c r="J389" s="2">
        <v>2</v>
      </c>
      <c r="K389" s="65"/>
      <c r="L389" s="65"/>
      <c r="M389" s="21">
        <v>0.2</v>
      </c>
    </row>
    <row r="390" spans="1:13" ht="13.2" x14ac:dyDescent="0.25">
      <c r="A390" s="7">
        <v>389</v>
      </c>
      <c r="B390" s="3">
        <v>40560</v>
      </c>
      <c r="C390" s="2">
        <v>1</v>
      </c>
      <c r="D390" s="2">
        <v>0</v>
      </c>
      <c r="E390" s="2">
        <v>1</v>
      </c>
      <c r="F390" s="2">
        <v>16</v>
      </c>
      <c r="G390" s="2"/>
      <c r="H390" s="2" t="b">
        <v>1</v>
      </c>
      <c r="I390" s="2">
        <v>1</v>
      </c>
      <c r="J390" s="2">
        <v>2</v>
      </c>
      <c r="K390" s="65"/>
      <c r="L390" s="65"/>
      <c r="M390" s="21">
        <v>0.2</v>
      </c>
    </row>
    <row r="391" spans="1:13" ht="13.2" x14ac:dyDescent="0.25">
      <c r="A391" s="7">
        <v>390</v>
      </c>
      <c r="B391" s="3">
        <v>40560</v>
      </c>
      <c r="C391" s="2">
        <v>1</v>
      </c>
      <c r="D391" s="2">
        <v>0</v>
      </c>
      <c r="E391" s="2">
        <v>1</v>
      </c>
      <c r="F391" s="2">
        <v>17</v>
      </c>
      <c r="G391" s="2"/>
      <c r="H391" s="2" t="b">
        <v>1</v>
      </c>
      <c r="I391" s="2">
        <v>1</v>
      </c>
      <c r="J391" s="2">
        <v>1</v>
      </c>
      <c r="K391" s="65"/>
      <c r="L391" s="65"/>
      <c r="M391" s="21">
        <v>0.2</v>
      </c>
    </row>
    <row r="392" spans="1:13" ht="13.2" x14ac:dyDescent="0.25">
      <c r="A392" s="7">
        <v>391</v>
      </c>
      <c r="B392" s="3">
        <v>40560</v>
      </c>
      <c r="C392" s="2">
        <v>1</v>
      </c>
      <c r="D392" s="2">
        <v>0</v>
      </c>
      <c r="E392" s="2">
        <v>1</v>
      </c>
      <c r="F392" s="2">
        <v>18</v>
      </c>
      <c r="G392" s="2"/>
      <c r="H392" s="2" t="b">
        <v>1</v>
      </c>
      <c r="I392" s="2">
        <v>1</v>
      </c>
      <c r="J392" s="2">
        <v>2</v>
      </c>
      <c r="K392" s="65"/>
      <c r="L392" s="65"/>
      <c r="M392" s="21">
        <v>0.18</v>
      </c>
    </row>
    <row r="393" spans="1:13" ht="13.2" x14ac:dyDescent="0.25">
      <c r="A393" s="7">
        <v>392</v>
      </c>
      <c r="B393" s="3">
        <v>40560</v>
      </c>
      <c r="C393" s="2">
        <v>1</v>
      </c>
      <c r="D393" s="2">
        <v>0</v>
      </c>
      <c r="E393" s="2">
        <v>1</v>
      </c>
      <c r="F393" s="2">
        <v>19</v>
      </c>
      <c r="G393" s="2"/>
      <c r="H393" s="2" t="b">
        <v>1</v>
      </c>
      <c r="I393" s="2">
        <v>1</v>
      </c>
      <c r="J393" s="2">
        <v>3</v>
      </c>
      <c r="K393" s="65"/>
      <c r="L393" s="65"/>
      <c r="M393" s="21">
        <v>0.18</v>
      </c>
    </row>
    <row r="394" spans="1:13" ht="13.2" x14ac:dyDescent="0.25">
      <c r="A394" s="7">
        <v>393</v>
      </c>
      <c r="B394" s="3">
        <v>40560</v>
      </c>
      <c r="C394" s="2">
        <v>1</v>
      </c>
      <c r="D394" s="2">
        <v>0</v>
      </c>
      <c r="E394" s="2">
        <v>1</v>
      </c>
      <c r="F394" s="2">
        <v>20</v>
      </c>
      <c r="G394" s="2"/>
      <c r="H394" s="2" t="b">
        <v>1</v>
      </c>
      <c r="I394" s="2">
        <v>1</v>
      </c>
      <c r="J394" s="2">
        <v>3</v>
      </c>
      <c r="K394" s="65"/>
      <c r="L394" s="65"/>
      <c r="M394" s="21">
        <v>0.16</v>
      </c>
    </row>
    <row r="395" spans="1:13" ht="13.2" x14ac:dyDescent="0.25">
      <c r="A395" s="7">
        <v>394</v>
      </c>
      <c r="B395" s="3">
        <v>40560</v>
      </c>
      <c r="C395" s="2">
        <v>1</v>
      </c>
      <c r="D395" s="2">
        <v>0</v>
      </c>
      <c r="E395" s="2">
        <v>1</v>
      </c>
      <c r="F395" s="2">
        <v>21</v>
      </c>
      <c r="G395" s="2"/>
      <c r="H395" s="2" t="b">
        <v>1</v>
      </c>
      <c r="I395" s="2">
        <v>1</v>
      </c>
      <c r="J395" s="2">
        <v>3</v>
      </c>
      <c r="K395" s="65"/>
      <c r="L395" s="65"/>
      <c r="M395" s="21">
        <v>0.16</v>
      </c>
    </row>
    <row r="396" spans="1:13" ht="13.2" x14ac:dyDescent="0.25">
      <c r="A396" s="7">
        <v>395</v>
      </c>
      <c r="B396" s="3">
        <v>40560</v>
      </c>
      <c r="C396" s="2">
        <v>1</v>
      </c>
      <c r="D396" s="2">
        <v>0</v>
      </c>
      <c r="E396" s="2">
        <v>1</v>
      </c>
      <c r="F396" s="2">
        <v>22</v>
      </c>
      <c r="G396" s="2"/>
      <c r="H396" s="2" t="b">
        <v>1</v>
      </c>
      <c r="I396" s="2">
        <v>1</v>
      </c>
      <c r="J396" s="2">
        <v>3</v>
      </c>
      <c r="K396" s="65"/>
      <c r="L396" s="65"/>
      <c r="M396" s="21">
        <v>0.14000000000000001</v>
      </c>
    </row>
    <row r="397" spans="1:13" ht="13.2" x14ac:dyDescent="0.25">
      <c r="A397" s="7">
        <v>396</v>
      </c>
      <c r="B397" s="3">
        <v>40560</v>
      </c>
      <c r="C397" s="2">
        <v>1</v>
      </c>
      <c r="D397" s="2">
        <v>0</v>
      </c>
      <c r="E397" s="2">
        <v>1</v>
      </c>
      <c r="F397" s="2">
        <v>23</v>
      </c>
      <c r="G397" s="2"/>
      <c r="H397" s="2" t="b">
        <v>1</v>
      </c>
      <c r="I397" s="2">
        <v>1</v>
      </c>
      <c r="J397" s="2">
        <v>3</v>
      </c>
      <c r="K397" s="65"/>
      <c r="L397" s="65"/>
      <c r="M397" s="21">
        <v>0.16</v>
      </c>
    </row>
    <row r="398" spans="1:13" ht="13.2" x14ac:dyDescent="0.25">
      <c r="A398" s="7">
        <v>397</v>
      </c>
      <c r="B398" s="3">
        <v>40561</v>
      </c>
      <c r="C398" s="2">
        <v>1</v>
      </c>
      <c r="D398" s="2">
        <v>0</v>
      </c>
      <c r="E398" s="2">
        <v>1</v>
      </c>
      <c r="F398" s="2">
        <v>12</v>
      </c>
      <c r="G398" s="2"/>
      <c r="H398" s="2" t="b">
        <v>0</v>
      </c>
      <c r="I398" s="2">
        <v>2</v>
      </c>
      <c r="J398" s="2">
        <v>2</v>
      </c>
      <c r="K398" s="65"/>
      <c r="L398" s="65"/>
      <c r="M398" s="21">
        <v>0.2</v>
      </c>
    </row>
    <row r="399" spans="1:13" ht="13.2" x14ac:dyDescent="0.25">
      <c r="A399" s="7">
        <v>398</v>
      </c>
      <c r="B399" s="3">
        <v>40561</v>
      </c>
      <c r="C399" s="2">
        <v>1</v>
      </c>
      <c r="D399" s="2">
        <v>0</v>
      </c>
      <c r="E399" s="2">
        <v>1</v>
      </c>
      <c r="F399" s="2">
        <v>13</v>
      </c>
      <c r="G399" s="2"/>
      <c r="H399" s="2" t="b">
        <v>0</v>
      </c>
      <c r="I399" s="2">
        <v>2</v>
      </c>
      <c r="J399" s="2">
        <v>2</v>
      </c>
      <c r="K399" s="65"/>
      <c r="L399" s="65"/>
      <c r="M399" s="21">
        <v>0.2</v>
      </c>
    </row>
    <row r="400" spans="1:13" ht="13.2" x14ac:dyDescent="0.25">
      <c r="A400" s="7">
        <v>399</v>
      </c>
      <c r="B400" s="3">
        <v>40561</v>
      </c>
      <c r="C400" s="2">
        <v>1</v>
      </c>
      <c r="D400" s="2">
        <v>0</v>
      </c>
      <c r="E400" s="2">
        <v>1</v>
      </c>
      <c r="F400" s="2">
        <v>14</v>
      </c>
      <c r="G400" s="2"/>
      <c r="H400" s="2" t="b">
        <v>0</v>
      </c>
      <c r="I400" s="2">
        <v>2</v>
      </c>
      <c r="J400" s="2">
        <v>2</v>
      </c>
      <c r="K400" s="65"/>
      <c r="L400" s="65"/>
      <c r="M400" s="21">
        <v>0.22</v>
      </c>
    </row>
    <row r="401" spans="1:13" ht="13.2" x14ac:dyDescent="0.25">
      <c r="A401" s="7">
        <v>400</v>
      </c>
      <c r="B401" s="3">
        <v>40561</v>
      </c>
      <c r="C401" s="2">
        <v>1</v>
      </c>
      <c r="D401" s="2">
        <v>0</v>
      </c>
      <c r="E401" s="2">
        <v>1</v>
      </c>
      <c r="F401" s="2">
        <v>15</v>
      </c>
      <c r="G401" s="2"/>
      <c r="H401" s="2" t="b">
        <v>0</v>
      </c>
      <c r="I401" s="2">
        <v>2</v>
      </c>
      <c r="J401" s="2">
        <v>2</v>
      </c>
      <c r="K401" s="65"/>
      <c r="L401" s="65"/>
      <c r="M401" s="21">
        <v>0.22</v>
      </c>
    </row>
    <row r="402" spans="1:13" ht="13.2" x14ac:dyDescent="0.25">
      <c r="A402" s="7">
        <v>401</v>
      </c>
      <c r="B402" s="3">
        <v>40561</v>
      </c>
      <c r="C402" s="2">
        <v>1</v>
      </c>
      <c r="D402" s="2">
        <v>0</v>
      </c>
      <c r="E402" s="2">
        <v>1</v>
      </c>
      <c r="F402" s="2">
        <v>16</v>
      </c>
      <c r="G402" s="2"/>
      <c r="H402" s="2" t="b">
        <v>0</v>
      </c>
      <c r="I402" s="2">
        <v>2</v>
      </c>
      <c r="J402" s="2">
        <v>2</v>
      </c>
      <c r="K402" s="65"/>
      <c r="L402" s="65"/>
      <c r="M402" s="21">
        <v>0.22</v>
      </c>
    </row>
    <row r="403" spans="1:13" ht="13.2" x14ac:dyDescent="0.25">
      <c r="A403" s="7">
        <v>402</v>
      </c>
      <c r="B403" s="3">
        <v>40561</v>
      </c>
      <c r="C403" s="2">
        <v>1</v>
      </c>
      <c r="D403" s="2">
        <v>0</v>
      </c>
      <c r="E403" s="2">
        <v>1</v>
      </c>
      <c r="F403" s="2">
        <v>17</v>
      </c>
      <c r="G403" s="2"/>
      <c r="H403" s="2" t="b">
        <v>0</v>
      </c>
      <c r="I403" s="2">
        <v>2</v>
      </c>
      <c r="J403" s="2">
        <v>2</v>
      </c>
      <c r="K403" s="65"/>
      <c r="L403" s="65"/>
      <c r="M403" s="21">
        <v>0.22</v>
      </c>
    </row>
    <row r="404" spans="1:13" ht="13.2" x14ac:dyDescent="0.25">
      <c r="A404" s="7">
        <v>403</v>
      </c>
      <c r="B404" s="3">
        <v>40561</v>
      </c>
      <c r="C404" s="2">
        <v>1</v>
      </c>
      <c r="D404" s="2">
        <v>0</v>
      </c>
      <c r="E404" s="2">
        <v>1</v>
      </c>
      <c r="F404" s="2">
        <v>18</v>
      </c>
      <c r="G404" s="2"/>
      <c r="H404" s="2" t="b">
        <v>0</v>
      </c>
      <c r="I404" s="2">
        <v>2</v>
      </c>
      <c r="J404" s="2">
        <v>2</v>
      </c>
      <c r="K404" s="65"/>
      <c r="L404" s="65"/>
      <c r="M404" s="21">
        <v>0.22</v>
      </c>
    </row>
    <row r="405" spans="1:13" ht="13.2" x14ac:dyDescent="0.25">
      <c r="A405" s="7">
        <v>404</v>
      </c>
      <c r="B405" s="3">
        <v>40561</v>
      </c>
      <c r="C405" s="2">
        <v>1</v>
      </c>
      <c r="D405" s="2">
        <v>0</v>
      </c>
      <c r="E405" s="2">
        <v>1</v>
      </c>
      <c r="F405" s="2">
        <v>19</v>
      </c>
      <c r="G405" s="2"/>
      <c r="H405" s="2" t="b">
        <v>0</v>
      </c>
      <c r="I405" s="2">
        <v>2</v>
      </c>
      <c r="J405" s="2">
        <v>2</v>
      </c>
      <c r="K405" s="65"/>
      <c r="L405" s="65"/>
      <c r="M405" s="21">
        <v>0.22</v>
      </c>
    </row>
    <row r="406" spans="1:13" ht="13.2" x14ac:dyDescent="0.25">
      <c r="A406" s="7">
        <v>405</v>
      </c>
      <c r="B406" s="3">
        <v>40561</v>
      </c>
      <c r="C406" s="2">
        <v>1</v>
      </c>
      <c r="D406" s="2">
        <v>0</v>
      </c>
      <c r="E406" s="2">
        <v>1</v>
      </c>
      <c r="F406" s="2">
        <v>20</v>
      </c>
      <c r="G406" s="2"/>
      <c r="H406" s="2" t="b">
        <v>0</v>
      </c>
      <c r="I406" s="2">
        <v>2</v>
      </c>
      <c r="J406" s="2">
        <v>2</v>
      </c>
      <c r="K406" s="65"/>
      <c r="L406" s="65"/>
      <c r="M406" s="21">
        <v>0.22</v>
      </c>
    </row>
    <row r="407" spans="1:13" ht="13.2" x14ac:dyDescent="0.25">
      <c r="A407" s="7">
        <v>406</v>
      </c>
      <c r="B407" s="3">
        <v>40561</v>
      </c>
      <c r="C407" s="2">
        <v>1</v>
      </c>
      <c r="D407" s="2">
        <v>0</v>
      </c>
      <c r="E407" s="2">
        <v>1</v>
      </c>
      <c r="F407" s="2">
        <v>21</v>
      </c>
      <c r="G407" s="2"/>
      <c r="H407" s="2" t="b">
        <v>0</v>
      </c>
      <c r="I407" s="2">
        <v>2</v>
      </c>
      <c r="J407" s="2">
        <v>2</v>
      </c>
      <c r="K407" s="65"/>
      <c r="L407" s="65"/>
      <c r="M407" s="21">
        <v>0.22</v>
      </c>
    </row>
    <row r="408" spans="1:13" ht="13.2" x14ac:dyDescent="0.25">
      <c r="A408" s="7">
        <v>407</v>
      </c>
      <c r="B408" s="3">
        <v>40561</v>
      </c>
      <c r="C408" s="2">
        <v>1</v>
      </c>
      <c r="D408" s="2">
        <v>0</v>
      </c>
      <c r="E408" s="2">
        <v>1</v>
      </c>
      <c r="F408" s="2">
        <v>22</v>
      </c>
      <c r="G408" s="2"/>
      <c r="H408" s="2" t="b">
        <v>0</v>
      </c>
      <c r="I408" s="2">
        <v>2</v>
      </c>
      <c r="J408" s="2">
        <v>2</v>
      </c>
      <c r="K408" s="65"/>
      <c r="L408" s="65"/>
      <c r="M408" s="21">
        <v>0.22</v>
      </c>
    </row>
    <row r="409" spans="1:13" ht="13.2" x14ac:dyDescent="0.25">
      <c r="A409" s="7">
        <v>408</v>
      </c>
      <c r="B409" s="3">
        <v>40561</v>
      </c>
      <c r="C409" s="2">
        <v>1</v>
      </c>
      <c r="D409" s="2">
        <v>0</v>
      </c>
      <c r="E409" s="2">
        <v>1</v>
      </c>
      <c r="F409" s="2">
        <v>23</v>
      </c>
      <c r="G409" s="2"/>
      <c r="H409" s="2" t="b">
        <v>0</v>
      </c>
      <c r="I409" s="2">
        <v>2</v>
      </c>
      <c r="J409" s="2">
        <v>2</v>
      </c>
      <c r="K409" s="65"/>
      <c r="L409" s="65"/>
      <c r="M409" s="21">
        <v>0.22</v>
      </c>
    </row>
    <row r="410" spans="1:13" ht="13.2" x14ac:dyDescent="0.25">
      <c r="A410" s="7">
        <v>409</v>
      </c>
      <c r="B410" s="3">
        <v>40562</v>
      </c>
      <c r="C410" s="2">
        <v>1</v>
      </c>
      <c r="D410" s="2">
        <v>0</v>
      </c>
      <c r="E410" s="2">
        <v>1</v>
      </c>
      <c r="F410" s="2">
        <v>0</v>
      </c>
      <c r="G410" s="2"/>
      <c r="H410" s="2" t="b">
        <v>0</v>
      </c>
      <c r="I410" s="2">
        <v>3</v>
      </c>
      <c r="J410" s="2">
        <v>2</v>
      </c>
      <c r="K410" s="65"/>
      <c r="L410" s="65"/>
      <c r="M410" s="21">
        <v>0.22</v>
      </c>
    </row>
    <row r="411" spans="1:13" ht="13.2" x14ac:dyDescent="0.25">
      <c r="A411" s="7">
        <v>410</v>
      </c>
      <c r="B411" s="3">
        <v>40562</v>
      </c>
      <c r="C411" s="2">
        <v>1</v>
      </c>
      <c r="D411" s="2">
        <v>0</v>
      </c>
      <c r="E411" s="2">
        <v>1</v>
      </c>
      <c r="F411" s="2">
        <v>1</v>
      </c>
      <c r="G411" s="2"/>
      <c r="H411" s="2" t="b">
        <v>0</v>
      </c>
      <c r="I411" s="2">
        <v>3</v>
      </c>
      <c r="J411" s="2">
        <v>3</v>
      </c>
      <c r="K411" s="65"/>
      <c r="L411" s="65"/>
      <c r="M411" s="21">
        <v>0.22</v>
      </c>
    </row>
    <row r="412" spans="1:13" ht="13.2" x14ac:dyDescent="0.25">
      <c r="A412" s="7">
        <v>411</v>
      </c>
      <c r="B412" s="3">
        <v>40562</v>
      </c>
      <c r="C412" s="2">
        <v>1</v>
      </c>
      <c r="D412" s="2">
        <v>0</v>
      </c>
      <c r="E412" s="2">
        <v>1</v>
      </c>
      <c r="F412" s="2">
        <v>2</v>
      </c>
      <c r="G412" s="2"/>
      <c r="H412" s="2" t="b">
        <v>0</v>
      </c>
      <c r="I412" s="2">
        <v>3</v>
      </c>
      <c r="J412" s="2">
        <v>3</v>
      </c>
      <c r="K412" s="65"/>
      <c r="L412" s="65"/>
      <c r="M412" s="21">
        <v>0.22</v>
      </c>
    </row>
    <row r="413" spans="1:13" ht="13.2" x14ac:dyDescent="0.25">
      <c r="A413" s="7">
        <v>412</v>
      </c>
      <c r="B413" s="3">
        <v>40562</v>
      </c>
      <c r="C413" s="2">
        <v>1</v>
      </c>
      <c r="D413" s="2">
        <v>0</v>
      </c>
      <c r="E413" s="2">
        <v>1</v>
      </c>
      <c r="F413" s="2">
        <v>4</v>
      </c>
      <c r="G413" s="2"/>
      <c r="H413" s="2" t="b">
        <v>0</v>
      </c>
      <c r="I413" s="2">
        <v>3</v>
      </c>
      <c r="J413" s="2">
        <v>3</v>
      </c>
      <c r="K413" s="65"/>
      <c r="L413" s="65"/>
      <c r="M413" s="21">
        <v>0.22</v>
      </c>
    </row>
    <row r="414" spans="1:13" ht="13.2" x14ac:dyDescent="0.25">
      <c r="A414" s="7">
        <v>413</v>
      </c>
      <c r="B414" s="3">
        <v>40562</v>
      </c>
      <c r="C414" s="2">
        <v>1</v>
      </c>
      <c r="D414" s="2">
        <v>0</v>
      </c>
      <c r="E414" s="2">
        <v>1</v>
      </c>
      <c r="F414" s="2">
        <v>5</v>
      </c>
      <c r="G414" s="2"/>
      <c r="H414" s="2" t="b">
        <v>0</v>
      </c>
      <c r="I414" s="2">
        <v>3</v>
      </c>
      <c r="J414" s="2">
        <v>2</v>
      </c>
      <c r="K414" s="65"/>
      <c r="L414" s="65"/>
      <c r="M414" s="21">
        <v>0.22</v>
      </c>
    </row>
    <row r="415" spans="1:13" ht="13.2" x14ac:dyDescent="0.25">
      <c r="A415" s="7">
        <v>414</v>
      </c>
      <c r="B415" s="3">
        <v>40562</v>
      </c>
      <c r="C415" s="2">
        <v>1</v>
      </c>
      <c r="D415" s="2">
        <v>0</v>
      </c>
      <c r="E415" s="2">
        <v>1</v>
      </c>
      <c r="F415" s="2">
        <v>6</v>
      </c>
      <c r="G415" s="2"/>
      <c r="H415" s="2" t="b">
        <v>0</v>
      </c>
      <c r="I415" s="2">
        <v>3</v>
      </c>
      <c r="J415" s="2">
        <v>2</v>
      </c>
      <c r="K415" s="65"/>
      <c r="L415" s="65"/>
      <c r="M415" s="21">
        <v>0.22</v>
      </c>
    </row>
    <row r="416" spans="1:13" ht="13.2" x14ac:dyDescent="0.25">
      <c r="A416" s="7">
        <v>415</v>
      </c>
      <c r="B416" s="3">
        <v>40562</v>
      </c>
      <c r="C416" s="2">
        <v>1</v>
      </c>
      <c r="D416" s="2">
        <v>0</v>
      </c>
      <c r="E416" s="2">
        <v>1</v>
      </c>
      <c r="F416" s="2">
        <v>7</v>
      </c>
      <c r="G416" s="2"/>
      <c r="H416" s="2" t="b">
        <v>0</v>
      </c>
      <c r="I416" s="2">
        <v>3</v>
      </c>
      <c r="J416" s="2">
        <v>2</v>
      </c>
      <c r="K416" s="65"/>
      <c r="L416" s="65"/>
      <c r="M416" s="21">
        <v>0.24</v>
      </c>
    </row>
    <row r="417" spans="1:13" ht="13.2" x14ac:dyDescent="0.25">
      <c r="A417" s="7">
        <v>416</v>
      </c>
      <c r="B417" s="3">
        <v>40562</v>
      </c>
      <c r="C417" s="2">
        <v>1</v>
      </c>
      <c r="D417" s="2">
        <v>0</v>
      </c>
      <c r="E417" s="2">
        <v>1</v>
      </c>
      <c r="F417" s="2">
        <v>8</v>
      </c>
      <c r="G417" s="2"/>
      <c r="H417" s="2" t="b">
        <v>0</v>
      </c>
      <c r="I417" s="2">
        <v>3</v>
      </c>
      <c r="J417" s="2">
        <v>2</v>
      </c>
      <c r="K417" s="65"/>
      <c r="L417" s="65"/>
      <c r="M417" s="21">
        <v>0.24</v>
      </c>
    </row>
    <row r="418" spans="1:13" ht="13.2" x14ac:dyDescent="0.25">
      <c r="A418" s="7">
        <v>417</v>
      </c>
      <c r="B418" s="3">
        <v>40562</v>
      </c>
      <c r="C418" s="2">
        <v>1</v>
      </c>
      <c r="D418" s="2">
        <v>0</v>
      </c>
      <c r="E418" s="2">
        <v>1</v>
      </c>
      <c r="F418" s="2">
        <v>9</v>
      </c>
      <c r="G418" s="2"/>
      <c r="H418" s="2" t="b">
        <v>0</v>
      </c>
      <c r="I418" s="2">
        <v>3</v>
      </c>
      <c r="J418" s="2">
        <v>2</v>
      </c>
      <c r="K418" s="65"/>
      <c r="L418" s="65"/>
      <c r="M418" s="21">
        <v>0.24</v>
      </c>
    </row>
    <row r="419" spans="1:13" ht="13.2" x14ac:dyDescent="0.25">
      <c r="A419" s="7">
        <v>418</v>
      </c>
      <c r="B419" s="3">
        <v>40562</v>
      </c>
      <c r="C419" s="2">
        <v>1</v>
      </c>
      <c r="D419" s="2">
        <v>0</v>
      </c>
      <c r="E419" s="2">
        <v>1</v>
      </c>
      <c r="F419" s="2">
        <v>10</v>
      </c>
      <c r="G419" s="2"/>
      <c r="H419" s="2" t="b">
        <v>0</v>
      </c>
      <c r="I419" s="2">
        <v>3</v>
      </c>
      <c r="J419" s="2">
        <v>2</v>
      </c>
      <c r="K419" s="65"/>
      <c r="L419" s="65"/>
      <c r="M419" s="21">
        <v>0.26</v>
      </c>
    </row>
    <row r="420" spans="1:13" ht="13.2" x14ac:dyDescent="0.25">
      <c r="A420" s="7">
        <v>419</v>
      </c>
      <c r="B420" s="3">
        <v>40562</v>
      </c>
      <c r="C420" s="2">
        <v>1</v>
      </c>
      <c r="D420" s="2">
        <v>0</v>
      </c>
      <c r="E420" s="2">
        <v>1</v>
      </c>
      <c r="F420" s="2">
        <v>11</v>
      </c>
      <c r="G420" s="2"/>
      <c r="H420" s="2" t="b">
        <v>0</v>
      </c>
      <c r="I420" s="2">
        <v>3</v>
      </c>
      <c r="J420" s="2">
        <v>2</v>
      </c>
      <c r="K420" s="65"/>
      <c r="L420" s="65"/>
      <c r="M420" s="21">
        <v>0.28000000000000003</v>
      </c>
    </row>
    <row r="421" spans="1:13" ht="13.2" x14ac:dyDescent="0.25">
      <c r="A421" s="7">
        <v>420</v>
      </c>
      <c r="B421" s="3">
        <v>40562</v>
      </c>
      <c r="C421" s="2">
        <v>1</v>
      </c>
      <c r="D421" s="2">
        <v>0</v>
      </c>
      <c r="E421" s="2">
        <v>1</v>
      </c>
      <c r="F421" s="2">
        <v>12</v>
      </c>
      <c r="G421" s="2"/>
      <c r="H421" s="2" t="b">
        <v>0</v>
      </c>
      <c r="I421" s="2">
        <v>3</v>
      </c>
      <c r="J421" s="2">
        <v>2</v>
      </c>
      <c r="K421" s="65"/>
      <c r="L421" s="65"/>
      <c r="M421" s="21">
        <v>0.3</v>
      </c>
    </row>
    <row r="422" spans="1:13" ht="13.2" x14ac:dyDescent="0.25">
      <c r="A422" s="7">
        <v>421</v>
      </c>
      <c r="B422" s="3">
        <v>40562</v>
      </c>
      <c r="C422" s="2">
        <v>1</v>
      </c>
      <c r="D422" s="2">
        <v>0</v>
      </c>
      <c r="E422" s="2">
        <v>1</v>
      </c>
      <c r="F422" s="2">
        <v>13</v>
      </c>
      <c r="G422" s="2"/>
      <c r="H422" s="2" t="b">
        <v>0</v>
      </c>
      <c r="I422" s="2">
        <v>3</v>
      </c>
      <c r="J422" s="2">
        <v>1</v>
      </c>
      <c r="K422" s="65"/>
      <c r="L422" s="65"/>
      <c r="M422" s="21">
        <v>0.4</v>
      </c>
    </row>
    <row r="423" spans="1:13" ht="13.2" x14ac:dyDescent="0.25">
      <c r="A423" s="7">
        <v>422</v>
      </c>
      <c r="B423" s="3">
        <v>40562</v>
      </c>
      <c r="C423" s="2">
        <v>1</v>
      </c>
      <c r="D423" s="2">
        <v>0</v>
      </c>
      <c r="E423" s="2">
        <v>1</v>
      </c>
      <c r="F423" s="2">
        <v>14</v>
      </c>
      <c r="G423" s="2"/>
      <c r="H423" s="2" t="b">
        <v>0</v>
      </c>
      <c r="I423" s="2">
        <v>3</v>
      </c>
      <c r="J423" s="2">
        <v>1</v>
      </c>
      <c r="K423" s="65"/>
      <c r="L423" s="65"/>
      <c r="M423" s="21">
        <v>0.4</v>
      </c>
    </row>
    <row r="424" spans="1:13" ht="13.2" x14ac:dyDescent="0.25">
      <c r="A424" s="7">
        <v>423</v>
      </c>
      <c r="B424" s="3">
        <v>40562</v>
      </c>
      <c r="C424" s="2">
        <v>1</v>
      </c>
      <c r="D424" s="2">
        <v>0</v>
      </c>
      <c r="E424" s="2">
        <v>1</v>
      </c>
      <c r="F424" s="2">
        <v>15</v>
      </c>
      <c r="G424" s="2"/>
      <c r="H424" s="2" t="b">
        <v>0</v>
      </c>
      <c r="I424" s="2">
        <v>3</v>
      </c>
      <c r="J424" s="2">
        <v>1</v>
      </c>
      <c r="K424" s="65"/>
      <c r="L424" s="65"/>
      <c r="M424" s="21">
        <v>0.4</v>
      </c>
    </row>
    <row r="425" spans="1:13" ht="13.2" x14ac:dyDescent="0.25">
      <c r="A425" s="7">
        <v>424</v>
      </c>
      <c r="B425" s="3">
        <v>40562</v>
      </c>
      <c r="C425" s="2">
        <v>1</v>
      </c>
      <c r="D425" s="2">
        <v>0</v>
      </c>
      <c r="E425" s="2">
        <v>1</v>
      </c>
      <c r="F425" s="2">
        <v>16</v>
      </c>
      <c r="G425" s="2"/>
      <c r="H425" s="2" t="b">
        <v>0</v>
      </c>
      <c r="I425" s="2">
        <v>3</v>
      </c>
      <c r="J425" s="2">
        <v>1</v>
      </c>
      <c r="K425" s="65"/>
      <c r="L425" s="65"/>
      <c r="M425" s="21">
        <v>0.38</v>
      </c>
    </row>
    <row r="426" spans="1:13" ht="13.2" x14ac:dyDescent="0.25">
      <c r="A426" s="7">
        <v>425</v>
      </c>
      <c r="B426" s="3">
        <v>40562</v>
      </c>
      <c r="C426" s="2">
        <v>1</v>
      </c>
      <c r="D426" s="2">
        <v>0</v>
      </c>
      <c r="E426" s="2">
        <v>1</v>
      </c>
      <c r="F426" s="2">
        <v>17</v>
      </c>
      <c r="G426" s="2"/>
      <c r="H426" s="2" t="b">
        <v>0</v>
      </c>
      <c r="I426" s="2">
        <v>3</v>
      </c>
      <c r="J426" s="2">
        <v>1</v>
      </c>
      <c r="K426" s="65"/>
      <c r="L426" s="65"/>
      <c r="M426" s="21">
        <v>0.36</v>
      </c>
    </row>
    <row r="427" spans="1:13" ht="13.2" x14ac:dyDescent="0.25">
      <c r="A427" s="7">
        <v>426</v>
      </c>
      <c r="B427" s="3">
        <v>40562</v>
      </c>
      <c r="C427" s="2">
        <v>1</v>
      </c>
      <c r="D427" s="2">
        <v>0</v>
      </c>
      <c r="E427" s="2">
        <v>1</v>
      </c>
      <c r="F427" s="2">
        <v>18</v>
      </c>
      <c r="G427" s="2"/>
      <c r="H427" s="2" t="b">
        <v>0</v>
      </c>
      <c r="I427" s="2">
        <v>3</v>
      </c>
      <c r="J427" s="2">
        <v>1</v>
      </c>
      <c r="K427" s="65"/>
      <c r="L427" s="65"/>
      <c r="M427" s="21">
        <v>0.34</v>
      </c>
    </row>
    <row r="428" spans="1:13" ht="13.2" x14ac:dyDescent="0.25">
      <c r="A428" s="7">
        <v>427</v>
      </c>
      <c r="B428" s="3">
        <v>40562</v>
      </c>
      <c r="C428" s="2">
        <v>1</v>
      </c>
      <c r="D428" s="2">
        <v>0</v>
      </c>
      <c r="E428" s="2">
        <v>1</v>
      </c>
      <c r="F428" s="2">
        <v>19</v>
      </c>
      <c r="G428" s="2"/>
      <c r="H428" s="2" t="b">
        <v>0</v>
      </c>
      <c r="I428" s="2">
        <v>3</v>
      </c>
      <c r="J428" s="2">
        <v>1</v>
      </c>
      <c r="K428" s="65"/>
      <c r="L428" s="65"/>
      <c r="M428" s="21">
        <v>0.32</v>
      </c>
    </row>
    <row r="429" spans="1:13" ht="13.2" x14ac:dyDescent="0.25">
      <c r="A429" s="7">
        <v>428</v>
      </c>
      <c r="B429" s="3">
        <v>40562</v>
      </c>
      <c r="C429" s="2">
        <v>1</v>
      </c>
      <c r="D429" s="2">
        <v>0</v>
      </c>
      <c r="E429" s="2">
        <v>1</v>
      </c>
      <c r="F429" s="2">
        <v>20</v>
      </c>
      <c r="G429" s="2"/>
      <c r="H429" s="2" t="b">
        <v>0</v>
      </c>
      <c r="I429" s="2">
        <v>3</v>
      </c>
      <c r="J429" s="2">
        <v>1</v>
      </c>
      <c r="K429" s="65"/>
      <c r="L429" s="65"/>
      <c r="M429" s="21">
        <v>0.32</v>
      </c>
    </row>
    <row r="430" spans="1:13" ht="13.2" x14ac:dyDescent="0.25">
      <c r="A430" s="7">
        <v>429</v>
      </c>
      <c r="B430" s="3">
        <v>40562</v>
      </c>
      <c r="C430" s="2">
        <v>1</v>
      </c>
      <c r="D430" s="2">
        <v>0</v>
      </c>
      <c r="E430" s="2">
        <v>1</v>
      </c>
      <c r="F430" s="2">
        <v>21</v>
      </c>
      <c r="G430" s="2"/>
      <c r="H430" s="2" t="b">
        <v>0</v>
      </c>
      <c r="I430" s="2">
        <v>3</v>
      </c>
      <c r="J430" s="2">
        <v>1</v>
      </c>
      <c r="K430" s="65"/>
      <c r="L430" s="65"/>
      <c r="M430" s="21">
        <v>0.32</v>
      </c>
    </row>
    <row r="431" spans="1:13" ht="13.2" x14ac:dyDescent="0.25">
      <c r="A431" s="7">
        <v>430</v>
      </c>
      <c r="B431" s="3">
        <v>40562</v>
      </c>
      <c r="C431" s="2">
        <v>1</v>
      </c>
      <c r="D431" s="2">
        <v>0</v>
      </c>
      <c r="E431" s="2">
        <v>1</v>
      </c>
      <c r="F431" s="2">
        <v>22</v>
      </c>
      <c r="G431" s="2"/>
      <c r="H431" s="2" t="b">
        <v>0</v>
      </c>
      <c r="I431" s="2">
        <v>3</v>
      </c>
      <c r="J431" s="2">
        <v>1</v>
      </c>
      <c r="K431" s="65"/>
      <c r="L431" s="65"/>
      <c r="M431" s="21">
        <v>0.3</v>
      </c>
    </row>
    <row r="432" spans="1:13" ht="13.2" x14ac:dyDescent="0.25">
      <c r="A432" s="7">
        <v>431</v>
      </c>
      <c r="B432" s="3">
        <v>40562</v>
      </c>
      <c r="C432" s="2">
        <v>1</v>
      </c>
      <c r="D432" s="2">
        <v>0</v>
      </c>
      <c r="E432" s="2">
        <v>1</v>
      </c>
      <c r="F432" s="2">
        <v>23</v>
      </c>
      <c r="G432" s="2"/>
      <c r="H432" s="2" t="b">
        <v>0</v>
      </c>
      <c r="I432" s="2">
        <v>3</v>
      </c>
      <c r="J432" s="2">
        <v>1</v>
      </c>
      <c r="K432" s="65"/>
      <c r="L432" s="65"/>
      <c r="M432" s="21">
        <v>0.3</v>
      </c>
    </row>
    <row r="433" spans="1:13" ht="13.2" x14ac:dyDescent="0.25">
      <c r="A433" s="7">
        <v>432</v>
      </c>
      <c r="B433" s="3">
        <v>40563</v>
      </c>
      <c r="C433" s="2">
        <v>1</v>
      </c>
      <c r="D433" s="2">
        <v>0</v>
      </c>
      <c r="E433" s="2">
        <v>1</v>
      </c>
      <c r="F433" s="2">
        <v>0</v>
      </c>
      <c r="G433" s="2"/>
      <c r="H433" s="2" t="b">
        <v>0</v>
      </c>
      <c r="I433" s="2">
        <v>4</v>
      </c>
      <c r="J433" s="2">
        <v>1</v>
      </c>
      <c r="K433" s="65"/>
      <c r="L433" s="65"/>
      <c r="M433" s="21">
        <v>0.26</v>
      </c>
    </row>
    <row r="434" spans="1:13" ht="13.2" x14ac:dyDescent="0.25">
      <c r="A434" s="7">
        <v>433</v>
      </c>
      <c r="B434" s="3">
        <v>40563</v>
      </c>
      <c r="C434" s="2">
        <v>1</v>
      </c>
      <c r="D434" s="2">
        <v>0</v>
      </c>
      <c r="E434" s="2">
        <v>1</v>
      </c>
      <c r="F434" s="2">
        <v>1</v>
      </c>
      <c r="G434" s="2"/>
      <c r="H434" s="2" t="b">
        <v>0</v>
      </c>
      <c r="I434" s="2">
        <v>4</v>
      </c>
      <c r="J434" s="2">
        <v>1</v>
      </c>
      <c r="K434" s="65"/>
      <c r="L434" s="65"/>
      <c r="M434" s="21">
        <v>0.26</v>
      </c>
    </row>
    <row r="435" spans="1:13" ht="13.2" x14ac:dyDescent="0.25">
      <c r="A435" s="7">
        <v>434</v>
      </c>
      <c r="B435" s="3">
        <v>40563</v>
      </c>
      <c r="C435" s="2">
        <v>1</v>
      </c>
      <c r="D435" s="2">
        <v>0</v>
      </c>
      <c r="E435" s="2">
        <v>1</v>
      </c>
      <c r="F435" s="2">
        <v>2</v>
      </c>
      <c r="G435" s="2"/>
      <c r="H435" s="2" t="b">
        <v>0</v>
      </c>
      <c r="I435" s="2">
        <v>4</v>
      </c>
      <c r="J435" s="2">
        <v>1</v>
      </c>
      <c r="K435" s="65"/>
      <c r="L435" s="65"/>
      <c r="M435" s="21">
        <v>0.26</v>
      </c>
    </row>
    <row r="436" spans="1:13" ht="13.2" x14ac:dyDescent="0.25">
      <c r="A436" s="7">
        <v>435</v>
      </c>
      <c r="B436" s="3">
        <v>40563</v>
      </c>
      <c r="C436" s="2">
        <v>1</v>
      </c>
      <c r="D436" s="2">
        <v>0</v>
      </c>
      <c r="E436" s="2">
        <v>1</v>
      </c>
      <c r="F436" s="2">
        <v>3</v>
      </c>
      <c r="G436" s="2"/>
      <c r="H436" s="2" t="b">
        <v>0</v>
      </c>
      <c r="I436" s="2">
        <v>4</v>
      </c>
      <c r="J436" s="2">
        <v>1</v>
      </c>
      <c r="K436" s="65"/>
      <c r="L436" s="65"/>
      <c r="M436" s="21">
        <v>0.26</v>
      </c>
    </row>
    <row r="437" spans="1:13" ht="13.2" x14ac:dyDescent="0.25">
      <c r="A437" s="7">
        <v>436</v>
      </c>
      <c r="B437" s="3">
        <v>40563</v>
      </c>
      <c r="C437" s="2">
        <v>1</v>
      </c>
      <c r="D437" s="2">
        <v>0</v>
      </c>
      <c r="E437" s="2">
        <v>1</v>
      </c>
      <c r="F437" s="2">
        <v>4</v>
      </c>
      <c r="G437" s="2"/>
      <c r="H437" s="2" t="b">
        <v>0</v>
      </c>
      <c r="I437" s="2">
        <v>4</v>
      </c>
      <c r="J437" s="2">
        <v>1</v>
      </c>
      <c r="K437" s="65"/>
      <c r="L437" s="65"/>
      <c r="M437" s="21">
        <v>0.26</v>
      </c>
    </row>
    <row r="438" spans="1:13" ht="13.2" x14ac:dyDescent="0.25">
      <c r="A438" s="7">
        <v>437</v>
      </c>
      <c r="B438" s="3">
        <v>40563</v>
      </c>
      <c r="C438" s="2">
        <v>1</v>
      </c>
      <c r="D438" s="2">
        <v>0</v>
      </c>
      <c r="E438" s="2">
        <v>1</v>
      </c>
      <c r="F438" s="2">
        <v>5</v>
      </c>
      <c r="G438" s="2"/>
      <c r="H438" s="2" t="b">
        <v>0</v>
      </c>
      <c r="I438" s="2">
        <v>4</v>
      </c>
      <c r="J438" s="2">
        <v>1</v>
      </c>
      <c r="K438" s="65"/>
      <c r="L438" s="65"/>
      <c r="M438" s="21">
        <v>0.24</v>
      </c>
    </row>
    <row r="439" spans="1:13" ht="13.2" x14ac:dyDescent="0.25">
      <c r="A439" s="7">
        <v>438</v>
      </c>
      <c r="B439" s="3">
        <v>40563</v>
      </c>
      <c r="C439" s="2">
        <v>1</v>
      </c>
      <c r="D439" s="2">
        <v>0</v>
      </c>
      <c r="E439" s="2">
        <v>1</v>
      </c>
      <c r="F439" s="2">
        <v>6</v>
      </c>
      <c r="G439" s="2"/>
      <c r="H439" s="2" t="b">
        <v>0</v>
      </c>
      <c r="I439" s="2">
        <v>4</v>
      </c>
      <c r="J439" s="2">
        <v>1</v>
      </c>
      <c r="K439" s="65"/>
      <c r="L439" s="65"/>
      <c r="M439" s="21">
        <v>0.22</v>
      </c>
    </row>
    <row r="440" spans="1:13" ht="13.2" x14ac:dyDescent="0.25">
      <c r="A440" s="7">
        <v>439</v>
      </c>
      <c r="B440" s="3">
        <v>40563</v>
      </c>
      <c r="C440" s="2">
        <v>1</v>
      </c>
      <c r="D440" s="2">
        <v>0</v>
      </c>
      <c r="E440" s="2">
        <v>1</v>
      </c>
      <c r="F440" s="2">
        <v>7</v>
      </c>
      <c r="G440" s="2"/>
      <c r="H440" s="2" t="b">
        <v>0</v>
      </c>
      <c r="I440" s="2">
        <v>4</v>
      </c>
      <c r="J440" s="2">
        <v>1</v>
      </c>
      <c r="K440" s="65"/>
      <c r="L440" s="65"/>
      <c r="M440" s="21">
        <v>0.22</v>
      </c>
    </row>
    <row r="441" spans="1:13" ht="13.2" x14ac:dyDescent="0.25">
      <c r="A441" s="7">
        <v>440</v>
      </c>
      <c r="B441" s="3">
        <v>40563</v>
      </c>
      <c r="C441" s="2">
        <v>1</v>
      </c>
      <c r="D441" s="2">
        <v>0</v>
      </c>
      <c r="E441" s="2">
        <v>1</v>
      </c>
      <c r="F441" s="2">
        <v>8</v>
      </c>
      <c r="G441" s="2"/>
      <c r="H441" s="2" t="b">
        <v>0</v>
      </c>
      <c r="I441" s="2">
        <v>4</v>
      </c>
      <c r="J441" s="2">
        <v>1</v>
      </c>
      <c r="K441" s="65"/>
      <c r="L441" s="65"/>
      <c r="M441" s="21">
        <v>0.22</v>
      </c>
    </row>
    <row r="442" spans="1:13" ht="13.2" x14ac:dyDescent="0.25">
      <c r="A442" s="7">
        <v>441</v>
      </c>
      <c r="B442" s="3">
        <v>40563</v>
      </c>
      <c r="C442" s="2">
        <v>1</v>
      </c>
      <c r="D442" s="2">
        <v>0</v>
      </c>
      <c r="E442" s="2">
        <v>1</v>
      </c>
      <c r="F442" s="2">
        <v>9</v>
      </c>
      <c r="G442" s="2"/>
      <c r="H442" s="2" t="b">
        <v>0</v>
      </c>
      <c r="I442" s="2">
        <v>4</v>
      </c>
      <c r="J442" s="2">
        <v>2</v>
      </c>
      <c r="K442" s="65"/>
      <c r="L442" s="65"/>
      <c r="M442" s="21">
        <v>0.24</v>
      </c>
    </row>
    <row r="443" spans="1:13" ht="13.2" x14ac:dyDescent="0.25">
      <c r="A443" s="7">
        <v>442</v>
      </c>
      <c r="B443" s="3">
        <v>40563</v>
      </c>
      <c r="C443" s="2">
        <v>1</v>
      </c>
      <c r="D443" s="2">
        <v>0</v>
      </c>
      <c r="E443" s="2">
        <v>1</v>
      </c>
      <c r="F443" s="2">
        <v>10</v>
      </c>
      <c r="G443" s="2"/>
      <c r="H443" s="2" t="b">
        <v>0</v>
      </c>
      <c r="I443" s="2">
        <v>4</v>
      </c>
      <c r="J443" s="2">
        <v>1</v>
      </c>
      <c r="K443" s="65"/>
      <c r="L443" s="65"/>
      <c r="M443" s="21">
        <v>0.26</v>
      </c>
    </row>
    <row r="444" spans="1:13" ht="13.2" x14ac:dyDescent="0.25">
      <c r="A444" s="7">
        <v>443</v>
      </c>
      <c r="B444" s="3">
        <v>40563</v>
      </c>
      <c r="C444" s="2">
        <v>1</v>
      </c>
      <c r="D444" s="2">
        <v>0</v>
      </c>
      <c r="E444" s="2">
        <v>1</v>
      </c>
      <c r="F444" s="2">
        <v>11</v>
      </c>
      <c r="G444" s="2"/>
      <c r="H444" s="2" t="b">
        <v>0</v>
      </c>
      <c r="I444" s="2">
        <v>4</v>
      </c>
      <c r="J444" s="2">
        <v>2</v>
      </c>
      <c r="K444" s="65"/>
      <c r="L444" s="65"/>
      <c r="M444" s="21">
        <v>0.28000000000000003</v>
      </c>
    </row>
    <row r="445" spans="1:13" ht="13.2" x14ac:dyDescent="0.25">
      <c r="A445" s="7">
        <v>444</v>
      </c>
      <c r="B445" s="3">
        <v>40563</v>
      </c>
      <c r="C445" s="2">
        <v>1</v>
      </c>
      <c r="D445" s="2">
        <v>0</v>
      </c>
      <c r="E445" s="2">
        <v>1</v>
      </c>
      <c r="F445" s="2">
        <v>12</v>
      </c>
      <c r="G445" s="2"/>
      <c r="H445" s="2" t="b">
        <v>0</v>
      </c>
      <c r="I445" s="2">
        <v>4</v>
      </c>
      <c r="J445" s="2">
        <v>2</v>
      </c>
      <c r="K445" s="65"/>
      <c r="L445" s="65"/>
      <c r="M445" s="21">
        <v>0.3</v>
      </c>
    </row>
    <row r="446" spans="1:13" ht="13.2" x14ac:dyDescent="0.25">
      <c r="A446" s="7">
        <v>445</v>
      </c>
      <c r="B446" s="3">
        <v>40563</v>
      </c>
      <c r="C446" s="2">
        <v>1</v>
      </c>
      <c r="D446" s="2">
        <v>0</v>
      </c>
      <c r="E446" s="2">
        <v>1</v>
      </c>
      <c r="F446" s="2">
        <v>13</v>
      </c>
      <c r="G446" s="2"/>
      <c r="H446" s="2" t="b">
        <v>0</v>
      </c>
      <c r="I446" s="2">
        <v>4</v>
      </c>
      <c r="J446" s="2">
        <v>2</v>
      </c>
      <c r="K446" s="65"/>
      <c r="L446" s="65"/>
      <c r="M446" s="21">
        <v>0.28000000000000003</v>
      </c>
    </row>
    <row r="447" spans="1:13" ht="13.2" x14ac:dyDescent="0.25">
      <c r="A447" s="7">
        <v>446</v>
      </c>
      <c r="B447" s="3">
        <v>40563</v>
      </c>
      <c r="C447" s="2">
        <v>1</v>
      </c>
      <c r="D447" s="2">
        <v>0</v>
      </c>
      <c r="E447" s="2">
        <v>1</v>
      </c>
      <c r="F447" s="2">
        <v>14</v>
      </c>
      <c r="G447" s="2"/>
      <c r="H447" s="2" t="b">
        <v>0</v>
      </c>
      <c r="I447" s="2">
        <v>4</v>
      </c>
      <c r="J447" s="2">
        <v>2</v>
      </c>
      <c r="K447" s="65"/>
      <c r="L447" s="65"/>
      <c r="M447" s="21">
        <v>0.3</v>
      </c>
    </row>
    <row r="448" spans="1:13" ht="13.2" x14ac:dyDescent="0.25">
      <c r="A448" s="7">
        <v>447</v>
      </c>
      <c r="B448" s="3">
        <v>40563</v>
      </c>
      <c r="C448" s="2">
        <v>1</v>
      </c>
      <c r="D448" s="2">
        <v>0</v>
      </c>
      <c r="E448" s="2">
        <v>1</v>
      </c>
      <c r="F448" s="2">
        <v>15</v>
      </c>
      <c r="G448" s="2"/>
      <c r="H448" s="2" t="b">
        <v>0</v>
      </c>
      <c r="I448" s="2">
        <v>4</v>
      </c>
      <c r="J448" s="2">
        <v>2</v>
      </c>
      <c r="K448" s="65"/>
      <c r="L448" s="65"/>
      <c r="M448" s="21">
        <v>0.32</v>
      </c>
    </row>
    <row r="449" spans="1:13" ht="13.2" x14ac:dyDescent="0.25">
      <c r="A449" s="7">
        <v>448</v>
      </c>
      <c r="B449" s="3">
        <v>40563</v>
      </c>
      <c r="C449" s="2">
        <v>1</v>
      </c>
      <c r="D449" s="2">
        <v>0</v>
      </c>
      <c r="E449" s="2">
        <v>1</v>
      </c>
      <c r="F449" s="2">
        <v>16</v>
      </c>
      <c r="G449" s="2"/>
      <c r="H449" s="2" t="b">
        <v>0</v>
      </c>
      <c r="I449" s="2">
        <v>4</v>
      </c>
      <c r="J449" s="2">
        <v>2</v>
      </c>
      <c r="K449" s="65"/>
      <c r="L449" s="65"/>
      <c r="M449" s="21">
        <v>0.3</v>
      </c>
    </row>
    <row r="450" spans="1:13" ht="13.2" x14ac:dyDescent="0.25">
      <c r="A450" s="7">
        <v>449</v>
      </c>
      <c r="B450" s="3">
        <v>40563</v>
      </c>
      <c r="C450" s="2">
        <v>1</v>
      </c>
      <c r="D450" s="2">
        <v>0</v>
      </c>
      <c r="E450" s="2">
        <v>1</v>
      </c>
      <c r="F450" s="2">
        <v>17</v>
      </c>
      <c r="G450" s="2"/>
      <c r="H450" s="2" t="b">
        <v>0</v>
      </c>
      <c r="I450" s="2">
        <v>4</v>
      </c>
      <c r="J450" s="2">
        <v>2</v>
      </c>
      <c r="K450" s="65"/>
      <c r="L450" s="65"/>
      <c r="M450" s="21">
        <v>0.3</v>
      </c>
    </row>
    <row r="451" spans="1:13" ht="13.2" x14ac:dyDescent="0.25">
      <c r="A451" s="7">
        <v>450</v>
      </c>
      <c r="B451" s="3">
        <v>40563</v>
      </c>
      <c r="C451" s="2">
        <v>1</v>
      </c>
      <c r="D451" s="2">
        <v>0</v>
      </c>
      <c r="E451" s="2">
        <v>1</v>
      </c>
      <c r="F451" s="2">
        <v>18</v>
      </c>
      <c r="G451" s="2"/>
      <c r="H451" s="2" t="b">
        <v>0</v>
      </c>
      <c r="I451" s="2">
        <v>4</v>
      </c>
      <c r="J451" s="2">
        <v>2</v>
      </c>
      <c r="K451" s="65"/>
      <c r="L451" s="65"/>
      <c r="M451" s="21">
        <v>0.26</v>
      </c>
    </row>
    <row r="452" spans="1:13" ht="13.2" x14ac:dyDescent="0.25">
      <c r="A452" s="7">
        <v>451</v>
      </c>
      <c r="B452" s="3">
        <v>40563</v>
      </c>
      <c r="C452" s="2">
        <v>1</v>
      </c>
      <c r="D452" s="2">
        <v>0</v>
      </c>
      <c r="E452" s="2">
        <v>1</v>
      </c>
      <c r="F452" s="2">
        <v>19</v>
      </c>
      <c r="G452" s="2"/>
      <c r="H452" s="2" t="b">
        <v>0</v>
      </c>
      <c r="I452" s="2">
        <v>4</v>
      </c>
      <c r="J452" s="2">
        <v>1</v>
      </c>
      <c r="K452" s="65"/>
      <c r="L452" s="65"/>
      <c r="M452" s="21">
        <v>0.26</v>
      </c>
    </row>
    <row r="453" spans="1:13" ht="13.2" x14ac:dyDescent="0.25">
      <c r="A453" s="7">
        <v>452</v>
      </c>
      <c r="B453" s="3">
        <v>40563</v>
      </c>
      <c r="C453" s="2">
        <v>1</v>
      </c>
      <c r="D453" s="2">
        <v>0</v>
      </c>
      <c r="E453" s="2">
        <v>1</v>
      </c>
      <c r="F453" s="2">
        <v>20</v>
      </c>
      <c r="G453" s="2"/>
      <c r="H453" s="2" t="b">
        <v>0</v>
      </c>
      <c r="I453" s="2">
        <v>4</v>
      </c>
      <c r="J453" s="2">
        <v>2</v>
      </c>
      <c r="K453" s="65"/>
      <c r="L453" s="65"/>
      <c r="M453" s="21">
        <v>0.26</v>
      </c>
    </row>
    <row r="454" spans="1:13" ht="13.2" x14ac:dyDescent="0.25">
      <c r="A454" s="7">
        <v>453</v>
      </c>
      <c r="B454" s="3">
        <v>40563</v>
      </c>
      <c r="C454" s="2">
        <v>1</v>
      </c>
      <c r="D454" s="2">
        <v>0</v>
      </c>
      <c r="E454" s="2">
        <v>1</v>
      </c>
      <c r="F454" s="2">
        <v>21</v>
      </c>
      <c r="G454" s="2"/>
      <c r="H454" s="2" t="b">
        <v>0</v>
      </c>
      <c r="I454" s="2">
        <v>4</v>
      </c>
      <c r="J454" s="2">
        <v>2</v>
      </c>
      <c r="K454" s="65"/>
      <c r="L454" s="65"/>
      <c r="M454" s="21">
        <v>0.24</v>
      </c>
    </row>
    <row r="455" spans="1:13" ht="13.2" x14ac:dyDescent="0.25">
      <c r="A455" s="7">
        <v>454</v>
      </c>
      <c r="B455" s="3">
        <v>40563</v>
      </c>
      <c r="C455" s="2">
        <v>1</v>
      </c>
      <c r="D455" s="2">
        <v>0</v>
      </c>
      <c r="E455" s="2">
        <v>1</v>
      </c>
      <c r="F455" s="2">
        <v>22</v>
      </c>
      <c r="G455" s="2"/>
      <c r="H455" s="2" t="b">
        <v>0</v>
      </c>
      <c r="I455" s="2">
        <v>4</v>
      </c>
      <c r="J455" s="2">
        <v>2</v>
      </c>
      <c r="K455" s="65"/>
      <c r="L455" s="65"/>
      <c r="M455" s="21">
        <v>0.24</v>
      </c>
    </row>
    <row r="456" spans="1:13" ht="13.2" x14ac:dyDescent="0.25">
      <c r="A456" s="7">
        <v>455</v>
      </c>
      <c r="B456" s="3">
        <v>40563</v>
      </c>
      <c r="C456" s="2">
        <v>1</v>
      </c>
      <c r="D456" s="2">
        <v>0</v>
      </c>
      <c r="E456" s="2">
        <v>1</v>
      </c>
      <c r="F456" s="2">
        <v>23</v>
      </c>
      <c r="G456" s="2"/>
      <c r="H456" s="2" t="b">
        <v>0</v>
      </c>
      <c r="I456" s="2">
        <v>4</v>
      </c>
      <c r="J456" s="2">
        <v>2</v>
      </c>
      <c r="K456" s="65"/>
      <c r="L456" s="65"/>
      <c r="M456" s="21">
        <v>0.24</v>
      </c>
    </row>
    <row r="457" spans="1:13" ht="13.2" x14ac:dyDescent="0.25">
      <c r="A457" s="7">
        <v>456</v>
      </c>
      <c r="B457" s="3">
        <v>40564</v>
      </c>
      <c r="C457" s="2">
        <v>1</v>
      </c>
      <c r="D457" s="2">
        <v>0</v>
      </c>
      <c r="E457" s="2">
        <v>1</v>
      </c>
      <c r="F457" s="2">
        <v>0</v>
      </c>
      <c r="G457" s="2"/>
      <c r="H457" s="2" t="b">
        <v>0</v>
      </c>
      <c r="I457" s="2">
        <v>5</v>
      </c>
      <c r="J457" s="2">
        <v>2</v>
      </c>
      <c r="K457" s="65"/>
      <c r="L457" s="65"/>
      <c r="M457" s="21">
        <v>0.24</v>
      </c>
    </row>
    <row r="458" spans="1:13" ht="13.2" x14ac:dyDescent="0.25">
      <c r="A458" s="7">
        <v>457</v>
      </c>
      <c r="B458" s="3">
        <v>40564</v>
      </c>
      <c r="C458" s="2">
        <v>1</v>
      </c>
      <c r="D458" s="2">
        <v>0</v>
      </c>
      <c r="E458" s="2">
        <v>1</v>
      </c>
      <c r="F458" s="2">
        <v>1</v>
      </c>
      <c r="G458" s="2"/>
      <c r="H458" s="2" t="b">
        <v>0</v>
      </c>
      <c r="I458" s="2">
        <v>5</v>
      </c>
      <c r="J458" s="2">
        <v>2</v>
      </c>
      <c r="K458" s="65"/>
      <c r="L458" s="65"/>
      <c r="M458" s="21">
        <v>0.24</v>
      </c>
    </row>
    <row r="459" spans="1:13" ht="13.2" x14ac:dyDescent="0.25">
      <c r="A459" s="7">
        <v>458</v>
      </c>
      <c r="B459" s="3">
        <v>40564</v>
      </c>
      <c r="C459" s="2">
        <v>1</v>
      </c>
      <c r="D459" s="2">
        <v>0</v>
      </c>
      <c r="E459" s="2">
        <v>1</v>
      </c>
      <c r="F459" s="2">
        <v>2</v>
      </c>
      <c r="G459" s="2"/>
      <c r="H459" s="2" t="b">
        <v>0</v>
      </c>
      <c r="I459" s="2">
        <v>5</v>
      </c>
      <c r="J459" s="2">
        <v>3</v>
      </c>
      <c r="K459" s="65"/>
      <c r="L459" s="65"/>
      <c r="M459" s="21">
        <v>0.24</v>
      </c>
    </row>
    <row r="460" spans="1:13" ht="13.2" x14ac:dyDescent="0.25">
      <c r="A460" s="7">
        <v>459</v>
      </c>
      <c r="B460" s="3">
        <v>40564</v>
      </c>
      <c r="C460" s="2">
        <v>1</v>
      </c>
      <c r="D460" s="2">
        <v>0</v>
      </c>
      <c r="E460" s="2">
        <v>1</v>
      </c>
      <c r="F460" s="2">
        <v>3</v>
      </c>
      <c r="G460" s="2"/>
      <c r="H460" s="2" t="b">
        <v>0</v>
      </c>
      <c r="I460" s="2">
        <v>5</v>
      </c>
      <c r="J460" s="2">
        <v>3</v>
      </c>
      <c r="K460" s="65"/>
      <c r="L460" s="65"/>
      <c r="M460" s="21">
        <v>0.22</v>
      </c>
    </row>
    <row r="461" spans="1:13" ht="13.2" x14ac:dyDescent="0.25">
      <c r="A461" s="7">
        <v>460</v>
      </c>
      <c r="B461" s="3">
        <v>40564</v>
      </c>
      <c r="C461" s="2">
        <v>1</v>
      </c>
      <c r="D461" s="2">
        <v>0</v>
      </c>
      <c r="E461" s="2">
        <v>1</v>
      </c>
      <c r="F461" s="2">
        <v>4</v>
      </c>
      <c r="G461" s="2"/>
      <c r="H461" s="2" t="b">
        <v>0</v>
      </c>
      <c r="I461" s="2">
        <v>5</v>
      </c>
      <c r="J461" s="2">
        <v>2</v>
      </c>
      <c r="K461" s="65"/>
      <c r="L461" s="65"/>
      <c r="M461" s="21">
        <v>0.22</v>
      </c>
    </row>
    <row r="462" spans="1:13" ht="13.2" x14ac:dyDescent="0.25">
      <c r="A462" s="7">
        <v>461</v>
      </c>
      <c r="B462" s="3">
        <v>40564</v>
      </c>
      <c r="C462" s="2">
        <v>1</v>
      </c>
      <c r="D462" s="2">
        <v>0</v>
      </c>
      <c r="E462" s="2">
        <v>1</v>
      </c>
      <c r="F462" s="2">
        <v>5</v>
      </c>
      <c r="G462" s="2"/>
      <c r="H462" s="2" t="b">
        <v>0</v>
      </c>
      <c r="I462" s="2">
        <v>5</v>
      </c>
      <c r="J462" s="2">
        <v>1</v>
      </c>
      <c r="K462" s="65"/>
      <c r="L462" s="65"/>
      <c r="M462" s="21">
        <v>0.24</v>
      </c>
    </row>
    <row r="463" spans="1:13" ht="13.2" x14ac:dyDescent="0.25">
      <c r="A463" s="7">
        <v>462</v>
      </c>
      <c r="B463" s="3">
        <v>40564</v>
      </c>
      <c r="C463" s="2">
        <v>1</v>
      </c>
      <c r="D463" s="2">
        <v>0</v>
      </c>
      <c r="E463" s="2">
        <v>1</v>
      </c>
      <c r="F463" s="2">
        <v>6</v>
      </c>
      <c r="G463" s="2"/>
      <c r="H463" s="2" t="b">
        <v>0</v>
      </c>
      <c r="I463" s="2">
        <v>5</v>
      </c>
      <c r="J463" s="2">
        <v>1</v>
      </c>
      <c r="K463" s="65"/>
      <c r="L463" s="65"/>
      <c r="M463" s="21">
        <v>0.22</v>
      </c>
    </row>
    <row r="464" spans="1:13" ht="13.2" x14ac:dyDescent="0.25">
      <c r="A464" s="7">
        <v>463</v>
      </c>
      <c r="B464" s="3">
        <v>40564</v>
      </c>
      <c r="C464" s="2">
        <v>1</v>
      </c>
      <c r="D464" s="2">
        <v>0</v>
      </c>
      <c r="E464" s="2">
        <v>1</v>
      </c>
      <c r="F464" s="2">
        <v>7</v>
      </c>
      <c r="G464" s="2"/>
      <c r="H464" s="2" t="b">
        <v>0</v>
      </c>
      <c r="I464" s="2">
        <v>5</v>
      </c>
      <c r="J464" s="2">
        <v>1</v>
      </c>
      <c r="K464" s="65"/>
      <c r="L464" s="65"/>
      <c r="M464" s="21">
        <v>0.2</v>
      </c>
    </row>
    <row r="465" spans="1:13" ht="13.2" x14ac:dyDescent="0.25">
      <c r="A465" s="7">
        <v>464</v>
      </c>
      <c r="B465" s="3">
        <v>40564</v>
      </c>
      <c r="C465" s="2">
        <v>1</v>
      </c>
      <c r="D465" s="2">
        <v>0</v>
      </c>
      <c r="E465" s="2">
        <v>1</v>
      </c>
      <c r="F465" s="2">
        <v>8</v>
      </c>
      <c r="G465" s="2"/>
      <c r="H465" s="2" t="b">
        <v>0</v>
      </c>
      <c r="I465" s="2">
        <v>5</v>
      </c>
      <c r="J465" s="2">
        <v>1</v>
      </c>
      <c r="K465" s="65"/>
      <c r="L465" s="65"/>
      <c r="M465" s="21">
        <v>0.2</v>
      </c>
    </row>
    <row r="466" spans="1:13" ht="13.2" x14ac:dyDescent="0.25">
      <c r="A466" s="7">
        <v>465</v>
      </c>
      <c r="B466" s="3">
        <v>40564</v>
      </c>
      <c r="C466" s="2">
        <v>1</v>
      </c>
      <c r="D466" s="2">
        <v>0</v>
      </c>
      <c r="E466" s="2">
        <v>1</v>
      </c>
      <c r="F466" s="2">
        <v>9</v>
      </c>
      <c r="G466" s="2"/>
      <c r="H466" s="2" t="b">
        <v>0</v>
      </c>
      <c r="I466" s="2">
        <v>5</v>
      </c>
      <c r="J466" s="2">
        <v>1</v>
      </c>
      <c r="K466" s="65"/>
      <c r="L466" s="65"/>
      <c r="M466" s="21">
        <v>0.2</v>
      </c>
    </row>
    <row r="467" spans="1:13" ht="13.2" x14ac:dyDescent="0.25">
      <c r="A467" s="7">
        <v>466</v>
      </c>
      <c r="B467" s="3">
        <v>40564</v>
      </c>
      <c r="C467" s="2">
        <v>1</v>
      </c>
      <c r="D467" s="2">
        <v>0</v>
      </c>
      <c r="E467" s="2">
        <v>1</v>
      </c>
      <c r="F467" s="2">
        <v>10</v>
      </c>
      <c r="G467" s="2"/>
      <c r="H467" s="2" t="b">
        <v>0</v>
      </c>
      <c r="I467" s="2">
        <v>5</v>
      </c>
      <c r="J467" s="2">
        <v>1</v>
      </c>
      <c r="K467" s="65"/>
      <c r="L467" s="65"/>
      <c r="M467" s="21">
        <v>0.2</v>
      </c>
    </row>
    <row r="468" spans="1:13" ht="13.2" x14ac:dyDescent="0.25">
      <c r="A468" s="7">
        <v>467</v>
      </c>
      <c r="B468" s="3">
        <v>40564</v>
      </c>
      <c r="C468" s="2">
        <v>1</v>
      </c>
      <c r="D468" s="2">
        <v>0</v>
      </c>
      <c r="E468" s="2">
        <v>1</v>
      </c>
      <c r="F468" s="2">
        <v>11</v>
      </c>
      <c r="G468" s="2"/>
      <c r="H468" s="2" t="b">
        <v>0</v>
      </c>
      <c r="I468" s="2">
        <v>5</v>
      </c>
      <c r="J468" s="2">
        <v>1</v>
      </c>
      <c r="K468" s="65"/>
      <c r="L468" s="65"/>
      <c r="M468" s="21">
        <v>0.22</v>
      </c>
    </row>
    <row r="469" spans="1:13" ht="13.2" x14ac:dyDescent="0.25">
      <c r="A469" s="7">
        <v>468</v>
      </c>
      <c r="B469" s="3">
        <v>40564</v>
      </c>
      <c r="C469" s="2">
        <v>1</v>
      </c>
      <c r="D469" s="2">
        <v>0</v>
      </c>
      <c r="E469" s="2">
        <v>1</v>
      </c>
      <c r="F469" s="2">
        <v>12</v>
      </c>
      <c r="G469" s="2"/>
      <c r="H469" s="2" t="b">
        <v>0</v>
      </c>
      <c r="I469" s="2">
        <v>5</v>
      </c>
      <c r="J469" s="2">
        <v>1</v>
      </c>
      <c r="K469" s="65"/>
      <c r="L469" s="65"/>
      <c r="M469" s="21">
        <v>0.22</v>
      </c>
    </row>
    <row r="470" spans="1:13" ht="13.2" x14ac:dyDescent="0.25">
      <c r="A470" s="7">
        <v>469</v>
      </c>
      <c r="B470" s="3">
        <v>40564</v>
      </c>
      <c r="C470" s="2">
        <v>1</v>
      </c>
      <c r="D470" s="2">
        <v>0</v>
      </c>
      <c r="E470" s="2">
        <v>1</v>
      </c>
      <c r="F470" s="2">
        <v>13</v>
      </c>
      <c r="G470" s="2"/>
      <c r="H470" s="2" t="b">
        <v>0</v>
      </c>
      <c r="I470" s="2">
        <v>5</v>
      </c>
      <c r="J470" s="2">
        <v>1</v>
      </c>
      <c r="K470" s="65"/>
      <c r="L470" s="65"/>
      <c r="M470" s="21">
        <v>0.2</v>
      </c>
    </row>
    <row r="471" spans="1:13" ht="13.2" x14ac:dyDescent="0.25">
      <c r="A471" s="7">
        <v>470</v>
      </c>
      <c r="B471" s="3">
        <v>40564</v>
      </c>
      <c r="C471" s="2">
        <v>1</v>
      </c>
      <c r="D471" s="2">
        <v>0</v>
      </c>
      <c r="E471" s="2">
        <v>1</v>
      </c>
      <c r="F471" s="2">
        <v>14</v>
      </c>
      <c r="G471" s="2"/>
      <c r="H471" s="2" t="b">
        <v>0</v>
      </c>
      <c r="I471" s="2">
        <v>5</v>
      </c>
      <c r="J471" s="2">
        <v>1</v>
      </c>
      <c r="K471" s="65"/>
      <c r="L471" s="65"/>
      <c r="M471" s="21">
        <v>0.2</v>
      </c>
    </row>
    <row r="472" spans="1:13" ht="13.2" x14ac:dyDescent="0.25">
      <c r="A472" s="7">
        <v>471</v>
      </c>
      <c r="B472" s="3">
        <v>40564</v>
      </c>
      <c r="C472" s="2">
        <v>1</v>
      </c>
      <c r="D472" s="2">
        <v>0</v>
      </c>
      <c r="E472" s="2">
        <v>1</v>
      </c>
      <c r="F472" s="2">
        <v>15</v>
      </c>
      <c r="G472" s="2"/>
      <c r="H472" s="2" t="b">
        <v>0</v>
      </c>
      <c r="I472" s="2">
        <v>5</v>
      </c>
      <c r="J472" s="2">
        <v>1</v>
      </c>
      <c r="K472" s="65"/>
      <c r="L472" s="65"/>
      <c r="M472" s="21">
        <v>0.16</v>
      </c>
    </row>
    <row r="473" spans="1:13" ht="13.2" x14ac:dyDescent="0.25">
      <c r="A473" s="7">
        <v>472</v>
      </c>
      <c r="B473" s="3">
        <v>40564</v>
      </c>
      <c r="C473" s="2">
        <v>1</v>
      </c>
      <c r="D473" s="2">
        <v>0</v>
      </c>
      <c r="E473" s="2">
        <v>1</v>
      </c>
      <c r="F473" s="2">
        <v>16</v>
      </c>
      <c r="G473" s="2"/>
      <c r="H473" s="2" t="b">
        <v>0</v>
      </c>
      <c r="I473" s="2">
        <v>5</v>
      </c>
      <c r="J473" s="2">
        <v>1</v>
      </c>
      <c r="K473" s="65"/>
      <c r="L473" s="65"/>
      <c r="M473" s="21">
        <v>0.16</v>
      </c>
    </row>
    <row r="474" spans="1:13" ht="13.2" x14ac:dyDescent="0.25">
      <c r="A474" s="7">
        <v>473</v>
      </c>
      <c r="B474" s="3">
        <v>40564</v>
      </c>
      <c r="C474" s="2">
        <v>1</v>
      </c>
      <c r="D474" s="2">
        <v>0</v>
      </c>
      <c r="E474" s="2">
        <v>1</v>
      </c>
      <c r="F474" s="2">
        <v>17</v>
      </c>
      <c r="G474" s="2"/>
      <c r="H474" s="2" t="b">
        <v>0</v>
      </c>
      <c r="I474" s="2">
        <v>5</v>
      </c>
      <c r="J474" s="2">
        <v>1</v>
      </c>
      <c r="K474" s="65"/>
      <c r="L474" s="65"/>
      <c r="M474" s="21">
        <v>0.14000000000000001</v>
      </c>
    </row>
    <row r="475" spans="1:13" ht="13.2" x14ac:dyDescent="0.25">
      <c r="A475" s="7">
        <v>474</v>
      </c>
      <c r="B475" s="3">
        <v>40564</v>
      </c>
      <c r="C475" s="2">
        <v>1</v>
      </c>
      <c r="D475" s="2">
        <v>0</v>
      </c>
      <c r="E475" s="2">
        <v>1</v>
      </c>
      <c r="F475" s="2">
        <v>18</v>
      </c>
      <c r="G475" s="2"/>
      <c r="H475" s="2" t="b">
        <v>0</v>
      </c>
      <c r="I475" s="2">
        <v>5</v>
      </c>
      <c r="J475" s="2">
        <v>1</v>
      </c>
      <c r="K475" s="65"/>
      <c r="L475" s="65"/>
      <c r="M475" s="21">
        <v>0.12</v>
      </c>
    </row>
    <row r="476" spans="1:13" ht="13.2" x14ac:dyDescent="0.25">
      <c r="A476" s="7">
        <v>475</v>
      </c>
      <c r="B476" s="3">
        <v>40564</v>
      </c>
      <c r="C476" s="2">
        <v>1</v>
      </c>
      <c r="D476" s="2">
        <v>0</v>
      </c>
      <c r="E476" s="2">
        <v>1</v>
      </c>
      <c r="F476" s="2">
        <v>19</v>
      </c>
      <c r="G476" s="2"/>
      <c r="H476" s="2" t="b">
        <v>0</v>
      </c>
      <c r="I476" s="2">
        <v>5</v>
      </c>
      <c r="J476" s="2">
        <v>1</v>
      </c>
      <c r="K476" s="65"/>
      <c r="L476" s="65"/>
      <c r="M476" s="21">
        <v>0.12</v>
      </c>
    </row>
    <row r="477" spans="1:13" ht="13.2" x14ac:dyDescent="0.25">
      <c r="A477" s="7">
        <v>476</v>
      </c>
      <c r="B477" s="3">
        <v>40564</v>
      </c>
      <c r="C477" s="2">
        <v>1</v>
      </c>
      <c r="D477" s="2">
        <v>0</v>
      </c>
      <c r="E477" s="2">
        <v>1</v>
      </c>
      <c r="F477" s="2">
        <v>20</v>
      </c>
      <c r="G477" s="2"/>
      <c r="H477" s="2" t="b">
        <v>0</v>
      </c>
      <c r="I477" s="2">
        <v>5</v>
      </c>
      <c r="J477" s="2">
        <v>1</v>
      </c>
      <c r="K477" s="65"/>
      <c r="L477" s="65"/>
      <c r="M477" s="21">
        <v>0.1</v>
      </c>
    </row>
    <row r="478" spans="1:13" ht="13.2" x14ac:dyDescent="0.25">
      <c r="A478" s="7">
        <v>477</v>
      </c>
      <c r="B478" s="3">
        <v>40564</v>
      </c>
      <c r="C478" s="2">
        <v>1</v>
      </c>
      <c r="D478" s="2">
        <v>0</v>
      </c>
      <c r="E478" s="2">
        <v>1</v>
      </c>
      <c r="F478" s="2">
        <v>21</v>
      </c>
      <c r="G478" s="2"/>
      <c r="H478" s="2" t="b">
        <v>0</v>
      </c>
      <c r="I478" s="2">
        <v>5</v>
      </c>
      <c r="J478" s="2">
        <v>1</v>
      </c>
      <c r="K478" s="65"/>
      <c r="L478" s="65"/>
      <c r="M478" s="21">
        <v>0.08</v>
      </c>
    </row>
    <row r="479" spans="1:13" ht="13.2" x14ac:dyDescent="0.25">
      <c r="A479" s="7">
        <v>478</v>
      </c>
      <c r="B479" s="3">
        <v>40564</v>
      </c>
      <c r="C479" s="2">
        <v>1</v>
      </c>
      <c r="D479" s="2">
        <v>0</v>
      </c>
      <c r="E479" s="2">
        <v>1</v>
      </c>
      <c r="F479" s="2">
        <v>22</v>
      </c>
      <c r="G479" s="2"/>
      <c r="H479" s="2" t="b">
        <v>0</v>
      </c>
      <c r="I479" s="2">
        <v>5</v>
      </c>
      <c r="J479" s="2">
        <v>1</v>
      </c>
      <c r="K479" s="65"/>
      <c r="L479" s="65"/>
      <c r="M479" s="21">
        <v>0.06</v>
      </c>
    </row>
    <row r="480" spans="1:13" ht="13.2" x14ac:dyDescent="0.25">
      <c r="A480" s="7">
        <v>479</v>
      </c>
      <c r="B480" s="3">
        <v>40564</v>
      </c>
      <c r="C480" s="2">
        <v>1</v>
      </c>
      <c r="D480" s="2">
        <v>0</v>
      </c>
      <c r="E480" s="2">
        <v>1</v>
      </c>
      <c r="F480" s="2">
        <v>23</v>
      </c>
      <c r="G480" s="2"/>
      <c r="H480" s="2" t="b">
        <v>0</v>
      </c>
      <c r="I480" s="2">
        <v>5</v>
      </c>
      <c r="J480" s="2">
        <v>1</v>
      </c>
      <c r="K480" s="65"/>
      <c r="L480" s="65"/>
      <c r="M480" s="21">
        <v>0.06</v>
      </c>
    </row>
    <row r="481" spans="1:13" ht="13.2" x14ac:dyDescent="0.25">
      <c r="A481" s="7">
        <v>480</v>
      </c>
      <c r="B481" s="3">
        <v>40565</v>
      </c>
      <c r="C481" s="2">
        <v>1</v>
      </c>
      <c r="D481" s="2">
        <v>0</v>
      </c>
      <c r="E481" s="2">
        <v>1</v>
      </c>
      <c r="F481" s="2">
        <v>0</v>
      </c>
      <c r="G481" s="2"/>
      <c r="H481" s="2" t="b">
        <v>0</v>
      </c>
      <c r="I481" s="2">
        <v>6</v>
      </c>
      <c r="J481" s="2">
        <v>1</v>
      </c>
      <c r="K481" s="65"/>
      <c r="L481" s="65"/>
      <c r="M481" s="21">
        <v>0.04</v>
      </c>
    </row>
    <row r="482" spans="1:13" ht="13.2" x14ac:dyDescent="0.25">
      <c r="A482" s="7">
        <v>481</v>
      </c>
      <c r="B482" s="3">
        <v>40565</v>
      </c>
      <c r="C482" s="2">
        <v>1</v>
      </c>
      <c r="D482" s="2">
        <v>0</v>
      </c>
      <c r="E482" s="2">
        <v>1</v>
      </c>
      <c r="F482" s="2">
        <v>1</v>
      </c>
      <c r="G482" s="2"/>
      <c r="H482" s="2" t="b">
        <v>0</v>
      </c>
      <c r="I482" s="2">
        <v>6</v>
      </c>
      <c r="J482" s="2">
        <v>2</v>
      </c>
      <c r="K482" s="65"/>
      <c r="L482" s="65"/>
      <c r="M482" s="21">
        <v>0.04</v>
      </c>
    </row>
    <row r="483" spans="1:13" ht="13.2" x14ac:dyDescent="0.25">
      <c r="A483" s="7">
        <v>482</v>
      </c>
      <c r="B483" s="3">
        <v>40565</v>
      </c>
      <c r="C483" s="2">
        <v>1</v>
      </c>
      <c r="D483" s="2">
        <v>0</v>
      </c>
      <c r="E483" s="2">
        <v>1</v>
      </c>
      <c r="F483" s="2">
        <v>2</v>
      </c>
      <c r="G483" s="2"/>
      <c r="H483" s="2" t="b">
        <v>0</v>
      </c>
      <c r="I483" s="2">
        <v>6</v>
      </c>
      <c r="J483" s="2">
        <v>2</v>
      </c>
      <c r="K483" s="65"/>
      <c r="L483" s="65"/>
      <c r="M483" s="21">
        <v>0.04</v>
      </c>
    </row>
    <row r="484" spans="1:13" ht="13.2" x14ac:dyDescent="0.25">
      <c r="A484" s="7">
        <v>483</v>
      </c>
      <c r="B484" s="3">
        <v>40565</v>
      </c>
      <c r="C484" s="2">
        <v>1</v>
      </c>
      <c r="D484" s="2">
        <v>0</v>
      </c>
      <c r="E484" s="2">
        <v>1</v>
      </c>
      <c r="F484" s="2">
        <v>3</v>
      </c>
      <c r="G484" s="2"/>
      <c r="H484" s="2" t="b">
        <v>0</v>
      </c>
      <c r="I484" s="2">
        <v>6</v>
      </c>
      <c r="J484" s="2">
        <v>2</v>
      </c>
      <c r="K484" s="65"/>
      <c r="L484" s="65"/>
      <c r="M484" s="21">
        <v>0.04</v>
      </c>
    </row>
    <row r="485" spans="1:13" ht="13.2" x14ac:dyDescent="0.25">
      <c r="A485" s="7">
        <v>484</v>
      </c>
      <c r="B485" s="3">
        <v>40565</v>
      </c>
      <c r="C485" s="2">
        <v>1</v>
      </c>
      <c r="D485" s="2">
        <v>0</v>
      </c>
      <c r="E485" s="2">
        <v>1</v>
      </c>
      <c r="F485" s="2">
        <v>4</v>
      </c>
      <c r="G485" s="2"/>
      <c r="H485" s="2" t="b">
        <v>0</v>
      </c>
      <c r="I485" s="2">
        <v>6</v>
      </c>
      <c r="J485" s="2">
        <v>2</v>
      </c>
      <c r="K485" s="65"/>
      <c r="L485" s="65"/>
      <c r="M485" s="21">
        <v>0.02</v>
      </c>
    </row>
    <row r="486" spans="1:13" ht="13.2" x14ac:dyDescent="0.25">
      <c r="A486" s="7">
        <v>485</v>
      </c>
      <c r="B486" s="3">
        <v>40565</v>
      </c>
      <c r="C486" s="2">
        <v>1</v>
      </c>
      <c r="D486" s="2">
        <v>0</v>
      </c>
      <c r="E486" s="2">
        <v>1</v>
      </c>
      <c r="F486" s="2">
        <v>6</v>
      </c>
      <c r="G486" s="2"/>
      <c r="H486" s="2" t="b">
        <v>0</v>
      </c>
      <c r="I486" s="2">
        <v>6</v>
      </c>
      <c r="J486" s="2">
        <v>2</v>
      </c>
      <c r="K486" s="65"/>
      <c r="L486" s="65"/>
      <c r="M486" s="21">
        <v>0.02</v>
      </c>
    </row>
    <row r="487" spans="1:13" ht="13.2" x14ac:dyDescent="0.25">
      <c r="A487" s="7">
        <v>486</v>
      </c>
      <c r="B487" s="3">
        <v>40565</v>
      </c>
      <c r="C487" s="2">
        <v>1</v>
      </c>
      <c r="D487" s="2">
        <v>0</v>
      </c>
      <c r="E487" s="2">
        <v>1</v>
      </c>
      <c r="F487" s="2">
        <v>7</v>
      </c>
      <c r="G487" s="2"/>
      <c r="H487" s="2" t="b">
        <v>0</v>
      </c>
      <c r="I487" s="2">
        <v>6</v>
      </c>
      <c r="J487" s="2">
        <v>1</v>
      </c>
      <c r="K487" s="65"/>
      <c r="L487" s="65"/>
      <c r="M487" s="21">
        <v>0.02</v>
      </c>
    </row>
    <row r="488" spans="1:13" ht="13.2" x14ac:dyDescent="0.25">
      <c r="A488" s="7">
        <v>487</v>
      </c>
      <c r="B488" s="3">
        <v>40565</v>
      </c>
      <c r="C488" s="2">
        <v>1</v>
      </c>
      <c r="D488" s="2">
        <v>0</v>
      </c>
      <c r="E488" s="2">
        <v>1</v>
      </c>
      <c r="F488" s="2">
        <v>8</v>
      </c>
      <c r="G488" s="2"/>
      <c r="H488" s="2" t="b">
        <v>0</v>
      </c>
      <c r="I488" s="2">
        <v>6</v>
      </c>
      <c r="J488" s="2">
        <v>1</v>
      </c>
      <c r="K488" s="65"/>
      <c r="L488" s="65"/>
      <c r="M488" s="21">
        <v>0.02</v>
      </c>
    </row>
    <row r="489" spans="1:13" ht="13.2" x14ac:dyDescent="0.25">
      <c r="A489" s="7">
        <v>488</v>
      </c>
      <c r="B489" s="3">
        <v>40565</v>
      </c>
      <c r="C489" s="2">
        <v>1</v>
      </c>
      <c r="D489" s="2">
        <v>0</v>
      </c>
      <c r="E489" s="2">
        <v>1</v>
      </c>
      <c r="F489" s="2">
        <v>9</v>
      </c>
      <c r="G489" s="2"/>
      <c r="H489" s="2" t="b">
        <v>0</v>
      </c>
      <c r="I489" s="2">
        <v>6</v>
      </c>
      <c r="J489" s="2">
        <v>1</v>
      </c>
      <c r="K489" s="65"/>
      <c r="L489" s="65"/>
      <c r="M489" s="21">
        <v>0.04</v>
      </c>
    </row>
    <row r="490" spans="1:13" ht="13.2" x14ac:dyDescent="0.25">
      <c r="A490" s="7">
        <v>489</v>
      </c>
      <c r="B490" s="3">
        <v>40565</v>
      </c>
      <c r="C490" s="2">
        <v>1</v>
      </c>
      <c r="D490" s="2">
        <v>0</v>
      </c>
      <c r="E490" s="2">
        <v>1</v>
      </c>
      <c r="F490" s="2">
        <v>10</v>
      </c>
      <c r="G490" s="2"/>
      <c r="H490" s="2" t="b">
        <v>0</v>
      </c>
      <c r="I490" s="2">
        <v>6</v>
      </c>
      <c r="J490" s="2">
        <v>2</v>
      </c>
      <c r="K490" s="65"/>
      <c r="L490" s="65"/>
      <c r="M490" s="21">
        <v>0.04</v>
      </c>
    </row>
    <row r="491" spans="1:13" ht="13.2" x14ac:dyDescent="0.25">
      <c r="A491" s="7">
        <v>490</v>
      </c>
      <c r="B491" s="3">
        <v>40565</v>
      </c>
      <c r="C491" s="2">
        <v>1</v>
      </c>
      <c r="D491" s="2">
        <v>0</v>
      </c>
      <c r="E491" s="2">
        <v>1</v>
      </c>
      <c r="F491" s="2">
        <v>11</v>
      </c>
      <c r="G491" s="2"/>
      <c r="H491" s="2" t="b">
        <v>0</v>
      </c>
      <c r="I491" s="2">
        <v>6</v>
      </c>
      <c r="J491" s="2">
        <v>2</v>
      </c>
      <c r="K491" s="65"/>
      <c r="L491" s="65"/>
      <c r="M491" s="21">
        <v>0.06</v>
      </c>
    </row>
    <row r="492" spans="1:13" ht="13.2" x14ac:dyDescent="0.25">
      <c r="A492" s="7">
        <v>491</v>
      </c>
      <c r="B492" s="3">
        <v>40565</v>
      </c>
      <c r="C492" s="2">
        <v>1</v>
      </c>
      <c r="D492" s="2">
        <v>0</v>
      </c>
      <c r="E492" s="2">
        <v>1</v>
      </c>
      <c r="F492" s="2">
        <v>12</v>
      </c>
      <c r="G492" s="2"/>
      <c r="H492" s="2" t="b">
        <v>0</v>
      </c>
      <c r="I492" s="2">
        <v>6</v>
      </c>
      <c r="J492" s="2">
        <v>2</v>
      </c>
      <c r="K492" s="65"/>
      <c r="L492" s="65"/>
      <c r="M492" s="21">
        <v>0.06</v>
      </c>
    </row>
    <row r="493" spans="1:13" ht="13.2" x14ac:dyDescent="0.25">
      <c r="A493" s="7">
        <v>492</v>
      </c>
      <c r="B493" s="3">
        <v>40565</v>
      </c>
      <c r="C493" s="2">
        <v>1</v>
      </c>
      <c r="D493" s="2">
        <v>0</v>
      </c>
      <c r="E493" s="2">
        <v>1</v>
      </c>
      <c r="F493" s="2">
        <v>13</v>
      </c>
      <c r="G493" s="2"/>
      <c r="H493" s="2" t="b">
        <v>0</v>
      </c>
      <c r="I493" s="2">
        <v>6</v>
      </c>
      <c r="J493" s="2">
        <v>1</v>
      </c>
      <c r="K493" s="65"/>
      <c r="L493" s="65"/>
      <c r="M493" s="21">
        <v>0.08</v>
      </c>
    </row>
    <row r="494" spans="1:13" ht="13.2" x14ac:dyDescent="0.25">
      <c r="A494" s="7">
        <v>493</v>
      </c>
      <c r="B494" s="3">
        <v>40565</v>
      </c>
      <c r="C494" s="2">
        <v>1</v>
      </c>
      <c r="D494" s="2">
        <v>0</v>
      </c>
      <c r="E494" s="2">
        <v>1</v>
      </c>
      <c r="F494" s="2">
        <v>14</v>
      </c>
      <c r="G494" s="2"/>
      <c r="H494" s="2" t="b">
        <v>0</v>
      </c>
      <c r="I494" s="2">
        <v>6</v>
      </c>
      <c r="J494" s="2">
        <v>1</v>
      </c>
      <c r="K494" s="65"/>
      <c r="L494" s="65"/>
      <c r="M494" s="21">
        <v>0.1</v>
      </c>
    </row>
    <row r="495" spans="1:13" ht="13.2" x14ac:dyDescent="0.25">
      <c r="A495" s="7">
        <v>494</v>
      </c>
      <c r="B495" s="3">
        <v>40565</v>
      </c>
      <c r="C495" s="2">
        <v>1</v>
      </c>
      <c r="D495" s="2">
        <v>0</v>
      </c>
      <c r="E495" s="2">
        <v>1</v>
      </c>
      <c r="F495" s="2">
        <v>15</v>
      </c>
      <c r="G495" s="2"/>
      <c r="H495" s="2" t="b">
        <v>0</v>
      </c>
      <c r="I495" s="2">
        <v>6</v>
      </c>
      <c r="J495" s="2">
        <v>1</v>
      </c>
      <c r="K495" s="65"/>
      <c r="L495" s="65"/>
      <c r="M495" s="21">
        <v>0.12</v>
      </c>
    </row>
    <row r="496" spans="1:13" ht="13.2" x14ac:dyDescent="0.25">
      <c r="A496" s="7">
        <v>495</v>
      </c>
      <c r="B496" s="3">
        <v>40565</v>
      </c>
      <c r="C496" s="2">
        <v>1</v>
      </c>
      <c r="D496" s="2">
        <v>0</v>
      </c>
      <c r="E496" s="2">
        <v>1</v>
      </c>
      <c r="F496" s="2">
        <v>16</v>
      </c>
      <c r="G496" s="2"/>
      <c r="H496" s="2" t="b">
        <v>0</v>
      </c>
      <c r="I496" s="2">
        <v>6</v>
      </c>
      <c r="J496" s="2">
        <v>1</v>
      </c>
      <c r="K496" s="65"/>
      <c r="L496" s="65"/>
      <c r="M496" s="21">
        <v>0.12</v>
      </c>
    </row>
    <row r="497" spans="1:13" ht="13.2" x14ac:dyDescent="0.25">
      <c r="A497" s="7">
        <v>496</v>
      </c>
      <c r="B497" s="3">
        <v>40565</v>
      </c>
      <c r="C497" s="2">
        <v>1</v>
      </c>
      <c r="D497" s="2">
        <v>0</v>
      </c>
      <c r="E497" s="2">
        <v>1</v>
      </c>
      <c r="F497" s="2">
        <v>17</v>
      </c>
      <c r="G497" s="2"/>
      <c r="H497" s="2" t="b">
        <v>0</v>
      </c>
      <c r="I497" s="2">
        <v>6</v>
      </c>
      <c r="J497" s="2">
        <v>1</v>
      </c>
      <c r="K497" s="65"/>
      <c r="L497" s="65"/>
      <c r="M497" s="21">
        <v>0.12</v>
      </c>
    </row>
    <row r="498" spans="1:13" ht="13.2" x14ac:dyDescent="0.25">
      <c r="A498" s="7">
        <v>497</v>
      </c>
      <c r="B498" s="3">
        <v>40565</v>
      </c>
      <c r="C498" s="2">
        <v>1</v>
      </c>
      <c r="D498" s="2">
        <v>0</v>
      </c>
      <c r="E498" s="2">
        <v>1</v>
      </c>
      <c r="F498" s="2">
        <v>18</v>
      </c>
      <c r="G498" s="2"/>
      <c r="H498" s="2" t="b">
        <v>0</v>
      </c>
      <c r="I498" s="2">
        <v>6</v>
      </c>
      <c r="J498" s="2">
        <v>1</v>
      </c>
      <c r="K498" s="65"/>
      <c r="L498" s="65"/>
      <c r="M498" s="21">
        <v>0.08</v>
      </c>
    </row>
    <row r="499" spans="1:13" ht="13.2" x14ac:dyDescent="0.25">
      <c r="A499" s="7">
        <v>498</v>
      </c>
      <c r="B499" s="3">
        <v>40565</v>
      </c>
      <c r="C499" s="2">
        <v>1</v>
      </c>
      <c r="D499" s="2">
        <v>0</v>
      </c>
      <c r="E499" s="2">
        <v>1</v>
      </c>
      <c r="F499" s="2">
        <v>19</v>
      </c>
      <c r="G499" s="2"/>
      <c r="H499" s="2" t="b">
        <v>0</v>
      </c>
      <c r="I499" s="2">
        <v>6</v>
      </c>
      <c r="J499" s="2">
        <v>1</v>
      </c>
      <c r="K499" s="65"/>
      <c r="L499" s="65"/>
      <c r="M499" s="21">
        <v>0.08</v>
      </c>
    </row>
    <row r="500" spans="1:13" ht="13.2" x14ac:dyDescent="0.25">
      <c r="A500" s="7">
        <v>499</v>
      </c>
      <c r="B500" s="3">
        <v>40565</v>
      </c>
      <c r="C500" s="2">
        <v>1</v>
      </c>
      <c r="D500" s="2">
        <v>0</v>
      </c>
      <c r="E500" s="2">
        <v>1</v>
      </c>
      <c r="F500" s="2">
        <v>20</v>
      </c>
      <c r="G500" s="2"/>
      <c r="H500" s="2" t="b">
        <v>0</v>
      </c>
      <c r="I500" s="2">
        <v>6</v>
      </c>
      <c r="J500" s="2">
        <v>1</v>
      </c>
      <c r="K500" s="65"/>
      <c r="L500" s="65"/>
      <c r="M500" s="21">
        <v>0.06</v>
      </c>
    </row>
    <row r="501" spans="1:13" ht="13.2" x14ac:dyDescent="0.25">
      <c r="A501" s="7">
        <v>500</v>
      </c>
      <c r="B501" s="3">
        <v>40565</v>
      </c>
      <c r="C501" s="2">
        <v>1</v>
      </c>
      <c r="D501" s="2">
        <v>0</v>
      </c>
      <c r="E501" s="2">
        <v>1</v>
      </c>
      <c r="F501" s="2">
        <v>21</v>
      </c>
      <c r="G501" s="2"/>
      <c r="H501" s="2" t="b">
        <v>0</v>
      </c>
      <c r="I501" s="2">
        <v>6</v>
      </c>
      <c r="J501" s="2">
        <v>1</v>
      </c>
      <c r="K501" s="65"/>
      <c r="L501" s="65"/>
      <c r="M501" s="21">
        <v>0.06</v>
      </c>
    </row>
    <row r="502" spans="1:13" ht="13.2" x14ac:dyDescent="0.25">
      <c r="A502" s="7">
        <v>501</v>
      </c>
      <c r="B502" s="3">
        <v>40565</v>
      </c>
      <c r="C502" s="2">
        <v>1</v>
      </c>
      <c r="D502" s="2">
        <v>0</v>
      </c>
      <c r="E502" s="2">
        <v>1</v>
      </c>
      <c r="F502" s="2">
        <v>22</v>
      </c>
      <c r="G502" s="2"/>
      <c r="H502" s="2" t="b">
        <v>0</v>
      </c>
      <c r="I502" s="2">
        <v>6</v>
      </c>
      <c r="J502" s="2">
        <v>1</v>
      </c>
      <c r="K502" s="65"/>
      <c r="L502" s="65"/>
      <c r="M502" s="21">
        <v>0.06</v>
      </c>
    </row>
    <row r="503" spans="1:13" ht="13.2" x14ac:dyDescent="0.25">
      <c r="A503" s="7">
        <v>502</v>
      </c>
      <c r="B503" s="3">
        <v>40565</v>
      </c>
      <c r="C503" s="2">
        <v>1</v>
      </c>
      <c r="D503" s="2">
        <v>0</v>
      </c>
      <c r="E503" s="2">
        <v>1</v>
      </c>
      <c r="F503" s="2">
        <v>23</v>
      </c>
      <c r="G503" s="2"/>
      <c r="H503" s="2" t="b">
        <v>0</v>
      </c>
      <c r="I503" s="2">
        <v>6</v>
      </c>
      <c r="J503" s="2">
        <v>1</v>
      </c>
      <c r="K503" s="65"/>
      <c r="L503" s="65"/>
      <c r="M503" s="21">
        <v>0.04</v>
      </c>
    </row>
    <row r="504" spans="1:13" ht="13.2" x14ac:dyDescent="0.25">
      <c r="A504" s="7">
        <v>503</v>
      </c>
      <c r="B504" s="3">
        <v>40566</v>
      </c>
      <c r="C504" s="2">
        <v>1</v>
      </c>
      <c r="D504" s="2">
        <v>0</v>
      </c>
      <c r="E504" s="2">
        <v>1</v>
      </c>
      <c r="F504" s="2">
        <v>0</v>
      </c>
      <c r="G504" s="2"/>
      <c r="H504" s="2" t="b">
        <v>0</v>
      </c>
      <c r="I504" s="2">
        <v>0</v>
      </c>
      <c r="J504" s="2">
        <v>1</v>
      </c>
      <c r="K504" s="65"/>
      <c r="L504" s="65"/>
      <c r="M504" s="21">
        <v>0.04</v>
      </c>
    </row>
    <row r="505" spans="1:13" ht="13.2" x14ac:dyDescent="0.25">
      <c r="A505" s="7">
        <v>504</v>
      </c>
      <c r="B505" s="3">
        <v>40566</v>
      </c>
      <c r="C505" s="2">
        <v>1</v>
      </c>
      <c r="D505" s="2">
        <v>0</v>
      </c>
      <c r="E505" s="2">
        <v>1</v>
      </c>
      <c r="F505" s="2">
        <v>1</v>
      </c>
      <c r="G505" s="2"/>
      <c r="H505" s="2" t="b">
        <v>0</v>
      </c>
      <c r="I505" s="2">
        <v>0</v>
      </c>
      <c r="J505" s="2">
        <v>1</v>
      </c>
      <c r="K505" s="65"/>
      <c r="L505" s="65"/>
      <c r="M505" s="21">
        <v>0.04</v>
      </c>
    </row>
    <row r="506" spans="1:13" ht="13.2" x14ac:dyDescent="0.25">
      <c r="A506" s="7">
        <v>505</v>
      </c>
      <c r="B506" s="3">
        <v>40566</v>
      </c>
      <c r="C506" s="2">
        <v>1</v>
      </c>
      <c r="D506" s="2">
        <v>0</v>
      </c>
      <c r="E506" s="2">
        <v>1</v>
      </c>
      <c r="F506" s="2">
        <v>2</v>
      </c>
      <c r="G506" s="2"/>
      <c r="H506" s="2" t="b">
        <v>0</v>
      </c>
      <c r="I506" s="2">
        <v>0</v>
      </c>
      <c r="J506" s="2">
        <v>1</v>
      </c>
      <c r="K506" s="65"/>
      <c r="L506" s="65"/>
      <c r="M506" s="21">
        <v>0.02</v>
      </c>
    </row>
    <row r="507" spans="1:13" ht="13.2" x14ac:dyDescent="0.25">
      <c r="A507" s="7">
        <v>506</v>
      </c>
      <c r="B507" s="3">
        <v>40566</v>
      </c>
      <c r="C507" s="2">
        <v>1</v>
      </c>
      <c r="D507" s="2">
        <v>0</v>
      </c>
      <c r="E507" s="2">
        <v>1</v>
      </c>
      <c r="F507" s="2">
        <v>3</v>
      </c>
      <c r="G507" s="2"/>
      <c r="H507" s="2" t="b">
        <v>0</v>
      </c>
      <c r="I507" s="2">
        <v>0</v>
      </c>
      <c r="J507" s="2">
        <v>1</v>
      </c>
      <c r="K507" s="65"/>
      <c r="L507" s="65"/>
      <c r="M507" s="21">
        <v>0.02</v>
      </c>
    </row>
    <row r="508" spans="1:13" ht="13.2" x14ac:dyDescent="0.25">
      <c r="A508" s="7">
        <v>507</v>
      </c>
      <c r="B508" s="3">
        <v>40566</v>
      </c>
      <c r="C508" s="2">
        <v>1</v>
      </c>
      <c r="D508" s="2">
        <v>0</v>
      </c>
      <c r="E508" s="2">
        <v>1</v>
      </c>
      <c r="F508" s="2">
        <v>5</v>
      </c>
      <c r="G508" s="2"/>
      <c r="H508" s="2" t="b">
        <v>0</v>
      </c>
      <c r="I508" s="2">
        <v>0</v>
      </c>
      <c r="J508" s="2">
        <v>2</v>
      </c>
      <c r="K508" s="65"/>
      <c r="L508" s="65"/>
      <c r="M508" s="21">
        <v>0.04</v>
      </c>
    </row>
    <row r="509" spans="1:13" ht="13.2" x14ac:dyDescent="0.25">
      <c r="A509" s="7">
        <v>508</v>
      </c>
      <c r="B509" s="3">
        <v>40566</v>
      </c>
      <c r="C509" s="2">
        <v>1</v>
      </c>
      <c r="D509" s="2">
        <v>0</v>
      </c>
      <c r="E509" s="2">
        <v>1</v>
      </c>
      <c r="F509" s="2">
        <v>6</v>
      </c>
      <c r="G509" s="2"/>
      <c r="H509" s="2" t="b">
        <v>0</v>
      </c>
      <c r="I509" s="2">
        <v>0</v>
      </c>
      <c r="J509" s="2">
        <v>2</v>
      </c>
      <c r="K509" s="65"/>
      <c r="L509" s="65"/>
      <c r="M509" s="21">
        <v>0.04</v>
      </c>
    </row>
    <row r="510" spans="1:13" ht="13.2" x14ac:dyDescent="0.25">
      <c r="A510" s="7">
        <v>509</v>
      </c>
      <c r="B510" s="3">
        <v>40566</v>
      </c>
      <c r="C510" s="2">
        <v>1</v>
      </c>
      <c r="D510" s="2">
        <v>0</v>
      </c>
      <c r="E510" s="2">
        <v>1</v>
      </c>
      <c r="F510" s="2">
        <v>7</v>
      </c>
      <c r="G510" s="2"/>
      <c r="H510" s="2" t="b">
        <v>0</v>
      </c>
      <c r="I510" s="2">
        <v>0</v>
      </c>
      <c r="J510" s="2">
        <v>1</v>
      </c>
      <c r="K510" s="65"/>
      <c r="L510" s="65"/>
      <c r="M510" s="21">
        <v>0.08</v>
      </c>
    </row>
    <row r="511" spans="1:13" ht="13.2" x14ac:dyDescent="0.25">
      <c r="A511" s="7">
        <v>510</v>
      </c>
      <c r="B511" s="3">
        <v>40566</v>
      </c>
      <c r="C511" s="2">
        <v>1</v>
      </c>
      <c r="D511" s="2">
        <v>0</v>
      </c>
      <c r="E511" s="2">
        <v>1</v>
      </c>
      <c r="F511" s="2">
        <v>8</v>
      </c>
      <c r="G511" s="2"/>
      <c r="H511" s="2" t="b">
        <v>0</v>
      </c>
      <c r="I511" s="2">
        <v>0</v>
      </c>
      <c r="J511" s="2">
        <v>1</v>
      </c>
      <c r="K511" s="65"/>
      <c r="L511" s="65"/>
      <c r="M511" s="21">
        <v>0.06</v>
      </c>
    </row>
    <row r="512" spans="1:13" ht="13.2" x14ac:dyDescent="0.25">
      <c r="A512" s="7">
        <v>511</v>
      </c>
      <c r="B512" s="3">
        <v>40566</v>
      </c>
      <c r="C512" s="2">
        <v>1</v>
      </c>
      <c r="D512" s="2">
        <v>0</v>
      </c>
      <c r="E512" s="2">
        <v>1</v>
      </c>
      <c r="F512" s="2">
        <v>9</v>
      </c>
      <c r="G512" s="2"/>
      <c r="H512" s="2" t="b">
        <v>0</v>
      </c>
      <c r="I512" s="2">
        <v>0</v>
      </c>
      <c r="J512" s="2">
        <v>1</v>
      </c>
      <c r="K512" s="65"/>
      <c r="L512" s="65"/>
      <c r="M512" s="21">
        <v>0.1</v>
      </c>
    </row>
    <row r="513" spans="1:13" ht="13.2" x14ac:dyDescent="0.25">
      <c r="A513" s="7">
        <v>512</v>
      </c>
      <c r="B513" s="3">
        <v>40566</v>
      </c>
      <c r="C513" s="2">
        <v>1</v>
      </c>
      <c r="D513" s="2">
        <v>0</v>
      </c>
      <c r="E513" s="2">
        <v>1</v>
      </c>
      <c r="F513" s="2">
        <v>10</v>
      </c>
      <c r="G513" s="2"/>
      <c r="H513" s="2" t="b">
        <v>0</v>
      </c>
      <c r="I513" s="2">
        <v>0</v>
      </c>
      <c r="J513" s="2">
        <v>1</v>
      </c>
      <c r="K513" s="65"/>
      <c r="L513" s="65"/>
      <c r="M513" s="21">
        <v>0.14000000000000001</v>
      </c>
    </row>
    <row r="514" spans="1:13" ht="13.2" x14ac:dyDescent="0.25">
      <c r="A514" s="7">
        <v>513</v>
      </c>
      <c r="B514" s="3">
        <v>40566</v>
      </c>
      <c r="C514" s="2">
        <v>1</v>
      </c>
      <c r="D514" s="2">
        <v>0</v>
      </c>
      <c r="E514" s="2">
        <v>1</v>
      </c>
      <c r="F514" s="2">
        <v>11</v>
      </c>
      <c r="G514" s="2"/>
      <c r="H514" s="2" t="b">
        <v>0</v>
      </c>
      <c r="I514" s="2">
        <v>0</v>
      </c>
      <c r="J514" s="2">
        <v>1</v>
      </c>
      <c r="K514" s="65"/>
      <c r="L514" s="65"/>
      <c r="M514" s="21">
        <v>0.14000000000000001</v>
      </c>
    </row>
    <row r="515" spans="1:13" ht="13.2" x14ac:dyDescent="0.25">
      <c r="A515" s="7">
        <v>514</v>
      </c>
      <c r="B515" s="3">
        <v>40566</v>
      </c>
      <c r="C515" s="2">
        <v>1</v>
      </c>
      <c r="D515" s="2">
        <v>0</v>
      </c>
      <c r="E515" s="2">
        <v>1</v>
      </c>
      <c r="F515" s="2">
        <v>12</v>
      </c>
      <c r="G515" s="2"/>
      <c r="H515" s="2" t="b">
        <v>0</v>
      </c>
      <c r="I515" s="2">
        <v>0</v>
      </c>
      <c r="J515" s="2">
        <v>1</v>
      </c>
      <c r="K515" s="65"/>
      <c r="L515" s="65"/>
      <c r="M515" s="21">
        <v>0.16</v>
      </c>
    </row>
    <row r="516" spans="1:13" ht="13.2" x14ac:dyDescent="0.25">
      <c r="A516" s="7">
        <v>515</v>
      </c>
      <c r="B516" s="3">
        <v>40566</v>
      </c>
      <c r="C516" s="2">
        <v>1</v>
      </c>
      <c r="D516" s="2">
        <v>0</v>
      </c>
      <c r="E516" s="2">
        <v>1</v>
      </c>
      <c r="F516" s="2">
        <v>13</v>
      </c>
      <c r="G516" s="2"/>
      <c r="H516" s="2" t="b">
        <v>0</v>
      </c>
      <c r="I516" s="2">
        <v>0</v>
      </c>
      <c r="J516" s="2">
        <v>1</v>
      </c>
      <c r="K516" s="65"/>
      <c r="L516" s="65"/>
      <c r="M516" s="21">
        <v>0.14000000000000001</v>
      </c>
    </row>
    <row r="517" spans="1:13" ht="13.2" x14ac:dyDescent="0.25">
      <c r="A517" s="7">
        <v>516</v>
      </c>
      <c r="B517" s="3">
        <v>40566</v>
      </c>
      <c r="C517" s="2">
        <v>1</v>
      </c>
      <c r="D517" s="2">
        <v>0</v>
      </c>
      <c r="E517" s="2">
        <v>1</v>
      </c>
      <c r="F517" s="2">
        <v>14</v>
      </c>
      <c r="G517" s="2"/>
      <c r="H517" s="2" t="b">
        <v>0</v>
      </c>
      <c r="I517" s="2">
        <v>0</v>
      </c>
      <c r="J517" s="2">
        <v>1</v>
      </c>
      <c r="K517" s="65"/>
      <c r="L517" s="65"/>
      <c r="M517" s="21">
        <v>0.16</v>
      </c>
    </row>
    <row r="518" spans="1:13" ht="13.2" x14ac:dyDescent="0.25">
      <c r="A518" s="7">
        <v>517</v>
      </c>
      <c r="B518" s="3">
        <v>40566</v>
      </c>
      <c r="C518" s="2">
        <v>1</v>
      </c>
      <c r="D518" s="2">
        <v>0</v>
      </c>
      <c r="E518" s="2">
        <v>1</v>
      </c>
      <c r="F518" s="2">
        <v>15</v>
      </c>
      <c r="G518" s="2"/>
      <c r="H518" s="2" t="b">
        <v>0</v>
      </c>
      <c r="I518" s="2">
        <v>0</v>
      </c>
      <c r="J518" s="2">
        <v>1</v>
      </c>
      <c r="K518" s="65"/>
      <c r="L518" s="65"/>
      <c r="M518" s="21">
        <v>0.16</v>
      </c>
    </row>
    <row r="519" spans="1:13" ht="13.2" x14ac:dyDescent="0.25">
      <c r="A519" s="7">
        <v>518</v>
      </c>
      <c r="B519" s="3">
        <v>40566</v>
      </c>
      <c r="C519" s="2">
        <v>1</v>
      </c>
      <c r="D519" s="2">
        <v>0</v>
      </c>
      <c r="E519" s="2">
        <v>1</v>
      </c>
      <c r="F519" s="2">
        <v>16</v>
      </c>
      <c r="G519" s="2"/>
      <c r="H519" s="2" t="b">
        <v>0</v>
      </c>
      <c r="I519" s="2">
        <v>0</v>
      </c>
      <c r="J519" s="2">
        <v>1</v>
      </c>
      <c r="K519" s="65"/>
      <c r="L519" s="65"/>
      <c r="M519" s="21">
        <v>0.16</v>
      </c>
    </row>
    <row r="520" spans="1:13" ht="13.2" x14ac:dyDescent="0.25">
      <c r="A520" s="7">
        <v>519</v>
      </c>
      <c r="B520" s="3">
        <v>40566</v>
      </c>
      <c r="C520" s="2">
        <v>1</v>
      </c>
      <c r="D520" s="2">
        <v>0</v>
      </c>
      <c r="E520" s="2">
        <v>1</v>
      </c>
      <c r="F520" s="2">
        <v>17</v>
      </c>
      <c r="G520" s="2"/>
      <c r="H520" s="2" t="b">
        <v>0</v>
      </c>
      <c r="I520" s="2">
        <v>0</v>
      </c>
      <c r="J520" s="2">
        <v>1</v>
      </c>
      <c r="K520" s="65"/>
      <c r="L520" s="65"/>
      <c r="M520" s="21">
        <v>0.14000000000000001</v>
      </c>
    </row>
    <row r="521" spans="1:13" ht="13.2" x14ac:dyDescent="0.25">
      <c r="A521" s="7">
        <v>520</v>
      </c>
      <c r="B521" s="3">
        <v>40566</v>
      </c>
      <c r="C521" s="2">
        <v>1</v>
      </c>
      <c r="D521" s="2">
        <v>0</v>
      </c>
      <c r="E521" s="2">
        <v>1</v>
      </c>
      <c r="F521" s="2">
        <v>18</v>
      </c>
      <c r="G521" s="2"/>
      <c r="H521" s="2" t="b">
        <v>0</v>
      </c>
      <c r="I521" s="2">
        <v>0</v>
      </c>
      <c r="J521" s="2">
        <v>1</v>
      </c>
      <c r="K521" s="65"/>
      <c r="L521" s="65"/>
      <c r="M521" s="21">
        <v>0.12</v>
      </c>
    </row>
    <row r="522" spans="1:13" ht="13.2" x14ac:dyDescent="0.25">
      <c r="A522" s="7">
        <v>521</v>
      </c>
      <c r="B522" s="3">
        <v>40566</v>
      </c>
      <c r="C522" s="2">
        <v>1</v>
      </c>
      <c r="D522" s="2">
        <v>0</v>
      </c>
      <c r="E522" s="2">
        <v>1</v>
      </c>
      <c r="F522" s="2">
        <v>19</v>
      </c>
      <c r="G522" s="2"/>
      <c r="H522" s="2" t="b">
        <v>0</v>
      </c>
      <c r="I522" s="2">
        <v>0</v>
      </c>
      <c r="J522" s="2">
        <v>1</v>
      </c>
      <c r="K522" s="65"/>
      <c r="L522" s="65"/>
      <c r="M522" s="21">
        <v>0.12</v>
      </c>
    </row>
    <row r="523" spans="1:13" ht="13.2" x14ac:dyDescent="0.25">
      <c r="A523" s="7">
        <v>522</v>
      </c>
      <c r="B523" s="3">
        <v>40566</v>
      </c>
      <c r="C523" s="2">
        <v>1</v>
      </c>
      <c r="D523" s="2">
        <v>0</v>
      </c>
      <c r="E523" s="2">
        <v>1</v>
      </c>
      <c r="F523" s="2">
        <v>20</v>
      </c>
      <c r="G523" s="2"/>
      <c r="H523" s="2" t="b">
        <v>0</v>
      </c>
      <c r="I523" s="2">
        <v>0</v>
      </c>
      <c r="J523" s="2">
        <v>1</v>
      </c>
      <c r="K523" s="65"/>
      <c r="L523" s="65"/>
      <c r="M523" s="21">
        <v>0.1</v>
      </c>
    </row>
    <row r="524" spans="1:13" ht="13.2" x14ac:dyDescent="0.25">
      <c r="A524" s="7">
        <v>523</v>
      </c>
      <c r="B524" s="3">
        <v>40566</v>
      </c>
      <c r="C524" s="2">
        <v>1</v>
      </c>
      <c r="D524" s="2">
        <v>0</v>
      </c>
      <c r="E524" s="2">
        <v>1</v>
      </c>
      <c r="F524" s="2">
        <v>21</v>
      </c>
      <c r="G524" s="2"/>
      <c r="H524" s="2" t="b">
        <v>0</v>
      </c>
      <c r="I524" s="2">
        <v>0</v>
      </c>
      <c r="J524" s="2">
        <v>1</v>
      </c>
      <c r="K524" s="65"/>
      <c r="L524" s="65"/>
      <c r="M524" s="21">
        <v>0.1</v>
      </c>
    </row>
    <row r="525" spans="1:13" ht="13.2" x14ac:dyDescent="0.25">
      <c r="A525" s="7">
        <v>524</v>
      </c>
      <c r="B525" s="3">
        <v>40566</v>
      </c>
      <c r="C525" s="2">
        <v>1</v>
      </c>
      <c r="D525" s="2">
        <v>0</v>
      </c>
      <c r="E525" s="2">
        <v>1</v>
      </c>
      <c r="F525" s="2">
        <v>22</v>
      </c>
      <c r="G525" s="2"/>
      <c r="H525" s="2" t="b">
        <v>0</v>
      </c>
      <c r="I525" s="2">
        <v>0</v>
      </c>
      <c r="J525" s="2">
        <v>1</v>
      </c>
      <c r="K525" s="65"/>
      <c r="L525" s="65"/>
      <c r="M525" s="21">
        <v>0.08</v>
      </c>
    </row>
    <row r="526" spans="1:13" ht="13.2" x14ac:dyDescent="0.25">
      <c r="A526" s="7">
        <v>525</v>
      </c>
      <c r="B526" s="3">
        <v>40566</v>
      </c>
      <c r="C526" s="2">
        <v>1</v>
      </c>
      <c r="D526" s="2">
        <v>0</v>
      </c>
      <c r="E526" s="2">
        <v>1</v>
      </c>
      <c r="F526" s="2">
        <v>23</v>
      </c>
      <c r="G526" s="2"/>
      <c r="H526" s="2" t="b">
        <v>0</v>
      </c>
      <c r="I526" s="2">
        <v>0</v>
      </c>
      <c r="J526" s="2">
        <v>1</v>
      </c>
      <c r="K526" s="65"/>
      <c r="L526" s="65"/>
      <c r="M526" s="21">
        <v>0.06</v>
      </c>
    </row>
    <row r="527" spans="1:13" ht="13.2" x14ac:dyDescent="0.25">
      <c r="A527" s="7">
        <v>526</v>
      </c>
      <c r="B527" s="3">
        <v>40567</v>
      </c>
      <c r="C527" s="2">
        <v>1</v>
      </c>
      <c r="D527" s="2">
        <v>0</v>
      </c>
      <c r="E527" s="2">
        <v>1</v>
      </c>
      <c r="F527" s="2">
        <v>0</v>
      </c>
      <c r="G527" s="2"/>
      <c r="H527" s="2" t="b">
        <v>0</v>
      </c>
      <c r="I527" s="2">
        <v>1</v>
      </c>
      <c r="J527" s="2">
        <v>1</v>
      </c>
      <c r="K527" s="65"/>
      <c r="L527" s="65"/>
      <c r="M527" s="21">
        <v>0.06</v>
      </c>
    </row>
    <row r="528" spans="1:13" ht="13.2" x14ac:dyDescent="0.25">
      <c r="A528" s="7">
        <v>527</v>
      </c>
      <c r="B528" s="3">
        <v>40567</v>
      </c>
      <c r="C528" s="2">
        <v>1</v>
      </c>
      <c r="D528" s="2">
        <v>0</v>
      </c>
      <c r="E528" s="2">
        <v>1</v>
      </c>
      <c r="F528" s="2">
        <v>1</v>
      </c>
      <c r="G528" s="2"/>
      <c r="H528" s="2" t="b">
        <v>0</v>
      </c>
      <c r="I528" s="2">
        <v>1</v>
      </c>
      <c r="J528" s="2">
        <v>1</v>
      </c>
      <c r="K528" s="65"/>
      <c r="L528" s="65"/>
      <c r="M528" s="21">
        <v>0.04</v>
      </c>
    </row>
    <row r="529" spans="1:13" ht="13.2" x14ac:dyDescent="0.25">
      <c r="A529" s="7">
        <v>528</v>
      </c>
      <c r="B529" s="3">
        <v>40567</v>
      </c>
      <c r="C529" s="2">
        <v>1</v>
      </c>
      <c r="D529" s="2">
        <v>0</v>
      </c>
      <c r="E529" s="2">
        <v>1</v>
      </c>
      <c r="F529" s="2">
        <v>3</v>
      </c>
      <c r="G529" s="2"/>
      <c r="H529" s="2" t="b">
        <v>0</v>
      </c>
      <c r="I529" s="2">
        <v>1</v>
      </c>
      <c r="J529" s="2">
        <v>1</v>
      </c>
      <c r="K529" s="65"/>
      <c r="L529" s="65"/>
      <c r="M529" s="21">
        <v>0.04</v>
      </c>
    </row>
    <row r="530" spans="1:13" ht="13.2" x14ac:dyDescent="0.25">
      <c r="A530" s="7">
        <v>529</v>
      </c>
      <c r="B530" s="3">
        <v>40567</v>
      </c>
      <c r="C530" s="2">
        <v>1</v>
      </c>
      <c r="D530" s="2">
        <v>0</v>
      </c>
      <c r="E530" s="2">
        <v>1</v>
      </c>
      <c r="F530" s="2">
        <v>4</v>
      </c>
      <c r="G530" s="2"/>
      <c r="H530" s="2" t="b">
        <v>0</v>
      </c>
      <c r="I530" s="2">
        <v>1</v>
      </c>
      <c r="J530" s="2">
        <v>1</v>
      </c>
      <c r="K530" s="65"/>
      <c r="L530" s="65"/>
      <c r="M530" s="21">
        <v>0.02</v>
      </c>
    </row>
    <row r="531" spans="1:13" ht="13.2" x14ac:dyDescent="0.25">
      <c r="A531" s="7">
        <v>530</v>
      </c>
      <c r="B531" s="3">
        <v>40567</v>
      </c>
      <c r="C531" s="2">
        <v>1</v>
      </c>
      <c r="D531" s="2">
        <v>0</v>
      </c>
      <c r="E531" s="2">
        <v>1</v>
      </c>
      <c r="F531" s="2">
        <v>5</v>
      </c>
      <c r="G531" s="2"/>
      <c r="H531" s="2" t="b">
        <v>0</v>
      </c>
      <c r="I531" s="2">
        <v>1</v>
      </c>
      <c r="J531" s="2">
        <v>1</v>
      </c>
      <c r="K531" s="65"/>
      <c r="L531" s="65"/>
      <c r="M531" s="21">
        <v>0.02</v>
      </c>
    </row>
    <row r="532" spans="1:13" ht="13.2" x14ac:dyDescent="0.25">
      <c r="A532" s="7">
        <v>531</v>
      </c>
      <c r="B532" s="3">
        <v>40567</v>
      </c>
      <c r="C532" s="2">
        <v>1</v>
      </c>
      <c r="D532" s="2">
        <v>0</v>
      </c>
      <c r="E532" s="2">
        <v>1</v>
      </c>
      <c r="F532" s="2">
        <v>6</v>
      </c>
      <c r="G532" s="2"/>
      <c r="H532" s="2" t="b">
        <v>0</v>
      </c>
      <c r="I532" s="2">
        <v>1</v>
      </c>
      <c r="J532" s="2">
        <v>1</v>
      </c>
      <c r="K532" s="65"/>
      <c r="L532" s="65"/>
      <c r="M532" s="21">
        <v>0.02</v>
      </c>
    </row>
    <row r="533" spans="1:13" ht="13.2" x14ac:dyDescent="0.25">
      <c r="A533" s="7">
        <v>532</v>
      </c>
      <c r="B533" s="3">
        <v>40567</v>
      </c>
      <c r="C533" s="2">
        <v>1</v>
      </c>
      <c r="D533" s="2">
        <v>0</v>
      </c>
      <c r="E533" s="2">
        <v>1</v>
      </c>
      <c r="F533" s="2">
        <v>7</v>
      </c>
      <c r="G533" s="2"/>
      <c r="H533" s="2" t="b">
        <v>0</v>
      </c>
      <c r="I533" s="2">
        <v>1</v>
      </c>
      <c r="J533" s="2">
        <v>1</v>
      </c>
      <c r="K533" s="65"/>
      <c r="L533" s="65"/>
      <c r="M533" s="21">
        <v>0.02</v>
      </c>
    </row>
    <row r="534" spans="1:13" ht="13.2" x14ac:dyDescent="0.25">
      <c r="A534" s="7">
        <v>533</v>
      </c>
      <c r="B534" s="3">
        <v>40567</v>
      </c>
      <c r="C534" s="2">
        <v>1</v>
      </c>
      <c r="D534" s="2">
        <v>0</v>
      </c>
      <c r="E534" s="2">
        <v>1</v>
      </c>
      <c r="F534" s="2">
        <v>8</v>
      </c>
      <c r="G534" s="2"/>
      <c r="H534" s="2" t="b">
        <v>0</v>
      </c>
      <c r="I534" s="2">
        <v>1</v>
      </c>
      <c r="J534" s="2">
        <v>1</v>
      </c>
      <c r="K534" s="65"/>
      <c r="L534" s="65"/>
      <c r="M534" s="21">
        <v>0.04</v>
      </c>
    </row>
    <row r="535" spans="1:13" ht="13.2" x14ac:dyDescent="0.25">
      <c r="A535" s="7">
        <v>534</v>
      </c>
      <c r="B535" s="3">
        <v>40567</v>
      </c>
      <c r="C535" s="2">
        <v>1</v>
      </c>
      <c r="D535" s="2">
        <v>0</v>
      </c>
      <c r="E535" s="2">
        <v>1</v>
      </c>
      <c r="F535" s="2">
        <v>9</v>
      </c>
      <c r="G535" s="2"/>
      <c r="H535" s="2" t="b">
        <v>0</v>
      </c>
      <c r="I535" s="2">
        <v>1</v>
      </c>
      <c r="J535" s="2">
        <v>1</v>
      </c>
      <c r="K535" s="65"/>
      <c r="L535" s="65"/>
      <c r="M535" s="21">
        <v>0.06</v>
      </c>
    </row>
    <row r="536" spans="1:13" ht="13.2" x14ac:dyDescent="0.25">
      <c r="A536" s="7">
        <v>535</v>
      </c>
      <c r="B536" s="3">
        <v>40567</v>
      </c>
      <c r="C536" s="2">
        <v>1</v>
      </c>
      <c r="D536" s="2">
        <v>0</v>
      </c>
      <c r="E536" s="2">
        <v>1</v>
      </c>
      <c r="F536" s="2">
        <v>10</v>
      </c>
      <c r="G536" s="2"/>
      <c r="H536" s="2" t="b">
        <v>0</v>
      </c>
      <c r="I536" s="2">
        <v>1</v>
      </c>
      <c r="J536" s="2">
        <v>1</v>
      </c>
      <c r="K536" s="65"/>
      <c r="L536" s="65"/>
      <c r="M536" s="21">
        <v>0.1</v>
      </c>
    </row>
    <row r="537" spans="1:13" ht="13.2" x14ac:dyDescent="0.25">
      <c r="A537" s="7">
        <v>536</v>
      </c>
      <c r="B537" s="3">
        <v>40567</v>
      </c>
      <c r="C537" s="2">
        <v>1</v>
      </c>
      <c r="D537" s="2">
        <v>0</v>
      </c>
      <c r="E537" s="2">
        <v>1</v>
      </c>
      <c r="F537" s="2">
        <v>11</v>
      </c>
      <c r="G537" s="2"/>
      <c r="H537" s="2" t="b">
        <v>0</v>
      </c>
      <c r="I537" s="2">
        <v>1</v>
      </c>
      <c r="J537" s="2">
        <v>1</v>
      </c>
      <c r="K537" s="65"/>
      <c r="L537" s="65"/>
      <c r="M537" s="21">
        <v>0.1</v>
      </c>
    </row>
    <row r="538" spans="1:13" ht="13.2" x14ac:dyDescent="0.25">
      <c r="A538" s="7">
        <v>537</v>
      </c>
      <c r="B538" s="3">
        <v>40567</v>
      </c>
      <c r="C538" s="2">
        <v>1</v>
      </c>
      <c r="D538" s="2">
        <v>0</v>
      </c>
      <c r="E538" s="2">
        <v>1</v>
      </c>
      <c r="F538" s="2">
        <v>12</v>
      </c>
      <c r="G538" s="2"/>
      <c r="H538" s="2" t="b">
        <v>0</v>
      </c>
      <c r="I538" s="2">
        <v>1</v>
      </c>
      <c r="J538" s="2">
        <v>2</v>
      </c>
      <c r="K538" s="65"/>
      <c r="L538" s="65"/>
      <c r="M538" s="21">
        <v>0.12</v>
      </c>
    </row>
    <row r="539" spans="1:13" ht="13.2" x14ac:dyDescent="0.25">
      <c r="A539" s="7">
        <v>538</v>
      </c>
      <c r="B539" s="3">
        <v>40567</v>
      </c>
      <c r="C539" s="2">
        <v>1</v>
      </c>
      <c r="D539" s="2">
        <v>0</v>
      </c>
      <c r="E539" s="2">
        <v>1</v>
      </c>
      <c r="F539" s="2">
        <v>13</v>
      </c>
      <c r="G539" s="2"/>
      <c r="H539" s="2" t="b">
        <v>0</v>
      </c>
      <c r="I539" s="2">
        <v>1</v>
      </c>
      <c r="J539" s="2">
        <v>2</v>
      </c>
      <c r="K539" s="65"/>
      <c r="L539" s="65"/>
      <c r="M539" s="21">
        <v>0.14000000000000001</v>
      </c>
    </row>
    <row r="540" spans="1:13" ht="13.2" x14ac:dyDescent="0.25">
      <c r="A540" s="7">
        <v>539</v>
      </c>
      <c r="B540" s="3">
        <v>40567</v>
      </c>
      <c r="C540" s="2">
        <v>1</v>
      </c>
      <c r="D540" s="2">
        <v>0</v>
      </c>
      <c r="E540" s="2">
        <v>1</v>
      </c>
      <c r="F540" s="2">
        <v>14</v>
      </c>
      <c r="G540" s="2"/>
      <c r="H540" s="2" t="b">
        <v>0</v>
      </c>
      <c r="I540" s="2">
        <v>1</v>
      </c>
      <c r="J540" s="2">
        <v>2</v>
      </c>
      <c r="K540" s="65"/>
      <c r="L540" s="65"/>
      <c r="M540" s="21">
        <v>0.14000000000000001</v>
      </c>
    </row>
    <row r="541" spans="1:13" ht="13.2" x14ac:dyDescent="0.25">
      <c r="A541" s="7">
        <v>540</v>
      </c>
      <c r="B541" s="3">
        <v>40567</v>
      </c>
      <c r="C541" s="2">
        <v>1</v>
      </c>
      <c r="D541" s="2">
        <v>0</v>
      </c>
      <c r="E541" s="2">
        <v>1</v>
      </c>
      <c r="F541" s="2">
        <v>15</v>
      </c>
      <c r="G541" s="2"/>
      <c r="H541" s="2" t="b">
        <v>0</v>
      </c>
      <c r="I541" s="2">
        <v>1</v>
      </c>
      <c r="J541" s="2">
        <v>1</v>
      </c>
      <c r="K541" s="65"/>
      <c r="L541" s="65"/>
      <c r="M541" s="21">
        <v>0.16</v>
      </c>
    </row>
    <row r="542" spans="1:13" ht="13.2" x14ac:dyDescent="0.25">
      <c r="A542" s="7">
        <v>541</v>
      </c>
      <c r="B542" s="3">
        <v>40567</v>
      </c>
      <c r="C542" s="2">
        <v>1</v>
      </c>
      <c r="D542" s="2">
        <v>0</v>
      </c>
      <c r="E542" s="2">
        <v>1</v>
      </c>
      <c r="F542" s="2">
        <v>16</v>
      </c>
      <c r="G542" s="2"/>
      <c r="H542" s="2" t="b">
        <v>0</v>
      </c>
      <c r="I542" s="2">
        <v>1</v>
      </c>
      <c r="J542" s="2">
        <v>1</v>
      </c>
      <c r="K542" s="65"/>
      <c r="L542" s="65"/>
      <c r="M542" s="21">
        <v>0.16</v>
      </c>
    </row>
    <row r="543" spans="1:13" ht="13.2" x14ac:dyDescent="0.25">
      <c r="A543" s="7">
        <v>542</v>
      </c>
      <c r="B543" s="3">
        <v>40567</v>
      </c>
      <c r="C543" s="2">
        <v>1</v>
      </c>
      <c r="D543" s="2">
        <v>0</v>
      </c>
      <c r="E543" s="2">
        <v>1</v>
      </c>
      <c r="F543" s="2">
        <v>17</v>
      </c>
      <c r="G543" s="2"/>
      <c r="H543" s="2" t="b">
        <v>0</v>
      </c>
      <c r="I543" s="2">
        <v>1</v>
      </c>
      <c r="J543" s="2">
        <v>1</v>
      </c>
      <c r="K543" s="65"/>
      <c r="L543" s="65"/>
      <c r="M543" s="21">
        <v>0.14000000000000001</v>
      </c>
    </row>
    <row r="544" spans="1:13" ht="13.2" x14ac:dyDescent="0.25">
      <c r="A544" s="7">
        <v>543</v>
      </c>
      <c r="B544" s="3">
        <v>40567</v>
      </c>
      <c r="C544" s="2">
        <v>1</v>
      </c>
      <c r="D544" s="2">
        <v>0</v>
      </c>
      <c r="E544" s="2">
        <v>1</v>
      </c>
      <c r="F544" s="2">
        <v>18</v>
      </c>
      <c r="G544" s="2"/>
      <c r="H544" s="2" t="b">
        <v>0</v>
      </c>
      <c r="I544" s="2">
        <v>1</v>
      </c>
      <c r="J544" s="2">
        <v>1</v>
      </c>
      <c r="K544" s="65"/>
      <c r="L544" s="65"/>
      <c r="M544" s="21">
        <v>0.14000000000000001</v>
      </c>
    </row>
    <row r="545" spans="1:13" ht="13.2" x14ac:dyDescent="0.25">
      <c r="A545" s="7">
        <v>544</v>
      </c>
      <c r="B545" s="3">
        <v>40567</v>
      </c>
      <c r="C545" s="2">
        <v>1</v>
      </c>
      <c r="D545" s="2">
        <v>0</v>
      </c>
      <c r="E545" s="2">
        <v>1</v>
      </c>
      <c r="F545" s="2">
        <v>19</v>
      </c>
      <c r="G545" s="2"/>
      <c r="H545" s="2" t="b">
        <v>0</v>
      </c>
      <c r="I545" s="2">
        <v>1</v>
      </c>
      <c r="J545" s="2">
        <v>1</v>
      </c>
      <c r="K545" s="65"/>
      <c r="L545" s="65"/>
      <c r="M545" s="21">
        <v>0.14000000000000001</v>
      </c>
    </row>
    <row r="546" spans="1:13" ht="13.2" x14ac:dyDescent="0.25">
      <c r="A546" s="7">
        <v>545</v>
      </c>
      <c r="B546" s="3">
        <v>40567</v>
      </c>
      <c r="C546" s="2">
        <v>1</v>
      </c>
      <c r="D546" s="2">
        <v>0</v>
      </c>
      <c r="E546" s="2">
        <v>1</v>
      </c>
      <c r="F546" s="2">
        <v>20</v>
      </c>
      <c r="G546" s="2"/>
      <c r="H546" s="2" t="b">
        <v>0</v>
      </c>
      <c r="I546" s="2">
        <v>1</v>
      </c>
      <c r="J546" s="2">
        <v>1</v>
      </c>
      <c r="K546" s="65"/>
      <c r="L546" s="65"/>
      <c r="M546" s="21">
        <v>0.14000000000000001</v>
      </c>
    </row>
    <row r="547" spans="1:13" ht="13.2" x14ac:dyDescent="0.25">
      <c r="A547" s="7">
        <v>546</v>
      </c>
      <c r="B547" s="3">
        <v>40567</v>
      </c>
      <c r="C547" s="2">
        <v>1</v>
      </c>
      <c r="D547" s="2">
        <v>0</v>
      </c>
      <c r="E547" s="2">
        <v>1</v>
      </c>
      <c r="F547" s="2">
        <v>21</v>
      </c>
      <c r="G547" s="2"/>
      <c r="H547" s="2" t="b">
        <v>0</v>
      </c>
      <c r="I547" s="2">
        <v>1</v>
      </c>
      <c r="J547" s="2">
        <v>1</v>
      </c>
      <c r="K547" s="65"/>
      <c r="L547" s="65"/>
      <c r="M547" s="21">
        <v>0.14000000000000001</v>
      </c>
    </row>
    <row r="548" spans="1:13" ht="13.2" x14ac:dyDescent="0.25">
      <c r="A548" s="7">
        <v>547</v>
      </c>
      <c r="B548" s="3">
        <v>40567</v>
      </c>
      <c r="C548" s="2">
        <v>1</v>
      </c>
      <c r="D548" s="2">
        <v>0</v>
      </c>
      <c r="E548" s="2">
        <v>1</v>
      </c>
      <c r="F548" s="2">
        <v>22</v>
      </c>
      <c r="G548" s="2"/>
      <c r="H548" s="2" t="b">
        <v>0</v>
      </c>
      <c r="I548" s="2">
        <v>1</v>
      </c>
      <c r="J548" s="2">
        <v>2</v>
      </c>
      <c r="K548" s="65"/>
      <c r="L548" s="65"/>
      <c r="M548" s="21">
        <v>0.14000000000000001</v>
      </c>
    </row>
    <row r="549" spans="1:13" ht="13.2" x14ac:dyDescent="0.25">
      <c r="A549" s="7">
        <v>548</v>
      </c>
      <c r="B549" s="3">
        <v>40567</v>
      </c>
      <c r="C549" s="2">
        <v>1</v>
      </c>
      <c r="D549" s="2">
        <v>0</v>
      </c>
      <c r="E549" s="2">
        <v>1</v>
      </c>
      <c r="F549" s="2">
        <v>23</v>
      </c>
      <c r="G549" s="2"/>
      <c r="H549" s="2" t="b">
        <v>0</v>
      </c>
      <c r="I549" s="2">
        <v>1</v>
      </c>
      <c r="J549" s="2">
        <v>2</v>
      </c>
      <c r="K549" s="65"/>
      <c r="L549" s="65"/>
      <c r="M549" s="21">
        <v>0.16</v>
      </c>
    </row>
    <row r="550" spans="1:13" ht="13.2" x14ac:dyDescent="0.25">
      <c r="A550" s="7">
        <v>549</v>
      </c>
      <c r="B550" s="3">
        <v>40568</v>
      </c>
      <c r="C550" s="2">
        <v>1</v>
      </c>
      <c r="D550" s="2">
        <v>0</v>
      </c>
      <c r="E550" s="2">
        <v>1</v>
      </c>
      <c r="F550" s="2">
        <v>0</v>
      </c>
      <c r="G550" s="2"/>
      <c r="H550" s="2" t="b">
        <v>0</v>
      </c>
      <c r="I550" s="2">
        <v>2</v>
      </c>
      <c r="J550" s="2">
        <v>2</v>
      </c>
      <c r="K550" s="65"/>
      <c r="L550" s="65"/>
      <c r="M550" s="21">
        <v>0.16</v>
      </c>
    </row>
    <row r="551" spans="1:13" ht="13.2" x14ac:dyDescent="0.25">
      <c r="A551" s="7">
        <v>550</v>
      </c>
      <c r="B551" s="3">
        <v>40568</v>
      </c>
      <c r="C551" s="2">
        <v>1</v>
      </c>
      <c r="D551" s="2">
        <v>0</v>
      </c>
      <c r="E551" s="2">
        <v>1</v>
      </c>
      <c r="F551" s="2">
        <v>1</v>
      </c>
      <c r="G551" s="2"/>
      <c r="H551" s="2" t="b">
        <v>0</v>
      </c>
      <c r="I551" s="2">
        <v>2</v>
      </c>
      <c r="J551" s="2">
        <v>2</v>
      </c>
      <c r="K551" s="65"/>
      <c r="L551" s="65"/>
      <c r="M551" s="21">
        <v>0.16</v>
      </c>
    </row>
    <row r="552" spans="1:13" ht="13.2" x14ac:dyDescent="0.25">
      <c r="A552" s="7">
        <v>551</v>
      </c>
      <c r="B552" s="3">
        <v>40568</v>
      </c>
      <c r="C552" s="2">
        <v>1</v>
      </c>
      <c r="D552" s="2">
        <v>0</v>
      </c>
      <c r="E552" s="2">
        <v>1</v>
      </c>
      <c r="F552" s="2">
        <v>2</v>
      </c>
      <c r="G552" s="2"/>
      <c r="H552" s="2" t="b">
        <v>0</v>
      </c>
      <c r="I552" s="2">
        <v>2</v>
      </c>
      <c r="J552" s="2">
        <v>1</v>
      </c>
      <c r="K552" s="65"/>
      <c r="L552" s="65"/>
      <c r="M552" s="21">
        <v>0.16</v>
      </c>
    </row>
    <row r="553" spans="1:13" ht="13.2" x14ac:dyDescent="0.25">
      <c r="A553" s="7">
        <v>552</v>
      </c>
      <c r="B553" s="3">
        <v>40568</v>
      </c>
      <c r="C553" s="2">
        <v>1</v>
      </c>
      <c r="D553" s="2">
        <v>0</v>
      </c>
      <c r="E553" s="2">
        <v>1</v>
      </c>
      <c r="F553" s="2">
        <v>4</v>
      </c>
      <c r="G553" s="2"/>
      <c r="H553" s="2" t="b">
        <v>0</v>
      </c>
      <c r="I553" s="2">
        <v>2</v>
      </c>
      <c r="J553" s="2">
        <v>1</v>
      </c>
      <c r="K553" s="65"/>
      <c r="L553" s="65"/>
      <c r="M553" s="21">
        <v>0.14000000000000001</v>
      </c>
    </row>
    <row r="554" spans="1:13" ht="13.2" x14ac:dyDescent="0.25">
      <c r="A554" s="7">
        <v>553</v>
      </c>
      <c r="B554" s="3">
        <v>40568</v>
      </c>
      <c r="C554" s="2">
        <v>1</v>
      </c>
      <c r="D554" s="2">
        <v>0</v>
      </c>
      <c r="E554" s="2">
        <v>1</v>
      </c>
      <c r="F554" s="2">
        <v>5</v>
      </c>
      <c r="G554" s="2"/>
      <c r="H554" s="2" t="b">
        <v>0</v>
      </c>
      <c r="I554" s="2">
        <v>2</v>
      </c>
      <c r="J554" s="2">
        <v>1</v>
      </c>
      <c r="K554" s="65"/>
      <c r="L554" s="65"/>
      <c r="M554" s="21">
        <v>0.14000000000000001</v>
      </c>
    </row>
    <row r="555" spans="1:13" ht="13.2" x14ac:dyDescent="0.25">
      <c r="A555" s="7">
        <v>554</v>
      </c>
      <c r="B555" s="3">
        <v>40568</v>
      </c>
      <c r="C555" s="2">
        <v>1</v>
      </c>
      <c r="D555" s="2">
        <v>0</v>
      </c>
      <c r="E555" s="2">
        <v>1</v>
      </c>
      <c r="F555" s="2">
        <v>6</v>
      </c>
      <c r="G555" s="2"/>
      <c r="H555" s="2" t="b">
        <v>0</v>
      </c>
      <c r="I555" s="2">
        <v>2</v>
      </c>
      <c r="J555" s="2">
        <v>1</v>
      </c>
      <c r="K555" s="65"/>
      <c r="L555" s="65"/>
      <c r="M555" s="21">
        <v>0.16</v>
      </c>
    </row>
    <row r="556" spans="1:13" ht="13.2" x14ac:dyDescent="0.25">
      <c r="A556" s="7">
        <v>555</v>
      </c>
      <c r="B556" s="3">
        <v>40568</v>
      </c>
      <c r="C556" s="2">
        <v>1</v>
      </c>
      <c r="D556" s="2">
        <v>0</v>
      </c>
      <c r="E556" s="2">
        <v>1</v>
      </c>
      <c r="F556" s="2">
        <v>7</v>
      </c>
      <c r="G556" s="2"/>
      <c r="H556" s="2" t="b">
        <v>0</v>
      </c>
      <c r="I556" s="2">
        <v>2</v>
      </c>
      <c r="J556" s="2">
        <v>1</v>
      </c>
      <c r="K556" s="65"/>
      <c r="L556" s="65"/>
      <c r="M556" s="21">
        <v>0.16</v>
      </c>
    </row>
    <row r="557" spans="1:13" ht="13.2" x14ac:dyDescent="0.25">
      <c r="A557" s="7">
        <v>556</v>
      </c>
      <c r="B557" s="3">
        <v>40568</v>
      </c>
      <c r="C557" s="2">
        <v>1</v>
      </c>
      <c r="D557" s="2">
        <v>0</v>
      </c>
      <c r="E557" s="2">
        <v>1</v>
      </c>
      <c r="F557" s="2">
        <v>8</v>
      </c>
      <c r="G557" s="2"/>
      <c r="H557" s="2" t="b">
        <v>0</v>
      </c>
      <c r="I557" s="2">
        <v>2</v>
      </c>
      <c r="J557" s="2">
        <v>2</v>
      </c>
      <c r="K557" s="65"/>
      <c r="L557" s="65"/>
      <c r="M557" s="21">
        <v>0.16</v>
      </c>
    </row>
    <row r="558" spans="1:13" ht="13.2" x14ac:dyDescent="0.25">
      <c r="A558" s="7">
        <v>557</v>
      </c>
      <c r="B558" s="3">
        <v>40568</v>
      </c>
      <c r="C558" s="2">
        <v>1</v>
      </c>
      <c r="D558" s="2">
        <v>0</v>
      </c>
      <c r="E558" s="2">
        <v>1</v>
      </c>
      <c r="F558" s="2">
        <v>9</v>
      </c>
      <c r="G558" s="2"/>
      <c r="H558" s="2" t="b">
        <v>0</v>
      </c>
      <c r="I558" s="2">
        <v>2</v>
      </c>
      <c r="J558" s="2">
        <v>2</v>
      </c>
      <c r="K558" s="65"/>
      <c r="L558" s="65"/>
      <c r="M558" s="21">
        <v>0.2</v>
      </c>
    </row>
    <row r="559" spans="1:13" ht="13.2" x14ac:dyDescent="0.25">
      <c r="A559" s="7">
        <v>558</v>
      </c>
      <c r="B559" s="3">
        <v>40568</v>
      </c>
      <c r="C559" s="2">
        <v>1</v>
      </c>
      <c r="D559" s="2">
        <v>0</v>
      </c>
      <c r="E559" s="2">
        <v>1</v>
      </c>
      <c r="F559" s="2">
        <v>10</v>
      </c>
      <c r="G559" s="2"/>
      <c r="H559" s="2" t="b">
        <v>0</v>
      </c>
      <c r="I559" s="2">
        <v>2</v>
      </c>
      <c r="J559" s="2">
        <v>2</v>
      </c>
      <c r="K559" s="65"/>
      <c r="L559" s="65"/>
      <c r="M559" s="21">
        <v>0.22</v>
      </c>
    </row>
    <row r="560" spans="1:13" ht="13.2" x14ac:dyDescent="0.25">
      <c r="A560" s="7">
        <v>559</v>
      </c>
      <c r="B560" s="3">
        <v>40568</v>
      </c>
      <c r="C560" s="2">
        <v>1</v>
      </c>
      <c r="D560" s="2">
        <v>0</v>
      </c>
      <c r="E560" s="2">
        <v>1</v>
      </c>
      <c r="F560" s="2">
        <v>11</v>
      </c>
      <c r="G560" s="2"/>
      <c r="H560" s="2" t="b">
        <v>0</v>
      </c>
      <c r="I560" s="2">
        <v>2</v>
      </c>
      <c r="J560" s="2">
        <v>2</v>
      </c>
      <c r="K560" s="65"/>
      <c r="L560" s="65"/>
      <c r="M560" s="21">
        <v>0.24</v>
      </c>
    </row>
    <row r="561" spans="1:13" ht="13.2" x14ac:dyDescent="0.25">
      <c r="A561" s="7">
        <v>560</v>
      </c>
      <c r="B561" s="3">
        <v>40568</v>
      </c>
      <c r="C561" s="2">
        <v>1</v>
      </c>
      <c r="D561" s="2">
        <v>0</v>
      </c>
      <c r="E561" s="2">
        <v>1</v>
      </c>
      <c r="F561" s="2">
        <v>12</v>
      </c>
      <c r="G561" s="2"/>
      <c r="H561" s="2" t="b">
        <v>0</v>
      </c>
      <c r="I561" s="2">
        <v>2</v>
      </c>
      <c r="J561" s="2">
        <v>2</v>
      </c>
      <c r="K561" s="65"/>
      <c r="L561" s="65"/>
      <c r="M561" s="21">
        <v>0.26</v>
      </c>
    </row>
    <row r="562" spans="1:13" ht="13.2" x14ac:dyDescent="0.25">
      <c r="A562" s="7">
        <v>561</v>
      </c>
      <c r="B562" s="3">
        <v>40568</v>
      </c>
      <c r="C562" s="2">
        <v>1</v>
      </c>
      <c r="D562" s="2">
        <v>0</v>
      </c>
      <c r="E562" s="2">
        <v>1</v>
      </c>
      <c r="F562" s="2">
        <v>13</v>
      </c>
      <c r="G562" s="2"/>
      <c r="H562" s="2" t="b">
        <v>0</v>
      </c>
      <c r="I562" s="2">
        <v>2</v>
      </c>
      <c r="J562" s="2">
        <v>2</v>
      </c>
      <c r="K562" s="65"/>
      <c r="L562" s="65"/>
      <c r="M562" s="21">
        <v>0.26</v>
      </c>
    </row>
    <row r="563" spans="1:13" ht="13.2" x14ac:dyDescent="0.25">
      <c r="A563" s="7">
        <v>562</v>
      </c>
      <c r="B563" s="3">
        <v>40568</v>
      </c>
      <c r="C563" s="2">
        <v>1</v>
      </c>
      <c r="D563" s="2">
        <v>0</v>
      </c>
      <c r="E563" s="2">
        <v>1</v>
      </c>
      <c r="F563" s="2">
        <v>14</v>
      </c>
      <c r="G563" s="2"/>
      <c r="H563" s="2" t="b">
        <v>0</v>
      </c>
      <c r="I563" s="2">
        <v>2</v>
      </c>
      <c r="J563" s="2">
        <v>2</v>
      </c>
      <c r="K563" s="65"/>
      <c r="L563" s="65"/>
      <c r="M563" s="21">
        <v>0.3</v>
      </c>
    </row>
    <row r="564" spans="1:13" ht="13.2" x14ac:dyDescent="0.25">
      <c r="A564" s="7">
        <v>563</v>
      </c>
      <c r="B564" s="3">
        <v>40568</v>
      </c>
      <c r="C564" s="2">
        <v>1</v>
      </c>
      <c r="D564" s="2">
        <v>0</v>
      </c>
      <c r="E564" s="2">
        <v>1</v>
      </c>
      <c r="F564" s="2">
        <v>15</v>
      </c>
      <c r="G564" s="2"/>
      <c r="H564" s="2" t="b">
        <v>0</v>
      </c>
      <c r="I564" s="2">
        <v>2</v>
      </c>
      <c r="J564" s="2">
        <v>2</v>
      </c>
      <c r="K564" s="65"/>
      <c r="L564" s="65"/>
      <c r="M564" s="21">
        <v>0.32</v>
      </c>
    </row>
    <row r="565" spans="1:13" ht="13.2" x14ac:dyDescent="0.25">
      <c r="A565" s="7">
        <v>564</v>
      </c>
      <c r="B565" s="3">
        <v>40568</v>
      </c>
      <c r="C565" s="2">
        <v>1</v>
      </c>
      <c r="D565" s="2">
        <v>0</v>
      </c>
      <c r="E565" s="2">
        <v>1</v>
      </c>
      <c r="F565" s="2">
        <v>16</v>
      </c>
      <c r="G565" s="2"/>
      <c r="H565" s="2" t="b">
        <v>0</v>
      </c>
      <c r="I565" s="2">
        <v>2</v>
      </c>
      <c r="J565" s="2">
        <v>2</v>
      </c>
      <c r="K565" s="65"/>
      <c r="L565" s="65"/>
      <c r="M565" s="21">
        <v>0.32</v>
      </c>
    </row>
    <row r="566" spans="1:13" ht="13.2" x14ac:dyDescent="0.25">
      <c r="A566" s="7">
        <v>565</v>
      </c>
      <c r="B566" s="3">
        <v>40568</v>
      </c>
      <c r="C566" s="2">
        <v>1</v>
      </c>
      <c r="D566" s="2">
        <v>0</v>
      </c>
      <c r="E566" s="2">
        <v>1</v>
      </c>
      <c r="F566" s="2">
        <v>17</v>
      </c>
      <c r="G566" s="2"/>
      <c r="H566" s="2" t="b">
        <v>0</v>
      </c>
      <c r="I566" s="2">
        <v>2</v>
      </c>
      <c r="J566" s="2">
        <v>1</v>
      </c>
      <c r="K566" s="65"/>
      <c r="L566" s="65"/>
      <c r="M566" s="21">
        <v>0.3</v>
      </c>
    </row>
    <row r="567" spans="1:13" ht="13.2" x14ac:dyDescent="0.25">
      <c r="A567" s="7">
        <v>566</v>
      </c>
      <c r="B567" s="3">
        <v>40568</v>
      </c>
      <c r="C567" s="2">
        <v>1</v>
      </c>
      <c r="D567" s="2">
        <v>0</v>
      </c>
      <c r="E567" s="2">
        <v>1</v>
      </c>
      <c r="F567" s="2">
        <v>18</v>
      </c>
      <c r="G567" s="2"/>
      <c r="H567" s="2" t="b">
        <v>0</v>
      </c>
      <c r="I567" s="2">
        <v>2</v>
      </c>
      <c r="J567" s="2">
        <v>2</v>
      </c>
      <c r="K567" s="65"/>
      <c r="L567" s="65"/>
      <c r="M567" s="21">
        <v>0.3</v>
      </c>
    </row>
    <row r="568" spans="1:13" ht="13.2" x14ac:dyDescent="0.25">
      <c r="A568" s="7">
        <v>567</v>
      </c>
      <c r="B568" s="3">
        <v>40568</v>
      </c>
      <c r="C568" s="2">
        <v>1</v>
      </c>
      <c r="D568" s="2">
        <v>0</v>
      </c>
      <c r="E568" s="2">
        <v>1</v>
      </c>
      <c r="F568" s="2">
        <v>19</v>
      </c>
      <c r="G568" s="2"/>
      <c r="H568" s="2" t="b">
        <v>0</v>
      </c>
      <c r="I568" s="2">
        <v>2</v>
      </c>
      <c r="J568" s="2">
        <v>2</v>
      </c>
      <c r="K568" s="65"/>
      <c r="L568" s="65"/>
      <c r="M568" s="21">
        <v>0.26</v>
      </c>
    </row>
    <row r="569" spans="1:13" ht="13.2" x14ac:dyDescent="0.25">
      <c r="A569" s="7">
        <v>568</v>
      </c>
      <c r="B569" s="3">
        <v>40568</v>
      </c>
      <c r="C569" s="2">
        <v>1</v>
      </c>
      <c r="D569" s="2">
        <v>0</v>
      </c>
      <c r="E569" s="2">
        <v>1</v>
      </c>
      <c r="F569" s="2">
        <v>20</v>
      </c>
      <c r="G569" s="2"/>
      <c r="H569" s="2" t="b">
        <v>0</v>
      </c>
      <c r="I569" s="2">
        <v>2</v>
      </c>
      <c r="J569" s="2">
        <v>1</v>
      </c>
      <c r="K569" s="65"/>
      <c r="L569" s="65"/>
      <c r="M569" s="21">
        <v>0.24</v>
      </c>
    </row>
    <row r="570" spans="1:13" ht="13.2" x14ac:dyDescent="0.25">
      <c r="A570" s="7">
        <v>569</v>
      </c>
      <c r="B570" s="3">
        <v>40568</v>
      </c>
      <c r="C570" s="2">
        <v>1</v>
      </c>
      <c r="D570" s="2">
        <v>0</v>
      </c>
      <c r="E570" s="2">
        <v>1</v>
      </c>
      <c r="F570" s="2">
        <v>21</v>
      </c>
      <c r="G570" s="2"/>
      <c r="H570" s="2" t="b">
        <v>0</v>
      </c>
      <c r="I570" s="2">
        <v>2</v>
      </c>
      <c r="J570" s="2">
        <v>1</v>
      </c>
      <c r="K570" s="65"/>
      <c r="L570" s="65"/>
      <c r="M570" s="21">
        <v>0.24</v>
      </c>
    </row>
    <row r="571" spans="1:13" ht="13.2" x14ac:dyDescent="0.25">
      <c r="A571" s="7">
        <v>570</v>
      </c>
      <c r="B571" s="3">
        <v>40568</v>
      </c>
      <c r="C571" s="2">
        <v>1</v>
      </c>
      <c r="D571" s="2">
        <v>0</v>
      </c>
      <c r="E571" s="2">
        <v>1</v>
      </c>
      <c r="F571" s="2">
        <v>22</v>
      </c>
      <c r="G571" s="2"/>
      <c r="H571" s="2" t="b">
        <v>0</v>
      </c>
      <c r="I571" s="2">
        <v>2</v>
      </c>
      <c r="J571" s="2">
        <v>1</v>
      </c>
      <c r="K571" s="65"/>
      <c r="L571" s="65"/>
      <c r="M571" s="21">
        <v>0.22</v>
      </c>
    </row>
    <row r="572" spans="1:13" ht="13.2" x14ac:dyDescent="0.25">
      <c r="A572" s="7">
        <v>571</v>
      </c>
      <c r="B572" s="3">
        <v>40568</v>
      </c>
      <c r="C572" s="2">
        <v>1</v>
      </c>
      <c r="D572" s="2">
        <v>0</v>
      </c>
      <c r="E572" s="2">
        <v>1</v>
      </c>
      <c r="F572" s="2">
        <v>23</v>
      </c>
      <c r="G572" s="2"/>
      <c r="H572" s="2" t="b">
        <v>0</v>
      </c>
      <c r="I572" s="2">
        <v>2</v>
      </c>
      <c r="J572" s="2">
        <v>2</v>
      </c>
      <c r="K572" s="65"/>
      <c r="L572" s="65"/>
      <c r="M572" s="21">
        <v>0.22</v>
      </c>
    </row>
    <row r="573" spans="1:13" ht="13.2" x14ac:dyDescent="0.25">
      <c r="A573" s="7">
        <v>572</v>
      </c>
      <c r="B573" s="3">
        <v>40569</v>
      </c>
      <c r="C573" s="2">
        <v>1</v>
      </c>
      <c r="D573" s="2">
        <v>0</v>
      </c>
      <c r="E573" s="2">
        <v>1</v>
      </c>
      <c r="F573" s="2">
        <v>0</v>
      </c>
      <c r="G573" s="2"/>
      <c r="H573" s="2" t="b">
        <v>0</v>
      </c>
      <c r="I573" s="2">
        <v>3</v>
      </c>
      <c r="J573" s="2">
        <v>2</v>
      </c>
      <c r="K573" s="65"/>
      <c r="L573" s="65"/>
      <c r="M573" s="21">
        <v>0.22</v>
      </c>
    </row>
    <row r="574" spans="1:13" ht="13.2" x14ac:dyDescent="0.25">
      <c r="A574" s="7">
        <v>573</v>
      </c>
      <c r="B574" s="3">
        <v>40569</v>
      </c>
      <c r="C574" s="2">
        <v>1</v>
      </c>
      <c r="D574" s="2">
        <v>0</v>
      </c>
      <c r="E574" s="2">
        <v>1</v>
      </c>
      <c r="F574" s="2">
        <v>1</v>
      </c>
      <c r="G574" s="2"/>
      <c r="H574" s="2" t="b">
        <v>0</v>
      </c>
      <c r="I574" s="2">
        <v>3</v>
      </c>
      <c r="J574" s="2">
        <v>2</v>
      </c>
      <c r="K574" s="65"/>
      <c r="L574" s="65"/>
      <c r="M574" s="21">
        <v>0.24</v>
      </c>
    </row>
    <row r="575" spans="1:13" ht="13.2" x14ac:dyDescent="0.25">
      <c r="A575" s="7">
        <v>574</v>
      </c>
      <c r="B575" s="3">
        <v>40569</v>
      </c>
      <c r="C575" s="2">
        <v>1</v>
      </c>
      <c r="D575" s="2">
        <v>0</v>
      </c>
      <c r="E575" s="2">
        <v>1</v>
      </c>
      <c r="F575" s="2">
        <v>2</v>
      </c>
      <c r="G575" s="2"/>
      <c r="H575" s="2" t="b">
        <v>0</v>
      </c>
      <c r="I575" s="2">
        <v>3</v>
      </c>
      <c r="J575" s="2">
        <v>3</v>
      </c>
      <c r="K575" s="65"/>
      <c r="L575" s="65"/>
      <c r="M575" s="21">
        <v>0.22</v>
      </c>
    </row>
    <row r="576" spans="1:13" ht="13.2" x14ac:dyDescent="0.25">
      <c r="A576" s="7">
        <v>575</v>
      </c>
      <c r="B576" s="3">
        <v>40569</v>
      </c>
      <c r="C576" s="2">
        <v>1</v>
      </c>
      <c r="D576" s="2">
        <v>0</v>
      </c>
      <c r="E576" s="2">
        <v>1</v>
      </c>
      <c r="F576" s="2">
        <v>5</v>
      </c>
      <c r="G576" s="2"/>
      <c r="H576" s="2" t="b">
        <v>0</v>
      </c>
      <c r="I576" s="2">
        <v>3</v>
      </c>
      <c r="J576" s="2">
        <v>3</v>
      </c>
      <c r="K576" s="65"/>
      <c r="L576" s="65"/>
      <c r="M576" s="21">
        <v>0.2</v>
      </c>
    </row>
    <row r="577" spans="1:13" ht="13.2" x14ac:dyDescent="0.25">
      <c r="A577" s="7">
        <v>576</v>
      </c>
      <c r="B577" s="3">
        <v>40569</v>
      </c>
      <c r="C577" s="2">
        <v>1</v>
      </c>
      <c r="D577" s="2">
        <v>0</v>
      </c>
      <c r="E577" s="2">
        <v>1</v>
      </c>
      <c r="F577" s="2">
        <v>6</v>
      </c>
      <c r="G577" s="2"/>
      <c r="H577" s="2" t="b">
        <v>0</v>
      </c>
      <c r="I577" s="2">
        <v>3</v>
      </c>
      <c r="J577" s="2">
        <v>3</v>
      </c>
      <c r="K577" s="65"/>
      <c r="L577" s="65"/>
      <c r="M577" s="21">
        <v>0.2</v>
      </c>
    </row>
    <row r="578" spans="1:13" ht="13.2" x14ac:dyDescent="0.25">
      <c r="A578" s="7">
        <v>577</v>
      </c>
      <c r="B578" s="3">
        <v>40569</v>
      </c>
      <c r="C578" s="2">
        <v>1</v>
      </c>
      <c r="D578" s="2">
        <v>0</v>
      </c>
      <c r="E578" s="2">
        <v>1</v>
      </c>
      <c r="F578" s="2">
        <v>7</v>
      </c>
      <c r="G578" s="2"/>
      <c r="H578" s="2" t="b">
        <v>0</v>
      </c>
      <c r="I578" s="2">
        <v>3</v>
      </c>
      <c r="J578" s="2">
        <v>3</v>
      </c>
      <c r="K578" s="65"/>
      <c r="L578" s="65"/>
      <c r="M578" s="21">
        <v>0.22</v>
      </c>
    </row>
    <row r="579" spans="1:13" ht="13.2" x14ac:dyDescent="0.25">
      <c r="A579" s="7">
        <v>578</v>
      </c>
      <c r="B579" s="3">
        <v>40569</v>
      </c>
      <c r="C579" s="2">
        <v>1</v>
      </c>
      <c r="D579" s="2">
        <v>0</v>
      </c>
      <c r="E579" s="2">
        <v>1</v>
      </c>
      <c r="F579" s="2">
        <v>8</v>
      </c>
      <c r="G579" s="2"/>
      <c r="H579" s="2" t="b">
        <v>0</v>
      </c>
      <c r="I579" s="2">
        <v>3</v>
      </c>
      <c r="J579" s="2">
        <v>3</v>
      </c>
      <c r="K579" s="65"/>
      <c r="L579" s="65"/>
      <c r="M579" s="21">
        <v>0.22</v>
      </c>
    </row>
    <row r="580" spans="1:13" ht="13.2" x14ac:dyDescent="0.25">
      <c r="A580" s="7">
        <v>579</v>
      </c>
      <c r="B580" s="3">
        <v>40569</v>
      </c>
      <c r="C580" s="2">
        <v>1</v>
      </c>
      <c r="D580" s="2">
        <v>0</v>
      </c>
      <c r="E580" s="2">
        <v>1</v>
      </c>
      <c r="F580" s="2">
        <v>9</v>
      </c>
      <c r="G580" s="2"/>
      <c r="H580" s="2" t="b">
        <v>0</v>
      </c>
      <c r="I580" s="2">
        <v>3</v>
      </c>
      <c r="J580" s="2">
        <v>3</v>
      </c>
      <c r="K580" s="65"/>
      <c r="L580" s="65"/>
      <c r="M580" s="21">
        <v>0.22</v>
      </c>
    </row>
    <row r="581" spans="1:13" ht="13.2" x14ac:dyDescent="0.25">
      <c r="A581" s="7">
        <v>580</v>
      </c>
      <c r="B581" s="3">
        <v>40569</v>
      </c>
      <c r="C581" s="2">
        <v>1</v>
      </c>
      <c r="D581" s="2">
        <v>0</v>
      </c>
      <c r="E581" s="2">
        <v>1</v>
      </c>
      <c r="F581" s="2">
        <v>10</v>
      </c>
      <c r="G581" s="2"/>
      <c r="H581" s="2" t="b">
        <v>0</v>
      </c>
      <c r="I581" s="2">
        <v>3</v>
      </c>
      <c r="J581" s="2">
        <v>3</v>
      </c>
      <c r="K581" s="65"/>
      <c r="L581" s="65"/>
      <c r="M581" s="21">
        <v>0.22</v>
      </c>
    </row>
    <row r="582" spans="1:13" ht="13.2" x14ac:dyDescent="0.25">
      <c r="A582" s="7">
        <v>581</v>
      </c>
      <c r="B582" s="3">
        <v>40569</v>
      </c>
      <c r="C582" s="2">
        <v>1</v>
      </c>
      <c r="D582" s="2">
        <v>0</v>
      </c>
      <c r="E582" s="2">
        <v>1</v>
      </c>
      <c r="F582" s="2">
        <v>11</v>
      </c>
      <c r="G582" s="2"/>
      <c r="H582" s="2" t="b">
        <v>0</v>
      </c>
      <c r="I582" s="2">
        <v>3</v>
      </c>
      <c r="J582" s="2">
        <v>3</v>
      </c>
      <c r="K582" s="65"/>
      <c r="L582" s="65"/>
      <c r="M582" s="21">
        <v>0.22</v>
      </c>
    </row>
    <row r="583" spans="1:13" ht="13.2" x14ac:dyDescent="0.25">
      <c r="A583" s="7">
        <v>582</v>
      </c>
      <c r="B583" s="3">
        <v>40569</v>
      </c>
      <c r="C583" s="2">
        <v>1</v>
      </c>
      <c r="D583" s="2">
        <v>0</v>
      </c>
      <c r="E583" s="2">
        <v>1</v>
      </c>
      <c r="F583" s="2">
        <v>12</v>
      </c>
      <c r="G583" s="2"/>
      <c r="H583" s="2" t="b">
        <v>0</v>
      </c>
      <c r="I583" s="2">
        <v>3</v>
      </c>
      <c r="J583" s="2">
        <v>3</v>
      </c>
      <c r="K583" s="65"/>
      <c r="L583" s="65"/>
      <c r="M583" s="21">
        <v>0.22</v>
      </c>
    </row>
    <row r="584" spans="1:13" ht="13.2" x14ac:dyDescent="0.25">
      <c r="A584" s="7">
        <v>583</v>
      </c>
      <c r="B584" s="3">
        <v>40569</v>
      </c>
      <c r="C584" s="2">
        <v>1</v>
      </c>
      <c r="D584" s="2">
        <v>0</v>
      </c>
      <c r="E584" s="2">
        <v>1</v>
      </c>
      <c r="F584" s="2">
        <v>13</v>
      </c>
      <c r="G584" s="2"/>
      <c r="H584" s="2" t="b">
        <v>0</v>
      </c>
      <c r="I584" s="2">
        <v>3</v>
      </c>
      <c r="J584" s="2">
        <v>3</v>
      </c>
      <c r="K584" s="65"/>
      <c r="L584" s="65"/>
      <c r="M584" s="21">
        <v>0.22</v>
      </c>
    </row>
    <row r="585" spans="1:13" ht="13.2" x14ac:dyDescent="0.25">
      <c r="A585" s="7">
        <v>584</v>
      </c>
      <c r="B585" s="3">
        <v>40569</v>
      </c>
      <c r="C585" s="2">
        <v>1</v>
      </c>
      <c r="D585" s="2">
        <v>0</v>
      </c>
      <c r="E585" s="2">
        <v>1</v>
      </c>
      <c r="F585" s="2">
        <v>14</v>
      </c>
      <c r="G585" s="2"/>
      <c r="H585" s="2" t="b">
        <v>0</v>
      </c>
      <c r="I585" s="2">
        <v>3</v>
      </c>
      <c r="J585" s="2">
        <v>3</v>
      </c>
      <c r="K585" s="65"/>
      <c r="L585" s="65"/>
      <c r="M585" s="21">
        <v>0.22</v>
      </c>
    </row>
    <row r="586" spans="1:13" ht="13.2" x14ac:dyDescent="0.25">
      <c r="A586" s="7">
        <v>585</v>
      </c>
      <c r="B586" s="3">
        <v>40569</v>
      </c>
      <c r="C586" s="2">
        <v>1</v>
      </c>
      <c r="D586" s="2">
        <v>0</v>
      </c>
      <c r="E586" s="2">
        <v>1</v>
      </c>
      <c r="F586" s="2">
        <v>15</v>
      </c>
      <c r="G586" s="2"/>
      <c r="H586" s="2" t="b">
        <v>0</v>
      </c>
      <c r="I586" s="2">
        <v>3</v>
      </c>
      <c r="J586" s="2">
        <v>3</v>
      </c>
      <c r="K586" s="65"/>
      <c r="L586" s="65"/>
      <c r="M586" s="21">
        <v>0.22</v>
      </c>
    </row>
    <row r="587" spans="1:13" ht="13.2" x14ac:dyDescent="0.25">
      <c r="A587" s="7">
        <v>586</v>
      </c>
      <c r="B587" s="3">
        <v>40569</v>
      </c>
      <c r="C587" s="2">
        <v>1</v>
      </c>
      <c r="D587" s="2">
        <v>0</v>
      </c>
      <c r="E587" s="2">
        <v>1</v>
      </c>
      <c r="F587" s="2">
        <v>16</v>
      </c>
      <c r="G587" s="2"/>
      <c r="H587" s="2" t="b">
        <v>0</v>
      </c>
      <c r="I587" s="2">
        <v>3</v>
      </c>
      <c r="J587" s="2">
        <v>4</v>
      </c>
      <c r="K587" s="65"/>
      <c r="L587" s="65"/>
      <c r="M587" s="21">
        <v>0.22</v>
      </c>
    </row>
    <row r="588" spans="1:13" ht="13.2" x14ac:dyDescent="0.25">
      <c r="A588" s="7">
        <v>587</v>
      </c>
      <c r="B588" s="3">
        <v>40569</v>
      </c>
      <c r="C588" s="2">
        <v>1</v>
      </c>
      <c r="D588" s="2">
        <v>0</v>
      </c>
      <c r="E588" s="2">
        <v>1</v>
      </c>
      <c r="F588" s="2">
        <v>17</v>
      </c>
      <c r="G588" s="2"/>
      <c r="H588" s="2" t="b">
        <v>0</v>
      </c>
      <c r="I588" s="2">
        <v>3</v>
      </c>
      <c r="J588" s="2">
        <v>3</v>
      </c>
      <c r="K588" s="65"/>
      <c r="L588" s="65"/>
      <c r="M588" s="21">
        <v>0.2</v>
      </c>
    </row>
    <row r="589" spans="1:13" ht="13.2" x14ac:dyDescent="0.25">
      <c r="A589" s="7">
        <v>588</v>
      </c>
      <c r="B589" s="3">
        <v>40570</v>
      </c>
      <c r="C589" s="2">
        <v>1</v>
      </c>
      <c r="D589" s="2">
        <v>0</v>
      </c>
      <c r="E589" s="2">
        <v>1</v>
      </c>
      <c r="F589" s="2">
        <v>16</v>
      </c>
      <c r="G589" s="2"/>
      <c r="H589" s="2" t="b">
        <v>0</v>
      </c>
      <c r="I589" s="2">
        <v>4</v>
      </c>
      <c r="J589" s="2">
        <v>1</v>
      </c>
      <c r="K589" s="65"/>
      <c r="L589" s="65"/>
      <c r="M589" s="21">
        <v>0.22</v>
      </c>
    </row>
    <row r="590" spans="1:13" ht="13.2" x14ac:dyDescent="0.25">
      <c r="A590" s="7">
        <v>589</v>
      </c>
      <c r="B590" s="3">
        <v>40570</v>
      </c>
      <c r="C590" s="2">
        <v>1</v>
      </c>
      <c r="D590" s="2">
        <v>0</v>
      </c>
      <c r="E590" s="2">
        <v>1</v>
      </c>
      <c r="F590" s="2">
        <v>17</v>
      </c>
      <c r="G590" s="2"/>
      <c r="H590" s="2" t="b">
        <v>0</v>
      </c>
      <c r="I590" s="2">
        <v>4</v>
      </c>
      <c r="J590" s="2">
        <v>1</v>
      </c>
      <c r="K590" s="65"/>
      <c r="L590" s="65"/>
      <c r="M590" s="21">
        <v>0.22</v>
      </c>
    </row>
    <row r="591" spans="1:13" ht="13.2" x14ac:dyDescent="0.25">
      <c r="A591" s="7">
        <v>590</v>
      </c>
      <c r="B591" s="3">
        <v>40570</v>
      </c>
      <c r="C591" s="2">
        <v>1</v>
      </c>
      <c r="D591" s="2">
        <v>0</v>
      </c>
      <c r="E591" s="2">
        <v>1</v>
      </c>
      <c r="F591" s="2">
        <v>18</v>
      </c>
      <c r="G591" s="2"/>
      <c r="H591" s="2" t="b">
        <v>0</v>
      </c>
      <c r="I591" s="2">
        <v>4</v>
      </c>
      <c r="J591" s="2">
        <v>1</v>
      </c>
      <c r="K591" s="65"/>
      <c r="L591" s="65"/>
      <c r="M591" s="21">
        <v>0.2</v>
      </c>
    </row>
    <row r="592" spans="1:13" ht="13.2" x14ac:dyDescent="0.25">
      <c r="A592" s="7">
        <v>591</v>
      </c>
      <c r="B592" s="3">
        <v>40570</v>
      </c>
      <c r="C592" s="2">
        <v>1</v>
      </c>
      <c r="D592" s="2">
        <v>0</v>
      </c>
      <c r="E592" s="2">
        <v>1</v>
      </c>
      <c r="F592" s="2">
        <v>19</v>
      </c>
      <c r="G592" s="2"/>
      <c r="H592" s="2" t="b">
        <v>0</v>
      </c>
      <c r="I592" s="2">
        <v>4</v>
      </c>
      <c r="J592" s="2">
        <v>1</v>
      </c>
      <c r="K592" s="65"/>
      <c r="L592" s="65"/>
      <c r="M592" s="21">
        <v>0.2</v>
      </c>
    </row>
    <row r="593" spans="1:13" ht="13.2" x14ac:dyDescent="0.25">
      <c r="A593" s="7">
        <v>592</v>
      </c>
      <c r="B593" s="3">
        <v>40570</v>
      </c>
      <c r="C593" s="2">
        <v>1</v>
      </c>
      <c r="D593" s="2">
        <v>0</v>
      </c>
      <c r="E593" s="2">
        <v>1</v>
      </c>
      <c r="F593" s="2">
        <v>20</v>
      </c>
      <c r="G593" s="2"/>
      <c r="H593" s="2" t="b">
        <v>0</v>
      </c>
      <c r="I593" s="2">
        <v>4</v>
      </c>
      <c r="J593" s="2">
        <v>1</v>
      </c>
      <c r="K593" s="65"/>
      <c r="L593" s="65"/>
      <c r="M593" s="21">
        <v>0.18</v>
      </c>
    </row>
    <row r="594" spans="1:13" ht="13.2" x14ac:dyDescent="0.25">
      <c r="A594" s="7">
        <v>593</v>
      </c>
      <c r="B594" s="3">
        <v>40570</v>
      </c>
      <c r="C594" s="2">
        <v>1</v>
      </c>
      <c r="D594" s="2">
        <v>0</v>
      </c>
      <c r="E594" s="2">
        <v>1</v>
      </c>
      <c r="F594" s="2">
        <v>21</v>
      </c>
      <c r="G594" s="2"/>
      <c r="H594" s="2" t="b">
        <v>0</v>
      </c>
      <c r="I594" s="2">
        <v>4</v>
      </c>
      <c r="J594" s="2">
        <v>1</v>
      </c>
      <c r="K594" s="65"/>
      <c r="L594" s="65"/>
      <c r="M594" s="21">
        <v>0.18</v>
      </c>
    </row>
    <row r="595" spans="1:13" ht="13.2" x14ac:dyDescent="0.25">
      <c r="A595" s="7">
        <v>594</v>
      </c>
      <c r="B595" s="3">
        <v>40570</v>
      </c>
      <c r="C595" s="2">
        <v>1</v>
      </c>
      <c r="D595" s="2">
        <v>0</v>
      </c>
      <c r="E595" s="2">
        <v>1</v>
      </c>
      <c r="F595" s="2">
        <v>22</v>
      </c>
      <c r="G595" s="2"/>
      <c r="H595" s="2" t="b">
        <v>0</v>
      </c>
      <c r="I595" s="2">
        <v>4</v>
      </c>
      <c r="J595" s="2">
        <v>1</v>
      </c>
      <c r="K595" s="65"/>
      <c r="L595" s="65"/>
      <c r="M595" s="21">
        <v>0.18</v>
      </c>
    </row>
    <row r="596" spans="1:13" ht="13.2" x14ac:dyDescent="0.25">
      <c r="A596" s="7">
        <v>595</v>
      </c>
      <c r="B596" s="3">
        <v>40570</v>
      </c>
      <c r="C596" s="2">
        <v>1</v>
      </c>
      <c r="D596" s="2">
        <v>0</v>
      </c>
      <c r="E596" s="2">
        <v>1</v>
      </c>
      <c r="F596" s="2">
        <v>23</v>
      </c>
      <c r="G596" s="2"/>
      <c r="H596" s="2" t="b">
        <v>0</v>
      </c>
      <c r="I596" s="2">
        <v>4</v>
      </c>
      <c r="J596" s="2">
        <v>1</v>
      </c>
      <c r="K596" s="65"/>
      <c r="L596" s="65"/>
      <c r="M596" s="21">
        <v>0.18</v>
      </c>
    </row>
    <row r="597" spans="1:13" ht="13.2" x14ac:dyDescent="0.25">
      <c r="A597" s="7">
        <v>596</v>
      </c>
      <c r="B597" s="3">
        <v>40571</v>
      </c>
      <c r="C597" s="2">
        <v>1</v>
      </c>
      <c r="D597" s="2">
        <v>0</v>
      </c>
      <c r="E597" s="2">
        <v>1</v>
      </c>
      <c r="F597" s="2">
        <v>0</v>
      </c>
      <c r="G597" s="2"/>
      <c r="H597" s="2" t="b">
        <v>0</v>
      </c>
      <c r="I597" s="2">
        <v>5</v>
      </c>
      <c r="J597" s="2">
        <v>2</v>
      </c>
      <c r="K597" s="65"/>
      <c r="L597" s="65"/>
      <c r="M597" s="21">
        <v>0.2</v>
      </c>
    </row>
    <row r="598" spans="1:13" ht="13.2" x14ac:dyDescent="0.25">
      <c r="A598" s="7">
        <v>597</v>
      </c>
      <c r="B598" s="3">
        <v>40571</v>
      </c>
      <c r="C598" s="2">
        <v>1</v>
      </c>
      <c r="D598" s="2">
        <v>0</v>
      </c>
      <c r="E598" s="2">
        <v>1</v>
      </c>
      <c r="F598" s="2">
        <v>1</v>
      </c>
      <c r="G598" s="2"/>
      <c r="H598" s="2" t="b">
        <v>0</v>
      </c>
      <c r="I598" s="2">
        <v>5</v>
      </c>
      <c r="J598" s="2">
        <v>2</v>
      </c>
      <c r="K598" s="65"/>
      <c r="L598" s="65"/>
      <c r="M598" s="21">
        <v>0.2</v>
      </c>
    </row>
    <row r="599" spans="1:13" ht="13.2" x14ac:dyDescent="0.25">
      <c r="A599" s="7">
        <v>598</v>
      </c>
      <c r="B599" s="3">
        <v>40571</v>
      </c>
      <c r="C599" s="2">
        <v>1</v>
      </c>
      <c r="D599" s="2">
        <v>0</v>
      </c>
      <c r="E599" s="2">
        <v>1</v>
      </c>
      <c r="F599" s="2">
        <v>2</v>
      </c>
      <c r="G599" s="2"/>
      <c r="H599" s="2" t="b">
        <v>0</v>
      </c>
      <c r="I599" s="2">
        <v>5</v>
      </c>
      <c r="J599" s="2">
        <v>2</v>
      </c>
      <c r="K599" s="65"/>
      <c r="L599" s="65"/>
      <c r="M599" s="21">
        <v>0.2</v>
      </c>
    </row>
    <row r="600" spans="1:13" ht="13.2" x14ac:dyDescent="0.25">
      <c r="A600" s="7">
        <v>599</v>
      </c>
      <c r="B600" s="3">
        <v>40571</v>
      </c>
      <c r="C600" s="2">
        <v>1</v>
      </c>
      <c r="D600" s="2">
        <v>0</v>
      </c>
      <c r="E600" s="2">
        <v>1</v>
      </c>
      <c r="F600" s="2">
        <v>3</v>
      </c>
      <c r="G600" s="2"/>
      <c r="H600" s="2" t="b">
        <v>0</v>
      </c>
      <c r="I600" s="2">
        <v>5</v>
      </c>
      <c r="J600" s="2">
        <v>2</v>
      </c>
      <c r="K600" s="65"/>
      <c r="L600" s="65"/>
      <c r="M600" s="21">
        <v>0.2</v>
      </c>
    </row>
    <row r="601" spans="1:13" ht="13.2" x14ac:dyDescent="0.25">
      <c r="A601" s="7">
        <v>600</v>
      </c>
      <c r="B601" s="3">
        <v>40571</v>
      </c>
      <c r="C601" s="2">
        <v>1</v>
      </c>
      <c r="D601" s="2">
        <v>0</v>
      </c>
      <c r="E601" s="2">
        <v>1</v>
      </c>
      <c r="F601" s="2">
        <v>5</v>
      </c>
      <c r="G601" s="2"/>
      <c r="H601" s="2" t="b">
        <v>0</v>
      </c>
      <c r="I601" s="2">
        <v>5</v>
      </c>
      <c r="J601" s="2">
        <v>2</v>
      </c>
      <c r="K601" s="65"/>
      <c r="L601" s="65"/>
      <c r="M601" s="21">
        <v>0.18</v>
      </c>
    </row>
    <row r="602" spans="1:13" ht="13.2" x14ac:dyDescent="0.25">
      <c r="A602" s="7">
        <v>601</v>
      </c>
      <c r="B602" s="3">
        <v>40571</v>
      </c>
      <c r="C602" s="2">
        <v>1</v>
      </c>
      <c r="D602" s="2">
        <v>0</v>
      </c>
      <c r="E602" s="2">
        <v>1</v>
      </c>
      <c r="F602" s="2">
        <v>6</v>
      </c>
      <c r="G602" s="2"/>
      <c r="H602" s="2" t="b">
        <v>0</v>
      </c>
      <c r="I602" s="2">
        <v>5</v>
      </c>
      <c r="J602" s="2">
        <v>2</v>
      </c>
      <c r="K602" s="65"/>
      <c r="L602" s="65"/>
      <c r="M602" s="21">
        <v>0.18</v>
      </c>
    </row>
    <row r="603" spans="1:13" ht="13.2" x14ac:dyDescent="0.25">
      <c r="A603" s="7">
        <v>602</v>
      </c>
      <c r="B603" s="3">
        <v>40571</v>
      </c>
      <c r="C603" s="2">
        <v>1</v>
      </c>
      <c r="D603" s="2">
        <v>0</v>
      </c>
      <c r="E603" s="2">
        <v>1</v>
      </c>
      <c r="F603" s="2">
        <v>7</v>
      </c>
      <c r="G603" s="2"/>
      <c r="H603" s="2" t="b">
        <v>0</v>
      </c>
      <c r="I603" s="2">
        <v>5</v>
      </c>
      <c r="J603" s="2">
        <v>2</v>
      </c>
      <c r="K603" s="65"/>
      <c r="L603" s="65"/>
      <c r="M603" s="21">
        <v>0.16</v>
      </c>
    </row>
    <row r="604" spans="1:13" ht="13.2" x14ac:dyDescent="0.25">
      <c r="A604" s="7">
        <v>603</v>
      </c>
      <c r="B604" s="3">
        <v>40571</v>
      </c>
      <c r="C604" s="2">
        <v>1</v>
      </c>
      <c r="D604" s="2">
        <v>0</v>
      </c>
      <c r="E604" s="2">
        <v>1</v>
      </c>
      <c r="F604" s="2">
        <v>8</v>
      </c>
      <c r="G604" s="2"/>
      <c r="H604" s="2" t="b">
        <v>0</v>
      </c>
      <c r="I604" s="2">
        <v>5</v>
      </c>
      <c r="J604" s="2">
        <v>2</v>
      </c>
      <c r="K604" s="65"/>
      <c r="L604" s="65"/>
      <c r="M604" s="21">
        <v>0.16</v>
      </c>
    </row>
    <row r="605" spans="1:13" ht="13.2" x14ac:dyDescent="0.25">
      <c r="A605" s="7">
        <v>604</v>
      </c>
      <c r="B605" s="3">
        <v>40571</v>
      </c>
      <c r="C605" s="2">
        <v>1</v>
      </c>
      <c r="D605" s="2">
        <v>0</v>
      </c>
      <c r="E605" s="2">
        <v>1</v>
      </c>
      <c r="F605" s="2">
        <v>9</v>
      </c>
      <c r="G605" s="2"/>
      <c r="H605" s="2" t="b">
        <v>0</v>
      </c>
      <c r="I605" s="2">
        <v>5</v>
      </c>
      <c r="J605" s="2">
        <v>3</v>
      </c>
      <c r="K605" s="65"/>
      <c r="L605" s="65"/>
      <c r="M605" s="21">
        <v>0.18</v>
      </c>
    </row>
    <row r="606" spans="1:13" ht="13.2" x14ac:dyDescent="0.25">
      <c r="A606" s="7">
        <v>605</v>
      </c>
      <c r="B606" s="3">
        <v>40571</v>
      </c>
      <c r="C606" s="2">
        <v>1</v>
      </c>
      <c r="D606" s="2">
        <v>0</v>
      </c>
      <c r="E606" s="2">
        <v>1</v>
      </c>
      <c r="F606" s="2">
        <v>10</v>
      </c>
      <c r="G606" s="2"/>
      <c r="H606" s="2" t="b">
        <v>0</v>
      </c>
      <c r="I606" s="2">
        <v>5</v>
      </c>
      <c r="J606" s="2">
        <v>3</v>
      </c>
      <c r="K606" s="65"/>
      <c r="L606" s="65"/>
      <c r="M606" s="21">
        <v>0.18</v>
      </c>
    </row>
    <row r="607" spans="1:13" ht="13.2" x14ac:dyDescent="0.25">
      <c r="A607" s="7">
        <v>606</v>
      </c>
      <c r="B607" s="3">
        <v>40571</v>
      </c>
      <c r="C607" s="2">
        <v>1</v>
      </c>
      <c r="D607" s="2">
        <v>0</v>
      </c>
      <c r="E607" s="2">
        <v>1</v>
      </c>
      <c r="F607" s="2">
        <v>11</v>
      </c>
      <c r="G607" s="2"/>
      <c r="H607" s="2" t="b">
        <v>0</v>
      </c>
      <c r="I607" s="2">
        <v>5</v>
      </c>
      <c r="J607" s="2">
        <v>3</v>
      </c>
      <c r="K607" s="65"/>
      <c r="L607" s="65"/>
      <c r="M607" s="21">
        <v>0.18</v>
      </c>
    </row>
    <row r="608" spans="1:13" ht="13.2" x14ac:dyDescent="0.25">
      <c r="A608" s="7">
        <v>607</v>
      </c>
      <c r="B608" s="3">
        <v>40571</v>
      </c>
      <c r="C608" s="2">
        <v>1</v>
      </c>
      <c r="D608" s="2">
        <v>0</v>
      </c>
      <c r="E608" s="2">
        <v>1</v>
      </c>
      <c r="F608" s="2">
        <v>12</v>
      </c>
      <c r="G608" s="2"/>
      <c r="H608" s="2" t="b">
        <v>0</v>
      </c>
      <c r="I608" s="2">
        <v>5</v>
      </c>
      <c r="J608" s="2">
        <v>3</v>
      </c>
      <c r="K608" s="65"/>
      <c r="L608" s="65"/>
      <c r="M608" s="21">
        <v>0.18</v>
      </c>
    </row>
    <row r="609" spans="1:13" ht="13.2" x14ac:dyDescent="0.25">
      <c r="A609" s="7">
        <v>608</v>
      </c>
      <c r="B609" s="3">
        <v>40571</v>
      </c>
      <c r="C609" s="2">
        <v>1</v>
      </c>
      <c r="D609" s="2">
        <v>0</v>
      </c>
      <c r="E609" s="2">
        <v>1</v>
      </c>
      <c r="F609" s="2">
        <v>13</v>
      </c>
      <c r="G609" s="2"/>
      <c r="H609" s="2" t="b">
        <v>0</v>
      </c>
      <c r="I609" s="2">
        <v>5</v>
      </c>
      <c r="J609" s="2">
        <v>3</v>
      </c>
      <c r="K609" s="65"/>
      <c r="L609" s="65"/>
      <c r="M609" s="21">
        <v>0.18</v>
      </c>
    </row>
    <row r="610" spans="1:13" ht="13.2" x14ac:dyDescent="0.25">
      <c r="A610" s="7">
        <v>609</v>
      </c>
      <c r="B610" s="3">
        <v>40571</v>
      </c>
      <c r="C610" s="2">
        <v>1</v>
      </c>
      <c r="D610" s="2">
        <v>0</v>
      </c>
      <c r="E610" s="2">
        <v>1</v>
      </c>
      <c r="F610" s="2">
        <v>14</v>
      </c>
      <c r="G610" s="2"/>
      <c r="H610" s="2" t="b">
        <v>0</v>
      </c>
      <c r="I610" s="2">
        <v>5</v>
      </c>
      <c r="J610" s="2">
        <v>3</v>
      </c>
      <c r="K610" s="65"/>
      <c r="L610" s="65"/>
      <c r="M610" s="21">
        <v>0.22</v>
      </c>
    </row>
    <row r="611" spans="1:13" ht="13.2" x14ac:dyDescent="0.25">
      <c r="A611" s="9">
        <v>610</v>
      </c>
      <c r="B611" s="10">
        <v>40571</v>
      </c>
      <c r="C611" s="11">
        <v>1</v>
      </c>
      <c r="D611" s="11">
        <v>0</v>
      </c>
      <c r="E611" s="11">
        <v>1</v>
      </c>
      <c r="F611" s="11">
        <v>15</v>
      </c>
      <c r="G611" s="11"/>
      <c r="H611" s="11" t="b">
        <v>0</v>
      </c>
      <c r="I611" s="11">
        <v>5</v>
      </c>
      <c r="J611" s="11">
        <v>2</v>
      </c>
      <c r="K611" s="66"/>
      <c r="L611" s="66"/>
      <c r="M611" s="25">
        <v>0.2</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9A52-0D18-46E2-B042-D4BE45318C93}">
  <sheetPr>
    <tabColor theme="4"/>
  </sheetPr>
  <dimension ref="A1:M82"/>
  <sheetViews>
    <sheetView workbookViewId="0">
      <selection activeCell="E14" sqref="E14"/>
    </sheetView>
  </sheetViews>
  <sheetFormatPr defaultRowHeight="13.2" x14ac:dyDescent="0.25"/>
  <cols>
    <col min="1" max="1" width="15.5546875" style="84" bestFit="1" customWidth="1"/>
    <col min="2" max="2" width="25.77734375" style="84" bestFit="1" customWidth="1"/>
    <col min="3" max="3" width="15.44140625" style="84" bestFit="1" customWidth="1"/>
    <col min="4" max="4" width="17.21875" style="84" customWidth="1"/>
    <col min="5" max="5" width="15.33203125" style="84" customWidth="1"/>
    <col min="6" max="6" width="15.5546875" style="84" bestFit="1" customWidth="1"/>
    <col min="7" max="7" width="16.5546875" style="84" customWidth="1"/>
    <col min="8" max="8" width="21.21875" style="84" customWidth="1"/>
    <col min="9" max="9" width="15.6640625" style="84" customWidth="1"/>
    <col min="10" max="10" width="25.77734375" style="84" bestFit="1" customWidth="1"/>
    <col min="11" max="11" width="20.88671875" style="84" customWidth="1"/>
    <col min="12" max="12" width="14.5546875" style="84" customWidth="1"/>
    <col min="13" max="13" width="16" style="84" customWidth="1"/>
    <col min="14" max="14" width="9.88671875" style="84" customWidth="1"/>
    <col min="15" max="15" width="11.33203125" style="84" bestFit="1" customWidth="1"/>
    <col min="16" max="16384" width="8.88671875" style="84"/>
  </cols>
  <sheetData>
    <row r="1" spans="1:12" ht="13.8" thickBot="1" x14ac:dyDescent="0.3"/>
    <row r="2" spans="1:12" ht="21" thickBot="1" x14ac:dyDescent="0.4">
      <c r="A2" s="112" t="s">
        <v>18</v>
      </c>
      <c r="B2" s="111"/>
      <c r="C2" s="111"/>
      <c r="D2" s="111"/>
      <c r="E2" s="111"/>
      <c r="F2" s="111"/>
      <c r="H2" s="110" t="s">
        <v>20</v>
      </c>
      <c r="I2" s="110"/>
      <c r="K2" s="109" t="s">
        <v>46</v>
      </c>
      <c r="L2" s="108" t="s">
        <v>29</v>
      </c>
    </row>
    <row r="3" spans="1:12" x14ac:dyDescent="0.25">
      <c r="A3" s="99" t="s">
        <v>17</v>
      </c>
      <c r="B3" s="99" t="s">
        <v>139</v>
      </c>
      <c r="C3" s="99"/>
      <c r="D3" s="99"/>
      <c r="E3" s="99"/>
      <c r="F3" s="99"/>
      <c r="H3" s="99" t="s">
        <v>14</v>
      </c>
      <c r="I3" s="99" t="s">
        <v>19</v>
      </c>
      <c r="K3" s="107" t="s">
        <v>21</v>
      </c>
      <c r="L3" s="106">
        <f>+COUNT(Dataset_1!A2:A611)</f>
        <v>610</v>
      </c>
    </row>
    <row r="4" spans="1:12" x14ac:dyDescent="0.25">
      <c r="A4" s="99" t="s">
        <v>42</v>
      </c>
      <c r="B4" s="99">
        <v>1</v>
      </c>
      <c r="C4" s="99">
        <v>2</v>
      </c>
      <c r="D4" s="99">
        <v>3</v>
      </c>
      <c r="E4" s="99">
        <v>4</v>
      </c>
      <c r="F4" s="99" t="s">
        <v>15</v>
      </c>
      <c r="H4" s="99">
        <v>0</v>
      </c>
      <c r="I4" s="100">
        <v>0.20702127659574465</v>
      </c>
      <c r="K4" s="104" t="s">
        <v>22</v>
      </c>
      <c r="L4" s="103">
        <f>COUNT(Dataset_1!I2:I611)</f>
        <v>610</v>
      </c>
    </row>
    <row r="5" spans="1:12" x14ac:dyDescent="0.25">
      <c r="A5" s="99">
        <v>0</v>
      </c>
      <c r="B5" s="99">
        <v>70</v>
      </c>
      <c r="C5" s="99">
        <v>19</v>
      </c>
      <c r="D5" s="99">
        <v>5</v>
      </c>
      <c r="E5" s="99"/>
      <c r="F5" s="99">
        <v>94</v>
      </c>
      <c r="H5" s="99">
        <v>1</v>
      </c>
      <c r="I5" s="100">
        <v>0.15483870967741931</v>
      </c>
      <c r="K5" s="104" t="s">
        <v>23</v>
      </c>
      <c r="L5" s="105">
        <f>AVERAGE(Dataset_1!M2:M611)</f>
        <v>0.19688524590163942</v>
      </c>
    </row>
    <row r="6" spans="1:12" x14ac:dyDescent="0.25">
      <c r="A6" s="99">
        <v>1</v>
      </c>
      <c r="B6" s="99">
        <v>57</v>
      </c>
      <c r="C6" s="99">
        <v>31</v>
      </c>
      <c r="D6" s="99">
        <v>5</v>
      </c>
      <c r="E6" s="99"/>
      <c r="F6" s="99">
        <v>93</v>
      </c>
      <c r="H6" s="99">
        <v>2</v>
      </c>
      <c r="I6" s="100">
        <v>0.20075000000000012</v>
      </c>
      <c r="K6" s="104" t="s">
        <v>24</v>
      </c>
      <c r="L6" s="105">
        <f>MAX(Dataset_1!M2:M611)</f>
        <v>0.46</v>
      </c>
    </row>
    <row r="7" spans="1:12" x14ac:dyDescent="0.25">
      <c r="A7" s="99">
        <v>2</v>
      </c>
      <c r="B7" s="99">
        <v>33</v>
      </c>
      <c r="C7" s="99">
        <v>41</v>
      </c>
      <c r="D7" s="99">
        <v>6</v>
      </c>
      <c r="E7" s="99"/>
      <c r="F7" s="99">
        <v>80</v>
      </c>
      <c r="H7" s="99">
        <v>3</v>
      </c>
      <c r="I7" s="100">
        <v>0.22880952380952371</v>
      </c>
      <c r="K7" s="104" t="s">
        <v>25</v>
      </c>
      <c r="L7" s="105">
        <f>MIN(Dataset_1!M2:M611)</f>
        <v>0.02</v>
      </c>
    </row>
    <row r="8" spans="1:12" x14ac:dyDescent="0.25">
      <c r="A8" s="99">
        <v>3</v>
      </c>
      <c r="B8" s="99">
        <v>54</v>
      </c>
      <c r="C8" s="99">
        <v>13</v>
      </c>
      <c r="D8" s="99">
        <v>16</v>
      </c>
      <c r="E8" s="99">
        <v>1</v>
      </c>
      <c r="F8" s="99">
        <v>84</v>
      </c>
      <c r="H8" s="99">
        <v>4</v>
      </c>
      <c r="I8" s="100">
        <v>0.20886075949367089</v>
      </c>
      <c r="K8" s="104" t="s">
        <v>26</v>
      </c>
      <c r="L8" s="103">
        <f>MAX(Dataset_1!I2:I611)</f>
        <v>6</v>
      </c>
    </row>
    <row r="9" spans="1:12" x14ac:dyDescent="0.25">
      <c r="A9" s="99">
        <v>4</v>
      </c>
      <c r="B9" s="99">
        <v>56</v>
      </c>
      <c r="C9" s="99">
        <v>23</v>
      </c>
      <c r="D9" s="99"/>
      <c r="E9" s="99"/>
      <c r="F9" s="99">
        <v>79</v>
      </c>
      <c r="H9" s="99">
        <v>5</v>
      </c>
      <c r="I9" s="100">
        <v>0.17976470588235285</v>
      </c>
      <c r="K9" s="104" t="s">
        <v>27</v>
      </c>
      <c r="L9" s="103">
        <f>MIN(Dataset_1!I2:I611)</f>
        <v>0</v>
      </c>
    </row>
    <row r="10" spans="1:12" ht="13.8" thickBot="1" x14ac:dyDescent="0.3">
      <c r="A10" s="99">
        <v>5</v>
      </c>
      <c r="B10" s="99">
        <v>48</v>
      </c>
      <c r="C10" s="99">
        <v>28</v>
      </c>
      <c r="D10" s="99">
        <v>9</v>
      </c>
      <c r="E10" s="99"/>
      <c r="F10" s="99">
        <v>85</v>
      </c>
      <c r="H10" s="99">
        <v>6</v>
      </c>
      <c r="I10" s="100">
        <v>0.2018947368421051</v>
      </c>
      <c r="K10" s="102" t="s">
        <v>28</v>
      </c>
      <c r="L10" s="101">
        <f>AVERAGE(Dataset_1!I2:I611)</f>
        <v>2.9770491803278687</v>
      </c>
    </row>
    <row r="11" spans="1:12" x14ac:dyDescent="0.25">
      <c r="A11" s="99">
        <v>6</v>
      </c>
      <c r="B11" s="99">
        <v>50</v>
      </c>
      <c r="C11" s="99">
        <v>39</v>
      </c>
      <c r="D11" s="99">
        <v>6</v>
      </c>
      <c r="E11" s="99"/>
      <c r="F11" s="99">
        <v>95</v>
      </c>
      <c r="H11" s="99" t="s">
        <v>15</v>
      </c>
      <c r="I11" s="100">
        <v>0.19688524590163936</v>
      </c>
    </row>
    <row r="12" spans="1:12" x14ac:dyDescent="0.25">
      <c r="A12" s="99" t="s">
        <v>15</v>
      </c>
      <c r="B12" s="99">
        <v>368</v>
      </c>
      <c r="C12" s="99">
        <v>194</v>
      </c>
      <c r="D12" s="99">
        <v>47</v>
      </c>
      <c r="E12" s="99">
        <v>1</v>
      </c>
      <c r="F12" s="99">
        <v>610</v>
      </c>
    </row>
    <row r="21" spans="8:13" x14ac:dyDescent="0.25">
      <c r="H21" s="98" t="s">
        <v>30</v>
      </c>
      <c r="I21" s="98"/>
      <c r="J21" s="98"/>
      <c r="K21" s="98"/>
      <c r="L21" s="98"/>
      <c r="M21" s="98"/>
    </row>
    <row r="22" spans="8:13" x14ac:dyDescent="0.25">
      <c r="H22" s="97"/>
      <c r="I22" s="97"/>
      <c r="J22" s="97"/>
      <c r="K22" s="97"/>
      <c r="L22" s="97"/>
      <c r="M22" s="97"/>
    </row>
    <row r="23" spans="8:13" x14ac:dyDescent="0.25">
      <c r="H23" s="96" t="s">
        <v>47</v>
      </c>
      <c r="I23" s="96" t="s">
        <v>16</v>
      </c>
      <c r="J23" s="96"/>
      <c r="K23" s="96"/>
      <c r="L23" s="96"/>
      <c r="M23" s="96"/>
    </row>
    <row r="24" spans="8:13" x14ac:dyDescent="0.25">
      <c r="H24" s="96" t="s">
        <v>42</v>
      </c>
      <c r="I24" s="96">
        <v>1</v>
      </c>
      <c r="J24" s="96">
        <v>2</v>
      </c>
      <c r="K24" s="96">
        <v>3</v>
      </c>
      <c r="L24" s="96">
        <v>4</v>
      </c>
      <c r="M24" s="96" t="s">
        <v>15</v>
      </c>
    </row>
    <row r="25" spans="8:13" x14ac:dyDescent="0.25">
      <c r="H25" s="96">
        <v>0</v>
      </c>
      <c r="I25" s="96">
        <v>70</v>
      </c>
      <c r="J25" s="96">
        <v>19</v>
      </c>
      <c r="K25" s="96">
        <v>5</v>
      </c>
      <c r="L25" s="96"/>
      <c r="M25" s="96">
        <v>94</v>
      </c>
    </row>
    <row r="26" spans="8:13" x14ac:dyDescent="0.25">
      <c r="H26" s="96">
        <v>1</v>
      </c>
      <c r="I26" s="96">
        <v>57</v>
      </c>
      <c r="J26" s="96">
        <v>31</v>
      </c>
      <c r="K26" s="96">
        <v>5</v>
      </c>
      <c r="L26" s="96"/>
      <c r="M26" s="96">
        <v>93</v>
      </c>
    </row>
    <row r="27" spans="8:13" x14ac:dyDescent="0.25">
      <c r="H27" s="96">
        <v>2</v>
      </c>
      <c r="I27" s="96">
        <v>33</v>
      </c>
      <c r="J27" s="96">
        <v>41</v>
      </c>
      <c r="K27" s="96">
        <v>6</v>
      </c>
      <c r="L27" s="96"/>
      <c r="M27" s="96">
        <v>80</v>
      </c>
    </row>
    <row r="28" spans="8:13" x14ac:dyDescent="0.25">
      <c r="H28" s="96">
        <v>3</v>
      </c>
      <c r="I28" s="96">
        <v>54</v>
      </c>
      <c r="J28" s="96">
        <v>13</v>
      </c>
      <c r="K28" s="96">
        <v>16</v>
      </c>
      <c r="L28" s="96">
        <v>1</v>
      </c>
      <c r="M28" s="96">
        <v>84</v>
      </c>
    </row>
    <row r="29" spans="8:13" x14ac:dyDescent="0.25">
      <c r="H29" s="96">
        <v>4</v>
      </c>
      <c r="I29" s="96">
        <v>56</v>
      </c>
      <c r="J29" s="96">
        <v>23</v>
      </c>
      <c r="K29" s="96"/>
      <c r="L29" s="96"/>
      <c r="M29" s="96">
        <v>79</v>
      </c>
    </row>
    <row r="30" spans="8:13" x14ac:dyDescent="0.25">
      <c r="H30" s="96">
        <v>5</v>
      </c>
      <c r="I30" s="96">
        <v>48</v>
      </c>
      <c r="J30" s="96">
        <v>28</v>
      </c>
      <c r="K30" s="96">
        <v>9</v>
      </c>
      <c r="L30" s="96"/>
      <c r="M30" s="96">
        <v>85</v>
      </c>
    </row>
    <row r="31" spans="8:13" x14ac:dyDescent="0.25">
      <c r="H31" s="96">
        <v>6</v>
      </c>
      <c r="I31" s="96">
        <v>50</v>
      </c>
      <c r="J31" s="96">
        <v>39</v>
      </c>
      <c r="K31" s="96">
        <v>6</v>
      </c>
      <c r="L31" s="96"/>
      <c r="M31" s="96">
        <v>95</v>
      </c>
    </row>
    <row r="32" spans="8:13" x14ac:dyDescent="0.25">
      <c r="H32" s="96" t="s">
        <v>15</v>
      </c>
      <c r="I32" s="96">
        <v>368</v>
      </c>
      <c r="J32" s="96">
        <v>194</v>
      </c>
      <c r="K32" s="96">
        <v>47</v>
      </c>
      <c r="L32" s="96">
        <v>1</v>
      </c>
      <c r="M32" s="96">
        <v>610</v>
      </c>
    </row>
    <row r="44" spans="1:3" x14ac:dyDescent="0.25">
      <c r="A44" s="84" t="s">
        <v>14</v>
      </c>
      <c r="B44" s="84" t="s">
        <v>137</v>
      </c>
      <c r="C44" s="84" t="s">
        <v>138</v>
      </c>
    </row>
    <row r="45" spans="1:3" x14ac:dyDescent="0.25">
      <c r="A45" s="94" t="s">
        <v>135</v>
      </c>
      <c r="B45" s="95">
        <v>1.4488054607508531</v>
      </c>
      <c r="C45" s="95">
        <v>586</v>
      </c>
    </row>
    <row r="46" spans="1:3" x14ac:dyDescent="0.25">
      <c r="A46" s="94" t="s">
        <v>136</v>
      </c>
      <c r="B46" s="95">
        <v>2.1666666666666665</v>
      </c>
      <c r="C46" s="95">
        <v>24</v>
      </c>
    </row>
    <row r="47" spans="1:3" x14ac:dyDescent="0.25">
      <c r="A47" s="94" t="s">
        <v>15</v>
      </c>
      <c r="B47" s="84">
        <v>1.4770491803278689</v>
      </c>
      <c r="C47" s="84">
        <v>610</v>
      </c>
    </row>
    <row r="65" spans="1:3" x14ac:dyDescent="0.25">
      <c r="A65" s="93"/>
      <c r="B65" s="92"/>
      <c r="C65" s="91"/>
    </row>
    <row r="66" spans="1:3" x14ac:dyDescent="0.25">
      <c r="A66" s="90"/>
      <c r="B66" s="89"/>
      <c r="C66" s="88"/>
    </row>
    <row r="67" spans="1:3" x14ac:dyDescent="0.25">
      <c r="A67" s="90"/>
      <c r="B67" s="89"/>
      <c r="C67" s="88"/>
    </row>
    <row r="68" spans="1:3" x14ac:dyDescent="0.25">
      <c r="A68" s="90"/>
      <c r="B68" s="89"/>
      <c r="C68" s="88"/>
    </row>
    <row r="69" spans="1:3" x14ac:dyDescent="0.25">
      <c r="A69" s="90"/>
      <c r="B69" s="89"/>
      <c r="C69" s="88"/>
    </row>
    <row r="70" spans="1:3" x14ac:dyDescent="0.25">
      <c r="A70" s="90"/>
      <c r="B70" s="89"/>
      <c r="C70" s="88"/>
    </row>
    <row r="71" spans="1:3" x14ac:dyDescent="0.25">
      <c r="A71" s="90"/>
      <c r="B71" s="89"/>
      <c r="C71" s="88"/>
    </row>
    <row r="72" spans="1:3" x14ac:dyDescent="0.25">
      <c r="A72" s="90"/>
      <c r="B72" s="89"/>
      <c r="C72" s="88"/>
    </row>
    <row r="73" spans="1:3" x14ac:dyDescent="0.25">
      <c r="A73" s="90"/>
      <c r="B73" s="89"/>
      <c r="C73" s="88"/>
    </row>
    <row r="74" spans="1:3" x14ac:dyDescent="0.25">
      <c r="A74" s="90"/>
      <c r="B74" s="89"/>
      <c r="C74" s="88"/>
    </row>
    <row r="75" spans="1:3" x14ac:dyDescent="0.25">
      <c r="A75" s="90"/>
      <c r="B75" s="89"/>
      <c r="C75" s="88"/>
    </row>
    <row r="76" spans="1:3" x14ac:dyDescent="0.25">
      <c r="A76" s="90"/>
      <c r="B76" s="89"/>
      <c r="C76" s="88"/>
    </row>
    <row r="77" spans="1:3" x14ac:dyDescent="0.25">
      <c r="A77" s="90"/>
      <c r="B77" s="89"/>
      <c r="C77" s="88"/>
    </row>
    <row r="78" spans="1:3" x14ac:dyDescent="0.25">
      <c r="A78" s="90"/>
      <c r="B78" s="89"/>
      <c r="C78" s="88"/>
    </row>
    <row r="79" spans="1:3" x14ac:dyDescent="0.25">
      <c r="A79" s="90"/>
      <c r="B79" s="89"/>
      <c r="C79" s="88"/>
    </row>
    <row r="80" spans="1:3" x14ac:dyDescent="0.25">
      <c r="A80" s="90"/>
      <c r="B80" s="89"/>
      <c r="C80" s="88"/>
    </row>
    <row r="81" spans="1:3" x14ac:dyDescent="0.25">
      <c r="A81" s="90"/>
      <c r="B81" s="89"/>
      <c r="C81" s="88"/>
    </row>
    <row r="82" spans="1:3" x14ac:dyDescent="0.25">
      <c r="A82" s="87"/>
      <c r="B82" s="86"/>
      <c r="C82" s="85"/>
    </row>
  </sheetData>
  <mergeCells count="3">
    <mergeCell ref="A2:F2"/>
    <mergeCell ref="H2:I2"/>
    <mergeCell ref="H21:M22"/>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5C8F-5B16-4412-AF88-6C24F4B47EC8}">
  <sheetPr>
    <tabColor theme="5"/>
  </sheetPr>
  <dimension ref="A1:H1000"/>
  <sheetViews>
    <sheetView topLeftCell="A2" workbookViewId="0">
      <selection activeCell="G17" sqref="G17"/>
    </sheetView>
  </sheetViews>
  <sheetFormatPr defaultColWidth="14.44140625" defaultRowHeight="15" customHeight="1" x14ac:dyDescent="0.25"/>
  <cols>
    <col min="1" max="1" width="15.21875" style="1" bestFit="1" customWidth="1"/>
    <col min="2" max="2" width="10.77734375" style="1" bestFit="1" customWidth="1"/>
    <col min="3" max="3" width="10.5546875" style="1" bestFit="1" customWidth="1"/>
    <col min="4" max="4" width="12.44140625" style="1" bestFit="1" customWidth="1"/>
    <col min="5" max="5" width="14.6640625" style="1" bestFit="1" customWidth="1"/>
    <col min="6" max="6" width="19.44140625" style="1" bestFit="1" customWidth="1"/>
    <col min="7" max="7" width="22.6640625" style="1" bestFit="1" customWidth="1"/>
    <col min="8" max="8" width="21.77734375" style="1" customWidth="1"/>
    <col min="9" max="11" width="8.6640625" style="1" customWidth="1"/>
    <col min="12" max="12" width="18.88671875" style="1" customWidth="1"/>
    <col min="13" max="26" width="8.6640625" style="1" customWidth="1"/>
    <col min="27" max="16384" width="14.44140625" style="1"/>
  </cols>
  <sheetData>
    <row r="1" spans="1:8" ht="13.8" x14ac:dyDescent="0.25">
      <c r="A1" s="27" t="s">
        <v>5</v>
      </c>
      <c r="B1" s="28" t="s">
        <v>9</v>
      </c>
      <c r="C1" s="28" t="s">
        <v>85</v>
      </c>
      <c r="D1" s="28" t="s">
        <v>79</v>
      </c>
      <c r="E1" s="28" t="s">
        <v>86</v>
      </c>
      <c r="F1" s="28" t="s">
        <v>7</v>
      </c>
      <c r="G1" s="28" t="s">
        <v>145</v>
      </c>
      <c r="H1" s="29" t="s">
        <v>143</v>
      </c>
    </row>
    <row r="2" spans="1:8" ht="13.8" x14ac:dyDescent="0.25">
      <c r="A2" s="26">
        <v>0</v>
      </c>
      <c r="B2" s="4">
        <v>1</v>
      </c>
      <c r="C2" s="4">
        <v>0.28789999999999999</v>
      </c>
      <c r="D2" s="4">
        <v>0.81</v>
      </c>
      <c r="E2" s="4">
        <v>0</v>
      </c>
      <c r="F2" s="4">
        <v>3</v>
      </c>
      <c r="G2" s="4">
        <v>13</v>
      </c>
      <c r="H2" s="8">
        <v>16</v>
      </c>
    </row>
    <row r="3" spans="1:8" ht="13.8" x14ac:dyDescent="0.25">
      <c r="A3" s="26">
        <v>1</v>
      </c>
      <c r="B3" s="4">
        <v>2</v>
      </c>
      <c r="C3" s="4">
        <v>0.2727</v>
      </c>
      <c r="D3" s="4">
        <v>0.8</v>
      </c>
      <c r="E3" s="4">
        <v>0</v>
      </c>
      <c r="F3" s="4">
        <v>8</v>
      </c>
      <c r="G3" s="4">
        <v>32</v>
      </c>
      <c r="H3" s="8">
        <v>40</v>
      </c>
    </row>
    <row r="4" spans="1:8" ht="13.8" x14ac:dyDescent="0.25">
      <c r="A4" s="26">
        <v>2</v>
      </c>
      <c r="B4" s="4">
        <v>3</v>
      </c>
      <c r="C4" s="4">
        <v>0.2727</v>
      </c>
      <c r="D4" s="4">
        <v>0.8</v>
      </c>
      <c r="E4" s="4">
        <v>0</v>
      </c>
      <c r="F4" s="4">
        <v>5</v>
      </c>
      <c r="G4" s="4">
        <v>27</v>
      </c>
      <c r="H4" s="8">
        <v>32</v>
      </c>
    </row>
    <row r="5" spans="1:8" ht="13.8" x14ac:dyDescent="0.25">
      <c r="A5" s="26">
        <v>3</v>
      </c>
      <c r="B5" s="4">
        <v>4</v>
      </c>
      <c r="C5" s="4">
        <v>0.28789999999999999</v>
      </c>
      <c r="D5" s="4">
        <v>0.75</v>
      </c>
      <c r="E5" s="4">
        <v>0</v>
      </c>
      <c r="F5" s="4">
        <v>3</v>
      </c>
      <c r="G5" s="4">
        <v>10</v>
      </c>
      <c r="H5" s="8">
        <v>13</v>
      </c>
    </row>
    <row r="6" spans="1:8" ht="13.8" x14ac:dyDescent="0.25">
      <c r="A6" s="26">
        <v>4</v>
      </c>
      <c r="B6" s="4">
        <v>5</v>
      </c>
      <c r="C6" s="4">
        <v>0.28789999999999999</v>
      </c>
      <c r="D6" s="4">
        <v>0.75</v>
      </c>
      <c r="E6" s="4">
        <v>0</v>
      </c>
      <c r="F6" s="4">
        <v>0</v>
      </c>
      <c r="G6" s="4">
        <v>1</v>
      </c>
      <c r="H6" s="8">
        <v>1</v>
      </c>
    </row>
    <row r="7" spans="1:8" ht="13.8" x14ac:dyDescent="0.25">
      <c r="A7" s="26">
        <v>5</v>
      </c>
      <c r="B7" s="4">
        <v>6</v>
      </c>
      <c r="C7" s="4">
        <v>0.2576</v>
      </c>
      <c r="D7" s="4">
        <v>0.75</v>
      </c>
      <c r="E7" s="4">
        <v>8.9599999999999999E-2</v>
      </c>
      <c r="F7" s="4">
        <v>0</v>
      </c>
      <c r="G7" s="4">
        <v>1</v>
      </c>
      <c r="H7" s="8">
        <v>1</v>
      </c>
    </row>
    <row r="8" spans="1:8" ht="13.8" x14ac:dyDescent="0.25">
      <c r="A8" s="26">
        <v>6</v>
      </c>
      <c r="B8" s="4">
        <v>7</v>
      </c>
      <c r="C8" s="4">
        <v>0.2727</v>
      </c>
      <c r="D8" s="4">
        <v>0.8</v>
      </c>
      <c r="E8" s="4">
        <v>0</v>
      </c>
      <c r="F8" s="4">
        <v>2</v>
      </c>
      <c r="G8" s="4">
        <v>0</v>
      </c>
      <c r="H8" s="8">
        <v>2</v>
      </c>
    </row>
    <row r="9" spans="1:8" ht="13.8" x14ac:dyDescent="0.25">
      <c r="A9" s="26">
        <v>7</v>
      </c>
      <c r="B9" s="4">
        <v>8</v>
      </c>
      <c r="C9" s="4">
        <v>0.2576</v>
      </c>
      <c r="D9" s="4">
        <v>0.86</v>
      </c>
      <c r="E9" s="4">
        <v>0</v>
      </c>
      <c r="F9" s="4">
        <v>1</v>
      </c>
      <c r="G9" s="4">
        <v>2</v>
      </c>
      <c r="H9" s="8">
        <v>3</v>
      </c>
    </row>
    <row r="10" spans="1:8" ht="13.8" x14ac:dyDescent="0.25">
      <c r="A10" s="26">
        <v>8</v>
      </c>
      <c r="B10" s="4">
        <v>9</v>
      </c>
      <c r="C10" s="4">
        <v>0.19989999999999999</v>
      </c>
      <c r="D10" s="4">
        <v>0.75</v>
      </c>
      <c r="E10" s="4">
        <v>0</v>
      </c>
      <c r="F10" s="4">
        <v>1</v>
      </c>
      <c r="G10" s="4">
        <v>7</v>
      </c>
      <c r="H10" s="8">
        <v>8</v>
      </c>
    </row>
    <row r="11" spans="1:8" ht="13.8" x14ac:dyDescent="0.25">
      <c r="A11" s="26">
        <v>9</v>
      </c>
      <c r="B11" s="4">
        <v>10</v>
      </c>
      <c r="C11" s="4">
        <v>0.34849999999999998</v>
      </c>
      <c r="D11" s="4">
        <v>0.76</v>
      </c>
      <c r="E11" s="4">
        <v>0</v>
      </c>
      <c r="F11" s="4">
        <v>8</v>
      </c>
      <c r="G11" s="4">
        <v>6</v>
      </c>
      <c r="H11" s="8">
        <v>14</v>
      </c>
    </row>
    <row r="12" spans="1:8" ht="13.8" x14ac:dyDescent="0.25">
      <c r="A12" s="26">
        <v>10</v>
      </c>
      <c r="B12" s="4">
        <v>11</v>
      </c>
      <c r="C12" s="4">
        <v>0.39389999999999997</v>
      </c>
      <c r="D12" s="4">
        <v>0.76</v>
      </c>
      <c r="E12" s="4">
        <v>0.25369999999999998</v>
      </c>
      <c r="F12" s="4">
        <v>12</v>
      </c>
      <c r="G12" s="4">
        <v>24</v>
      </c>
      <c r="H12" s="8">
        <v>36</v>
      </c>
    </row>
    <row r="13" spans="1:8" ht="13.8" x14ac:dyDescent="0.25">
      <c r="A13" s="26">
        <v>11</v>
      </c>
      <c r="B13" s="4">
        <v>12</v>
      </c>
      <c r="C13" s="4">
        <v>0.33329999999999999</v>
      </c>
      <c r="D13" s="4">
        <v>0.81</v>
      </c>
      <c r="E13" s="4">
        <v>0.28360000000000002</v>
      </c>
      <c r="F13" s="4">
        <v>26</v>
      </c>
      <c r="G13" s="4">
        <v>30</v>
      </c>
      <c r="H13" s="8">
        <v>56</v>
      </c>
    </row>
    <row r="14" spans="1:8" ht="13.8" x14ac:dyDescent="0.25">
      <c r="A14" s="26">
        <v>12</v>
      </c>
      <c r="B14" s="4">
        <v>13</v>
      </c>
      <c r="C14" s="4">
        <v>0.42420000000000002</v>
      </c>
      <c r="D14" s="4">
        <v>0.77</v>
      </c>
      <c r="E14" s="4">
        <v>0.28360000000000002</v>
      </c>
      <c r="F14" s="4">
        <v>29</v>
      </c>
      <c r="G14" s="4">
        <v>55</v>
      </c>
      <c r="H14" s="8">
        <v>84</v>
      </c>
    </row>
    <row r="15" spans="1:8" ht="13.8" x14ac:dyDescent="0.25">
      <c r="A15" s="26">
        <v>13</v>
      </c>
      <c r="B15" s="4">
        <v>14</v>
      </c>
      <c r="C15" s="4">
        <v>0.45450000000000002</v>
      </c>
      <c r="D15" s="4">
        <v>0.72</v>
      </c>
      <c r="E15" s="4">
        <v>0.29849999999999999</v>
      </c>
      <c r="F15" s="4">
        <v>47</v>
      </c>
      <c r="G15" s="4">
        <v>47</v>
      </c>
      <c r="H15" s="8">
        <v>94</v>
      </c>
    </row>
    <row r="16" spans="1:8" ht="13.8" x14ac:dyDescent="0.25">
      <c r="A16" s="26">
        <v>14</v>
      </c>
      <c r="B16" s="4">
        <v>15</v>
      </c>
      <c r="C16" s="4">
        <v>0.45450000000000002</v>
      </c>
      <c r="D16" s="4">
        <v>0.72</v>
      </c>
      <c r="E16" s="4">
        <v>0.28360000000000002</v>
      </c>
      <c r="F16" s="4">
        <v>35</v>
      </c>
      <c r="G16" s="4">
        <v>71</v>
      </c>
      <c r="H16" s="8">
        <v>106</v>
      </c>
    </row>
    <row r="17" spans="1:8" ht="13.8" x14ac:dyDescent="0.25">
      <c r="A17" s="26">
        <v>15</v>
      </c>
      <c r="B17" s="4">
        <v>16</v>
      </c>
      <c r="C17" s="4">
        <v>0.43940000000000001</v>
      </c>
      <c r="D17" s="4">
        <v>0.77</v>
      </c>
      <c r="E17" s="4">
        <v>0.29849999999999999</v>
      </c>
      <c r="F17" s="4">
        <v>40</v>
      </c>
      <c r="G17" s="4">
        <v>70</v>
      </c>
      <c r="H17" s="8">
        <v>110</v>
      </c>
    </row>
    <row r="18" spans="1:8" ht="13.8" x14ac:dyDescent="0.25">
      <c r="A18" s="26">
        <v>16</v>
      </c>
      <c r="B18" s="4">
        <v>17</v>
      </c>
      <c r="C18" s="4">
        <v>0.42420000000000002</v>
      </c>
      <c r="D18" s="4">
        <v>0.82</v>
      </c>
      <c r="E18" s="4">
        <v>0.29849999999999999</v>
      </c>
      <c r="F18" s="4">
        <v>41</v>
      </c>
      <c r="G18" s="4">
        <v>52</v>
      </c>
      <c r="H18" s="8">
        <v>93</v>
      </c>
    </row>
    <row r="19" spans="1:8" ht="13.8" x14ac:dyDescent="0.25">
      <c r="A19" s="26">
        <v>17</v>
      </c>
      <c r="B19" s="4">
        <v>18</v>
      </c>
      <c r="C19" s="4">
        <v>0.19989999999999999</v>
      </c>
      <c r="D19" s="4">
        <v>0.82</v>
      </c>
      <c r="E19" s="4">
        <v>0.28360000000000002</v>
      </c>
      <c r="F19" s="4">
        <v>15</v>
      </c>
      <c r="G19" s="4">
        <v>52</v>
      </c>
      <c r="H19" s="8">
        <v>67</v>
      </c>
    </row>
    <row r="20" spans="1:8" ht="13.8" x14ac:dyDescent="0.25">
      <c r="A20" s="26">
        <v>18</v>
      </c>
      <c r="B20" s="4">
        <v>19</v>
      </c>
      <c r="C20" s="4">
        <v>0.42420000000000002</v>
      </c>
      <c r="D20" s="4">
        <v>0.88</v>
      </c>
      <c r="E20" s="4">
        <v>0.25369999999999998</v>
      </c>
      <c r="F20" s="4">
        <v>9</v>
      </c>
      <c r="G20" s="4">
        <v>26</v>
      </c>
      <c r="H20" s="8">
        <v>35</v>
      </c>
    </row>
    <row r="21" spans="1:8" ht="15.75" customHeight="1" x14ac:dyDescent="0.25">
      <c r="A21" s="26">
        <v>19</v>
      </c>
      <c r="B21" s="4">
        <v>20</v>
      </c>
      <c r="C21" s="4">
        <v>0.42420000000000002</v>
      </c>
      <c r="D21" s="4">
        <v>0.88</v>
      </c>
      <c r="E21" s="4">
        <v>0.25369999999999998</v>
      </c>
      <c r="F21" s="4">
        <v>6</v>
      </c>
      <c r="G21" s="4">
        <v>31</v>
      </c>
      <c r="H21" s="8">
        <v>37</v>
      </c>
    </row>
    <row r="22" spans="1:8" ht="15.75" customHeight="1" x14ac:dyDescent="0.25">
      <c r="A22" s="26">
        <v>20</v>
      </c>
      <c r="B22" s="4">
        <v>21</v>
      </c>
      <c r="C22" s="4">
        <v>0.40910000000000002</v>
      </c>
      <c r="D22" s="4">
        <v>0.87</v>
      </c>
      <c r="E22" s="4">
        <v>0.25369999999999998</v>
      </c>
      <c r="F22" s="4">
        <v>11</v>
      </c>
      <c r="G22" s="4">
        <v>25</v>
      </c>
      <c r="H22" s="8">
        <v>36</v>
      </c>
    </row>
    <row r="23" spans="1:8" ht="15.75" customHeight="1" x14ac:dyDescent="0.25">
      <c r="A23" s="26">
        <v>21</v>
      </c>
      <c r="B23" s="4">
        <v>22</v>
      </c>
      <c r="C23" s="4">
        <v>0.40910000000000002</v>
      </c>
      <c r="D23" s="4">
        <v>0.87</v>
      </c>
      <c r="E23" s="4">
        <v>0.19400000000000001</v>
      </c>
      <c r="F23" s="4">
        <v>3</v>
      </c>
      <c r="G23" s="4">
        <v>31</v>
      </c>
      <c r="H23" s="8">
        <v>34</v>
      </c>
    </row>
    <row r="24" spans="1:8" ht="15.75" customHeight="1" x14ac:dyDescent="0.25">
      <c r="A24" s="26">
        <v>22</v>
      </c>
      <c r="B24" s="4">
        <v>23</v>
      </c>
      <c r="C24" s="4">
        <v>0.40910000000000002</v>
      </c>
      <c r="D24" s="4">
        <v>0.94</v>
      </c>
      <c r="E24" s="4">
        <v>0.22389999999999999</v>
      </c>
      <c r="F24" s="4">
        <v>11</v>
      </c>
      <c r="G24" s="4">
        <v>17</v>
      </c>
      <c r="H24" s="8">
        <v>28</v>
      </c>
    </row>
    <row r="25" spans="1:8" ht="15.75" customHeight="1" x14ac:dyDescent="0.25">
      <c r="A25" s="26">
        <v>23</v>
      </c>
      <c r="B25" s="4">
        <v>24</v>
      </c>
      <c r="C25" s="4">
        <v>0.19989999999999999</v>
      </c>
      <c r="D25" s="4">
        <v>0.88</v>
      </c>
      <c r="E25" s="4">
        <v>0.29849999999999999</v>
      </c>
      <c r="F25" s="4">
        <v>15</v>
      </c>
      <c r="G25" s="4">
        <v>24</v>
      </c>
      <c r="H25" s="8">
        <v>39</v>
      </c>
    </row>
    <row r="26" spans="1:8" ht="15.75" customHeight="1" x14ac:dyDescent="0.25">
      <c r="A26" s="26">
        <v>24</v>
      </c>
      <c r="B26" s="4">
        <v>25</v>
      </c>
      <c r="C26" s="4">
        <v>0.45450000000000002</v>
      </c>
      <c r="D26" s="4">
        <v>0.88</v>
      </c>
      <c r="E26" s="4">
        <v>0.29849999999999999</v>
      </c>
      <c r="F26" s="4">
        <v>4</v>
      </c>
      <c r="G26" s="4">
        <v>13</v>
      </c>
      <c r="H26" s="8">
        <v>17</v>
      </c>
    </row>
    <row r="27" spans="1:8" ht="15.75" customHeight="1" x14ac:dyDescent="0.25">
      <c r="A27" s="26">
        <v>25</v>
      </c>
      <c r="B27" s="4">
        <v>26</v>
      </c>
      <c r="C27" s="4">
        <v>0.43940000000000001</v>
      </c>
      <c r="D27" s="4">
        <v>0.94</v>
      </c>
      <c r="E27" s="4">
        <v>0.25369999999999998</v>
      </c>
      <c r="F27" s="4">
        <v>1</v>
      </c>
      <c r="G27" s="4">
        <v>16</v>
      </c>
      <c r="H27" s="8">
        <v>17</v>
      </c>
    </row>
    <row r="28" spans="1:8" ht="15.75" customHeight="1" x14ac:dyDescent="0.25">
      <c r="A28" s="26">
        <v>26</v>
      </c>
      <c r="B28" s="4">
        <v>27</v>
      </c>
      <c r="C28" s="4">
        <v>0.42420000000000002</v>
      </c>
      <c r="D28" s="4">
        <v>1</v>
      </c>
      <c r="E28" s="4">
        <v>0.28360000000000002</v>
      </c>
      <c r="F28" s="4">
        <v>1</v>
      </c>
      <c r="G28" s="4">
        <v>8</v>
      </c>
      <c r="H28" s="8">
        <v>9</v>
      </c>
    </row>
    <row r="29" spans="1:8" ht="15.75" customHeight="1" x14ac:dyDescent="0.25">
      <c r="A29" s="26">
        <v>27</v>
      </c>
      <c r="B29" s="4">
        <v>28</v>
      </c>
      <c r="C29" s="4">
        <v>0.45450000000000002</v>
      </c>
      <c r="D29" s="4">
        <v>0.94</v>
      </c>
      <c r="E29" s="4">
        <v>0.19400000000000001</v>
      </c>
      <c r="F29" s="4">
        <v>2</v>
      </c>
      <c r="G29" s="4">
        <v>4</v>
      </c>
      <c r="H29" s="8">
        <v>6</v>
      </c>
    </row>
    <row r="30" spans="1:8" ht="15.75" customHeight="1" x14ac:dyDescent="0.25">
      <c r="A30" s="26">
        <v>28</v>
      </c>
      <c r="B30" s="4">
        <v>29</v>
      </c>
      <c r="C30" s="4">
        <v>0.19989999999999999</v>
      </c>
      <c r="D30" s="4">
        <v>0.94</v>
      </c>
      <c r="E30" s="4">
        <v>0.19400000000000001</v>
      </c>
      <c r="F30" s="4">
        <v>2</v>
      </c>
      <c r="G30" s="4">
        <v>1</v>
      </c>
      <c r="H30" s="8">
        <v>3</v>
      </c>
    </row>
    <row r="31" spans="1:8" ht="15.75" customHeight="1" x14ac:dyDescent="0.25">
      <c r="A31" s="26">
        <v>29</v>
      </c>
      <c r="B31" s="4">
        <v>30</v>
      </c>
      <c r="C31" s="4">
        <v>0.42420000000000002</v>
      </c>
      <c r="D31" s="4">
        <v>0.77</v>
      </c>
      <c r="E31" s="4">
        <v>0.29849999999999999</v>
      </c>
      <c r="F31" s="4">
        <v>0</v>
      </c>
      <c r="G31" s="4">
        <v>2</v>
      </c>
      <c r="H31" s="8">
        <v>2</v>
      </c>
    </row>
    <row r="32" spans="1:8" ht="15.75" customHeight="1" x14ac:dyDescent="0.25">
      <c r="A32" s="26">
        <v>30</v>
      </c>
      <c r="B32" s="4">
        <v>31</v>
      </c>
      <c r="C32" s="4">
        <v>0.40910000000000002</v>
      </c>
      <c r="D32" s="4">
        <v>0.76</v>
      </c>
      <c r="E32" s="4">
        <v>0.19400000000000001</v>
      </c>
      <c r="F32" s="4">
        <v>0</v>
      </c>
      <c r="G32" s="4">
        <v>1</v>
      </c>
      <c r="H32" s="8">
        <v>1</v>
      </c>
    </row>
    <row r="33" spans="1:8" ht="15.75" customHeight="1" x14ac:dyDescent="0.25">
      <c r="A33" s="26">
        <v>31</v>
      </c>
      <c r="B33" s="4">
        <v>32</v>
      </c>
      <c r="C33" s="4">
        <v>0.40910000000000002</v>
      </c>
      <c r="D33" s="4">
        <v>0.71</v>
      </c>
      <c r="E33" s="4">
        <v>0.22389999999999999</v>
      </c>
      <c r="F33" s="4">
        <v>0</v>
      </c>
      <c r="G33" s="4">
        <v>8</v>
      </c>
      <c r="H33" s="8">
        <v>8</v>
      </c>
    </row>
    <row r="34" spans="1:8" ht="15.75" customHeight="1" x14ac:dyDescent="0.25">
      <c r="A34" s="26">
        <v>32</v>
      </c>
      <c r="B34" s="4">
        <v>33</v>
      </c>
      <c r="C34" s="4">
        <v>0.19989999999999999</v>
      </c>
      <c r="D34" s="4">
        <v>0.76</v>
      </c>
      <c r="E34" s="4">
        <v>0.22389999999999999</v>
      </c>
      <c r="F34" s="4">
        <v>1</v>
      </c>
      <c r="G34" s="4">
        <v>19</v>
      </c>
      <c r="H34" s="8">
        <v>20</v>
      </c>
    </row>
    <row r="35" spans="1:8" ht="15.75" customHeight="1" x14ac:dyDescent="0.25">
      <c r="A35" s="26">
        <v>33</v>
      </c>
      <c r="B35" s="4">
        <v>34</v>
      </c>
      <c r="C35" s="4">
        <v>0.34849999999999998</v>
      </c>
      <c r="D35" s="4">
        <v>0.81</v>
      </c>
      <c r="E35" s="4">
        <v>0.22389999999999999</v>
      </c>
      <c r="F35" s="4">
        <v>7</v>
      </c>
      <c r="G35" s="4">
        <v>46</v>
      </c>
      <c r="H35" s="8">
        <v>53</v>
      </c>
    </row>
    <row r="36" spans="1:8" ht="15.75" customHeight="1" x14ac:dyDescent="0.25">
      <c r="A36" s="26">
        <v>34</v>
      </c>
      <c r="B36" s="4">
        <v>35</v>
      </c>
      <c r="C36" s="4">
        <v>0.33329999999999999</v>
      </c>
      <c r="D36" s="4">
        <v>0.71</v>
      </c>
      <c r="E36" s="4">
        <v>0.25369999999999998</v>
      </c>
      <c r="F36" s="4">
        <v>16</v>
      </c>
      <c r="G36" s="4">
        <v>54</v>
      </c>
      <c r="H36" s="8">
        <v>70</v>
      </c>
    </row>
    <row r="37" spans="1:8" ht="15.75" customHeight="1" x14ac:dyDescent="0.25">
      <c r="A37" s="26">
        <v>35</v>
      </c>
      <c r="B37" s="4">
        <v>36</v>
      </c>
      <c r="C37" s="4">
        <v>0.33329999999999999</v>
      </c>
      <c r="D37" s="4">
        <v>0.66</v>
      </c>
      <c r="E37" s="4">
        <v>0.29849999999999999</v>
      </c>
      <c r="F37" s="4">
        <v>20</v>
      </c>
      <c r="G37" s="4">
        <v>73</v>
      </c>
      <c r="H37" s="8">
        <v>93</v>
      </c>
    </row>
    <row r="38" spans="1:8" ht="15.75" customHeight="1" x14ac:dyDescent="0.25">
      <c r="A38" s="26">
        <v>36</v>
      </c>
      <c r="B38" s="4">
        <v>37</v>
      </c>
      <c r="C38" s="4">
        <v>0.34849999999999998</v>
      </c>
      <c r="D38" s="4">
        <v>0.66</v>
      </c>
      <c r="E38" s="4">
        <v>0.1343</v>
      </c>
      <c r="F38" s="4">
        <v>11</v>
      </c>
      <c r="G38" s="4">
        <v>64</v>
      </c>
      <c r="H38" s="8">
        <v>75</v>
      </c>
    </row>
    <row r="39" spans="1:8" ht="15.75" customHeight="1" x14ac:dyDescent="0.25">
      <c r="A39" s="26">
        <v>37</v>
      </c>
      <c r="B39" s="4">
        <v>38</v>
      </c>
      <c r="C39" s="4">
        <v>0.19989999999999999</v>
      </c>
      <c r="D39" s="4">
        <v>0.76</v>
      </c>
      <c r="E39" s="4">
        <v>0.19400000000000001</v>
      </c>
      <c r="F39" s="4">
        <v>4</v>
      </c>
      <c r="G39" s="4">
        <v>55</v>
      </c>
      <c r="H39" s="8">
        <v>59</v>
      </c>
    </row>
    <row r="40" spans="1:8" ht="15.75" customHeight="1" x14ac:dyDescent="0.25">
      <c r="A40" s="26">
        <v>38</v>
      </c>
      <c r="B40" s="4">
        <v>39</v>
      </c>
      <c r="C40" s="4">
        <v>0.33329999999999999</v>
      </c>
      <c r="D40" s="4">
        <v>0.81</v>
      </c>
      <c r="E40" s="4">
        <v>0.16420000000000001</v>
      </c>
      <c r="F40" s="4">
        <v>19</v>
      </c>
      <c r="G40" s="4">
        <v>55</v>
      </c>
      <c r="H40" s="8">
        <v>74</v>
      </c>
    </row>
    <row r="41" spans="1:8" ht="15.75" customHeight="1" x14ac:dyDescent="0.25">
      <c r="A41" s="26">
        <v>39</v>
      </c>
      <c r="B41" s="4">
        <v>40</v>
      </c>
      <c r="C41" s="4">
        <v>0.33329999999999999</v>
      </c>
      <c r="D41" s="4">
        <v>0.71</v>
      </c>
      <c r="E41" s="4">
        <v>0.16420000000000001</v>
      </c>
      <c r="F41" s="4">
        <v>9</v>
      </c>
      <c r="G41" s="4">
        <v>67</v>
      </c>
      <c r="H41" s="8">
        <v>76</v>
      </c>
    </row>
    <row r="42" spans="1:8" ht="15.75" customHeight="1" x14ac:dyDescent="0.25">
      <c r="A42" s="26">
        <v>40</v>
      </c>
      <c r="B42" s="4">
        <v>41</v>
      </c>
      <c r="C42" s="4">
        <v>0.33329999999999999</v>
      </c>
      <c r="D42" s="4">
        <v>0.56999999999999995</v>
      </c>
      <c r="E42" s="4">
        <v>0.19400000000000001</v>
      </c>
      <c r="F42" s="4">
        <v>7</v>
      </c>
      <c r="G42" s="4">
        <v>58</v>
      </c>
      <c r="H42" s="8">
        <v>65</v>
      </c>
    </row>
    <row r="43" spans="1:8" ht="15.75" customHeight="1" x14ac:dyDescent="0.25">
      <c r="A43" s="26">
        <v>41</v>
      </c>
      <c r="B43" s="4">
        <v>42</v>
      </c>
      <c r="C43" s="4">
        <v>0.33329999999999999</v>
      </c>
      <c r="D43" s="4">
        <v>0.46</v>
      </c>
      <c r="E43" s="4">
        <v>0.32840000000000003</v>
      </c>
      <c r="F43" s="4">
        <v>10</v>
      </c>
      <c r="G43" s="4">
        <v>43</v>
      </c>
      <c r="H43" s="8">
        <v>53</v>
      </c>
    </row>
    <row r="44" spans="1:8" ht="15.75" customHeight="1" x14ac:dyDescent="0.25">
      <c r="A44" s="26">
        <v>42</v>
      </c>
      <c r="B44" s="4">
        <v>43</v>
      </c>
      <c r="C44" s="4">
        <v>0.28789999999999999</v>
      </c>
      <c r="D44" s="4">
        <v>0.42</v>
      </c>
      <c r="E44" s="4">
        <v>0.44779999999999998</v>
      </c>
      <c r="F44" s="4">
        <v>1</v>
      </c>
      <c r="G44" s="4">
        <v>29</v>
      </c>
      <c r="H44" s="8">
        <v>30</v>
      </c>
    </row>
    <row r="45" spans="1:8" ht="15.75" customHeight="1" x14ac:dyDescent="0.25">
      <c r="A45" s="26">
        <v>43</v>
      </c>
      <c r="B45" s="4">
        <v>44</v>
      </c>
      <c r="C45" s="4">
        <v>0.19989999999999999</v>
      </c>
      <c r="D45" s="4">
        <v>0.39</v>
      </c>
      <c r="E45" s="4">
        <v>0.35820000000000002</v>
      </c>
      <c r="F45" s="4">
        <v>5</v>
      </c>
      <c r="G45" s="4">
        <v>17</v>
      </c>
      <c r="H45" s="8">
        <v>22</v>
      </c>
    </row>
    <row r="46" spans="1:8" ht="15.75" customHeight="1" x14ac:dyDescent="0.25">
      <c r="A46" s="26">
        <v>44</v>
      </c>
      <c r="B46" s="4">
        <v>45</v>
      </c>
      <c r="C46" s="4">
        <v>0.2273</v>
      </c>
      <c r="D46" s="4">
        <v>0.44</v>
      </c>
      <c r="E46" s="4">
        <v>0.32840000000000003</v>
      </c>
      <c r="F46" s="4">
        <v>11</v>
      </c>
      <c r="G46" s="4">
        <v>20</v>
      </c>
      <c r="H46" s="8">
        <v>31</v>
      </c>
    </row>
    <row r="47" spans="1:8" ht="15.75" customHeight="1" x14ac:dyDescent="0.25">
      <c r="A47" s="26">
        <v>45</v>
      </c>
      <c r="B47" s="4">
        <v>46</v>
      </c>
      <c r="C47" s="4">
        <v>0.21210000000000001</v>
      </c>
      <c r="D47" s="4">
        <v>0.44</v>
      </c>
      <c r="E47" s="4">
        <v>0.29849999999999999</v>
      </c>
      <c r="F47" s="4">
        <v>0</v>
      </c>
      <c r="G47" s="4">
        <v>9</v>
      </c>
      <c r="H47" s="8">
        <v>9</v>
      </c>
    </row>
    <row r="48" spans="1:8" ht="15.75" customHeight="1" x14ac:dyDescent="0.25">
      <c r="A48" s="26">
        <v>46</v>
      </c>
      <c r="B48" s="4">
        <v>47</v>
      </c>
      <c r="C48" s="4">
        <v>0.2273</v>
      </c>
      <c r="D48" s="4">
        <v>0.47</v>
      </c>
      <c r="E48" s="4">
        <v>0.16420000000000001</v>
      </c>
      <c r="F48" s="4">
        <v>0</v>
      </c>
      <c r="G48" s="4">
        <v>8</v>
      </c>
      <c r="H48" s="8">
        <v>8</v>
      </c>
    </row>
    <row r="49" spans="1:8" ht="15.75" customHeight="1" x14ac:dyDescent="0.25">
      <c r="A49" s="26">
        <v>47</v>
      </c>
      <c r="B49" s="4">
        <v>48</v>
      </c>
      <c r="C49" s="4">
        <v>0.19700000000000001</v>
      </c>
      <c r="D49" s="4">
        <v>0.44</v>
      </c>
      <c r="E49" s="4">
        <v>0.35820000000000002</v>
      </c>
      <c r="F49" s="4">
        <v>0</v>
      </c>
      <c r="G49" s="4">
        <v>5</v>
      </c>
      <c r="H49" s="8">
        <v>5</v>
      </c>
    </row>
    <row r="50" spans="1:8" ht="15.75" customHeight="1" x14ac:dyDescent="0.25">
      <c r="A50" s="26">
        <v>48</v>
      </c>
      <c r="B50" s="4">
        <v>49</v>
      </c>
      <c r="C50" s="4">
        <v>0.19989999999999999</v>
      </c>
      <c r="D50" s="4">
        <v>0.44</v>
      </c>
      <c r="E50" s="4">
        <v>0.41789999999999999</v>
      </c>
      <c r="F50" s="4">
        <v>0</v>
      </c>
      <c r="G50" s="4">
        <v>2</v>
      </c>
      <c r="H50" s="8">
        <v>2</v>
      </c>
    </row>
    <row r="51" spans="1:8" ht="15.75" customHeight="1" x14ac:dyDescent="0.25">
      <c r="A51" s="26">
        <v>49</v>
      </c>
      <c r="B51" s="4">
        <v>50</v>
      </c>
      <c r="C51" s="4">
        <v>0.13639999999999999</v>
      </c>
      <c r="D51" s="4">
        <v>0.47</v>
      </c>
      <c r="E51" s="4">
        <v>0.3881</v>
      </c>
      <c r="F51" s="4">
        <v>0</v>
      </c>
      <c r="G51" s="4">
        <v>1</v>
      </c>
      <c r="H51" s="8">
        <v>1</v>
      </c>
    </row>
    <row r="52" spans="1:8" ht="15.75" customHeight="1" x14ac:dyDescent="0.25">
      <c r="A52" s="26">
        <v>50</v>
      </c>
      <c r="B52" s="4">
        <v>51</v>
      </c>
      <c r="C52" s="4">
        <v>0.13639999999999999</v>
      </c>
      <c r="D52" s="4">
        <v>0.47</v>
      </c>
      <c r="E52" s="4">
        <v>0.28360000000000002</v>
      </c>
      <c r="F52" s="4">
        <v>0</v>
      </c>
      <c r="G52" s="4">
        <v>3</v>
      </c>
      <c r="H52" s="8">
        <v>3</v>
      </c>
    </row>
    <row r="53" spans="1:8" ht="15.75" customHeight="1" x14ac:dyDescent="0.25">
      <c r="A53" s="26">
        <v>51</v>
      </c>
      <c r="B53" s="4">
        <v>52</v>
      </c>
      <c r="C53" s="4">
        <v>0.1061</v>
      </c>
      <c r="D53" s="4">
        <v>0.5</v>
      </c>
      <c r="E53" s="4">
        <v>0.3881</v>
      </c>
      <c r="F53" s="4">
        <v>0</v>
      </c>
      <c r="G53" s="4">
        <v>30</v>
      </c>
      <c r="H53" s="8">
        <v>30</v>
      </c>
    </row>
    <row r="54" spans="1:8" ht="15.75" customHeight="1" x14ac:dyDescent="0.25">
      <c r="A54" s="26">
        <v>52</v>
      </c>
      <c r="B54" s="4">
        <v>53</v>
      </c>
      <c r="C54" s="4">
        <v>0.13639999999999999</v>
      </c>
      <c r="D54" s="4">
        <v>0.5</v>
      </c>
      <c r="E54" s="4">
        <v>0.19400000000000001</v>
      </c>
      <c r="F54" s="4">
        <v>1</v>
      </c>
      <c r="G54" s="4">
        <v>63</v>
      </c>
      <c r="H54" s="8">
        <v>64</v>
      </c>
    </row>
    <row r="55" spans="1:8" ht="15.75" customHeight="1" x14ac:dyDescent="0.25">
      <c r="A55" s="26">
        <v>53</v>
      </c>
      <c r="B55" s="4">
        <v>54</v>
      </c>
      <c r="C55" s="4">
        <v>0.1212</v>
      </c>
      <c r="D55" s="4">
        <v>0.5</v>
      </c>
      <c r="E55" s="4">
        <v>0.28360000000000002</v>
      </c>
      <c r="F55" s="4">
        <v>1</v>
      </c>
      <c r="G55" s="4">
        <v>153</v>
      </c>
      <c r="H55" s="8">
        <v>154</v>
      </c>
    </row>
    <row r="56" spans="1:8" ht="15.75" customHeight="1" x14ac:dyDescent="0.25">
      <c r="A56" s="26">
        <v>54</v>
      </c>
      <c r="B56" s="4">
        <v>55</v>
      </c>
      <c r="C56" s="4">
        <v>0.13639999999999999</v>
      </c>
      <c r="D56" s="4">
        <v>0.43</v>
      </c>
      <c r="E56" s="4">
        <v>0.3881</v>
      </c>
      <c r="F56" s="4">
        <v>7</v>
      </c>
      <c r="G56" s="4">
        <v>81</v>
      </c>
      <c r="H56" s="8">
        <v>88</v>
      </c>
    </row>
    <row r="57" spans="1:8" ht="15.75" customHeight="1" x14ac:dyDescent="0.25">
      <c r="A57" s="26">
        <v>55</v>
      </c>
      <c r="B57" s="4">
        <v>56</v>
      </c>
      <c r="C57" s="4">
        <v>0.16669999999999999</v>
      </c>
      <c r="D57" s="4">
        <v>0.43</v>
      </c>
      <c r="E57" s="4">
        <v>0.25369999999999998</v>
      </c>
      <c r="F57" s="4">
        <v>11</v>
      </c>
      <c r="G57" s="4">
        <v>33</v>
      </c>
      <c r="H57" s="8">
        <v>44</v>
      </c>
    </row>
    <row r="58" spans="1:8" ht="15.75" customHeight="1" x14ac:dyDescent="0.25">
      <c r="A58" s="26">
        <v>56</v>
      </c>
      <c r="B58" s="4">
        <v>57</v>
      </c>
      <c r="C58" s="4">
        <v>0.18179999999999999</v>
      </c>
      <c r="D58" s="4">
        <v>0.4</v>
      </c>
      <c r="E58" s="4">
        <v>0.32840000000000003</v>
      </c>
      <c r="F58" s="4">
        <v>10</v>
      </c>
      <c r="G58" s="4">
        <v>41</v>
      </c>
      <c r="H58" s="8">
        <v>51</v>
      </c>
    </row>
    <row r="59" spans="1:8" ht="15.75" customHeight="1" x14ac:dyDescent="0.25">
      <c r="A59" s="26">
        <v>57</v>
      </c>
      <c r="B59" s="4">
        <v>58</v>
      </c>
      <c r="C59" s="4">
        <v>0.21210000000000001</v>
      </c>
      <c r="D59" s="4">
        <v>0.35</v>
      </c>
      <c r="E59" s="4">
        <v>0.29849999999999999</v>
      </c>
      <c r="F59" s="4">
        <v>13</v>
      </c>
      <c r="G59" s="4">
        <v>48</v>
      </c>
      <c r="H59" s="8">
        <v>61</v>
      </c>
    </row>
    <row r="60" spans="1:8" ht="15.75" customHeight="1" x14ac:dyDescent="0.25">
      <c r="A60" s="26">
        <v>58</v>
      </c>
      <c r="B60" s="4">
        <v>59</v>
      </c>
      <c r="C60" s="4">
        <v>0.19989999999999999</v>
      </c>
      <c r="D60" s="4">
        <v>0.35</v>
      </c>
      <c r="E60" s="4">
        <v>0.28360000000000002</v>
      </c>
      <c r="F60" s="4">
        <v>8</v>
      </c>
      <c r="G60" s="4">
        <v>53</v>
      </c>
      <c r="H60" s="8">
        <v>61</v>
      </c>
    </row>
    <row r="61" spans="1:8" ht="15.75" customHeight="1" x14ac:dyDescent="0.25">
      <c r="A61" s="26">
        <v>59</v>
      </c>
      <c r="B61" s="4">
        <v>60</v>
      </c>
      <c r="C61" s="4">
        <v>0.2424</v>
      </c>
      <c r="D61" s="4">
        <v>0.3</v>
      </c>
      <c r="E61" s="4">
        <v>0.28360000000000002</v>
      </c>
      <c r="F61" s="4">
        <v>11</v>
      </c>
      <c r="G61" s="4">
        <v>66</v>
      </c>
      <c r="H61" s="8">
        <v>77</v>
      </c>
    </row>
    <row r="62" spans="1:8" ht="15.75" customHeight="1" x14ac:dyDescent="0.25">
      <c r="A62" s="26">
        <v>60</v>
      </c>
      <c r="B62" s="4">
        <v>61</v>
      </c>
      <c r="C62" s="4">
        <v>0.2424</v>
      </c>
      <c r="D62" s="4">
        <v>0.3</v>
      </c>
      <c r="E62" s="4">
        <v>0.25369999999999998</v>
      </c>
      <c r="F62" s="4">
        <v>14</v>
      </c>
      <c r="G62" s="4">
        <v>58</v>
      </c>
      <c r="H62" s="8">
        <v>72</v>
      </c>
    </row>
    <row r="63" spans="1:8" ht="15.75" customHeight="1" x14ac:dyDescent="0.25">
      <c r="A63" s="26">
        <v>61</v>
      </c>
      <c r="B63" s="4">
        <v>62</v>
      </c>
      <c r="C63" s="4">
        <v>0.2424</v>
      </c>
      <c r="D63" s="4">
        <v>0.3</v>
      </c>
      <c r="E63" s="4">
        <v>0.25369999999999998</v>
      </c>
      <c r="F63" s="4">
        <v>9</v>
      </c>
      <c r="G63" s="4">
        <v>67</v>
      </c>
      <c r="H63" s="8">
        <v>76</v>
      </c>
    </row>
    <row r="64" spans="1:8" ht="15.75" customHeight="1" x14ac:dyDescent="0.25">
      <c r="A64" s="26">
        <v>62</v>
      </c>
      <c r="B64" s="4">
        <v>63</v>
      </c>
      <c r="C64" s="4">
        <v>0.2273</v>
      </c>
      <c r="D64" s="4">
        <v>0.3</v>
      </c>
      <c r="E64" s="4">
        <v>0.22389999999999999</v>
      </c>
      <c r="F64" s="4">
        <v>11</v>
      </c>
      <c r="G64" s="4">
        <v>146</v>
      </c>
      <c r="H64" s="8">
        <v>157</v>
      </c>
    </row>
    <row r="65" spans="1:8" ht="15.75" customHeight="1" x14ac:dyDescent="0.25">
      <c r="A65" s="26">
        <v>63</v>
      </c>
      <c r="B65" s="4">
        <v>64</v>
      </c>
      <c r="C65" s="4">
        <v>0.2576</v>
      </c>
      <c r="D65" s="4">
        <v>0.32</v>
      </c>
      <c r="E65" s="4">
        <v>0.1045</v>
      </c>
      <c r="F65" s="4">
        <v>9</v>
      </c>
      <c r="G65" s="4">
        <v>148</v>
      </c>
      <c r="H65" s="8">
        <v>157</v>
      </c>
    </row>
    <row r="66" spans="1:8" ht="15.75" customHeight="1" x14ac:dyDescent="0.25">
      <c r="A66" s="26">
        <v>64</v>
      </c>
      <c r="B66" s="4">
        <v>65</v>
      </c>
      <c r="C66" s="4">
        <v>0.2576</v>
      </c>
      <c r="D66" s="4">
        <v>0.47</v>
      </c>
      <c r="E66" s="4">
        <v>0</v>
      </c>
      <c r="F66" s="4">
        <v>8</v>
      </c>
      <c r="G66" s="4">
        <v>102</v>
      </c>
      <c r="H66" s="8">
        <v>110</v>
      </c>
    </row>
    <row r="67" spans="1:8" ht="15.75" customHeight="1" x14ac:dyDescent="0.25">
      <c r="A67" s="26">
        <v>65</v>
      </c>
      <c r="B67" s="4">
        <v>66</v>
      </c>
      <c r="C67" s="4">
        <v>0.19989999999999999</v>
      </c>
      <c r="D67" s="4">
        <v>0.47</v>
      </c>
      <c r="E67" s="4">
        <v>0.1045</v>
      </c>
      <c r="F67" s="4">
        <v>3</v>
      </c>
      <c r="G67" s="4">
        <v>49</v>
      </c>
      <c r="H67" s="8">
        <v>52</v>
      </c>
    </row>
    <row r="68" spans="1:8" ht="15.75" customHeight="1" x14ac:dyDescent="0.25">
      <c r="A68" s="26">
        <v>66</v>
      </c>
      <c r="B68" s="4">
        <v>67</v>
      </c>
      <c r="C68" s="4">
        <v>0.19700000000000001</v>
      </c>
      <c r="D68" s="4">
        <v>0.64</v>
      </c>
      <c r="E68" s="4">
        <v>0.1343</v>
      </c>
      <c r="F68" s="4">
        <v>3</v>
      </c>
      <c r="G68" s="4">
        <v>49</v>
      </c>
      <c r="H68" s="8">
        <v>52</v>
      </c>
    </row>
    <row r="69" spans="1:8" ht="15.75" customHeight="1" x14ac:dyDescent="0.25">
      <c r="A69" s="26">
        <v>67</v>
      </c>
      <c r="B69" s="4">
        <v>68</v>
      </c>
      <c r="C69" s="4">
        <v>0.1515</v>
      </c>
      <c r="D69" s="4">
        <v>0.69</v>
      </c>
      <c r="E69" s="4">
        <v>0.1343</v>
      </c>
      <c r="F69" s="4">
        <v>0</v>
      </c>
      <c r="G69" s="4">
        <v>20</v>
      </c>
      <c r="H69" s="8">
        <v>20</v>
      </c>
    </row>
    <row r="70" spans="1:8" ht="15.75" customHeight="1" x14ac:dyDescent="0.25">
      <c r="A70" s="26">
        <v>68</v>
      </c>
      <c r="B70" s="4">
        <v>69</v>
      </c>
      <c r="C70" s="4">
        <v>0.21210000000000001</v>
      </c>
      <c r="D70" s="4">
        <v>0.55000000000000004</v>
      </c>
      <c r="E70" s="4">
        <v>0.1045</v>
      </c>
      <c r="F70" s="4">
        <v>1</v>
      </c>
      <c r="G70" s="4">
        <v>11</v>
      </c>
      <c r="H70" s="8">
        <v>12</v>
      </c>
    </row>
    <row r="71" spans="1:8" ht="15.75" customHeight="1" x14ac:dyDescent="0.25">
      <c r="A71" s="26">
        <v>69</v>
      </c>
      <c r="B71" s="4">
        <v>70</v>
      </c>
      <c r="C71" s="4">
        <v>0.19989999999999999</v>
      </c>
      <c r="D71" s="4">
        <v>0.55000000000000004</v>
      </c>
      <c r="E71" s="4">
        <v>0.1045</v>
      </c>
      <c r="F71" s="4">
        <v>0</v>
      </c>
      <c r="G71" s="4">
        <v>5</v>
      </c>
      <c r="H71" s="8">
        <v>5</v>
      </c>
    </row>
    <row r="72" spans="1:8" ht="15.75" customHeight="1" x14ac:dyDescent="0.25">
      <c r="A72" s="26">
        <v>70</v>
      </c>
      <c r="B72" s="4">
        <v>71</v>
      </c>
      <c r="C72" s="4">
        <v>0.18179999999999999</v>
      </c>
      <c r="D72" s="4">
        <v>0.59</v>
      </c>
      <c r="E72" s="4">
        <v>0.1045</v>
      </c>
      <c r="F72" s="4">
        <v>0</v>
      </c>
      <c r="G72" s="4">
        <v>2</v>
      </c>
      <c r="H72" s="8">
        <v>2</v>
      </c>
    </row>
    <row r="73" spans="1:8" ht="15.75" customHeight="1" x14ac:dyDescent="0.25">
      <c r="A73" s="26">
        <v>71</v>
      </c>
      <c r="B73" s="4">
        <v>72</v>
      </c>
      <c r="C73" s="4">
        <v>0.1515</v>
      </c>
      <c r="D73" s="4">
        <v>0.63</v>
      </c>
      <c r="E73" s="4">
        <v>0.1343</v>
      </c>
      <c r="F73" s="4">
        <v>0</v>
      </c>
      <c r="G73" s="4">
        <v>1</v>
      </c>
      <c r="H73" s="8">
        <v>1</v>
      </c>
    </row>
    <row r="74" spans="1:8" ht="15.75" customHeight="1" x14ac:dyDescent="0.25">
      <c r="A74" s="26">
        <v>72</v>
      </c>
      <c r="B74" s="4">
        <v>73</v>
      </c>
      <c r="C74" s="4">
        <v>0.18179999999999999</v>
      </c>
      <c r="D74" s="4">
        <v>0.63</v>
      </c>
      <c r="E74" s="4">
        <v>8.9599999999999999E-2</v>
      </c>
      <c r="F74" s="4">
        <v>0</v>
      </c>
      <c r="G74" s="4">
        <v>2</v>
      </c>
      <c r="H74" s="8">
        <v>2</v>
      </c>
    </row>
    <row r="75" spans="1:8" ht="15.75" customHeight="1" x14ac:dyDescent="0.25">
      <c r="A75" s="26">
        <v>73</v>
      </c>
      <c r="B75" s="4">
        <v>74</v>
      </c>
      <c r="C75" s="4">
        <v>0.1515</v>
      </c>
      <c r="D75" s="4">
        <v>0.68</v>
      </c>
      <c r="E75" s="4">
        <v>0.1045</v>
      </c>
      <c r="F75" s="4">
        <v>0</v>
      </c>
      <c r="G75" s="4">
        <v>4</v>
      </c>
      <c r="H75" s="8">
        <v>4</v>
      </c>
    </row>
    <row r="76" spans="1:8" ht="15.75" customHeight="1" x14ac:dyDescent="0.25">
      <c r="A76" s="26">
        <v>74</v>
      </c>
      <c r="B76" s="4">
        <v>75</v>
      </c>
      <c r="C76" s="4">
        <v>0.1515</v>
      </c>
      <c r="D76" s="4">
        <v>0.74</v>
      </c>
      <c r="E76" s="4">
        <v>0.1045</v>
      </c>
      <c r="F76" s="4">
        <v>0</v>
      </c>
      <c r="G76" s="4">
        <v>36</v>
      </c>
      <c r="H76" s="8">
        <v>36</v>
      </c>
    </row>
    <row r="77" spans="1:8" ht="15.75" customHeight="1" x14ac:dyDescent="0.25">
      <c r="A77" s="26">
        <v>75</v>
      </c>
      <c r="B77" s="4">
        <v>76</v>
      </c>
      <c r="C77" s="4">
        <v>0.1515</v>
      </c>
      <c r="D77" s="4">
        <v>0.74</v>
      </c>
      <c r="E77" s="4">
        <v>0.1343</v>
      </c>
      <c r="F77" s="4">
        <v>2</v>
      </c>
      <c r="G77" s="4">
        <v>92</v>
      </c>
      <c r="H77" s="8">
        <v>94</v>
      </c>
    </row>
    <row r="78" spans="1:8" ht="15.75" customHeight="1" x14ac:dyDescent="0.25">
      <c r="A78" s="26">
        <v>76</v>
      </c>
      <c r="B78" s="4">
        <v>77</v>
      </c>
      <c r="C78" s="4">
        <v>0.1515</v>
      </c>
      <c r="D78" s="4">
        <v>0.69</v>
      </c>
      <c r="E78" s="4">
        <v>0.16420000000000001</v>
      </c>
      <c r="F78" s="4">
        <v>2</v>
      </c>
      <c r="G78" s="4">
        <v>177</v>
      </c>
      <c r="H78" s="8">
        <v>179</v>
      </c>
    </row>
    <row r="79" spans="1:8" ht="15.75" customHeight="1" x14ac:dyDescent="0.25">
      <c r="A79" s="26">
        <v>77</v>
      </c>
      <c r="B79" s="4">
        <v>78</v>
      </c>
      <c r="C79" s="4">
        <v>0.1515</v>
      </c>
      <c r="D79" s="4">
        <v>0.64</v>
      </c>
      <c r="E79" s="4">
        <v>0.22389999999999999</v>
      </c>
      <c r="F79" s="4">
        <v>2</v>
      </c>
      <c r="G79" s="4">
        <v>98</v>
      </c>
      <c r="H79" s="8">
        <v>100</v>
      </c>
    </row>
    <row r="80" spans="1:8" ht="15.75" customHeight="1" x14ac:dyDescent="0.25">
      <c r="A80" s="26">
        <v>78</v>
      </c>
      <c r="B80" s="4">
        <v>79</v>
      </c>
      <c r="C80" s="4">
        <v>0.13639999999999999</v>
      </c>
      <c r="D80" s="4">
        <v>0.69</v>
      </c>
      <c r="E80" s="4">
        <v>0.32840000000000003</v>
      </c>
      <c r="F80" s="4">
        <v>5</v>
      </c>
      <c r="G80" s="4">
        <v>37</v>
      </c>
      <c r="H80" s="8">
        <v>42</v>
      </c>
    </row>
    <row r="81" spans="1:8" ht="15.75" customHeight="1" x14ac:dyDescent="0.25">
      <c r="A81" s="26">
        <v>79</v>
      </c>
      <c r="B81" s="4">
        <v>80</v>
      </c>
      <c r="C81" s="4">
        <v>0.21210000000000001</v>
      </c>
      <c r="D81" s="4">
        <v>0.51</v>
      </c>
      <c r="E81" s="4">
        <v>0.29849999999999999</v>
      </c>
      <c r="F81" s="4">
        <v>7</v>
      </c>
      <c r="G81" s="4">
        <v>50</v>
      </c>
      <c r="H81" s="8">
        <v>57</v>
      </c>
    </row>
    <row r="82" spans="1:8" ht="15.75" customHeight="1" x14ac:dyDescent="0.25">
      <c r="A82" s="26">
        <v>80</v>
      </c>
      <c r="B82" s="4">
        <v>81</v>
      </c>
      <c r="C82" s="4">
        <v>0.2273</v>
      </c>
      <c r="D82" s="4">
        <v>0.51</v>
      </c>
      <c r="E82" s="4">
        <v>0.16420000000000001</v>
      </c>
      <c r="F82" s="4">
        <v>12</v>
      </c>
      <c r="G82" s="4">
        <v>66</v>
      </c>
      <c r="H82" s="8">
        <v>78</v>
      </c>
    </row>
    <row r="83" spans="1:8" ht="15.75" customHeight="1" x14ac:dyDescent="0.25">
      <c r="A83" s="26">
        <v>81</v>
      </c>
      <c r="B83" s="4">
        <v>82</v>
      </c>
      <c r="C83" s="4">
        <v>0.2273</v>
      </c>
      <c r="D83" s="4">
        <v>0.56000000000000005</v>
      </c>
      <c r="E83" s="4">
        <v>0.19400000000000001</v>
      </c>
      <c r="F83" s="4">
        <v>18</v>
      </c>
      <c r="G83" s="4">
        <v>79</v>
      </c>
      <c r="H83" s="8">
        <v>97</v>
      </c>
    </row>
    <row r="84" spans="1:8" ht="15.75" customHeight="1" x14ac:dyDescent="0.25">
      <c r="A84" s="26">
        <v>82</v>
      </c>
      <c r="B84" s="4">
        <v>83</v>
      </c>
      <c r="C84" s="4">
        <v>0.2576</v>
      </c>
      <c r="D84" s="4">
        <v>0.52</v>
      </c>
      <c r="E84" s="4">
        <v>0.22389999999999999</v>
      </c>
      <c r="F84" s="4">
        <v>9</v>
      </c>
      <c r="G84" s="4">
        <v>54</v>
      </c>
      <c r="H84" s="8">
        <v>63</v>
      </c>
    </row>
    <row r="85" spans="1:8" ht="15.75" customHeight="1" x14ac:dyDescent="0.25">
      <c r="A85" s="26">
        <v>83</v>
      </c>
      <c r="B85" s="4">
        <v>84</v>
      </c>
      <c r="C85" s="4">
        <v>0.2727</v>
      </c>
      <c r="D85" s="4">
        <v>0.52</v>
      </c>
      <c r="E85" s="4">
        <v>0.25369999999999998</v>
      </c>
      <c r="F85" s="4">
        <v>17</v>
      </c>
      <c r="G85" s="4">
        <v>48</v>
      </c>
      <c r="H85" s="8">
        <v>65</v>
      </c>
    </row>
    <row r="86" spans="1:8" ht="15.75" customHeight="1" x14ac:dyDescent="0.25">
      <c r="A86" s="26">
        <v>84</v>
      </c>
      <c r="B86" s="4">
        <v>85</v>
      </c>
      <c r="C86" s="4">
        <v>0.28789999999999999</v>
      </c>
      <c r="D86" s="4">
        <v>0.49</v>
      </c>
      <c r="E86" s="4">
        <v>0.25369999999999998</v>
      </c>
      <c r="F86" s="4">
        <v>15</v>
      </c>
      <c r="G86" s="4">
        <v>68</v>
      </c>
      <c r="H86" s="8">
        <v>83</v>
      </c>
    </row>
    <row r="87" spans="1:8" ht="15.75" customHeight="1" x14ac:dyDescent="0.25">
      <c r="A87" s="26">
        <v>85</v>
      </c>
      <c r="B87" s="4">
        <v>86</v>
      </c>
      <c r="C87" s="4">
        <v>0.2727</v>
      </c>
      <c r="D87" s="4">
        <v>0.48</v>
      </c>
      <c r="E87" s="4">
        <v>0.22389999999999999</v>
      </c>
      <c r="F87" s="4">
        <v>10</v>
      </c>
      <c r="G87" s="4">
        <v>202</v>
      </c>
      <c r="H87" s="8">
        <v>212</v>
      </c>
    </row>
    <row r="88" spans="1:8" ht="15.75" customHeight="1" x14ac:dyDescent="0.25">
      <c r="A88" s="26">
        <v>86</v>
      </c>
      <c r="B88" s="4">
        <v>87</v>
      </c>
      <c r="C88" s="4">
        <v>0.2576</v>
      </c>
      <c r="D88" s="4">
        <v>0.48</v>
      </c>
      <c r="E88" s="4">
        <v>0.19400000000000001</v>
      </c>
      <c r="F88" s="4">
        <v>3</v>
      </c>
      <c r="G88" s="4">
        <v>179</v>
      </c>
      <c r="H88" s="8">
        <v>182</v>
      </c>
    </row>
    <row r="89" spans="1:8" ht="15.75" customHeight="1" x14ac:dyDescent="0.25">
      <c r="A89" s="26">
        <v>87</v>
      </c>
      <c r="B89" s="4">
        <v>88</v>
      </c>
      <c r="C89" s="4">
        <v>0.2576</v>
      </c>
      <c r="D89" s="4">
        <v>0.48</v>
      </c>
      <c r="E89" s="4">
        <v>0.1045</v>
      </c>
      <c r="F89" s="4">
        <v>2</v>
      </c>
      <c r="G89" s="4">
        <v>110</v>
      </c>
      <c r="H89" s="8">
        <v>112</v>
      </c>
    </row>
    <row r="90" spans="1:8" ht="15.75" customHeight="1" x14ac:dyDescent="0.25">
      <c r="A90" s="26">
        <v>88</v>
      </c>
      <c r="B90" s="4">
        <v>89</v>
      </c>
      <c r="C90" s="4">
        <v>0.2576</v>
      </c>
      <c r="D90" s="4">
        <v>0.48</v>
      </c>
      <c r="E90" s="4">
        <v>0.1045</v>
      </c>
      <c r="F90" s="4">
        <v>1</v>
      </c>
      <c r="G90" s="4">
        <v>53</v>
      </c>
      <c r="H90" s="8">
        <v>54</v>
      </c>
    </row>
    <row r="91" spans="1:8" ht="15.75" customHeight="1" x14ac:dyDescent="0.25">
      <c r="A91" s="26">
        <v>89</v>
      </c>
      <c r="B91" s="4">
        <v>90</v>
      </c>
      <c r="C91" s="4">
        <v>0.2727</v>
      </c>
      <c r="D91" s="4">
        <v>0.64</v>
      </c>
      <c r="E91" s="4">
        <v>0</v>
      </c>
      <c r="F91" s="4">
        <v>0</v>
      </c>
      <c r="G91" s="4">
        <v>48</v>
      </c>
      <c r="H91" s="8">
        <v>48</v>
      </c>
    </row>
    <row r="92" spans="1:8" ht="15.75" customHeight="1" x14ac:dyDescent="0.25">
      <c r="A92" s="26">
        <v>90</v>
      </c>
      <c r="B92" s="4">
        <v>91</v>
      </c>
      <c r="C92" s="4">
        <v>0.2576</v>
      </c>
      <c r="D92" s="4">
        <v>0.64</v>
      </c>
      <c r="E92" s="4">
        <v>8.9599999999999999E-2</v>
      </c>
      <c r="F92" s="4">
        <v>1</v>
      </c>
      <c r="G92" s="4">
        <v>34</v>
      </c>
      <c r="H92" s="8">
        <v>35</v>
      </c>
    </row>
    <row r="93" spans="1:8" ht="15.75" customHeight="1" x14ac:dyDescent="0.25">
      <c r="A93" s="26">
        <v>91</v>
      </c>
      <c r="B93" s="4">
        <v>92</v>
      </c>
      <c r="C93" s="4">
        <v>0.2273</v>
      </c>
      <c r="D93" s="4">
        <v>0.69</v>
      </c>
      <c r="E93" s="4">
        <v>8.9599999999999999E-2</v>
      </c>
      <c r="F93" s="4">
        <v>2</v>
      </c>
      <c r="G93" s="4">
        <v>9</v>
      </c>
      <c r="H93" s="8">
        <v>11</v>
      </c>
    </row>
    <row r="94" spans="1:8" ht="15.75" customHeight="1" x14ac:dyDescent="0.25">
      <c r="A94" s="26">
        <v>92</v>
      </c>
      <c r="B94" s="4">
        <v>93</v>
      </c>
      <c r="C94" s="4">
        <v>0.2576</v>
      </c>
      <c r="D94" s="4">
        <v>0.64</v>
      </c>
      <c r="E94" s="4">
        <v>0</v>
      </c>
      <c r="F94" s="4">
        <v>0</v>
      </c>
      <c r="G94" s="4">
        <v>6</v>
      </c>
      <c r="H94" s="8">
        <v>6</v>
      </c>
    </row>
    <row r="95" spans="1:8" ht="15.75" customHeight="1" x14ac:dyDescent="0.25">
      <c r="A95" s="26">
        <v>93</v>
      </c>
      <c r="B95" s="4">
        <v>94</v>
      </c>
      <c r="C95" s="4">
        <v>0.19700000000000001</v>
      </c>
      <c r="D95" s="4">
        <v>0.74</v>
      </c>
      <c r="E95" s="4">
        <v>8.9599999999999999E-2</v>
      </c>
      <c r="F95" s="4">
        <v>0</v>
      </c>
      <c r="G95" s="4">
        <v>6</v>
      </c>
      <c r="H95" s="8">
        <v>6</v>
      </c>
    </row>
    <row r="96" spans="1:8" ht="15.75" customHeight="1" x14ac:dyDescent="0.25">
      <c r="A96" s="26">
        <v>94</v>
      </c>
      <c r="B96" s="4">
        <v>95</v>
      </c>
      <c r="C96" s="4">
        <v>0.19700000000000001</v>
      </c>
      <c r="D96" s="4">
        <v>0.74</v>
      </c>
      <c r="E96" s="4">
        <v>8.9599999999999999E-2</v>
      </c>
      <c r="F96" s="4">
        <v>0</v>
      </c>
      <c r="G96" s="4">
        <v>2</v>
      </c>
      <c r="H96" s="8">
        <v>2</v>
      </c>
    </row>
    <row r="97" spans="1:8" ht="15.75" customHeight="1" x14ac:dyDescent="0.25">
      <c r="A97" s="26">
        <v>95</v>
      </c>
      <c r="B97" s="4">
        <v>96</v>
      </c>
      <c r="C97" s="4">
        <v>0.2273</v>
      </c>
      <c r="D97" s="4">
        <v>0.48</v>
      </c>
      <c r="E97" s="4">
        <v>0.22389999999999999</v>
      </c>
      <c r="F97" s="4">
        <v>0</v>
      </c>
      <c r="G97" s="4">
        <v>2</v>
      </c>
      <c r="H97" s="8">
        <v>2</v>
      </c>
    </row>
    <row r="98" spans="1:8" ht="15.75" customHeight="1" x14ac:dyDescent="0.25">
      <c r="A98" s="26">
        <v>96</v>
      </c>
      <c r="B98" s="4">
        <v>97</v>
      </c>
      <c r="C98" s="4">
        <v>0.2273</v>
      </c>
      <c r="D98" s="4">
        <v>0.47</v>
      </c>
      <c r="E98" s="4">
        <v>0.16420000000000001</v>
      </c>
      <c r="F98" s="4">
        <v>0</v>
      </c>
      <c r="G98" s="4">
        <v>3</v>
      </c>
      <c r="H98" s="8">
        <v>3</v>
      </c>
    </row>
    <row r="99" spans="1:8" ht="15.75" customHeight="1" x14ac:dyDescent="0.25">
      <c r="A99" s="26">
        <v>97</v>
      </c>
      <c r="B99" s="4">
        <v>98</v>
      </c>
      <c r="C99" s="4">
        <v>0.19700000000000001</v>
      </c>
      <c r="D99" s="4">
        <v>0.47</v>
      </c>
      <c r="E99" s="4">
        <v>0.22389999999999999</v>
      </c>
      <c r="F99" s="4">
        <v>0</v>
      </c>
      <c r="G99" s="4">
        <v>33</v>
      </c>
      <c r="H99" s="8">
        <v>33</v>
      </c>
    </row>
    <row r="100" spans="1:8" ht="15.75" customHeight="1" x14ac:dyDescent="0.25">
      <c r="A100" s="26">
        <v>98</v>
      </c>
      <c r="B100" s="4">
        <v>99</v>
      </c>
      <c r="C100" s="4">
        <v>0.18179999999999999</v>
      </c>
      <c r="D100" s="4">
        <v>0.43</v>
      </c>
      <c r="E100" s="4">
        <v>0.19400000000000001</v>
      </c>
      <c r="F100" s="4">
        <v>1</v>
      </c>
      <c r="G100" s="4">
        <v>87</v>
      </c>
      <c r="H100" s="8">
        <v>88</v>
      </c>
    </row>
    <row r="101" spans="1:8" ht="15.75" customHeight="1" x14ac:dyDescent="0.25">
      <c r="A101" s="26">
        <v>99</v>
      </c>
      <c r="B101" s="4">
        <v>100</v>
      </c>
      <c r="C101" s="4">
        <v>0.18179999999999999</v>
      </c>
      <c r="D101" s="4">
        <v>0.4</v>
      </c>
      <c r="E101" s="4">
        <v>0.29849999999999999</v>
      </c>
      <c r="F101" s="4">
        <v>3</v>
      </c>
      <c r="G101" s="4">
        <v>192</v>
      </c>
      <c r="H101" s="8">
        <v>195</v>
      </c>
    </row>
    <row r="102" spans="1:8" ht="15.75" customHeight="1" x14ac:dyDescent="0.25">
      <c r="A102" s="26">
        <v>100</v>
      </c>
      <c r="B102" s="4">
        <v>101</v>
      </c>
      <c r="C102" s="4">
        <v>0.19700000000000001</v>
      </c>
      <c r="D102" s="4">
        <v>0.37</v>
      </c>
      <c r="E102" s="4">
        <v>0.32840000000000003</v>
      </c>
      <c r="F102" s="4">
        <v>6</v>
      </c>
      <c r="G102" s="4">
        <v>109</v>
      </c>
      <c r="H102" s="8">
        <v>115</v>
      </c>
    </row>
    <row r="103" spans="1:8" ht="15.75" customHeight="1" x14ac:dyDescent="0.25">
      <c r="A103" s="26">
        <v>101</v>
      </c>
      <c r="B103" s="4">
        <v>102</v>
      </c>
      <c r="C103" s="4">
        <v>0.19700000000000001</v>
      </c>
      <c r="D103" s="4">
        <v>0.37</v>
      </c>
      <c r="E103" s="4">
        <v>0.32840000000000003</v>
      </c>
      <c r="F103" s="4">
        <v>4</v>
      </c>
      <c r="G103" s="4">
        <v>53</v>
      </c>
      <c r="H103" s="8">
        <v>57</v>
      </c>
    </row>
    <row r="104" spans="1:8" ht="15.75" customHeight="1" x14ac:dyDescent="0.25">
      <c r="A104" s="26">
        <v>102</v>
      </c>
      <c r="B104" s="4">
        <v>103</v>
      </c>
      <c r="C104" s="4">
        <v>0.2273</v>
      </c>
      <c r="D104" s="4">
        <v>0.33</v>
      </c>
      <c r="E104" s="4">
        <v>0.32840000000000003</v>
      </c>
      <c r="F104" s="4">
        <v>12</v>
      </c>
      <c r="G104" s="4">
        <v>34</v>
      </c>
      <c r="H104" s="8">
        <v>46</v>
      </c>
    </row>
    <row r="105" spans="1:8" ht="15.75" customHeight="1" x14ac:dyDescent="0.25">
      <c r="A105" s="26">
        <v>103</v>
      </c>
      <c r="B105" s="4">
        <v>104</v>
      </c>
      <c r="C105" s="4">
        <v>0.2273</v>
      </c>
      <c r="D105" s="4">
        <v>0.33</v>
      </c>
      <c r="E105" s="4">
        <v>0.32840000000000003</v>
      </c>
      <c r="F105" s="4">
        <v>5</v>
      </c>
      <c r="G105" s="4">
        <v>74</v>
      </c>
      <c r="H105" s="8">
        <v>79</v>
      </c>
    </row>
    <row r="106" spans="1:8" ht="15.75" customHeight="1" x14ac:dyDescent="0.25">
      <c r="A106" s="26">
        <v>104</v>
      </c>
      <c r="B106" s="4">
        <v>105</v>
      </c>
      <c r="C106" s="4">
        <v>0.2576</v>
      </c>
      <c r="D106" s="4">
        <v>0.3</v>
      </c>
      <c r="E106" s="4">
        <v>0.29849999999999999</v>
      </c>
      <c r="F106" s="4">
        <v>6</v>
      </c>
      <c r="G106" s="4">
        <v>65</v>
      </c>
      <c r="H106" s="8">
        <v>71</v>
      </c>
    </row>
    <row r="107" spans="1:8" ht="15.75" customHeight="1" x14ac:dyDescent="0.25">
      <c r="A107" s="26">
        <v>105</v>
      </c>
      <c r="B107" s="4">
        <v>106</v>
      </c>
      <c r="C107" s="4">
        <v>0.28789999999999999</v>
      </c>
      <c r="D107" s="4">
        <v>0.28000000000000003</v>
      </c>
      <c r="E107" s="4">
        <v>0.19400000000000001</v>
      </c>
      <c r="F107" s="4">
        <v>10</v>
      </c>
      <c r="G107" s="4">
        <v>52</v>
      </c>
      <c r="H107" s="8">
        <v>62</v>
      </c>
    </row>
    <row r="108" spans="1:8" ht="15.75" customHeight="1" x14ac:dyDescent="0.25">
      <c r="A108" s="26">
        <v>106</v>
      </c>
      <c r="B108" s="4">
        <v>107</v>
      </c>
      <c r="C108" s="4">
        <v>0.28789999999999999</v>
      </c>
      <c r="D108" s="4">
        <v>0.28000000000000003</v>
      </c>
      <c r="E108" s="4">
        <v>0.19400000000000001</v>
      </c>
      <c r="F108" s="4">
        <v>7</v>
      </c>
      <c r="G108" s="4">
        <v>55</v>
      </c>
      <c r="H108" s="8">
        <v>62</v>
      </c>
    </row>
    <row r="109" spans="1:8" ht="15.75" customHeight="1" x14ac:dyDescent="0.25">
      <c r="A109" s="26">
        <v>107</v>
      </c>
      <c r="B109" s="4">
        <v>108</v>
      </c>
      <c r="C109" s="4">
        <v>0.31819999999999998</v>
      </c>
      <c r="D109" s="4">
        <v>0.28000000000000003</v>
      </c>
      <c r="E109" s="4">
        <v>8.9599999999999999E-2</v>
      </c>
      <c r="F109" s="4">
        <v>4</v>
      </c>
      <c r="G109" s="4">
        <v>85</v>
      </c>
      <c r="H109" s="8">
        <v>89</v>
      </c>
    </row>
    <row r="110" spans="1:8" ht="15.75" customHeight="1" x14ac:dyDescent="0.25">
      <c r="A110" s="26">
        <v>108</v>
      </c>
      <c r="B110" s="4">
        <v>109</v>
      </c>
      <c r="C110" s="4">
        <v>0.2273</v>
      </c>
      <c r="D110" s="4">
        <v>0.38</v>
      </c>
      <c r="E110" s="4">
        <v>0.19400000000000001</v>
      </c>
      <c r="F110" s="4">
        <v>4</v>
      </c>
      <c r="G110" s="4">
        <v>186</v>
      </c>
      <c r="H110" s="8">
        <v>190</v>
      </c>
    </row>
    <row r="111" spans="1:8" ht="15.75" customHeight="1" x14ac:dyDescent="0.25">
      <c r="A111" s="26">
        <v>109</v>
      </c>
      <c r="B111" s="4">
        <v>110</v>
      </c>
      <c r="C111" s="4">
        <v>0.2424</v>
      </c>
      <c r="D111" s="4">
        <v>0.38</v>
      </c>
      <c r="E111" s="4">
        <v>0.1343</v>
      </c>
      <c r="F111" s="4">
        <v>3</v>
      </c>
      <c r="G111" s="4">
        <v>166</v>
      </c>
      <c r="H111" s="8">
        <v>169</v>
      </c>
    </row>
    <row r="112" spans="1:8" ht="15.75" customHeight="1" x14ac:dyDescent="0.25">
      <c r="A112" s="26">
        <v>110</v>
      </c>
      <c r="B112" s="4">
        <v>111</v>
      </c>
      <c r="C112" s="4">
        <v>0.2576</v>
      </c>
      <c r="D112" s="4">
        <v>0.38</v>
      </c>
      <c r="E112" s="4">
        <v>0.1045</v>
      </c>
      <c r="F112" s="4">
        <v>5</v>
      </c>
      <c r="G112" s="4">
        <v>127</v>
      </c>
      <c r="H112" s="8">
        <v>132</v>
      </c>
    </row>
    <row r="113" spans="1:8" ht="15.75" customHeight="1" x14ac:dyDescent="0.25">
      <c r="A113" s="26">
        <v>111</v>
      </c>
      <c r="B113" s="4">
        <v>112</v>
      </c>
      <c r="C113" s="4">
        <v>0.2273</v>
      </c>
      <c r="D113" s="4">
        <v>0.47</v>
      </c>
      <c r="E113" s="4">
        <v>0.16420000000000001</v>
      </c>
      <c r="F113" s="4">
        <v>7</v>
      </c>
      <c r="G113" s="4">
        <v>82</v>
      </c>
      <c r="H113" s="8">
        <v>89</v>
      </c>
    </row>
    <row r="114" spans="1:8" ht="15.75" customHeight="1" x14ac:dyDescent="0.25">
      <c r="A114" s="26">
        <v>112</v>
      </c>
      <c r="B114" s="4">
        <v>113</v>
      </c>
      <c r="C114" s="4">
        <v>0.19700000000000001</v>
      </c>
      <c r="D114" s="4">
        <v>0.51</v>
      </c>
      <c r="E114" s="4">
        <v>0.19400000000000001</v>
      </c>
      <c r="F114" s="4">
        <v>3</v>
      </c>
      <c r="G114" s="4">
        <v>40</v>
      </c>
      <c r="H114" s="8">
        <v>43</v>
      </c>
    </row>
    <row r="115" spans="1:8" ht="15.75" customHeight="1" x14ac:dyDescent="0.25">
      <c r="A115" s="26">
        <v>113</v>
      </c>
      <c r="B115" s="4">
        <v>114</v>
      </c>
      <c r="C115" s="4">
        <v>0.19700000000000001</v>
      </c>
      <c r="D115" s="4">
        <v>0.55000000000000004</v>
      </c>
      <c r="E115" s="4">
        <v>0.1343</v>
      </c>
      <c r="F115" s="4">
        <v>1</v>
      </c>
      <c r="G115" s="4">
        <v>41</v>
      </c>
      <c r="H115" s="8">
        <v>42</v>
      </c>
    </row>
    <row r="116" spans="1:8" ht="15.75" customHeight="1" x14ac:dyDescent="0.25">
      <c r="A116" s="26">
        <v>114</v>
      </c>
      <c r="B116" s="4">
        <v>115</v>
      </c>
      <c r="C116" s="4">
        <v>0.2576</v>
      </c>
      <c r="D116" s="4">
        <v>0.47</v>
      </c>
      <c r="E116" s="4">
        <v>0</v>
      </c>
      <c r="F116" s="4">
        <v>1</v>
      </c>
      <c r="G116" s="4">
        <v>18</v>
      </c>
      <c r="H116" s="8">
        <v>19</v>
      </c>
    </row>
    <row r="117" spans="1:8" ht="15.75" customHeight="1" x14ac:dyDescent="0.25">
      <c r="A117" s="26">
        <v>115</v>
      </c>
      <c r="B117" s="4">
        <v>116</v>
      </c>
      <c r="C117" s="4">
        <v>0.2424</v>
      </c>
      <c r="D117" s="4">
        <v>0.55000000000000004</v>
      </c>
      <c r="E117" s="4">
        <v>0</v>
      </c>
      <c r="F117" s="4">
        <v>0</v>
      </c>
      <c r="G117" s="4">
        <v>11</v>
      </c>
      <c r="H117" s="8">
        <v>11</v>
      </c>
    </row>
    <row r="118" spans="1:8" ht="15.75" customHeight="1" x14ac:dyDescent="0.25">
      <c r="A118" s="26">
        <v>116</v>
      </c>
      <c r="B118" s="4">
        <v>117</v>
      </c>
      <c r="C118" s="4">
        <v>0.2273</v>
      </c>
      <c r="D118" s="4">
        <v>0.64</v>
      </c>
      <c r="E118" s="4">
        <v>0</v>
      </c>
      <c r="F118" s="4">
        <v>0</v>
      </c>
      <c r="G118" s="4">
        <v>4</v>
      </c>
      <c r="H118" s="8">
        <v>4</v>
      </c>
    </row>
    <row r="119" spans="1:8" ht="15.75" customHeight="1" x14ac:dyDescent="0.25">
      <c r="A119" s="26">
        <v>117</v>
      </c>
      <c r="B119" s="4">
        <v>118</v>
      </c>
      <c r="C119" s="4">
        <v>0.2273</v>
      </c>
      <c r="D119" s="4">
        <v>0.64</v>
      </c>
      <c r="E119" s="4">
        <v>0</v>
      </c>
      <c r="F119" s="4">
        <v>0</v>
      </c>
      <c r="G119" s="4">
        <v>2</v>
      </c>
      <c r="H119" s="8">
        <v>2</v>
      </c>
    </row>
    <row r="120" spans="1:8" ht="15.75" customHeight="1" x14ac:dyDescent="0.25">
      <c r="A120" s="26">
        <v>118</v>
      </c>
      <c r="B120" s="4">
        <v>119</v>
      </c>
      <c r="C120" s="4">
        <v>0.19700000000000001</v>
      </c>
      <c r="D120" s="4">
        <v>0.64</v>
      </c>
      <c r="E120" s="4">
        <v>8.9599999999999999E-2</v>
      </c>
      <c r="F120" s="4">
        <v>0</v>
      </c>
      <c r="G120" s="4">
        <v>1</v>
      </c>
      <c r="H120" s="8">
        <v>1</v>
      </c>
    </row>
    <row r="121" spans="1:8" ht="15.75" customHeight="1" x14ac:dyDescent="0.25">
      <c r="A121" s="26">
        <v>119</v>
      </c>
      <c r="B121" s="4">
        <v>120</v>
      </c>
      <c r="C121" s="4">
        <v>0.18179999999999999</v>
      </c>
      <c r="D121" s="4">
        <v>0.69</v>
      </c>
      <c r="E121" s="4">
        <v>8.9599999999999999E-2</v>
      </c>
      <c r="F121" s="4">
        <v>0</v>
      </c>
      <c r="G121" s="4">
        <v>4</v>
      </c>
      <c r="H121" s="8">
        <v>4</v>
      </c>
    </row>
    <row r="122" spans="1:8" ht="15.75" customHeight="1" x14ac:dyDescent="0.25">
      <c r="A122" s="26">
        <v>120</v>
      </c>
      <c r="B122" s="4">
        <v>121</v>
      </c>
      <c r="C122" s="4">
        <v>0.16669999999999999</v>
      </c>
      <c r="D122" s="4">
        <v>0.63</v>
      </c>
      <c r="E122" s="4">
        <v>0.1045</v>
      </c>
      <c r="F122" s="4">
        <v>0</v>
      </c>
      <c r="G122" s="4">
        <v>36</v>
      </c>
      <c r="H122" s="8">
        <v>36</v>
      </c>
    </row>
    <row r="123" spans="1:8" ht="15.75" customHeight="1" x14ac:dyDescent="0.25">
      <c r="A123" s="26">
        <v>121</v>
      </c>
      <c r="B123" s="4">
        <v>122</v>
      </c>
      <c r="C123" s="4">
        <v>0.2273</v>
      </c>
      <c r="D123" s="4">
        <v>0.59</v>
      </c>
      <c r="E123" s="4">
        <v>0</v>
      </c>
      <c r="F123" s="4">
        <v>0</v>
      </c>
      <c r="G123" s="4">
        <v>95</v>
      </c>
      <c r="H123" s="8">
        <v>95</v>
      </c>
    </row>
    <row r="124" spans="1:8" ht="15.75" customHeight="1" x14ac:dyDescent="0.25">
      <c r="A124" s="26">
        <v>122</v>
      </c>
      <c r="B124" s="4">
        <v>123</v>
      </c>
      <c r="C124" s="4">
        <v>0.2273</v>
      </c>
      <c r="D124" s="4">
        <v>0.59</v>
      </c>
      <c r="E124" s="4">
        <v>0</v>
      </c>
      <c r="F124" s="4">
        <v>3</v>
      </c>
      <c r="G124" s="4">
        <v>216</v>
      </c>
      <c r="H124" s="8">
        <v>219</v>
      </c>
    </row>
    <row r="125" spans="1:8" ht="15.75" customHeight="1" x14ac:dyDescent="0.25">
      <c r="A125" s="26">
        <v>123</v>
      </c>
      <c r="B125" s="4">
        <v>124</v>
      </c>
      <c r="C125" s="4">
        <v>0.2424</v>
      </c>
      <c r="D125" s="4">
        <v>0.51</v>
      </c>
      <c r="E125" s="4">
        <v>0</v>
      </c>
      <c r="F125" s="4">
        <v>6</v>
      </c>
      <c r="G125" s="4">
        <v>116</v>
      </c>
      <c r="H125" s="8">
        <v>122</v>
      </c>
    </row>
    <row r="126" spans="1:8" ht="15.75" customHeight="1" x14ac:dyDescent="0.25">
      <c r="A126" s="26">
        <v>124</v>
      </c>
      <c r="B126" s="4">
        <v>125</v>
      </c>
      <c r="C126" s="4">
        <v>0.2576</v>
      </c>
      <c r="D126" s="4">
        <v>0.47</v>
      </c>
      <c r="E126" s="4">
        <v>0</v>
      </c>
      <c r="F126" s="4">
        <v>3</v>
      </c>
      <c r="G126" s="4">
        <v>42</v>
      </c>
      <c r="H126" s="8">
        <v>45</v>
      </c>
    </row>
    <row r="127" spans="1:8" ht="15.75" customHeight="1" x14ac:dyDescent="0.25">
      <c r="A127" s="26">
        <v>125</v>
      </c>
      <c r="B127" s="4">
        <v>126</v>
      </c>
      <c r="C127" s="4">
        <v>0.2576</v>
      </c>
      <c r="D127" s="4">
        <v>0.44</v>
      </c>
      <c r="E127" s="4">
        <v>8.9599999999999999E-2</v>
      </c>
      <c r="F127" s="4">
        <v>2</v>
      </c>
      <c r="G127" s="4">
        <v>57</v>
      </c>
      <c r="H127" s="8">
        <v>59</v>
      </c>
    </row>
    <row r="128" spans="1:8" ht="15.75" customHeight="1" x14ac:dyDescent="0.25">
      <c r="A128" s="26">
        <v>126</v>
      </c>
      <c r="B128" s="4">
        <v>127</v>
      </c>
      <c r="C128" s="4">
        <v>0.28789999999999999</v>
      </c>
      <c r="D128" s="4">
        <v>0.35</v>
      </c>
      <c r="E128" s="4">
        <v>0</v>
      </c>
      <c r="F128" s="4">
        <v>6</v>
      </c>
      <c r="G128" s="4">
        <v>78</v>
      </c>
      <c r="H128" s="8">
        <v>84</v>
      </c>
    </row>
    <row r="129" spans="1:8" ht="15.75" customHeight="1" x14ac:dyDescent="0.25">
      <c r="A129" s="26">
        <v>127</v>
      </c>
      <c r="B129" s="4">
        <v>128</v>
      </c>
      <c r="C129" s="4">
        <v>0.2727</v>
      </c>
      <c r="D129" s="4">
        <v>0.35</v>
      </c>
      <c r="E129" s="4">
        <v>0.1045</v>
      </c>
      <c r="F129" s="4">
        <v>12</v>
      </c>
      <c r="G129" s="4">
        <v>55</v>
      </c>
      <c r="H129" s="8">
        <v>67</v>
      </c>
    </row>
    <row r="130" spans="1:8" ht="15.75" customHeight="1" x14ac:dyDescent="0.25">
      <c r="A130" s="26">
        <v>128</v>
      </c>
      <c r="B130" s="4">
        <v>129</v>
      </c>
      <c r="C130" s="4">
        <v>0.2727</v>
      </c>
      <c r="D130" s="4">
        <v>0.36</v>
      </c>
      <c r="E130" s="4">
        <v>0.16420000000000001</v>
      </c>
      <c r="F130" s="4">
        <v>11</v>
      </c>
      <c r="G130" s="4">
        <v>59</v>
      </c>
      <c r="H130" s="8">
        <v>70</v>
      </c>
    </row>
    <row r="131" spans="1:8" ht="15.75" customHeight="1" x14ac:dyDescent="0.25">
      <c r="A131" s="26">
        <v>129</v>
      </c>
      <c r="B131" s="4">
        <v>130</v>
      </c>
      <c r="C131" s="4">
        <v>0.2727</v>
      </c>
      <c r="D131" s="4">
        <v>0.36</v>
      </c>
      <c r="E131" s="4">
        <v>0</v>
      </c>
      <c r="F131" s="4">
        <v>8</v>
      </c>
      <c r="G131" s="4">
        <v>54</v>
      </c>
      <c r="H131" s="8">
        <v>62</v>
      </c>
    </row>
    <row r="132" spans="1:8" ht="15.75" customHeight="1" x14ac:dyDescent="0.25">
      <c r="A132" s="26">
        <v>130</v>
      </c>
      <c r="B132" s="4">
        <v>131</v>
      </c>
      <c r="C132" s="4">
        <v>0.2576</v>
      </c>
      <c r="D132" s="4">
        <v>0.38</v>
      </c>
      <c r="E132" s="4">
        <v>0.16420000000000001</v>
      </c>
      <c r="F132" s="4">
        <v>12</v>
      </c>
      <c r="G132" s="4">
        <v>74</v>
      </c>
      <c r="H132" s="8">
        <v>86</v>
      </c>
    </row>
    <row r="133" spans="1:8" ht="15.75" customHeight="1" x14ac:dyDescent="0.25">
      <c r="A133" s="26">
        <v>131</v>
      </c>
      <c r="B133" s="4">
        <v>132</v>
      </c>
      <c r="C133" s="4">
        <v>0.2273</v>
      </c>
      <c r="D133" s="4">
        <v>0.51</v>
      </c>
      <c r="E133" s="4">
        <v>0.16420000000000001</v>
      </c>
      <c r="F133" s="4">
        <v>9</v>
      </c>
      <c r="G133" s="4">
        <v>163</v>
      </c>
      <c r="H133" s="8">
        <v>172</v>
      </c>
    </row>
    <row r="134" spans="1:8" ht="15.75" customHeight="1" x14ac:dyDescent="0.25">
      <c r="A134" s="26">
        <v>132</v>
      </c>
      <c r="B134" s="4">
        <v>133</v>
      </c>
      <c r="C134" s="4">
        <v>0.2273</v>
      </c>
      <c r="D134" s="4">
        <v>0.51</v>
      </c>
      <c r="E134" s="4">
        <v>0.1343</v>
      </c>
      <c r="F134" s="4">
        <v>5</v>
      </c>
      <c r="G134" s="4">
        <v>158</v>
      </c>
      <c r="H134" s="8">
        <v>163</v>
      </c>
    </row>
    <row r="135" spans="1:8" ht="15.75" customHeight="1" x14ac:dyDescent="0.25">
      <c r="A135" s="26">
        <v>133</v>
      </c>
      <c r="B135" s="4">
        <v>134</v>
      </c>
      <c r="C135" s="4">
        <v>0.2576</v>
      </c>
      <c r="D135" s="4">
        <v>0.55000000000000004</v>
      </c>
      <c r="E135" s="4">
        <v>8.9599999999999999E-2</v>
      </c>
      <c r="F135" s="4">
        <v>3</v>
      </c>
      <c r="G135" s="4">
        <v>109</v>
      </c>
      <c r="H135" s="8">
        <v>112</v>
      </c>
    </row>
    <row r="136" spans="1:8" ht="15.75" customHeight="1" x14ac:dyDescent="0.25">
      <c r="A136" s="26">
        <v>134</v>
      </c>
      <c r="B136" s="4">
        <v>135</v>
      </c>
      <c r="C136" s="4">
        <v>0.21210000000000001</v>
      </c>
      <c r="D136" s="4">
        <v>0.51</v>
      </c>
      <c r="E136" s="4">
        <v>0.16420000000000001</v>
      </c>
      <c r="F136" s="4">
        <v>3</v>
      </c>
      <c r="G136" s="4">
        <v>66</v>
      </c>
      <c r="H136" s="8">
        <v>69</v>
      </c>
    </row>
    <row r="137" spans="1:8" ht="15.75" customHeight="1" x14ac:dyDescent="0.25">
      <c r="A137" s="26">
        <v>135</v>
      </c>
      <c r="B137" s="4">
        <v>136</v>
      </c>
      <c r="C137" s="4">
        <v>0.21210000000000001</v>
      </c>
      <c r="D137" s="4">
        <v>0.55000000000000004</v>
      </c>
      <c r="E137" s="4">
        <v>0.22389999999999999</v>
      </c>
      <c r="F137" s="4">
        <v>0</v>
      </c>
      <c r="G137" s="4">
        <v>48</v>
      </c>
      <c r="H137" s="8">
        <v>48</v>
      </c>
    </row>
    <row r="138" spans="1:8" ht="15.75" customHeight="1" x14ac:dyDescent="0.25">
      <c r="A138" s="26">
        <v>136</v>
      </c>
      <c r="B138" s="4">
        <v>137</v>
      </c>
      <c r="C138" s="4">
        <v>0.21210000000000001</v>
      </c>
      <c r="D138" s="4">
        <v>0.51</v>
      </c>
      <c r="E138" s="4">
        <v>0.28360000000000002</v>
      </c>
      <c r="F138" s="4">
        <v>1</v>
      </c>
      <c r="G138" s="4">
        <v>51</v>
      </c>
      <c r="H138" s="8">
        <v>52</v>
      </c>
    </row>
    <row r="139" spans="1:8" ht="15.75" customHeight="1" x14ac:dyDescent="0.25">
      <c r="A139" s="26">
        <v>137</v>
      </c>
      <c r="B139" s="4">
        <v>138</v>
      </c>
      <c r="C139" s="4">
        <v>0.19700000000000001</v>
      </c>
      <c r="D139" s="4">
        <v>0.59</v>
      </c>
      <c r="E139" s="4">
        <v>0.19400000000000001</v>
      </c>
      <c r="F139" s="4">
        <v>4</v>
      </c>
      <c r="G139" s="4">
        <v>19</v>
      </c>
      <c r="H139" s="8">
        <v>23</v>
      </c>
    </row>
    <row r="140" spans="1:8" ht="15.75" customHeight="1" x14ac:dyDescent="0.25">
      <c r="A140" s="26">
        <v>138</v>
      </c>
      <c r="B140" s="4">
        <v>139</v>
      </c>
      <c r="C140" s="4">
        <v>0.19700000000000001</v>
      </c>
      <c r="D140" s="4">
        <v>0.64</v>
      </c>
      <c r="E140" s="4">
        <v>0.19400000000000001</v>
      </c>
      <c r="F140" s="4">
        <v>4</v>
      </c>
      <c r="G140" s="4">
        <v>13</v>
      </c>
      <c r="H140" s="8">
        <v>17</v>
      </c>
    </row>
    <row r="141" spans="1:8" ht="15.75" customHeight="1" x14ac:dyDescent="0.25">
      <c r="A141" s="26">
        <v>139</v>
      </c>
      <c r="B141" s="4">
        <v>140</v>
      </c>
      <c r="C141" s="4">
        <v>0.19700000000000001</v>
      </c>
      <c r="D141" s="4">
        <v>0.69</v>
      </c>
      <c r="E141" s="4">
        <v>0.22389999999999999</v>
      </c>
      <c r="F141" s="4">
        <v>2</v>
      </c>
      <c r="G141" s="4">
        <v>5</v>
      </c>
      <c r="H141" s="8">
        <v>7</v>
      </c>
    </row>
    <row r="142" spans="1:8" ht="15.75" customHeight="1" x14ac:dyDescent="0.25">
      <c r="A142" s="26">
        <v>140</v>
      </c>
      <c r="B142" s="4">
        <v>141</v>
      </c>
      <c r="C142" s="4">
        <v>0.19700000000000001</v>
      </c>
      <c r="D142" s="4">
        <v>0.69</v>
      </c>
      <c r="E142" s="4">
        <v>0.22389999999999999</v>
      </c>
      <c r="F142" s="4">
        <v>0</v>
      </c>
      <c r="G142" s="4">
        <v>1</v>
      </c>
      <c r="H142" s="8">
        <v>1</v>
      </c>
    </row>
    <row r="143" spans="1:8" ht="15.75" customHeight="1" x14ac:dyDescent="0.25">
      <c r="A143" s="26">
        <v>141</v>
      </c>
      <c r="B143" s="4">
        <v>142</v>
      </c>
      <c r="C143" s="4">
        <v>0.21210000000000001</v>
      </c>
      <c r="D143" s="4">
        <v>0.69</v>
      </c>
      <c r="E143" s="4">
        <v>0.1343</v>
      </c>
      <c r="F143" s="4">
        <v>0</v>
      </c>
      <c r="G143" s="4">
        <v>1</v>
      </c>
      <c r="H143" s="8">
        <v>1</v>
      </c>
    </row>
    <row r="144" spans="1:8" ht="15.75" customHeight="1" x14ac:dyDescent="0.25">
      <c r="A144" s="26">
        <v>142</v>
      </c>
      <c r="B144" s="4">
        <v>143</v>
      </c>
      <c r="C144" s="4">
        <v>0.2727</v>
      </c>
      <c r="D144" s="4">
        <v>0.55000000000000004</v>
      </c>
      <c r="E144" s="4">
        <v>0</v>
      </c>
      <c r="F144" s="4">
        <v>0</v>
      </c>
      <c r="G144" s="4">
        <v>5</v>
      </c>
      <c r="H144" s="8">
        <v>5</v>
      </c>
    </row>
    <row r="145" spans="1:8" ht="15.75" customHeight="1" x14ac:dyDescent="0.25">
      <c r="A145" s="26">
        <v>143</v>
      </c>
      <c r="B145" s="4">
        <v>144</v>
      </c>
      <c r="C145" s="4">
        <v>0.2576</v>
      </c>
      <c r="D145" s="4">
        <v>0.69</v>
      </c>
      <c r="E145" s="4">
        <v>0</v>
      </c>
      <c r="F145" s="4">
        <v>8</v>
      </c>
      <c r="G145" s="4">
        <v>26</v>
      </c>
      <c r="H145" s="8">
        <v>34</v>
      </c>
    </row>
    <row r="146" spans="1:8" ht="15.75" customHeight="1" x14ac:dyDescent="0.25">
      <c r="A146" s="26">
        <v>144</v>
      </c>
      <c r="B146" s="4">
        <v>145</v>
      </c>
      <c r="C146" s="4">
        <v>0.21210000000000001</v>
      </c>
      <c r="D146" s="4">
        <v>0.69</v>
      </c>
      <c r="E146" s="4">
        <v>0.1343</v>
      </c>
      <c r="F146" s="4">
        <v>8</v>
      </c>
      <c r="G146" s="4">
        <v>76</v>
      </c>
      <c r="H146" s="8">
        <v>84</v>
      </c>
    </row>
    <row r="147" spans="1:8" ht="15.75" customHeight="1" x14ac:dyDescent="0.25">
      <c r="A147" s="26">
        <v>145</v>
      </c>
      <c r="B147" s="4">
        <v>146</v>
      </c>
      <c r="C147" s="4">
        <v>0.19700000000000001</v>
      </c>
      <c r="D147" s="4">
        <v>0.51</v>
      </c>
      <c r="E147" s="4">
        <v>0.25369999999999998</v>
      </c>
      <c r="F147" s="4">
        <v>20</v>
      </c>
      <c r="G147" s="4">
        <v>190</v>
      </c>
      <c r="H147" s="8">
        <v>210</v>
      </c>
    </row>
    <row r="148" spans="1:8" ht="15.75" customHeight="1" x14ac:dyDescent="0.25">
      <c r="A148" s="26">
        <v>146</v>
      </c>
      <c r="B148" s="4">
        <v>147</v>
      </c>
      <c r="C148" s="4">
        <v>0.18179999999999999</v>
      </c>
      <c r="D148" s="4">
        <v>0.47</v>
      </c>
      <c r="E148" s="4">
        <v>0.29849999999999999</v>
      </c>
      <c r="F148" s="4">
        <v>9</v>
      </c>
      <c r="G148" s="4">
        <v>125</v>
      </c>
      <c r="H148" s="8">
        <v>134</v>
      </c>
    </row>
    <row r="149" spans="1:8" ht="15.75" customHeight="1" x14ac:dyDescent="0.25">
      <c r="A149" s="26">
        <v>147</v>
      </c>
      <c r="B149" s="4">
        <v>148</v>
      </c>
      <c r="C149" s="4">
        <v>0.19700000000000001</v>
      </c>
      <c r="D149" s="4">
        <v>0.37</v>
      </c>
      <c r="E149" s="4">
        <v>0.32840000000000003</v>
      </c>
      <c r="F149" s="4">
        <v>16</v>
      </c>
      <c r="G149" s="4">
        <v>47</v>
      </c>
      <c r="H149" s="8">
        <v>63</v>
      </c>
    </row>
    <row r="150" spans="1:8" ht="15.75" customHeight="1" x14ac:dyDescent="0.25">
      <c r="A150" s="26">
        <v>148</v>
      </c>
      <c r="B150" s="4">
        <v>149</v>
      </c>
      <c r="C150" s="4">
        <v>0.19700000000000001</v>
      </c>
      <c r="D150" s="4">
        <v>0.4</v>
      </c>
      <c r="E150" s="4">
        <v>0.22389999999999999</v>
      </c>
      <c r="F150" s="4">
        <v>19</v>
      </c>
      <c r="G150" s="4">
        <v>48</v>
      </c>
      <c r="H150" s="8">
        <v>67</v>
      </c>
    </row>
    <row r="151" spans="1:8" ht="15.75" customHeight="1" x14ac:dyDescent="0.25">
      <c r="A151" s="26">
        <v>149</v>
      </c>
      <c r="B151" s="4">
        <v>150</v>
      </c>
      <c r="C151" s="4">
        <v>0.19700000000000001</v>
      </c>
      <c r="D151" s="4">
        <v>0.37</v>
      </c>
      <c r="E151" s="4">
        <v>0.25369999999999998</v>
      </c>
      <c r="F151" s="4">
        <v>9</v>
      </c>
      <c r="G151" s="4">
        <v>50</v>
      </c>
      <c r="H151" s="8">
        <v>59</v>
      </c>
    </row>
    <row r="152" spans="1:8" ht="15.75" customHeight="1" x14ac:dyDescent="0.25">
      <c r="A152" s="26">
        <v>150</v>
      </c>
      <c r="B152" s="4">
        <v>151</v>
      </c>
      <c r="C152" s="4">
        <v>0.18179999999999999</v>
      </c>
      <c r="D152" s="4">
        <v>0.37</v>
      </c>
      <c r="E152" s="4">
        <v>0.28360000000000002</v>
      </c>
      <c r="F152" s="4">
        <v>9</v>
      </c>
      <c r="G152" s="4">
        <v>64</v>
      </c>
      <c r="H152" s="8">
        <v>73</v>
      </c>
    </row>
    <row r="153" spans="1:8" ht="15.75" customHeight="1" x14ac:dyDescent="0.25">
      <c r="A153" s="26">
        <v>151</v>
      </c>
      <c r="B153" s="4">
        <v>152</v>
      </c>
      <c r="C153" s="4">
        <v>0.19700000000000001</v>
      </c>
      <c r="D153" s="4">
        <v>0.4</v>
      </c>
      <c r="E153" s="4">
        <v>0.25369999999999998</v>
      </c>
      <c r="F153" s="4">
        <v>7</v>
      </c>
      <c r="G153" s="4">
        <v>43</v>
      </c>
      <c r="H153" s="8">
        <v>50</v>
      </c>
    </row>
    <row r="154" spans="1:8" ht="15.75" customHeight="1" x14ac:dyDescent="0.25">
      <c r="A154" s="26">
        <v>152</v>
      </c>
      <c r="B154" s="4">
        <v>153</v>
      </c>
      <c r="C154" s="4">
        <v>0.21210000000000001</v>
      </c>
      <c r="D154" s="4">
        <v>0.37</v>
      </c>
      <c r="E154" s="4">
        <v>0.16420000000000001</v>
      </c>
      <c r="F154" s="4">
        <v>9</v>
      </c>
      <c r="G154" s="4">
        <v>63</v>
      </c>
      <c r="H154" s="8">
        <v>72</v>
      </c>
    </row>
    <row r="155" spans="1:8" ht="15.75" customHeight="1" x14ac:dyDescent="0.25">
      <c r="A155" s="26">
        <v>153</v>
      </c>
      <c r="B155" s="4">
        <v>154</v>
      </c>
      <c r="C155" s="4">
        <v>0.21210000000000001</v>
      </c>
      <c r="D155" s="4">
        <v>0.37</v>
      </c>
      <c r="E155" s="4">
        <v>0.16420000000000001</v>
      </c>
      <c r="F155" s="4">
        <v>5</v>
      </c>
      <c r="G155" s="4">
        <v>82</v>
      </c>
      <c r="H155" s="8">
        <v>87</v>
      </c>
    </row>
    <row r="156" spans="1:8" ht="15.75" customHeight="1" x14ac:dyDescent="0.25">
      <c r="A156" s="26">
        <v>154</v>
      </c>
      <c r="B156" s="4">
        <v>155</v>
      </c>
      <c r="C156" s="4">
        <v>0.2576</v>
      </c>
      <c r="D156" s="4">
        <v>0.37</v>
      </c>
      <c r="E156" s="4">
        <v>0</v>
      </c>
      <c r="F156" s="4">
        <v>9</v>
      </c>
      <c r="G156" s="4">
        <v>178</v>
      </c>
      <c r="H156" s="8">
        <v>187</v>
      </c>
    </row>
    <row r="157" spans="1:8" ht="15.75" customHeight="1" x14ac:dyDescent="0.25">
      <c r="A157" s="26">
        <v>155</v>
      </c>
      <c r="B157" s="4">
        <v>156</v>
      </c>
      <c r="C157" s="4">
        <v>0.2273</v>
      </c>
      <c r="D157" s="4">
        <v>0.4</v>
      </c>
      <c r="E157" s="4">
        <v>8.9599999999999999E-2</v>
      </c>
      <c r="F157" s="4">
        <v>7</v>
      </c>
      <c r="G157" s="4">
        <v>116</v>
      </c>
      <c r="H157" s="8">
        <v>123</v>
      </c>
    </row>
    <row r="158" spans="1:8" ht="15.75" customHeight="1" x14ac:dyDescent="0.25">
      <c r="A158" s="26">
        <v>156</v>
      </c>
      <c r="B158" s="4">
        <v>157</v>
      </c>
      <c r="C158" s="4">
        <v>0.19700000000000001</v>
      </c>
      <c r="D158" s="4">
        <v>0.55000000000000004</v>
      </c>
      <c r="E158" s="4">
        <v>8.9599999999999999E-2</v>
      </c>
      <c r="F158" s="4">
        <v>3</v>
      </c>
      <c r="G158" s="4">
        <v>92</v>
      </c>
      <c r="H158" s="8">
        <v>95</v>
      </c>
    </row>
    <row r="159" spans="1:8" ht="15.75" customHeight="1" x14ac:dyDescent="0.25">
      <c r="A159" s="26">
        <v>157</v>
      </c>
      <c r="B159" s="4">
        <v>158</v>
      </c>
      <c r="C159" s="4">
        <v>0.21210000000000001</v>
      </c>
      <c r="D159" s="4">
        <v>0.47</v>
      </c>
      <c r="E159" s="4">
        <v>0.1045</v>
      </c>
      <c r="F159" s="4">
        <v>1</v>
      </c>
      <c r="G159" s="4">
        <v>50</v>
      </c>
      <c r="H159" s="8">
        <v>51</v>
      </c>
    </row>
    <row r="160" spans="1:8" ht="15.75" customHeight="1" x14ac:dyDescent="0.25">
      <c r="A160" s="26">
        <v>158</v>
      </c>
      <c r="B160" s="4">
        <v>159</v>
      </c>
      <c r="C160" s="4">
        <v>0.19700000000000001</v>
      </c>
      <c r="D160" s="4">
        <v>0.47</v>
      </c>
      <c r="E160" s="4">
        <v>0.1343</v>
      </c>
      <c r="F160" s="4">
        <v>0</v>
      </c>
      <c r="G160" s="4">
        <v>39</v>
      </c>
      <c r="H160" s="8">
        <v>39</v>
      </c>
    </row>
    <row r="161" spans="1:8" ht="15.75" customHeight="1" x14ac:dyDescent="0.25">
      <c r="A161" s="26">
        <v>159</v>
      </c>
      <c r="B161" s="4">
        <v>160</v>
      </c>
      <c r="C161" s="4">
        <v>0.19700000000000001</v>
      </c>
      <c r="D161" s="4">
        <v>0.43</v>
      </c>
      <c r="E161" s="4">
        <v>0.16420000000000001</v>
      </c>
      <c r="F161" s="4">
        <v>2</v>
      </c>
      <c r="G161" s="4">
        <v>34</v>
      </c>
      <c r="H161" s="8">
        <v>36</v>
      </c>
    </row>
    <row r="162" spans="1:8" ht="15.75" customHeight="1" x14ac:dyDescent="0.25">
      <c r="A162" s="26">
        <v>160</v>
      </c>
      <c r="B162" s="4">
        <v>161</v>
      </c>
      <c r="C162" s="4">
        <v>0.19700000000000001</v>
      </c>
      <c r="D162" s="4">
        <v>0.51</v>
      </c>
      <c r="E162" s="4">
        <v>0.16420000000000001</v>
      </c>
      <c r="F162" s="4">
        <v>1</v>
      </c>
      <c r="G162" s="4">
        <v>14</v>
      </c>
      <c r="H162" s="8">
        <v>15</v>
      </c>
    </row>
    <row r="163" spans="1:8" ht="15.75" customHeight="1" x14ac:dyDescent="0.25">
      <c r="A163" s="26">
        <v>161</v>
      </c>
      <c r="B163" s="4">
        <v>162</v>
      </c>
      <c r="C163" s="4">
        <v>0.19700000000000001</v>
      </c>
      <c r="D163" s="4">
        <v>0.51</v>
      </c>
      <c r="E163" s="4">
        <v>0.16420000000000001</v>
      </c>
      <c r="F163" s="4">
        <v>1</v>
      </c>
      <c r="G163" s="4">
        <v>24</v>
      </c>
      <c r="H163" s="8">
        <v>25</v>
      </c>
    </row>
    <row r="164" spans="1:8" ht="15.75" customHeight="1" x14ac:dyDescent="0.25">
      <c r="A164" s="26">
        <v>162</v>
      </c>
      <c r="B164" s="4">
        <v>163</v>
      </c>
      <c r="C164" s="4">
        <v>0.21210000000000001</v>
      </c>
      <c r="D164" s="4">
        <v>0.55000000000000004</v>
      </c>
      <c r="E164" s="4">
        <v>8.9599999999999999E-2</v>
      </c>
      <c r="F164" s="4">
        <v>1</v>
      </c>
      <c r="G164" s="4">
        <v>15</v>
      </c>
      <c r="H164" s="8">
        <v>16</v>
      </c>
    </row>
    <row r="165" spans="1:8" ht="15.75" customHeight="1" x14ac:dyDescent="0.25">
      <c r="A165" s="26">
        <v>163</v>
      </c>
      <c r="B165" s="4">
        <v>164</v>
      </c>
      <c r="C165" s="4">
        <v>0.2424</v>
      </c>
      <c r="D165" s="4">
        <v>0.55000000000000004</v>
      </c>
      <c r="E165" s="4">
        <v>0</v>
      </c>
      <c r="F165" s="4">
        <v>3</v>
      </c>
      <c r="G165" s="4">
        <v>13</v>
      </c>
      <c r="H165" s="8">
        <v>16</v>
      </c>
    </row>
    <row r="166" spans="1:8" ht="15.75" customHeight="1" x14ac:dyDescent="0.25">
      <c r="A166" s="26">
        <v>164</v>
      </c>
      <c r="B166" s="4">
        <v>165</v>
      </c>
      <c r="C166" s="4">
        <v>0.19700000000000001</v>
      </c>
      <c r="D166" s="4">
        <v>0.55000000000000004</v>
      </c>
      <c r="E166" s="4">
        <v>0.16420000000000001</v>
      </c>
      <c r="F166" s="4">
        <v>0</v>
      </c>
      <c r="G166" s="4">
        <v>7</v>
      </c>
      <c r="H166" s="8">
        <v>7</v>
      </c>
    </row>
    <row r="167" spans="1:8" ht="15.75" customHeight="1" x14ac:dyDescent="0.25">
      <c r="A167" s="26">
        <v>165</v>
      </c>
      <c r="B167" s="4">
        <v>166</v>
      </c>
      <c r="C167" s="4">
        <v>0.19700000000000001</v>
      </c>
      <c r="D167" s="4">
        <v>0.55000000000000004</v>
      </c>
      <c r="E167" s="4">
        <v>0.16420000000000001</v>
      </c>
      <c r="F167" s="4">
        <v>0</v>
      </c>
      <c r="G167" s="4">
        <v>1</v>
      </c>
      <c r="H167" s="8">
        <v>1</v>
      </c>
    </row>
    <row r="168" spans="1:8" ht="15.75" customHeight="1" x14ac:dyDescent="0.25">
      <c r="A168" s="26">
        <v>166</v>
      </c>
      <c r="B168" s="4">
        <v>167</v>
      </c>
      <c r="C168" s="4">
        <v>0.16669999999999999</v>
      </c>
      <c r="D168" s="4">
        <v>0.74</v>
      </c>
      <c r="E168" s="4">
        <v>0.16420000000000001</v>
      </c>
      <c r="F168" s="4">
        <v>0</v>
      </c>
      <c r="G168" s="4">
        <v>5</v>
      </c>
      <c r="H168" s="8">
        <v>5</v>
      </c>
    </row>
    <row r="169" spans="1:8" ht="15.75" customHeight="1" x14ac:dyDescent="0.25">
      <c r="A169" s="26">
        <v>167</v>
      </c>
      <c r="B169" s="4">
        <v>168</v>
      </c>
      <c r="C169" s="4">
        <v>0.16669999999999999</v>
      </c>
      <c r="D169" s="4">
        <v>0.74</v>
      </c>
      <c r="E169" s="4">
        <v>0.16420000000000001</v>
      </c>
      <c r="F169" s="4">
        <v>0</v>
      </c>
      <c r="G169" s="4">
        <v>2</v>
      </c>
      <c r="H169" s="8">
        <v>2</v>
      </c>
    </row>
    <row r="170" spans="1:8" ht="15.75" customHeight="1" x14ac:dyDescent="0.25">
      <c r="A170" s="26">
        <v>168</v>
      </c>
      <c r="B170" s="4">
        <v>169</v>
      </c>
      <c r="C170" s="4">
        <v>0.18179999999999999</v>
      </c>
      <c r="D170" s="4">
        <v>0.74</v>
      </c>
      <c r="E170" s="4">
        <v>0.1045</v>
      </c>
      <c r="F170" s="4">
        <v>1</v>
      </c>
      <c r="G170" s="4">
        <v>8</v>
      </c>
      <c r="H170" s="8">
        <v>9</v>
      </c>
    </row>
    <row r="171" spans="1:8" ht="15.75" customHeight="1" x14ac:dyDescent="0.25">
      <c r="A171" s="26">
        <v>169</v>
      </c>
      <c r="B171" s="4">
        <v>170</v>
      </c>
      <c r="C171" s="4">
        <v>0.18179999999999999</v>
      </c>
      <c r="D171" s="4">
        <v>0.93</v>
      </c>
      <c r="E171" s="4">
        <v>0.1045</v>
      </c>
      <c r="F171" s="4">
        <v>0</v>
      </c>
      <c r="G171" s="4">
        <v>15</v>
      </c>
      <c r="H171" s="8">
        <v>15</v>
      </c>
    </row>
    <row r="172" spans="1:8" ht="15.75" customHeight="1" x14ac:dyDescent="0.25">
      <c r="A172" s="26">
        <v>170</v>
      </c>
      <c r="B172" s="4">
        <v>171</v>
      </c>
      <c r="C172" s="4">
        <v>0.18179999999999999</v>
      </c>
      <c r="D172" s="4">
        <v>0.93</v>
      </c>
      <c r="E172" s="4">
        <v>0.1045</v>
      </c>
      <c r="F172" s="4">
        <v>0</v>
      </c>
      <c r="G172" s="4">
        <v>20</v>
      </c>
      <c r="H172" s="8">
        <v>20</v>
      </c>
    </row>
    <row r="173" spans="1:8" ht="15.75" customHeight="1" x14ac:dyDescent="0.25">
      <c r="A173" s="26">
        <v>171</v>
      </c>
      <c r="B173" s="4">
        <v>172</v>
      </c>
      <c r="C173" s="4">
        <v>0.19700000000000001</v>
      </c>
      <c r="D173" s="4">
        <v>0.8</v>
      </c>
      <c r="E173" s="4">
        <v>0.16420000000000001</v>
      </c>
      <c r="F173" s="4">
        <v>5</v>
      </c>
      <c r="G173" s="4">
        <v>56</v>
      </c>
      <c r="H173" s="8">
        <v>61</v>
      </c>
    </row>
    <row r="174" spans="1:8" ht="15.75" customHeight="1" x14ac:dyDescent="0.25">
      <c r="A174" s="26">
        <v>172</v>
      </c>
      <c r="B174" s="4">
        <v>173</v>
      </c>
      <c r="C174" s="4">
        <v>0.18179999999999999</v>
      </c>
      <c r="D174" s="4">
        <v>0.69</v>
      </c>
      <c r="E174" s="4">
        <v>0.3881</v>
      </c>
      <c r="F174" s="4">
        <v>2</v>
      </c>
      <c r="G174" s="4">
        <v>60</v>
      </c>
      <c r="H174" s="8">
        <v>62</v>
      </c>
    </row>
    <row r="175" spans="1:8" ht="15.75" customHeight="1" x14ac:dyDescent="0.25">
      <c r="A175" s="26">
        <v>173</v>
      </c>
      <c r="B175" s="4">
        <v>174</v>
      </c>
      <c r="C175" s="4">
        <v>0.18179999999999999</v>
      </c>
      <c r="D175" s="4">
        <v>0.59</v>
      </c>
      <c r="E175" s="4">
        <v>0.35820000000000002</v>
      </c>
      <c r="F175" s="4">
        <v>8</v>
      </c>
      <c r="G175" s="4">
        <v>90</v>
      </c>
      <c r="H175" s="8">
        <v>98</v>
      </c>
    </row>
    <row r="176" spans="1:8" ht="15.75" customHeight="1" x14ac:dyDescent="0.25">
      <c r="A176" s="26">
        <v>174</v>
      </c>
      <c r="B176" s="4">
        <v>175</v>
      </c>
      <c r="C176" s="4">
        <v>0.18179999999999999</v>
      </c>
      <c r="D176" s="4">
        <v>0.44</v>
      </c>
      <c r="E176" s="4">
        <v>0.32840000000000003</v>
      </c>
      <c r="F176" s="4">
        <v>7</v>
      </c>
      <c r="G176" s="4">
        <v>95</v>
      </c>
      <c r="H176" s="8">
        <v>102</v>
      </c>
    </row>
    <row r="177" spans="1:8" ht="15.75" customHeight="1" x14ac:dyDescent="0.25">
      <c r="A177" s="26">
        <v>175</v>
      </c>
      <c r="B177" s="4">
        <v>176</v>
      </c>
      <c r="C177" s="4">
        <v>0.16669999999999999</v>
      </c>
      <c r="D177" s="4">
        <v>0.32</v>
      </c>
      <c r="E177" s="4">
        <v>0.49249999999999999</v>
      </c>
      <c r="F177" s="4">
        <v>12</v>
      </c>
      <c r="G177" s="4">
        <v>83</v>
      </c>
      <c r="H177" s="8">
        <v>95</v>
      </c>
    </row>
    <row r="178" spans="1:8" ht="15.75" customHeight="1" x14ac:dyDescent="0.25">
      <c r="A178" s="26">
        <v>176</v>
      </c>
      <c r="B178" s="4">
        <v>177</v>
      </c>
      <c r="C178" s="4">
        <v>0.16669999999999999</v>
      </c>
      <c r="D178" s="4">
        <v>0.32</v>
      </c>
      <c r="E178" s="4">
        <v>0.44779999999999998</v>
      </c>
      <c r="F178" s="4">
        <v>5</v>
      </c>
      <c r="G178" s="4">
        <v>69</v>
      </c>
      <c r="H178" s="8">
        <v>74</v>
      </c>
    </row>
    <row r="179" spans="1:8" ht="15.75" customHeight="1" x14ac:dyDescent="0.25">
      <c r="A179" s="26">
        <v>177</v>
      </c>
      <c r="B179" s="4">
        <v>178</v>
      </c>
      <c r="C179" s="4">
        <v>0.13639999999999999</v>
      </c>
      <c r="D179" s="4">
        <v>0.28999999999999998</v>
      </c>
      <c r="E179" s="4">
        <v>0.44779999999999998</v>
      </c>
      <c r="F179" s="4">
        <v>8</v>
      </c>
      <c r="G179" s="4">
        <v>68</v>
      </c>
      <c r="H179" s="8">
        <v>76</v>
      </c>
    </row>
    <row r="180" spans="1:8" ht="15.75" customHeight="1" x14ac:dyDescent="0.25">
      <c r="A180" s="26">
        <v>178</v>
      </c>
      <c r="B180" s="4">
        <v>179</v>
      </c>
      <c r="C180" s="4">
        <v>0.1212</v>
      </c>
      <c r="D180" s="4">
        <v>0.37</v>
      </c>
      <c r="E180" s="4">
        <v>0.55220000000000002</v>
      </c>
      <c r="F180" s="4">
        <v>5</v>
      </c>
      <c r="G180" s="4">
        <v>64</v>
      </c>
      <c r="H180" s="8">
        <v>69</v>
      </c>
    </row>
    <row r="181" spans="1:8" ht="15.75" customHeight="1" x14ac:dyDescent="0.25">
      <c r="A181" s="26">
        <v>179</v>
      </c>
      <c r="B181" s="4">
        <v>180</v>
      </c>
      <c r="C181" s="4">
        <v>0.1212</v>
      </c>
      <c r="D181" s="4">
        <v>0.39</v>
      </c>
      <c r="E181" s="4">
        <v>0.29849999999999999</v>
      </c>
      <c r="F181" s="4">
        <v>3</v>
      </c>
      <c r="G181" s="4">
        <v>52</v>
      </c>
      <c r="H181" s="8">
        <v>55</v>
      </c>
    </row>
    <row r="182" spans="1:8" ht="15.75" customHeight="1" x14ac:dyDescent="0.25">
      <c r="A182" s="26">
        <v>180</v>
      </c>
      <c r="B182" s="4">
        <v>181</v>
      </c>
      <c r="C182" s="4">
        <v>0.1212</v>
      </c>
      <c r="D182" s="4">
        <v>0.36</v>
      </c>
      <c r="E182" s="4">
        <v>0.25369999999999998</v>
      </c>
      <c r="F182" s="4">
        <v>4</v>
      </c>
      <c r="G182" s="4">
        <v>26</v>
      </c>
      <c r="H182" s="8">
        <v>30</v>
      </c>
    </row>
    <row r="183" spans="1:8" ht="15.75" customHeight="1" x14ac:dyDescent="0.25">
      <c r="A183" s="26">
        <v>181</v>
      </c>
      <c r="B183" s="4">
        <v>182</v>
      </c>
      <c r="C183" s="4">
        <v>0.1212</v>
      </c>
      <c r="D183" s="4">
        <v>0.36</v>
      </c>
      <c r="E183" s="4">
        <v>0.25369999999999998</v>
      </c>
      <c r="F183" s="4">
        <v>0</v>
      </c>
      <c r="G183" s="4">
        <v>28</v>
      </c>
      <c r="H183" s="8">
        <v>28</v>
      </c>
    </row>
    <row r="184" spans="1:8" ht="15.75" customHeight="1" x14ac:dyDescent="0.25">
      <c r="A184" s="26">
        <v>182</v>
      </c>
      <c r="B184" s="4">
        <v>183</v>
      </c>
      <c r="C184" s="4">
        <v>0.1061</v>
      </c>
      <c r="D184" s="4">
        <v>0.39</v>
      </c>
      <c r="E184" s="4">
        <v>0.35820000000000002</v>
      </c>
      <c r="F184" s="4">
        <v>2</v>
      </c>
      <c r="G184" s="4">
        <v>35</v>
      </c>
      <c r="H184" s="8">
        <v>37</v>
      </c>
    </row>
    <row r="185" spans="1:8" ht="15.75" customHeight="1" x14ac:dyDescent="0.25">
      <c r="A185" s="26">
        <v>183</v>
      </c>
      <c r="B185" s="4">
        <v>184</v>
      </c>
      <c r="C185" s="4">
        <v>0.1061</v>
      </c>
      <c r="D185" s="4">
        <v>0.36</v>
      </c>
      <c r="E185" s="4">
        <v>0.3881</v>
      </c>
      <c r="F185" s="4">
        <v>1</v>
      </c>
      <c r="G185" s="4">
        <v>33</v>
      </c>
      <c r="H185" s="8">
        <v>34</v>
      </c>
    </row>
    <row r="186" spans="1:8" ht="15.75" customHeight="1" x14ac:dyDescent="0.25">
      <c r="A186" s="26">
        <v>184</v>
      </c>
      <c r="B186" s="4">
        <v>185</v>
      </c>
      <c r="C186" s="4">
        <v>6.0600000000000001E-2</v>
      </c>
      <c r="D186" s="4">
        <v>0.39</v>
      </c>
      <c r="E186" s="4">
        <v>0.44779999999999998</v>
      </c>
      <c r="F186" s="4">
        <v>0</v>
      </c>
      <c r="G186" s="4">
        <v>22</v>
      </c>
      <c r="H186" s="8">
        <v>22</v>
      </c>
    </row>
    <row r="187" spans="1:8" ht="15.75" customHeight="1" x14ac:dyDescent="0.25">
      <c r="A187" s="26">
        <v>185</v>
      </c>
      <c r="B187" s="4">
        <v>186</v>
      </c>
      <c r="C187" s="4">
        <v>7.5800000000000006E-2</v>
      </c>
      <c r="D187" s="4">
        <v>0.42</v>
      </c>
      <c r="E187" s="4">
        <v>0.3881</v>
      </c>
      <c r="F187" s="4">
        <v>1</v>
      </c>
      <c r="G187" s="4">
        <v>24</v>
      </c>
      <c r="H187" s="8">
        <v>25</v>
      </c>
    </row>
    <row r="188" spans="1:8" ht="15.75" customHeight="1" x14ac:dyDescent="0.25">
      <c r="A188" s="26">
        <v>186</v>
      </c>
      <c r="B188" s="4">
        <v>187</v>
      </c>
      <c r="C188" s="4">
        <v>6.0600000000000001E-2</v>
      </c>
      <c r="D188" s="4">
        <v>0.42</v>
      </c>
      <c r="E188" s="4">
        <v>0.4627</v>
      </c>
      <c r="F188" s="4">
        <v>0</v>
      </c>
      <c r="G188" s="4">
        <v>12</v>
      </c>
      <c r="H188" s="8">
        <v>12</v>
      </c>
    </row>
    <row r="189" spans="1:8" ht="15.75" customHeight="1" x14ac:dyDescent="0.25">
      <c r="A189" s="26">
        <v>187</v>
      </c>
      <c r="B189" s="4">
        <v>188</v>
      </c>
      <c r="C189" s="4">
        <v>6.0600000000000001E-2</v>
      </c>
      <c r="D189" s="4">
        <v>0.46</v>
      </c>
      <c r="E189" s="4">
        <v>0.4627</v>
      </c>
      <c r="F189" s="4">
        <v>0</v>
      </c>
      <c r="G189" s="4">
        <v>11</v>
      </c>
      <c r="H189" s="8">
        <v>11</v>
      </c>
    </row>
    <row r="190" spans="1:8" ht="15.75" customHeight="1" x14ac:dyDescent="0.25">
      <c r="A190" s="26">
        <v>188</v>
      </c>
      <c r="B190" s="4">
        <v>189</v>
      </c>
      <c r="C190" s="4">
        <v>7.5800000000000006E-2</v>
      </c>
      <c r="D190" s="4">
        <v>0.46</v>
      </c>
      <c r="E190" s="4">
        <v>0.41789999999999999</v>
      </c>
      <c r="F190" s="4">
        <v>0</v>
      </c>
      <c r="G190" s="4">
        <v>4</v>
      </c>
      <c r="H190" s="8">
        <v>4</v>
      </c>
    </row>
    <row r="191" spans="1:8" ht="15.75" customHeight="1" x14ac:dyDescent="0.25">
      <c r="A191" s="26">
        <v>189</v>
      </c>
      <c r="B191" s="4">
        <v>190</v>
      </c>
      <c r="C191" s="4">
        <v>9.0899999999999995E-2</v>
      </c>
      <c r="D191" s="4">
        <v>0.53</v>
      </c>
      <c r="E191" s="4">
        <v>0.19400000000000001</v>
      </c>
      <c r="F191" s="4">
        <v>0</v>
      </c>
      <c r="G191" s="4">
        <v>1</v>
      </c>
      <c r="H191" s="8">
        <v>1</v>
      </c>
    </row>
    <row r="192" spans="1:8" ht="15.75" customHeight="1" x14ac:dyDescent="0.25">
      <c r="A192" s="26">
        <v>190</v>
      </c>
      <c r="B192" s="4">
        <v>191</v>
      </c>
      <c r="C192" s="4">
        <v>9.0899999999999995E-2</v>
      </c>
      <c r="D192" s="4">
        <v>0.53</v>
      </c>
      <c r="E192" s="4">
        <v>0.19400000000000001</v>
      </c>
      <c r="F192" s="4">
        <v>0</v>
      </c>
      <c r="G192" s="4">
        <v>1</v>
      </c>
      <c r="H192" s="8">
        <v>1</v>
      </c>
    </row>
    <row r="193" spans="1:8" ht="15.75" customHeight="1" x14ac:dyDescent="0.25">
      <c r="A193" s="26">
        <v>191</v>
      </c>
      <c r="B193" s="4">
        <v>192</v>
      </c>
      <c r="C193" s="4">
        <v>9.0899999999999995E-2</v>
      </c>
      <c r="D193" s="4">
        <v>0.49</v>
      </c>
      <c r="E193" s="4">
        <v>0.28360000000000002</v>
      </c>
      <c r="F193" s="4">
        <v>0</v>
      </c>
      <c r="G193" s="4">
        <v>1</v>
      </c>
      <c r="H193" s="8">
        <v>1</v>
      </c>
    </row>
    <row r="194" spans="1:8" ht="15.75" customHeight="1" x14ac:dyDescent="0.25">
      <c r="A194" s="26">
        <v>192</v>
      </c>
      <c r="B194" s="4">
        <v>193</v>
      </c>
      <c r="C194" s="4">
        <v>9.0899999999999995E-2</v>
      </c>
      <c r="D194" s="4">
        <v>0.53</v>
      </c>
      <c r="E194" s="4">
        <v>0.19400000000000001</v>
      </c>
      <c r="F194" s="4">
        <v>1</v>
      </c>
      <c r="G194" s="4">
        <v>5</v>
      </c>
      <c r="H194" s="8">
        <v>6</v>
      </c>
    </row>
    <row r="195" spans="1:8" ht="15.75" customHeight="1" x14ac:dyDescent="0.25">
      <c r="A195" s="26">
        <v>193</v>
      </c>
      <c r="B195" s="4">
        <v>194</v>
      </c>
      <c r="C195" s="4">
        <v>9.0899999999999995E-2</v>
      </c>
      <c r="D195" s="4">
        <v>0.49</v>
      </c>
      <c r="E195" s="4">
        <v>0.28360000000000002</v>
      </c>
      <c r="F195" s="4">
        <v>0</v>
      </c>
      <c r="G195" s="4">
        <v>10</v>
      </c>
      <c r="H195" s="8">
        <v>10</v>
      </c>
    </row>
    <row r="196" spans="1:8" ht="15.75" customHeight="1" x14ac:dyDescent="0.25">
      <c r="A196" s="26">
        <v>194</v>
      </c>
      <c r="B196" s="4">
        <v>195</v>
      </c>
      <c r="C196" s="4">
        <v>7.5800000000000006E-2</v>
      </c>
      <c r="D196" s="4">
        <v>0.46</v>
      </c>
      <c r="E196" s="4">
        <v>0.52239999999999998</v>
      </c>
      <c r="F196" s="4">
        <v>0</v>
      </c>
      <c r="G196" s="4">
        <v>19</v>
      </c>
      <c r="H196" s="8">
        <v>19</v>
      </c>
    </row>
    <row r="197" spans="1:8" ht="15.75" customHeight="1" x14ac:dyDescent="0.25">
      <c r="A197" s="26">
        <v>195</v>
      </c>
      <c r="B197" s="4">
        <v>196</v>
      </c>
      <c r="C197" s="4">
        <v>0.1061</v>
      </c>
      <c r="D197" s="4">
        <v>0.43</v>
      </c>
      <c r="E197" s="4">
        <v>0.3881</v>
      </c>
      <c r="F197" s="4">
        <v>0</v>
      </c>
      <c r="G197" s="4">
        <v>49</v>
      </c>
      <c r="H197" s="8">
        <v>49</v>
      </c>
    </row>
    <row r="198" spans="1:8" ht="15.75" customHeight="1" x14ac:dyDescent="0.25">
      <c r="A198" s="26">
        <v>196</v>
      </c>
      <c r="B198" s="4">
        <v>197</v>
      </c>
      <c r="C198" s="4">
        <v>0.1212</v>
      </c>
      <c r="D198" s="4">
        <v>0.4</v>
      </c>
      <c r="E198" s="4">
        <v>0.52239999999999998</v>
      </c>
      <c r="F198" s="4">
        <v>2</v>
      </c>
      <c r="G198" s="4">
        <v>47</v>
      </c>
      <c r="H198" s="8">
        <v>49</v>
      </c>
    </row>
    <row r="199" spans="1:8" ht="15.75" customHeight="1" x14ac:dyDescent="0.25">
      <c r="A199" s="26">
        <v>197</v>
      </c>
      <c r="B199" s="4">
        <v>198</v>
      </c>
      <c r="C199" s="4">
        <v>0.13639999999999999</v>
      </c>
      <c r="D199" s="4">
        <v>0.37</v>
      </c>
      <c r="E199" s="4">
        <v>0.44779999999999998</v>
      </c>
      <c r="F199" s="4">
        <v>4</v>
      </c>
      <c r="G199" s="4">
        <v>79</v>
      </c>
      <c r="H199" s="8">
        <v>83</v>
      </c>
    </row>
    <row r="200" spans="1:8" ht="15.75" customHeight="1" x14ac:dyDescent="0.25">
      <c r="A200" s="26">
        <v>198</v>
      </c>
      <c r="B200" s="4">
        <v>199</v>
      </c>
      <c r="C200" s="4">
        <v>0.16669999999999999</v>
      </c>
      <c r="D200" s="4">
        <v>0.34</v>
      </c>
      <c r="E200" s="4">
        <v>0.44779999999999998</v>
      </c>
      <c r="F200" s="4">
        <v>6</v>
      </c>
      <c r="G200" s="4">
        <v>69</v>
      </c>
      <c r="H200" s="8">
        <v>75</v>
      </c>
    </row>
    <row r="201" spans="1:8" ht="15.75" customHeight="1" x14ac:dyDescent="0.25">
      <c r="A201" s="26">
        <v>199</v>
      </c>
      <c r="B201" s="4">
        <v>200</v>
      </c>
      <c r="C201" s="4">
        <v>0.18179999999999999</v>
      </c>
      <c r="D201" s="4">
        <v>0.32</v>
      </c>
      <c r="E201" s="4">
        <v>0.4627</v>
      </c>
      <c r="F201" s="4">
        <v>8</v>
      </c>
      <c r="G201" s="4">
        <v>64</v>
      </c>
      <c r="H201" s="8">
        <v>72</v>
      </c>
    </row>
    <row r="202" spans="1:8" ht="15.75" customHeight="1" x14ac:dyDescent="0.25">
      <c r="A202" s="26">
        <v>200</v>
      </c>
      <c r="B202" s="4">
        <v>201</v>
      </c>
      <c r="C202" s="4">
        <v>0.19700000000000001</v>
      </c>
      <c r="D202" s="4">
        <v>0.35</v>
      </c>
      <c r="E202" s="4">
        <v>0.35820000000000002</v>
      </c>
      <c r="F202" s="4">
        <v>5</v>
      </c>
      <c r="G202" s="4">
        <v>77</v>
      </c>
      <c r="H202" s="8">
        <v>82</v>
      </c>
    </row>
    <row r="203" spans="1:8" ht="15.75" customHeight="1" x14ac:dyDescent="0.25">
      <c r="A203" s="26">
        <v>201</v>
      </c>
      <c r="B203" s="4">
        <v>202</v>
      </c>
      <c r="C203" s="4">
        <v>0.16669999999999999</v>
      </c>
      <c r="D203" s="4">
        <v>0.34</v>
      </c>
      <c r="E203" s="4">
        <v>0.44779999999999998</v>
      </c>
      <c r="F203" s="4">
        <v>13</v>
      </c>
      <c r="G203" s="4">
        <v>79</v>
      </c>
      <c r="H203" s="8">
        <v>92</v>
      </c>
    </row>
    <row r="204" spans="1:8" ht="15.75" customHeight="1" x14ac:dyDescent="0.25">
      <c r="A204" s="26">
        <v>202</v>
      </c>
      <c r="B204" s="4">
        <v>203</v>
      </c>
      <c r="C204" s="4">
        <v>0.1515</v>
      </c>
      <c r="D204" s="4">
        <v>0.37</v>
      </c>
      <c r="E204" s="4">
        <v>0.3881</v>
      </c>
      <c r="F204" s="4">
        <v>3</v>
      </c>
      <c r="G204" s="4">
        <v>59</v>
      </c>
      <c r="H204" s="8">
        <v>62</v>
      </c>
    </row>
    <row r="205" spans="1:8" ht="15.75" customHeight="1" x14ac:dyDescent="0.25">
      <c r="A205" s="26">
        <v>203</v>
      </c>
      <c r="B205" s="4">
        <v>204</v>
      </c>
      <c r="C205" s="4">
        <v>0.13639999999999999</v>
      </c>
      <c r="D205" s="4">
        <v>0.4</v>
      </c>
      <c r="E205" s="4">
        <v>0.32840000000000003</v>
      </c>
      <c r="F205" s="4">
        <v>4</v>
      </c>
      <c r="G205" s="4">
        <v>44</v>
      </c>
      <c r="H205" s="8">
        <v>48</v>
      </c>
    </row>
    <row r="206" spans="1:8" ht="15.75" customHeight="1" x14ac:dyDescent="0.25">
      <c r="A206" s="26">
        <v>204</v>
      </c>
      <c r="B206" s="4">
        <v>205</v>
      </c>
      <c r="C206" s="4">
        <v>0.13639999999999999</v>
      </c>
      <c r="D206" s="4">
        <v>0.43</v>
      </c>
      <c r="E206" s="4">
        <v>0.32840000000000003</v>
      </c>
      <c r="F206" s="4">
        <v>1</v>
      </c>
      <c r="G206" s="4">
        <v>40</v>
      </c>
      <c r="H206" s="8">
        <v>41</v>
      </c>
    </row>
    <row r="207" spans="1:8" ht="15.75" customHeight="1" x14ac:dyDescent="0.25">
      <c r="A207" s="26">
        <v>205</v>
      </c>
      <c r="B207" s="4">
        <v>206</v>
      </c>
      <c r="C207" s="4">
        <v>0.1212</v>
      </c>
      <c r="D207" s="4">
        <v>0.46</v>
      </c>
      <c r="E207" s="4">
        <v>0.25369999999999998</v>
      </c>
      <c r="F207" s="4">
        <v>0</v>
      </c>
      <c r="G207" s="4">
        <v>38</v>
      </c>
      <c r="H207" s="8">
        <v>38</v>
      </c>
    </row>
    <row r="208" spans="1:8" ht="15.75" customHeight="1" x14ac:dyDescent="0.25">
      <c r="A208" s="26">
        <v>206</v>
      </c>
      <c r="B208" s="4">
        <v>207</v>
      </c>
      <c r="C208" s="4">
        <v>0.1061</v>
      </c>
      <c r="D208" s="4">
        <v>0.46</v>
      </c>
      <c r="E208" s="4">
        <v>0.41789999999999999</v>
      </c>
      <c r="F208" s="4">
        <v>1</v>
      </c>
      <c r="G208" s="4">
        <v>19</v>
      </c>
      <c r="H208" s="8">
        <v>20</v>
      </c>
    </row>
    <row r="209" spans="1:8" ht="15.75" customHeight="1" x14ac:dyDescent="0.25">
      <c r="A209" s="26">
        <v>207</v>
      </c>
      <c r="B209" s="4">
        <v>208</v>
      </c>
      <c r="C209" s="4">
        <v>0.1212</v>
      </c>
      <c r="D209" s="4">
        <v>0.46</v>
      </c>
      <c r="E209" s="4">
        <v>0.29849999999999999</v>
      </c>
      <c r="F209" s="4">
        <v>5</v>
      </c>
      <c r="G209" s="4">
        <v>10</v>
      </c>
      <c r="H209" s="8">
        <v>15</v>
      </c>
    </row>
    <row r="210" spans="1:8" ht="15.75" customHeight="1" x14ac:dyDescent="0.25">
      <c r="A210" s="26">
        <v>208</v>
      </c>
      <c r="B210" s="4">
        <v>209</v>
      </c>
      <c r="C210" s="4">
        <v>0.13639999999999999</v>
      </c>
      <c r="D210" s="4">
        <v>0.5</v>
      </c>
      <c r="E210" s="4">
        <v>0.19400000000000001</v>
      </c>
      <c r="F210" s="4">
        <v>0</v>
      </c>
      <c r="G210" s="4">
        <v>6</v>
      </c>
      <c r="H210" s="8">
        <v>6</v>
      </c>
    </row>
    <row r="211" spans="1:8" ht="15.75" customHeight="1" x14ac:dyDescent="0.25">
      <c r="A211" s="26">
        <v>209</v>
      </c>
      <c r="B211" s="4">
        <v>210</v>
      </c>
      <c r="C211" s="4">
        <v>0.1212</v>
      </c>
      <c r="D211" s="4">
        <v>0.5</v>
      </c>
      <c r="E211" s="4">
        <v>0.28360000000000002</v>
      </c>
      <c r="F211" s="4">
        <v>2</v>
      </c>
      <c r="G211" s="4">
        <v>3</v>
      </c>
      <c r="H211" s="8">
        <v>5</v>
      </c>
    </row>
    <row r="212" spans="1:8" ht="15.75" customHeight="1" x14ac:dyDescent="0.25">
      <c r="A212" s="26">
        <v>210</v>
      </c>
      <c r="B212" s="4">
        <v>211</v>
      </c>
      <c r="C212" s="4">
        <v>0.1212</v>
      </c>
      <c r="D212" s="4">
        <v>0.5</v>
      </c>
      <c r="E212" s="4">
        <v>0.28360000000000002</v>
      </c>
      <c r="F212" s="4">
        <v>1</v>
      </c>
      <c r="G212" s="4">
        <v>0</v>
      </c>
      <c r="H212" s="8">
        <v>1</v>
      </c>
    </row>
    <row r="213" spans="1:8" ht="15.75" customHeight="1" x14ac:dyDescent="0.25">
      <c r="A213" s="26">
        <v>211</v>
      </c>
      <c r="B213" s="4">
        <v>212</v>
      </c>
      <c r="C213" s="4">
        <v>0.1212</v>
      </c>
      <c r="D213" s="4">
        <v>0.5</v>
      </c>
      <c r="E213" s="4">
        <v>0.22389999999999999</v>
      </c>
      <c r="F213" s="4">
        <v>0</v>
      </c>
      <c r="G213" s="4">
        <v>3</v>
      </c>
      <c r="H213" s="8">
        <v>3</v>
      </c>
    </row>
    <row r="214" spans="1:8" ht="15.75" customHeight="1" x14ac:dyDescent="0.25">
      <c r="A214" s="26">
        <v>212</v>
      </c>
      <c r="B214" s="4">
        <v>213</v>
      </c>
      <c r="C214" s="4">
        <v>0.1212</v>
      </c>
      <c r="D214" s="4">
        <v>0.5</v>
      </c>
      <c r="E214" s="4">
        <v>0.22389999999999999</v>
      </c>
      <c r="F214" s="4">
        <v>0</v>
      </c>
      <c r="G214" s="4">
        <v>1</v>
      </c>
      <c r="H214" s="8">
        <v>1</v>
      </c>
    </row>
    <row r="215" spans="1:8" ht="15.75" customHeight="1" x14ac:dyDescent="0.25">
      <c r="A215" s="26">
        <v>213</v>
      </c>
      <c r="B215" s="4">
        <v>214</v>
      </c>
      <c r="C215" s="4">
        <v>0.1212</v>
      </c>
      <c r="D215" s="4">
        <v>0.54</v>
      </c>
      <c r="E215" s="4">
        <v>0.1343</v>
      </c>
      <c r="F215" s="4">
        <v>1</v>
      </c>
      <c r="G215" s="4">
        <v>2</v>
      </c>
      <c r="H215" s="8">
        <v>3</v>
      </c>
    </row>
    <row r="216" spans="1:8" ht="15.75" customHeight="1" x14ac:dyDescent="0.25">
      <c r="A216" s="26">
        <v>214</v>
      </c>
      <c r="B216" s="4">
        <v>215</v>
      </c>
      <c r="C216" s="4">
        <v>0.1061</v>
      </c>
      <c r="D216" s="4">
        <v>0.54</v>
      </c>
      <c r="E216" s="4">
        <v>0.25369999999999998</v>
      </c>
      <c r="F216" s="4">
        <v>0</v>
      </c>
      <c r="G216" s="4">
        <v>3</v>
      </c>
      <c r="H216" s="8">
        <v>3</v>
      </c>
    </row>
    <row r="217" spans="1:8" ht="15.75" customHeight="1" x14ac:dyDescent="0.25">
      <c r="A217" s="26">
        <v>215</v>
      </c>
      <c r="B217" s="4">
        <v>216</v>
      </c>
      <c r="C217" s="4">
        <v>0.1212</v>
      </c>
      <c r="D217" s="4">
        <v>0.5</v>
      </c>
      <c r="E217" s="4">
        <v>0.28360000000000002</v>
      </c>
      <c r="F217" s="4">
        <v>0</v>
      </c>
      <c r="G217" s="4">
        <v>31</v>
      </c>
      <c r="H217" s="8">
        <v>31</v>
      </c>
    </row>
    <row r="218" spans="1:8" ht="15.75" customHeight="1" x14ac:dyDescent="0.25">
      <c r="A218" s="26">
        <v>216</v>
      </c>
      <c r="B218" s="4">
        <v>217</v>
      </c>
      <c r="C218" s="4">
        <v>0.1212</v>
      </c>
      <c r="D218" s="4">
        <v>0.5</v>
      </c>
      <c r="E218" s="4">
        <v>0.22389999999999999</v>
      </c>
      <c r="F218" s="4">
        <v>2</v>
      </c>
      <c r="G218" s="4">
        <v>75</v>
      </c>
      <c r="H218" s="8">
        <v>77</v>
      </c>
    </row>
    <row r="219" spans="1:8" ht="15.75" customHeight="1" x14ac:dyDescent="0.25">
      <c r="A219" s="26">
        <v>217</v>
      </c>
      <c r="B219" s="4">
        <v>218</v>
      </c>
      <c r="C219" s="4">
        <v>0.1212</v>
      </c>
      <c r="D219" s="4">
        <v>0.5</v>
      </c>
      <c r="E219" s="4">
        <v>0.28360000000000002</v>
      </c>
      <c r="F219" s="4">
        <v>4</v>
      </c>
      <c r="G219" s="4">
        <v>184</v>
      </c>
      <c r="H219" s="8">
        <v>188</v>
      </c>
    </row>
    <row r="220" spans="1:8" ht="15.75" customHeight="1" x14ac:dyDescent="0.25">
      <c r="A220" s="26">
        <v>218</v>
      </c>
      <c r="B220" s="4">
        <v>219</v>
      </c>
      <c r="C220" s="4">
        <v>0.1212</v>
      </c>
      <c r="D220" s="4">
        <v>0.5</v>
      </c>
      <c r="E220" s="4">
        <v>0.25369999999999998</v>
      </c>
      <c r="F220" s="4">
        <v>2</v>
      </c>
      <c r="G220" s="4">
        <v>92</v>
      </c>
      <c r="H220" s="8">
        <v>94</v>
      </c>
    </row>
    <row r="221" spans="1:8" ht="15.75" customHeight="1" x14ac:dyDescent="0.25">
      <c r="A221" s="26">
        <v>219</v>
      </c>
      <c r="B221" s="4">
        <v>220</v>
      </c>
      <c r="C221" s="4">
        <v>0.1212</v>
      </c>
      <c r="D221" s="4">
        <v>0.5</v>
      </c>
      <c r="E221" s="4">
        <v>0.29849999999999999</v>
      </c>
      <c r="F221" s="4">
        <v>0</v>
      </c>
      <c r="G221" s="4">
        <v>31</v>
      </c>
      <c r="H221" s="8">
        <v>31</v>
      </c>
    </row>
    <row r="222" spans="1:8" ht="15.75" customHeight="1" x14ac:dyDescent="0.25">
      <c r="A222" s="26">
        <v>220</v>
      </c>
      <c r="B222" s="4">
        <v>221</v>
      </c>
      <c r="C222" s="4">
        <v>0.13639999999999999</v>
      </c>
      <c r="D222" s="4">
        <v>0.47</v>
      </c>
      <c r="E222" s="4">
        <v>0.28360000000000002</v>
      </c>
      <c r="F222" s="4">
        <v>2</v>
      </c>
      <c r="G222" s="4">
        <v>28</v>
      </c>
      <c r="H222" s="8">
        <v>30</v>
      </c>
    </row>
    <row r="223" spans="1:8" ht="15.75" customHeight="1" x14ac:dyDescent="0.25">
      <c r="A223" s="26">
        <v>221</v>
      </c>
      <c r="B223" s="4">
        <v>222</v>
      </c>
      <c r="C223" s="4">
        <v>0.18179999999999999</v>
      </c>
      <c r="D223" s="4">
        <v>0.4</v>
      </c>
      <c r="E223" s="4">
        <v>0.28360000000000002</v>
      </c>
      <c r="F223" s="4">
        <v>5</v>
      </c>
      <c r="G223" s="4">
        <v>47</v>
      </c>
      <c r="H223" s="8">
        <v>52</v>
      </c>
    </row>
    <row r="224" spans="1:8" ht="15.75" customHeight="1" x14ac:dyDescent="0.25">
      <c r="A224" s="26">
        <v>222</v>
      </c>
      <c r="B224" s="4">
        <v>223</v>
      </c>
      <c r="C224" s="4">
        <v>0.18179999999999999</v>
      </c>
      <c r="D224" s="4">
        <v>0.4</v>
      </c>
      <c r="E224" s="4">
        <v>0.28360000000000002</v>
      </c>
      <c r="F224" s="4">
        <v>4</v>
      </c>
      <c r="G224" s="4">
        <v>50</v>
      </c>
      <c r="H224" s="8">
        <v>54</v>
      </c>
    </row>
    <row r="225" spans="1:8" ht="15.75" customHeight="1" x14ac:dyDescent="0.25">
      <c r="A225" s="26">
        <v>223</v>
      </c>
      <c r="B225" s="4">
        <v>224</v>
      </c>
      <c r="C225" s="4">
        <v>0.19700000000000001</v>
      </c>
      <c r="D225" s="4">
        <v>0.4</v>
      </c>
      <c r="E225" s="4">
        <v>0.22389999999999999</v>
      </c>
      <c r="F225" s="4">
        <v>0</v>
      </c>
      <c r="G225" s="4">
        <v>47</v>
      </c>
      <c r="H225" s="8">
        <v>47</v>
      </c>
    </row>
    <row r="226" spans="1:8" ht="15.75" customHeight="1" x14ac:dyDescent="0.25">
      <c r="A226" s="26">
        <v>224</v>
      </c>
      <c r="B226" s="4">
        <v>225</v>
      </c>
      <c r="C226" s="4">
        <v>0.19700000000000001</v>
      </c>
      <c r="D226" s="4">
        <v>0.4</v>
      </c>
      <c r="E226" s="4">
        <v>0.22389999999999999</v>
      </c>
      <c r="F226" s="4">
        <v>2</v>
      </c>
      <c r="G226" s="4">
        <v>43</v>
      </c>
      <c r="H226" s="8">
        <v>45</v>
      </c>
    </row>
    <row r="227" spans="1:8" ht="15.75" customHeight="1" x14ac:dyDescent="0.25">
      <c r="A227" s="26">
        <v>225</v>
      </c>
      <c r="B227" s="4">
        <v>226</v>
      </c>
      <c r="C227" s="4">
        <v>0.21210000000000001</v>
      </c>
      <c r="D227" s="4">
        <v>0.4</v>
      </c>
      <c r="E227" s="4">
        <v>0.1343</v>
      </c>
      <c r="F227" s="4">
        <v>4</v>
      </c>
      <c r="G227" s="4">
        <v>70</v>
      </c>
      <c r="H227" s="8">
        <v>74</v>
      </c>
    </row>
    <row r="228" spans="1:8" ht="15.75" customHeight="1" x14ac:dyDescent="0.25">
      <c r="A228" s="26">
        <v>226</v>
      </c>
      <c r="B228" s="4">
        <v>227</v>
      </c>
      <c r="C228" s="4">
        <v>0.2273</v>
      </c>
      <c r="D228" s="4">
        <v>0.4</v>
      </c>
      <c r="E228" s="4">
        <v>0.1045</v>
      </c>
      <c r="F228" s="4">
        <v>4</v>
      </c>
      <c r="G228" s="4">
        <v>174</v>
      </c>
      <c r="H228" s="8">
        <v>178</v>
      </c>
    </row>
    <row r="229" spans="1:8" ht="15.75" customHeight="1" x14ac:dyDescent="0.25">
      <c r="A229" s="26">
        <v>227</v>
      </c>
      <c r="B229" s="4">
        <v>228</v>
      </c>
      <c r="C229" s="4">
        <v>0.19700000000000001</v>
      </c>
      <c r="D229" s="4">
        <v>0.4</v>
      </c>
      <c r="E229" s="4">
        <v>0.22389999999999999</v>
      </c>
      <c r="F229" s="4">
        <v>1</v>
      </c>
      <c r="G229" s="4">
        <v>154</v>
      </c>
      <c r="H229" s="8">
        <v>155</v>
      </c>
    </row>
    <row r="230" spans="1:8" ht="15.75" customHeight="1" x14ac:dyDescent="0.25">
      <c r="A230" s="26">
        <v>228</v>
      </c>
      <c r="B230" s="4">
        <v>229</v>
      </c>
      <c r="C230" s="4">
        <v>0.16669999999999999</v>
      </c>
      <c r="D230" s="4">
        <v>0.47</v>
      </c>
      <c r="E230" s="4">
        <v>0.16420000000000001</v>
      </c>
      <c r="F230" s="4">
        <v>3</v>
      </c>
      <c r="G230" s="4">
        <v>92</v>
      </c>
      <c r="H230" s="8">
        <v>95</v>
      </c>
    </row>
    <row r="231" spans="1:8" ht="15.75" customHeight="1" x14ac:dyDescent="0.25">
      <c r="A231" s="26">
        <v>229</v>
      </c>
      <c r="B231" s="4">
        <v>230</v>
      </c>
      <c r="C231" s="4">
        <v>0.16669999999999999</v>
      </c>
      <c r="D231" s="4">
        <v>0.5</v>
      </c>
      <c r="E231" s="4">
        <v>0.16420000000000001</v>
      </c>
      <c r="F231" s="4">
        <v>1</v>
      </c>
      <c r="G231" s="4">
        <v>73</v>
      </c>
      <c r="H231" s="8">
        <v>74</v>
      </c>
    </row>
    <row r="232" spans="1:8" ht="15.75" customHeight="1" x14ac:dyDescent="0.25">
      <c r="A232" s="26">
        <v>230</v>
      </c>
      <c r="B232" s="4">
        <v>231</v>
      </c>
      <c r="C232" s="4">
        <v>0.13639999999999999</v>
      </c>
      <c r="D232" s="4">
        <v>0.59</v>
      </c>
      <c r="E232" s="4">
        <v>0.19400000000000001</v>
      </c>
      <c r="F232" s="4">
        <v>1</v>
      </c>
      <c r="G232" s="4">
        <v>37</v>
      </c>
      <c r="H232" s="8">
        <v>38</v>
      </c>
    </row>
    <row r="233" spans="1:8" ht="15.75" customHeight="1" x14ac:dyDescent="0.25">
      <c r="A233" s="26">
        <v>231</v>
      </c>
      <c r="B233" s="4">
        <v>232</v>
      </c>
      <c r="C233" s="4">
        <v>0.1515</v>
      </c>
      <c r="D233" s="4">
        <v>0.59</v>
      </c>
      <c r="E233" s="4">
        <v>0.16420000000000001</v>
      </c>
      <c r="F233" s="4">
        <v>2</v>
      </c>
      <c r="G233" s="4">
        <v>22</v>
      </c>
      <c r="H233" s="8">
        <v>24</v>
      </c>
    </row>
    <row r="234" spans="1:8" ht="15.75" customHeight="1" x14ac:dyDescent="0.25">
      <c r="A234" s="26">
        <v>232</v>
      </c>
      <c r="B234" s="4">
        <v>233</v>
      </c>
      <c r="C234" s="4">
        <v>0.1515</v>
      </c>
      <c r="D234" s="4">
        <v>0.59</v>
      </c>
      <c r="E234" s="4">
        <v>0.16420000000000001</v>
      </c>
      <c r="F234" s="4">
        <v>0</v>
      </c>
      <c r="G234" s="4">
        <v>18</v>
      </c>
      <c r="H234" s="8">
        <v>18</v>
      </c>
    </row>
    <row r="235" spans="1:8" ht="15.75" customHeight="1" x14ac:dyDescent="0.25">
      <c r="A235" s="26">
        <v>233</v>
      </c>
      <c r="B235" s="4">
        <v>234</v>
      </c>
      <c r="C235" s="4">
        <v>0.16669999999999999</v>
      </c>
      <c r="D235" s="4">
        <v>0.59</v>
      </c>
      <c r="E235" s="4">
        <v>0.1045</v>
      </c>
      <c r="F235" s="4">
        <v>2</v>
      </c>
      <c r="G235" s="4">
        <v>10</v>
      </c>
      <c r="H235" s="8">
        <v>12</v>
      </c>
    </row>
    <row r="236" spans="1:8" ht="15.75" customHeight="1" x14ac:dyDescent="0.25">
      <c r="A236" s="26">
        <v>234</v>
      </c>
      <c r="B236" s="4">
        <v>235</v>
      </c>
      <c r="C236" s="4">
        <v>0.1515</v>
      </c>
      <c r="D236" s="4">
        <v>0.59</v>
      </c>
      <c r="E236" s="4">
        <v>0.16420000000000001</v>
      </c>
      <c r="F236" s="4">
        <v>0</v>
      </c>
      <c r="G236" s="4">
        <v>3</v>
      </c>
      <c r="H236" s="8">
        <v>3</v>
      </c>
    </row>
    <row r="237" spans="1:8" ht="15.75" customHeight="1" x14ac:dyDescent="0.25">
      <c r="A237" s="26">
        <v>235</v>
      </c>
      <c r="B237" s="4">
        <v>236</v>
      </c>
      <c r="C237" s="4">
        <v>0.1515</v>
      </c>
      <c r="D237" s="4">
        <v>0.55000000000000004</v>
      </c>
      <c r="E237" s="4">
        <v>0.19400000000000001</v>
      </c>
      <c r="F237" s="4">
        <v>0</v>
      </c>
      <c r="G237" s="4">
        <v>3</v>
      </c>
      <c r="H237" s="8">
        <v>3</v>
      </c>
    </row>
    <row r="238" spans="1:8" ht="15.75" customHeight="1" x14ac:dyDescent="0.25">
      <c r="A238" s="26">
        <v>236</v>
      </c>
      <c r="B238" s="4">
        <v>237</v>
      </c>
      <c r="C238" s="4">
        <v>0.18179999999999999</v>
      </c>
      <c r="D238" s="4">
        <v>0.55000000000000004</v>
      </c>
      <c r="E238" s="4">
        <v>0.1343</v>
      </c>
      <c r="F238" s="4">
        <v>0</v>
      </c>
      <c r="G238" s="4">
        <v>6</v>
      </c>
      <c r="H238" s="8">
        <v>6</v>
      </c>
    </row>
    <row r="239" spans="1:8" ht="15.75" customHeight="1" x14ac:dyDescent="0.25">
      <c r="A239" s="26">
        <v>237</v>
      </c>
      <c r="B239" s="4">
        <v>238</v>
      </c>
      <c r="C239" s="4">
        <v>0.18179999999999999</v>
      </c>
      <c r="D239" s="4">
        <v>0.55000000000000004</v>
      </c>
      <c r="E239" s="4">
        <v>0.1343</v>
      </c>
      <c r="F239" s="4">
        <v>0</v>
      </c>
      <c r="G239" s="4">
        <v>27</v>
      </c>
      <c r="H239" s="8">
        <v>27</v>
      </c>
    </row>
    <row r="240" spans="1:8" ht="15.75" customHeight="1" x14ac:dyDescent="0.25">
      <c r="A240" s="26">
        <v>238</v>
      </c>
      <c r="B240" s="4">
        <v>239</v>
      </c>
      <c r="C240" s="4">
        <v>0.2273</v>
      </c>
      <c r="D240" s="4">
        <v>0.55000000000000004</v>
      </c>
      <c r="E240" s="4">
        <v>0</v>
      </c>
      <c r="F240" s="4">
        <v>2</v>
      </c>
      <c r="G240" s="4">
        <v>97</v>
      </c>
      <c r="H240" s="8">
        <v>99</v>
      </c>
    </row>
    <row r="241" spans="1:8" ht="15.75" customHeight="1" x14ac:dyDescent="0.25">
      <c r="A241" s="26">
        <v>239</v>
      </c>
      <c r="B241" s="4">
        <v>240</v>
      </c>
      <c r="C241" s="4">
        <v>0.21210000000000001</v>
      </c>
      <c r="D241" s="4">
        <v>0.51</v>
      </c>
      <c r="E241" s="4">
        <v>8.9599999999999999E-2</v>
      </c>
      <c r="F241" s="4">
        <v>3</v>
      </c>
      <c r="G241" s="4">
        <v>214</v>
      </c>
      <c r="H241" s="8">
        <v>217</v>
      </c>
    </row>
    <row r="242" spans="1:8" ht="15.75" customHeight="1" x14ac:dyDescent="0.25">
      <c r="A242" s="26">
        <v>240</v>
      </c>
      <c r="B242" s="4">
        <v>241</v>
      </c>
      <c r="C242" s="4">
        <v>0.19700000000000001</v>
      </c>
      <c r="D242" s="4">
        <v>0.51</v>
      </c>
      <c r="E242" s="4">
        <v>0.16420000000000001</v>
      </c>
      <c r="F242" s="4">
        <v>3</v>
      </c>
      <c r="G242" s="4">
        <v>127</v>
      </c>
      <c r="H242" s="8">
        <v>130</v>
      </c>
    </row>
    <row r="243" spans="1:8" ht="15.75" customHeight="1" x14ac:dyDescent="0.25">
      <c r="A243" s="26">
        <v>241</v>
      </c>
      <c r="B243" s="4">
        <v>242</v>
      </c>
      <c r="C243" s="4">
        <v>0.21210000000000001</v>
      </c>
      <c r="D243" s="4">
        <v>0.51</v>
      </c>
      <c r="E243" s="4">
        <v>0.16420000000000001</v>
      </c>
      <c r="F243" s="4">
        <v>3</v>
      </c>
      <c r="G243" s="4">
        <v>51</v>
      </c>
      <c r="H243" s="8">
        <v>54</v>
      </c>
    </row>
    <row r="244" spans="1:8" ht="15.75" customHeight="1" x14ac:dyDescent="0.25">
      <c r="A244" s="26">
        <v>242</v>
      </c>
      <c r="B244" s="4">
        <v>243</v>
      </c>
      <c r="C244" s="4">
        <v>0.21210000000000001</v>
      </c>
      <c r="D244" s="4">
        <v>0.47</v>
      </c>
      <c r="E244" s="4">
        <v>0.1343</v>
      </c>
      <c r="F244" s="4">
        <v>4</v>
      </c>
      <c r="G244" s="4">
        <v>31</v>
      </c>
      <c r="H244" s="8">
        <v>35</v>
      </c>
    </row>
    <row r="245" spans="1:8" ht="15.75" customHeight="1" x14ac:dyDescent="0.25">
      <c r="A245" s="26">
        <v>243</v>
      </c>
      <c r="B245" s="4">
        <v>244</v>
      </c>
      <c r="C245" s="4">
        <v>0.2273</v>
      </c>
      <c r="D245" s="4">
        <v>0.51</v>
      </c>
      <c r="E245" s="4">
        <v>0.1045</v>
      </c>
      <c r="F245" s="4">
        <v>2</v>
      </c>
      <c r="G245" s="4">
        <v>55</v>
      </c>
      <c r="H245" s="8">
        <v>57</v>
      </c>
    </row>
    <row r="246" spans="1:8" ht="15.75" customHeight="1" x14ac:dyDescent="0.25">
      <c r="A246" s="26">
        <v>244</v>
      </c>
      <c r="B246" s="4">
        <v>245</v>
      </c>
      <c r="C246" s="4">
        <v>0.2273</v>
      </c>
      <c r="D246" s="4">
        <v>0.59</v>
      </c>
      <c r="E246" s="4">
        <v>8.9599999999999999E-2</v>
      </c>
      <c r="F246" s="4">
        <v>6</v>
      </c>
      <c r="G246" s="4">
        <v>46</v>
      </c>
      <c r="H246" s="8">
        <v>52</v>
      </c>
    </row>
    <row r="247" spans="1:8" ht="15.75" customHeight="1" x14ac:dyDescent="0.25">
      <c r="A247" s="26">
        <v>245</v>
      </c>
      <c r="B247" s="4">
        <v>246</v>
      </c>
      <c r="C247" s="4">
        <v>0.2273</v>
      </c>
      <c r="D247" s="4">
        <v>0.59</v>
      </c>
      <c r="E247" s="4">
        <v>8.9599999999999999E-2</v>
      </c>
      <c r="F247" s="4">
        <v>3</v>
      </c>
      <c r="G247" s="4">
        <v>60</v>
      </c>
      <c r="H247" s="8">
        <v>63</v>
      </c>
    </row>
    <row r="248" spans="1:8" ht="15.75" customHeight="1" x14ac:dyDescent="0.25">
      <c r="A248" s="26">
        <v>246</v>
      </c>
      <c r="B248" s="4">
        <v>247</v>
      </c>
      <c r="C248" s="4">
        <v>0.19700000000000001</v>
      </c>
      <c r="D248" s="4">
        <v>0.8</v>
      </c>
      <c r="E248" s="4">
        <v>8.9599999999999999E-2</v>
      </c>
      <c r="F248" s="4">
        <v>2</v>
      </c>
      <c r="G248" s="4">
        <v>45</v>
      </c>
      <c r="H248" s="8">
        <v>47</v>
      </c>
    </row>
    <row r="249" spans="1:8" ht="15.75" customHeight="1" x14ac:dyDescent="0.25">
      <c r="A249" s="26">
        <v>247</v>
      </c>
      <c r="B249" s="4">
        <v>248</v>
      </c>
      <c r="C249" s="4">
        <v>0.1515</v>
      </c>
      <c r="D249" s="4">
        <v>0.86</v>
      </c>
      <c r="E249" s="4">
        <v>0.22389999999999999</v>
      </c>
      <c r="F249" s="4">
        <v>4</v>
      </c>
      <c r="G249" s="4">
        <v>72</v>
      </c>
      <c r="H249" s="8">
        <v>76</v>
      </c>
    </row>
    <row r="250" spans="1:8" ht="15.75" customHeight="1" x14ac:dyDescent="0.25">
      <c r="A250" s="26">
        <v>248</v>
      </c>
      <c r="B250" s="4">
        <v>249</v>
      </c>
      <c r="C250" s="4">
        <v>0.1515</v>
      </c>
      <c r="D250" s="4">
        <v>0.86</v>
      </c>
      <c r="E250" s="4">
        <v>0.22389999999999999</v>
      </c>
      <c r="F250" s="4">
        <v>6</v>
      </c>
      <c r="G250" s="4">
        <v>130</v>
      </c>
      <c r="H250" s="8">
        <v>136</v>
      </c>
    </row>
    <row r="251" spans="1:8" ht="15.75" customHeight="1" x14ac:dyDescent="0.25">
      <c r="A251" s="26">
        <v>249</v>
      </c>
      <c r="B251" s="4">
        <v>250</v>
      </c>
      <c r="C251" s="4">
        <v>0.18179999999999999</v>
      </c>
      <c r="D251" s="4">
        <v>0.93</v>
      </c>
      <c r="E251" s="4">
        <v>0.1045</v>
      </c>
      <c r="F251" s="4">
        <v>1</v>
      </c>
      <c r="G251" s="4">
        <v>94</v>
      </c>
      <c r="H251" s="8">
        <v>95</v>
      </c>
    </row>
    <row r="252" spans="1:8" ht="15.75" customHeight="1" x14ac:dyDescent="0.25">
      <c r="A252" s="26">
        <v>250</v>
      </c>
      <c r="B252" s="4">
        <v>251</v>
      </c>
      <c r="C252" s="4">
        <v>0.2273</v>
      </c>
      <c r="D252" s="4">
        <v>0.93</v>
      </c>
      <c r="E252" s="4">
        <v>0</v>
      </c>
      <c r="F252" s="4">
        <v>0</v>
      </c>
      <c r="G252" s="4">
        <v>51</v>
      </c>
      <c r="H252" s="8">
        <v>51</v>
      </c>
    </row>
    <row r="253" spans="1:8" ht="15.75" customHeight="1" x14ac:dyDescent="0.25">
      <c r="A253" s="26">
        <v>251</v>
      </c>
      <c r="B253" s="4">
        <v>252</v>
      </c>
      <c r="C253" s="4">
        <v>0.1515</v>
      </c>
      <c r="D253" s="4">
        <v>0.93</v>
      </c>
      <c r="E253" s="4">
        <v>0.19400000000000001</v>
      </c>
      <c r="F253" s="4">
        <v>0</v>
      </c>
      <c r="G253" s="4">
        <v>32</v>
      </c>
      <c r="H253" s="8">
        <v>32</v>
      </c>
    </row>
    <row r="254" spans="1:8" ht="15.75" customHeight="1" x14ac:dyDescent="0.25">
      <c r="A254" s="26">
        <v>252</v>
      </c>
      <c r="B254" s="4">
        <v>253</v>
      </c>
      <c r="C254" s="4">
        <v>0.19700000000000001</v>
      </c>
      <c r="D254" s="4">
        <v>0.86</v>
      </c>
      <c r="E254" s="4">
        <v>8.9599999999999999E-2</v>
      </c>
      <c r="F254" s="4">
        <v>0</v>
      </c>
      <c r="G254" s="4">
        <v>20</v>
      </c>
      <c r="H254" s="8">
        <v>20</v>
      </c>
    </row>
    <row r="255" spans="1:8" ht="15.75" customHeight="1" x14ac:dyDescent="0.25">
      <c r="A255" s="26">
        <v>253</v>
      </c>
      <c r="B255" s="4">
        <v>254</v>
      </c>
      <c r="C255" s="4">
        <v>0.18179999999999999</v>
      </c>
      <c r="D255" s="4">
        <v>0.93</v>
      </c>
      <c r="E255" s="4">
        <v>0.1045</v>
      </c>
      <c r="F255" s="4">
        <v>1</v>
      </c>
      <c r="G255" s="4">
        <v>28</v>
      </c>
      <c r="H255" s="8">
        <v>29</v>
      </c>
    </row>
    <row r="256" spans="1:8" ht="15.75" customHeight="1" x14ac:dyDescent="0.25">
      <c r="A256" s="26">
        <v>254</v>
      </c>
      <c r="B256" s="4">
        <v>255</v>
      </c>
      <c r="C256" s="4">
        <v>0.19700000000000001</v>
      </c>
      <c r="D256" s="4">
        <v>0.93</v>
      </c>
      <c r="E256" s="4">
        <v>8.9599999999999999E-2</v>
      </c>
      <c r="F256" s="4">
        <v>1</v>
      </c>
      <c r="G256" s="4">
        <v>18</v>
      </c>
      <c r="H256" s="8">
        <v>19</v>
      </c>
    </row>
    <row r="257" spans="1:8" ht="15.75" customHeight="1" x14ac:dyDescent="0.25">
      <c r="A257" s="26">
        <v>255</v>
      </c>
      <c r="B257" s="4">
        <v>256</v>
      </c>
      <c r="C257" s="4">
        <v>0.19700000000000001</v>
      </c>
      <c r="D257" s="4">
        <v>0.86</v>
      </c>
      <c r="E257" s="4">
        <v>8.9599999999999999E-2</v>
      </c>
      <c r="F257" s="4">
        <v>0</v>
      </c>
      <c r="G257" s="4">
        <v>7</v>
      </c>
      <c r="H257" s="8">
        <v>7</v>
      </c>
    </row>
    <row r="258" spans="1:8" ht="15.75" customHeight="1" x14ac:dyDescent="0.25">
      <c r="A258" s="26">
        <v>256</v>
      </c>
      <c r="B258" s="4">
        <v>257</v>
      </c>
      <c r="C258" s="4">
        <v>0.18179999999999999</v>
      </c>
      <c r="D258" s="4">
        <v>0.86</v>
      </c>
      <c r="E258" s="4">
        <v>0.1045</v>
      </c>
      <c r="F258" s="4">
        <v>0</v>
      </c>
      <c r="G258" s="4">
        <v>6</v>
      </c>
      <c r="H258" s="8">
        <v>6</v>
      </c>
    </row>
    <row r="259" spans="1:8" ht="15.75" customHeight="1" x14ac:dyDescent="0.25">
      <c r="A259" s="26">
        <v>257</v>
      </c>
      <c r="B259" s="4">
        <v>258</v>
      </c>
      <c r="C259" s="4">
        <v>0.1515</v>
      </c>
      <c r="D259" s="4">
        <v>0.86</v>
      </c>
      <c r="E259" s="4">
        <v>0.1343</v>
      </c>
      <c r="F259" s="4">
        <v>0</v>
      </c>
      <c r="G259" s="4">
        <v>1</v>
      </c>
      <c r="H259" s="8">
        <v>1</v>
      </c>
    </row>
    <row r="260" spans="1:8" ht="15.75" customHeight="1" x14ac:dyDescent="0.25">
      <c r="A260" s="26">
        <v>258</v>
      </c>
      <c r="B260" s="4">
        <v>259</v>
      </c>
      <c r="C260" s="4">
        <v>0.1515</v>
      </c>
      <c r="D260" s="4">
        <v>0.86</v>
      </c>
      <c r="E260" s="4">
        <v>0.16420000000000001</v>
      </c>
      <c r="F260" s="4">
        <v>0</v>
      </c>
      <c r="G260" s="4">
        <v>5</v>
      </c>
      <c r="H260" s="8">
        <v>5</v>
      </c>
    </row>
    <row r="261" spans="1:8" ht="15.75" customHeight="1" x14ac:dyDescent="0.25">
      <c r="A261" s="26">
        <v>259</v>
      </c>
      <c r="B261" s="4">
        <v>260</v>
      </c>
      <c r="C261" s="4">
        <v>0.1515</v>
      </c>
      <c r="D261" s="4">
        <v>0.93</v>
      </c>
      <c r="E261" s="4">
        <v>0.1343</v>
      </c>
      <c r="F261" s="4">
        <v>0</v>
      </c>
      <c r="G261" s="4">
        <v>16</v>
      </c>
      <c r="H261" s="8">
        <v>16</v>
      </c>
    </row>
    <row r="262" spans="1:8" ht="15.75" customHeight="1" x14ac:dyDescent="0.25">
      <c r="A262" s="26">
        <v>260</v>
      </c>
      <c r="B262" s="4">
        <v>261</v>
      </c>
      <c r="C262" s="4">
        <v>0.1515</v>
      </c>
      <c r="D262" s="4">
        <v>0.69</v>
      </c>
      <c r="E262" s="4">
        <v>0.1343</v>
      </c>
      <c r="F262" s="4">
        <v>0</v>
      </c>
      <c r="G262" s="4">
        <v>54</v>
      </c>
      <c r="H262" s="8">
        <v>54</v>
      </c>
    </row>
    <row r="263" spans="1:8" ht="15.75" customHeight="1" x14ac:dyDescent="0.25">
      <c r="A263" s="26">
        <v>261</v>
      </c>
      <c r="B263" s="4">
        <v>262</v>
      </c>
      <c r="C263" s="4">
        <v>0.16669999999999999</v>
      </c>
      <c r="D263" s="4">
        <v>0.59</v>
      </c>
      <c r="E263" s="4">
        <v>0.16420000000000001</v>
      </c>
      <c r="F263" s="4">
        <v>3</v>
      </c>
      <c r="G263" s="4">
        <v>125</v>
      </c>
      <c r="H263" s="8">
        <v>128</v>
      </c>
    </row>
    <row r="264" spans="1:8" ht="15.75" customHeight="1" x14ac:dyDescent="0.25">
      <c r="A264" s="26">
        <v>262</v>
      </c>
      <c r="B264" s="4">
        <v>263</v>
      </c>
      <c r="C264" s="4">
        <v>0.13639999999999999</v>
      </c>
      <c r="D264" s="4">
        <v>0.59</v>
      </c>
      <c r="E264" s="4">
        <v>0.32840000000000003</v>
      </c>
      <c r="F264" s="4">
        <v>3</v>
      </c>
      <c r="G264" s="4">
        <v>78</v>
      </c>
      <c r="H264" s="8">
        <v>81</v>
      </c>
    </row>
    <row r="265" spans="1:8" ht="15.75" customHeight="1" x14ac:dyDescent="0.25">
      <c r="A265" s="26">
        <v>263</v>
      </c>
      <c r="B265" s="4">
        <v>264</v>
      </c>
      <c r="C265" s="4">
        <v>0.18179999999999999</v>
      </c>
      <c r="D265" s="4">
        <v>0.55000000000000004</v>
      </c>
      <c r="E265" s="4">
        <v>0.22389999999999999</v>
      </c>
      <c r="F265" s="4">
        <v>0</v>
      </c>
      <c r="G265" s="4">
        <v>39</v>
      </c>
      <c r="H265" s="8">
        <v>39</v>
      </c>
    </row>
    <row r="266" spans="1:8" ht="15.75" customHeight="1" x14ac:dyDescent="0.25">
      <c r="A266" s="26">
        <v>264</v>
      </c>
      <c r="B266" s="4">
        <v>265</v>
      </c>
      <c r="C266" s="4">
        <v>0.18179999999999999</v>
      </c>
      <c r="D266" s="4">
        <v>0.51</v>
      </c>
      <c r="E266" s="4">
        <v>0.3881</v>
      </c>
      <c r="F266" s="4">
        <v>3</v>
      </c>
      <c r="G266" s="4">
        <v>32</v>
      </c>
      <c r="H266" s="8">
        <v>35</v>
      </c>
    </row>
    <row r="267" spans="1:8" ht="15.75" customHeight="1" x14ac:dyDescent="0.25">
      <c r="A267" s="26">
        <v>265</v>
      </c>
      <c r="B267" s="4">
        <v>266</v>
      </c>
      <c r="C267" s="4">
        <v>0.1515</v>
      </c>
      <c r="D267" s="4">
        <v>0.47</v>
      </c>
      <c r="E267" s="4">
        <v>0.58209999999999995</v>
      </c>
      <c r="F267" s="4">
        <v>3</v>
      </c>
      <c r="G267" s="4">
        <v>52</v>
      </c>
      <c r="H267" s="8">
        <v>55</v>
      </c>
    </row>
    <row r="268" spans="1:8" ht="15.75" customHeight="1" x14ac:dyDescent="0.25">
      <c r="A268" s="26">
        <v>266</v>
      </c>
      <c r="B268" s="4">
        <v>267</v>
      </c>
      <c r="C268" s="4">
        <v>0.19700000000000001</v>
      </c>
      <c r="D268" s="4">
        <v>0.44</v>
      </c>
      <c r="E268" s="4">
        <v>0.35820000000000002</v>
      </c>
      <c r="F268" s="4">
        <v>0</v>
      </c>
      <c r="G268" s="4">
        <v>49</v>
      </c>
      <c r="H268" s="8">
        <v>49</v>
      </c>
    </row>
    <row r="269" spans="1:8" ht="15.75" customHeight="1" x14ac:dyDescent="0.25">
      <c r="A269" s="26">
        <v>267</v>
      </c>
      <c r="B269" s="4">
        <v>268</v>
      </c>
      <c r="C269" s="4">
        <v>0.18179999999999999</v>
      </c>
      <c r="D269" s="4">
        <v>0.47</v>
      </c>
      <c r="E269" s="4">
        <v>0.32840000000000003</v>
      </c>
      <c r="F269" s="4">
        <v>0</v>
      </c>
      <c r="G269" s="4">
        <v>44</v>
      </c>
      <c r="H269" s="8">
        <v>44</v>
      </c>
    </row>
    <row r="270" spans="1:8" ht="15.75" customHeight="1" x14ac:dyDescent="0.25">
      <c r="A270" s="26">
        <v>268</v>
      </c>
      <c r="B270" s="4">
        <v>269</v>
      </c>
      <c r="C270" s="4">
        <v>0.16669999999999999</v>
      </c>
      <c r="D270" s="4">
        <v>0.47</v>
      </c>
      <c r="E270" s="4">
        <v>0.41789999999999999</v>
      </c>
      <c r="F270" s="4">
        <v>1</v>
      </c>
      <c r="G270" s="4">
        <v>48</v>
      </c>
      <c r="H270" s="8">
        <v>49</v>
      </c>
    </row>
    <row r="271" spans="1:8" ht="15.75" customHeight="1" x14ac:dyDescent="0.25">
      <c r="A271" s="26">
        <v>269</v>
      </c>
      <c r="B271" s="4">
        <v>270</v>
      </c>
      <c r="C271" s="4">
        <v>0.19700000000000001</v>
      </c>
      <c r="D271" s="4">
        <v>0.44</v>
      </c>
      <c r="E271" s="4">
        <v>0.32840000000000003</v>
      </c>
      <c r="F271" s="4">
        <v>5</v>
      </c>
      <c r="G271" s="4">
        <v>63</v>
      </c>
      <c r="H271" s="8">
        <v>68</v>
      </c>
    </row>
    <row r="272" spans="1:8" ht="15.75" customHeight="1" x14ac:dyDescent="0.25">
      <c r="A272" s="26">
        <v>270</v>
      </c>
      <c r="B272" s="4">
        <v>271</v>
      </c>
      <c r="C272" s="4">
        <v>0.18179999999999999</v>
      </c>
      <c r="D272" s="4">
        <v>0.47</v>
      </c>
      <c r="E272" s="4">
        <v>0.35820000000000002</v>
      </c>
      <c r="F272" s="4">
        <v>0</v>
      </c>
      <c r="G272" s="4">
        <v>139</v>
      </c>
      <c r="H272" s="8">
        <v>139</v>
      </c>
    </row>
    <row r="273" spans="1:8" ht="15.75" customHeight="1" x14ac:dyDescent="0.25">
      <c r="A273" s="26">
        <v>271</v>
      </c>
      <c r="B273" s="4">
        <v>272</v>
      </c>
      <c r="C273" s="4">
        <v>0.1515</v>
      </c>
      <c r="D273" s="4">
        <v>0.47</v>
      </c>
      <c r="E273" s="4">
        <v>0.52239999999999998</v>
      </c>
      <c r="F273" s="4">
        <v>2</v>
      </c>
      <c r="G273" s="4">
        <v>135</v>
      </c>
      <c r="H273" s="8">
        <v>137</v>
      </c>
    </row>
    <row r="274" spans="1:8" ht="15.75" customHeight="1" x14ac:dyDescent="0.25">
      <c r="A274" s="26">
        <v>272</v>
      </c>
      <c r="B274" s="4">
        <v>273</v>
      </c>
      <c r="C274" s="4">
        <v>0.1515</v>
      </c>
      <c r="D274" s="4">
        <v>0.47</v>
      </c>
      <c r="E274" s="4">
        <v>0.41789999999999999</v>
      </c>
      <c r="F274" s="4">
        <v>1</v>
      </c>
      <c r="G274" s="4">
        <v>82</v>
      </c>
      <c r="H274" s="8">
        <v>83</v>
      </c>
    </row>
    <row r="275" spans="1:8" ht="15.75" customHeight="1" x14ac:dyDescent="0.25">
      <c r="A275" s="26">
        <v>273</v>
      </c>
      <c r="B275" s="4">
        <v>274</v>
      </c>
      <c r="C275" s="4">
        <v>0.13639999999999999</v>
      </c>
      <c r="D275" s="4">
        <v>0.5</v>
      </c>
      <c r="E275" s="4">
        <v>0.32840000000000003</v>
      </c>
      <c r="F275" s="4">
        <v>2</v>
      </c>
      <c r="G275" s="4">
        <v>54</v>
      </c>
      <c r="H275" s="8">
        <v>56</v>
      </c>
    </row>
    <row r="276" spans="1:8" ht="15.75" customHeight="1" x14ac:dyDescent="0.25">
      <c r="A276" s="26">
        <v>274</v>
      </c>
      <c r="B276" s="4">
        <v>275</v>
      </c>
      <c r="C276" s="4">
        <v>0.13639999999999999</v>
      </c>
      <c r="D276" s="4">
        <v>0.55000000000000004</v>
      </c>
      <c r="E276" s="4">
        <v>0.32840000000000003</v>
      </c>
      <c r="F276" s="4">
        <v>0</v>
      </c>
      <c r="G276" s="4">
        <v>57</v>
      </c>
      <c r="H276" s="8">
        <v>57</v>
      </c>
    </row>
    <row r="277" spans="1:8" ht="15.75" customHeight="1" x14ac:dyDescent="0.25">
      <c r="A277" s="26">
        <v>275</v>
      </c>
      <c r="B277" s="4">
        <v>276</v>
      </c>
      <c r="C277" s="4">
        <v>0.1212</v>
      </c>
      <c r="D277" s="4">
        <v>0.55000000000000004</v>
      </c>
      <c r="E277" s="4">
        <v>0.44779999999999998</v>
      </c>
      <c r="F277" s="4">
        <v>1</v>
      </c>
      <c r="G277" s="4">
        <v>32</v>
      </c>
      <c r="H277" s="8">
        <v>33</v>
      </c>
    </row>
    <row r="278" spans="1:8" ht="15.75" customHeight="1" x14ac:dyDescent="0.25">
      <c r="A278" s="26">
        <v>276</v>
      </c>
      <c r="B278" s="4">
        <v>277</v>
      </c>
      <c r="C278" s="4">
        <v>0.1061</v>
      </c>
      <c r="D278" s="4">
        <v>0.59</v>
      </c>
      <c r="E278" s="4">
        <v>0.41789999999999999</v>
      </c>
      <c r="F278" s="4">
        <v>1</v>
      </c>
      <c r="G278" s="4">
        <v>19</v>
      </c>
      <c r="H278" s="8">
        <v>20</v>
      </c>
    </row>
    <row r="279" spans="1:8" ht="15.75" customHeight="1" x14ac:dyDescent="0.25">
      <c r="A279" s="26">
        <v>277</v>
      </c>
      <c r="B279" s="4">
        <v>278</v>
      </c>
      <c r="C279" s="4">
        <v>0.1212</v>
      </c>
      <c r="D279" s="4">
        <v>0.59</v>
      </c>
      <c r="E279" s="4">
        <v>0.28360000000000002</v>
      </c>
      <c r="F279" s="4">
        <v>1</v>
      </c>
      <c r="G279" s="4">
        <v>6</v>
      </c>
      <c r="H279" s="8">
        <v>7</v>
      </c>
    </row>
    <row r="280" spans="1:8" ht="15.75" customHeight="1" x14ac:dyDescent="0.25">
      <c r="A280" s="26">
        <v>278</v>
      </c>
      <c r="B280" s="4">
        <v>279</v>
      </c>
      <c r="C280" s="4">
        <v>0.1212</v>
      </c>
      <c r="D280" s="4">
        <v>0.5</v>
      </c>
      <c r="E280" s="4">
        <v>0.28360000000000002</v>
      </c>
      <c r="F280" s="4">
        <v>0</v>
      </c>
      <c r="G280" s="4">
        <v>2</v>
      </c>
      <c r="H280" s="8">
        <v>2</v>
      </c>
    </row>
    <row r="281" spans="1:8" ht="15.75" customHeight="1" x14ac:dyDescent="0.25">
      <c r="A281" s="26">
        <v>279</v>
      </c>
      <c r="B281" s="4">
        <v>280</v>
      </c>
      <c r="C281" s="4">
        <v>0.1212</v>
      </c>
      <c r="D281" s="4">
        <v>0.5</v>
      </c>
      <c r="E281" s="4">
        <v>0.35820000000000002</v>
      </c>
      <c r="F281" s="4">
        <v>0</v>
      </c>
      <c r="G281" s="4">
        <v>2</v>
      </c>
      <c r="H281" s="8">
        <v>2</v>
      </c>
    </row>
    <row r="282" spans="1:8" ht="15.75" customHeight="1" x14ac:dyDescent="0.25">
      <c r="A282" s="26">
        <v>280</v>
      </c>
      <c r="B282" s="4">
        <v>281</v>
      </c>
      <c r="C282" s="4">
        <v>0.1212</v>
      </c>
      <c r="D282" s="4">
        <v>0.5</v>
      </c>
      <c r="E282" s="4">
        <v>0.32840000000000003</v>
      </c>
      <c r="F282" s="4">
        <v>0</v>
      </c>
      <c r="G282" s="4">
        <v>3</v>
      </c>
      <c r="H282" s="8">
        <v>3</v>
      </c>
    </row>
    <row r="283" spans="1:8" ht="15.75" customHeight="1" x14ac:dyDescent="0.25">
      <c r="A283" s="26">
        <v>281</v>
      </c>
      <c r="B283" s="4">
        <v>282</v>
      </c>
      <c r="C283" s="4">
        <v>0.1212</v>
      </c>
      <c r="D283" s="4">
        <v>0.5</v>
      </c>
      <c r="E283" s="4">
        <v>0.25369999999999998</v>
      </c>
      <c r="F283" s="4">
        <v>0</v>
      </c>
      <c r="G283" s="4">
        <v>4</v>
      </c>
      <c r="H283" s="8">
        <v>4</v>
      </c>
    </row>
    <row r="284" spans="1:8" ht="15.75" customHeight="1" x14ac:dyDescent="0.25">
      <c r="A284" s="26">
        <v>282</v>
      </c>
      <c r="B284" s="4">
        <v>283</v>
      </c>
      <c r="C284" s="4">
        <v>0.1212</v>
      </c>
      <c r="D284" s="4">
        <v>0.5</v>
      </c>
      <c r="E284" s="4">
        <v>0.29849999999999999</v>
      </c>
      <c r="F284" s="4">
        <v>0</v>
      </c>
      <c r="G284" s="4">
        <v>3</v>
      </c>
      <c r="H284" s="8">
        <v>3</v>
      </c>
    </row>
    <row r="285" spans="1:8" ht="15.75" customHeight="1" x14ac:dyDescent="0.25">
      <c r="A285" s="26">
        <v>283</v>
      </c>
      <c r="B285" s="4">
        <v>284</v>
      </c>
      <c r="C285" s="4">
        <v>0.1515</v>
      </c>
      <c r="D285" s="4">
        <v>0.54</v>
      </c>
      <c r="E285" s="4">
        <v>0.1343</v>
      </c>
      <c r="F285" s="4">
        <v>0</v>
      </c>
      <c r="G285" s="4">
        <v>28</v>
      </c>
      <c r="H285" s="8">
        <v>28</v>
      </c>
    </row>
    <row r="286" spans="1:8" ht="15.75" customHeight="1" x14ac:dyDescent="0.25">
      <c r="A286" s="26">
        <v>284</v>
      </c>
      <c r="B286" s="4">
        <v>285</v>
      </c>
      <c r="C286" s="4">
        <v>0.1515</v>
      </c>
      <c r="D286" s="4">
        <v>0.54</v>
      </c>
      <c r="E286" s="4">
        <v>0.1343</v>
      </c>
      <c r="F286" s="4">
        <v>0</v>
      </c>
      <c r="G286" s="4">
        <v>72</v>
      </c>
      <c r="H286" s="8">
        <v>72</v>
      </c>
    </row>
    <row r="287" spans="1:8" ht="15.75" customHeight="1" x14ac:dyDescent="0.25">
      <c r="A287" s="26">
        <v>285</v>
      </c>
      <c r="B287" s="4">
        <v>286</v>
      </c>
      <c r="C287" s="4">
        <v>0.13639999999999999</v>
      </c>
      <c r="D287" s="4">
        <v>0.5</v>
      </c>
      <c r="E287" s="4">
        <v>0.19400000000000001</v>
      </c>
      <c r="F287" s="4">
        <v>5</v>
      </c>
      <c r="G287" s="4">
        <v>197</v>
      </c>
      <c r="H287" s="8">
        <v>202</v>
      </c>
    </row>
    <row r="288" spans="1:8" ht="15.75" customHeight="1" x14ac:dyDescent="0.25">
      <c r="A288" s="26">
        <v>286</v>
      </c>
      <c r="B288" s="4">
        <v>287</v>
      </c>
      <c r="C288" s="4">
        <v>0.1212</v>
      </c>
      <c r="D288" s="4">
        <v>0.5</v>
      </c>
      <c r="E288" s="4">
        <v>0.32840000000000003</v>
      </c>
      <c r="F288" s="4">
        <v>2</v>
      </c>
      <c r="G288" s="4">
        <v>137</v>
      </c>
      <c r="H288" s="8">
        <v>139</v>
      </c>
    </row>
    <row r="289" spans="1:8" ht="15.75" customHeight="1" x14ac:dyDescent="0.25">
      <c r="A289" s="26">
        <v>287</v>
      </c>
      <c r="B289" s="4">
        <v>288</v>
      </c>
      <c r="C289" s="4">
        <v>0.13639999999999999</v>
      </c>
      <c r="D289" s="4">
        <v>0.5</v>
      </c>
      <c r="E289" s="4">
        <v>0.35820000000000002</v>
      </c>
      <c r="F289" s="4">
        <v>2</v>
      </c>
      <c r="G289" s="4">
        <v>36</v>
      </c>
      <c r="H289" s="8">
        <v>38</v>
      </c>
    </row>
    <row r="290" spans="1:8" ht="15.75" customHeight="1" x14ac:dyDescent="0.25">
      <c r="A290" s="26">
        <v>288</v>
      </c>
      <c r="B290" s="4">
        <v>289</v>
      </c>
      <c r="C290" s="4">
        <v>0.16669999999999999</v>
      </c>
      <c r="D290" s="4">
        <v>0.44</v>
      </c>
      <c r="E290" s="4">
        <v>0.44779999999999998</v>
      </c>
      <c r="F290" s="4">
        <v>4</v>
      </c>
      <c r="G290" s="4">
        <v>33</v>
      </c>
      <c r="H290" s="8">
        <v>37</v>
      </c>
    </row>
    <row r="291" spans="1:8" ht="15.75" customHeight="1" x14ac:dyDescent="0.25">
      <c r="A291" s="26">
        <v>289</v>
      </c>
      <c r="B291" s="4">
        <v>290</v>
      </c>
      <c r="C291" s="4">
        <v>0.16669999999999999</v>
      </c>
      <c r="D291" s="4">
        <v>0.44</v>
      </c>
      <c r="E291" s="4">
        <v>0.41789999999999999</v>
      </c>
      <c r="F291" s="4">
        <v>3</v>
      </c>
      <c r="G291" s="4">
        <v>49</v>
      </c>
      <c r="H291" s="8">
        <v>52</v>
      </c>
    </row>
    <row r="292" spans="1:8" ht="15.75" customHeight="1" x14ac:dyDescent="0.25">
      <c r="A292" s="26">
        <v>290</v>
      </c>
      <c r="B292" s="4">
        <v>291</v>
      </c>
      <c r="C292" s="4">
        <v>0.19700000000000001</v>
      </c>
      <c r="D292" s="4">
        <v>0.41</v>
      </c>
      <c r="E292" s="4">
        <v>0.44779999999999998</v>
      </c>
      <c r="F292" s="4">
        <v>2</v>
      </c>
      <c r="G292" s="4">
        <v>81</v>
      </c>
      <c r="H292" s="8">
        <v>83</v>
      </c>
    </row>
    <row r="293" spans="1:8" ht="15.75" customHeight="1" x14ac:dyDescent="0.25">
      <c r="A293" s="26">
        <v>291</v>
      </c>
      <c r="B293" s="4">
        <v>292</v>
      </c>
      <c r="C293" s="4">
        <v>0.19700000000000001</v>
      </c>
      <c r="D293" s="4">
        <v>0.41</v>
      </c>
      <c r="E293" s="4">
        <v>0.3881</v>
      </c>
      <c r="F293" s="4">
        <v>3</v>
      </c>
      <c r="G293" s="4">
        <v>39</v>
      </c>
      <c r="H293" s="8">
        <v>42</v>
      </c>
    </row>
    <row r="294" spans="1:8" ht="15.75" customHeight="1" x14ac:dyDescent="0.25">
      <c r="A294" s="26">
        <v>292</v>
      </c>
      <c r="B294" s="4">
        <v>293</v>
      </c>
      <c r="C294" s="4">
        <v>0.21210000000000001</v>
      </c>
      <c r="D294" s="4">
        <v>0.38</v>
      </c>
      <c r="E294" s="4">
        <v>0.29849999999999999</v>
      </c>
      <c r="F294" s="4">
        <v>5</v>
      </c>
      <c r="G294" s="4">
        <v>55</v>
      </c>
      <c r="H294" s="8">
        <v>60</v>
      </c>
    </row>
    <row r="295" spans="1:8" ht="15.75" customHeight="1" x14ac:dyDescent="0.25">
      <c r="A295" s="26">
        <v>293</v>
      </c>
      <c r="B295" s="4">
        <v>294</v>
      </c>
      <c r="C295" s="4">
        <v>0.21210000000000001</v>
      </c>
      <c r="D295" s="4">
        <v>0.38</v>
      </c>
      <c r="E295" s="4">
        <v>0.35820000000000002</v>
      </c>
      <c r="F295" s="4">
        <v>2</v>
      </c>
      <c r="G295" s="4">
        <v>76</v>
      </c>
      <c r="H295" s="8">
        <v>78</v>
      </c>
    </row>
    <row r="296" spans="1:8" ht="15.75" customHeight="1" x14ac:dyDescent="0.25">
      <c r="A296" s="26">
        <v>294</v>
      </c>
      <c r="B296" s="4">
        <v>295</v>
      </c>
      <c r="C296" s="4">
        <v>0.18179999999999999</v>
      </c>
      <c r="D296" s="4">
        <v>0.4</v>
      </c>
      <c r="E296" s="4">
        <v>0.28360000000000002</v>
      </c>
      <c r="F296" s="4">
        <v>4</v>
      </c>
      <c r="G296" s="4">
        <v>158</v>
      </c>
      <c r="H296" s="8">
        <v>162</v>
      </c>
    </row>
    <row r="297" spans="1:8" ht="15.75" customHeight="1" x14ac:dyDescent="0.25">
      <c r="A297" s="26">
        <v>295</v>
      </c>
      <c r="B297" s="4">
        <v>296</v>
      </c>
      <c r="C297" s="4">
        <v>0.18179999999999999</v>
      </c>
      <c r="D297" s="4">
        <v>0.4</v>
      </c>
      <c r="E297" s="4">
        <v>0.32840000000000003</v>
      </c>
      <c r="F297" s="4">
        <v>3</v>
      </c>
      <c r="G297" s="4">
        <v>141</v>
      </c>
      <c r="H297" s="8">
        <v>144</v>
      </c>
    </row>
    <row r="298" spans="1:8" ht="15.75" customHeight="1" x14ac:dyDescent="0.25">
      <c r="A298" s="26">
        <v>296</v>
      </c>
      <c r="B298" s="4">
        <v>297</v>
      </c>
      <c r="C298" s="4">
        <v>0.1515</v>
      </c>
      <c r="D298" s="4">
        <v>0.47</v>
      </c>
      <c r="E298" s="4">
        <v>0.25369999999999998</v>
      </c>
      <c r="F298" s="4">
        <v>1</v>
      </c>
      <c r="G298" s="4">
        <v>98</v>
      </c>
      <c r="H298" s="8">
        <v>99</v>
      </c>
    </row>
    <row r="299" spans="1:8" ht="15.75" customHeight="1" x14ac:dyDescent="0.25">
      <c r="A299" s="26">
        <v>297</v>
      </c>
      <c r="B299" s="4">
        <v>298</v>
      </c>
      <c r="C299" s="4">
        <v>0.1515</v>
      </c>
      <c r="D299" s="4">
        <v>0.47</v>
      </c>
      <c r="E299" s="4">
        <v>0.22389999999999999</v>
      </c>
      <c r="F299" s="4">
        <v>0</v>
      </c>
      <c r="G299" s="4">
        <v>64</v>
      </c>
      <c r="H299" s="8">
        <v>64</v>
      </c>
    </row>
    <row r="300" spans="1:8" ht="15.75" customHeight="1" x14ac:dyDescent="0.25">
      <c r="A300" s="26">
        <v>298</v>
      </c>
      <c r="B300" s="4">
        <v>299</v>
      </c>
      <c r="C300" s="4">
        <v>0.1212</v>
      </c>
      <c r="D300" s="4">
        <v>0.46</v>
      </c>
      <c r="E300" s="4">
        <v>0.29849999999999999</v>
      </c>
      <c r="F300" s="4">
        <v>0</v>
      </c>
      <c r="G300" s="4">
        <v>40</v>
      </c>
      <c r="H300" s="8">
        <v>40</v>
      </c>
    </row>
    <row r="301" spans="1:8" ht="15.75" customHeight="1" x14ac:dyDescent="0.25">
      <c r="A301" s="26">
        <v>299</v>
      </c>
      <c r="B301" s="4">
        <v>300</v>
      </c>
      <c r="C301" s="4">
        <v>0.1212</v>
      </c>
      <c r="D301" s="4">
        <v>0.46</v>
      </c>
      <c r="E301" s="4">
        <v>0.32840000000000003</v>
      </c>
      <c r="F301" s="4">
        <v>0</v>
      </c>
      <c r="G301" s="4">
        <v>30</v>
      </c>
      <c r="H301" s="8">
        <v>30</v>
      </c>
    </row>
    <row r="302" spans="1:8" ht="15.75" customHeight="1" x14ac:dyDescent="0.25">
      <c r="A302" s="26">
        <v>300</v>
      </c>
      <c r="B302" s="4">
        <v>301</v>
      </c>
      <c r="C302" s="4">
        <v>0.13639999999999999</v>
      </c>
      <c r="D302" s="4">
        <v>0.5</v>
      </c>
      <c r="E302" s="4">
        <v>0.19400000000000001</v>
      </c>
      <c r="F302" s="4">
        <v>1</v>
      </c>
      <c r="G302" s="4">
        <v>14</v>
      </c>
      <c r="H302" s="8">
        <v>15</v>
      </c>
    </row>
    <row r="303" spans="1:8" ht="15.75" customHeight="1" x14ac:dyDescent="0.25">
      <c r="A303" s="26">
        <v>301</v>
      </c>
      <c r="B303" s="4">
        <v>302</v>
      </c>
      <c r="C303" s="4">
        <v>0.13639999999999999</v>
      </c>
      <c r="D303" s="4">
        <v>0.5</v>
      </c>
      <c r="E303" s="4">
        <v>0.19400000000000001</v>
      </c>
      <c r="F303" s="4">
        <v>0</v>
      </c>
      <c r="G303" s="4">
        <v>14</v>
      </c>
      <c r="H303" s="8">
        <v>14</v>
      </c>
    </row>
    <row r="304" spans="1:8" ht="15.75" customHeight="1" x14ac:dyDescent="0.25">
      <c r="A304" s="26">
        <v>302</v>
      </c>
      <c r="B304" s="4">
        <v>303</v>
      </c>
      <c r="C304" s="4">
        <v>0.1212</v>
      </c>
      <c r="D304" s="4">
        <v>0.54</v>
      </c>
      <c r="E304" s="4">
        <v>0.16420000000000001</v>
      </c>
      <c r="F304" s="4">
        <v>0</v>
      </c>
      <c r="G304" s="4">
        <v>5</v>
      </c>
      <c r="H304" s="8">
        <v>5</v>
      </c>
    </row>
    <row r="305" spans="1:8" ht="15.75" customHeight="1" x14ac:dyDescent="0.25">
      <c r="A305" s="26">
        <v>303</v>
      </c>
      <c r="B305" s="4">
        <v>304</v>
      </c>
      <c r="C305" s="4">
        <v>0.1212</v>
      </c>
      <c r="D305" s="4">
        <v>0.54</v>
      </c>
      <c r="E305" s="4">
        <v>0.1343</v>
      </c>
      <c r="F305" s="4">
        <v>0</v>
      </c>
      <c r="G305" s="4">
        <v>1</v>
      </c>
      <c r="H305" s="8">
        <v>1</v>
      </c>
    </row>
    <row r="306" spans="1:8" ht="15.75" customHeight="1" x14ac:dyDescent="0.25">
      <c r="A306" s="26">
        <v>304</v>
      </c>
      <c r="B306" s="4">
        <v>305</v>
      </c>
      <c r="C306" s="4">
        <v>0.13639999999999999</v>
      </c>
      <c r="D306" s="4">
        <v>0.54</v>
      </c>
      <c r="E306" s="4">
        <v>0.1045</v>
      </c>
      <c r="F306" s="4">
        <v>0</v>
      </c>
      <c r="G306" s="4">
        <v>1</v>
      </c>
      <c r="H306" s="8">
        <v>1</v>
      </c>
    </row>
    <row r="307" spans="1:8" ht="15.75" customHeight="1" x14ac:dyDescent="0.25">
      <c r="A307" s="26">
        <v>305</v>
      </c>
      <c r="B307" s="4">
        <v>306</v>
      </c>
      <c r="C307" s="4">
        <v>0.13639999999999999</v>
      </c>
      <c r="D307" s="4">
        <v>0.54</v>
      </c>
      <c r="E307" s="4">
        <v>8.9599999999999999E-2</v>
      </c>
      <c r="F307" s="4">
        <v>0</v>
      </c>
      <c r="G307" s="4">
        <v>8</v>
      </c>
      <c r="H307" s="8">
        <v>8</v>
      </c>
    </row>
    <row r="308" spans="1:8" ht="15.75" customHeight="1" x14ac:dyDescent="0.25">
      <c r="A308" s="26">
        <v>306</v>
      </c>
      <c r="B308" s="4">
        <v>307</v>
      </c>
      <c r="C308" s="4">
        <v>0.18179999999999999</v>
      </c>
      <c r="D308" s="4">
        <v>0.54</v>
      </c>
      <c r="E308" s="4">
        <v>0</v>
      </c>
      <c r="F308" s="4">
        <v>0</v>
      </c>
      <c r="G308" s="4">
        <v>17</v>
      </c>
      <c r="H308" s="8">
        <v>17</v>
      </c>
    </row>
    <row r="309" spans="1:8" ht="15.75" customHeight="1" x14ac:dyDescent="0.25">
      <c r="A309" s="26">
        <v>307</v>
      </c>
      <c r="B309" s="4">
        <v>308</v>
      </c>
      <c r="C309" s="4">
        <v>0.1212</v>
      </c>
      <c r="D309" s="4">
        <v>0.74</v>
      </c>
      <c r="E309" s="4">
        <v>0.16420000000000001</v>
      </c>
      <c r="F309" s="4">
        <v>0</v>
      </c>
      <c r="G309" s="4">
        <v>70</v>
      </c>
      <c r="H309" s="8">
        <v>70</v>
      </c>
    </row>
    <row r="310" spans="1:8" ht="15.75" customHeight="1" x14ac:dyDescent="0.25">
      <c r="A310" s="26">
        <v>308</v>
      </c>
      <c r="B310" s="4">
        <v>309</v>
      </c>
      <c r="C310" s="4">
        <v>0.16669999999999999</v>
      </c>
      <c r="D310" s="4">
        <v>0.68</v>
      </c>
      <c r="E310" s="4">
        <v>0</v>
      </c>
      <c r="F310" s="4">
        <v>2</v>
      </c>
      <c r="G310" s="4">
        <v>156</v>
      </c>
      <c r="H310" s="8">
        <v>158</v>
      </c>
    </row>
    <row r="311" spans="1:8" ht="15.75" customHeight="1" x14ac:dyDescent="0.25">
      <c r="A311" s="26">
        <v>309</v>
      </c>
      <c r="B311" s="4">
        <v>310</v>
      </c>
      <c r="C311" s="4">
        <v>0.1515</v>
      </c>
      <c r="D311" s="4">
        <v>0.69</v>
      </c>
      <c r="E311" s="4">
        <v>0.1343</v>
      </c>
      <c r="F311" s="4">
        <v>0</v>
      </c>
      <c r="G311" s="4">
        <v>117</v>
      </c>
      <c r="H311" s="8">
        <v>117</v>
      </c>
    </row>
    <row r="312" spans="1:8" ht="15.75" customHeight="1" x14ac:dyDescent="0.25">
      <c r="A312" s="26">
        <v>310</v>
      </c>
      <c r="B312" s="4">
        <v>311</v>
      </c>
      <c r="C312" s="4">
        <v>0.18179999999999999</v>
      </c>
      <c r="D312" s="4">
        <v>0.55000000000000004</v>
      </c>
      <c r="E312" s="4">
        <v>0.19400000000000001</v>
      </c>
      <c r="F312" s="4">
        <v>4</v>
      </c>
      <c r="G312" s="4">
        <v>40</v>
      </c>
      <c r="H312" s="8">
        <v>44</v>
      </c>
    </row>
    <row r="313" spans="1:8" ht="15.75" customHeight="1" x14ac:dyDescent="0.25">
      <c r="A313" s="26">
        <v>311</v>
      </c>
      <c r="B313" s="4">
        <v>312</v>
      </c>
      <c r="C313" s="4">
        <v>0.16669999999999999</v>
      </c>
      <c r="D313" s="4">
        <v>0.51</v>
      </c>
      <c r="E313" s="4">
        <v>0.28360000000000002</v>
      </c>
      <c r="F313" s="4">
        <v>6</v>
      </c>
      <c r="G313" s="4">
        <v>47</v>
      </c>
      <c r="H313" s="8">
        <v>53</v>
      </c>
    </row>
    <row r="314" spans="1:8" ht="15.75" customHeight="1" x14ac:dyDescent="0.25">
      <c r="A314" s="26">
        <v>312</v>
      </c>
      <c r="B314" s="4">
        <v>313</v>
      </c>
      <c r="C314" s="4">
        <v>0.19700000000000001</v>
      </c>
      <c r="D314" s="4">
        <v>0.44</v>
      </c>
      <c r="E314" s="4">
        <v>0.25369999999999998</v>
      </c>
      <c r="F314" s="4">
        <v>2</v>
      </c>
      <c r="G314" s="4">
        <v>59</v>
      </c>
      <c r="H314" s="8">
        <v>61</v>
      </c>
    </row>
    <row r="315" spans="1:8" ht="15.75" customHeight="1" x14ac:dyDescent="0.25">
      <c r="A315" s="26">
        <v>313</v>
      </c>
      <c r="B315" s="4">
        <v>314</v>
      </c>
      <c r="C315" s="4">
        <v>0.19700000000000001</v>
      </c>
      <c r="D315" s="4">
        <v>0.37</v>
      </c>
      <c r="E315" s="4">
        <v>0.3881</v>
      </c>
      <c r="F315" s="4">
        <v>4</v>
      </c>
      <c r="G315" s="4">
        <v>73</v>
      </c>
      <c r="H315" s="8">
        <v>77</v>
      </c>
    </row>
    <row r="316" spans="1:8" ht="15.75" customHeight="1" x14ac:dyDescent="0.25">
      <c r="A316" s="26">
        <v>314</v>
      </c>
      <c r="B316" s="4">
        <v>315</v>
      </c>
      <c r="C316" s="4">
        <v>0.21210000000000001</v>
      </c>
      <c r="D316" s="4">
        <v>0.41</v>
      </c>
      <c r="E316" s="4">
        <v>0.28360000000000002</v>
      </c>
      <c r="F316" s="4">
        <v>5</v>
      </c>
      <c r="G316" s="4">
        <v>59</v>
      </c>
      <c r="H316" s="8">
        <v>64</v>
      </c>
    </row>
    <row r="317" spans="1:8" ht="15.75" customHeight="1" x14ac:dyDescent="0.25">
      <c r="A317" s="26">
        <v>315</v>
      </c>
      <c r="B317" s="4">
        <v>316</v>
      </c>
      <c r="C317" s="4">
        <v>0.2424</v>
      </c>
      <c r="D317" s="4">
        <v>0.38</v>
      </c>
      <c r="E317" s="4">
        <v>0.16420000000000001</v>
      </c>
      <c r="F317" s="4">
        <v>9</v>
      </c>
      <c r="G317" s="4">
        <v>59</v>
      </c>
      <c r="H317" s="8">
        <v>68</v>
      </c>
    </row>
    <row r="318" spans="1:8" ht="15.75" customHeight="1" x14ac:dyDescent="0.25">
      <c r="A318" s="26">
        <v>316</v>
      </c>
      <c r="B318" s="4">
        <v>317</v>
      </c>
      <c r="C318" s="4">
        <v>0.2424</v>
      </c>
      <c r="D318" s="4">
        <v>0.41</v>
      </c>
      <c r="E318" s="4">
        <v>0.1045</v>
      </c>
      <c r="F318" s="4">
        <v>3</v>
      </c>
      <c r="G318" s="4">
        <v>87</v>
      </c>
      <c r="H318" s="8">
        <v>90</v>
      </c>
    </row>
    <row r="319" spans="1:8" ht="15.75" customHeight="1" x14ac:dyDescent="0.25">
      <c r="A319" s="26">
        <v>317</v>
      </c>
      <c r="B319" s="4">
        <v>318</v>
      </c>
      <c r="C319" s="4">
        <v>0.2273</v>
      </c>
      <c r="D319" s="4">
        <v>0.41</v>
      </c>
      <c r="E319" s="4">
        <v>0.16420000000000001</v>
      </c>
      <c r="F319" s="4">
        <v>4</v>
      </c>
      <c r="G319" s="4">
        <v>155</v>
      </c>
      <c r="H319" s="8">
        <v>159</v>
      </c>
    </row>
    <row r="320" spans="1:8" ht="15.75" customHeight="1" x14ac:dyDescent="0.25">
      <c r="A320" s="26">
        <v>318</v>
      </c>
      <c r="B320" s="4">
        <v>319</v>
      </c>
      <c r="C320" s="4">
        <v>0.2576</v>
      </c>
      <c r="D320" s="4">
        <v>0.47</v>
      </c>
      <c r="E320" s="4">
        <v>0</v>
      </c>
      <c r="F320" s="4">
        <v>5</v>
      </c>
      <c r="G320" s="4">
        <v>134</v>
      </c>
      <c r="H320" s="8">
        <v>139</v>
      </c>
    </row>
    <row r="321" spans="1:8" ht="15.75" customHeight="1" x14ac:dyDescent="0.25">
      <c r="A321" s="26">
        <v>319</v>
      </c>
      <c r="B321" s="4">
        <v>320</v>
      </c>
      <c r="C321" s="4">
        <v>0.19700000000000001</v>
      </c>
      <c r="D321" s="4">
        <v>0.59</v>
      </c>
      <c r="E321" s="4">
        <v>8.9599999999999999E-2</v>
      </c>
      <c r="F321" s="4">
        <v>3</v>
      </c>
      <c r="G321" s="4">
        <v>89</v>
      </c>
      <c r="H321" s="8">
        <v>92</v>
      </c>
    </row>
    <row r="322" spans="1:8" ht="15.75" customHeight="1" x14ac:dyDescent="0.25">
      <c r="A322" s="26">
        <v>320</v>
      </c>
      <c r="B322" s="4">
        <v>321</v>
      </c>
      <c r="C322" s="4">
        <v>0.2424</v>
      </c>
      <c r="D322" s="4">
        <v>0.59</v>
      </c>
      <c r="E322" s="4">
        <v>0</v>
      </c>
      <c r="F322" s="4">
        <v>0</v>
      </c>
      <c r="G322" s="4">
        <v>68</v>
      </c>
      <c r="H322" s="8">
        <v>68</v>
      </c>
    </row>
    <row r="323" spans="1:8" ht="15.75" customHeight="1" x14ac:dyDescent="0.25">
      <c r="A323" s="26">
        <v>321</v>
      </c>
      <c r="B323" s="4">
        <v>322</v>
      </c>
      <c r="C323" s="4">
        <v>0.2273</v>
      </c>
      <c r="D323" s="4">
        <v>0.69</v>
      </c>
      <c r="E323" s="4">
        <v>0</v>
      </c>
      <c r="F323" s="4">
        <v>4</v>
      </c>
      <c r="G323" s="4">
        <v>48</v>
      </c>
      <c r="H323" s="8">
        <v>52</v>
      </c>
    </row>
    <row r="324" spans="1:8" ht="15.75" customHeight="1" x14ac:dyDescent="0.25">
      <c r="A324" s="26">
        <v>322</v>
      </c>
      <c r="B324" s="4">
        <v>323</v>
      </c>
      <c r="C324" s="4">
        <v>0.2273</v>
      </c>
      <c r="D324" s="4">
        <v>0.69</v>
      </c>
      <c r="E324" s="4">
        <v>0</v>
      </c>
      <c r="F324" s="4">
        <v>2</v>
      </c>
      <c r="G324" s="4">
        <v>34</v>
      </c>
      <c r="H324" s="8">
        <v>36</v>
      </c>
    </row>
    <row r="325" spans="1:8" ht="15.75" customHeight="1" x14ac:dyDescent="0.25">
      <c r="A325" s="26">
        <v>323</v>
      </c>
      <c r="B325" s="4">
        <v>324</v>
      </c>
      <c r="C325" s="4">
        <v>0.2424</v>
      </c>
      <c r="D325" s="4">
        <v>0.55000000000000004</v>
      </c>
      <c r="E325" s="4">
        <v>0</v>
      </c>
      <c r="F325" s="4">
        <v>1</v>
      </c>
      <c r="G325" s="4">
        <v>26</v>
      </c>
      <c r="H325" s="8">
        <v>27</v>
      </c>
    </row>
    <row r="326" spans="1:8" ht="15.75" customHeight="1" x14ac:dyDescent="0.25">
      <c r="A326" s="26">
        <v>324</v>
      </c>
      <c r="B326" s="4">
        <v>325</v>
      </c>
      <c r="C326" s="4">
        <v>0.2424</v>
      </c>
      <c r="D326" s="4">
        <v>0.55000000000000004</v>
      </c>
      <c r="E326" s="4">
        <v>0</v>
      </c>
      <c r="F326" s="4">
        <v>3</v>
      </c>
      <c r="G326" s="4">
        <v>25</v>
      </c>
      <c r="H326" s="8">
        <v>28</v>
      </c>
    </row>
    <row r="327" spans="1:8" ht="15.75" customHeight="1" x14ac:dyDescent="0.25">
      <c r="A327" s="26">
        <v>325</v>
      </c>
      <c r="B327" s="4">
        <v>326</v>
      </c>
      <c r="C327" s="4">
        <v>0.19700000000000001</v>
      </c>
      <c r="D327" s="4">
        <v>0.59</v>
      </c>
      <c r="E327" s="4">
        <v>8.9599999999999999E-2</v>
      </c>
      <c r="F327" s="4">
        <v>2</v>
      </c>
      <c r="G327" s="4">
        <v>18</v>
      </c>
      <c r="H327" s="8">
        <v>20</v>
      </c>
    </row>
    <row r="328" spans="1:8" ht="15.75" customHeight="1" x14ac:dyDescent="0.25">
      <c r="A328" s="26">
        <v>326</v>
      </c>
      <c r="B328" s="4">
        <v>327</v>
      </c>
      <c r="C328" s="4">
        <v>0.19700000000000001</v>
      </c>
      <c r="D328" s="4">
        <v>0.59</v>
      </c>
      <c r="E328" s="4">
        <v>8.9599999999999999E-2</v>
      </c>
      <c r="F328" s="4">
        <v>0</v>
      </c>
      <c r="G328" s="4">
        <v>12</v>
      </c>
      <c r="H328" s="8">
        <v>12</v>
      </c>
    </row>
    <row r="329" spans="1:8" ht="15.75" customHeight="1" x14ac:dyDescent="0.25">
      <c r="A329" s="26">
        <v>327</v>
      </c>
      <c r="B329" s="4">
        <v>328</v>
      </c>
      <c r="C329" s="4">
        <v>0.2273</v>
      </c>
      <c r="D329" s="4">
        <v>0.59</v>
      </c>
      <c r="E329" s="4">
        <v>0</v>
      </c>
      <c r="F329" s="4">
        <v>1</v>
      </c>
      <c r="G329" s="4">
        <v>7</v>
      </c>
      <c r="H329" s="8">
        <v>8</v>
      </c>
    </row>
    <row r="330" spans="1:8" ht="15.75" customHeight="1" x14ac:dyDescent="0.25">
      <c r="A330" s="26">
        <v>328</v>
      </c>
      <c r="B330" s="4">
        <v>329</v>
      </c>
      <c r="C330" s="4">
        <v>0.2273</v>
      </c>
      <c r="D330" s="4">
        <v>0.59</v>
      </c>
      <c r="E330" s="4">
        <v>0</v>
      </c>
      <c r="F330" s="4">
        <v>0</v>
      </c>
      <c r="G330" s="4">
        <v>5</v>
      </c>
      <c r="H330" s="8">
        <v>5</v>
      </c>
    </row>
    <row r="331" spans="1:8" ht="15.75" customHeight="1" x14ac:dyDescent="0.25">
      <c r="A331" s="26">
        <v>329</v>
      </c>
      <c r="B331" s="4">
        <v>330</v>
      </c>
      <c r="C331" s="4">
        <v>0.2273</v>
      </c>
      <c r="D331" s="4">
        <v>0.59</v>
      </c>
      <c r="E331" s="4">
        <v>0</v>
      </c>
      <c r="F331" s="4">
        <v>0</v>
      </c>
      <c r="G331" s="4">
        <v>1</v>
      </c>
      <c r="H331" s="8">
        <v>1</v>
      </c>
    </row>
    <row r="332" spans="1:8" ht="15.75" customHeight="1" x14ac:dyDescent="0.25">
      <c r="A332" s="26">
        <v>330</v>
      </c>
      <c r="B332" s="4">
        <v>331</v>
      </c>
      <c r="C332" s="4">
        <v>0.16669999999999999</v>
      </c>
      <c r="D332" s="4">
        <v>0.63</v>
      </c>
      <c r="E332" s="4">
        <v>0.1045</v>
      </c>
      <c r="F332" s="4">
        <v>1</v>
      </c>
      <c r="G332" s="4">
        <v>2</v>
      </c>
      <c r="H332" s="8">
        <v>3</v>
      </c>
    </row>
    <row r="333" spans="1:8" ht="15.75" customHeight="1" x14ac:dyDescent="0.25">
      <c r="A333" s="26">
        <v>331</v>
      </c>
      <c r="B333" s="4">
        <v>332</v>
      </c>
      <c r="C333" s="4">
        <v>0.21210000000000001</v>
      </c>
      <c r="D333" s="4">
        <v>0.63</v>
      </c>
      <c r="E333" s="4">
        <v>0</v>
      </c>
      <c r="F333" s="4">
        <v>1</v>
      </c>
      <c r="G333" s="4">
        <v>9</v>
      </c>
      <c r="H333" s="8">
        <v>10</v>
      </c>
    </row>
    <row r="334" spans="1:8" ht="15.75" customHeight="1" x14ac:dyDescent="0.25">
      <c r="A334" s="26">
        <v>332</v>
      </c>
      <c r="B334" s="4">
        <v>333</v>
      </c>
      <c r="C334" s="4">
        <v>0.1515</v>
      </c>
      <c r="D334" s="4">
        <v>0.63</v>
      </c>
      <c r="E334" s="4">
        <v>0.1343</v>
      </c>
      <c r="F334" s="4">
        <v>1</v>
      </c>
      <c r="G334" s="4">
        <v>22</v>
      </c>
      <c r="H334" s="8">
        <v>23</v>
      </c>
    </row>
    <row r="335" spans="1:8" ht="15.75" customHeight="1" x14ac:dyDescent="0.25">
      <c r="A335" s="26">
        <v>333</v>
      </c>
      <c r="B335" s="4">
        <v>334</v>
      </c>
      <c r="C335" s="4">
        <v>0.18179999999999999</v>
      </c>
      <c r="D335" s="4">
        <v>0.64</v>
      </c>
      <c r="E335" s="4">
        <v>0.1343</v>
      </c>
      <c r="F335" s="4">
        <v>2</v>
      </c>
      <c r="G335" s="4">
        <v>31</v>
      </c>
      <c r="H335" s="8">
        <v>33</v>
      </c>
    </row>
    <row r="336" spans="1:8" ht="15.75" customHeight="1" x14ac:dyDescent="0.25">
      <c r="A336" s="26">
        <v>334</v>
      </c>
      <c r="B336" s="4">
        <v>335</v>
      </c>
      <c r="C336" s="4">
        <v>0.19700000000000001</v>
      </c>
      <c r="D336" s="4">
        <v>0.59</v>
      </c>
      <c r="E336" s="4">
        <v>0.16420000000000001</v>
      </c>
      <c r="F336" s="4">
        <v>2</v>
      </c>
      <c r="G336" s="4">
        <v>57</v>
      </c>
      <c r="H336" s="8">
        <v>59</v>
      </c>
    </row>
    <row r="337" spans="1:8" ht="15.75" customHeight="1" x14ac:dyDescent="0.25">
      <c r="A337" s="26">
        <v>335</v>
      </c>
      <c r="B337" s="4">
        <v>336</v>
      </c>
      <c r="C337" s="4">
        <v>0.19700000000000001</v>
      </c>
      <c r="D337" s="4">
        <v>0.55000000000000004</v>
      </c>
      <c r="E337" s="4">
        <v>0.22389999999999999</v>
      </c>
      <c r="F337" s="4">
        <v>18</v>
      </c>
      <c r="G337" s="4">
        <v>54</v>
      </c>
      <c r="H337" s="8">
        <v>72</v>
      </c>
    </row>
    <row r="338" spans="1:8" ht="15.75" customHeight="1" x14ac:dyDescent="0.25">
      <c r="A338" s="26">
        <v>336</v>
      </c>
      <c r="B338" s="4">
        <v>337</v>
      </c>
      <c r="C338" s="4">
        <v>0.2273</v>
      </c>
      <c r="D338" s="4">
        <v>0.48</v>
      </c>
      <c r="E338" s="4">
        <v>0.22389999999999999</v>
      </c>
      <c r="F338" s="4">
        <v>15</v>
      </c>
      <c r="G338" s="4">
        <v>74</v>
      </c>
      <c r="H338" s="8">
        <v>89</v>
      </c>
    </row>
    <row r="339" spans="1:8" ht="15.75" customHeight="1" x14ac:dyDescent="0.25">
      <c r="A339" s="26">
        <v>337</v>
      </c>
      <c r="B339" s="4">
        <v>338</v>
      </c>
      <c r="C339" s="4">
        <v>0.2576</v>
      </c>
      <c r="D339" s="4">
        <v>0.38</v>
      </c>
      <c r="E339" s="4">
        <v>0.29849999999999999</v>
      </c>
      <c r="F339" s="4">
        <v>21</v>
      </c>
      <c r="G339" s="4">
        <v>80</v>
      </c>
      <c r="H339" s="8">
        <v>101</v>
      </c>
    </row>
    <row r="340" spans="1:8" ht="15.75" customHeight="1" x14ac:dyDescent="0.25">
      <c r="A340" s="26">
        <v>338</v>
      </c>
      <c r="B340" s="4">
        <v>339</v>
      </c>
      <c r="C340" s="4">
        <v>0.28789999999999999</v>
      </c>
      <c r="D340" s="4">
        <v>0.39</v>
      </c>
      <c r="E340" s="4">
        <v>0.28360000000000002</v>
      </c>
      <c r="F340" s="4">
        <v>26</v>
      </c>
      <c r="G340" s="4">
        <v>92</v>
      </c>
      <c r="H340" s="8">
        <v>118</v>
      </c>
    </row>
    <row r="341" spans="1:8" ht="15.75" customHeight="1" x14ac:dyDescent="0.25">
      <c r="A341" s="26">
        <v>339</v>
      </c>
      <c r="B341" s="4">
        <v>340</v>
      </c>
      <c r="C341" s="4">
        <v>0.31819999999999998</v>
      </c>
      <c r="D341" s="4">
        <v>0.36</v>
      </c>
      <c r="E341" s="4">
        <v>0.19400000000000001</v>
      </c>
      <c r="F341" s="4">
        <v>21</v>
      </c>
      <c r="G341" s="4">
        <v>108</v>
      </c>
      <c r="H341" s="8">
        <v>129</v>
      </c>
    </row>
    <row r="342" spans="1:8" ht="15.75" customHeight="1" x14ac:dyDescent="0.25">
      <c r="A342" s="26">
        <v>340</v>
      </c>
      <c r="B342" s="4">
        <v>341</v>
      </c>
      <c r="C342" s="4">
        <v>0.33329999999999999</v>
      </c>
      <c r="D342" s="4">
        <v>0.34</v>
      </c>
      <c r="E342" s="4">
        <v>0.19400000000000001</v>
      </c>
      <c r="F342" s="4">
        <v>33</v>
      </c>
      <c r="G342" s="4">
        <v>95</v>
      </c>
      <c r="H342" s="8">
        <v>128</v>
      </c>
    </row>
    <row r="343" spans="1:8" ht="15.75" customHeight="1" x14ac:dyDescent="0.25">
      <c r="A343" s="26">
        <v>341</v>
      </c>
      <c r="B343" s="4">
        <v>342</v>
      </c>
      <c r="C343" s="4">
        <v>0.30299999999999999</v>
      </c>
      <c r="D343" s="4">
        <v>0.36</v>
      </c>
      <c r="E343" s="4">
        <v>0.28360000000000002</v>
      </c>
      <c r="F343" s="4">
        <v>29</v>
      </c>
      <c r="G343" s="4">
        <v>54</v>
      </c>
      <c r="H343" s="8">
        <v>83</v>
      </c>
    </row>
    <row r="344" spans="1:8" ht="15.75" customHeight="1" x14ac:dyDescent="0.25">
      <c r="A344" s="26">
        <v>342</v>
      </c>
      <c r="B344" s="4">
        <v>343</v>
      </c>
      <c r="C344" s="4">
        <v>0.28789999999999999</v>
      </c>
      <c r="D344" s="4">
        <v>0.45</v>
      </c>
      <c r="E344" s="4">
        <v>0.25369999999999998</v>
      </c>
      <c r="F344" s="4">
        <v>15</v>
      </c>
      <c r="G344" s="4">
        <v>69</v>
      </c>
      <c r="H344" s="8">
        <v>84</v>
      </c>
    </row>
    <row r="345" spans="1:8" ht="15.75" customHeight="1" x14ac:dyDescent="0.25">
      <c r="A345" s="26">
        <v>343</v>
      </c>
      <c r="B345" s="4">
        <v>344</v>
      </c>
      <c r="C345" s="4">
        <v>0.30299999999999999</v>
      </c>
      <c r="D345" s="4">
        <v>0.39</v>
      </c>
      <c r="E345" s="4">
        <v>0.25369999999999998</v>
      </c>
      <c r="F345" s="4">
        <v>14</v>
      </c>
      <c r="G345" s="4">
        <v>60</v>
      </c>
      <c r="H345" s="8">
        <v>74</v>
      </c>
    </row>
    <row r="346" spans="1:8" ht="15.75" customHeight="1" x14ac:dyDescent="0.25">
      <c r="A346" s="26">
        <v>344</v>
      </c>
      <c r="B346" s="4">
        <v>345</v>
      </c>
      <c r="C346" s="4">
        <v>0.30299999999999999</v>
      </c>
      <c r="D346" s="4">
        <v>0.39</v>
      </c>
      <c r="E346" s="4">
        <v>0.25369999999999998</v>
      </c>
      <c r="F346" s="4">
        <v>6</v>
      </c>
      <c r="G346" s="4">
        <v>35</v>
      </c>
      <c r="H346" s="8">
        <v>41</v>
      </c>
    </row>
    <row r="347" spans="1:8" ht="15.75" customHeight="1" x14ac:dyDescent="0.25">
      <c r="A347" s="26">
        <v>345</v>
      </c>
      <c r="B347" s="4">
        <v>346</v>
      </c>
      <c r="C347" s="4">
        <v>0.30299999999999999</v>
      </c>
      <c r="D347" s="4">
        <v>0.39</v>
      </c>
      <c r="E347" s="4">
        <v>0.22389999999999999</v>
      </c>
      <c r="F347" s="4">
        <v>6</v>
      </c>
      <c r="G347" s="4">
        <v>51</v>
      </c>
      <c r="H347" s="8">
        <v>57</v>
      </c>
    </row>
    <row r="348" spans="1:8" ht="15.75" customHeight="1" x14ac:dyDescent="0.25">
      <c r="A348" s="26">
        <v>346</v>
      </c>
      <c r="B348" s="4">
        <v>347</v>
      </c>
      <c r="C348" s="4">
        <v>0.31819999999999998</v>
      </c>
      <c r="D348" s="4">
        <v>0.42</v>
      </c>
      <c r="E348" s="4">
        <v>0.1045</v>
      </c>
      <c r="F348" s="4">
        <v>0</v>
      </c>
      <c r="G348" s="4">
        <v>26</v>
      </c>
      <c r="H348" s="8">
        <v>26</v>
      </c>
    </row>
    <row r="349" spans="1:8" ht="15.75" customHeight="1" x14ac:dyDescent="0.25">
      <c r="A349" s="26">
        <v>347</v>
      </c>
      <c r="B349" s="4">
        <v>348</v>
      </c>
      <c r="C349" s="4">
        <v>0.28789999999999999</v>
      </c>
      <c r="D349" s="4">
        <v>0.45</v>
      </c>
      <c r="E349" s="4">
        <v>0.28360000000000002</v>
      </c>
      <c r="F349" s="4">
        <v>5</v>
      </c>
      <c r="G349" s="4">
        <v>39</v>
      </c>
      <c r="H349" s="8">
        <v>44</v>
      </c>
    </row>
    <row r="350" spans="1:8" ht="15.75" customHeight="1" x14ac:dyDescent="0.25">
      <c r="A350" s="26">
        <v>348</v>
      </c>
      <c r="B350" s="4">
        <v>349</v>
      </c>
      <c r="C350" s="4">
        <v>0.30299999999999999</v>
      </c>
      <c r="D350" s="4">
        <v>0.56000000000000005</v>
      </c>
      <c r="E350" s="4">
        <v>0</v>
      </c>
      <c r="F350" s="4">
        <v>6</v>
      </c>
      <c r="G350" s="4">
        <v>33</v>
      </c>
      <c r="H350" s="8">
        <v>39</v>
      </c>
    </row>
    <row r="351" spans="1:8" ht="15.75" customHeight="1" x14ac:dyDescent="0.25">
      <c r="A351" s="26">
        <v>349</v>
      </c>
      <c r="B351" s="4">
        <v>350</v>
      </c>
      <c r="C351" s="4">
        <v>0.2727</v>
      </c>
      <c r="D351" s="4">
        <v>0.56000000000000005</v>
      </c>
      <c r="E351" s="4">
        <v>0.1343</v>
      </c>
      <c r="F351" s="4">
        <v>4</v>
      </c>
      <c r="G351" s="4">
        <v>19</v>
      </c>
      <c r="H351" s="8">
        <v>23</v>
      </c>
    </row>
    <row r="352" spans="1:8" ht="15.75" customHeight="1" x14ac:dyDescent="0.25">
      <c r="A352" s="26">
        <v>350</v>
      </c>
      <c r="B352" s="4">
        <v>351</v>
      </c>
      <c r="C352" s="4">
        <v>0.28789999999999999</v>
      </c>
      <c r="D352" s="4">
        <v>0.56000000000000005</v>
      </c>
      <c r="E352" s="4">
        <v>8.9599999999999999E-2</v>
      </c>
      <c r="F352" s="4">
        <v>3</v>
      </c>
      <c r="G352" s="4">
        <v>13</v>
      </c>
      <c r="H352" s="8">
        <v>16</v>
      </c>
    </row>
    <row r="353" spans="1:8" ht="15.75" customHeight="1" x14ac:dyDescent="0.25">
      <c r="A353" s="26">
        <v>351</v>
      </c>
      <c r="B353" s="4">
        <v>352</v>
      </c>
      <c r="C353" s="4">
        <v>0.2727</v>
      </c>
      <c r="D353" s="4">
        <v>0.69</v>
      </c>
      <c r="E353" s="4">
        <v>0</v>
      </c>
      <c r="F353" s="4">
        <v>9</v>
      </c>
      <c r="G353" s="4">
        <v>6</v>
      </c>
      <c r="H353" s="8">
        <v>15</v>
      </c>
    </row>
    <row r="354" spans="1:8" ht="15.75" customHeight="1" x14ac:dyDescent="0.25">
      <c r="A354" s="26">
        <v>352</v>
      </c>
      <c r="B354" s="4">
        <v>353</v>
      </c>
      <c r="C354" s="4">
        <v>0.2576</v>
      </c>
      <c r="D354" s="4">
        <v>0.56000000000000005</v>
      </c>
      <c r="E354" s="4">
        <v>0.16420000000000001</v>
      </c>
      <c r="F354" s="4">
        <v>0</v>
      </c>
      <c r="G354" s="4">
        <v>1</v>
      </c>
      <c r="H354" s="8">
        <v>1</v>
      </c>
    </row>
    <row r="355" spans="1:8" ht="15.75" customHeight="1" x14ac:dyDescent="0.25">
      <c r="A355" s="26">
        <v>353</v>
      </c>
      <c r="B355" s="4">
        <v>354</v>
      </c>
      <c r="C355" s="4">
        <v>0.2576</v>
      </c>
      <c r="D355" s="4">
        <v>0.56000000000000005</v>
      </c>
      <c r="E355" s="4">
        <v>0.16420000000000001</v>
      </c>
      <c r="F355" s="4">
        <v>1</v>
      </c>
      <c r="G355" s="4">
        <v>1</v>
      </c>
      <c r="H355" s="8">
        <v>2</v>
      </c>
    </row>
    <row r="356" spans="1:8" ht="15.75" customHeight="1" x14ac:dyDescent="0.25">
      <c r="A356" s="26">
        <v>354</v>
      </c>
      <c r="B356" s="4">
        <v>355</v>
      </c>
      <c r="C356" s="4">
        <v>0.2576</v>
      </c>
      <c r="D356" s="4">
        <v>0.56000000000000005</v>
      </c>
      <c r="E356" s="4">
        <v>0.16420000000000001</v>
      </c>
      <c r="F356" s="4">
        <v>0</v>
      </c>
      <c r="G356" s="4">
        <v>1</v>
      </c>
      <c r="H356" s="8">
        <v>1</v>
      </c>
    </row>
    <row r="357" spans="1:8" ht="15.75" customHeight="1" x14ac:dyDescent="0.25">
      <c r="A357" s="26">
        <v>355</v>
      </c>
      <c r="B357" s="4">
        <v>356</v>
      </c>
      <c r="C357" s="4">
        <v>0.21210000000000001</v>
      </c>
      <c r="D357" s="4">
        <v>0.56000000000000005</v>
      </c>
      <c r="E357" s="4">
        <v>0.29849999999999999</v>
      </c>
      <c r="F357" s="4">
        <v>0</v>
      </c>
      <c r="G357" s="4">
        <v>3</v>
      </c>
      <c r="H357" s="8">
        <v>3</v>
      </c>
    </row>
    <row r="358" spans="1:8" ht="15.75" customHeight="1" x14ac:dyDescent="0.25">
      <c r="A358" s="26">
        <v>356</v>
      </c>
      <c r="B358" s="4">
        <v>357</v>
      </c>
      <c r="C358" s="4">
        <v>0.21210000000000001</v>
      </c>
      <c r="D358" s="4">
        <v>0.55000000000000004</v>
      </c>
      <c r="E358" s="4">
        <v>0.28360000000000002</v>
      </c>
      <c r="F358" s="4">
        <v>0</v>
      </c>
      <c r="G358" s="4">
        <v>18</v>
      </c>
      <c r="H358" s="8">
        <v>18</v>
      </c>
    </row>
    <row r="359" spans="1:8" ht="15.75" customHeight="1" x14ac:dyDescent="0.25">
      <c r="A359" s="26">
        <v>357</v>
      </c>
      <c r="B359" s="4">
        <v>358</v>
      </c>
      <c r="C359" s="4">
        <v>0.21210000000000001</v>
      </c>
      <c r="D359" s="4">
        <v>0.51</v>
      </c>
      <c r="E359" s="4">
        <v>0.25369999999999998</v>
      </c>
      <c r="F359" s="4">
        <v>3</v>
      </c>
      <c r="G359" s="4">
        <v>29</v>
      </c>
      <c r="H359" s="8">
        <v>32</v>
      </c>
    </row>
    <row r="360" spans="1:8" ht="15.75" customHeight="1" x14ac:dyDescent="0.25">
      <c r="A360" s="26">
        <v>358</v>
      </c>
      <c r="B360" s="4">
        <v>359</v>
      </c>
      <c r="C360" s="4">
        <v>0.21210000000000001</v>
      </c>
      <c r="D360" s="4">
        <v>0.51</v>
      </c>
      <c r="E360" s="4">
        <v>0.28360000000000002</v>
      </c>
      <c r="F360" s="4">
        <v>8</v>
      </c>
      <c r="G360" s="4">
        <v>71</v>
      </c>
      <c r="H360" s="8">
        <v>79</v>
      </c>
    </row>
    <row r="361" spans="1:8" ht="15.75" customHeight="1" x14ac:dyDescent="0.25">
      <c r="A361" s="26">
        <v>359</v>
      </c>
      <c r="B361" s="4">
        <v>360</v>
      </c>
      <c r="C361" s="4">
        <v>0.2273</v>
      </c>
      <c r="D361" s="4">
        <v>0.44</v>
      </c>
      <c r="E361" s="4">
        <v>0.25369999999999998</v>
      </c>
      <c r="F361" s="4">
        <v>23</v>
      </c>
      <c r="G361" s="4">
        <v>70</v>
      </c>
      <c r="H361" s="8">
        <v>93</v>
      </c>
    </row>
    <row r="362" spans="1:8" ht="15.75" customHeight="1" x14ac:dyDescent="0.25">
      <c r="A362" s="26">
        <v>360</v>
      </c>
      <c r="B362" s="4">
        <v>361</v>
      </c>
      <c r="C362" s="4">
        <v>0.21210000000000001</v>
      </c>
      <c r="D362" s="4">
        <v>0.41</v>
      </c>
      <c r="E362" s="4">
        <v>0.28360000000000002</v>
      </c>
      <c r="F362" s="4">
        <v>29</v>
      </c>
      <c r="G362" s="4">
        <v>75</v>
      </c>
      <c r="H362" s="8">
        <v>104</v>
      </c>
    </row>
    <row r="363" spans="1:8" ht="15.75" customHeight="1" x14ac:dyDescent="0.25">
      <c r="A363" s="26">
        <v>361</v>
      </c>
      <c r="B363" s="4">
        <v>362</v>
      </c>
      <c r="C363" s="4">
        <v>0.2273</v>
      </c>
      <c r="D363" s="4">
        <v>0.35</v>
      </c>
      <c r="E363" s="4">
        <v>0.29849999999999999</v>
      </c>
      <c r="F363" s="4">
        <v>23</v>
      </c>
      <c r="G363" s="4">
        <v>95</v>
      </c>
      <c r="H363" s="8">
        <v>118</v>
      </c>
    </row>
    <row r="364" spans="1:8" ht="15.75" customHeight="1" x14ac:dyDescent="0.25">
      <c r="A364" s="26">
        <v>362</v>
      </c>
      <c r="B364" s="4">
        <v>363</v>
      </c>
      <c r="C364" s="4">
        <v>0.2727</v>
      </c>
      <c r="D364" s="4">
        <v>0.36</v>
      </c>
      <c r="E364" s="4">
        <v>0.25369999999999998</v>
      </c>
      <c r="F364" s="4">
        <v>22</v>
      </c>
      <c r="G364" s="4">
        <v>69</v>
      </c>
      <c r="H364" s="8">
        <v>91</v>
      </c>
    </row>
    <row r="365" spans="1:8" ht="15.75" customHeight="1" x14ac:dyDescent="0.25">
      <c r="A365" s="26">
        <v>363</v>
      </c>
      <c r="B365" s="4">
        <v>364</v>
      </c>
      <c r="C365" s="4">
        <v>0.2424</v>
      </c>
      <c r="D365" s="4">
        <v>0.38</v>
      </c>
      <c r="E365" s="4">
        <v>0.25369999999999998</v>
      </c>
      <c r="F365" s="4">
        <v>35</v>
      </c>
      <c r="G365" s="4">
        <v>78</v>
      </c>
      <c r="H365" s="8">
        <v>113</v>
      </c>
    </row>
    <row r="366" spans="1:8" ht="15.75" customHeight="1" x14ac:dyDescent="0.25">
      <c r="A366" s="26">
        <v>364</v>
      </c>
      <c r="B366" s="4">
        <v>365</v>
      </c>
      <c r="C366" s="4">
        <v>0.2273</v>
      </c>
      <c r="D366" s="4">
        <v>0.38</v>
      </c>
      <c r="E366" s="4">
        <v>0.22389999999999999</v>
      </c>
      <c r="F366" s="4">
        <v>22</v>
      </c>
      <c r="G366" s="4">
        <v>77</v>
      </c>
      <c r="H366" s="8">
        <v>99</v>
      </c>
    </row>
    <row r="367" spans="1:8" ht="15.75" customHeight="1" x14ac:dyDescent="0.25">
      <c r="A367" s="26">
        <v>365</v>
      </c>
      <c r="B367" s="4">
        <v>366</v>
      </c>
      <c r="C367" s="4">
        <v>0.21210000000000001</v>
      </c>
      <c r="D367" s="4">
        <v>0.37</v>
      </c>
      <c r="E367" s="4">
        <v>0.25369999999999998</v>
      </c>
      <c r="F367" s="4">
        <v>23</v>
      </c>
      <c r="G367" s="4">
        <v>82</v>
      </c>
      <c r="H367" s="8">
        <v>105</v>
      </c>
    </row>
    <row r="368" spans="1:8" ht="15.75" customHeight="1" x14ac:dyDescent="0.25">
      <c r="A368" s="26">
        <v>366</v>
      </c>
      <c r="B368" s="4">
        <v>367</v>
      </c>
      <c r="C368" s="4">
        <v>0.21210000000000001</v>
      </c>
      <c r="D368" s="4">
        <v>0.4</v>
      </c>
      <c r="E368" s="4">
        <v>0.16420000000000001</v>
      </c>
      <c r="F368" s="4">
        <v>11</v>
      </c>
      <c r="G368" s="4">
        <v>56</v>
      </c>
      <c r="H368" s="8">
        <v>67</v>
      </c>
    </row>
    <row r="369" spans="1:8" ht="15.75" customHeight="1" x14ac:dyDescent="0.25">
      <c r="A369" s="26">
        <v>367</v>
      </c>
      <c r="B369" s="4">
        <v>368</v>
      </c>
      <c r="C369" s="4">
        <v>0.19700000000000001</v>
      </c>
      <c r="D369" s="4">
        <v>0.47</v>
      </c>
      <c r="E369" s="4">
        <v>0.1343</v>
      </c>
      <c r="F369" s="4">
        <v>14</v>
      </c>
      <c r="G369" s="4">
        <v>47</v>
      </c>
      <c r="H369" s="8">
        <v>61</v>
      </c>
    </row>
    <row r="370" spans="1:8" ht="15.75" customHeight="1" x14ac:dyDescent="0.25">
      <c r="A370" s="26">
        <v>368</v>
      </c>
      <c r="B370" s="4">
        <v>369</v>
      </c>
      <c r="C370" s="4">
        <v>0.19700000000000001</v>
      </c>
      <c r="D370" s="4">
        <v>0.47</v>
      </c>
      <c r="E370" s="4">
        <v>0.16420000000000001</v>
      </c>
      <c r="F370" s="4">
        <v>7</v>
      </c>
      <c r="G370" s="4">
        <v>50</v>
      </c>
      <c r="H370" s="8">
        <v>57</v>
      </c>
    </row>
    <row r="371" spans="1:8" ht="15.75" customHeight="1" x14ac:dyDescent="0.25">
      <c r="A371" s="26">
        <v>369</v>
      </c>
      <c r="B371" s="4">
        <v>370</v>
      </c>
      <c r="C371" s="4">
        <v>0.19700000000000001</v>
      </c>
      <c r="D371" s="4">
        <v>0.51</v>
      </c>
      <c r="E371" s="4">
        <v>0.16420000000000001</v>
      </c>
      <c r="F371" s="4">
        <v>6</v>
      </c>
      <c r="G371" s="4">
        <v>22</v>
      </c>
      <c r="H371" s="8">
        <v>28</v>
      </c>
    </row>
    <row r="372" spans="1:8" ht="15.75" customHeight="1" x14ac:dyDescent="0.25">
      <c r="A372" s="26">
        <v>370</v>
      </c>
      <c r="B372" s="4">
        <v>371</v>
      </c>
      <c r="C372" s="4">
        <v>0.21210000000000001</v>
      </c>
      <c r="D372" s="4">
        <v>0.49</v>
      </c>
      <c r="E372" s="4">
        <v>0.1343</v>
      </c>
      <c r="F372" s="4">
        <v>2</v>
      </c>
      <c r="G372" s="4">
        <v>19</v>
      </c>
      <c r="H372" s="8">
        <v>21</v>
      </c>
    </row>
    <row r="373" spans="1:8" ht="15.75" customHeight="1" x14ac:dyDescent="0.25">
      <c r="A373" s="26">
        <v>371</v>
      </c>
      <c r="B373" s="4">
        <v>372</v>
      </c>
      <c r="C373" s="4">
        <v>0.2273</v>
      </c>
      <c r="D373" s="4">
        <v>0.4</v>
      </c>
      <c r="E373" s="4">
        <v>0.1045</v>
      </c>
      <c r="F373" s="4">
        <v>0</v>
      </c>
      <c r="G373" s="4">
        <v>18</v>
      </c>
      <c r="H373" s="8">
        <v>18</v>
      </c>
    </row>
    <row r="374" spans="1:8" ht="15.75" customHeight="1" x14ac:dyDescent="0.25">
      <c r="A374" s="26">
        <v>372</v>
      </c>
      <c r="B374" s="4">
        <v>373</v>
      </c>
      <c r="C374" s="4">
        <v>0.19700000000000001</v>
      </c>
      <c r="D374" s="4">
        <v>0.47</v>
      </c>
      <c r="E374" s="4">
        <v>0.22389999999999999</v>
      </c>
      <c r="F374" s="4">
        <v>1</v>
      </c>
      <c r="G374" s="4">
        <v>16</v>
      </c>
      <c r="H374" s="8">
        <v>17</v>
      </c>
    </row>
    <row r="375" spans="1:8" ht="15.75" customHeight="1" x14ac:dyDescent="0.25">
      <c r="A375" s="26">
        <v>373</v>
      </c>
      <c r="B375" s="4">
        <v>374</v>
      </c>
      <c r="C375" s="4">
        <v>0.19700000000000001</v>
      </c>
      <c r="D375" s="4">
        <v>0.44</v>
      </c>
      <c r="E375" s="4">
        <v>0.19400000000000001</v>
      </c>
      <c r="F375" s="4">
        <v>1</v>
      </c>
      <c r="G375" s="4">
        <v>15</v>
      </c>
      <c r="H375" s="8">
        <v>16</v>
      </c>
    </row>
    <row r="376" spans="1:8" ht="15.75" customHeight="1" x14ac:dyDescent="0.25">
      <c r="A376" s="26">
        <v>374</v>
      </c>
      <c r="B376" s="4">
        <v>375</v>
      </c>
      <c r="C376" s="4">
        <v>0.16669999999999999</v>
      </c>
      <c r="D376" s="4">
        <v>0.43</v>
      </c>
      <c r="E376" s="4">
        <v>0.25369999999999998</v>
      </c>
      <c r="F376" s="4">
        <v>0</v>
      </c>
      <c r="G376" s="4">
        <v>8</v>
      </c>
      <c r="H376" s="8">
        <v>8</v>
      </c>
    </row>
    <row r="377" spans="1:8" ht="15.75" customHeight="1" x14ac:dyDescent="0.25">
      <c r="A377" s="26">
        <v>375</v>
      </c>
      <c r="B377" s="4">
        <v>376</v>
      </c>
      <c r="C377" s="4">
        <v>0.18179999999999999</v>
      </c>
      <c r="D377" s="4">
        <v>0.43</v>
      </c>
      <c r="E377" s="4">
        <v>0.19400000000000001</v>
      </c>
      <c r="F377" s="4">
        <v>0</v>
      </c>
      <c r="G377" s="4">
        <v>2</v>
      </c>
      <c r="H377" s="8">
        <v>2</v>
      </c>
    </row>
    <row r="378" spans="1:8" ht="15.75" customHeight="1" x14ac:dyDescent="0.25">
      <c r="A378" s="26">
        <v>376</v>
      </c>
      <c r="B378" s="4">
        <v>377</v>
      </c>
      <c r="C378" s="4">
        <v>0.19700000000000001</v>
      </c>
      <c r="D378" s="4">
        <v>0.43</v>
      </c>
      <c r="E378" s="4">
        <v>0.1343</v>
      </c>
      <c r="F378" s="4">
        <v>1</v>
      </c>
      <c r="G378" s="4">
        <v>2</v>
      </c>
      <c r="H378" s="8">
        <v>3</v>
      </c>
    </row>
    <row r="379" spans="1:8" ht="15.75" customHeight="1" x14ac:dyDescent="0.25">
      <c r="A379" s="26">
        <v>377</v>
      </c>
      <c r="B379" s="4">
        <v>378</v>
      </c>
      <c r="C379" s="4">
        <v>0.19700000000000001</v>
      </c>
      <c r="D379" s="4">
        <v>0.43</v>
      </c>
      <c r="E379" s="4">
        <v>0.16420000000000001</v>
      </c>
      <c r="F379" s="4">
        <v>0</v>
      </c>
      <c r="G379" s="4">
        <v>1</v>
      </c>
      <c r="H379" s="8">
        <v>1</v>
      </c>
    </row>
    <row r="380" spans="1:8" ht="15.75" customHeight="1" x14ac:dyDescent="0.25">
      <c r="A380" s="26">
        <v>378</v>
      </c>
      <c r="B380" s="4">
        <v>379</v>
      </c>
      <c r="C380" s="4">
        <v>0.18179999999999999</v>
      </c>
      <c r="D380" s="4">
        <v>0.43</v>
      </c>
      <c r="E380" s="4">
        <v>0.19400000000000001</v>
      </c>
      <c r="F380" s="4">
        <v>0</v>
      </c>
      <c r="G380" s="4">
        <v>5</v>
      </c>
      <c r="H380" s="8">
        <v>5</v>
      </c>
    </row>
    <row r="381" spans="1:8" ht="15.75" customHeight="1" x14ac:dyDescent="0.25">
      <c r="A381" s="26">
        <v>379</v>
      </c>
      <c r="B381" s="4">
        <v>380</v>
      </c>
      <c r="C381" s="4">
        <v>0.18179999999999999</v>
      </c>
      <c r="D381" s="4">
        <v>0.5</v>
      </c>
      <c r="E381" s="4">
        <v>0.1343</v>
      </c>
      <c r="F381" s="4">
        <v>4</v>
      </c>
      <c r="G381" s="4">
        <v>9</v>
      </c>
      <c r="H381" s="8">
        <v>13</v>
      </c>
    </row>
    <row r="382" spans="1:8" ht="15.75" customHeight="1" x14ac:dyDescent="0.25">
      <c r="A382" s="26">
        <v>380</v>
      </c>
      <c r="B382" s="4">
        <v>381</v>
      </c>
      <c r="C382" s="4">
        <v>0.1515</v>
      </c>
      <c r="D382" s="4">
        <v>0.47</v>
      </c>
      <c r="E382" s="4">
        <v>0.22389999999999999</v>
      </c>
      <c r="F382" s="4">
        <v>3</v>
      </c>
      <c r="G382" s="4">
        <v>30</v>
      </c>
      <c r="H382" s="8">
        <v>33</v>
      </c>
    </row>
    <row r="383" spans="1:8" ht="15.75" customHeight="1" x14ac:dyDescent="0.25">
      <c r="A383" s="26">
        <v>381</v>
      </c>
      <c r="B383" s="4">
        <v>382</v>
      </c>
      <c r="C383" s="4">
        <v>0.1515</v>
      </c>
      <c r="D383" s="4">
        <v>0.47</v>
      </c>
      <c r="E383" s="4">
        <v>0.22389999999999999</v>
      </c>
      <c r="F383" s="4">
        <v>8</v>
      </c>
      <c r="G383" s="4">
        <v>39</v>
      </c>
      <c r="H383" s="8">
        <v>47</v>
      </c>
    </row>
    <row r="384" spans="1:8" ht="15.75" customHeight="1" x14ac:dyDescent="0.25">
      <c r="A384" s="26">
        <v>382</v>
      </c>
      <c r="B384" s="4">
        <v>383</v>
      </c>
      <c r="C384" s="4">
        <v>0.1515</v>
      </c>
      <c r="D384" s="4">
        <v>0.5</v>
      </c>
      <c r="E384" s="4">
        <v>0.25369999999999998</v>
      </c>
      <c r="F384" s="4">
        <v>7</v>
      </c>
      <c r="G384" s="4">
        <v>50</v>
      </c>
      <c r="H384" s="8">
        <v>57</v>
      </c>
    </row>
    <row r="385" spans="1:8" ht="15.75" customHeight="1" x14ac:dyDescent="0.25">
      <c r="A385" s="26">
        <v>383</v>
      </c>
      <c r="B385" s="4">
        <v>384</v>
      </c>
      <c r="C385" s="4">
        <v>0.1515</v>
      </c>
      <c r="D385" s="4">
        <v>0.55000000000000004</v>
      </c>
      <c r="E385" s="4">
        <v>0.19400000000000001</v>
      </c>
      <c r="F385" s="4">
        <v>9</v>
      </c>
      <c r="G385" s="4">
        <v>55</v>
      </c>
      <c r="H385" s="8">
        <v>64</v>
      </c>
    </row>
    <row r="386" spans="1:8" ht="15.75" customHeight="1" x14ac:dyDescent="0.25">
      <c r="A386" s="26">
        <v>384</v>
      </c>
      <c r="B386" s="4">
        <v>385</v>
      </c>
      <c r="C386" s="4">
        <v>0.19700000000000001</v>
      </c>
      <c r="D386" s="4">
        <v>0.47</v>
      </c>
      <c r="E386" s="4">
        <v>0.1343</v>
      </c>
      <c r="F386" s="4">
        <v>10</v>
      </c>
      <c r="G386" s="4">
        <v>70</v>
      </c>
      <c r="H386" s="8">
        <v>80</v>
      </c>
    </row>
    <row r="387" spans="1:8" ht="15.75" customHeight="1" x14ac:dyDescent="0.25">
      <c r="A387" s="26">
        <v>385</v>
      </c>
      <c r="B387" s="4">
        <v>386</v>
      </c>
      <c r="C387" s="4">
        <v>0.19700000000000001</v>
      </c>
      <c r="D387" s="4">
        <v>0.47</v>
      </c>
      <c r="E387" s="4">
        <v>0.1343</v>
      </c>
      <c r="F387" s="4">
        <v>13</v>
      </c>
      <c r="G387" s="4">
        <v>80</v>
      </c>
      <c r="H387" s="8">
        <v>93</v>
      </c>
    </row>
    <row r="388" spans="1:8" ht="15.75" customHeight="1" x14ac:dyDescent="0.25">
      <c r="A388" s="26">
        <v>386</v>
      </c>
      <c r="B388" s="4">
        <v>387</v>
      </c>
      <c r="C388" s="4">
        <v>0.21210000000000001</v>
      </c>
      <c r="D388" s="4">
        <v>0.43</v>
      </c>
      <c r="E388" s="4">
        <v>0.1045</v>
      </c>
      <c r="F388" s="4">
        <v>12</v>
      </c>
      <c r="G388" s="4">
        <v>74</v>
      </c>
      <c r="H388" s="8">
        <v>86</v>
      </c>
    </row>
    <row r="389" spans="1:8" ht="15.75" customHeight="1" x14ac:dyDescent="0.25">
      <c r="A389" s="26">
        <v>387</v>
      </c>
      <c r="B389" s="4">
        <v>388</v>
      </c>
      <c r="C389" s="4">
        <v>0.21210000000000001</v>
      </c>
      <c r="D389" s="4">
        <v>0.47</v>
      </c>
      <c r="E389" s="4">
        <v>0.16420000000000001</v>
      </c>
      <c r="F389" s="4">
        <v>21</v>
      </c>
      <c r="G389" s="4">
        <v>72</v>
      </c>
      <c r="H389" s="8">
        <v>93</v>
      </c>
    </row>
    <row r="390" spans="1:8" ht="15.75" customHeight="1" x14ac:dyDescent="0.25">
      <c r="A390" s="26">
        <v>388</v>
      </c>
      <c r="B390" s="4">
        <v>389</v>
      </c>
      <c r="C390" s="4">
        <v>0.21210000000000001</v>
      </c>
      <c r="D390" s="4">
        <v>0.47</v>
      </c>
      <c r="E390" s="4">
        <v>0.16420000000000001</v>
      </c>
      <c r="F390" s="4">
        <v>6</v>
      </c>
      <c r="G390" s="4">
        <v>76</v>
      </c>
      <c r="H390" s="8">
        <v>82</v>
      </c>
    </row>
    <row r="391" spans="1:8" ht="15.75" customHeight="1" x14ac:dyDescent="0.25">
      <c r="A391" s="26">
        <v>389</v>
      </c>
      <c r="B391" s="4">
        <v>390</v>
      </c>
      <c r="C391" s="4">
        <v>0.19700000000000001</v>
      </c>
      <c r="D391" s="4">
        <v>0.51</v>
      </c>
      <c r="E391" s="4">
        <v>0.19400000000000001</v>
      </c>
      <c r="F391" s="4">
        <v>4</v>
      </c>
      <c r="G391" s="4">
        <v>67</v>
      </c>
      <c r="H391" s="8">
        <v>71</v>
      </c>
    </row>
    <row r="392" spans="1:8" ht="15.75" customHeight="1" x14ac:dyDescent="0.25">
      <c r="A392" s="26">
        <v>390</v>
      </c>
      <c r="B392" s="4">
        <v>391</v>
      </c>
      <c r="C392" s="4">
        <v>0.16669999999999999</v>
      </c>
      <c r="D392" s="4">
        <v>0.55000000000000004</v>
      </c>
      <c r="E392" s="4">
        <v>0.25369999999999998</v>
      </c>
      <c r="F392" s="4">
        <v>7</v>
      </c>
      <c r="G392" s="4">
        <v>85</v>
      </c>
      <c r="H392" s="8">
        <v>92</v>
      </c>
    </row>
    <row r="393" spans="1:8" ht="15.75" customHeight="1" x14ac:dyDescent="0.25">
      <c r="A393" s="26">
        <v>391</v>
      </c>
      <c r="B393" s="4">
        <v>392</v>
      </c>
      <c r="C393" s="4">
        <v>0.18179999999999999</v>
      </c>
      <c r="D393" s="4">
        <v>0.59</v>
      </c>
      <c r="E393" s="4">
        <v>0.19400000000000001</v>
      </c>
      <c r="F393" s="4">
        <v>2</v>
      </c>
      <c r="G393" s="4">
        <v>58</v>
      </c>
      <c r="H393" s="8">
        <v>60</v>
      </c>
    </row>
    <row r="394" spans="1:8" ht="15.75" customHeight="1" x14ac:dyDescent="0.25">
      <c r="A394" s="26">
        <v>392</v>
      </c>
      <c r="B394" s="4">
        <v>393</v>
      </c>
      <c r="C394" s="4">
        <v>0.1515</v>
      </c>
      <c r="D394" s="4">
        <v>0.8</v>
      </c>
      <c r="E394" s="4">
        <v>0.19400000000000001</v>
      </c>
      <c r="F394" s="4">
        <v>4</v>
      </c>
      <c r="G394" s="4">
        <v>29</v>
      </c>
      <c r="H394" s="8">
        <v>33</v>
      </c>
    </row>
    <row r="395" spans="1:8" ht="15.75" customHeight="1" x14ac:dyDescent="0.25">
      <c r="A395" s="26">
        <v>393</v>
      </c>
      <c r="B395" s="4">
        <v>394</v>
      </c>
      <c r="C395" s="4">
        <v>0.1515</v>
      </c>
      <c r="D395" s="4">
        <v>0.8</v>
      </c>
      <c r="E395" s="4">
        <v>0.19400000000000001</v>
      </c>
      <c r="F395" s="4">
        <v>3</v>
      </c>
      <c r="G395" s="4">
        <v>24</v>
      </c>
      <c r="H395" s="8">
        <v>27</v>
      </c>
    </row>
    <row r="396" spans="1:8" ht="15.75" customHeight="1" x14ac:dyDescent="0.25">
      <c r="A396" s="26">
        <v>394</v>
      </c>
      <c r="B396" s="4">
        <v>395</v>
      </c>
      <c r="C396" s="4">
        <v>0.1212</v>
      </c>
      <c r="D396" s="4">
        <v>0.93</v>
      </c>
      <c r="E396" s="4">
        <v>0.25369999999999998</v>
      </c>
      <c r="F396" s="4">
        <v>0</v>
      </c>
      <c r="G396" s="4">
        <v>13</v>
      </c>
      <c r="H396" s="8">
        <v>13</v>
      </c>
    </row>
    <row r="397" spans="1:8" ht="15.75" customHeight="1" x14ac:dyDescent="0.25">
      <c r="A397" s="26">
        <v>395</v>
      </c>
      <c r="B397" s="4">
        <v>396</v>
      </c>
      <c r="C397" s="4">
        <v>0.13639999999999999</v>
      </c>
      <c r="D397" s="4">
        <v>0.86</v>
      </c>
      <c r="E397" s="4">
        <v>0.28360000000000002</v>
      </c>
      <c r="F397" s="4">
        <v>1</v>
      </c>
      <c r="G397" s="4">
        <v>3</v>
      </c>
      <c r="H397" s="8">
        <v>4</v>
      </c>
    </row>
    <row r="398" spans="1:8" ht="15.75" customHeight="1" x14ac:dyDescent="0.25">
      <c r="A398" s="26">
        <v>396</v>
      </c>
      <c r="B398" s="4">
        <v>397</v>
      </c>
      <c r="C398" s="4">
        <v>0.18179999999999999</v>
      </c>
      <c r="D398" s="4">
        <v>0.86</v>
      </c>
      <c r="E398" s="4">
        <v>0.32840000000000003</v>
      </c>
      <c r="F398" s="4">
        <v>0</v>
      </c>
      <c r="G398" s="4">
        <v>3</v>
      </c>
      <c r="H398" s="8">
        <v>3</v>
      </c>
    </row>
    <row r="399" spans="1:8" ht="15.75" customHeight="1" x14ac:dyDescent="0.25">
      <c r="A399" s="26">
        <v>397</v>
      </c>
      <c r="B399" s="4">
        <v>398</v>
      </c>
      <c r="C399" s="4">
        <v>0.19700000000000001</v>
      </c>
      <c r="D399" s="4">
        <v>0.86</v>
      </c>
      <c r="E399" s="4">
        <v>0.22389999999999999</v>
      </c>
      <c r="F399" s="4">
        <v>0</v>
      </c>
      <c r="G399" s="4">
        <v>22</v>
      </c>
      <c r="H399" s="8">
        <v>22</v>
      </c>
    </row>
    <row r="400" spans="1:8" ht="15.75" customHeight="1" x14ac:dyDescent="0.25">
      <c r="A400" s="26">
        <v>398</v>
      </c>
      <c r="B400" s="4">
        <v>399</v>
      </c>
      <c r="C400" s="4">
        <v>0.2273</v>
      </c>
      <c r="D400" s="4">
        <v>0.8</v>
      </c>
      <c r="E400" s="4">
        <v>0.16420000000000001</v>
      </c>
      <c r="F400" s="4">
        <v>2</v>
      </c>
      <c r="G400" s="4">
        <v>26</v>
      </c>
      <c r="H400" s="8">
        <v>28</v>
      </c>
    </row>
    <row r="401" spans="1:8" ht="15.75" customHeight="1" x14ac:dyDescent="0.25">
      <c r="A401" s="26">
        <v>399</v>
      </c>
      <c r="B401" s="4">
        <v>400</v>
      </c>
      <c r="C401" s="4">
        <v>0.2273</v>
      </c>
      <c r="D401" s="4">
        <v>0.87</v>
      </c>
      <c r="E401" s="4">
        <v>0.16420000000000001</v>
      </c>
      <c r="F401" s="4">
        <v>3</v>
      </c>
      <c r="G401" s="4">
        <v>32</v>
      </c>
      <c r="H401" s="8">
        <v>35</v>
      </c>
    </row>
    <row r="402" spans="1:8" ht="15.75" customHeight="1" x14ac:dyDescent="0.25">
      <c r="A402" s="26">
        <v>400</v>
      </c>
      <c r="B402" s="4">
        <v>401</v>
      </c>
      <c r="C402" s="4">
        <v>0.2273</v>
      </c>
      <c r="D402" s="4">
        <v>0.87</v>
      </c>
      <c r="E402" s="4">
        <v>0.19400000000000001</v>
      </c>
      <c r="F402" s="4">
        <v>0</v>
      </c>
      <c r="G402" s="4">
        <v>61</v>
      </c>
      <c r="H402" s="8">
        <v>61</v>
      </c>
    </row>
    <row r="403" spans="1:8" ht="15.75" customHeight="1" x14ac:dyDescent="0.25">
      <c r="A403" s="26">
        <v>401</v>
      </c>
      <c r="B403" s="4">
        <v>402</v>
      </c>
      <c r="C403" s="4">
        <v>0.2273</v>
      </c>
      <c r="D403" s="4">
        <v>0.82</v>
      </c>
      <c r="E403" s="4">
        <v>0.19400000000000001</v>
      </c>
      <c r="F403" s="4">
        <v>1</v>
      </c>
      <c r="G403" s="4">
        <v>124</v>
      </c>
      <c r="H403" s="8">
        <v>125</v>
      </c>
    </row>
    <row r="404" spans="1:8" ht="15.75" customHeight="1" x14ac:dyDescent="0.25">
      <c r="A404" s="26">
        <v>402</v>
      </c>
      <c r="B404" s="4">
        <v>403</v>
      </c>
      <c r="C404" s="4">
        <v>0.2273</v>
      </c>
      <c r="D404" s="4">
        <v>0.8</v>
      </c>
      <c r="E404" s="4">
        <v>0.16420000000000001</v>
      </c>
      <c r="F404" s="4">
        <v>1</v>
      </c>
      <c r="G404" s="4">
        <v>132</v>
      </c>
      <c r="H404" s="8">
        <v>133</v>
      </c>
    </row>
    <row r="405" spans="1:8" ht="15.75" customHeight="1" x14ac:dyDescent="0.25">
      <c r="A405" s="26">
        <v>403</v>
      </c>
      <c r="B405" s="4">
        <v>404</v>
      </c>
      <c r="C405" s="4">
        <v>0.2273</v>
      </c>
      <c r="D405" s="4">
        <v>0.8</v>
      </c>
      <c r="E405" s="4">
        <v>0.1343</v>
      </c>
      <c r="F405" s="4">
        <v>1</v>
      </c>
      <c r="G405" s="4">
        <v>98</v>
      </c>
      <c r="H405" s="8">
        <v>99</v>
      </c>
    </row>
    <row r="406" spans="1:8" ht="15.75" customHeight="1" x14ac:dyDescent="0.25">
      <c r="A406" s="26">
        <v>404</v>
      </c>
      <c r="B406" s="4">
        <v>405</v>
      </c>
      <c r="C406" s="4">
        <v>0.2727</v>
      </c>
      <c r="D406" s="4">
        <v>0.87</v>
      </c>
      <c r="E406" s="4">
        <v>0</v>
      </c>
      <c r="F406" s="4">
        <v>0</v>
      </c>
      <c r="G406" s="4">
        <v>83</v>
      </c>
      <c r="H406" s="8">
        <v>83</v>
      </c>
    </row>
    <row r="407" spans="1:8" ht="15.75" customHeight="1" x14ac:dyDescent="0.25">
      <c r="A407" s="26">
        <v>405</v>
      </c>
      <c r="B407" s="4">
        <v>406</v>
      </c>
      <c r="C407" s="4">
        <v>0.2424</v>
      </c>
      <c r="D407" s="4">
        <v>0.93</v>
      </c>
      <c r="E407" s="4">
        <v>0.1045</v>
      </c>
      <c r="F407" s="4">
        <v>0</v>
      </c>
      <c r="G407" s="4">
        <v>41</v>
      </c>
      <c r="H407" s="8">
        <v>41</v>
      </c>
    </row>
    <row r="408" spans="1:8" ht="15.75" customHeight="1" x14ac:dyDescent="0.25">
      <c r="A408" s="26">
        <v>406</v>
      </c>
      <c r="B408" s="4">
        <v>407</v>
      </c>
      <c r="C408" s="4">
        <v>0.2576</v>
      </c>
      <c r="D408" s="4">
        <v>0.93</v>
      </c>
      <c r="E408" s="4">
        <v>8.9599999999999999E-2</v>
      </c>
      <c r="F408" s="4">
        <v>0</v>
      </c>
      <c r="G408" s="4">
        <v>33</v>
      </c>
      <c r="H408" s="8">
        <v>33</v>
      </c>
    </row>
    <row r="409" spans="1:8" ht="15.75" customHeight="1" x14ac:dyDescent="0.25">
      <c r="A409" s="26">
        <v>407</v>
      </c>
      <c r="B409" s="4">
        <v>408</v>
      </c>
      <c r="C409" s="4">
        <v>0.2727</v>
      </c>
      <c r="D409" s="4">
        <v>0.93</v>
      </c>
      <c r="E409" s="4">
        <v>0</v>
      </c>
      <c r="F409" s="4">
        <v>1</v>
      </c>
      <c r="G409" s="4">
        <v>19</v>
      </c>
      <c r="H409" s="8">
        <v>20</v>
      </c>
    </row>
    <row r="410" spans="1:8" ht="15.75" customHeight="1" x14ac:dyDescent="0.25">
      <c r="A410" s="26">
        <v>408</v>
      </c>
      <c r="B410" s="4">
        <v>409</v>
      </c>
      <c r="C410" s="4">
        <v>0.2727</v>
      </c>
      <c r="D410" s="4">
        <v>0.93</v>
      </c>
      <c r="E410" s="4">
        <v>0</v>
      </c>
      <c r="F410" s="4">
        <v>0</v>
      </c>
      <c r="G410" s="4">
        <v>3</v>
      </c>
      <c r="H410" s="8">
        <v>3</v>
      </c>
    </row>
    <row r="411" spans="1:8" ht="15.75" customHeight="1" x14ac:dyDescent="0.25">
      <c r="A411" s="26">
        <v>409</v>
      </c>
      <c r="B411" s="4">
        <v>410</v>
      </c>
      <c r="C411" s="4">
        <v>0.2273</v>
      </c>
      <c r="D411" s="4">
        <v>0.93</v>
      </c>
      <c r="E411" s="4">
        <v>0.1343</v>
      </c>
      <c r="F411" s="4">
        <v>1</v>
      </c>
      <c r="G411" s="4">
        <v>6</v>
      </c>
      <c r="H411" s="8">
        <v>7</v>
      </c>
    </row>
    <row r="412" spans="1:8" ht="15.75" customHeight="1" x14ac:dyDescent="0.25">
      <c r="A412" s="26">
        <v>410</v>
      </c>
      <c r="B412" s="4">
        <v>411</v>
      </c>
      <c r="C412" s="4">
        <v>0.2273</v>
      </c>
      <c r="D412" s="4">
        <v>0.93</v>
      </c>
      <c r="E412" s="4">
        <v>0.1343</v>
      </c>
      <c r="F412" s="4">
        <v>0</v>
      </c>
      <c r="G412" s="4">
        <v>3</v>
      </c>
      <c r="H412" s="8">
        <v>3</v>
      </c>
    </row>
    <row r="413" spans="1:8" ht="15.75" customHeight="1" x14ac:dyDescent="0.25">
      <c r="A413" s="26">
        <v>411</v>
      </c>
      <c r="B413" s="4">
        <v>412</v>
      </c>
      <c r="C413" s="4">
        <v>0.2273</v>
      </c>
      <c r="D413" s="4">
        <v>0.93</v>
      </c>
      <c r="E413" s="4">
        <v>0.1343</v>
      </c>
      <c r="F413" s="4">
        <v>1</v>
      </c>
      <c r="G413" s="4">
        <v>1</v>
      </c>
      <c r="H413" s="8">
        <v>2</v>
      </c>
    </row>
    <row r="414" spans="1:8" ht="15.75" customHeight="1" x14ac:dyDescent="0.25">
      <c r="A414" s="26">
        <v>412</v>
      </c>
      <c r="B414" s="4">
        <v>413</v>
      </c>
      <c r="C414" s="4">
        <v>0.2576</v>
      </c>
      <c r="D414" s="4">
        <v>0.93</v>
      </c>
      <c r="E414" s="4">
        <v>8.9599999999999999E-2</v>
      </c>
      <c r="F414" s="4">
        <v>0</v>
      </c>
      <c r="G414" s="4">
        <v>7</v>
      </c>
      <c r="H414" s="8">
        <v>7</v>
      </c>
    </row>
    <row r="415" spans="1:8" ht="15.75" customHeight="1" x14ac:dyDescent="0.25">
      <c r="A415" s="26">
        <v>413</v>
      </c>
      <c r="B415" s="4">
        <v>414</v>
      </c>
      <c r="C415" s="4">
        <v>0.2576</v>
      </c>
      <c r="D415" s="4">
        <v>0.93</v>
      </c>
      <c r="E415" s="4">
        <v>8.9599999999999999E-2</v>
      </c>
      <c r="F415" s="4">
        <v>0</v>
      </c>
      <c r="G415" s="4">
        <v>32</v>
      </c>
      <c r="H415" s="8">
        <v>32</v>
      </c>
    </row>
    <row r="416" spans="1:8" ht="15.75" customHeight="1" x14ac:dyDescent="0.25">
      <c r="A416" s="26">
        <v>414</v>
      </c>
      <c r="B416" s="4">
        <v>415</v>
      </c>
      <c r="C416" s="4">
        <v>0.2576</v>
      </c>
      <c r="D416" s="4">
        <v>0.92</v>
      </c>
      <c r="E416" s="4">
        <v>0.1045</v>
      </c>
      <c r="F416" s="4">
        <v>1</v>
      </c>
      <c r="G416" s="4">
        <v>89</v>
      </c>
      <c r="H416" s="8">
        <v>90</v>
      </c>
    </row>
    <row r="417" spans="1:8" ht="15.75" customHeight="1" x14ac:dyDescent="0.25">
      <c r="A417" s="26">
        <v>415</v>
      </c>
      <c r="B417" s="4">
        <v>416</v>
      </c>
      <c r="C417" s="4">
        <v>0.2576</v>
      </c>
      <c r="D417" s="4">
        <v>0.93</v>
      </c>
      <c r="E417" s="4">
        <v>0.1045</v>
      </c>
      <c r="F417" s="4">
        <v>1</v>
      </c>
      <c r="G417" s="4">
        <v>196</v>
      </c>
      <c r="H417" s="8">
        <v>197</v>
      </c>
    </row>
    <row r="418" spans="1:8" ht="15.75" customHeight="1" x14ac:dyDescent="0.25">
      <c r="A418" s="26">
        <v>416</v>
      </c>
      <c r="B418" s="4">
        <v>417</v>
      </c>
      <c r="C418" s="4">
        <v>0.2576</v>
      </c>
      <c r="D418" s="4">
        <v>0.93</v>
      </c>
      <c r="E418" s="4">
        <v>0.1045</v>
      </c>
      <c r="F418" s="4">
        <v>2</v>
      </c>
      <c r="G418" s="4">
        <v>107</v>
      </c>
      <c r="H418" s="8">
        <v>109</v>
      </c>
    </row>
    <row r="419" spans="1:8" ht="15.75" customHeight="1" x14ac:dyDescent="0.25">
      <c r="A419" s="26">
        <v>417</v>
      </c>
      <c r="B419" s="4">
        <v>418</v>
      </c>
      <c r="C419" s="4">
        <v>0.2727</v>
      </c>
      <c r="D419" s="4">
        <v>0.93</v>
      </c>
      <c r="E419" s="4">
        <v>0.1343</v>
      </c>
      <c r="F419" s="4">
        <v>1</v>
      </c>
      <c r="G419" s="4">
        <v>46</v>
      </c>
      <c r="H419" s="8">
        <v>47</v>
      </c>
    </row>
    <row r="420" spans="1:8" ht="15.75" customHeight="1" x14ac:dyDescent="0.25">
      <c r="A420" s="26">
        <v>418</v>
      </c>
      <c r="B420" s="4">
        <v>419</v>
      </c>
      <c r="C420" s="4">
        <v>0.30299999999999999</v>
      </c>
      <c r="D420" s="4">
        <v>0.87</v>
      </c>
      <c r="E420" s="4">
        <v>8.9599999999999999E-2</v>
      </c>
      <c r="F420" s="4">
        <v>5</v>
      </c>
      <c r="G420" s="4">
        <v>47</v>
      </c>
      <c r="H420" s="8">
        <v>52</v>
      </c>
    </row>
    <row r="421" spans="1:8" ht="15.75" customHeight="1" x14ac:dyDescent="0.25">
      <c r="A421" s="26">
        <v>419</v>
      </c>
      <c r="B421" s="4">
        <v>420</v>
      </c>
      <c r="C421" s="4">
        <v>0.31819999999999998</v>
      </c>
      <c r="D421" s="4">
        <v>0.81</v>
      </c>
      <c r="E421" s="4">
        <v>8.9599999999999999E-2</v>
      </c>
      <c r="F421" s="4">
        <v>5</v>
      </c>
      <c r="G421" s="4">
        <v>65</v>
      </c>
      <c r="H421" s="8">
        <v>70</v>
      </c>
    </row>
    <row r="422" spans="1:8" ht="15.75" customHeight="1" x14ac:dyDescent="0.25">
      <c r="A422" s="26">
        <v>420</v>
      </c>
      <c r="B422" s="4">
        <v>421</v>
      </c>
      <c r="C422" s="4">
        <v>0.40910000000000002</v>
      </c>
      <c r="D422" s="4">
        <v>0.62</v>
      </c>
      <c r="E422" s="4">
        <v>0.28360000000000002</v>
      </c>
      <c r="F422" s="4">
        <v>11</v>
      </c>
      <c r="G422" s="4">
        <v>67</v>
      </c>
      <c r="H422" s="8">
        <v>78</v>
      </c>
    </row>
    <row r="423" spans="1:8" ht="15.75" customHeight="1" x14ac:dyDescent="0.25">
      <c r="A423" s="26">
        <v>421</v>
      </c>
      <c r="B423" s="4">
        <v>422</v>
      </c>
      <c r="C423" s="4">
        <v>0.40910000000000002</v>
      </c>
      <c r="D423" s="4">
        <v>0.57999999999999996</v>
      </c>
      <c r="E423" s="4">
        <v>0.25369999999999998</v>
      </c>
      <c r="F423" s="4">
        <v>7</v>
      </c>
      <c r="G423" s="4">
        <v>68</v>
      </c>
      <c r="H423" s="8">
        <v>75</v>
      </c>
    </row>
    <row r="424" spans="1:8" ht="15.75" customHeight="1" x14ac:dyDescent="0.25">
      <c r="A424" s="26">
        <v>422</v>
      </c>
      <c r="B424" s="4">
        <v>423</v>
      </c>
      <c r="C424" s="4">
        <v>0.40910000000000002</v>
      </c>
      <c r="D424" s="4">
        <v>0.54</v>
      </c>
      <c r="E424" s="4">
        <v>0.28360000000000002</v>
      </c>
      <c r="F424" s="4">
        <v>4</v>
      </c>
      <c r="G424" s="4">
        <v>78</v>
      </c>
      <c r="H424" s="8">
        <v>82</v>
      </c>
    </row>
    <row r="425" spans="1:8" ht="15.75" customHeight="1" x14ac:dyDescent="0.25">
      <c r="A425" s="26">
        <v>423</v>
      </c>
      <c r="B425" s="4">
        <v>424</v>
      </c>
      <c r="C425" s="4">
        <v>0.39389999999999997</v>
      </c>
      <c r="D425" s="4">
        <v>0.57999999999999996</v>
      </c>
      <c r="E425" s="4">
        <v>0.3881</v>
      </c>
      <c r="F425" s="4">
        <v>10</v>
      </c>
      <c r="G425" s="4">
        <v>94</v>
      </c>
      <c r="H425" s="8">
        <v>104</v>
      </c>
    </row>
    <row r="426" spans="1:8" ht="15.75" customHeight="1" x14ac:dyDescent="0.25">
      <c r="A426" s="26">
        <v>424</v>
      </c>
      <c r="B426" s="4">
        <v>425</v>
      </c>
      <c r="C426" s="4">
        <v>0.33329999999999999</v>
      </c>
      <c r="D426" s="4">
        <v>0.56999999999999995</v>
      </c>
      <c r="E426" s="4">
        <v>0.32840000000000003</v>
      </c>
      <c r="F426" s="4">
        <v>7</v>
      </c>
      <c r="G426" s="4">
        <v>190</v>
      </c>
      <c r="H426" s="8">
        <v>197</v>
      </c>
    </row>
    <row r="427" spans="1:8" ht="15.75" customHeight="1" x14ac:dyDescent="0.25">
      <c r="A427" s="26">
        <v>425</v>
      </c>
      <c r="B427" s="4">
        <v>426</v>
      </c>
      <c r="C427" s="4">
        <v>0.31819999999999998</v>
      </c>
      <c r="D427" s="4">
        <v>0.61</v>
      </c>
      <c r="E427" s="4">
        <v>0.28360000000000002</v>
      </c>
      <c r="F427" s="4">
        <v>5</v>
      </c>
      <c r="G427" s="4">
        <v>156</v>
      </c>
      <c r="H427" s="8">
        <v>161</v>
      </c>
    </row>
    <row r="428" spans="1:8" ht="15.75" customHeight="1" x14ac:dyDescent="0.25">
      <c r="A428" s="26">
        <v>426</v>
      </c>
      <c r="B428" s="4">
        <v>427</v>
      </c>
      <c r="C428" s="4">
        <v>0.28789999999999999</v>
      </c>
      <c r="D428" s="4">
        <v>0.56999999999999995</v>
      </c>
      <c r="E428" s="4">
        <v>0.41789999999999999</v>
      </c>
      <c r="F428" s="4">
        <v>4</v>
      </c>
      <c r="G428" s="4">
        <v>108</v>
      </c>
      <c r="H428" s="8">
        <v>112</v>
      </c>
    </row>
    <row r="429" spans="1:8" ht="15.75" customHeight="1" x14ac:dyDescent="0.25">
      <c r="A429" s="26">
        <v>427</v>
      </c>
      <c r="B429" s="4">
        <v>428</v>
      </c>
      <c r="C429" s="4">
        <v>0.30299999999999999</v>
      </c>
      <c r="D429" s="4">
        <v>0.49</v>
      </c>
      <c r="E429" s="4">
        <v>0.29849999999999999</v>
      </c>
      <c r="F429" s="4">
        <v>2</v>
      </c>
      <c r="G429" s="4">
        <v>74</v>
      </c>
      <c r="H429" s="8">
        <v>76</v>
      </c>
    </row>
    <row r="430" spans="1:8" ht="15.75" customHeight="1" x14ac:dyDescent="0.25">
      <c r="A430" s="26">
        <v>428</v>
      </c>
      <c r="B430" s="4">
        <v>429</v>
      </c>
      <c r="C430" s="4">
        <v>0.28789999999999999</v>
      </c>
      <c r="D430" s="4">
        <v>0.49</v>
      </c>
      <c r="E430" s="4">
        <v>0.41789999999999999</v>
      </c>
      <c r="F430" s="4">
        <v>4</v>
      </c>
      <c r="G430" s="4">
        <v>55</v>
      </c>
      <c r="H430" s="8">
        <v>59</v>
      </c>
    </row>
    <row r="431" spans="1:8" ht="15.75" customHeight="1" x14ac:dyDescent="0.25">
      <c r="A431" s="26">
        <v>429</v>
      </c>
      <c r="B431" s="4">
        <v>430</v>
      </c>
      <c r="C431" s="4">
        <v>0.30299999999999999</v>
      </c>
      <c r="D431" s="4">
        <v>0.52</v>
      </c>
      <c r="E431" s="4">
        <v>0.16420000000000001</v>
      </c>
      <c r="F431" s="4">
        <v>6</v>
      </c>
      <c r="G431" s="4">
        <v>53</v>
      </c>
      <c r="H431" s="8">
        <v>59</v>
      </c>
    </row>
    <row r="432" spans="1:8" ht="15.75" customHeight="1" x14ac:dyDescent="0.25">
      <c r="A432" s="26">
        <v>430</v>
      </c>
      <c r="B432" s="4">
        <v>431</v>
      </c>
      <c r="C432" s="4">
        <v>0.2727</v>
      </c>
      <c r="D432" s="4">
        <v>0.52</v>
      </c>
      <c r="E432" s="4">
        <v>0.4627</v>
      </c>
      <c r="F432" s="4">
        <v>1</v>
      </c>
      <c r="G432" s="4">
        <v>27</v>
      </c>
      <c r="H432" s="8">
        <v>28</v>
      </c>
    </row>
    <row r="433" spans="1:8" ht="15.75" customHeight="1" x14ac:dyDescent="0.25">
      <c r="A433" s="26">
        <v>431</v>
      </c>
      <c r="B433" s="4">
        <v>432</v>
      </c>
      <c r="C433" s="4">
        <v>0.2273</v>
      </c>
      <c r="D433" s="4">
        <v>0.56000000000000005</v>
      </c>
      <c r="E433" s="4">
        <v>0.3881</v>
      </c>
      <c r="F433" s="4">
        <v>5</v>
      </c>
      <c r="G433" s="4">
        <v>8</v>
      </c>
      <c r="H433" s="8">
        <v>13</v>
      </c>
    </row>
    <row r="434" spans="1:8" ht="15.75" customHeight="1" x14ac:dyDescent="0.25">
      <c r="A434" s="26">
        <v>432</v>
      </c>
      <c r="B434" s="4">
        <v>433</v>
      </c>
      <c r="C434" s="4">
        <v>0.2727</v>
      </c>
      <c r="D434" s="4">
        <v>0.56000000000000005</v>
      </c>
      <c r="E434" s="4">
        <v>0</v>
      </c>
      <c r="F434" s="4">
        <v>2</v>
      </c>
      <c r="G434" s="4">
        <v>3</v>
      </c>
      <c r="H434" s="8">
        <v>5</v>
      </c>
    </row>
    <row r="435" spans="1:8" ht="15.75" customHeight="1" x14ac:dyDescent="0.25">
      <c r="A435" s="26">
        <v>433</v>
      </c>
      <c r="B435" s="4">
        <v>434</v>
      </c>
      <c r="C435" s="4">
        <v>0.2727</v>
      </c>
      <c r="D435" s="4">
        <v>0.56000000000000005</v>
      </c>
      <c r="E435" s="4">
        <v>0</v>
      </c>
      <c r="F435" s="4">
        <v>0</v>
      </c>
      <c r="G435" s="4">
        <v>2</v>
      </c>
      <c r="H435" s="8">
        <v>2</v>
      </c>
    </row>
    <row r="436" spans="1:8" ht="15.75" customHeight="1" x14ac:dyDescent="0.25">
      <c r="A436" s="26">
        <v>434</v>
      </c>
      <c r="B436" s="4">
        <v>435</v>
      </c>
      <c r="C436" s="4">
        <v>0.2576</v>
      </c>
      <c r="D436" s="4">
        <v>0.56000000000000005</v>
      </c>
      <c r="E436" s="4">
        <v>0.16420000000000001</v>
      </c>
      <c r="F436" s="4">
        <v>0</v>
      </c>
      <c r="G436" s="4">
        <v>1</v>
      </c>
      <c r="H436" s="8">
        <v>1</v>
      </c>
    </row>
    <row r="437" spans="1:8" ht="15.75" customHeight="1" x14ac:dyDescent="0.25">
      <c r="A437" s="26">
        <v>435</v>
      </c>
      <c r="B437" s="4">
        <v>436</v>
      </c>
      <c r="C437" s="4">
        <v>0.2576</v>
      </c>
      <c r="D437" s="4">
        <v>0.56000000000000005</v>
      </c>
      <c r="E437" s="4">
        <v>0.16420000000000001</v>
      </c>
      <c r="F437" s="4">
        <v>0</v>
      </c>
      <c r="G437" s="4">
        <v>1</v>
      </c>
      <c r="H437" s="8">
        <v>1</v>
      </c>
    </row>
    <row r="438" spans="1:8" ht="15.75" customHeight="1" x14ac:dyDescent="0.25">
      <c r="A438" s="26">
        <v>436</v>
      </c>
      <c r="B438" s="4">
        <v>437</v>
      </c>
      <c r="C438" s="4">
        <v>0.2273</v>
      </c>
      <c r="D438" s="4">
        <v>0.6</v>
      </c>
      <c r="E438" s="4">
        <v>0.22389999999999999</v>
      </c>
      <c r="F438" s="4">
        <v>0</v>
      </c>
      <c r="G438" s="4">
        <v>6</v>
      </c>
      <c r="H438" s="8">
        <v>6</v>
      </c>
    </row>
    <row r="439" spans="1:8" ht="15.75" customHeight="1" x14ac:dyDescent="0.25">
      <c r="A439" s="26">
        <v>437</v>
      </c>
      <c r="B439" s="4">
        <v>438</v>
      </c>
      <c r="C439" s="4">
        <v>0.21210000000000001</v>
      </c>
      <c r="D439" s="4">
        <v>0.6</v>
      </c>
      <c r="E439" s="4">
        <v>0.22389999999999999</v>
      </c>
      <c r="F439" s="4">
        <v>0</v>
      </c>
      <c r="G439" s="4">
        <v>35</v>
      </c>
      <c r="H439" s="8">
        <v>35</v>
      </c>
    </row>
    <row r="440" spans="1:8" ht="15.75" customHeight="1" x14ac:dyDescent="0.25">
      <c r="A440" s="26">
        <v>438</v>
      </c>
      <c r="B440" s="4">
        <v>439</v>
      </c>
      <c r="C440" s="4">
        <v>0.21210000000000001</v>
      </c>
      <c r="D440" s="4">
        <v>0.55000000000000004</v>
      </c>
      <c r="E440" s="4">
        <v>0.22389999999999999</v>
      </c>
      <c r="F440" s="4">
        <v>1</v>
      </c>
      <c r="G440" s="4">
        <v>100</v>
      </c>
      <c r="H440" s="8">
        <v>101</v>
      </c>
    </row>
    <row r="441" spans="1:8" ht="15.75" customHeight="1" x14ac:dyDescent="0.25">
      <c r="A441" s="26">
        <v>439</v>
      </c>
      <c r="B441" s="4">
        <v>440</v>
      </c>
      <c r="C441" s="4">
        <v>0.21210000000000001</v>
      </c>
      <c r="D441" s="4">
        <v>0.55000000000000004</v>
      </c>
      <c r="E441" s="4">
        <v>0.28360000000000002</v>
      </c>
      <c r="F441" s="4">
        <v>2</v>
      </c>
      <c r="G441" s="4">
        <v>247</v>
      </c>
      <c r="H441" s="8">
        <v>249</v>
      </c>
    </row>
    <row r="442" spans="1:8" ht="15.75" customHeight="1" x14ac:dyDescent="0.25">
      <c r="A442" s="26">
        <v>440</v>
      </c>
      <c r="B442" s="4">
        <v>441</v>
      </c>
      <c r="C442" s="4">
        <v>0.2273</v>
      </c>
      <c r="D442" s="4">
        <v>0.52</v>
      </c>
      <c r="E442" s="4">
        <v>0.22389999999999999</v>
      </c>
      <c r="F442" s="4">
        <v>3</v>
      </c>
      <c r="G442" s="4">
        <v>140</v>
      </c>
      <c r="H442" s="8">
        <v>143</v>
      </c>
    </row>
    <row r="443" spans="1:8" ht="15.75" customHeight="1" x14ac:dyDescent="0.25">
      <c r="A443" s="26">
        <v>441</v>
      </c>
      <c r="B443" s="4">
        <v>442</v>
      </c>
      <c r="C443" s="4">
        <v>0.2273</v>
      </c>
      <c r="D443" s="4">
        <v>0.48</v>
      </c>
      <c r="E443" s="4">
        <v>0.29849999999999999</v>
      </c>
      <c r="F443" s="4">
        <v>1</v>
      </c>
      <c r="G443" s="4">
        <v>56</v>
      </c>
      <c r="H443" s="8">
        <v>57</v>
      </c>
    </row>
    <row r="444" spans="1:8" ht="15.75" customHeight="1" x14ac:dyDescent="0.25">
      <c r="A444" s="26">
        <v>442</v>
      </c>
      <c r="B444" s="4">
        <v>443</v>
      </c>
      <c r="C444" s="4">
        <v>0.2727</v>
      </c>
      <c r="D444" s="4">
        <v>0.45</v>
      </c>
      <c r="E444" s="4">
        <v>0.16420000000000001</v>
      </c>
      <c r="F444" s="4">
        <v>5</v>
      </c>
      <c r="G444" s="4">
        <v>63</v>
      </c>
      <c r="H444" s="8">
        <v>68</v>
      </c>
    </row>
    <row r="445" spans="1:8" ht="15.75" customHeight="1" x14ac:dyDescent="0.25">
      <c r="A445" s="26">
        <v>443</v>
      </c>
      <c r="B445" s="4">
        <v>444</v>
      </c>
      <c r="C445" s="4">
        <v>0.33329999999999999</v>
      </c>
      <c r="D445" s="4">
        <v>0.42</v>
      </c>
      <c r="E445" s="4">
        <v>0</v>
      </c>
      <c r="F445" s="4">
        <v>7</v>
      </c>
      <c r="G445" s="4">
        <v>77</v>
      </c>
      <c r="H445" s="8">
        <v>84</v>
      </c>
    </row>
    <row r="446" spans="1:8" ht="15.75" customHeight="1" x14ac:dyDescent="0.25">
      <c r="A446" s="26">
        <v>444</v>
      </c>
      <c r="B446" s="4">
        <v>445</v>
      </c>
      <c r="C446" s="4">
        <v>0.28789999999999999</v>
      </c>
      <c r="D446" s="4">
        <v>0.45</v>
      </c>
      <c r="E446" s="4">
        <v>0.1045</v>
      </c>
      <c r="F446" s="4">
        <v>12</v>
      </c>
      <c r="G446" s="4">
        <v>86</v>
      </c>
      <c r="H446" s="8">
        <v>98</v>
      </c>
    </row>
    <row r="447" spans="1:8" ht="15.75" customHeight="1" x14ac:dyDescent="0.25">
      <c r="A447" s="26">
        <v>445</v>
      </c>
      <c r="B447" s="4">
        <v>446</v>
      </c>
      <c r="C447" s="4">
        <v>0.30299999999999999</v>
      </c>
      <c r="D447" s="4">
        <v>0.45</v>
      </c>
      <c r="E447" s="4">
        <v>0.1343</v>
      </c>
      <c r="F447" s="4">
        <v>6</v>
      </c>
      <c r="G447" s="4">
        <v>75</v>
      </c>
      <c r="H447" s="8">
        <v>81</v>
      </c>
    </row>
    <row r="448" spans="1:8" ht="15.75" customHeight="1" x14ac:dyDescent="0.25">
      <c r="A448" s="26">
        <v>446</v>
      </c>
      <c r="B448" s="4">
        <v>447</v>
      </c>
      <c r="C448" s="4">
        <v>0.31819999999999998</v>
      </c>
      <c r="D448" s="4">
        <v>0.45</v>
      </c>
      <c r="E448" s="4">
        <v>0.19400000000000001</v>
      </c>
      <c r="F448" s="4">
        <v>8</v>
      </c>
      <c r="G448" s="4">
        <v>62</v>
      </c>
      <c r="H448" s="8">
        <v>70</v>
      </c>
    </row>
    <row r="449" spans="1:8" ht="15.75" customHeight="1" x14ac:dyDescent="0.25">
      <c r="A449" s="26">
        <v>447</v>
      </c>
      <c r="B449" s="4">
        <v>448</v>
      </c>
      <c r="C449" s="4">
        <v>0.30299999999999999</v>
      </c>
      <c r="D449" s="4">
        <v>0.49</v>
      </c>
      <c r="E449" s="4">
        <v>0.1343</v>
      </c>
      <c r="F449" s="4">
        <v>8</v>
      </c>
      <c r="G449" s="4">
        <v>83</v>
      </c>
      <c r="H449" s="8">
        <v>91</v>
      </c>
    </row>
    <row r="450" spans="1:8" ht="15.75" customHeight="1" x14ac:dyDescent="0.25">
      <c r="A450" s="26">
        <v>448</v>
      </c>
      <c r="B450" s="4">
        <v>449</v>
      </c>
      <c r="C450" s="4">
        <v>0.31819999999999998</v>
      </c>
      <c r="D450" s="4">
        <v>0.49</v>
      </c>
      <c r="E450" s="4">
        <v>0.1045</v>
      </c>
      <c r="F450" s="4">
        <v>8</v>
      </c>
      <c r="G450" s="4">
        <v>207</v>
      </c>
      <c r="H450" s="8">
        <v>215</v>
      </c>
    </row>
    <row r="451" spans="1:8" ht="15.75" customHeight="1" x14ac:dyDescent="0.25">
      <c r="A451" s="26">
        <v>449</v>
      </c>
      <c r="B451" s="4">
        <v>450</v>
      </c>
      <c r="C451" s="4">
        <v>0.2576</v>
      </c>
      <c r="D451" s="4">
        <v>0.56000000000000005</v>
      </c>
      <c r="E451" s="4">
        <v>0.19400000000000001</v>
      </c>
      <c r="F451" s="4">
        <v>1</v>
      </c>
      <c r="G451" s="4">
        <v>184</v>
      </c>
      <c r="H451" s="8">
        <v>185</v>
      </c>
    </row>
    <row r="452" spans="1:8" ht="15.75" customHeight="1" x14ac:dyDescent="0.25">
      <c r="A452" s="26">
        <v>450</v>
      </c>
      <c r="B452" s="4">
        <v>451</v>
      </c>
      <c r="C452" s="4">
        <v>0.2273</v>
      </c>
      <c r="D452" s="4">
        <v>0.56000000000000005</v>
      </c>
      <c r="E452" s="4">
        <v>0.32840000000000003</v>
      </c>
      <c r="F452" s="4">
        <v>6</v>
      </c>
      <c r="G452" s="4">
        <v>146</v>
      </c>
      <c r="H452" s="8">
        <v>152</v>
      </c>
    </row>
    <row r="453" spans="1:8" ht="15.75" customHeight="1" x14ac:dyDescent="0.25">
      <c r="A453" s="26">
        <v>451</v>
      </c>
      <c r="B453" s="4">
        <v>452</v>
      </c>
      <c r="C453" s="4">
        <v>0.2424</v>
      </c>
      <c r="D453" s="4">
        <v>0.6</v>
      </c>
      <c r="E453" s="4">
        <v>0.28360000000000002</v>
      </c>
      <c r="F453" s="4">
        <v>2</v>
      </c>
      <c r="G453" s="4">
        <v>124</v>
      </c>
      <c r="H453" s="8">
        <v>126</v>
      </c>
    </row>
    <row r="454" spans="1:8" ht="15.75" customHeight="1" x14ac:dyDescent="0.25">
      <c r="A454" s="26">
        <v>452</v>
      </c>
      <c r="B454" s="4">
        <v>453</v>
      </c>
      <c r="C454" s="4">
        <v>0.2273</v>
      </c>
      <c r="D454" s="4">
        <v>0.6</v>
      </c>
      <c r="E454" s="4">
        <v>0.25369999999999998</v>
      </c>
      <c r="F454" s="4">
        <v>3</v>
      </c>
      <c r="G454" s="4">
        <v>54</v>
      </c>
      <c r="H454" s="8">
        <v>57</v>
      </c>
    </row>
    <row r="455" spans="1:8" ht="15.75" customHeight="1" x14ac:dyDescent="0.25">
      <c r="A455" s="26">
        <v>453</v>
      </c>
      <c r="B455" s="4">
        <v>454</v>
      </c>
      <c r="C455" s="4">
        <v>0.21210000000000001</v>
      </c>
      <c r="D455" s="4">
        <v>0.65</v>
      </c>
      <c r="E455" s="4">
        <v>0.28360000000000002</v>
      </c>
      <c r="F455" s="4">
        <v>0</v>
      </c>
      <c r="G455" s="4">
        <v>56</v>
      </c>
      <c r="H455" s="8">
        <v>56</v>
      </c>
    </row>
    <row r="456" spans="1:8" ht="15.75" customHeight="1" x14ac:dyDescent="0.25">
      <c r="A456" s="26">
        <v>454</v>
      </c>
      <c r="B456" s="4">
        <v>455</v>
      </c>
      <c r="C456" s="4">
        <v>0.21210000000000001</v>
      </c>
      <c r="D456" s="4">
        <v>0.65</v>
      </c>
      <c r="E456" s="4">
        <v>0.32840000000000003</v>
      </c>
      <c r="F456" s="4">
        <v>3</v>
      </c>
      <c r="G456" s="4">
        <v>28</v>
      </c>
      <c r="H456" s="8">
        <v>31</v>
      </c>
    </row>
    <row r="457" spans="1:8" ht="15.75" customHeight="1" x14ac:dyDescent="0.25">
      <c r="A457" s="26">
        <v>455</v>
      </c>
      <c r="B457" s="4">
        <v>456</v>
      </c>
      <c r="C457" s="4">
        <v>0.2273</v>
      </c>
      <c r="D457" s="4">
        <v>0.7</v>
      </c>
      <c r="E457" s="4">
        <v>0.25369999999999998</v>
      </c>
      <c r="F457" s="4">
        <v>1</v>
      </c>
      <c r="G457" s="4">
        <v>20</v>
      </c>
      <c r="H457" s="8">
        <v>21</v>
      </c>
    </row>
    <row r="458" spans="1:8" ht="15.75" customHeight="1" x14ac:dyDescent="0.25">
      <c r="A458" s="26">
        <v>456</v>
      </c>
      <c r="B458" s="4">
        <v>457</v>
      </c>
      <c r="C458" s="4">
        <v>0.2273</v>
      </c>
      <c r="D458" s="4">
        <v>0.7</v>
      </c>
      <c r="E458" s="4">
        <v>0.25369999999999998</v>
      </c>
      <c r="F458" s="4">
        <v>0</v>
      </c>
      <c r="G458" s="4">
        <v>6</v>
      </c>
      <c r="H458" s="8">
        <v>6</v>
      </c>
    </row>
    <row r="459" spans="1:8" ht="15.75" customHeight="1" x14ac:dyDescent="0.25">
      <c r="A459" s="26">
        <v>457</v>
      </c>
      <c r="B459" s="4">
        <v>458</v>
      </c>
      <c r="C459" s="4">
        <v>0.2424</v>
      </c>
      <c r="D459" s="4">
        <v>0.75</v>
      </c>
      <c r="E459" s="4">
        <v>0.16420000000000001</v>
      </c>
      <c r="F459" s="4">
        <v>0</v>
      </c>
      <c r="G459" s="4">
        <v>2</v>
      </c>
      <c r="H459" s="8">
        <v>2</v>
      </c>
    </row>
    <row r="460" spans="1:8" ht="15.75" customHeight="1" x14ac:dyDescent="0.25">
      <c r="A460" s="26">
        <v>458</v>
      </c>
      <c r="B460" s="4">
        <v>459</v>
      </c>
      <c r="C460" s="4">
        <v>0.21210000000000001</v>
      </c>
      <c r="D460" s="4">
        <v>0.8</v>
      </c>
      <c r="E460" s="4">
        <v>0.29849999999999999</v>
      </c>
      <c r="F460" s="4">
        <v>0</v>
      </c>
      <c r="G460" s="4">
        <v>1</v>
      </c>
      <c r="H460" s="8">
        <v>1</v>
      </c>
    </row>
    <row r="461" spans="1:8" ht="15.75" customHeight="1" x14ac:dyDescent="0.25">
      <c r="A461" s="26">
        <v>459</v>
      </c>
      <c r="B461" s="4">
        <v>460</v>
      </c>
      <c r="C461" s="4">
        <v>0.2576</v>
      </c>
      <c r="D461" s="4">
        <v>0.87</v>
      </c>
      <c r="E461" s="4">
        <v>8.9599999999999999E-2</v>
      </c>
      <c r="F461" s="4">
        <v>0</v>
      </c>
      <c r="G461" s="4">
        <v>1</v>
      </c>
      <c r="H461" s="8">
        <v>1</v>
      </c>
    </row>
    <row r="462" spans="1:8" ht="15.75" customHeight="1" x14ac:dyDescent="0.25">
      <c r="A462" s="26">
        <v>460</v>
      </c>
      <c r="B462" s="4">
        <v>461</v>
      </c>
      <c r="C462" s="4">
        <v>0.19700000000000001</v>
      </c>
      <c r="D462" s="4">
        <v>0.6</v>
      </c>
      <c r="E462" s="4">
        <v>0.41789999999999999</v>
      </c>
      <c r="F462" s="4">
        <v>1</v>
      </c>
      <c r="G462" s="4">
        <v>4</v>
      </c>
      <c r="H462" s="8">
        <v>5</v>
      </c>
    </row>
    <row r="463" spans="1:8" ht="15.75" customHeight="1" x14ac:dyDescent="0.25">
      <c r="A463" s="26">
        <v>461</v>
      </c>
      <c r="B463" s="4">
        <v>462</v>
      </c>
      <c r="C463" s="4">
        <v>0.21210000000000001</v>
      </c>
      <c r="D463" s="4">
        <v>0.55000000000000004</v>
      </c>
      <c r="E463" s="4">
        <v>0.25369999999999998</v>
      </c>
      <c r="F463" s="4">
        <v>0</v>
      </c>
      <c r="G463" s="4">
        <v>27</v>
      </c>
      <c r="H463" s="8">
        <v>27</v>
      </c>
    </row>
    <row r="464" spans="1:8" ht="15.75" customHeight="1" x14ac:dyDescent="0.25">
      <c r="A464" s="26">
        <v>462</v>
      </c>
      <c r="B464" s="4">
        <v>463</v>
      </c>
      <c r="C464" s="4">
        <v>0.18179999999999999</v>
      </c>
      <c r="D464" s="4">
        <v>0.51</v>
      </c>
      <c r="E464" s="4">
        <v>0.28360000000000002</v>
      </c>
      <c r="F464" s="4">
        <v>2</v>
      </c>
      <c r="G464" s="4">
        <v>66</v>
      </c>
      <c r="H464" s="8">
        <v>68</v>
      </c>
    </row>
    <row r="465" spans="1:8" ht="15.75" customHeight="1" x14ac:dyDescent="0.25">
      <c r="A465" s="26">
        <v>463</v>
      </c>
      <c r="B465" s="4">
        <v>464</v>
      </c>
      <c r="C465" s="4">
        <v>0.18179999999999999</v>
      </c>
      <c r="D465" s="4">
        <v>0.47</v>
      </c>
      <c r="E465" s="4">
        <v>0.32840000000000003</v>
      </c>
      <c r="F465" s="4">
        <v>7</v>
      </c>
      <c r="G465" s="4">
        <v>210</v>
      </c>
      <c r="H465" s="8">
        <v>217</v>
      </c>
    </row>
    <row r="466" spans="1:8" ht="15.75" customHeight="1" x14ac:dyDescent="0.25">
      <c r="A466" s="26">
        <v>464</v>
      </c>
      <c r="B466" s="4">
        <v>465</v>
      </c>
      <c r="C466" s="4">
        <v>0.18179999999999999</v>
      </c>
      <c r="D466" s="4">
        <v>0.51</v>
      </c>
      <c r="E466" s="4">
        <v>0.35820000000000002</v>
      </c>
      <c r="F466" s="4">
        <v>7</v>
      </c>
      <c r="G466" s="4">
        <v>159</v>
      </c>
      <c r="H466" s="8">
        <v>166</v>
      </c>
    </row>
    <row r="467" spans="1:8" ht="15.75" customHeight="1" x14ac:dyDescent="0.25">
      <c r="A467" s="26">
        <v>465</v>
      </c>
      <c r="B467" s="4">
        <v>466</v>
      </c>
      <c r="C467" s="4">
        <v>0.16669999999999999</v>
      </c>
      <c r="D467" s="4">
        <v>0.47</v>
      </c>
      <c r="E467" s="4">
        <v>0.4627</v>
      </c>
      <c r="F467" s="4">
        <v>6</v>
      </c>
      <c r="G467" s="4">
        <v>57</v>
      </c>
      <c r="H467" s="8">
        <v>63</v>
      </c>
    </row>
    <row r="468" spans="1:8" ht="15.75" customHeight="1" x14ac:dyDescent="0.25">
      <c r="A468" s="26">
        <v>466</v>
      </c>
      <c r="B468" s="4">
        <v>467</v>
      </c>
      <c r="C468" s="4">
        <v>0.18179999999999999</v>
      </c>
      <c r="D468" s="4">
        <v>0.41</v>
      </c>
      <c r="E468" s="4">
        <v>0.4627</v>
      </c>
      <c r="F468" s="4">
        <v>6</v>
      </c>
      <c r="G468" s="4">
        <v>53</v>
      </c>
      <c r="H468" s="8">
        <v>59</v>
      </c>
    </row>
    <row r="469" spans="1:8" ht="15.75" customHeight="1" x14ac:dyDescent="0.25">
      <c r="A469" s="26">
        <v>467</v>
      </c>
      <c r="B469" s="4">
        <v>468</v>
      </c>
      <c r="C469" s="4">
        <v>0.18179999999999999</v>
      </c>
      <c r="D469" s="4">
        <v>0.27</v>
      </c>
      <c r="E469" s="4">
        <v>0.58209999999999995</v>
      </c>
      <c r="F469" s="4">
        <v>11</v>
      </c>
      <c r="G469" s="4">
        <v>67</v>
      </c>
      <c r="H469" s="8">
        <v>78</v>
      </c>
    </row>
    <row r="470" spans="1:8" ht="15.75" customHeight="1" x14ac:dyDescent="0.25">
      <c r="A470" s="26">
        <v>468</v>
      </c>
      <c r="B470" s="4">
        <v>469</v>
      </c>
      <c r="C470" s="4">
        <v>0.1515</v>
      </c>
      <c r="D470" s="4">
        <v>0.21</v>
      </c>
      <c r="E470" s="4">
        <v>0.58209999999999995</v>
      </c>
      <c r="F470" s="4">
        <v>8</v>
      </c>
      <c r="G470" s="4">
        <v>65</v>
      </c>
      <c r="H470" s="8">
        <v>73</v>
      </c>
    </row>
    <row r="471" spans="1:8" ht="15.75" customHeight="1" x14ac:dyDescent="0.25">
      <c r="A471" s="26">
        <v>469</v>
      </c>
      <c r="B471" s="4">
        <v>470</v>
      </c>
      <c r="C471" s="4">
        <v>0.1515</v>
      </c>
      <c r="D471" s="4">
        <v>0.25</v>
      </c>
      <c r="E471" s="4">
        <v>0.52239999999999998</v>
      </c>
      <c r="F471" s="4">
        <v>6</v>
      </c>
      <c r="G471" s="4">
        <v>56</v>
      </c>
      <c r="H471" s="8">
        <v>62</v>
      </c>
    </row>
    <row r="472" spans="1:8" ht="15.75" customHeight="1" x14ac:dyDescent="0.25">
      <c r="A472" s="26">
        <v>470</v>
      </c>
      <c r="B472" s="4">
        <v>471</v>
      </c>
      <c r="C472" s="4">
        <v>0.1212</v>
      </c>
      <c r="D472" s="4">
        <v>0.26</v>
      </c>
      <c r="E472" s="4">
        <v>0.44779999999999998</v>
      </c>
      <c r="F472" s="4">
        <v>4</v>
      </c>
      <c r="G472" s="4">
        <v>61</v>
      </c>
      <c r="H472" s="8">
        <v>65</v>
      </c>
    </row>
    <row r="473" spans="1:8" ht="15.75" customHeight="1" x14ac:dyDescent="0.25">
      <c r="A473" s="26">
        <v>471</v>
      </c>
      <c r="B473" s="4">
        <v>472</v>
      </c>
      <c r="C473" s="4">
        <v>0.13639999999999999</v>
      </c>
      <c r="D473" s="4">
        <v>0.26</v>
      </c>
      <c r="E473" s="4">
        <v>0.35820000000000002</v>
      </c>
      <c r="F473" s="4">
        <v>0</v>
      </c>
      <c r="G473" s="4">
        <v>97</v>
      </c>
      <c r="H473" s="8">
        <v>97</v>
      </c>
    </row>
    <row r="474" spans="1:8" ht="15.75" customHeight="1" x14ac:dyDescent="0.25">
      <c r="A474" s="26">
        <v>472</v>
      </c>
      <c r="B474" s="4">
        <v>473</v>
      </c>
      <c r="C474" s="4">
        <v>0.1212</v>
      </c>
      <c r="D474" s="4">
        <v>0.28000000000000003</v>
      </c>
      <c r="E474" s="4">
        <v>0.35820000000000002</v>
      </c>
      <c r="F474" s="4">
        <v>10</v>
      </c>
      <c r="G474" s="4">
        <v>151</v>
      </c>
      <c r="H474" s="8">
        <v>161</v>
      </c>
    </row>
    <row r="475" spans="1:8" ht="15.75" customHeight="1" x14ac:dyDescent="0.25">
      <c r="A475" s="26">
        <v>473</v>
      </c>
      <c r="B475" s="4">
        <v>474</v>
      </c>
      <c r="C475" s="4">
        <v>0.1212</v>
      </c>
      <c r="D475" s="4">
        <v>0.3</v>
      </c>
      <c r="E475" s="4">
        <v>0.25369999999999998</v>
      </c>
      <c r="F475" s="4">
        <v>1</v>
      </c>
      <c r="G475" s="4">
        <v>119</v>
      </c>
      <c r="H475" s="8">
        <v>120</v>
      </c>
    </row>
    <row r="476" spans="1:8" ht="15.75" customHeight="1" x14ac:dyDescent="0.25">
      <c r="A476" s="26">
        <v>474</v>
      </c>
      <c r="B476" s="4">
        <v>475</v>
      </c>
      <c r="C476" s="4">
        <v>0.1061</v>
      </c>
      <c r="D476" s="4">
        <v>0.3</v>
      </c>
      <c r="E476" s="4">
        <v>0.32840000000000003</v>
      </c>
      <c r="F476" s="4">
        <v>3</v>
      </c>
      <c r="G476" s="4">
        <v>93</v>
      </c>
      <c r="H476" s="8">
        <v>96</v>
      </c>
    </row>
    <row r="477" spans="1:8" ht="15.75" customHeight="1" x14ac:dyDescent="0.25">
      <c r="A477" s="26">
        <v>475</v>
      </c>
      <c r="B477" s="4">
        <v>476</v>
      </c>
      <c r="C477" s="4">
        <v>7.5800000000000006E-2</v>
      </c>
      <c r="D477" s="4">
        <v>0.33</v>
      </c>
      <c r="E477" s="4">
        <v>0.41789999999999999</v>
      </c>
      <c r="F477" s="4">
        <v>1</v>
      </c>
      <c r="G477" s="4">
        <v>52</v>
      </c>
      <c r="H477" s="8">
        <v>53</v>
      </c>
    </row>
    <row r="478" spans="1:8" ht="15.75" customHeight="1" x14ac:dyDescent="0.25">
      <c r="A478" s="26">
        <v>476</v>
      </c>
      <c r="B478" s="4">
        <v>477</v>
      </c>
      <c r="C478" s="4">
        <v>7.5800000000000006E-2</v>
      </c>
      <c r="D478" s="4">
        <v>0.38</v>
      </c>
      <c r="E478" s="4">
        <v>0.28360000000000002</v>
      </c>
      <c r="F478" s="4">
        <v>0</v>
      </c>
      <c r="G478" s="4">
        <v>41</v>
      </c>
      <c r="H478" s="8">
        <v>41</v>
      </c>
    </row>
    <row r="479" spans="1:8" ht="15.75" customHeight="1" x14ac:dyDescent="0.25">
      <c r="A479" s="26">
        <v>477</v>
      </c>
      <c r="B479" s="4">
        <v>478</v>
      </c>
      <c r="C479" s="4">
        <v>3.0300000000000001E-2</v>
      </c>
      <c r="D479" s="4">
        <v>0.41</v>
      </c>
      <c r="E479" s="4">
        <v>0.3881</v>
      </c>
      <c r="F479" s="4">
        <v>1</v>
      </c>
      <c r="G479" s="4">
        <v>33</v>
      </c>
      <c r="H479" s="8">
        <v>34</v>
      </c>
    </row>
    <row r="480" spans="1:8" ht="15.75" customHeight="1" x14ac:dyDescent="0.25">
      <c r="A480" s="26">
        <v>478</v>
      </c>
      <c r="B480" s="4">
        <v>479</v>
      </c>
      <c r="C480" s="4">
        <v>4.5499999999999999E-2</v>
      </c>
      <c r="D480" s="4">
        <v>0.38</v>
      </c>
      <c r="E480" s="4">
        <v>0.32840000000000003</v>
      </c>
      <c r="F480" s="4">
        <v>0</v>
      </c>
      <c r="G480" s="4">
        <v>27</v>
      </c>
      <c r="H480" s="8">
        <v>27</v>
      </c>
    </row>
    <row r="481" spans="1:8" ht="15.75" customHeight="1" x14ac:dyDescent="0.25">
      <c r="A481" s="26">
        <v>479</v>
      </c>
      <c r="B481" s="4">
        <v>480</v>
      </c>
      <c r="C481" s="4">
        <v>3.0300000000000001E-2</v>
      </c>
      <c r="D481" s="4">
        <v>0.45</v>
      </c>
      <c r="E481" s="4">
        <v>0.25369999999999998</v>
      </c>
      <c r="F481" s="4">
        <v>0</v>
      </c>
      <c r="G481" s="4">
        <v>13</v>
      </c>
      <c r="H481" s="8">
        <v>13</v>
      </c>
    </row>
    <row r="482" spans="1:8" ht="15.75" customHeight="1" x14ac:dyDescent="0.25">
      <c r="A482" s="26">
        <v>480</v>
      </c>
      <c r="B482" s="4">
        <v>481</v>
      </c>
      <c r="C482" s="4">
        <v>0</v>
      </c>
      <c r="D482" s="4">
        <v>0.41</v>
      </c>
      <c r="E482" s="4">
        <v>0.3881</v>
      </c>
      <c r="F482" s="4">
        <v>3</v>
      </c>
      <c r="G482" s="4">
        <v>9</v>
      </c>
      <c r="H482" s="8">
        <v>12</v>
      </c>
    </row>
    <row r="483" spans="1:8" ht="15.75" customHeight="1" x14ac:dyDescent="0.25">
      <c r="A483" s="26">
        <v>481</v>
      </c>
      <c r="B483" s="4">
        <v>482</v>
      </c>
      <c r="C483" s="4">
        <v>3.0300000000000001E-2</v>
      </c>
      <c r="D483" s="4">
        <v>0.41</v>
      </c>
      <c r="E483" s="4">
        <v>0.25369999999999998</v>
      </c>
      <c r="F483" s="4">
        <v>0</v>
      </c>
      <c r="G483" s="4">
        <v>11</v>
      </c>
      <c r="H483" s="8">
        <v>11</v>
      </c>
    </row>
    <row r="484" spans="1:8" ht="15.75" customHeight="1" x14ac:dyDescent="0.25">
      <c r="A484" s="26">
        <v>482</v>
      </c>
      <c r="B484" s="4">
        <v>483</v>
      </c>
      <c r="C484" s="4">
        <v>3.0300000000000001E-2</v>
      </c>
      <c r="D484" s="4">
        <v>0.41</v>
      </c>
      <c r="E484" s="4">
        <v>0.28360000000000002</v>
      </c>
      <c r="F484" s="4">
        <v>1</v>
      </c>
      <c r="G484" s="4">
        <v>6</v>
      </c>
      <c r="H484" s="8">
        <v>7</v>
      </c>
    </row>
    <row r="485" spans="1:8" ht="15.75" customHeight="1" x14ac:dyDescent="0.25">
      <c r="A485" s="26">
        <v>483</v>
      </c>
      <c r="B485" s="4">
        <v>484</v>
      </c>
      <c r="C485" s="4">
        <v>1.52E-2</v>
      </c>
      <c r="D485" s="4">
        <v>0.48</v>
      </c>
      <c r="E485" s="4">
        <v>0.29849999999999999</v>
      </c>
      <c r="F485" s="4">
        <v>0</v>
      </c>
      <c r="G485" s="4">
        <v>3</v>
      </c>
      <c r="H485" s="8">
        <v>3</v>
      </c>
    </row>
    <row r="486" spans="1:8" ht="15.75" customHeight="1" x14ac:dyDescent="0.25">
      <c r="A486" s="26">
        <v>484</v>
      </c>
      <c r="B486" s="4">
        <v>485</v>
      </c>
      <c r="C486" s="4">
        <v>3.0300000000000001E-2</v>
      </c>
      <c r="D486" s="4">
        <v>0.44</v>
      </c>
      <c r="E486" s="4">
        <v>0.22389999999999999</v>
      </c>
      <c r="F486" s="4">
        <v>0</v>
      </c>
      <c r="G486" s="4">
        <v>2</v>
      </c>
      <c r="H486" s="8">
        <v>2</v>
      </c>
    </row>
    <row r="487" spans="1:8" ht="15.75" customHeight="1" x14ac:dyDescent="0.25">
      <c r="A487" s="26">
        <v>485</v>
      </c>
      <c r="B487" s="4">
        <v>486</v>
      </c>
      <c r="C487" s="4">
        <v>1.52E-2</v>
      </c>
      <c r="D487" s="4">
        <v>0.44</v>
      </c>
      <c r="E487" s="4">
        <v>0.28360000000000002</v>
      </c>
      <c r="F487" s="4">
        <v>0</v>
      </c>
      <c r="G487" s="4">
        <v>8</v>
      </c>
      <c r="H487" s="8">
        <v>8</v>
      </c>
    </row>
    <row r="488" spans="1:8" ht="15.75" customHeight="1" x14ac:dyDescent="0.25">
      <c r="A488" s="26">
        <v>486</v>
      </c>
      <c r="B488" s="4">
        <v>487</v>
      </c>
      <c r="C488" s="4">
        <v>0</v>
      </c>
      <c r="D488" s="4">
        <v>0.44</v>
      </c>
      <c r="E488" s="4">
        <v>0.32840000000000003</v>
      </c>
      <c r="F488" s="4">
        <v>1</v>
      </c>
      <c r="G488" s="4">
        <v>26</v>
      </c>
      <c r="H488" s="8">
        <v>27</v>
      </c>
    </row>
    <row r="489" spans="1:8" ht="15.75" customHeight="1" x14ac:dyDescent="0.25">
      <c r="A489" s="26">
        <v>487</v>
      </c>
      <c r="B489" s="4">
        <v>488</v>
      </c>
      <c r="C489" s="4">
        <v>3.0300000000000001E-2</v>
      </c>
      <c r="D489" s="4">
        <v>0.41</v>
      </c>
      <c r="E489" s="4">
        <v>0.25369999999999998</v>
      </c>
      <c r="F489" s="4">
        <v>3</v>
      </c>
      <c r="G489" s="4">
        <v>37</v>
      </c>
      <c r="H489" s="8">
        <v>40</v>
      </c>
    </row>
    <row r="490" spans="1:8" ht="15.75" customHeight="1" x14ac:dyDescent="0.25">
      <c r="A490" s="26">
        <v>488</v>
      </c>
      <c r="B490" s="4">
        <v>489</v>
      </c>
      <c r="C490" s="4">
        <v>6.0600000000000001E-2</v>
      </c>
      <c r="D490" s="4">
        <v>0.41</v>
      </c>
      <c r="E490" s="4">
        <v>0.16420000000000001</v>
      </c>
      <c r="F490" s="4">
        <v>3</v>
      </c>
      <c r="G490" s="4">
        <v>50</v>
      </c>
      <c r="H490" s="8">
        <v>53</v>
      </c>
    </row>
    <row r="491" spans="1:8" ht="15.75" customHeight="1" x14ac:dyDescent="0.25">
      <c r="A491" s="26">
        <v>489</v>
      </c>
      <c r="B491" s="4">
        <v>490</v>
      </c>
      <c r="C491" s="4">
        <v>7.5800000000000006E-2</v>
      </c>
      <c r="D491" s="4">
        <v>0.38</v>
      </c>
      <c r="E491" s="4">
        <v>0.1343</v>
      </c>
      <c r="F491" s="4">
        <v>4</v>
      </c>
      <c r="G491" s="4">
        <v>59</v>
      </c>
      <c r="H491" s="8">
        <v>63</v>
      </c>
    </row>
    <row r="492" spans="1:8" ht="15.75" customHeight="1" x14ac:dyDescent="0.25">
      <c r="A492" s="26">
        <v>490</v>
      </c>
      <c r="B492" s="4">
        <v>491</v>
      </c>
      <c r="C492" s="4">
        <v>0.1061</v>
      </c>
      <c r="D492" s="4">
        <v>0.38</v>
      </c>
      <c r="E492" s="4">
        <v>0.1045</v>
      </c>
      <c r="F492" s="4">
        <v>10</v>
      </c>
      <c r="G492" s="4">
        <v>60</v>
      </c>
      <c r="H492" s="8">
        <v>70</v>
      </c>
    </row>
    <row r="493" spans="1:8" ht="15.75" customHeight="1" x14ac:dyDescent="0.25">
      <c r="A493" s="26">
        <v>491</v>
      </c>
      <c r="B493" s="4">
        <v>492</v>
      </c>
      <c r="C493" s="4">
        <v>0.16669999999999999</v>
      </c>
      <c r="D493" s="4">
        <v>0.35</v>
      </c>
      <c r="E493" s="4">
        <v>0</v>
      </c>
      <c r="F493" s="4">
        <v>12</v>
      </c>
      <c r="G493" s="4">
        <v>72</v>
      </c>
      <c r="H493" s="8">
        <v>84</v>
      </c>
    </row>
    <row r="494" spans="1:8" ht="15.75" customHeight="1" x14ac:dyDescent="0.25">
      <c r="A494" s="26">
        <v>492</v>
      </c>
      <c r="B494" s="4">
        <v>493</v>
      </c>
      <c r="C494" s="4">
        <v>0.13639999999999999</v>
      </c>
      <c r="D494" s="4">
        <v>0.33</v>
      </c>
      <c r="E494" s="4">
        <v>0.1045</v>
      </c>
      <c r="F494" s="4">
        <v>11</v>
      </c>
      <c r="G494" s="4">
        <v>64</v>
      </c>
      <c r="H494" s="8">
        <v>75</v>
      </c>
    </row>
    <row r="495" spans="1:8" ht="15.75" customHeight="1" x14ac:dyDescent="0.25">
      <c r="A495" s="26">
        <v>493</v>
      </c>
      <c r="B495" s="4">
        <v>494</v>
      </c>
      <c r="C495" s="4">
        <v>0.1515</v>
      </c>
      <c r="D495" s="4">
        <v>0.28000000000000003</v>
      </c>
      <c r="E495" s="4">
        <v>0</v>
      </c>
      <c r="F495" s="4">
        <v>10</v>
      </c>
      <c r="G495" s="4">
        <v>93</v>
      </c>
      <c r="H495" s="8">
        <v>103</v>
      </c>
    </row>
    <row r="496" spans="1:8" ht="15.75" customHeight="1" x14ac:dyDescent="0.25">
      <c r="A496" s="26">
        <v>494</v>
      </c>
      <c r="B496" s="4">
        <v>495</v>
      </c>
      <c r="C496" s="4">
        <v>0.13639999999999999</v>
      </c>
      <c r="D496" s="4">
        <v>0.28000000000000003</v>
      </c>
      <c r="E496" s="4">
        <v>0.19400000000000001</v>
      </c>
      <c r="F496" s="4">
        <v>11</v>
      </c>
      <c r="G496" s="4">
        <v>72</v>
      </c>
      <c r="H496" s="8">
        <v>83</v>
      </c>
    </row>
    <row r="497" spans="1:8" ht="15.75" customHeight="1" x14ac:dyDescent="0.25">
      <c r="A497" s="26">
        <v>495</v>
      </c>
      <c r="B497" s="4">
        <v>496</v>
      </c>
      <c r="C497" s="4">
        <v>0.19700000000000001</v>
      </c>
      <c r="D497" s="4">
        <v>0.28000000000000003</v>
      </c>
      <c r="E497" s="4">
        <v>0</v>
      </c>
      <c r="F497" s="4">
        <v>8</v>
      </c>
      <c r="G497" s="4">
        <v>59</v>
      </c>
      <c r="H497" s="8">
        <v>67</v>
      </c>
    </row>
    <row r="498" spans="1:8" ht="15.75" customHeight="1" x14ac:dyDescent="0.25">
      <c r="A498" s="26">
        <v>496</v>
      </c>
      <c r="B498" s="4">
        <v>497</v>
      </c>
      <c r="C498" s="4">
        <v>9.0899999999999995E-2</v>
      </c>
      <c r="D498" s="4">
        <v>0.35</v>
      </c>
      <c r="E498" s="4">
        <v>0.19400000000000001</v>
      </c>
      <c r="F498" s="4">
        <v>0</v>
      </c>
      <c r="G498" s="4">
        <v>54</v>
      </c>
      <c r="H498" s="8">
        <v>54</v>
      </c>
    </row>
    <row r="499" spans="1:8" ht="15.75" customHeight="1" x14ac:dyDescent="0.25">
      <c r="A499" s="26">
        <v>497</v>
      </c>
      <c r="B499" s="4">
        <v>498</v>
      </c>
      <c r="C499" s="4">
        <v>0.1061</v>
      </c>
      <c r="D499" s="4">
        <v>0.35</v>
      </c>
      <c r="E499" s="4">
        <v>0.1343</v>
      </c>
      <c r="F499" s="4">
        <v>6</v>
      </c>
      <c r="G499" s="4">
        <v>53</v>
      </c>
      <c r="H499" s="8">
        <v>59</v>
      </c>
    </row>
    <row r="500" spans="1:8" ht="15.75" customHeight="1" x14ac:dyDescent="0.25">
      <c r="A500" s="26">
        <v>498</v>
      </c>
      <c r="B500" s="4">
        <v>499</v>
      </c>
      <c r="C500" s="4">
        <v>7.5800000000000006E-2</v>
      </c>
      <c r="D500" s="4">
        <v>0.45</v>
      </c>
      <c r="E500" s="4">
        <v>0.16420000000000001</v>
      </c>
      <c r="F500" s="4">
        <v>1</v>
      </c>
      <c r="G500" s="4">
        <v>44</v>
      </c>
      <c r="H500" s="8">
        <v>45</v>
      </c>
    </row>
    <row r="501" spans="1:8" ht="15.75" customHeight="1" x14ac:dyDescent="0.25">
      <c r="A501" s="26">
        <v>499</v>
      </c>
      <c r="B501" s="4">
        <v>500</v>
      </c>
      <c r="C501" s="4">
        <v>0.1061</v>
      </c>
      <c r="D501" s="4">
        <v>0.41</v>
      </c>
      <c r="E501" s="4">
        <v>8.9599999999999999E-2</v>
      </c>
      <c r="F501" s="4">
        <v>0</v>
      </c>
      <c r="G501" s="4">
        <v>39</v>
      </c>
      <c r="H501" s="8">
        <v>39</v>
      </c>
    </row>
    <row r="502" spans="1:8" ht="15.75" customHeight="1" x14ac:dyDescent="0.25">
      <c r="A502" s="26">
        <v>500</v>
      </c>
      <c r="B502" s="4">
        <v>501</v>
      </c>
      <c r="C502" s="4">
        <v>0.1515</v>
      </c>
      <c r="D502" s="4">
        <v>0.49</v>
      </c>
      <c r="E502" s="4">
        <v>0</v>
      </c>
      <c r="F502" s="4">
        <v>7</v>
      </c>
      <c r="G502" s="4">
        <v>23</v>
      </c>
      <c r="H502" s="8">
        <v>30</v>
      </c>
    </row>
    <row r="503" spans="1:8" ht="15.75" customHeight="1" x14ac:dyDescent="0.25">
      <c r="A503" s="26">
        <v>501</v>
      </c>
      <c r="B503" s="4">
        <v>502</v>
      </c>
      <c r="C503" s="4">
        <v>7.5800000000000006E-2</v>
      </c>
      <c r="D503" s="4">
        <v>0.56999999999999995</v>
      </c>
      <c r="E503" s="4">
        <v>0.1045</v>
      </c>
      <c r="F503" s="4">
        <v>2</v>
      </c>
      <c r="G503" s="4">
        <v>31</v>
      </c>
      <c r="H503" s="8">
        <v>33</v>
      </c>
    </row>
    <row r="504" spans="1:8" ht="15.75" customHeight="1" x14ac:dyDescent="0.25">
      <c r="A504" s="26">
        <v>502</v>
      </c>
      <c r="B504" s="4">
        <v>503</v>
      </c>
      <c r="C504" s="4">
        <v>7.5800000000000006E-2</v>
      </c>
      <c r="D504" s="4">
        <v>0.56999999999999995</v>
      </c>
      <c r="E504" s="4">
        <v>0.1045</v>
      </c>
      <c r="F504" s="4">
        <v>2</v>
      </c>
      <c r="G504" s="4">
        <v>20</v>
      </c>
      <c r="H504" s="8">
        <v>22</v>
      </c>
    </row>
    <row r="505" spans="1:8" ht="15.75" customHeight="1" x14ac:dyDescent="0.25">
      <c r="A505" s="26">
        <v>503</v>
      </c>
      <c r="B505" s="4">
        <v>504</v>
      </c>
      <c r="C505" s="4">
        <v>7.5800000000000006E-2</v>
      </c>
      <c r="D505" s="4">
        <v>0.56999999999999995</v>
      </c>
      <c r="E505" s="4">
        <v>0.1045</v>
      </c>
      <c r="F505" s="4">
        <v>1</v>
      </c>
      <c r="G505" s="4">
        <v>12</v>
      </c>
      <c r="H505" s="8">
        <v>13</v>
      </c>
    </row>
    <row r="506" spans="1:8" ht="15.75" customHeight="1" x14ac:dyDescent="0.25">
      <c r="A506" s="26">
        <v>504</v>
      </c>
      <c r="B506" s="4">
        <v>505</v>
      </c>
      <c r="C506" s="4">
        <v>6.0600000000000001E-2</v>
      </c>
      <c r="D506" s="4">
        <v>0.62</v>
      </c>
      <c r="E506" s="4">
        <v>0.1343</v>
      </c>
      <c r="F506" s="4">
        <v>3</v>
      </c>
      <c r="G506" s="4">
        <v>15</v>
      </c>
      <c r="H506" s="8">
        <v>18</v>
      </c>
    </row>
    <row r="507" spans="1:8" ht="15.75" customHeight="1" x14ac:dyDescent="0.25">
      <c r="A507" s="26">
        <v>505</v>
      </c>
      <c r="B507" s="4">
        <v>506</v>
      </c>
      <c r="C507" s="4">
        <v>6.0600000000000001E-2</v>
      </c>
      <c r="D507" s="4">
        <v>0.62</v>
      </c>
      <c r="E507" s="4">
        <v>0.1343</v>
      </c>
      <c r="F507" s="4">
        <v>1</v>
      </c>
      <c r="G507" s="4">
        <v>4</v>
      </c>
      <c r="H507" s="8">
        <v>5</v>
      </c>
    </row>
    <row r="508" spans="1:8" ht="15.75" customHeight="1" x14ac:dyDescent="0.25">
      <c r="A508" s="26">
        <v>506</v>
      </c>
      <c r="B508" s="4">
        <v>507</v>
      </c>
      <c r="C508" s="4">
        <v>7.5800000000000006E-2</v>
      </c>
      <c r="D508" s="4">
        <v>0.56999999999999995</v>
      </c>
      <c r="E508" s="4">
        <v>0.1045</v>
      </c>
      <c r="F508" s="4">
        <v>0</v>
      </c>
      <c r="G508" s="4">
        <v>3</v>
      </c>
      <c r="H508" s="8">
        <v>3</v>
      </c>
    </row>
    <row r="509" spans="1:8" ht="15.75" customHeight="1" x14ac:dyDescent="0.25">
      <c r="A509" s="26">
        <v>507</v>
      </c>
      <c r="B509" s="4">
        <v>508</v>
      </c>
      <c r="C509" s="4">
        <v>7.5800000000000006E-2</v>
      </c>
      <c r="D509" s="4">
        <v>0.56999999999999995</v>
      </c>
      <c r="E509" s="4">
        <v>0.1045</v>
      </c>
      <c r="F509" s="4">
        <v>0</v>
      </c>
      <c r="G509" s="4">
        <v>1</v>
      </c>
      <c r="H509" s="8">
        <v>1</v>
      </c>
    </row>
    <row r="510" spans="1:8" ht="15.75" customHeight="1" x14ac:dyDescent="0.25">
      <c r="A510" s="26">
        <v>508</v>
      </c>
      <c r="B510" s="4">
        <v>509</v>
      </c>
      <c r="C510" s="4">
        <v>0.1061</v>
      </c>
      <c r="D510" s="4">
        <v>0.57999999999999996</v>
      </c>
      <c r="E510" s="4">
        <v>0.16420000000000001</v>
      </c>
      <c r="F510" s="4">
        <v>1</v>
      </c>
      <c r="G510" s="4">
        <v>1</v>
      </c>
      <c r="H510" s="8">
        <v>2</v>
      </c>
    </row>
    <row r="511" spans="1:8" ht="15.75" customHeight="1" x14ac:dyDescent="0.25">
      <c r="A511" s="26">
        <v>509</v>
      </c>
      <c r="B511" s="4">
        <v>510</v>
      </c>
      <c r="C511" s="4">
        <v>7.5800000000000006E-2</v>
      </c>
      <c r="D511" s="4">
        <v>0.62</v>
      </c>
      <c r="E511" s="4">
        <v>0.16420000000000001</v>
      </c>
      <c r="F511" s="4">
        <v>2</v>
      </c>
      <c r="G511" s="4">
        <v>17</v>
      </c>
      <c r="H511" s="8">
        <v>19</v>
      </c>
    </row>
    <row r="512" spans="1:8" ht="15.75" customHeight="1" x14ac:dyDescent="0.25">
      <c r="A512" s="26">
        <v>510</v>
      </c>
      <c r="B512" s="4">
        <v>511</v>
      </c>
      <c r="C512" s="4">
        <v>7.5800000000000006E-2</v>
      </c>
      <c r="D512" s="4">
        <v>0.54</v>
      </c>
      <c r="E512" s="4">
        <v>0.35820000000000002</v>
      </c>
      <c r="F512" s="4">
        <v>3</v>
      </c>
      <c r="G512" s="4">
        <v>25</v>
      </c>
      <c r="H512" s="8">
        <v>28</v>
      </c>
    </row>
    <row r="513" spans="1:8" ht="15.75" customHeight="1" x14ac:dyDescent="0.25">
      <c r="A513" s="26">
        <v>511</v>
      </c>
      <c r="B513" s="4">
        <v>512</v>
      </c>
      <c r="C513" s="4">
        <v>0.1061</v>
      </c>
      <c r="D513" s="4">
        <v>0.46</v>
      </c>
      <c r="E513" s="4">
        <v>0.3881</v>
      </c>
      <c r="F513" s="4">
        <v>7</v>
      </c>
      <c r="G513" s="4">
        <v>51</v>
      </c>
      <c r="H513" s="8">
        <v>58</v>
      </c>
    </row>
    <row r="514" spans="1:8" ht="15.75" customHeight="1" x14ac:dyDescent="0.25">
      <c r="A514" s="26">
        <v>512</v>
      </c>
      <c r="B514" s="4">
        <v>513</v>
      </c>
      <c r="C514" s="4">
        <v>0.13639999999999999</v>
      </c>
      <c r="D514" s="4">
        <v>0.43</v>
      </c>
      <c r="E514" s="4">
        <v>0.22389999999999999</v>
      </c>
      <c r="F514" s="4">
        <v>22</v>
      </c>
      <c r="G514" s="4">
        <v>77</v>
      </c>
      <c r="H514" s="8">
        <v>99</v>
      </c>
    </row>
    <row r="515" spans="1:8" ht="15.75" customHeight="1" x14ac:dyDescent="0.25">
      <c r="A515" s="26">
        <v>513</v>
      </c>
      <c r="B515" s="4">
        <v>514</v>
      </c>
      <c r="C515" s="4">
        <v>0.1212</v>
      </c>
      <c r="D515" s="4">
        <v>0.37</v>
      </c>
      <c r="E515" s="4">
        <v>0.4627</v>
      </c>
      <c r="F515" s="4">
        <v>24</v>
      </c>
      <c r="G515" s="4">
        <v>92</v>
      </c>
      <c r="H515" s="8">
        <v>116</v>
      </c>
    </row>
    <row r="516" spans="1:8" ht="15.75" customHeight="1" x14ac:dyDescent="0.25">
      <c r="A516" s="26">
        <v>514</v>
      </c>
      <c r="B516" s="4">
        <v>515</v>
      </c>
      <c r="C516" s="4">
        <v>0.1061</v>
      </c>
      <c r="D516" s="4">
        <v>0.33</v>
      </c>
      <c r="E516" s="4">
        <v>0.3881</v>
      </c>
      <c r="F516" s="4">
        <v>12</v>
      </c>
      <c r="G516" s="4">
        <v>75</v>
      </c>
      <c r="H516" s="8">
        <v>87</v>
      </c>
    </row>
    <row r="517" spans="1:8" ht="15.75" customHeight="1" x14ac:dyDescent="0.25">
      <c r="A517" s="26">
        <v>515</v>
      </c>
      <c r="B517" s="4">
        <v>516</v>
      </c>
      <c r="C517" s="4">
        <v>0.13639999999999999</v>
      </c>
      <c r="D517" s="4">
        <v>0.28000000000000003</v>
      </c>
      <c r="E517" s="4">
        <v>0.35820000000000002</v>
      </c>
      <c r="F517" s="4">
        <v>17</v>
      </c>
      <c r="G517" s="4">
        <v>93</v>
      </c>
      <c r="H517" s="8">
        <v>110</v>
      </c>
    </row>
    <row r="518" spans="1:8" ht="15.75" customHeight="1" x14ac:dyDescent="0.25">
      <c r="A518" s="26">
        <v>516</v>
      </c>
      <c r="B518" s="4">
        <v>517</v>
      </c>
      <c r="C518" s="4">
        <v>0.13639999999999999</v>
      </c>
      <c r="D518" s="4">
        <v>0.28000000000000003</v>
      </c>
      <c r="E518" s="4">
        <v>0.35820000000000002</v>
      </c>
      <c r="F518" s="4">
        <v>13</v>
      </c>
      <c r="G518" s="4">
        <v>64</v>
      </c>
      <c r="H518" s="8">
        <v>77</v>
      </c>
    </row>
    <row r="519" spans="1:8" ht="15.75" customHeight="1" x14ac:dyDescent="0.25">
      <c r="A519" s="26">
        <v>517</v>
      </c>
      <c r="B519" s="4">
        <v>518</v>
      </c>
      <c r="C519" s="4">
        <v>0.13639999999999999</v>
      </c>
      <c r="D519" s="4">
        <v>0.26</v>
      </c>
      <c r="E519" s="4">
        <v>0.32840000000000003</v>
      </c>
      <c r="F519" s="4">
        <v>9</v>
      </c>
      <c r="G519" s="4">
        <v>56</v>
      </c>
      <c r="H519" s="8">
        <v>65</v>
      </c>
    </row>
    <row r="520" spans="1:8" ht="15.75" customHeight="1" x14ac:dyDescent="0.25">
      <c r="A520" s="26">
        <v>518</v>
      </c>
      <c r="B520" s="4">
        <v>519</v>
      </c>
      <c r="C520" s="4">
        <v>0.1061</v>
      </c>
      <c r="D520" s="4">
        <v>0.26</v>
      </c>
      <c r="E520" s="4">
        <v>0.3881</v>
      </c>
      <c r="F520" s="4">
        <v>5</v>
      </c>
      <c r="G520" s="4">
        <v>50</v>
      </c>
      <c r="H520" s="8">
        <v>55</v>
      </c>
    </row>
    <row r="521" spans="1:8" ht="15.75" customHeight="1" x14ac:dyDescent="0.25">
      <c r="A521" s="26">
        <v>519</v>
      </c>
      <c r="B521" s="4">
        <v>520</v>
      </c>
      <c r="C521" s="4">
        <v>0.1212</v>
      </c>
      <c r="D521" s="4">
        <v>0.3</v>
      </c>
      <c r="E521" s="4">
        <v>0.25369999999999998</v>
      </c>
      <c r="F521" s="4">
        <v>5</v>
      </c>
      <c r="G521" s="4">
        <v>44</v>
      </c>
      <c r="H521" s="8">
        <v>49</v>
      </c>
    </row>
    <row r="522" spans="1:8" ht="15.75" customHeight="1" x14ac:dyDescent="0.25">
      <c r="A522" s="26">
        <v>520</v>
      </c>
      <c r="B522" s="4">
        <v>521</v>
      </c>
      <c r="C522" s="4">
        <v>0.1212</v>
      </c>
      <c r="D522" s="4">
        <v>0.3</v>
      </c>
      <c r="E522" s="4">
        <v>0.28360000000000002</v>
      </c>
      <c r="F522" s="4">
        <v>5</v>
      </c>
      <c r="G522" s="4">
        <v>45</v>
      </c>
      <c r="H522" s="8">
        <v>50</v>
      </c>
    </row>
    <row r="523" spans="1:8" ht="15.75" customHeight="1" x14ac:dyDescent="0.25">
      <c r="A523" s="26">
        <v>521</v>
      </c>
      <c r="B523" s="4">
        <v>522</v>
      </c>
      <c r="C523" s="4">
        <v>0.1061</v>
      </c>
      <c r="D523" s="4">
        <v>0.36</v>
      </c>
      <c r="E523" s="4">
        <v>0.25369999999999998</v>
      </c>
      <c r="F523" s="4">
        <v>4</v>
      </c>
      <c r="G523" s="4">
        <v>31</v>
      </c>
      <c r="H523" s="8">
        <v>35</v>
      </c>
    </row>
    <row r="524" spans="1:8" ht="15.75" customHeight="1" x14ac:dyDescent="0.25">
      <c r="A524" s="26">
        <v>522</v>
      </c>
      <c r="B524" s="4">
        <v>523</v>
      </c>
      <c r="C524" s="4">
        <v>0.1061</v>
      </c>
      <c r="D524" s="4">
        <v>0.36</v>
      </c>
      <c r="E524" s="4">
        <v>0.19400000000000001</v>
      </c>
      <c r="F524" s="4">
        <v>5</v>
      </c>
      <c r="G524" s="4">
        <v>20</v>
      </c>
      <c r="H524" s="8">
        <v>25</v>
      </c>
    </row>
    <row r="525" spans="1:8" ht="15.75" customHeight="1" x14ac:dyDescent="0.25">
      <c r="A525" s="26">
        <v>523</v>
      </c>
      <c r="B525" s="4">
        <v>524</v>
      </c>
      <c r="C525" s="4">
        <v>9.0899999999999995E-2</v>
      </c>
      <c r="D525" s="4">
        <v>0.38</v>
      </c>
      <c r="E525" s="4">
        <v>0.19400000000000001</v>
      </c>
      <c r="F525" s="4">
        <v>5</v>
      </c>
      <c r="G525" s="4">
        <v>23</v>
      </c>
      <c r="H525" s="8">
        <v>28</v>
      </c>
    </row>
    <row r="526" spans="1:8" ht="15.75" customHeight="1" x14ac:dyDescent="0.25">
      <c r="A526" s="26">
        <v>524</v>
      </c>
      <c r="B526" s="4">
        <v>525</v>
      </c>
      <c r="C526" s="4">
        <v>6.0600000000000001E-2</v>
      </c>
      <c r="D526" s="4">
        <v>0.41</v>
      </c>
      <c r="E526" s="4">
        <v>0.22389999999999999</v>
      </c>
      <c r="F526" s="4">
        <v>4</v>
      </c>
      <c r="G526" s="4">
        <v>17</v>
      </c>
      <c r="H526" s="8">
        <v>21</v>
      </c>
    </row>
    <row r="527" spans="1:8" ht="15.75" customHeight="1" x14ac:dyDescent="0.25">
      <c r="A527" s="26">
        <v>525</v>
      </c>
      <c r="B527" s="4">
        <v>526</v>
      </c>
      <c r="C527" s="4">
        <v>6.0600000000000001E-2</v>
      </c>
      <c r="D527" s="4">
        <v>0.41</v>
      </c>
      <c r="E527" s="4">
        <v>0.19400000000000001</v>
      </c>
      <c r="F527" s="4">
        <v>0</v>
      </c>
      <c r="G527" s="4">
        <v>7</v>
      </c>
      <c r="H527" s="8">
        <v>7</v>
      </c>
    </row>
    <row r="528" spans="1:8" ht="15.75" customHeight="1" x14ac:dyDescent="0.25">
      <c r="A528" s="26">
        <v>526</v>
      </c>
      <c r="B528" s="4">
        <v>527</v>
      </c>
      <c r="C528" s="4">
        <v>4.5499999999999999E-2</v>
      </c>
      <c r="D528" s="4">
        <v>0.45</v>
      </c>
      <c r="E528" s="4">
        <v>0.19400000000000001</v>
      </c>
      <c r="F528" s="4">
        <v>0</v>
      </c>
      <c r="G528" s="4">
        <v>1</v>
      </c>
      <c r="H528" s="8">
        <v>1</v>
      </c>
    </row>
    <row r="529" spans="1:8" ht="15.75" customHeight="1" x14ac:dyDescent="0.25">
      <c r="A529" s="26">
        <v>527</v>
      </c>
      <c r="B529" s="4">
        <v>528</v>
      </c>
      <c r="C529" s="4">
        <v>3.0300000000000001E-2</v>
      </c>
      <c r="D529" s="4">
        <v>0.45</v>
      </c>
      <c r="E529" s="4">
        <v>0.25369999999999998</v>
      </c>
      <c r="F529" s="4">
        <v>0</v>
      </c>
      <c r="G529" s="4">
        <v>1</v>
      </c>
      <c r="H529" s="8">
        <v>1</v>
      </c>
    </row>
    <row r="530" spans="1:8" ht="15.75" customHeight="1" x14ac:dyDescent="0.25">
      <c r="A530" s="26">
        <v>528</v>
      </c>
      <c r="B530" s="4">
        <v>529</v>
      </c>
      <c r="C530" s="4">
        <v>6.0600000000000001E-2</v>
      </c>
      <c r="D530" s="4">
        <v>0.48</v>
      </c>
      <c r="E530" s="4">
        <v>0.1343</v>
      </c>
      <c r="F530" s="4">
        <v>0</v>
      </c>
      <c r="G530" s="4">
        <v>1</v>
      </c>
      <c r="H530" s="8">
        <v>1</v>
      </c>
    </row>
    <row r="531" spans="1:8" ht="15.75" customHeight="1" x14ac:dyDescent="0.25">
      <c r="A531" s="26">
        <v>529</v>
      </c>
      <c r="B531" s="4">
        <v>530</v>
      </c>
      <c r="C531" s="4">
        <v>6.0600000000000001E-2</v>
      </c>
      <c r="D531" s="4">
        <v>0.48</v>
      </c>
      <c r="E531" s="4">
        <v>0.1343</v>
      </c>
      <c r="F531" s="4">
        <v>0</v>
      </c>
      <c r="G531" s="4">
        <v>5</v>
      </c>
      <c r="H531" s="8">
        <v>5</v>
      </c>
    </row>
    <row r="532" spans="1:8" ht="15.75" customHeight="1" x14ac:dyDescent="0.25">
      <c r="A532" s="26">
        <v>530</v>
      </c>
      <c r="B532" s="4">
        <v>531</v>
      </c>
      <c r="C532" s="4">
        <v>7.5800000000000006E-2</v>
      </c>
      <c r="D532" s="4">
        <v>0.48</v>
      </c>
      <c r="E532" s="4">
        <v>8.9599999999999999E-2</v>
      </c>
      <c r="F532" s="4">
        <v>0</v>
      </c>
      <c r="G532" s="4">
        <v>15</v>
      </c>
      <c r="H532" s="8">
        <v>15</v>
      </c>
    </row>
    <row r="533" spans="1:8" ht="15.75" customHeight="1" x14ac:dyDescent="0.25">
      <c r="A533" s="26">
        <v>531</v>
      </c>
      <c r="B533" s="4">
        <v>532</v>
      </c>
      <c r="C533" s="4">
        <v>0.1212</v>
      </c>
      <c r="D533" s="4">
        <v>0.48</v>
      </c>
      <c r="E533" s="4">
        <v>0</v>
      </c>
      <c r="F533" s="4">
        <v>5</v>
      </c>
      <c r="G533" s="4">
        <v>79</v>
      </c>
      <c r="H533" s="8">
        <v>84</v>
      </c>
    </row>
    <row r="534" spans="1:8" ht="15.75" customHeight="1" x14ac:dyDescent="0.25">
      <c r="A534" s="26">
        <v>532</v>
      </c>
      <c r="B534" s="4">
        <v>533</v>
      </c>
      <c r="C534" s="4">
        <v>0.13639999999999999</v>
      </c>
      <c r="D534" s="4">
        <v>0.49</v>
      </c>
      <c r="E534" s="4">
        <v>0</v>
      </c>
      <c r="F534" s="4">
        <v>6</v>
      </c>
      <c r="G534" s="4">
        <v>171</v>
      </c>
      <c r="H534" s="8">
        <v>177</v>
      </c>
    </row>
    <row r="535" spans="1:8" ht="15.75" customHeight="1" x14ac:dyDescent="0.25">
      <c r="A535" s="26">
        <v>533</v>
      </c>
      <c r="B535" s="4">
        <v>534</v>
      </c>
      <c r="C535" s="4">
        <v>0.1515</v>
      </c>
      <c r="D535" s="4">
        <v>0.41</v>
      </c>
      <c r="E535" s="4">
        <v>0</v>
      </c>
      <c r="F535" s="4">
        <v>4</v>
      </c>
      <c r="G535" s="4">
        <v>98</v>
      </c>
      <c r="H535" s="8">
        <v>102</v>
      </c>
    </row>
    <row r="536" spans="1:8" ht="15.75" customHeight="1" x14ac:dyDescent="0.25">
      <c r="A536" s="26">
        <v>534</v>
      </c>
      <c r="B536" s="4">
        <v>535</v>
      </c>
      <c r="C536" s="4">
        <v>0.13639999999999999</v>
      </c>
      <c r="D536" s="4">
        <v>0.42</v>
      </c>
      <c r="E536" s="4">
        <v>0</v>
      </c>
      <c r="F536" s="4">
        <v>6</v>
      </c>
      <c r="G536" s="4">
        <v>34</v>
      </c>
      <c r="H536" s="8">
        <v>40</v>
      </c>
    </row>
    <row r="537" spans="1:8" ht="15.75" customHeight="1" x14ac:dyDescent="0.25">
      <c r="A537" s="26">
        <v>535</v>
      </c>
      <c r="B537" s="4">
        <v>536</v>
      </c>
      <c r="C537" s="4">
        <v>0.1212</v>
      </c>
      <c r="D537" s="4">
        <v>0.46</v>
      </c>
      <c r="E537" s="4">
        <v>0.1343</v>
      </c>
      <c r="F537" s="4">
        <v>3</v>
      </c>
      <c r="G537" s="4">
        <v>43</v>
      </c>
      <c r="H537" s="8">
        <v>46</v>
      </c>
    </row>
    <row r="538" spans="1:8" ht="15.75" customHeight="1" x14ac:dyDescent="0.25">
      <c r="A538" s="26">
        <v>536</v>
      </c>
      <c r="B538" s="4">
        <v>537</v>
      </c>
      <c r="C538" s="4">
        <v>0.13639999999999999</v>
      </c>
      <c r="D538" s="4">
        <v>0.42</v>
      </c>
      <c r="E538" s="4">
        <v>0.19400000000000001</v>
      </c>
      <c r="F538" s="4">
        <v>11</v>
      </c>
      <c r="G538" s="4">
        <v>52</v>
      </c>
      <c r="H538" s="8">
        <v>63</v>
      </c>
    </row>
    <row r="539" spans="1:8" ht="15.75" customHeight="1" x14ac:dyDescent="0.25">
      <c r="A539" s="26">
        <v>537</v>
      </c>
      <c r="B539" s="4">
        <v>538</v>
      </c>
      <c r="C539" s="4">
        <v>0.13639999999999999</v>
      </c>
      <c r="D539" s="4">
        <v>0.43</v>
      </c>
      <c r="E539" s="4">
        <v>0.22389999999999999</v>
      </c>
      <c r="F539" s="4">
        <v>6</v>
      </c>
      <c r="G539" s="4">
        <v>54</v>
      </c>
      <c r="H539" s="8">
        <v>60</v>
      </c>
    </row>
    <row r="540" spans="1:8" ht="15.75" customHeight="1" x14ac:dyDescent="0.25">
      <c r="A540" s="26">
        <v>538</v>
      </c>
      <c r="B540" s="4">
        <v>539</v>
      </c>
      <c r="C540" s="4">
        <v>0.13639999999999999</v>
      </c>
      <c r="D540" s="4">
        <v>0.46</v>
      </c>
      <c r="E540" s="4">
        <v>0.22389999999999999</v>
      </c>
      <c r="F540" s="4">
        <v>2</v>
      </c>
      <c r="G540" s="4">
        <v>43</v>
      </c>
      <c r="H540" s="8">
        <v>45</v>
      </c>
    </row>
    <row r="541" spans="1:8" ht="15.75" customHeight="1" x14ac:dyDescent="0.25">
      <c r="A541" s="26">
        <v>539</v>
      </c>
      <c r="B541" s="4">
        <v>540</v>
      </c>
      <c r="C541" s="4">
        <v>0.16669999999999999</v>
      </c>
      <c r="D541" s="4">
        <v>0.4</v>
      </c>
      <c r="E541" s="4">
        <v>0.16420000000000001</v>
      </c>
      <c r="F541" s="4">
        <v>7</v>
      </c>
      <c r="G541" s="4">
        <v>50</v>
      </c>
      <c r="H541" s="8">
        <v>57</v>
      </c>
    </row>
    <row r="542" spans="1:8" ht="15.75" customHeight="1" x14ac:dyDescent="0.25">
      <c r="A542" s="26">
        <v>540</v>
      </c>
      <c r="B542" s="4">
        <v>541</v>
      </c>
      <c r="C542" s="4">
        <v>0.1515</v>
      </c>
      <c r="D542" s="4">
        <v>0.47</v>
      </c>
      <c r="E542" s="4">
        <v>0.25369999999999998</v>
      </c>
      <c r="F542" s="4">
        <v>4</v>
      </c>
      <c r="G542" s="4">
        <v>66</v>
      </c>
      <c r="H542" s="8">
        <v>70</v>
      </c>
    </row>
    <row r="543" spans="1:8" ht="15.75" customHeight="1" x14ac:dyDescent="0.25">
      <c r="A543" s="26">
        <v>541</v>
      </c>
      <c r="B543" s="4">
        <v>542</v>
      </c>
      <c r="C543" s="4">
        <v>0.1212</v>
      </c>
      <c r="D543" s="4">
        <v>0.5</v>
      </c>
      <c r="E543" s="4">
        <v>0.25369999999999998</v>
      </c>
      <c r="F543" s="4">
        <v>6</v>
      </c>
      <c r="G543" s="4">
        <v>178</v>
      </c>
      <c r="H543" s="8">
        <v>184</v>
      </c>
    </row>
    <row r="544" spans="1:8" ht="15.75" customHeight="1" x14ac:dyDescent="0.25">
      <c r="A544" s="26">
        <v>542</v>
      </c>
      <c r="B544" s="4">
        <v>543</v>
      </c>
      <c r="C544" s="4">
        <v>0.13639999999999999</v>
      </c>
      <c r="D544" s="4">
        <v>0.59</v>
      </c>
      <c r="E544" s="4">
        <v>0.19400000000000001</v>
      </c>
      <c r="F544" s="4">
        <v>8</v>
      </c>
      <c r="G544" s="4">
        <v>145</v>
      </c>
      <c r="H544" s="8">
        <v>153</v>
      </c>
    </row>
    <row r="545" spans="1:8" ht="15.75" customHeight="1" x14ac:dyDescent="0.25">
      <c r="A545" s="26">
        <v>543</v>
      </c>
      <c r="B545" s="4">
        <v>544</v>
      </c>
      <c r="C545" s="4">
        <v>0.1515</v>
      </c>
      <c r="D545" s="4">
        <v>0.54</v>
      </c>
      <c r="E545" s="4">
        <v>0.16420000000000001</v>
      </c>
      <c r="F545" s="4">
        <v>5</v>
      </c>
      <c r="G545" s="4">
        <v>101</v>
      </c>
      <c r="H545" s="8">
        <v>106</v>
      </c>
    </row>
    <row r="546" spans="1:8" ht="15.75" customHeight="1" x14ac:dyDescent="0.25">
      <c r="A546" s="26">
        <v>544</v>
      </c>
      <c r="B546" s="4">
        <v>545</v>
      </c>
      <c r="C546" s="4">
        <v>0.13639999999999999</v>
      </c>
      <c r="D546" s="4">
        <v>0.59</v>
      </c>
      <c r="E546" s="4">
        <v>0.19400000000000001</v>
      </c>
      <c r="F546" s="4">
        <v>1</v>
      </c>
      <c r="G546" s="4">
        <v>80</v>
      </c>
      <c r="H546" s="8">
        <v>81</v>
      </c>
    </row>
    <row r="547" spans="1:8" ht="15.75" customHeight="1" x14ac:dyDescent="0.25">
      <c r="A547" s="26">
        <v>545</v>
      </c>
      <c r="B547" s="4">
        <v>546</v>
      </c>
      <c r="C547" s="4">
        <v>0.1515</v>
      </c>
      <c r="D547" s="4">
        <v>0.63</v>
      </c>
      <c r="E547" s="4">
        <v>0.16420000000000001</v>
      </c>
      <c r="F547" s="4">
        <v>6</v>
      </c>
      <c r="G547" s="4">
        <v>53</v>
      </c>
      <c r="H547" s="8">
        <v>59</v>
      </c>
    </row>
    <row r="548" spans="1:8" ht="15.75" customHeight="1" x14ac:dyDescent="0.25">
      <c r="A548" s="26">
        <v>546</v>
      </c>
      <c r="B548" s="4">
        <v>547</v>
      </c>
      <c r="C548" s="4">
        <v>0.13639999999999999</v>
      </c>
      <c r="D548" s="4">
        <v>0.63</v>
      </c>
      <c r="E548" s="4">
        <v>0.22389999999999999</v>
      </c>
      <c r="F548" s="4">
        <v>3</v>
      </c>
      <c r="G548" s="4">
        <v>32</v>
      </c>
      <c r="H548" s="8">
        <v>35</v>
      </c>
    </row>
    <row r="549" spans="1:8" ht="15.75" customHeight="1" x14ac:dyDescent="0.25">
      <c r="A549" s="26">
        <v>547</v>
      </c>
      <c r="B549" s="4">
        <v>548</v>
      </c>
      <c r="C549" s="4">
        <v>0.1515</v>
      </c>
      <c r="D549" s="4">
        <v>0.64</v>
      </c>
      <c r="E549" s="4">
        <v>0.25369999999999998</v>
      </c>
      <c r="F549" s="4">
        <v>3</v>
      </c>
      <c r="G549" s="4">
        <v>21</v>
      </c>
      <c r="H549" s="8">
        <v>24</v>
      </c>
    </row>
    <row r="550" spans="1:8" ht="15.75" customHeight="1" x14ac:dyDescent="0.25">
      <c r="A550" s="26">
        <v>548</v>
      </c>
      <c r="B550" s="4">
        <v>549</v>
      </c>
      <c r="C550" s="4">
        <v>0.13639999999999999</v>
      </c>
      <c r="D550" s="4">
        <v>0.69</v>
      </c>
      <c r="E550" s="4">
        <v>0.28360000000000002</v>
      </c>
      <c r="F550" s="4">
        <v>3</v>
      </c>
      <c r="G550" s="4">
        <v>6</v>
      </c>
      <c r="H550" s="8">
        <v>9</v>
      </c>
    </row>
    <row r="551" spans="1:8" ht="15.75" customHeight="1" x14ac:dyDescent="0.25">
      <c r="A551" s="26">
        <v>549</v>
      </c>
      <c r="B551" s="4">
        <v>550</v>
      </c>
      <c r="C551" s="4">
        <v>0.16669999999999999</v>
      </c>
      <c r="D551" s="4">
        <v>0.69</v>
      </c>
      <c r="E551" s="4">
        <v>0.16420000000000001</v>
      </c>
      <c r="F551" s="4">
        <v>0</v>
      </c>
      <c r="G551" s="4">
        <v>5</v>
      </c>
      <c r="H551" s="8">
        <v>5</v>
      </c>
    </row>
    <row r="552" spans="1:8" ht="15.75" customHeight="1" x14ac:dyDescent="0.25">
      <c r="A552" s="26">
        <v>550</v>
      </c>
      <c r="B552" s="4">
        <v>551</v>
      </c>
      <c r="C552" s="4">
        <v>0.1515</v>
      </c>
      <c r="D552" s="4">
        <v>0.69</v>
      </c>
      <c r="E552" s="4">
        <v>0.22389999999999999</v>
      </c>
      <c r="F552" s="4">
        <v>0</v>
      </c>
      <c r="G552" s="4">
        <v>2</v>
      </c>
      <c r="H552" s="8">
        <v>2</v>
      </c>
    </row>
    <row r="553" spans="1:8" ht="15.75" customHeight="1" x14ac:dyDescent="0.25">
      <c r="A553" s="26">
        <v>551</v>
      </c>
      <c r="B553" s="4">
        <v>552</v>
      </c>
      <c r="C553" s="4">
        <v>0.16669999999999999</v>
      </c>
      <c r="D553" s="4">
        <v>0.74</v>
      </c>
      <c r="E553" s="4">
        <v>0.1045</v>
      </c>
      <c r="F553" s="4">
        <v>0</v>
      </c>
      <c r="G553" s="4">
        <v>1</v>
      </c>
      <c r="H553" s="8">
        <v>1</v>
      </c>
    </row>
    <row r="554" spans="1:8" ht="15.75" customHeight="1" x14ac:dyDescent="0.25">
      <c r="A554" s="26">
        <v>552</v>
      </c>
      <c r="B554" s="4">
        <v>553</v>
      </c>
      <c r="C554" s="4">
        <v>0.13639999999999999</v>
      </c>
      <c r="D554" s="4">
        <v>0.74</v>
      </c>
      <c r="E554" s="4">
        <v>0.22389999999999999</v>
      </c>
      <c r="F554" s="4">
        <v>0</v>
      </c>
      <c r="G554" s="4">
        <v>9</v>
      </c>
      <c r="H554" s="8">
        <v>9</v>
      </c>
    </row>
    <row r="555" spans="1:8" ht="15.75" customHeight="1" x14ac:dyDescent="0.25">
      <c r="A555" s="26">
        <v>553</v>
      </c>
      <c r="B555" s="4">
        <v>554</v>
      </c>
      <c r="C555" s="4">
        <v>0.18179999999999999</v>
      </c>
      <c r="D555" s="4">
        <v>0.74</v>
      </c>
      <c r="E555" s="4">
        <v>0.1045</v>
      </c>
      <c r="F555" s="4">
        <v>1</v>
      </c>
      <c r="G555" s="4">
        <v>35</v>
      </c>
      <c r="H555" s="8">
        <v>36</v>
      </c>
    </row>
    <row r="556" spans="1:8" ht="15.75" customHeight="1" x14ac:dyDescent="0.25">
      <c r="A556" s="26">
        <v>554</v>
      </c>
      <c r="B556" s="4">
        <v>555</v>
      </c>
      <c r="C556" s="4">
        <v>0.1515</v>
      </c>
      <c r="D556" s="4">
        <v>0.74</v>
      </c>
      <c r="E556" s="4">
        <v>0.22389999999999999</v>
      </c>
      <c r="F556" s="4">
        <v>5</v>
      </c>
      <c r="G556" s="4">
        <v>103</v>
      </c>
      <c r="H556" s="8">
        <v>108</v>
      </c>
    </row>
    <row r="557" spans="1:8" ht="15.75" customHeight="1" x14ac:dyDescent="0.25">
      <c r="A557" s="26">
        <v>555</v>
      </c>
      <c r="B557" s="4">
        <v>556</v>
      </c>
      <c r="C557" s="4">
        <v>0.18179999999999999</v>
      </c>
      <c r="D557" s="4">
        <v>0.74</v>
      </c>
      <c r="E557" s="4">
        <v>0.1343</v>
      </c>
      <c r="F557" s="4">
        <v>5</v>
      </c>
      <c r="G557" s="4">
        <v>233</v>
      </c>
      <c r="H557" s="8">
        <v>238</v>
      </c>
    </row>
    <row r="558" spans="1:8" ht="15.75" customHeight="1" x14ac:dyDescent="0.25">
      <c r="A558" s="26">
        <v>556</v>
      </c>
      <c r="B558" s="4">
        <v>557</v>
      </c>
      <c r="C558" s="4">
        <v>0.2273</v>
      </c>
      <c r="D558" s="4">
        <v>0.64</v>
      </c>
      <c r="E558" s="4">
        <v>8.9599999999999999E-2</v>
      </c>
      <c r="F558" s="4">
        <v>10</v>
      </c>
      <c r="G558" s="4">
        <v>134</v>
      </c>
      <c r="H558" s="8">
        <v>144</v>
      </c>
    </row>
    <row r="559" spans="1:8" ht="15.75" customHeight="1" x14ac:dyDescent="0.25">
      <c r="A559" s="26">
        <v>557</v>
      </c>
      <c r="B559" s="4">
        <v>558</v>
      </c>
      <c r="C559" s="4">
        <v>0.2424</v>
      </c>
      <c r="D559" s="4">
        <v>0.6</v>
      </c>
      <c r="E559" s="4">
        <v>0.1045</v>
      </c>
      <c r="F559" s="4">
        <v>6</v>
      </c>
      <c r="G559" s="4">
        <v>49</v>
      </c>
      <c r="H559" s="8">
        <v>55</v>
      </c>
    </row>
    <row r="560" spans="1:8" ht="15.75" customHeight="1" x14ac:dyDescent="0.25">
      <c r="A560" s="26">
        <v>558</v>
      </c>
      <c r="B560" s="4">
        <v>559</v>
      </c>
      <c r="C560" s="4">
        <v>0.2424</v>
      </c>
      <c r="D560" s="4">
        <v>0.6</v>
      </c>
      <c r="E560" s="4">
        <v>0.1343</v>
      </c>
      <c r="F560" s="4">
        <v>6</v>
      </c>
      <c r="G560" s="4">
        <v>55</v>
      </c>
      <c r="H560" s="8">
        <v>61</v>
      </c>
    </row>
    <row r="561" spans="1:8" ht="15.75" customHeight="1" x14ac:dyDescent="0.25">
      <c r="A561" s="26">
        <v>559</v>
      </c>
      <c r="B561" s="4">
        <v>560</v>
      </c>
      <c r="C561" s="4">
        <v>0.28789999999999999</v>
      </c>
      <c r="D561" s="4">
        <v>0.56000000000000005</v>
      </c>
      <c r="E561" s="4">
        <v>8.9599999999999999E-2</v>
      </c>
      <c r="F561" s="4">
        <v>21</v>
      </c>
      <c r="G561" s="4">
        <v>85</v>
      </c>
      <c r="H561" s="8">
        <v>106</v>
      </c>
    </row>
    <row r="562" spans="1:8" ht="15.75" customHeight="1" x14ac:dyDescent="0.25">
      <c r="A562" s="26">
        <v>560</v>
      </c>
      <c r="B562" s="4">
        <v>561</v>
      </c>
      <c r="C562" s="4">
        <v>0.2727</v>
      </c>
      <c r="D562" s="4">
        <v>0.56000000000000005</v>
      </c>
      <c r="E562" s="4">
        <v>0.1343</v>
      </c>
      <c r="F562" s="4">
        <v>21</v>
      </c>
      <c r="G562" s="4">
        <v>72</v>
      </c>
      <c r="H562" s="8">
        <v>93</v>
      </c>
    </row>
    <row r="563" spans="1:8" ht="15.75" customHeight="1" x14ac:dyDescent="0.25">
      <c r="A563" s="26">
        <v>561</v>
      </c>
      <c r="B563" s="4">
        <v>562</v>
      </c>
      <c r="C563" s="4">
        <v>0.33329999999999999</v>
      </c>
      <c r="D563" s="4">
        <v>0.45</v>
      </c>
      <c r="E563" s="4">
        <v>0</v>
      </c>
      <c r="F563" s="4">
        <v>11</v>
      </c>
      <c r="G563" s="4">
        <v>57</v>
      </c>
      <c r="H563" s="8">
        <v>68</v>
      </c>
    </row>
    <row r="564" spans="1:8" ht="15.75" customHeight="1" x14ac:dyDescent="0.25">
      <c r="A564" s="26">
        <v>562</v>
      </c>
      <c r="B564" s="4">
        <v>563</v>
      </c>
      <c r="C564" s="4">
        <v>0.34849999999999998</v>
      </c>
      <c r="D564" s="4">
        <v>0.42</v>
      </c>
      <c r="E564" s="4">
        <v>0</v>
      </c>
      <c r="F564" s="4">
        <v>21</v>
      </c>
      <c r="G564" s="4">
        <v>63</v>
      </c>
      <c r="H564" s="8">
        <v>84</v>
      </c>
    </row>
    <row r="565" spans="1:8" ht="15.75" customHeight="1" x14ac:dyDescent="0.25">
      <c r="A565" s="26">
        <v>563</v>
      </c>
      <c r="B565" s="4">
        <v>564</v>
      </c>
      <c r="C565" s="4">
        <v>0.34849999999999998</v>
      </c>
      <c r="D565" s="4">
        <v>0.42</v>
      </c>
      <c r="E565" s="4">
        <v>0</v>
      </c>
      <c r="F565" s="4">
        <v>14</v>
      </c>
      <c r="G565" s="4">
        <v>102</v>
      </c>
      <c r="H565" s="8">
        <v>116</v>
      </c>
    </row>
    <row r="566" spans="1:8" ht="15.75" customHeight="1" x14ac:dyDescent="0.25">
      <c r="A566" s="26">
        <v>564</v>
      </c>
      <c r="B566" s="4">
        <v>565</v>
      </c>
      <c r="C566" s="4">
        <v>0.33329999999999999</v>
      </c>
      <c r="D566" s="4">
        <v>0.45</v>
      </c>
      <c r="E566" s="4">
        <v>0</v>
      </c>
      <c r="F566" s="4">
        <v>14</v>
      </c>
      <c r="G566" s="4">
        <v>208</v>
      </c>
      <c r="H566" s="8">
        <v>222</v>
      </c>
    </row>
    <row r="567" spans="1:8" ht="15.75" customHeight="1" x14ac:dyDescent="0.25">
      <c r="A567" s="26">
        <v>565</v>
      </c>
      <c r="B567" s="4">
        <v>566</v>
      </c>
      <c r="C567" s="4">
        <v>0.31819999999999998</v>
      </c>
      <c r="D567" s="4">
        <v>0.49</v>
      </c>
      <c r="E567" s="4">
        <v>8.9599999999999999E-2</v>
      </c>
      <c r="F567" s="4">
        <v>7</v>
      </c>
      <c r="G567" s="4">
        <v>218</v>
      </c>
      <c r="H567" s="8">
        <v>225</v>
      </c>
    </row>
    <row r="568" spans="1:8" ht="15.75" customHeight="1" x14ac:dyDescent="0.25">
      <c r="A568" s="26">
        <v>566</v>
      </c>
      <c r="B568" s="4">
        <v>567</v>
      </c>
      <c r="C568" s="4">
        <v>0.2576</v>
      </c>
      <c r="D568" s="4">
        <v>0.65</v>
      </c>
      <c r="E568" s="4">
        <v>0.16420000000000001</v>
      </c>
      <c r="F568" s="4">
        <v>13</v>
      </c>
      <c r="G568" s="4">
        <v>133</v>
      </c>
      <c r="H568" s="8">
        <v>146</v>
      </c>
    </row>
    <row r="569" spans="1:8" ht="15.75" customHeight="1" x14ac:dyDescent="0.25">
      <c r="A569" s="26">
        <v>567</v>
      </c>
      <c r="B569" s="4">
        <v>568</v>
      </c>
      <c r="C569" s="4">
        <v>0.2273</v>
      </c>
      <c r="D569" s="4">
        <v>0.65</v>
      </c>
      <c r="E569" s="4">
        <v>0.19400000000000001</v>
      </c>
      <c r="F569" s="4">
        <v>16</v>
      </c>
      <c r="G569" s="4">
        <v>103</v>
      </c>
      <c r="H569" s="8">
        <v>119</v>
      </c>
    </row>
    <row r="570" spans="1:8" ht="15.75" customHeight="1" x14ac:dyDescent="0.25">
      <c r="A570" s="26">
        <v>568</v>
      </c>
      <c r="B570" s="4">
        <v>569</v>
      </c>
      <c r="C570" s="4">
        <v>0.2273</v>
      </c>
      <c r="D570" s="4">
        <v>0.65</v>
      </c>
      <c r="E570" s="4">
        <v>0.19400000000000001</v>
      </c>
      <c r="F570" s="4">
        <v>5</v>
      </c>
      <c r="G570" s="4">
        <v>40</v>
      </c>
      <c r="H570" s="8">
        <v>45</v>
      </c>
    </row>
    <row r="571" spans="1:8" ht="15.75" customHeight="1" x14ac:dyDescent="0.25">
      <c r="A571" s="26">
        <v>569</v>
      </c>
      <c r="B571" s="4">
        <v>570</v>
      </c>
      <c r="C571" s="4">
        <v>0.2273</v>
      </c>
      <c r="D571" s="4">
        <v>0.64</v>
      </c>
      <c r="E571" s="4">
        <v>0.16420000000000001</v>
      </c>
      <c r="F571" s="4">
        <v>4</v>
      </c>
      <c r="G571" s="4">
        <v>49</v>
      </c>
      <c r="H571" s="8">
        <v>53</v>
      </c>
    </row>
    <row r="572" spans="1:8" ht="15.75" customHeight="1" x14ac:dyDescent="0.25">
      <c r="A572" s="26">
        <v>570</v>
      </c>
      <c r="B572" s="4">
        <v>571</v>
      </c>
      <c r="C572" s="4">
        <v>0.2273</v>
      </c>
      <c r="D572" s="4">
        <v>0.64</v>
      </c>
      <c r="E572" s="4">
        <v>0.16420000000000001</v>
      </c>
      <c r="F572" s="4">
        <v>3</v>
      </c>
      <c r="G572" s="4">
        <v>37</v>
      </c>
      <c r="H572" s="8">
        <v>40</v>
      </c>
    </row>
    <row r="573" spans="1:8" ht="15.75" customHeight="1" x14ac:dyDescent="0.25">
      <c r="A573" s="26">
        <v>571</v>
      </c>
      <c r="B573" s="4">
        <v>572</v>
      </c>
      <c r="C573" s="4">
        <v>0.2273</v>
      </c>
      <c r="D573" s="4">
        <v>0.69</v>
      </c>
      <c r="E573" s="4">
        <v>0.1343</v>
      </c>
      <c r="F573" s="4">
        <v>3</v>
      </c>
      <c r="G573" s="4">
        <v>14</v>
      </c>
      <c r="H573" s="8">
        <v>17</v>
      </c>
    </row>
    <row r="574" spans="1:8" ht="15.75" customHeight="1" x14ac:dyDescent="0.25">
      <c r="A574" s="26">
        <v>572</v>
      </c>
      <c r="B574" s="4">
        <v>573</v>
      </c>
      <c r="C574" s="4">
        <v>0.2424</v>
      </c>
      <c r="D574" s="4">
        <v>0.65</v>
      </c>
      <c r="E574" s="4">
        <v>0.1343</v>
      </c>
      <c r="F574" s="4">
        <v>0</v>
      </c>
      <c r="G574" s="4">
        <v>5</v>
      </c>
      <c r="H574" s="8">
        <v>5</v>
      </c>
    </row>
    <row r="575" spans="1:8" ht="15.75" customHeight="1" x14ac:dyDescent="0.25">
      <c r="A575" s="26">
        <v>573</v>
      </c>
      <c r="B575" s="4">
        <v>574</v>
      </c>
      <c r="C575" s="4">
        <v>0.2273</v>
      </c>
      <c r="D575" s="4">
        <v>0.69</v>
      </c>
      <c r="E575" s="4">
        <v>0.19400000000000001</v>
      </c>
      <c r="F575" s="4">
        <v>3</v>
      </c>
      <c r="G575" s="4">
        <v>7</v>
      </c>
      <c r="H575" s="8">
        <v>10</v>
      </c>
    </row>
    <row r="576" spans="1:8" ht="15.75" customHeight="1" x14ac:dyDescent="0.25">
      <c r="A576" s="26">
        <v>574</v>
      </c>
      <c r="B576" s="4">
        <v>575</v>
      </c>
      <c r="C576" s="4">
        <v>0.18179999999999999</v>
      </c>
      <c r="D576" s="4">
        <v>0.86</v>
      </c>
      <c r="E576" s="4">
        <v>0.28360000000000002</v>
      </c>
      <c r="F576" s="4">
        <v>0</v>
      </c>
      <c r="G576" s="4">
        <v>1</v>
      </c>
      <c r="H576" s="8">
        <v>1</v>
      </c>
    </row>
    <row r="577" spans="1:8" ht="15.75" customHeight="1" x14ac:dyDescent="0.25">
      <c r="A577" s="26">
        <v>575</v>
      </c>
      <c r="B577" s="4">
        <v>576</v>
      </c>
      <c r="C577" s="4">
        <v>0.18179999999999999</v>
      </c>
      <c r="D577" s="4">
        <v>0.86</v>
      </c>
      <c r="E577" s="4">
        <v>0.28360000000000002</v>
      </c>
      <c r="F577" s="4">
        <v>0</v>
      </c>
      <c r="G577" s="4">
        <v>8</v>
      </c>
      <c r="H577" s="8">
        <v>8</v>
      </c>
    </row>
    <row r="578" spans="1:8" ht="15.75" customHeight="1" x14ac:dyDescent="0.25">
      <c r="A578" s="26">
        <v>576</v>
      </c>
      <c r="B578" s="4">
        <v>577</v>
      </c>
      <c r="C578" s="4">
        <v>0.21210000000000001</v>
      </c>
      <c r="D578" s="4">
        <v>0.87</v>
      </c>
      <c r="E578" s="4">
        <v>0.29849999999999999</v>
      </c>
      <c r="F578" s="4">
        <v>1</v>
      </c>
      <c r="G578" s="4">
        <v>29</v>
      </c>
      <c r="H578" s="8">
        <v>30</v>
      </c>
    </row>
    <row r="579" spans="1:8" ht="15.75" customHeight="1" x14ac:dyDescent="0.25">
      <c r="A579" s="26">
        <v>577</v>
      </c>
      <c r="B579" s="4">
        <v>578</v>
      </c>
      <c r="C579" s="4">
        <v>0.21210000000000001</v>
      </c>
      <c r="D579" s="4">
        <v>0.87</v>
      </c>
      <c r="E579" s="4">
        <v>0.29849999999999999</v>
      </c>
      <c r="F579" s="4">
        <v>3</v>
      </c>
      <c r="G579" s="4">
        <v>69</v>
      </c>
      <c r="H579" s="8">
        <v>72</v>
      </c>
    </row>
    <row r="580" spans="1:8" ht="15.75" customHeight="1" x14ac:dyDescent="0.25">
      <c r="A580" s="26">
        <v>578</v>
      </c>
      <c r="B580" s="4">
        <v>579</v>
      </c>
      <c r="C580" s="4">
        <v>0.21210000000000001</v>
      </c>
      <c r="D580" s="4">
        <v>0.87</v>
      </c>
      <c r="E580" s="4">
        <v>0.29849999999999999</v>
      </c>
      <c r="F580" s="4">
        <v>3</v>
      </c>
      <c r="G580" s="4">
        <v>55</v>
      </c>
      <c r="H580" s="8">
        <v>58</v>
      </c>
    </row>
    <row r="581" spans="1:8" ht="15.75" customHeight="1" x14ac:dyDescent="0.25">
      <c r="A581" s="26">
        <v>579</v>
      </c>
      <c r="B581" s="4">
        <v>580</v>
      </c>
      <c r="C581" s="4">
        <v>0.21210000000000001</v>
      </c>
      <c r="D581" s="4">
        <v>0.93</v>
      </c>
      <c r="E581" s="4">
        <v>0.28360000000000002</v>
      </c>
      <c r="F581" s="4">
        <v>2</v>
      </c>
      <c r="G581" s="4">
        <v>26</v>
      </c>
      <c r="H581" s="8">
        <v>28</v>
      </c>
    </row>
    <row r="582" spans="1:8" ht="15.75" customHeight="1" x14ac:dyDescent="0.25">
      <c r="A582" s="26">
        <v>580</v>
      </c>
      <c r="B582" s="4">
        <v>581</v>
      </c>
      <c r="C582" s="4">
        <v>0.19700000000000001</v>
      </c>
      <c r="D582" s="4">
        <v>0.93</v>
      </c>
      <c r="E582" s="4">
        <v>0.32840000000000003</v>
      </c>
      <c r="F582" s="4">
        <v>6</v>
      </c>
      <c r="G582" s="4">
        <v>35</v>
      </c>
      <c r="H582" s="8">
        <v>41</v>
      </c>
    </row>
    <row r="583" spans="1:8" ht="15.75" customHeight="1" x14ac:dyDescent="0.25">
      <c r="A583" s="26">
        <v>581</v>
      </c>
      <c r="B583" s="4">
        <v>582</v>
      </c>
      <c r="C583" s="4">
        <v>0.19700000000000001</v>
      </c>
      <c r="D583" s="4">
        <v>0.93</v>
      </c>
      <c r="E583" s="4">
        <v>0.32840000000000003</v>
      </c>
      <c r="F583" s="4">
        <v>7</v>
      </c>
      <c r="G583" s="4">
        <v>41</v>
      </c>
      <c r="H583" s="8">
        <v>48</v>
      </c>
    </row>
    <row r="584" spans="1:8" ht="15.75" customHeight="1" x14ac:dyDescent="0.25">
      <c r="A584" s="26">
        <v>582</v>
      </c>
      <c r="B584" s="4">
        <v>583</v>
      </c>
      <c r="C584" s="4">
        <v>0.19700000000000001</v>
      </c>
      <c r="D584" s="4">
        <v>0.93</v>
      </c>
      <c r="E584" s="4">
        <v>0.32840000000000003</v>
      </c>
      <c r="F584" s="4">
        <v>4</v>
      </c>
      <c r="G584" s="4">
        <v>43</v>
      </c>
      <c r="H584" s="8">
        <v>47</v>
      </c>
    </row>
    <row r="585" spans="1:8" ht="15.75" customHeight="1" x14ac:dyDescent="0.25">
      <c r="A585" s="26">
        <v>583</v>
      </c>
      <c r="B585" s="4">
        <v>584</v>
      </c>
      <c r="C585" s="4">
        <v>0.19700000000000001</v>
      </c>
      <c r="D585" s="4">
        <v>0.93</v>
      </c>
      <c r="E585" s="4">
        <v>0.35820000000000002</v>
      </c>
      <c r="F585" s="4">
        <v>0</v>
      </c>
      <c r="G585" s="4">
        <v>36</v>
      </c>
      <c r="H585" s="8">
        <v>36</v>
      </c>
    </row>
    <row r="586" spans="1:8" ht="15.75" customHeight="1" x14ac:dyDescent="0.25">
      <c r="A586" s="26">
        <v>584</v>
      </c>
      <c r="B586" s="4">
        <v>585</v>
      </c>
      <c r="C586" s="4">
        <v>0.18179999999999999</v>
      </c>
      <c r="D586" s="4">
        <v>0.93</v>
      </c>
      <c r="E586" s="4">
        <v>0.4627</v>
      </c>
      <c r="F586" s="4">
        <v>1</v>
      </c>
      <c r="G586" s="4">
        <v>42</v>
      </c>
      <c r="H586" s="8">
        <v>43</v>
      </c>
    </row>
    <row r="587" spans="1:8" ht="15.75" customHeight="1" x14ac:dyDescent="0.25">
      <c r="A587" s="26">
        <v>585</v>
      </c>
      <c r="B587" s="4">
        <v>586</v>
      </c>
      <c r="C587" s="4">
        <v>0.19700000000000001</v>
      </c>
      <c r="D587" s="4">
        <v>0.93</v>
      </c>
      <c r="E587" s="4">
        <v>0.32840000000000003</v>
      </c>
      <c r="F587" s="4">
        <v>1</v>
      </c>
      <c r="G587" s="4">
        <v>35</v>
      </c>
      <c r="H587" s="8">
        <v>36</v>
      </c>
    </row>
    <row r="588" spans="1:8" ht="15.75" customHeight="1" x14ac:dyDescent="0.25">
      <c r="A588" s="26">
        <v>586</v>
      </c>
      <c r="B588" s="4">
        <v>587</v>
      </c>
      <c r="C588" s="4">
        <v>0.18179999999999999</v>
      </c>
      <c r="D588" s="4">
        <v>0.93</v>
      </c>
      <c r="E588" s="4">
        <v>0.35820000000000002</v>
      </c>
      <c r="F588" s="4">
        <v>0</v>
      </c>
      <c r="G588" s="4">
        <v>26</v>
      </c>
      <c r="H588" s="8">
        <v>26</v>
      </c>
    </row>
    <row r="589" spans="1:8" ht="15.75" customHeight="1" x14ac:dyDescent="0.25">
      <c r="A589" s="26">
        <v>587</v>
      </c>
      <c r="B589" s="4">
        <v>588</v>
      </c>
      <c r="C589" s="4">
        <v>0.2273</v>
      </c>
      <c r="D589" s="4">
        <v>0.55000000000000004</v>
      </c>
      <c r="E589" s="4">
        <v>0.19400000000000001</v>
      </c>
      <c r="F589" s="4">
        <v>1</v>
      </c>
      <c r="G589" s="4">
        <v>23</v>
      </c>
      <c r="H589" s="8">
        <v>24</v>
      </c>
    </row>
    <row r="590" spans="1:8" ht="15.75" customHeight="1" x14ac:dyDescent="0.25">
      <c r="A590" s="26">
        <v>588</v>
      </c>
      <c r="B590" s="4">
        <v>589</v>
      </c>
      <c r="C590" s="4">
        <v>0.2424</v>
      </c>
      <c r="D590" s="4">
        <v>0.55000000000000004</v>
      </c>
      <c r="E590" s="4">
        <v>0.1045</v>
      </c>
      <c r="F590" s="4">
        <v>2</v>
      </c>
      <c r="G590" s="4">
        <v>82</v>
      </c>
      <c r="H590" s="8">
        <v>84</v>
      </c>
    </row>
    <row r="591" spans="1:8" ht="15.75" customHeight="1" x14ac:dyDescent="0.25">
      <c r="A591" s="26">
        <v>589</v>
      </c>
      <c r="B591" s="4">
        <v>590</v>
      </c>
      <c r="C591" s="4">
        <v>0.2273</v>
      </c>
      <c r="D591" s="4">
        <v>0.69</v>
      </c>
      <c r="E591" s="4">
        <v>8.9599999999999999E-2</v>
      </c>
      <c r="F591" s="4">
        <v>3</v>
      </c>
      <c r="G591" s="4">
        <v>101</v>
      </c>
      <c r="H591" s="8">
        <v>104</v>
      </c>
    </row>
    <row r="592" spans="1:8" ht="15.75" customHeight="1" x14ac:dyDescent="0.25">
      <c r="A592" s="26">
        <v>590</v>
      </c>
      <c r="B592" s="4">
        <v>591</v>
      </c>
      <c r="C592" s="4">
        <v>0.2273</v>
      </c>
      <c r="D592" s="4">
        <v>0.69</v>
      </c>
      <c r="E592" s="4">
        <v>8.9599999999999999E-2</v>
      </c>
      <c r="F592" s="4">
        <v>3</v>
      </c>
      <c r="G592" s="4">
        <v>76</v>
      </c>
      <c r="H592" s="8">
        <v>79</v>
      </c>
    </row>
    <row r="593" spans="1:8" ht="15.75" customHeight="1" x14ac:dyDescent="0.25">
      <c r="A593" s="26">
        <v>591</v>
      </c>
      <c r="B593" s="4">
        <v>592</v>
      </c>
      <c r="C593" s="4">
        <v>0.21210000000000001</v>
      </c>
      <c r="D593" s="4">
        <v>0.74</v>
      </c>
      <c r="E593" s="4">
        <v>8.9599999999999999E-2</v>
      </c>
      <c r="F593" s="4">
        <v>4</v>
      </c>
      <c r="G593" s="4">
        <v>55</v>
      </c>
      <c r="H593" s="8">
        <v>59</v>
      </c>
    </row>
    <row r="594" spans="1:8" ht="15.75" customHeight="1" x14ac:dyDescent="0.25">
      <c r="A594" s="26">
        <v>592</v>
      </c>
      <c r="B594" s="4">
        <v>593</v>
      </c>
      <c r="C594" s="4">
        <v>0.21210000000000001</v>
      </c>
      <c r="D594" s="4">
        <v>0.74</v>
      </c>
      <c r="E594" s="4">
        <v>8.9599999999999999E-2</v>
      </c>
      <c r="F594" s="4">
        <v>2</v>
      </c>
      <c r="G594" s="4">
        <v>36</v>
      </c>
      <c r="H594" s="8">
        <v>38</v>
      </c>
    </row>
    <row r="595" spans="1:8" ht="15.75" customHeight="1" x14ac:dyDescent="0.25">
      <c r="A595" s="26">
        <v>593</v>
      </c>
      <c r="B595" s="4">
        <v>594</v>
      </c>
      <c r="C595" s="4">
        <v>0.21210000000000001</v>
      </c>
      <c r="D595" s="4">
        <v>0.74</v>
      </c>
      <c r="E595" s="4">
        <v>8.9599999999999999E-2</v>
      </c>
      <c r="F595" s="4">
        <v>0</v>
      </c>
      <c r="G595" s="4">
        <v>27</v>
      </c>
      <c r="H595" s="8">
        <v>27</v>
      </c>
    </row>
    <row r="596" spans="1:8" ht="15.75" customHeight="1" x14ac:dyDescent="0.25">
      <c r="A596" s="26">
        <v>594</v>
      </c>
      <c r="B596" s="4">
        <v>595</v>
      </c>
      <c r="C596" s="4">
        <v>0.19700000000000001</v>
      </c>
      <c r="D596" s="4">
        <v>0.8</v>
      </c>
      <c r="E596" s="4">
        <v>0.16420000000000001</v>
      </c>
      <c r="F596" s="4">
        <v>0</v>
      </c>
      <c r="G596" s="4">
        <v>16</v>
      </c>
      <c r="H596" s="8">
        <v>16</v>
      </c>
    </row>
    <row r="597" spans="1:8" ht="15.75" customHeight="1" x14ac:dyDescent="0.25">
      <c r="A597" s="26">
        <v>595</v>
      </c>
      <c r="B597" s="4">
        <v>596</v>
      </c>
      <c r="C597" s="4">
        <v>0.21210000000000001</v>
      </c>
      <c r="D597" s="4">
        <v>0.75</v>
      </c>
      <c r="E597" s="4">
        <v>0.1343</v>
      </c>
      <c r="F597" s="4">
        <v>0</v>
      </c>
      <c r="G597" s="4">
        <v>9</v>
      </c>
      <c r="H597" s="8">
        <v>9</v>
      </c>
    </row>
    <row r="598" spans="1:8" ht="15.75" customHeight="1" x14ac:dyDescent="0.25">
      <c r="A598" s="26">
        <v>596</v>
      </c>
      <c r="B598" s="4">
        <v>597</v>
      </c>
      <c r="C598" s="4">
        <v>0.21210000000000001</v>
      </c>
      <c r="D598" s="4">
        <v>0.75</v>
      </c>
      <c r="E598" s="4">
        <v>0.1343</v>
      </c>
      <c r="F598" s="4">
        <v>1</v>
      </c>
      <c r="G598" s="4">
        <v>2</v>
      </c>
      <c r="H598" s="8">
        <v>3</v>
      </c>
    </row>
    <row r="599" spans="1:8" ht="15.75" customHeight="1" x14ac:dyDescent="0.25">
      <c r="A599" s="26">
        <v>597</v>
      </c>
      <c r="B599" s="4">
        <v>598</v>
      </c>
      <c r="C599" s="4">
        <v>0.21210000000000001</v>
      </c>
      <c r="D599" s="4">
        <v>0.75</v>
      </c>
      <c r="E599" s="4">
        <v>0.16420000000000001</v>
      </c>
      <c r="F599" s="4">
        <v>0</v>
      </c>
      <c r="G599" s="4">
        <v>2</v>
      </c>
      <c r="H599" s="8">
        <v>2</v>
      </c>
    </row>
    <row r="600" spans="1:8" ht="15.75" customHeight="1" x14ac:dyDescent="0.25">
      <c r="A600" s="26">
        <v>598</v>
      </c>
      <c r="B600" s="4">
        <v>599</v>
      </c>
      <c r="C600" s="4">
        <v>0.2273</v>
      </c>
      <c r="D600" s="4">
        <v>0.75</v>
      </c>
      <c r="E600" s="4">
        <v>0.1045</v>
      </c>
      <c r="F600" s="4">
        <v>1</v>
      </c>
      <c r="G600" s="4">
        <v>0</v>
      </c>
      <c r="H600" s="8">
        <v>1</v>
      </c>
    </row>
    <row r="601" spans="1:8" ht="15.75" customHeight="1" x14ac:dyDescent="0.25">
      <c r="A601" s="26">
        <v>599</v>
      </c>
      <c r="B601" s="4">
        <v>600</v>
      </c>
      <c r="C601" s="4">
        <v>0.21210000000000001</v>
      </c>
      <c r="D601" s="4">
        <v>0.8</v>
      </c>
      <c r="E601" s="4">
        <v>0.1045</v>
      </c>
      <c r="F601" s="4">
        <v>0</v>
      </c>
      <c r="G601" s="4">
        <v>4</v>
      </c>
      <c r="H601" s="8">
        <v>4</v>
      </c>
    </row>
    <row r="602" spans="1:8" ht="15.75" customHeight="1" x14ac:dyDescent="0.25">
      <c r="A602" s="26">
        <v>600</v>
      </c>
      <c r="B602" s="4">
        <v>601</v>
      </c>
      <c r="C602" s="4">
        <v>0.19700000000000001</v>
      </c>
      <c r="D602" s="4">
        <v>0.8</v>
      </c>
      <c r="E602" s="4">
        <v>0.1343</v>
      </c>
      <c r="F602" s="4">
        <v>0</v>
      </c>
      <c r="G602" s="4">
        <v>16</v>
      </c>
      <c r="H602" s="8">
        <v>16</v>
      </c>
    </row>
    <row r="603" spans="1:8" ht="15.75" customHeight="1" x14ac:dyDescent="0.25">
      <c r="A603" s="26">
        <v>601</v>
      </c>
      <c r="B603" s="4">
        <v>602</v>
      </c>
      <c r="C603" s="4">
        <v>0.19700000000000001</v>
      </c>
      <c r="D603" s="4">
        <v>0.86</v>
      </c>
      <c r="E603" s="4">
        <v>8.9599999999999999E-2</v>
      </c>
      <c r="F603" s="4">
        <v>2</v>
      </c>
      <c r="G603" s="4">
        <v>58</v>
      </c>
      <c r="H603" s="8">
        <v>60</v>
      </c>
    </row>
    <row r="604" spans="1:8" ht="15.75" customHeight="1" x14ac:dyDescent="0.25">
      <c r="A604" s="26">
        <v>602</v>
      </c>
      <c r="B604" s="4">
        <v>603</v>
      </c>
      <c r="C604" s="4">
        <v>0.19700000000000001</v>
      </c>
      <c r="D604" s="4">
        <v>0.86</v>
      </c>
      <c r="E604" s="4">
        <v>8.9599999999999999E-2</v>
      </c>
      <c r="F604" s="4">
        <v>2</v>
      </c>
      <c r="G604" s="4">
        <v>155</v>
      </c>
      <c r="H604" s="8">
        <v>157</v>
      </c>
    </row>
    <row r="605" spans="1:8" ht="15.75" customHeight="1" x14ac:dyDescent="0.25">
      <c r="A605" s="26">
        <v>603</v>
      </c>
      <c r="B605" s="4">
        <v>604</v>
      </c>
      <c r="C605" s="4">
        <v>0.21210000000000001</v>
      </c>
      <c r="D605" s="4">
        <v>0.86</v>
      </c>
      <c r="E605" s="4">
        <v>8.9599999999999999E-2</v>
      </c>
      <c r="F605" s="4">
        <v>6</v>
      </c>
      <c r="G605" s="4">
        <v>95</v>
      </c>
      <c r="H605" s="8">
        <v>101</v>
      </c>
    </row>
    <row r="606" spans="1:8" ht="15.75" customHeight="1" x14ac:dyDescent="0.25">
      <c r="A606" s="26">
        <v>604</v>
      </c>
      <c r="B606" s="4">
        <v>605</v>
      </c>
      <c r="C606" s="4">
        <v>0.21210000000000001</v>
      </c>
      <c r="D606" s="4">
        <v>0.86</v>
      </c>
      <c r="E606" s="4">
        <v>0.1045</v>
      </c>
      <c r="F606" s="4">
        <v>0</v>
      </c>
      <c r="G606" s="4">
        <v>49</v>
      </c>
      <c r="H606" s="8">
        <v>49</v>
      </c>
    </row>
    <row r="607" spans="1:8" ht="15.75" customHeight="1" x14ac:dyDescent="0.25">
      <c r="A607" s="26">
        <v>605</v>
      </c>
      <c r="B607" s="4">
        <v>606</v>
      </c>
      <c r="C607" s="4">
        <v>0.21210000000000001</v>
      </c>
      <c r="D607" s="4">
        <v>0.93</v>
      </c>
      <c r="E607" s="4">
        <v>0.1045</v>
      </c>
      <c r="F607" s="4">
        <v>0</v>
      </c>
      <c r="G607" s="4">
        <v>30</v>
      </c>
      <c r="H607" s="8">
        <v>30</v>
      </c>
    </row>
    <row r="608" spans="1:8" ht="15.75" customHeight="1" x14ac:dyDescent="0.25">
      <c r="A608" s="26">
        <v>606</v>
      </c>
      <c r="B608" s="4">
        <v>607</v>
      </c>
      <c r="C608" s="4">
        <v>0.21210000000000001</v>
      </c>
      <c r="D608" s="4">
        <v>0.93</v>
      </c>
      <c r="E608" s="4">
        <v>0.1045</v>
      </c>
      <c r="F608" s="4">
        <v>1</v>
      </c>
      <c r="G608" s="4">
        <v>28</v>
      </c>
      <c r="H608" s="8">
        <v>29</v>
      </c>
    </row>
    <row r="609" spans="1:8" ht="15.75" customHeight="1" x14ac:dyDescent="0.25">
      <c r="A609" s="26">
        <v>607</v>
      </c>
      <c r="B609" s="4">
        <v>608</v>
      </c>
      <c r="C609" s="4">
        <v>0.21210000000000001</v>
      </c>
      <c r="D609" s="4">
        <v>0.93</v>
      </c>
      <c r="E609" s="4">
        <v>0.1045</v>
      </c>
      <c r="F609" s="4">
        <v>0</v>
      </c>
      <c r="G609" s="4">
        <v>31</v>
      </c>
      <c r="H609" s="8">
        <v>31</v>
      </c>
    </row>
    <row r="610" spans="1:8" ht="15.75" customHeight="1" x14ac:dyDescent="0.25">
      <c r="A610" s="26">
        <v>608</v>
      </c>
      <c r="B610" s="4">
        <v>609</v>
      </c>
      <c r="C610" s="4">
        <v>0.2727</v>
      </c>
      <c r="D610" s="4">
        <v>0.8</v>
      </c>
      <c r="E610" s="4">
        <v>0</v>
      </c>
      <c r="F610" s="4">
        <v>2</v>
      </c>
      <c r="G610" s="4">
        <v>36</v>
      </c>
      <c r="H610" s="8">
        <v>38</v>
      </c>
    </row>
    <row r="611" spans="1:8" ht="15.75" customHeight="1" x14ac:dyDescent="0.25">
      <c r="A611" s="30">
        <v>609</v>
      </c>
      <c r="B611" s="12">
        <v>610</v>
      </c>
      <c r="C611" s="12">
        <v>0.2576</v>
      </c>
      <c r="D611" s="12">
        <v>0.86</v>
      </c>
      <c r="E611" s="12">
        <v>0</v>
      </c>
      <c r="F611" s="12">
        <v>1</v>
      </c>
      <c r="G611" s="12">
        <v>40</v>
      </c>
      <c r="H611" s="1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9844-23D9-43B3-8EE5-459DF10AA637}">
  <sheetPr>
    <tabColor rgb="FFFF0000"/>
  </sheetPr>
  <dimension ref="A2:I112"/>
  <sheetViews>
    <sheetView workbookViewId="0">
      <selection activeCell="G53" sqref="G53"/>
    </sheetView>
  </sheetViews>
  <sheetFormatPr defaultRowHeight="13.2" x14ac:dyDescent="0.25"/>
  <cols>
    <col min="1" max="1" width="13.33203125" style="49" bestFit="1" customWidth="1"/>
    <col min="2" max="2" width="23" style="49" bestFit="1" customWidth="1"/>
    <col min="3" max="3" width="26.109375" style="49" bestFit="1" customWidth="1"/>
    <col min="4" max="4" width="10.44140625" style="49" bestFit="1" customWidth="1"/>
    <col min="5" max="5" width="8.88671875" style="49"/>
    <col min="6" max="6" width="13.33203125" style="49" bestFit="1" customWidth="1"/>
    <col min="7" max="7" width="23" style="49" bestFit="1" customWidth="1"/>
    <col min="8" max="8" width="26.109375" style="49" bestFit="1" customWidth="1"/>
    <col min="9" max="9" width="17.77734375" style="49" customWidth="1"/>
    <col min="10" max="16384" width="8.88671875" style="49"/>
  </cols>
  <sheetData>
    <row r="2" spans="2:9" ht="29.4" customHeight="1" x14ac:dyDescent="0.25">
      <c r="F2" s="72" t="s">
        <v>144</v>
      </c>
      <c r="G2" s="72"/>
      <c r="H2" s="72"/>
      <c r="I2" s="72"/>
    </row>
    <row r="3" spans="2:9" ht="13.8" x14ac:dyDescent="0.25">
      <c r="B3" s="67" t="s">
        <v>40</v>
      </c>
      <c r="C3" s="67" t="s">
        <v>41</v>
      </c>
      <c r="F3" s="71" t="s">
        <v>86</v>
      </c>
      <c r="G3" s="71" t="s">
        <v>43</v>
      </c>
      <c r="H3" s="71" t="s">
        <v>44</v>
      </c>
      <c r="I3" s="71" t="s">
        <v>143</v>
      </c>
    </row>
    <row r="4" spans="2:9" ht="13.8" x14ac:dyDescent="0.25">
      <c r="B4" s="67" t="s">
        <v>32</v>
      </c>
      <c r="C4" s="68">
        <f>MIN(Dataset_2!C2:C611)</f>
        <v>0</v>
      </c>
      <c r="F4" s="50">
        <v>0</v>
      </c>
      <c r="G4" s="50">
        <v>253</v>
      </c>
      <c r="H4" s="50">
        <v>3151</v>
      </c>
      <c r="I4" s="50">
        <v>3404</v>
      </c>
    </row>
    <row r="5" spans="2:9" ht="13.8" x14ac:dyDescent="0.25">
      <c r="B5" s="67" t="s">
        <v>33</v>
      </c>
      <c r="C5" s="69">
        <f>MAX(Dataset_2!C2:C611)</f>
        <v>0.45450000000000002</v>
      </c>
      <c r="F5" s="50">
        <v>8.9599999999999999E-2</v>
      </c>
      <c r="G5" s="50">
        <v>116</v>
      </c>
      <c r="H5" s="50">
        <v>2362</v>
      </c>
      <c r="I5" s="50">
        <v>2478</v>
      </c>
    </row>
    <row r="6" spans="2:9" ht="13.8" x14ac:dyDescent="0.25">
      <c r="B6" s="70" t="s">
        <v>140</v>
      </c>
      <c r="C6" s="69">
        <f>AVERAGE(Dataset_2!C2:C611)</f>
        <v>0.19993426229508213</v>
      </c>
      <c r="F6" s="50">
        <v>0.1045</v>
      </c>
      <c r="G6" s="50">
        <v>122</v>
      </c>
      <c r="H6" s="50">
        <v>2530</v>
      </c>
      <c r="I6" s="50">
        <v>2652</v>
      </c>
    </row>
    <row r="7" spans="2:9" ht="13.8" x14ac:dyDescent="0.25">
      <c r="B7" s="67" t="s">
        <v>34</v>
      </c>
      <c r="C7" s="68">
        <f>MIN(Dataset_2!D2:D611)</f>
        <v>0.21</v>
      </c>
      <c r="F7" s="50">
        <v>0.1343</v>
      </c>
      <c r="G7" s="50">
        <v>164</v>
      </c>
      <c r="H7" s="50">
        <v>2329</v>
      </c>
      <c r="I7" s="50">
        <v>2493</v>
      </c>
    </row>
    <row r="8" spans="2:9" ht="13.8" x14ac:dyDescent="0.25">
      <c r="B8" s="67" t="s">
        <v>35</v>
      </c>
      <c r="C8" s="68">
        <f>MAX(Dataset_2!D2:D611)</f>
        <v>1</v>
      </c>
      <c r="F8" s="50">
        <v>0.16420000000000001</v>
      </c>
      <c r="G8" s="50">
        <v>251</v>
      </c>
      <c r="H8" s="50">
        <v>3118</v>
      </c>
      <c r="I8" s="50">
        <v>3369</v>
      </c>
    </row>
    <row r="9" spans="2:9" ht="13.8" x14ac:dyDescent="0.25">
      <c r="B9" s="67" t="s">
        <v>36</v>
      </c>
      <c r="C9" s="68">
        <f>AVERAGE(Dataset_2!D2:D611)</f>
        <v>0.56247540983606703</v>
      </c>
      <c r="F9" s="50">
        <v>0.19400000000000001</v>
      </c>
      <c r="G9" s="50">
        <v>238</v>
      </c>
      <c r="H9" s="50">
        <v>2789</v>
      </c>
      <c r="I9" s="50">
        <v>3027</v>
      </c>
    </row>
    <row r="10" spans="2:9" ht="13.8" x14ac:dyDescent="0.25">
      <c r="B10" s="67" t="s">
        <v>37</v>
      </c>
      <c r="C10" s="68">
        <f>MIN(Dataset_2!E2:E611)</f>
        <v>0</v>
      </c>
      <c r="F10" s="50">
        <v>0.22389999999999999</v>
      </c>
      <c r="G10" s="50">
        <v>206</v>
      </c>
      <c r="H10" s="50">
        <v>2338</v>
      </c>
      <c r="I10" s="50">
        <v>2544</v>
      </c>
    </row>
    <row r="11" spans="2:9" ht="13.8" x14ac:dyDescent="0.25">
      <c r="B11" s="67" t="s">
        <v>38</v>
      </c>
      <c r="C11" s="68">
        <f>MAX(Dataset_2!E2:E611)</f>
        <v>0.58209999999999995</v>
      </c>
      <c r="F11" s="50">
        <v>0.25369999999999998</v>
      </c>
      <c r="G11" s="50">
        <v>358</v>
      </c>
      <c r="H11" s="50">
        <v>2425</v>
      </c>
      <c r="I11" s="50">
        <v>2783</v>
      </c>
    </row>
    <row r="12" spans="2:9" ht="13.8" x14ac:dyDescent="0.25">
      <c r="B12" s="67" t="s">
        <v>39</v>
      </c>
      <c r="C12" s="68">
        <f>AVERAGE(Dataset_2!E2:E611)</f>
        <v>0.20485098360655737</v>
      </c>
      <c r="F12" s="50">
        <v>0.28360000000000002</v>
      </c>
      <c r="G12" s="50">
        <v>305</v>
      </c>
      <c r="H12" s="50">
        <v>2519</v>
      </c>
      <c r="I12" s="50">
        <v>2824</v>
      </c>
    </row>
    <row r="13" spans="2:9" ht="13.8" x14ac:dyDescent="0.25">
      <c r="B13" s="70" t="s">
        <v>141</v>
      </c>
      <c r="C13" s="68">
        <f>MAX(Dataset_2!H2:H611)</f>
        <v>249</v>
      </c>
      <c r="F13" s="50">
        <v>0.29849999999999999</v>
      </c>
      <c r="G13" s="50">
        <v>272</v>
      </c>
      <c r="H13" s="50">
        <v>1426</v>
      </c>
      <c r="I13" s="50">
        <v>1698</v>
      </c>
    </row>
    <row r="14" spans="2:9" ht="13.8" x14ac:dyDescent="0.25">
      <c r="B14" s="70" t="s">
        <v>142</v>
      </c>
      <c r="C14" s="68">
        <f>MIN(Dataset_2!H2:H611)</f>
        <v>1</v>
      </c>
      <c r="F14" s="50">
        <v>0.32840000000000003</v>
      </c>
      <c r="G14" s="50">
        <v>160</v>
      </c>
      <c r="H14" s="50">
        <v>2177</v>
      </c>
      <c r="I14" s="50">
        <v>2337</v>
      </c>
    </row>
    <row r="15" spans="2:9" x14ac:dyDescent="0.25">
      <c r="F15" s="50">
        <v>0.35820000000000002</v>
      </c>
      <c r="G15" s="50">
        <v>74</v>
      </c>
      <c r="H15" s="50">
        <v>1177</v>
      </c>
      <c r="I15" s="50">
        <v>1251</v>
      </c>
    </row>
    <row r="16" spans="2:9" x14ac:dyDescent="0.25">
      <c r="F16" s="50">
        <v>0.3881</v>
      </c>
      <c r="G16" s="50">
        <v>67</v>
      </c>
      <c r="H16" s="50">
        <v>801</v>
      </c>
      <c r="I16" s="50">
        <v>868</v>
      </c>
    </row>
    <row r="17" spans="6:9" x14ac:dyDescent="0.25">
      <c r="F17" s="50">
        <v>0.41789999999999999</v>
      </c>
      <c r="G17" s="50">
        <v>17</v>
      </c>
      <c r="H17" s="50">
        <v>442</v>
      </c>
      <c r="I17" s="50">
        <v>459</v>
      </c>
    </row>
    <row r="18" spans="6:9" x14ac:dyDescent="0.25">
      <c r="F18" s="50">
        <v>0.44779999999999998</v>
      </c>
      <c r="G18" s="50">
        <v>48</v>
      </c>
      <c r="H18" s="50">
        <v>622</v>
      </c>
      <c r="I18" s="50">
        <v>670</v>
      </c>
    </row>
    <row r="19" spans="6:9" x14ac:dyDescent="0.25">
      <c r="F19" s="50">
        <v>0.4627</v>
      </c>
      <c r="G19" s="50">
        <v>46</v>
      </c>
      <c r="H19" s="50">
        <v>358</v>
      </c>
      <c r="I19" s="50">
        <v>404</v>
      </c>
    </row>
    <row r="20" spans="6:9" x14ac:dyDescent="0.25">
      <c r="F20" s="50">
        <v>0.49249999999999999</v>
      </c>
      <c r="G20" s="50">
        <v>12</v>
      </c>
      <c r="H20" s="50">
        <v>83</v>
      </c>
      <c r="I20" s="50">
        <v>95</v>
      </c>
    </row>
    <row r="21" spans="6:9" x14ac:dyDescent="0.25">
      <c r="F21" s="50">
        <v>0.52239999999999998</v>
      </c>
      <c r="G21" s="50">
        <v>10</v>
      </c>
      <c r="H21" s="50">
        <v>257</v>
      </c>
      <c r="I21" s="50">
        <v>267</v>
      </c>
    </row>
    <row r="22" spans="6:9" x14ac:dyDescent="0.25">
      <c r="F22" s="50">
        <v>0.55220000000000002</v>
      </c>
      <c r="G22" s="50">
        <v>5</v>
      </c>
      <c r="H22" s="50">
        <v>64</v>
      </c>
      <c r="I22" s="50">
        <v>69</v>
      </c>
    </row>
    <row r="23" spans="6:9" x14ac:dyDescent="0.25">
      <c r="F23" s="50">
        <v>0.58209999999999995</v>
      </c>
      <c r="G23" s="50">
        <v>22</v>
      </c>
      <c r="H23" s="50">
        <v>184</v>
      </c>
      <c r="I23" s="50">
        <v>206</v>
      </c>
    </row>
    <row r="24" spans="6:9" x14ac:dyDescent="0.25">
      <c r="F24" s="71" t="s">
        <v>15</v>
      </c>
      <c r="G24" s="71">
        <v>2746</v>
      </c>
      <c r="H24" s="71">
        <v>31152</v>
      </c>
      <c r="I24" s="71">
        <v>33898</v>
      </c>
    </row>
    <row r="50" spans="1:4" x14ac:dyDescent="0.25">
      <c r="A50" s="46" t="s">
        <v>14</v>
      </c>
      <c r="B50" t="s">
        <v>55</v>
      </c>
      <c r="C50" t="s">
        <v>56</v>
      </c>
      <c r="D50" t="s">
        <v>58</v>
      </c>
    </row>
    <row r="51" spans="1:4" x14ac:dyDescent="0.25">
      <c r="A51" s="47">
        <v>0.21</v>
      </c>
      <c r="B51">
        <v>8</v>
      </c>
      <c r="C51">
        <v>65</v>
      </c>
      <c r="D51">
        <v>73</v>
      </c>
    </row>
    <row r="52" spans="1:4" x14ac:dyDescent="0.25">
      <c r="A52" s="47">
        <v>0.25</v>
      </c>
      <c r="B52">
        <v>6</v>
      </c>
      <c r="C52">
        <v>56</v>
      </c>
      <c r="D52">
        <v>62</v>
      </c>
    </row>
    <row r="53" spans="1:4" x14ac:dyDescent="0.25">
      <c r="A53" s="47">
        <v>0.26</v>
      </c>
      <c r="B53">
        <v>18</v>
      </c>
      <c r="C53">
        <v>264</v>
      </c>
      <c r="D53">
        <v>282</v>
      </c>
    </row>
    <row r="54" spans="1:4" x14ac:dyDescent="0.25">
      <c r="A54" s="47">
        <v>0.27</v>
      </c>
      <c r="B54">
        <v>11</v>
      </c>
      <c r="C54">
        <v>67</v>
      </c>
      <c r="D54">
        <v>78</v>
      </c>
    </row>
    <row r="55" spans="1:4" x14ac:dyDescent="0.25">
      <c r="A55" s="47">
        <v>0.28000000000000003</v>
      </c>
      <c r="B55">
        <v>90</v>
      </c>
      <c r="C55">
        <v>724</v>
      </c>
      <c r="D55">
        <v>814</v>
      </c>
    </row>
    <row r="56" spans="1:4" x14ac:dyDescent="0.25">
      <c r="A56" s="47">
        <v>0.28999999999999998</v>
      </c>
      <c r="B56">
        <v>8</v>
      </c>
      <c r="C56">
        <v>68</v>
      </c>
      <c r="D56">
        <v>76</v>
      </c>
    </row>
    <row r="57" spans="1:4" x14ac:dyDescent="0.25">
      <c r="A57" s="47">
        <v>0.3</v>
      </c>
      <c r="B57">
        <v>65</v>
      </c>
      <c r="C57">
        <v>703</v>
      </c>
      <c r="D57">
        <v>768</v>
      </c>
    </row>
    <row r="58" spans="1:4" x14ac:dyDescent="0.25">
      <c r="A58" s="47">
        <v>0.32</v>
      </c>
      <c r="B58">
        <v>34</v>
      </c>
      <c r="C58">
        <v>364</v>
      </c>
      <c r="D58">
        <v>398</v>
      </c>
    </row>
    <row r="59" spans="1:4" x14ac:dyDescent="0.25">
      <c r="A59" s="47">
        <v>0.33</v>
      </c>
      <c r="B59">
        <v>41</v>
      </c>
      <c r="C59">
        <v>299</v>
      </c>
      <c r="D59">
        <v>340</v>
      </c>
    </row>
    <row r="60" spans="1:4" x14ac:dyDescent="0.25">
      <c r="A60" s="47">
        <v>0.34</v>
      </c>
      <c r="B60">
        <v>52</v>
      </c>
      <c r="C60">
        <v>243</v>
      </c>
      <c r="D60">
        <v>295</v>
      </c>
    </row>
    <row r="61" spans="1:4" x14ac:dyDescent="0.25">
      <c r="A61" s="47">
        <v>0.35</v>
      </c>
      <c r="B61">
        <v>85</v>
      </c>
      <c r="C61">
        <v>585</v>
      </c>
      <c r="D61">
        <v>670</v>
      </c>
    </row>
    <row r="62" spans="1:4" x14ac:dyDescent="0.25">
      <c r="A62" s="47">
        <v>0.36</v>
      </c>
      <c r="B62">
        <v>105</v>
      </c>
      <c r="C62">
        <v>482</v>
      </c>
      <c r="D62">
        <v>587</v>
      </c>
    </row>
    <row r="63" spans="1:4" x14ac:dyDescent="0.25">
      <c r="A63" s="47">
        <v>0.37</v>
      </c>
      <c r="B63">
        <v>130</v>
      </c>
      <c r="C63">
        <v>1095</v>
      </c>
      <c r="D63">
        <v>1225</v>
      </c>
    </row>
    <row r="64" spans="1:4" x14ac:dyDescent="0.25">
      <c r="A64" s="47">
        <v>0.38</v>
      </c>
      <c r="B64">
        <v>137</v>
      </c>
      <c r="C64">
        <v>1188</v>
      </c>
      <c r="D64">
        <v>1325</v>
      </c>
    </row>
    <row r="65" spans="1:4" x14ac:dyDescent="0.25">
      <c r="A65" s="47">
        <v>0.39</v>
      </c>
      <c r="B65">
        <v>62</v>
      </c>
      <c r="C65">
        <v>364</v>
      </c>
      <c r="D65">
        <v>426</v>
      </c>
    </row>
    <row r="66" spans="1:4" x14ac:dyDescent="0.25">
      <c r="A66" s="47">
        <v>0.4</v>
      </c>
      <c r="B66">
        <v>97</v>
      </c>
      <c r="C66">
        <v>1539</v>
      </c>
      <c r="D66">
        <v>1636</v>
      </c>
    </row>
    <row r="67" spans="1:4" x14ac:dyDescent="0.25">
      <c r="A67" s="47">
        <v>0.41</v>
      </c>
      <c r="B67">
        <v>71</v>
      </c>
      <c r="C67">
        <v>856</v>
      </c>
      <c r="D67">
        <v>927</v>
      </c>
    </row>
    <row r="68" spans="1:4" x14ac:dyDescent="0.25">
      <c r="A68" s="47">
        <v>0.42</v>
      </c>
      <c r="B68">
        <v>61</v>
      </c>
      <c r="C68">
        <v>419</v>
      </c>
      <c r="D68">
        <v>480</v>
      </c>
    </row>
    <row r="69" spans="1:4" x14ac:dyDescent="0.25">
      <c r="A69" s="47">
        <v>0.43</v>
      </c>
      <c r="B69">
        <v>63</v>
      </c>
      <c r="C69">
        <v>547</v>
      </c>
      <c r="D69">
        <v>610</v>
      </c>
    </row>
    <row r="70" spans="1:4" x14ac:dyDescent="0.25">
      <c r="A70" s="47">
        <v>0.44</v>
      </c>
      <c r="B70">
        <v>59</v>
      </c>
      <c r="C70">
        <v>562</v>
      </c>
      <c r="D70">
        <v>621</v>
      </c>
    </row>
    <row r="71" spans="1:4" x14ac:dyDescent="0.25">
      <c r="A71" s="47">
        <v>0.45</v>
      </c>
      <c r="B71">
        <v>77</v>
      </c>
      <c r="C71">
        <v>718</v>
      </c>
      <c r="D71">
        <v>795</v>
      </c>
    </row>
    <row r="72" spans="1:4" x14ac:dyDescent="0.25">
      <c r="A72" s="47">
        <v>0.46</v>
      </c>
      <c r="B72">
        <v>28</v>
      </c>
      <c r="C72">
        <v>351</v>
      </c>
      <c r="D72">
        <v>379</v>
      </c>
    </row>
    <row r="73" spans="1:4" x14ac:dyDescent="0.25">
      <c r="A73" s="47">
        <v>0.47</v>
      </c>
      <c r="B73">
        <v>154</v>
      </c>
      <c r="C73">
        <v>2315</v>
      </c>
      <c r="D73">
        <v>2469</v>
      </c>
    </row>
    <row r="74" spans="1:4" x14ac:dyDescent="0.25">
      <c r="A74" s="47">
        <v>0.48</v>
      </c>
      <c r="B74">
        <v>37</v>
      </c>
      <c r="C74">
        <v>779</v>
      </c>
      <c r="D74">
        <v>816</v>
      </c>
    </row>
    <row r="75" spans="1:4" x14ac:dyDescent="0.25">
      <c r="A75" s="47">
        <v>0.49</v>
      </c>
      <c r="B75">
        <v>59</v>
      </c>
      <c r="C75">
        <v>929</v>
      </c>
      <c r="D75">
        <v>988</v>
      </c>
    </row>
    <row r="76" spans="1:4" x14ac:dyDescent="0.25">
      <c r="A76" s="47">
        <v>0.5</v>
      </c>
      <c r="B76">
        <v>43</v>
      </c>
      <c r="C76">
        <v>1448</v>
      </c>
      <c r="D76">
        <v>1491</v>
      </c>
    </row>
    <row r="77" spans="1:4" x14ac:dyDescent="0.25">
      <c r="A77" s="47">
        <v>0.51</v>
      </c>
      <c r="B77">
        <v>118</v>
      </c>
      <c r="C77">
        <v>1878</v>
      </c>
      <c r="D77">
        <v>1996</v>
      </c>
    </row>
    <row r="78" spans="1:4" x14ac:dyDescent="0.25">
      <c r="A78" s="47">
        <v>0.52</v>
      </c>
      <c r="B78">
        <v>36</v>
      </c>
      <c r="C78">
        <v>322</v>
      </c>
      <c r="D78">
        <v>358</v>
      </c>
    </row>
    <row r="79" spans="1:4" x14ac:dyDescent="0.25">
      <c r="A79" s="47">
        <v>0.53</v>
      </c>
      <c r="B79">
        <v>1</v>
      </c>
      <c r="C79">
        <v>7</v>
      </c>
      <c r="D79">
        <v>8</v>
      </c>
    </row>
    <row r="80" spans="1:4" x14ac:dyDescent="0.25">
      <c r="A80" s="47">
        <v>0.54</v>
      </c>
      <c r="B80">
        <v>13</v>
      </c>
      <c r="C80">
        <v>341</v>
      </c>
      <c r="D80">
        <v>354</v>
      </c>
    </row>
    <row r="81" spans="1:4" x14ac:dyDescent="0.25">
      <c r="A81" s="47">
        <v>0.55000000000000004</v>
      </c>
      <c r="B81">
        <v>63</v>
      </c>
      <c r="C81">
        <v>1401</v>
      </c>
      <c r="D81">
        <v>1464</v>
      </c>
    </row>
    <row r="82" spans="1:4" x14ac:dyDescent="0.25">
      <c r="A82" s="47">
        <v>0.56000000000000005</v>
      </c>
      <c r="B82">
        <v>88</v>
      </c>
      <c r="C82">
        <v>652</v>
      </c>
      <c r="D82">
        <v>740</v>
      </c>
    </row>
    <row r="83" spans="1:4" x14ac:dyDescent="0.25">
      <c r="A83" s="47">
        <v>0.56999999999999995</v>
      </c>
      <c r="B83">
        <v>23</v>
      </c>
      <c r="C83">
        <v>423</v>
      </c>
      <c r="D83">
        <v>446</v>
      </c>
    </row>
    <row r="84" spans="1:4" x14ac:dyDescent="0.25">
      <c r="A84" s="47">
        <v>0.57999999999999996</v>
      </c>
      <c r="B84">
        <v>18</v>
      </c>
      <c r="C84">
        <v>163</v>
      </c>
      <c r="D84">
        <v>181</v>
      </c>
    </row>
    <row r="85" spans="1:4" x14ac:dyDescent="0.25">
      <c r="A85" s="47">
        <v>0.59</v>
      </c>
      <c r="B85">
        <v>56</v>
      </c>
      <c r="C85">
        <v>1386</v>
      </c>
      <c r="D85">
        <v>1442</v>
      </c>
    </row>
    <row r="86" spans="1:4" x14ac:dyDescent="0.25">
      <c r="A86" s="47">
        <v>0.6</v>
      </c>
      <c r="B86">
        <v>18</v>
      </c>
      <c r="C86">
        <v>327</v>
      </c>
      <c r="D86">
        <v>345</v>
      </c>
    </row>
    <row r="87" spans="1:4" x14ac:dyDescent="0.25">
      <c r="A87" s="47">
        <v>0.61</v>
      </c>
      <c r="B87">
        <v>5</v>
      </c>
      <c r="C87">
        <v>156</v>
      </c>
      <c r="D87">
        <v>161</v>
      </c>
    </row>
    <row r="88" spans="1:4" x14ac:dyDescent="0.25">
      <c r="A88" s="47">
        <v>0.62</v>
      </c>
      <c r="B88">
        <v>17</v>
      </c>
      <c r="C88">
        <v>103</v>
      </c>
      <c r="D88">
        <v>120</v>
      </c>
    </row>
    <row r="89" spans="1:4" x14ac:dyDescent="0.25">
      <c r="A89" s="47">
        <v>0.63</v>
      </c>
      <c r="B89">
        <v>12</v>
      </c>
      <c r="C89">
        <v>157</v>
      </c>
      <c r="D89">
        <v>169</v>
      </c>
    </row>
    <row r="90" spans="1:4" x14ac:dyDescent="0.25">
      <c r="A90" s="47">
        <v>0.64</v>
      </c>
      <c r="B90">
        <v>32</v>
      </c>
      <c r="C90">
        <v>527</v>
      </c>
      <c r="D90">
        <v>559</v>
      </c>
    </row>
    <row r="91" spans="1:4" x14ac:dyDescent="0.25">
      <c r="A91" s="47">
        <v>0.65</v>
      </c>
      <c r="B91">
        <v>37</v>
      </c>
      <c r="C91">
        <v>365</v>
      </c>
      <c r="D91">
        <v>402</v>
      </c>
    </row>
    <row r="92" spans="1:4" x14ac:dyDescent="0.25">
      <c r="A92" s="47">
        <v>0.66</v>
      </c>
      <c r="B92">
        <v>31</v>
      </c>
      <c r="C92">
        <v>137</v>
      </c>
      <c r="D92">
        <v>168</v>
      </c>
    </row>
    <row r="93" spans="1:4" x14ac:dyDescent="0.25">
      <c r="A93" s="47">
        <v>0.68</v>
      </c>
      <c r="B93">
        <v>2</v>
      </c>
      <c r="C93">
        <v>160</v>
      </c>
      <c r="D93">
        <v>162</v>
      </c>
    </row>
    <row r="94" spans="1:4" x14ac:dyDescent="0.25">
      <c r="A94" s="47">
        <v>0.69</v>
      </c>
      <c r="B94">
        <v>59</v>
      </c>
      <c r="C94">
        <v>886</v>
      </c>
      <c r="D94">
        <v>945</v>
      </c>
    </row>
    <row r="95" spans="1:4" x14ac:dyDescent="0.25">
      <c r="A95" s="47">
        <v>0.7</v>
      </c>
      <c r="B95">
        <v>1</v>
      </c>
      <c r="C95">
        <v>26</v>
      </c>
      <c r="D95">
        <v>27</v>
      </c>
    </row>
    <row r="96" spans="1:4" x14ac:dyDescent="0.25">
      <c r="A96" s="47">
        <v>0.71</v>
      </c>
      <c r="B96">
        <v>25</v>
      </c>
      <c r="C96">
        <v>129</v>
      </c>
      <c r="D96">
        <v>154</v>
      </c>
    </row>
    <row r="97" spans="1:4" x14ac:dyDescent="0.25">
      <c r="A97" s="47">
        <v>0.72</v>
      </c>
      <c r="B97">
        <v>82</v>
      </c>
      <c r="C97">
        <v>118</v>
      </c>
      <c r="D97">
        <v>200</v>
      </c>
    </row>
    <row r="98" spans="1:4" x14ac:dyDescent="0.25">
      <c r="A98" s="47">
        <v>0.74</v>
      </c>
      <c r="B98">
        <v>20</v>
      </c>
      <c r="C98">
        <v>720</v>
      </c>
      <c r="D98">
        <v>740</v>
      </c>
    </row>
    <row r="99" spans="1:4" x14ac:dyDescent="0.25">
      <c r="A99" s="47">
        <v>0.75</v>
      </c>
      <c r="B99">
        <v>6</v>
      </c>
      <c r="C99">
        <v>34</v>
      </c>
      <c r="D99">
        <v>40</v>
      </c>
    </row>
    <row r="100" spans="1:4" x14ac:dyDescent="0.25">
      <c r="A100" s="47">
        <v>0.76</v>
      </c>
      <c r="B100">
        <v>25</v>
      </c>
      <c r="C100">
        <v>105</v>
      </c>
      <c r="D100">
        <v>130</v>
      </c>
    </row>
    <row r="101" spans="1:4" x14ac:dyDescent="0.25">
      <c r="A101" s="47">
        <v>0.77</v>
      </c>
      <c r="B101">
        <v>69</v>
      </c>
      <c r="C101">
        <v>127</v>
      </c>
      <c r="D101">
        <v>196</v>
      </c>
    </row>
    <row r="102" spans="1:4" x14ac:dyDescent="0.25">
      <c r="A102" s="47">
        <v>0.8</v>
      </c>
      <c r="B102">
        <v>35</v>
      </c>
      <c r="C102">
        <v>542</v>
      </c>
      <c r="D102">
        <v>577</v>
      </c>
    </row>
    <row r="103" spans="1:4" x14ac:dyDescent="0.25">
      <c r="A103" s="47">
        <v>0.81</v>
      </c>
      <c r="B103">
        <v>60</v>
      </c>
      <c r="C103">
        <v>209</v>
      </c>
      <c r="D103">
        <v>269</v>
      </c>
    </row>
    <row r="104" spans="1:4" x14ac:dyDescent="0.25">
      <c r="A104" s="47">
        <v>0.82</v>
      </c>
      <c r="B104">
        <v>57</v>
      </c>
      <c r="C104">
        <v>228</v>
      </c>
      <c r="D104">
        <v>285</v>
      </c>
    </row>
    <row r="105" spans="1:4" x14ac:dyDescent="0.25">
      <c r="A105" s="47">
        <v>0.86</v>
      </c>
      <c r="B105">
        <v>23</v>
      </c>
      <c r="C105">
        <v>677</v>
      </c>
      <c r="D105">
        <v>700</v>
      </c>
    </row>
    <row r="106" spans="1:4" x14ac:dyDescent="0.25">
      <c r="A106" s="47">
        <v>0.87</v>
      </c>
      <c r="B106">
        <v>29</v>
      </c>
      <c r="C106">
        <v>433</v>
      </c>
      <c r="D106">
        <v>462</v>
      </c>
    </row>
    <row r="107" spans="1:4" x14ac:dyDescent="0.25">
      <c r="A107" s="47">
        <v>0.88</v>
      </c>
      <c r="B107">
        <v>34</v>
      </c>
      <c r="C107">
        <v>94</v>
      </c>
      <c r="D107">
        <v>128</v>
      </c>
    </row>
    <row r="108" spans="1:4" x14ac:dyDescent="0.25">
      <c r="A108" s="47">
        <v>0.92</v>
      </c>
      <c r="B108">
        <v>1</v>
      </c>
      <c r="C108">
        <v>89</v>
      </c>
      <c r="D108">
        <v>90</v>
      </c>
    </row>
    <row r="109" spans="1:4" x14ac:dyDescent="0.25">
      <c r="A109" s="47">
        <v>0.93</v>
      </c>
      <c r="B109">
        <v>32</v>
      </c>
      <c r="C109">
        <v>1154</v>
      </c>
      <c r="D109">
        <v>1186</v>
      </c>
    </row>
    <row r="110" spans="1:4" x14ac:dyDescent="0.25">
      <c r="A110" s="47">
        <v>0.94</v>
      </c>
      <c r="B110">
        <v>16</v>
      </c>
      <c r="C110">
        <v>38</v>
      </c>
      <c r="D110">
        <v>54</v>
      </c>
    </row>
    <row r="111" spans="1:4" x14ac:dyDescent="0.25">
      <c r="A111" s="47">
        <v>1</v>
      </c>
      <c r="B111">
        <v>1</v>
      </c>
      <c r="C111">
        <v>8</v>
      </c>
      <c r="D111">
        <v>9</v>
      </c>
    </row>
    <row r="112" spans="1:4" x14ac:dyDescent="0.25">
      <c r="A112" s="47" t="s">
        <v>15</v>
      </c>
      <c r="B112">
        <v>2746</v>
      </c>
      <c r="C112">
        <v>31152</v>
      </c>
      <c r="D112">
        <v>33898</v>
      </c>
    </row>
  </sheetData>
  <mergeCells count="1">
    <mergeCell ref="F2:I2"/>
  </mergeCells>
  <conditionalFormatting sqref="F4:F23">
    <cfRule type="colorScale" priority="4">
      <colorScale>
        <cfvo type="min"/>
        <cfvo type="percentile" val="50"/>
        <cfvo type="max"/>
        <color rgb="FF63BE7B"/>
        <color rgb="FFFFEB84"/>
        <color rgb="FFF8696B"/>
      </colorScale>
    </cfRule>
  </conditionalFormatting>
  <conditionalFormatting pivot="1" sqref="G4:G23">
    <cfRule type="colorScale" priority="3">
      <colorScale>
        <cfvo type="min"/>
        <cfvo type="percentile" val="50"/>
        <cfvo type="max"/>
        <color rgb="FFF8696B"/>
        <color rgb="FFFCFCFF"/>
        <color rgb="FF63BE7B"/>
      </colorScale>
    </cfRule>
  </conditionalFormatting>
  <conditionalFormatting pivot="1" sqref="H4:H23">
    <cfRule type="colorScale" priority="2">
      <colorScale>
        <cfvo type="min"/>
        <cfvo type="percentile" val="50"/>
        <cfvo type="max"/>
        <color rgb="FFF8696B"/>
        <color rgb="FFFCFCFF"/>
        <color rgb="FF63BE7B"/>
      </colorScale>
    </cfRule>
  </conditionalFormatting>
  <conditionalFormatting pivot="1" sqref="I4:I23">
    <cfRule type="colorScale" priority="1">
      <colorScale>
        <cfvo type="min"/>
        <cfvo type="percentile" val="50"/>
        <cfvo type="max"/>
        <color rgb="FFF8696B"/>
        <color rgb="FFFCFCFF"/>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9243-1A0D-4AAD-ADB4-C5BC404A41F1}">
  <dimension ref="A1:Q611"/>
  <sheetViews>
    <sheetView workbookViewId="0">
      <selection activeCell="J9" sqref="J9"/>
    </sheetView>
  </sheetViews>
  <sheetFormatPr defaultRowHeight="13.2" x14ac:dyDescent="0.25"/>
  <cols>
    <col min="2" max="2" width="10.5546875" customWidth="1"/>
    <col min="3" max="3" width="9.33203125" customWidth="1"/>
    <col min="8" max="8" width="9.109375" customWidth="1"/>
    <col min="9" max="9" width="10.44140625" customWidth="1"/>
    <col min="10" max="10" width="19.109375" customWidth="1"/>
    <col min="11" max="11" width="14" customWidth="1"/>
    <col min="14" max="14" width="12.21875" customWidth="1"/>
    <col min="15" max="15" width="17.88671875" customWidth="1"/>
    <col min="16" max="16" width="20.88671875" customWidth="1"/>
  </cols>
  <sheetData>
    <row r="1" spans="1:17" x14ac:dyDescent="0.25">
      <c r="A1" s="15" t="s">
        <v>9</v>
      </c>
      <c r="B1" s="16" t="s">
        <v>10</v>
      </c>
      <c r="C1" s="16" t="s">
        <v>11</v>
      </c>
      <c r="D1" s="20" t="s">
        <v>80</v>
      </c>
      <c r="E1" s="20" t="s">
        <v>81</v>
      </c>
      <c r="F1" s="20" t="s">
        <v>82</v>
      </c>
      <c r="G1" s="20" t="s">
        <v>45</v>
      </c>
      <c r="H1" s="20" t="s">
        <v>83</v>
      </c>
      <c r="I1" s="20" t="s">
        <v>84</v>
      </c>
      <c r="J1" s="16" t="s">
        <v>12</v>
      </c>
      <c r="K1" s="16" t="s">
        <v>13</v>
      </c>
      <c r="L1" s="17" t="s">
        <v>85</v>
      </c>
      <c r="M1" s="17" t="s">
        <v>79</v>
      </c>
      <c r="N1" s="17" t="s">
        <v>86</v>
      </c>
      <c r="O1" s="17" t="s">
        <v>7</v>
      </c>
      <c r="P1" s="17" t="s">
        <v>145</v>
      </c>
      <c r="Q1" s="18" t="s">
        <v>146</v>
      </c>
    </row>
    <row r="2" spans="1:17" x14ac:dyDescent="0.25">
      <c r="A2" s="7">
        <v>1</v>
      </c>
      <c r="B2" s="3">
        <v>40544</v>
      </c>
      <c r="C2" s="2">
        <v>1</v>
      </c>
      <c r="D2" s="2">
        <v>0</v>
      </c>
      <c r="E2" s="2">
        <v>1</v>
      </c>
      <c r="F2" s="2">
        <v>0</v>
      </c>
      <c r="G2" s="2" t="str" cm="1">
        <f t="array" ref="G2">_xlfn.IFS(F2&lt;3,"Night",F2&lt;=6,"Early Morning",F2&lt;8,"Morning",F2&lt;10,"Late Morning",F2&lt;12,"Afternoon",F2&lt;16,"Afternoon",F2&lt;=18,"Early Evening",F2&lt;=20,"Evening",F2&lt;=22,"Late Evening",F2&lt;=23,"Night")</f>
        <v>Night</v>
      </c>
      <c r="H2" s="2" t="b">
        <v>0</v>
      </c>
      <c r="I2" s="2">
        <v>6</v>
      </c>
      <c r="J2" s="2">
        <v>1</v>
      </c>
      <c r="K2" s="14">
        <v>0.24</v>
      </c>
      <c r="L2" s="4">
        <v>0.28789999999999999</v>
      </c>
      <c r="M2" s="4">
        <v>0.81</v>
      </c>
      <c r="N2" s="4">
        <v>0</v>
      </c>
      <c r="O2" s="4">
        <v>3</v>
      </c>
      <c r="P2" s="4">
        <v>13</v>
      </c>
      <c r="Q2" s="8">
        <v>16</v>
      </c>
    </row>
    <row r="3" spans="1:17" x14ac:dyDescent="0.25">
      <c r="A3" s="7">
        <v>2</v>
      </c>
      <c r="B3" s="3">
        <v>40544</v>
      </c>
      <c r="C3" s="2">
        <v>1</v>
      </c>
      <c r="D3" s="2">
        <v>0</v>
      </c>
      <c r="E3" s="2">
        <v>1</v>
      </c>
      <c r="F3" s="2">
        <v>1</v>
      </c>
      <c r="G3" s="2" t="str" cm="1">
        <f t="array" ref="G3">_xlfn.IFS(F3&lt;3,"Night",F3&lt;=6,"Early Morning",F3&lt;8,"Morning",F3&lt;10,"Late Morning",F3&lt;12,"Afternoon",F3&lt;16,"Afternoon",F3&lt;=18,"Early Evening",F3&lt;=20,"Evening",F3&lt;=22,"Late Evening",F3&lt;=23,"Night")</f>
        <v>Night</v>
      </c>
      <c r="H3" s="2" t="b">
        <v>0</v>
      </c>
      <c r="I3" s="2">
        <v>6</v>
      </c>
      <c r="J3" s="2">
        <v>1</v>
      </c>
      <c r="K3" s="14">
        <v>0.22</v>
      </c>
      <c r="L3" s="4">
        <v>0.2727</v>
      </c>
      <c r="M3" s="4">
        <v>0.8</v>
      </c>
      <c r="N3" s="4">
        <v>0</v>
      </c>
      <c r="O3" s="4">
        <v>8</v>
      </c>
      <c r="P3" s="4">
        <v>32</v>
      </c>
      <c r="Q3" s="8">
        <v>40</v>
      </c>
    </row>
    <row r="4" spans="1:17" x14ac:dyDescent="0.25">
      <c r="A4" s="7">
        <v>3</v>
      </c>
      <c r="B4" s="3">
        <v>40544</v>
      </c>
      <c r="C4" s="2">
        <v>1</v>
      </c>
      <c r="D4" s="2">
        <v>0</v>
      </c>
      <c r="E4" s="2">
        <v>1</v>
      </c>
      <c r="F4" s="2">
        <v>2</v>
      </c>
      <c r="G4" s="2" t="str" cm="1">
        <f t="array" ref="G4">_xlfn.IFS(F4&lt;3,"Night",F4&lt;=6,"Early Morning",F4&lt;8,"Morning",F4&lt;10,"Late Morning",F4&lt;12,"Afternoon",F4&lt;16,"Afternoon",F4&lt;=18,"Early Evening",F4&lt;=20,"Evening",F4&lt;=22,"Late Evening",F4&lt;=23,"Night")</f>
        <v>Night</v>
      </c>
      <c r="H4" s="2" t="b">
        <v>0</v>
      </c>
      <c r="I4" s="2">
        <v>6</v>
      </c>
      <c r="J4" s="2">
        <v>1</v>
      </c>
      <c r="K4" s="14">
        <v>0.22</v>
      </c>
      <c r="L4" s="4">
        <v>0.2727</v>
      </c>
      <c r="M4" s="4">
        <v>0.8</v>
      </c>
      <c r="N4" s="4">
        <v>0</v>
      </c>
      <c r="O4" s="4">
        <v>5</v>
      </c>
      <c r="P4" s="4">
        <v>27</v>
      </c>
      <c r="Q4" s="8">
        <v>32</v>
      </c>
    </row>
    <row r="5" spans="1:17" x14ac:dyDescent="0.25">
      <c r="A5" s="7">
        <v>4</v>
      </c>
      <c r="B5" s="3">
        <v>40544</v>
      </c>
      <c r="C5" s="2">
        <v>1</v>
      </c>
      <c r="D5" s="2">
        <v>0</v>
      </c>
      <c r="E5" s="2">
        <v>1</v>
      </c>
      <c r="F5" s="2">
        <v>3</v>
      </c>
      <c r="G5" s="2" t="str" cm="1">
        <f t="array" ref="G5">_xlfn.IFS(F5&lt;3,"Night",F5&lt;=6,"Early Morning",F5&lt;8,"Morning",F5&lt;10,"Late Morning",F5&lt;12,"Afternoon",F5&lt;16,"Afternoon",F5&lt;=18,"Early Evening",F5&lt;=20,"Evening",F5&lt;=22,"Late Evening",F5&lt;=23,"Night")</f>
        <v>Early Morning</v>
      </c>
      <c r="H5" s="2" t="b">
        <v>0</v>
      </c>
      <c r="I5" s="2">
        <v>6</v>
      </c>
      <c r="J5" s="2">
        <v>1</v>
      </c>
      <c r="K5" s="14">
        <v>0.24</v>
      </c>
      <c r="L5" s="4">
        <v>0.28789999999999999</v>
      </c>
      <c r="M5" s="4">
        <v>0.75</v>
      </c>
      <c r="N5" s="4">
        <v>0</v>
      </c>
      <c r="O5" s="4">
        <v>3</v>
      </c>
      <c r="P5" s="4">
        <v>10</v>
      </c>
      <c r="Q5" s="8">
        <v>13</v>
      </c>
    </row>
    <row r="6" spans="1:17" x14ac:dyDescent="0.25">
      <c r="A6" s="7">
        <v>5</v>
      </c>
      <c r="B6" s="3">
        <v>40544</v>
      </c>
      <c r="C6" s="2">
        <v>1</v>
      </c>
      <c r="D6" s="2">
        <v>0</v>
      </c>
      <c r="E6" s="2">
        <v>1</v>
      </c>
      <c r="F6" s="2">
        <v>4</v>
      </c>
      <c r="G6" s="2" t="str" cm="1">
        <f t="array" ref="G6">_xlfn.IFS(F6&lt;3,"Night",F6&lt;=6,"Early Morning",F6&lt;8,"Morning",F6&lt;10,"Late Morning",F6&lt;12,"Afternoon",F6&lt;16,"Afternoon",F6&lt;=18,"Early Evening",F6&lt;=20,"Evening",F6&lt;=22,"Late Evening",F6&lt;=23,"Night")</f>
        <v>Early Morning</v>
      </c>
      <c r="H6" s="2" t="b">
        <v>0</v>
      </c>
      <c r="I6" s="2">
        <v>6</v>
      </c>
      <c r="J6" s="2">
        <v>1</v>
      </c>
      <c r="K6" s="14">
        <v>0.24</v>
      </c>
      <c r="L6" s="4">
        <v>0.28789999999999999</v>
      </c>
      <c r="M6" s="4">
        <v>0.75</v>
      </c>
      <c r="N6" s="4">
        <v>0</v>
      </c>
      <c r="O6" s="4">
        <v>0</v>
      </c>
      <c r="P6" s="4">
        <v>1</v>
      </c>
      <c r="Q6" s="8">
        <v>1</v>
      </c>
    </row>
    <row r="7" spans="1:17" x14ac:dyDescent="0.25">
      <c r="A7" s="7">
        <v>6</v>
      </c>
      <c r="B7" s="3">
        <v>40544</v>
      </c>
      <c r="C7" s="2">
        <v>1</v>
      </c>
      <c r="D7" s="2">
        <v>0</v>
      </c>
      <c r="E7" s="2">
        <v>1</v>
      </c>
      <c r="F7" s="2">
        <v>5</v>
      </c>
      <c r="G7" s="2" t="str" cm="1">
        <f t="array" ref="G7">_xlfn.IFS(F7&lt;3,"Night",F7&lt;=6,"Early Morning",F7&lt;8,"Morning",F7&lt;10,"Late Morning",F7&lt;12,"Afternoon",F7&lt;16,"Afternoon",F7&lt;=18,"Early Evening",F7&lt;=20,"Evening",F7&lt;=22,"Late Evening",F7&lt;=23,"Night")</f>
        <v>Early Morning</v>
      </c>
      <c r="H7" s="2" t="b">
        <v>0</v>
      </c>
      <c r="I7" s="2">
        <v>6</v>
      </c>
      <c r="J7" s="2">
        <v>2</v>
      </c>
      <c r="K7" s="14">
        <v>0.24</v>
      </c>
      <c r="L7" s="4">
        <v>0.2576</v>
      </c>
      <c r="M7" s="4">
        <v>0.75</v>
      </c>
      <c r="N7" s="4">
        <v>8.9599999999999999E-2</v>
      </c>
      <c r="O7" s="4">
        <v>0</v>
      </c>
      <c r="P7" s="4">
        <v>1</v>
      </c>
      <c r="Q7" s="8">
        <v>1</v>
      </c>
    </row>
    <row r="8" spans="1:17" x14ac:dyDescent="0.25">
      <c r="A8" s="7">
        <v>7</v>
      </c>
      <c r="B8" s="3">
        <v>40544</v>
      </c>
      <c r="C8" s="2">
        <v>1</v>
      </c>
      <c r="D8" s="2">
        <v>0</v>
      </c>
      <c r="E8" s="2">
        <v>1</v>
      </c>
      <c r="F8" s="2">
        <v>6</v>
      </c>
      <c r="G8" s="2" t="str" cm="1">
        <f t="array" ref="G8">_xlfn.IFS(F8&lt;3,"Night",F8&lt;=6,"Early Morning",F8&lt;8,"Morning",F8&lt;10,"Late Morning",F8&lt;12,"Afternoon",F8&lt;16,"Afternoon",F8&lt;=18,"Early Evening",F8&lt;=20,"Evening",F8&lt;=22,"Late Evening",F8&lt;=23,"Night")</f>
        <v>Early Morning</v>
      </c>
      <c r="H8" s="2" t="b">
        <v>0</v>
      </c>
      <c r="I8" s="2">
        <v>6</v>
      </c>
      <c r="J8" s="2">
        <v>1</v>
      </c>
      <c r="K8" s="14">
        <v>0.22</v>
      </c>
      <c r="L8" s="4">
        <v>0.2727</v>
      </c>
      <c r="M8" s="4">
        <v>0.8</v>
      </c>
      <c r="N8" s="4">
        <v>0</v>
      </c>
      <c r="O8" s="4">
        <v>2</v>
      </c>
      <c r="P8" s="4">
        <v>0</v>
      </c>
      <c r="Q8" s="8">
        <v>2</v>
      </c>
    </row>
    <row r="9" spans="1:17" x14ac:dyDescent="0.25">
      <c r="A9" s="7">
        <v>8</v>
      </c>
      <c r="B9" s="3">
        <v>40544</v>
      </c>
      <c r="C9" s="2">
        <v>1</v>
      </c>
      <c r="D9" s="2">
        <v>0</v>
      </c>
      <c r="E9" s="2">
        <v>1</v>
      </c>
      <c r="F9" s="2">
        <v>7</v>
      </c>
      <c r="G9" s="2" t="str" cm="1">
        <f t="array" ref="G9">_xlfn.IFS(F9&lt;3,"Night",F9&lt;=6,"Early Morning",F9&lt;8,"Morning",F9&lt;10,"Late Morning",F9&lt;12,"Afternoon",F9&lt;16,"Afternoon",F9&lt;=18,"Early Evening",F9&lt;=20,"Evening",F9&lt;=22,"Late Evening",F9&lt;=23,"Night")</f>
        <v>Morning</v>
      </c>
      <c r="H9" s="2" t="b">
        <v>0</v>
      </c>
      <c r="I9" s="2">
        <v>6</v>
      </c>
      <c r="J9" s="2">
        <v>1</v>
      </c>
      <c r="K9" s="14">
        <v>0.2</v>
      </c>
      <c r="L9" s="4">
        <v>0.2576</v>
      </c>
      <c r="M9" s="4">
        <v>0.86</v>
      </c>
      <c r="N9" s="4">
        <v>0</v>
      </c>
      <c r="O9" s="4">
        <v>1</v>
      </c>
      <c r="P9" s="4">
        <v>2</v>
      </c>
      <c r="Q9" s="8">
        <v>3</v>
      </c>
    </row>
    <row r="10" spans="1:17" x14ac:dyDescent="0.25">
      <c r="A10" s="7">
        <v>9</v>
      </c>
      <c r="B10" s="3">
        <v>40544</v>
      </c>
      <c r="C10" s="2">
        <v>1</v>
      </c>
      <c r="D10" s="2">
        <v>0</v>
      </c>
      <c r="E10" s="2">
        <v>1</v>
      </c>
      <c r="F10" s="2">
        <v>8</v>
      </c>
      <c r="G10" s="2" t="str" cm="1">
        <f t="array" ref="G10">_xlfn.IFS(F10&lt;3,"Night",F10&lt;=6,"Early Morning",F10&lt;8,"Morning",F10&lt;10,"Late Morning",F10&lt;12,"Afternoon",F10&lt;16,"Afternoon",F10&lt;=18,"Early Evening",F10&lt;=20,"Evening",F10&lt;=22,"Late Evening",F10&lt;=23,"Night")</f>
        <v>Late Morning</v>
      </c>
      <c r="H10" s="2" t="b">
        <v>0</v>
      </c>
      <c r="I10" s="2">
        <v>6</v>
      </c>
      <c r="J10" s="2">
        <v>1</v>
      </c>
      <c r="K10" s="14">
        <v>0.24</v>
      </c>
      <c r="L10" s="4">
        <v>0.19989999999999999</v>
      </c>
      <c r="M10" s="4">
        <v>0.75</v>
      </c>
      <c r="N10" s="4">
        <v>0</v>
      </c>
      <c r="O10" s="4">
        <v>1</v>
      </c>
      <c r="P10" s="4">
        <v>7</v>
      </c>
      <c r="Q10" s="8">
        <v>8</v>
      </c>
    </row>
    <row r="11" spans="1:17" x14ac:dyDescent="0.25">
      <c r="A11" s="7">
        <v>10</v>
      </c>
      <c r="B11" s="3">
        <v>40544</v>
      </c>
      <c r="C11" s="2">
        <v>1</v>
      </c>
      <c r="D11" s="2">
        <v>0</v>
      </c>
      <c r="E11" s="2">
        <v>1</v>
      </c>
      <c r="F11" s="2">
        <v>9</v>
      </c>
      <c r="G11" s="2" t="str" cm="1">
        <f t="array" ref="G11">_xlfn.IFS(F11&lt;3,"Night",F11&lt;=6,"Early Morning",F11&lt;8,"Morning",F11&lt;10,"Late Morning",F11&lt;12,"Afternoon",F11&lt;16,"Afternoon",F11&lt;=18,"Early Evening",F11&lt;=20,"Evening",F11&lt;=22,"Late Evening",F11&lt;=23,"Night")</f>
        <v>Late Morning</v>
      </c>
      <c r="H11" s="2" t="b">
        <v>0</v>
      </c>
      <c r="I11" s="2">
        <v>6</v>
      </c>
      <c r="J11" s="2">
        <v>1</v>
      </c>
      <c r="K11" s="14">
        <v>0.32</v>
      </c>
      <c r="L11" s="4">
        <v>0.34849999999999998</v>
      </c>
      <c r="M11" s="4">
        <v>0.76</v>
      </c>
      <c r="N11" s="4">
        <v>0</v>
      </c>
      <c r="O11" s="4">
        <v>8</v>
      </c>
      <c r="P11" s="4">
        <v>6</v>
      </c>
      <c r="Q11" s="8">
        <v>14</v>
      </c>
    </row>
    <row r="12" spans="1:17" x14ac:dyDescent="0.25">
      <c r="A12" s="7">
        <v>11</v>
      </c>
      <c r="B12" s="3">
        <v>40544</v>
      </c>
      <c r="C12" s="2">
        <v>1</v>
      </c>
      <c r="D12" s="2">
        <v>0</v>
      </c>
      <c r="E12" s="2">
        <v>1</v>
      </c>
      <c r="F12" s="2">
        <v>10</v>
      </c>
      <c r="G12" s="2" t="str" cm="1">
        <f t="array" ref="G12">_xlfn.IFS(F12&lt;3,"Night",F12&lt;=6,"Early Morning",F12&lt;8,"Morning",F12&lt;10,"Late Morning",F12&lt;12,"Afternoon",F12&lt;16,"Afternoon",F12&lt;=18,"Early Evening",F12&lt;=20,"Evening",F12&lt;=22,"Late Evening",F12&lt;=23,"Night")</f>
        <v>Afternoon</v>
      </c>
      <c r="H12" s="2" t="b">
        <v>0</v>
      </c>
      <c r="I12" s="2">
        <v>6</v>
      </c>
      <c r="J12" s="2">
        <v>1</v>
      </c>
      <c r="K12" s="14">
        <v>0.38</v>
      </c>
      <c r="L12" s="4">
        <v>0.39389999999999997</v>
      </c>
      <c r="M12" s="4">
        <v>0.76</v>
      </c>
      <c r="N12" s="4">
        <v>0.25369999999999998</v>
      </c>
      <c r="O12" s="4">
        <v>12</v>
      </c>
      <c r="P12" s="4">
        <v>24</v>
      </c>
      <c r="Q12" s="8">
        <v>36</v>
      </c>
    </row>
    <row r="13" spans="1:17" x14ac:dyDescent="0.25">
      <c r="A13" s="7">
        <v>12</v>
      </c>
      <c r="B13" s="3">
        <v>40544</v>
      </c>
      <c r="C13" s="2">
        <v>1</v>
      </c>
      <c r="D13" s="2">
        <v>0</v>
      </c>
      <c r="E13" s="2">
        <v>1</v>
      </c>
      <c r="F13" s="2">
        <v>11</v>
      </c>
      <c r="G13" s="2" t="str" cm="1">
        <f t="array" ref="G13">_xlfn.IFS(F13&lt;3,"Night",F13&lt;=6,"Early Morning",F13&lt;8,"Morning",F13&lt;10,"Late Morning",F13&lt;12,"Afternoon",F13&lt;16,"Afternoon",F13&lt;=18,"Early Evening",F13&lt;=20,"Evening",F13&lt;=22,"Late Evening",F13&lt;=23,"Night")</f>
        <v>Afternoon</v>
      </c>
      <c r="H13" s="2" t="b">
        <v>0</v>
      </c>
      <c r="I13" s="2">
        <v>6</v>
      </c>
      <c r="J13" s="2">
        <v>1</v>
      </c>
      <c r="K13" s="14">
        <v>0.36</v>
      </c>
      <c r="L13" s="4">
        <v>0.33329999999999999</v>
      </c>
      <c r="M13" s="4">
        <v>0.81</v>
      </c>
      <c r="N13" s="4">
        <v>0.28360000000000002</v>
      </c>
      <c r="O13" s="4">
        <v>26</v>
      </c>
      <c r="P13" s="4">
        <v>30</v>
      </c>
      <c r="Q13" s="8">
        <v>56</v>
      </c>
    </row>
    <row r="14" spans="1:17" x14ac:dyDescent="0.25">
      <c r="A14" s="7">
        <v>13</v>
      </c>
      <c r="B14" s="3">
        <v>40544</v>
      </c>
      <c r="C14" s="2">
        <v>1</v>
      </c>
      <c r="D14" s="2">
        <v>0</v>
      </c>
      <c r="E14" s="2">
        <v>1</v>
      </c>
      <c r="F14" s="2">
        <v>12</v>
      </c>
      <c r="G14" s="2" t="str" cm="1">
        <f t="array" ref="G14">_xlfn.IFS(F14&lt;3,"Night",F14&lt;=6,"Early Morning",F14&lt;8,"Morning",F14&lt;10,"Late Morning",F14&lt;12,"Afternoon",F14&lt;16,"Afternoon",F14&lt;=18,"Early Evening",F14&lt;=20,"Evening",F14&lt;=22,"Late Evening",F14&lt;=23,"Night")</f>
        <v>Afternoon</v>
      </c>
      <c r="H14" s="2" t="b">
        <v>0</v>
      </c>
      <c r="I14" s="2">
        <v>6</v>
      </c>
      <c r="J14" s="2">
        <v>1</v>
      </c>
      <c r="K14" s="14">
        <v>0.42</v>
      </c>
      <c r="L14" s="4">
        <v>0.42420000000000002</v>
      </c>
      <c r="M14" s="4">
        <v>0.77</v>
      </c>
      <c r="N14" s="4">
        <v>0.28360000000000002</v>
      </c>
      <c r="O14" s="4">
        <v>29</v>
      </c>
      <c r="P14" s="4">
        <v>55</v>
      </c>
      <c r="Q14" s="8">
        <v>84</v>
      </c>
    </row>
    <row r="15" spans="1:17" x14ac:dyDescent="0.25">
      <c r="A15" s="7">
        <v>14</v>
      </c>
      <c r="B15" s="3">
        <v>40544</v>
      </c>
      <c r="C15" s="2">
        <v>1</v>
      </c>
      <c r="D15" s="2">
        <v>0</v>
      </c>
      <c r="E15" s="2">
        <v>1</v>
      </c>
      <c r="F15" s="2">
        <v>13</v>
      </c>
      <c r="G15" s="2" t="str" cm="1">
        <f t="array" ref="G15">_xlfn.IFS(F15&lt;3,"Night",F15&lt;=6,"Early Morning",F15&lt;8,"Morning",F15&lt;10,"Late Morning",F15&lt;12,"Afternoon",F15&lt;16,"Afternoon",F15&lt;=18,"Early Evening",F15&lt;=20,"Evening",F15&lt;=22,"Late Evening",F15&lt;=23,"Night")</f>
        <v>Afternoon</v>
      </c>
      <c r="H15" s="2" t="b">
        <v>0</v>
      </c>
      <c r="I15" s="2">
        <v>6</v>
      </c>
      <c r="J15" s="2">
        <v>2</v>
      </c>
      <c r="K15" s="14">
        <v>0.46</v>
      </c>
      <c r="L15" s="4">
        <v>0.45450000000000002</v>
      </c>
      <c r="M15" s="4">
        <v>0.72</v>
      </c>
      <c r="N15" s="4">
        <v>0.29849999999999999</v>
      </c>
      <c r="O15" s="4">
        <v>47</v>
      </c>
      <c r="P15" s="4">
        <v>47</v>
      </c>
      <c r="Q15" s="8">
        <v>94</v>
      </c>
    </row>
    <row r="16" spans="1:17" x14ac:dyDescent="0.25">
      <c r="A16" s="7">
        <v>15</v>
      </c>
      <c r="B16" s="3">
        <v>40544</v>
      </c>
      <c r="C16" s="2">
        <v>1</v>
      </c>
      <c r="D16" s="2">
        <v>0</v>
      </c>
      <c r="E16" s="2">
        <v>1</v>
      </c>
      <c r="F16" s="2">
        <v>14</v>
      </c>
      <c r="G16" s="2" t="str" cm="1">
        <f t="array" ref="G16">_xlfn.IFS(F16&lt;3,"Night",F16&lt;=6,"Early Morning",F16&lt;8,"Morning",F16&lt;10,"Late Morning",F16&lt;12,"Afternoon",F16&lt;16,"Afternoon",F16&lt;=18,"Early Evening",F16&lt;=20,"Evening",F16&lt;=22,"Late Evening",F16&lt;=23,"Night")</f>
        <v>Afternoon</v>
      </c>
      <c r="H16" s="2" t="b">
        <v>0</v>
      </c>
      <c r="I16" s="2">
        <v>6</v>
      </c>
      <c r="J16" s="2">
        <v>2</v>
      </c>
      <c r="K16" s="14">
        <v>0.46</v>
      </c>
      <c r="L16" s="4">
        <v>0.45450000000000002</v>
      </c>
      <c r="M16" s="4">
        <v>0.72</v>
      </c>
      <c r="N16" s="4">
        <v>0.28360000000000002</v>
      </c>
      <c r="O16" s="4">
        <v>35</v>
      </c>
      <c r="P16" s="4">
        <v>71</v>
      </c>
      <c r="Q16" s="8">
        <v>106</v>
      </c>
    </row>
    <row r="17" spans="1:17" x14ac:dyDescent="0.25">
      <c r="A17" s="7">
        <v>16</v>
      </c>
      <c r="B17" s="3">
        <v>40544</v>
      </c>
      <c r="C17" s="2">
        <v>1</v>
      </c>
      <c r="D17" s="2">
        <v>0</v>
      </c>
      <c r="E17" s="2">
        <v>1</v>
      </c>
      <c r="F17" s="2">
        <v>15</v>
      </c>
      <c r="G17" s="2" t="str" cm="1">
        <f t="array" ref="G17">_xlfn.IFS(F17&lt;3,"Night",F17&lt;=6,"Early Morning",F17&lt;8,"Morning",F17&lt;10,"Late Morning",F17&lt;12,"Afternoon",F17&lt;16,"Afternoon",F17&lt;=18,"Early Evening",F17&lt;=20,"Evening",F17&lt;=22,"Late Evening",F17&lt;=23,"Night")</f>
        <v>Afternoon</v>
      </c>
      <c r="H17" s="2" t="b">
        <v>0</v>
      </c>
      <c r="I17" s="2">
        <v>6</v>
      </c>
      <c r="J17" s="2">
        <v>2</v>
      </c>
      <c r="K17" s="14">
        <v>0.44</v>
      </c>
      <c r="L17" s="4">
        <v>0.43940000000000001</v>
      </c>
      <c r="M17" s="4">
        <v>0.77</v>
      </c>
      <c r="N17" s="4">
        <v>0.29849999999999999</v>
      </c>
      <c r="O17" s="4">
        <v>40</v>
      </c>
      <c r="P17" s="4">
        <v>70</v>
      </c>
      <c r="Q17" s="8">
        <v>110</v>
      </c>
    </row>
    <row r="18" spans="1:17" x14ac:dyDescent="0.25">
      <c r="A18" s="7">
        <v>17</v>
      </c>
      <c r="B18" s="3">
        <v>40544</v>
      </c>
      <c r="C18" s="2">
        <v>1</v>
      </c>
      <c r="D18" s="2">
        <v>0</v>
      </c>
      <c r="E18" s="2">
        <v>1</v>
      </c>
      <c r="F18" s="2">
        <v>16</v>
      </c>
      <c r="G18" s="2" t="str" cm="1">
        <f t="array" ref="G18">_xlfn.IFS(F18&lt;3,"Night",F18&lt;=6,"Early Morning",F18&lt;8,"Morning",F18&lt;10,"Late Morning",F18&lt;12,"Afternoon",F18&lt;16,"Afternoon",F18&lt;=18,"Early Evening",F18&lt;=20,"Evening",F18&lt;=22,"Late Evening",F18&lt;=23,"Night")</f>
        <v>Early Evening</v>
      </c>
      <c r="H18" s="2" t="b">
        <v>0</v>
      </c>
      <c r="I18" s="2">
        <v>6</v>
      </c>
      <c r="J18" s="2">
        <v>2</v>
      </c>
      <c r="K18" s="14">
        <v>0.42</v>
      </c>
      <c r="L18" s="4">
        <v>0.42420000000000002</v>
      </c>
      <c r="M18" s="4">
        <v>0.82</v>
      </c>
      <c r="N18" s="4">
        <v>0.29849999999999999</v>
      </c>
      <c r="O18" s="4">
        <v>41</v>
      </c>
      <c r="P18" s="4">
        <v>52</v>
      </c>
      <c r="Q18" s="8">
        <v>93</v>
      </c>
    </row>
    <row r="19" spans="1:17" x14ac:dyDescent="0.25">
      <c r="A19" s="7">
        <v>18</v>
      </c>
      <c r="B19" s="3">
        <v>40544</v>
      </c>
      <c r="C19" s="2">
        <v>1</v>
      </c>
      <c r="D19" s="2">
        <v>0</v>
      </c>
      <c r="E19" s="2">
        <v>1</v>
      </c>
      <c r="F19" s="2">
        <v>17</v>
      </c>
      <c r="G19" s="2" t="str" cm="1">
        <f t="array" ref="G19">_xlfn.IFS(F19&lt;3,"Night",F19&lt;=6,"Early Morning",F19&lt;8,"Morning",F19&lt;10,"Late Morning",F19&lt;12,"Afternoon",F19&lt;16,"Afternoon",F19&lt;=18,"Early Evening",F19&lt;=20,"Evening",F19&lt;=22,"Late Evening",F19&lt;=23,"Night")</f>
        <v>Early Evening</v>
      </c>
      <c r="H19" s="2" t="b">
        <v>0</v>
      </c>
      <c r="I19" s="2">
        <v>6</v>
      </c>
      <c r="J19" s="2">
        <v>2</v>
      </c>
      <c r="K19" s="14">
        <v>0.44</v>
      </c>
      <c r="L19" s="4">
        <v>0.19989999999999999</v>
      </c>
      <c r="M19" s="4">
        <v>0.82</v>
      </c>
      <c r="N19" s="4">
        <v>0.28360000000000002</v>
      </c>
      <c r="O19" s="4">
        <v>15</v>
      </c>
      <c r="P19" s="4">
        <v>52</v>
      </c>
      <c r="Q19" s="8">
        <v>67</v>
      </c>
    </row>
    <row r="20" spans="1:17" x14ac:dyDescent="0.25">
      <c r="A20" s="7">
        <v>19</v>
      </c>
      <c r="B20" s="3">
        <v>40544</v>
      </c>
      <c r="C20" s="2">
        <v>1</v>
      </c>
      <c r="D20" s="2">
        <v>0</v>
      </c>
      <c r="E20" s="2">
        <v>1</v>
      </c>
      <c r="F20" s="2">
        <v>18</v>
      </c>
      <c r="G20" s="2" t="str" cm="1">
        <f t="array" ref="G20">_xlfn.IFS(F20&lt;3,"Night",F20&lt;=6,"Early Morning",F20&lt;8,"Morning",F20&lt;10,"Late Morning",F20&lt;12,"Afternoon",F20&lt;16,"Afternoon",F20&lt;=18,"Early Evening",F20&lt;=20,"Evening",F20&lt;=22,"Late Evening",F20&lt;=23,"Night")</f>
        <v>Early Evening</v>
      </c>
      <c r="H20" s="2" t="b">
        <v>0</v>
      </c>
      <c r="I20" s="2">
        <v>6</v>
      </c>
      <c r="J20" s="2">
        <v>3</v>
      </c>
      <c r="K20" s="14">
        <v>0.42</v>
      </c>
      <c r="L20" s="4">
        <v>0.42420000000000002</v>
      </c>
      <c r="M20" s="4">
        <v>0.88</v>
      </c>
      <c r="N20" s="4">
        <v>0.25369999999999998</v>
      </c>
      <c r="O20" s="4">
        <v>9</v>
      </c>
      <c r="P20" s="4">
        <v>26</v>
      </c>
      <c r="Q20" s="8">
        <v>35</v>
      </c>
    </row>
    <row r="21" spans="1:17" x14ac:dyDescent="0.25">
      <c r="A21" s="7">
        <v>20</v>
      </c>
      <c r="B21" s="3">
        <v>40544</v>
      </c>
      <c r="C21" s="2">
        <v>1</v>
      </c>
      <c r="D21" s="2">
        <v>0</v>
      </c>
      <c r="E21" s="2">
        <v>1</v>
      </c>
      <c r="F21" s="2">
        <v>19</v>
      </c>
      <c r="G21" s="2" t="str" cm="1">
        <f t="array" ref="G21">_xlfn.IFS(F21&lt;3,"Night",F21&lt;=6,"Early Morning",F21&lt;8,"Morning",F21&lt;10,"Late Morning",F21&lt;12,"Afternoon",F21&lt;16,"Afternoon",F21&lt;=18,"Early Evening",F21&lt;=20,"Evening",F21&lt;=22,"Late Evening",F21&lt;=23,"Night")</f>
        <v>Evening</v>
      </c>
      <c r="H21" s="2" t="b">
        <v>0</v>
      </c>
      <c r="I21" s="2">
        <v>6</v>
      </c>
      <c r="J21" s="2">
        <v>3</v>
      </c>
      <c r="K21" s="14">
        <v>0.42</v>
      </c>
      <c r="L21" s="4">
        <v>0.42420000000000002</v>
      </c>
      <c r="M21" s="4">
        <v>0.88</v>
      </c>
      <c r="N21" s="4">
        <v>0.25369999999999998</v>
      </c>
      <c r="O21" s="4">
        <v>6</v>
      </c>
      <c r="P21" s="4">
        <v>31</v>
      </c>
      <c r="Q21" s="8">
        <v>37</v>
      </c>
    </row>
    <row r="22" spans="1:17" x14ac:dyDescent="0.25">
      <c r="A22" s="7">
        <v>21</v>
      </c>
      <c r="B22" s="3">
        <v>40544</v>
      </c>
      <c r="C22" s="2">
        <v>1</v>
      </c>
      <c r="D22" s="2">
        <v>0</v>
      </c>
      <c r="E22" s="2">
        <v>1</v>
      </c>
      <c r="F22" s="2">
        <v>20</v>
      </c>
      <c r="G22" s="2" t="str" cm="1">
        <f t="array" ref="G22">_xlfn.IFS(F22&lt;3,"Night",F22&lt;=6,"Early Morning",F22&lt;8,"Morning",F22&lt;10,"Late Morning",F22&lt;12,"Afternoon",F22&lt;16,"Afternoon",F22&lt;=18,"Early Evening",F22&lt;=20,"Evening",F22&lt;=22,"Late Evening",F22&lt;=23,"Night")</f>
        <v>Evening</v>
      </c>
      <c r="H22" s="2" t="b">
        <v>0</v>
      </c>
      <c r="I22" s="2">
        <v>6</v>
      </c>
      <c r="J22" s="2">
        <v>2</v>
      </c>
      <c r="K22" s="14">
        <v>0.4</v>
      </c>
      <c r="L22" s="4">
        <v>0.40910000000000002</v>
      </c>
      <c r="M22" s="4">
        <v>0.87</v>
      </c>
      <c r="N22" s="4">
        <v>0.25369999999999998</v>
      </c>
      <c r="O22" s="4">
        <v>11</v>
      </c>
      <c r="P22" s="4">
        <v>25</v>
      </c>
      <c r="Q22" s="8">
        <v>36</v>
      </c>
    </row>
    <row r="23" spans="1:17" x14ac:dyDescent="0.25">
      <c r="A23" s="7">
        <v>22</v>
      </c>
      <c r="B23" s="3">
        <v>40544</v>
      </c>
      <c r="C23" s="2">
        <v>1</v>
      </c>
      <c r="D23" s="2">
        <v>0</v>
      </c>
      <c r="E23" s="2">
        <v>1</v>
      </c>
      <c r="F23" s="2">
        <v>21</v>
      </c>
      <c r="G23" s="2" t="str" cm="1">
        <f t="array" ref="G23">_xlfn.IFS(F23&lt;3,"Night",F23&lt;=6,"Early Morning",F23&lt;8,"Morning",F23&lt;10,"Late Morning",F23&lt;12,"Afternoon",F23&lt;16,"Afternoon",F23&lt;=18,"Early Evening",F23&lt;=20,"Evening",F23&lt;=22,"Late Evening",F23&lt;=23,"Night")</f>
        <v>Late Evening</v>
      </c>
      <c r="H23" s="2" t="b">
        <v>0</v>
      </c>
      <c r="I23" s="2">
        <v>6</v>
      </c>
      <c r="J23" s="2">
        <v>2</v>
      </c>
      <c r="K23" s="14">
        <v>0.4</v>
      </c>
      <c r="L23" s="4">
        <v>0.40910000000000002</v>
      </c>
      <c r="M23" s="4">
        <v>0.87</v>
      </c>
      <c r="N23" s="4">
        <v>0.19400000000000001</v>
      </c>
      <c r="O23" s="4">
        <v>3</v>
      </c>
      <c r="P23" s="4">
        <v>31</v>
      </c>
      <c r="Q23" s="8">
        <v>34</v>
      </c>
    </row>
    <row r="24" spans="1:17" x14ac:dyDescent="0.25">
      <c r="A24" s="7">
        <v>23</v>
      </c>
      <c r="B24" s="3">
        <v>40544</v>
      </c>
      <c r="C24" s="2">
        <v>1</v>
      </c>
      <c r="D24" s="2">
        <v>0</v>
      </c>
      <c r="E24" s="2">
        <v>1</v>
      </c>
      <c r="F24" s="2">
        <v>22</v>
      </c>
      <c r="G24" s="2" t="str" cm="1">
        <f t="array" ref="G24">_xlfn.IFS(F24&lt;3,"Night",F24&lt;=6,"Early Morning",F24&lt;8,"Morning",F24&lt;10,"Late Morning",F24&lt;12,"Afternoon",F24&lt;16,"Afternoon",F24&lt;=18,"Early Evening",F24&lt;=20,"Evening",F24&lt;=22,"Late Evening",F24&lt;=23,"Night")</f>
        <v>Late Evening</v>
      </c>
      <c r="H24" s="2" t="b">
        <v>0</v>
      </c>
      <c r="I24" s="2">
        <v>6</v>
      </c>
      <c r="J24" s="2">
        <v>2</v>
      </c>
      <c r="K24" s="14">
        <v>0.4</v>
      </c>
      <c r="L24" s="4">
        <v>0.40910000000000002</v>
      </c>
      <c r="M24" s="4">
        <v>0.94</v>
      </c>
      <c r="N24" s="4">
        <v>0.22389999999999999</v>
      </c>
      <c r="O24" s="4">
        <v>11</v>
      </c>
      <c r="P24" s="4">
        <v>17</v>
      </c>
      <c r="Q24" s="8">
        <v>28</v>
      </c>
    </row>
    <row r="25" spans="1:17" x14ac:dyDescent="0.25">
      <c r="A25" s="7">
        <v>24</v>
      </c>
      <c r="B25" s="3">
        <v>40544</v>
      </c>
      <c r="C25" s="2">
        <v>1</v>
      </c>
      <c r="D25" s="2">
        <v>0</v>
      </c>
      <c r="E25" s="2">
        <v>1</v>
      </c>
      <c r="F25" s="2">
        <v>23</v>
      </c>
      <c r="G25" s="2" t="str" cm="1">
        <f t="array" ref="G25">_xlfn.IFS(F25&lt;3,"Night",F25&lt;=6,"Early Morning",F25&lt;8,"Morning",F25&lt;10,"Late Morning",F25&lt;12,"Afternoon",F25&lt;16,"Afternoon",F25&lt;=18,"Early Evening",F25&lt;=20,"Evening",F25&lt;=22,"Late Evening",F25&lt;=23,"Night")</f>
        <v>Night</v>
      </c>
      <c r="H25" s="2" t="b">
        <v>0</v>
      </c>
      <c r="I25" s="2">
        <v>6</v>
      </c>
      <c r="J25" s="2">
        <v>2</v>
      </c>
      <c r="K25" s="14">
        <v>0.46</v>
      </c>
      <c r="L25" s="4">
        <v>0.19989999999999999</v>
      </c>
      <c r="M25" s="4">
        <v>0.88</v>
      </c>
      <c r="N25" s="4">
        <v>0.29849999999999999</v>
      </c>
      <c r="O25" s="4">
        <v>15</v>
      </c>
      <c r="P25" s="4">
        <v>24</v>
      </c>
      <c r="Q25" s="8">
        <v>39</v>
      </c>
    </row>
    <row r="26" spans="1:17" x14ac:dyDescent="0.25">
      <c r="A26" s="7">
        <v>25</v>
      </c>
      <c r="B26" s="3">
        <v>40545</v>
      </c>
      <c r="C26" s="2">
        <v>1</v>
      </c>
      <c r="D26" s="2">
        <v>0</v>
      </c>
      <c r="E26" s="2">
        <v>1</v>
      </c>
      <c r="F26" s="2">
        <v>0</v>
      </c>
      <c r="G26" s="2" t="str" cm="1">
        <f t="array" ref="G26">_xlfn.IFS(F26&lt;3,"Night",F26&lt;=6,"Early Morning",F26&lt;8,"Morning",F26&lt;10,"Late Morning",F26&lt;12,"Afternoon",F26&lt;16,"Afternoon",F26&lt;=18,"Early Evening",F26&lt;=20,"Evening",F26&lt;=22,"Late Evening",F26&lt;=23,"Night")</f>
        <v>Night</v>
      </c>
      <c r="H26" s="2" t="b">
        <v>0</v>
      </c>
      <c r="I26" s="2">
        <v>0</v>
      </c>
      <c r="J26" s="2">
        <v>2</v>
      </c>
      <c r="K26" s="14">
        <v>0.46</v>
      </c>
      <c r="L26" s="4">
        <v>0.45450000000000002</v>
      </c>
      <c r="M26" s="4">
        <v>0.88</v>
      </c>
      <c r="N26" s="4">
        <v>0.29849999999999999</v>
      </c>
      <c r="O26" s="4">
        <v>4</v>
      </c>
      <c r="P26" s="4">
        <v>13</v>
      </c>
      <c r="Q26" s="8">
        <v>17</v>
      </c>
    </row>
    <row r="27" spans="1:17" x14ac:dyDescent="0.25">
      <c r="A27" s="7">
        <v>26</v>
      </c>
      <c r="B27" s="3">
        <v>40545</v>
      </c>
      <c r="C27" s="2">
        <v>1</v>
      </c>
      <c r="D27" s="2">
        <v>0</v>
      </c>
      <c r="E27" s="2">
        <v>1</v>
      </c>
      <c r="F27" s="2">
        <v>1</v>
      </c>
      <c r="G27" s="2" t="str" cm="1">
        <f t="array" ref="G27">_xlfn.IFS(F27&lt;3,"Night",F27&lt;=6,"Early Morning",F27&lt;8,"Morning",F27&lt;10,"Late Morning",F27&lt;12,"Afternoon",F27&lt;16,"Afternoon",F27&lt;=18,"Early Evening",F27&lt;=20,"Evening",F27&lt;=22,"Late Evening",F27&lt;=23,"Night")</f>
        <v>Night</v>
      </c>
      <c r="H27" s="2" t="b">
        <v>0</v>
      </c>
      <c r="I27" s="2">
        <v>0</v>
      </c>
      <c r="J27" s="2">
        <v>2</v>
      </c>
      <c r="K27" s="14">
        <v>0.44</v>
      </c>
      <c r="L27" s="4">
        <v>0.43940000000000001</v>
      </c>
      <c r="M27" s="4">
        <v>0.94</v>
      </c>
      <c r="N27" s="4">
        <v>0.25369999999999998</v>
      </c>
      <c r="O27" s="4">
        <v>1</v>
      </c>
      <c r="P27" s="4">
        <v>16</v>
      </c>
      <c r="Q27" s="8">
        <v>17</v>
      </c>
    </row>
    <row r="28" spans="1:17" x14ac:dyDescent="0.25">
      <c r="A28" s="7">
        <v>27</v>
      </c>
      <c r="B28" s="3">
        <v>40545</v>
      </c>
      <c r="C28" s="2">
        <v>1</v>
      </c>
      <c r="D28" s="2">
        <v>0</v>
      </c>
      <c r="E28" s="2">
        <v>1</v>
      </c>
      <c r="F28" s="2">
        <v>2</v>
      </c>
      <c r="G28" s="2" t="str" cm="1">
        <f t="array" ref="G28">_xlfn.IFS(F28&lt;3,"Night",F28&lt;=6,"Early Morning",F28&lt;8,"Morning",F28&lt;10,"Late Morning",F28&lt;12,"Afternoon",F28&lt;16,"Afternoon",F28&lt;=18,"Early Evening",F28&lt;=20,"Evening",F28&lt;=22,"Late Evening",F28&lt;=23,"Night")</f>
        <v>Night</v>
      </c>
      <c r="H28" s="2" t="b">
        <v>0</v>
      </c>
      <c r="I28" s="2">
        <v>0</v>
      </c>
      <c r="J28" s="2">
        <v>2</v>
      </c>
      <c r="K28" s="14">
        <v>0.42</v>
      </c>
      <c r="L28" s="4">
        <v>0.42420000000000002</v>
      </c>
      <c r="M28" s="4">
        <v>1</v>
      </c>
      <c r="N28" s="4">
        <v>0.28360000000000002</v>
      </c>
      <c r="O28" s="4">
        <v>1</v>
      </c>
      <c r="P28" s="4">
        <v>8</v>
      </c>
      <c r="Q28" s="8">
        <v>9</v>
      </c>
    </row>
    <row r="29" spans="1:17" x14ac:dyDescent="0.25">
      <c r="A29" s="7">
        <v>28</v>
      </c>
      <c r="B29" s="3">
        <v>40545</v>
      </c>
      <c r="C29" s="2">
        <v>1</v>
      </c>
      <c r="D29" s="2">
        <v>0</v>
      </c>
      <c r="E29" s="2">
        <v>1</v>
      </c>
      <c r="F29" s="2">
        <v>3</v>
      </c>
      <c r="G29" s="2" t="str" cm="1">
        <f t="array" ref="G29">_xlfn.IFS(F29&lt;3,"Night",F29&lt;=6,"Early Morning",F29&lt;8,"Morning",F29&lt;10,"Late Morning",F29&lt;12,"Afternoon",F29&lt;16,"Afternoon",F29&lt;=18,"Early Evening",F29&lt;=20,"Evening",F29&lt;=22,"Late Evening",F29&lt;=23,"Night")</f>
        <v>Early Morning</v>
      </c>
      <c r="H29" s="2" t="b">
        <v>0</v>
      </c>
      <c r="I29" s="2">
        <v>0</v>
      </c>
      <c r="J29" s="2">
        <v>2</v>
      </c>
      <c r="K29" s="14">
        <v>0.46</v>
      </c>
      <c r="L29" s="4">
        <v>0.45450000000000002</v>
      </c>
      <c r="M29" s="4">
        <v>0.94</v>
      </c>
      <c r="N29" s="4">
        <v>0.19400000000000001</v>
      </c>
      <c r="O29" s="4">
        <v>2</v>
      </c>
      <c r="P29" s="4">
        <v>4</v>
      </c>
      <c r="Q29" s="8">
        <v>6</v>
      </c>
    </row>
    <row r="30" spans="1:17" x14ac:dyDescent="0.25">
      <c r="A30" s="7">
        <v>29</v>
      </c>
      <c r="B30" s="3">
        <v>40545</v>
      </c>
      <c r="C30" s="2">
        <v>1</v>
      </c>
      <c r="D30" s="2">
        <v>0</v>
      </c>
      <c r="E30" s="2">
        <v>1</v>
      </c>
      <c r="F30" s="2">
        <v>4</v>
      </c>
      <c r="G30" s="2" t="str" cm="1">
        <f t="array" ref="G30">_xlfn.IFS(F30&lt;3,"Night",F30&lt;=6,"Early Morning",F30&lt;8,"Morning",F30&lt;10,"Late Morning",F30&lt;12,"Afternoon",F30&lt;16,"Afternoon",F30&lt;=18,"Early Evening",F30&lt;=20,"Evening",F30&lt;=22,"Late Evening",F30&lt;=23,"Night")</f>
        <v>Early Morning</v>
      </c>
      <c r="H30" s="2" t="b">
        <v>0</v>
      </c>
      <c r="I30" s="2">
        <v>0</v>
      </c>
      <c r="J30" s="2">
        <v>2</v>
      </c>
      <c r="K30" s="14">
        <v>0.46</v>
      </c>
      <c r="L30" s="4">
        <v>0.19989999999999999</v>
      </c>
      <c r="M30" s="4">
        <v>0.94</v>
      </c>
      <c r="N30" s="4">
        <v>0.19400000000000001</v>
      </c>
      <c r="O30" s="4">
        <v>2</v>
      </c>
      <c r="P30" s="4">
        <v>1</v>
      </c>
      <c r="Q30" s="8">
        <v>3</v>
      </c>
    </row>
    <row r="31" spans="1:17" x14ac:dyDescent="0.25">
      <c r="A31" s="7">
        <v>30</v>
      </c>
      <c r="B31" s="3">
        <v>40545</v>
      </c>
      <c r="C31" s="2">
        <v>1</v>
      </c>
      <c r="D31" s="2">
        <v>0</v>
      </c>
      <c r="E31" s="2">
        <v>1</v>
      </c>
      <c r="F31" s="2">
        <v>6</v>
      </c>
      <c r="G31" s="2" t="str" cm="1">
        <f t="array" ref="G31">_xlfn.IFS(F31&lt;3,"Night",F31&lt;=6,"Early Morning",F31&lt;8,"Morning",F31&lt;10,"Late Morning",F31&lt;12,"Afternoon",F31&lt;16,"Afternoon",F31&lt;=18,"Early Evening",F31&lt;=20,"Evening",F31&lt;=22,"Late Evening",F31&lt;=23,"Night")</f>
        <v>Early Morning</v>
      </c>
      <c r="H31" s="2" t="b">
        <v>0</v>
      </c>
      <c r="I31" s="2">
        <v>0</v>
      </c>
      <c r="J31" s="2">
        <v>3</v>
      </c>
      <c r="K31" s="14">
        <v>0.42</v>
      </c>
      <c r="L31" s="4">
        <v>0.42420000000000002</v>
      </c>
      <c r="M31" s="4">
        <v>0.77</v>
      </c>
      <c r="N31" s="4">
        <v>0.29849999999999999</v>
      </c>
      <c r="O31" s="4">
        <v>0</v>
      </c>
      <c r="P31" s="4">
        <v>2</v>
      </c>
      <c r="Q31" s="8">
        <v>2</v>
      </c>
    </row>
    <row r="32" spans="1:17" x14ac:dyDescent="0.25">
      <c r="A32" s="7">
        <v>31</v>
      </c>
      <c r="B32" s="3">
        <v>40545</v>
      </c>
      <c r="C32" s="2">
        <v>1</v>
      </c>
      <c r="D32" s="2">
        <v>0</v>
      </c>
      <c r="E32" s="2">
        <v>1</v>
      </c>
      <c r="F32" s="2">
        <v>7</v>
      </c>
      <c r="G32" s="2" t="str" cm="1">
        <f t="array" ref="G32">_xlfn.IFS(F32&lt;3,"Night",F32&lt;=6,"Early Morning",F32&lt;8,"Morning",F32&lt;10,"Late Morning",F32&lt;12,"Afternoon",F32&lt;16,"Afternoon",F32&lt;=18,"Early Evening",F32&lt;=20,"Evening",F32&lt;=22,"Late Evening",F32&lt;=23,"Night")</f>
        <v>Morning</v>
      </c>
      <c r="H32" s="2" t="b">
        <v>0</v>
      </c>
      <c r="I32" s="2">
        <v>0</v>
      </c>
      <c r="J32" s="2">
        <v>2</v>
      </c>
      <c r="K32" s="14">
        <v>0.4</v>
      </c>
      <c r="L32" s="4">
        <v>0.40910000000000002</v>
      </c>
      <c r="M32" s="4">
        <v>0.76</v>
      </c>
      <c r="N32" s="4">
        <v>0.19400000000000001</v>
      </c>
      <c r="O32" s="4">
        <v>0</v>
      </c>
      <c r="P32" s="4">
        <v>1</v>
      </c>
      <c r="Q32" s="8">
        <v>1</v>
      </c>
    </row>
    <row r="33" spans="1:17" x14ac:dyDescent="0.25">
      <c r="A33" s="7">
        <v>32</v>
      </c>
      <c r="B33" s="3">
        <v>40545</v>
      </c>
      <c r="C33" s="2">
        <v>1</v>
      </c>
      <c r="D33" s="2">
        <v>0</v>
      </c>
      <c r="E33" s="2">
        <v>1</v>
      </c>
      <c r="F33" s="2">
        <v>8</v>
      </c>
      <c r="G33" s="2" t="str" cm="1">
        <f t="array" ref="G33">_xlfn.IFS(F33&lt;3,"Night",F33&lt;=6,"Early Morning",F33&lt;8,"Morning",F33&lt;10,"Late Morning",F33&lt;12,"Afternoon",F33&lt;16,"Afternoon",F33&lt;=18,"Early Evening",F33&lt;=20,"Evening",F33&lt;=22,"Late Evening",F33&lt;=23,"Night")</f>
        <v>Late Morning</v>
      </c>
      <c r="H33" s="2" t="b">
        <v>0</v>
      </c>
      <c r="I33" s="2">
        <v>0</v>
      </c>
      <c r="J33" s="2">
        <v>3</v>
      </c>
      <c r="K33" s="14">
        <v>0.4</v>
      </c>
      <c r="L33" s="4">
        <v>0.40910000000000002</v>
      </c>
      <c r="M33" s="4">
        <v>0.71</v>
      </c>
      <c r="N33" s="4">
        <v>0.22389999999999999</v>
      </c>
      <c r="O33" s="4">
        <v>0</v>
      </c>
      <c r="P33" s="4">
        <v>8</v>
      </c>
      <c r="Q33" s="8">
        <v>8</v>
      </c>
    </row>
    <row r="34" spans="1:17" x14ac:dyDescent="0.25">
      <c r="A34" s="7">
        <v>33</v>
      </c>
      <c r="B34" s="3">
        <v>40545</v>
      </c>
      <c r="C34" s="2">
        <v>1</v>
      </c>
      <c r="D34" s="2">
        <v>0</v>
      </c>
      <c r="E34" s="2">
        <v>1</v>
      </c>
      <c r="F34" s="2">
        <v>9</v>
      </c>
      <c r="G34" s="2" t="str" cm="1">
        <f t="array" ref="G34">_xlfn.IFS(F34&lt;3,"Night",F34&lt;=6,"Early Morning",F34&lt;8,"Morning",F34&lt;10,"Late Morning",F34&lt;12,"Afternoon",F34&lt;16,"Afternoon",F34&lt;=18,"Early Evening",F34&lt;=20,"Evening",F34&lt;=22,"Late Evening",F34&lt;=23,"Night")</f>
        <v>Late Morning</v>
      </c>
      <c r="H34" s="2" t="b">
        <v>0</v>
      </c>
      <c r="I34" s="2">
        <v>0</v>
      </c>
      <c r="J34" s="2">
        <v>2</v>
      </c>
      <c r="K34" s="14">
        <v>0.38</v>
      </c>
      <c r="L34" s="4">
        <v>0.19989999999999999</v>
      </c>
      <c r="M34" s="4">
        <v>0.76</v>
      </c>
      <c r="N34" s="4">
        <v>0.22389999999999999</v>
      </c>
      <c r="O34" s="4">
        <v>1</v>
      </c>
      <c r="P34" s="4">
        <v>19</v>
      </c>
      <c r="Q34" s="8">
        <v>20</v>
      </c>
    </row>
    <row r="35" spans="1:17" x14ac:dyDescent="0.25">
      <c r="A35" s="7">
        <v>34</v>
      </c>
      <c r="B35" s="3">
        <v>40545</v>
      </c>
      <c r="C35" s="2">
        <v>1</v>
      </c>
      <c r="D35" s="2">
        <v>0</v>
      </c>
      <c r="E35" s="2">
        <v>1</v>
      </c>
      <c r="F35" s="2">
        <v>10</v>
      </c>
      <c r="G35" s="2" t="str" cm="1">
        <f t="array" ref="G35">_xlfn.IFS(F35&lt;3,"Night",F35&lt;=6,"Early Morning",F35&lt;8,"Morning",F35&lt;10,"Late Morning",F35&lt;12,"Afternoon",F35&lt;16,"Afternoon",F35&lt;=18,"Early Evening",F35&lt;=20,"Evening",F35&lt;=22,"Late Evening",F35&lt;=23,"Night")</f>
        <v>Afternoon</v>
      </c>
      <c r="H35" s="2" t="b">
        <v>0</v>
      </c>
      <c r="I35" s="2">
        <v>0</v>
      </c>
      <c r="J35" s="2">
        <v>2</v>
      </c>
      <c r="K35" s="14">
        <v>0.36</v>
      </c>
      <c r="L35" s="4">
        <v>0.34849999999999998</v>
      </c>
      <c r="M35" s="4">
        <v>0.81</v>
      </c>
      <c r="N35" s="4">
        <v>0.22389999999999999</v>
      </c>
      <c r="O35" s="4">
        <v>7</v>
      </c>
      <c r="P35" s="4">
        <v>46</v>
      </c>
      <c r="Q35" s="8">
        <v>53</v>
      </c>
    </row>
    <row r="36" spans="1:17" x14ac:dyDescent="0.25">
      <c r="A36" s="7">
        <v>35</v>
      </c>
      <c r="B36" s="3">
        <v>40545</v>
      </c>
      <c r="C36" s="2">
        <v>1</v>
      </c>
      <c r="D36" s="2">
        <v>0</v>
      </c>
      <c r="E36" s="2">
        <v>1</v>
      </c>
      <c r="F36" s="2">
        <v>11</v>
      </c>
      <c r="G36" s="2" t="str" cm="1">
        <f t="array" ref="G36">_xlfn.IFS(F36&lt;3,"Night",F36&lt;=6,"Early Morning",F36&lt;8,"Morning",F36&lt;10,"Late Morning",F36&lt;12,"Afternoon",F36&lt;16,"Afternoon",F36&lt;=18,"Early Evening",F36&lt;=20,"Evening",F36&lt;=22,"Late Evening",F36&lt;=23,"Night")</f>
        <v>Afternoon</v>
      </c>
      <c r="H36" s="2" t="b">
        <v>0</v>
      </c>
      <c r="I36" s="2">
        <v>0</v>
      </c>
      <c r="J36" s="2">
        <v>2</v>
      </c>
      <c r="K36" s="14">
        <v>0.36</v>
      </c>
      <c r="L36" s="4">
        <v>0.33329999999999999</v>
      </c>
      <c r="M36" s="4">
        <v>0.71</v>
      </c>
      <c r="N36" s="4">
        <v>0.25369999999999998</v>
      </c>
      <c r="O36" s="4">
        <v>16</v>
      </c>
      <c r="P36" s="4">
        <v>54</v>
      </c>
      <c r="Q36" s="8">
        <v>70</v>
      </c>
    </row>
    <row r="37" spans="1:17" x14ac:dyDescent="0.25">
      <c r="A37" s="7">
        <v>36</v>
      </c>
      <c r="B37" s="3">
        <v>40545</v>
      </c>
      <c r="C37" s="2">
        <v>1</v>
      </c>
      <c r="D37" s="2">
        <v>0</v>
      </c>
      <c r="E37" s="2">
        <v>1</v>
      </c>
      <c r="F37" s="2">
        <v>12</v>
      </c>
      <c r="G37" s="2" t="str" cm="1">
        <f t="array" ref="G37">_xlfn.IFS(F37&lt;3,"Night",F37&lt;=6,"Early Morning",F37&lt;8,"Morning",F37&lt;10,"Late Morning",F37&lt;12,"Afternoon",F37&lt;16,"Afternoon",F37&lt;=18,"Early Evening",F37&lt;=20,"Evening",F37&lt;=22,"Late Evening",F37&lt;=23,"Night")</f>
        <v>Afternoon</v>
      </c>
      <c r="H37" s="2" t="b">
        <v>0</v>
      </c>
      <c r="I37" s="2">
        <v>0</v>
      </c>
      <c r="J37" s="2">
        <v>2</v>
      </c>
      <c r="K37" s="14">
        <v>0.36</v>
      </c>
      <c r="L37" s="4">
        <v>0.33329999999999999</v>
      </c>
      <c r="M37" s="4">
        <v>0.66</v>
      </c>
      <c r="N37" s="4">
        <v>0.29849999999999999</v>
      </c>
      <c r="O37" s="4">
        <v>20</v>
      </c>
      <c r="P37" s="4">
        <v>73</v>
      </c>
      <c r="Q37" s="8">
        <v>93</v>
      </c>
    </row>
    <row r="38" spans="1:17" x14ac:dyDescent="0.25">
      <c r="A38" s="7">
        <v>37</v>
      </c>
      <c r="B38" s="3">
        <v>40545</v>
      </c>
      <c r="C38" s="2">
        <v>1</v>
      </c>
      <c r="D38" s="2">
        <v>0</v>
      </c>
      <c r="E38" s="2">
        <v>1</v>
      </c>
      <c r="F38" s="2">
        <v>13</v>
      </c>
      <c r="G38" s="2" t="str" cm="1">
        <f t="array" ref="G38">_xlfn.IFS(F38&lt;3,"Night",F38&lt;=6,"Early Morning",F38&lt;8,"Morning",F38&lt;10,"Late Morning",F38&lt;12,"Afternoon",F38&lt;16,"Afternoon",F38&lt;=18,"Early Evening",F38&lt;=20,"Evening",F38&lt;=22,"Late Evening",F38&lt;=23,"Night")</f>
        <v>Afternoon</v>
      </c>
      <c r="H38" s="2" t="b">
        <v>0</v>
      </c>
      <c r="I38" s="2">
        <v>0</v>
      </c>
      <c r="J38" s="2">
        <v>2</v>
      </c>
      <c r="K38" s="14">
        <v>0.36</v>
      </c>
      <c r="L38" s="4">
        <v>0.34849999999999998</v>
      </c>
      <c r="M38" s="4">
        <v>0.66</v>
      </c>
      <c r="N38" s="4">
        <v>0.1343</v>
      </c>
      <c r="O38" s="4">
        <v>11</v>
      </c>
      <c r="P38" s="4">
        <v>64</v>
      </c>
      <c r="Q38" s="8">
        <v>75</v>
      </c>
    </row>
    <row r="39" spans="1:17" x14ac:dyDescent="0.25">
      <c r="A39" s="7">
        <v>38</v>
      </c>
      <c r="B39" s="3">
        <v>40545</v>
      </c>
      <c r="C39" s="2">
        <v>1</v>
      </c>
      <c r="D39" s="2">
        <v>0</v>
      </c>
      <c r="E39" s="2">
        <v>1</v>
      </c>
      <c r="F39" s="2">
        <v>14</v>
      </c>
      <c r="G39" s="2" t="str" cm="1">
        <f t="array" ref="G39">_xlfn.IFS(F39&lt;3,"Night",F39&lt;=6,"Early Morning",F39&lt;8,"Morning",F39&lt;10,"Late Morning",F39&lt;12,"Afternoon",F39&lt;16,"Afternoon",F39&lt;=18,"Early Evening",F39&lt;=20,"Evening",F39&lt;=22,"Late Evening",F39&lt;=23,"Night")</f>
        <v>Afternoon</v>
      </c>
      <c r="H39" s="2" t="b">
        <v>0</v>
      </c>
      <c r="I39" s="2">
        <v>0</v>
      </c>
      <c r="J39" s="2">
        <v>3</v>
      </c>
      <c r="K39" s="14">
        <v>0.36</v>
      </c>
      <c r="L39" s="4">
        <v>0.19989999999999999</v>
      </c>
      <c r="M39" s="4">
        <v>0.76</v>
      </c>
      <c r="N39" s="4">
        <v>0.19400000000000001</v>
      </c>
      <c r="O39" s="4">
        <v>4</v>
      </c>
      <c r="P39" s="4">
        <v>55</v>
      </c>
      <c r="Q39" s="8">
        <v>59</v>
      </c>
    </row>
    <row r="40" spans="1:17" x14ac:dyDescent="0.25">
      <c r="A40" s="7">
        <v>39</v>
      </c>
      <c r="B40" s="3">
        <v>40545</v>
      </c>
      <c r="C40" s="2">
        <v>1</v>
      </c>
      <c r="D40" s="2">
        <v>0</v>
      </c>
      <c r="E40" s="2">
        <v>1</v>
      </c>
      <c r="F40" s="2">
        <v>15</v>
      </c>
      <c r="G40" s="2" t="str" cm="1">
        <f t="array" ref="G40">_xlfn.IFS(F40&lt;3,"Night",F40&lt;=6,"Early Morning",F40&lt;8,"Morning",F40&lt;10,"Late Morning",F40&lt;12,"Afternoon",F40&lt;16,"Afternoon",F40&lt;=18,"Early Evening",F40&lt;=20,"Evening",F40&lt;=22,"Late Evening",F40&lt;=23,"Night")</f>
        <v>Afternoon</v>
      </c>
      <c r="H40" s="2" t="b">
        <v>0</v>
      </c>
      <c r="I40" s="2">
        <v>0</v>
      </c>
      <c r="J40" s="2">
        <v>3</v>
      </c>
      <c r="K40" s="14">
        <v>0.34</v>
      </c>
      <c r="L40" s="4">
        <v>0.33329999999999999</v>
      </c>
      <c r="M40" s="4">
        <v>0.81</v>
      </c>
      <c r="N40" s="4">
        <v>0.16420000000000001</v>
      </c>
      <c r="O40" s="4">
        <v>19</v>
      </c>
      <c r="P40" s="4">
        <v>55</v>
      </c>
      <c r="Q40" s="8">
        <v>74</v>
      </c>
    </row>
    <row r="41" spans="1:17" x14ac:dyDescent="0.25">
      <c r="A41" s="7">
        <v>40</v>
      </c>
      <c r="B41" s="3">
        <v>40545</v>
      </c>
      <c r="C41" s="2">
        <v>1</v>
      </c>
      <c r="D41" s="2">
        <v>0</v>
      </c>
      <c r="E41" s="2">
        <v>1</v>
      </c>
      <c r="F41" s="2">
        <v>16</v>
      </c>
      <c r="G41" s="2" t="str" cm="1">
        <f t="array" ref="G41">_xlfn.IFS(F41&lt;3,"Night",F41&lt;=6,"Early Morning",F41&lt;8,"Morning",F41&lt;10,"Late Morning",F41&lt;12,"Afternoon",F41&lt;16,"Afternoon",F41&lt;=18,"Early Evening",F41&lt;=20,"Evening",F41&lt;=22,"Late Evening",F41&lt;=23,"Night")</f>
        <v>Early Evening</v>
      </c>
      <c r="H41" s="2" t="b">
        <v>0</v>
      </c>
      <c r="I41" s="2">
        <v>0</v>
      </c>
      <c r="J41" s="2">
        <v>3</v>
      </c>
      <c r="K41" s="14">
        <v>0.34</v>
      </c>
      <c r="L41" s="4">
        <v>0.33329999999999999</v>
      </c>
      <c r="M41" s="4">
        <v>0.71</v>
      </c>
      <c r="N41" s="4">
        <v>0.16420000000000001</v>
      </c>
      <c r="O41" s="4">
        <v>9</v>
      </c>
      <c r="P41" s="4">
        <v>67</v>
      </c>
      <c r="Q41" s="8">
        <v>76</v>
      </c>
    </row>
    <row r="42" spans="1:17" x14ac:dyDescent="0.25">
      <c r="A42" s="7">
        <v>41</v>
      </c>
      <c r="B42" s="3">
        <v>40545</v>
      </c>
      <c r="C42" s="2">
        <v>1</v>
      </c>
      <c r="D42" s="2">
        <v>0</v>
      </c>
      <c r="E42" s="2">
        <v>1</v>
      </c>
      <c r="F42" s="2">
        <v>17</v>
      </c>
      <c r="G42" s="2" t="str" cm="1">
        <f t="array" ref="G42">_xlfn.IFS(F42&lt;3,"Night",F42&lt;=6,"Early Morning",F42&lt;8,"Morning",F42&lt;10,"Late Morning",F42&lt;12,"Afternoon",F42&lt;16,"Afternoon",F42&lt;=18,"Early Evening",F42&lt;=20,"Evening",F42&lt;=22,"Late Evening",F42&lt;=23,"Night")</f>
        <v>Early Evening</v>
      </c>
      <c r="H42" s="2" t="b">
        <v>0</v>
      </c>
      <c r="I42" s="2">
        <v>0</v>
      </c>
      <c r="J42" s="2">
        <v>1</v>
      </c>
      <c r="K42" s="14">
        <v>0.34</v>
      </c>
      <c r="L42" s="4">
        <v>0.33329999999999999</v>
      </c>
      <c r="M42" s="4">
        <v>0.56999999999999995</v>
      </c>
      <c r="N42" s="4">
        <v>0.19400000000000001</v>
      </c>
      <c r="O42" s="4">
        <v>7</v>
      </c>
      <c r="P42" s="4">
        <v>58</v>
      </c>
      <c r="Q42" s="8">
        <v>65</v>
      </c>
    </row>
    <row r="43" spans="1:17" x14ac:dyDescent="0.25">
      <c r="A43" s="7">
        <v>42</v>
      </c>
      <c r="B43" s="3">
        <v>40545</v>
      </c>
      <c r="C43" s="2">
        <v>1</v>
      </c>
      <c r="D43" s="2">
        <v>0</v>
      </c>
      <c r="E43" s="2">
        <v>1</v>
      </c>
      <c r="F43" s="2">
        <v>18</v>
      </c>
      <c r="G43" s="2" t="str" cm="1">
        <f t="array" ref="G43">_xlfn.IFS(F43&lt;3,"Night",F43&lt;=6,"Early Morning",F43&lt;8,"Morning",F43&lt;10,"Late Morning",F43&lt;12,"Afternoon",F43&lt;16,"Afternoon",F43&lt;=18,"Early Evening",F43&lt;=20,"Evening",F43&lt;=22,"Late Evening",F43&lt;=23,"Night")</f>
        <v>Early Evening</v>
      </c>
      <c r="H43" s="2" t="b">
        <v>0</v>
      </c>
      <c r="I43" s="2">
        <v>0</v>
      </c>
      <c r="J43" s="2">
        <v>2</v>
      </c>
      <c r="K43" s="14">
        <v>0.36</v>
      </c>
      <c r="L43" s="4">
        <v>0.33329999999999999</v>
      </c>
      <c r="M43" s="4">
        <v>0.46</v>
      </c>
      <c r="N43" s="4">
        <v>0.32840000000000003</v>
      </c>
      <c r="O43" s="4">
        <v>10</v>
      </c>
      <c r="P43" s="4">
        <v>43</v>
      </c>
      <c r="Q43" s="8">
        <v>53</v>
      </c>
    </row>
    <row r="44" spans="1:17" x14ac:dyDescent="0.25">
      <c r="A44" s="7">
        <v>43</v>
      </c>
      <c r="B44" s="3">
        <v>40545</v>
      </c>
      <c r="C44" s="2">
        <v>1</v>
      </c>
      <c r="D44" s="2">
        <v>0</v>
      </c>
      <c r="E44" s="2">
        <v>1</v>
      </c>
      <c r="F44" s="2">
        <v>19</v>
      </c>
      <c r="G44" s="2" t="str" cm="1">
        <f t="array" ref="G44">_xlfn.IFS(F44&lt;3,"Night",F44&lt;=6,"Early Morning",F44&lt;8,"Morning",F44&lt;10,"Late Morning",F44&lt;12,"Afternoon",F44&lt;16,"Afternoon",F44&lt;=18,"Early Evening",F44&lt;=20,"Evening",F44&lt;=22,"Late Evening",F44&lt;=23,"Night")</f>
        <v>Evening</v>
      </c>
      <c r="H44" s="2" t="b">
        <v>0</v>
      </c>
      <c r="I44" s="2">
        <v>0</v>
      </c>
      <c r="J44" s="2">
        <v>1</v>
      </c>
      <c r="K44" s="14">
        <v>0.32</v>
      </c>
      <c r="L44" s="4">
        <v>0.28789999999999999</v>
      </c>
      <c r="M44" s="4">
        <v>0.42</v>
      </c>
      <c r="N44" s="4">
        <v>0.44779999999999998</v>
      </c>
      <c r="O44" s="4">
        <v>1</v>
      </c>
      <c r="P44" s="4">
        <v>29</v>
      </c>
      <c r="Q44" s="8">
        <v>30</v>
      </c>
    </row>
    <row r="45" spans="1:17" x14ac:dyDescent="0.25">
      <c r="A45" s="7">
        <v>44</v>
      </c>
      <c r="B45" s="3">
        <v>40545</v>
      </c>
      <c r="C45" s="2">
        <v>1</v>
      </c>
      <c r="D45" s="2">
        <v>0</v>
      </c>
      <c r="E45" s="2">
        <v>1</v>
      </c>
      <c r="F45" s="2">
        <v>20</v>
      </c>
      <c r="G45" s="2" t="str" cm="1">
        <f t="array" ref="G45">_xlfn.IFS(F45&lt;3,"Night",F45&lt;=6,"Early Morning",F45&lt;8,"Morning",F45&lt;10,"Late Morning",F45&lt;12,"Afternoon",F45&lt;16,"Afternoon",F45&lt;=18,"Early Evening",F45&lt;=20,"Evening",F45&lt;=22,"Late Evening",F45&lt;=23,"Night")</f>
        <v>Evening</v>
      </c>
      <c r="H45" s="2" t="b">
        <v>0</v>
      </c>
      <c r="I45" s="2">
        <v>0</v>
      </c>
      <c r="J45" s="2">
        <v>1</v>
      </c>
      <c r="K45" s="14">
        <v>0.3</v>
      </c>
      <c r="L45" s="4">
        <v>0.19989999999999999</v>
      </c>
      <c r="M45" s="4">
        <v>0.39</v>
      </c>
      <c r="N45" s="4">
        <v>0.35820000000000002</v>
      </c>
      <c r="O45" s="4">
        <v>5</v>
      </c>
      <c r="P45" s="4">
        <v>17</v>
      </c>
      <c r="Q45" s="8">
        <v>22</v>
      </c>
    </row>
    <row r="46" spans="1:17" x14ac:dyDescent="0.25">
      <c r="A46" s="7">
        <v>45</v>
      </c>
      <c r="B46" s="3">
        <v>40545</v>
      </c>
      <c r="C46" s="2">
        <v>1</v>
      </c>
      <c r="D46" s="2">
        <v>0</v>
      </c>
      <c r="E46" s="2">
        <v>1</v>
      </c>
      <c r="F46" s="2">
        <v>21</v>
      </c>
      <c r="G46" s="2" t="str" cm="1">
        <f t="array" ref="G46">_xlfn.IFS(F46&lt;3,"Night",F46&lt;=6,"Early Morning",F46&lt;8,"Morning",F46&lt;10,"Late Morning",F46&lt;12,"Afternoon",F46&lt;16,"Afternoon",F46&lt;=18,"Early Evening",F46&lt;=20,"Evening",F46&lt;=22,"Late Evening",F46&lt;=23,"Night")</f>
        <v>Late Evening</v>
      </c>
      <c r="H46" s="2" t="b">
        <v>0</v>
      </c>
      <c r="I46" s="2">
        <v>0</v>
      </c>
      <c r="J46" s="2">
        <v>1</v>
      </c>
      <c r="K46" s="14">
        <v>0.26</v>
      </c>
      <c r="L46" s="4">
        <v>0.2273</v>
      </c>
      <c r="M46" s="4">
        <v>0.44</v>
      </c>
      <c r="N46" s="4">
        <v>0.32840000000000003</v>
      </c>
      <c r="O46" s="4">
        <v>11</v>
      </c>
      <c r="P46" s="4">
        <v>20</v>
      </c>
      <c r="Q46" s="8">
        <v>31</v>
      </c>
    </row>
    <row r="47" spans="1:17" x14ac:dyDescent="0.25">
      <c r="A47" s="7">
        <v>46</v>
      </c>
      <c r="B47" s="3">
        <v>40545</v>
      </c>
      <c r="C47" s="2">
        <v>1</v>
      </c>
      <c r="D47" s="2">
        <v>0</v>
      </c>
      <c r="E47" s="2">
        <v>1</v>
      </c>
      <c r="F47" s="2">
        <v>22</v>
      </c>
      <c r="G47" s="2" t="str" cm="1">
        <f t="array" ref="G47">_xlfn.IFS(F47&lt;3,"Night",F47&lt;=6,"Early Morning",F47&lt;8,"Morning",F47&lt;10,"Late Morning",F47&lt;12,"Afternoon",F47&lt;16,"Afternoon",F47&lt;=18,"Early Evening",F47&lt;=20,"Evening",F47&lt;=22,"Late Evening",F47&lt;=23,"Night")</f>
        <v>Late Evening</v>
      </c>
      <c r="H47" s="2" t="b">
        <v>0</v>
      </c>
      <c r="I47" s="2">
        <v>0</v>
      </c>
      <c r="J47" s="2">
        <v>1</v>
      </c>
      <c r="K47" s="14">
        <v>0.24</v>
      </c>
      <c r="L47" s="4">
        <v>0.21210000000000001</v>
      </c>
      <c r="M47" s="4">
        <v>0.44</v>
      </c>
      <c r="N47" s="4">
        <v>0.29849999999999999</v>
      </c>
      <c r="O47" s="4">
        <v>0</v>
      </c>
      <c r="P47" s="4">
        <v>9</v>
      </c>
      <c r="Q47" s="8">
        <v>9</v>
      </c>
    </row>
    <row r="48" spans="1:17" x14ac:dyDescent="0.25">
      <c r="A48" s="7">
        <v>47</v>
      </c>
      <c r="B48" s="3">
        <v>40545</v>
      </c>
      <c r="C48" s="2">
        <v>1</v>
      </c>
      <c r="D48" s="2">
        <v>0</v>
      </c>
      <c r="E48" s="2">
        <v>1</v>
      </c>
      <c r="F48" s="2">
        <v>23</v>
      </c>
      <c r="G48" s="2" t="str" cm="1">
        <f t="array" ref="G48">_xlfn.IFS(F48&lt;3,"Night",F48&lt;=6,"Early Morning",F48&lt;8,"Morning",F48&lt;10,"Late Morning",F48&lt;12,"Afternoon",F48&lt;16,"Afternoon",F48&lt;=18,"Early Evening",F48&lt;=20,"Evening",F48&lt;=22,"Late Evening",F48&lt;=23,"Night")</f>
        <v>Night</v>
      </c>
      <c r="H48" s="2" t="b">
        <v>0</v>
      </c>
      <c r="I48" s="2">
        <v>0</v>
      </c>
      <c r="J48" s="2">
        <v>1</v>
      </c>
      <c r="K48" s="14">
        <v>0.22</v>
      </c>
      <c r="L48" s="4">
        <v>0.2273</v>
      </c>
      <c r="M48" s="4">
        <v>0.47</v>
      </c>
      <c r="N48" s="4">
        <v>0.16420000000000001</v>
      </c>
      <c r="O48" s="4">
        <v>0</v>
      </c>
      <c r="P48" s="4">
        <v>8</v>
      </c>
      <c r="Q48" s="8">
        <v>8</v>
      </c>
    </row>
    <row r="49" spans="1:17" x14ac:dyDescent="0.25">
      <c r="A49" s="7">
        <v>48</v>
      </c>
      <c r="B49" s="3">
        <v>40546</v>
      </c>
      <c r="C49" s="2">
        <v>1</v>
      </c>
      <c r="D49" s="2">
        <v>0</v>
      </c>
      <c r="E49" s="2">
        <v>1</v>
      </c>
      <c r="F49" s="2">
        <v>0</v>
      </c>
      <c r="G49" s="2" t="str" cm="1">
        <f t="array" ref="G49">_xlfn.IFS(F49&lt;3,"Night",F49&lt;=6,"Early Morning",F49&lt;8,"Morning",F49&lt;10,"Late Morning",F49&lt;12,"Afternoon",F49&lt;16,"Afternoon",F49&lt;=18,"Early Evening",F49&lt;=20,"Evening",F49&lt;=22,"Late Evening",F49&lt;=23,"Night")</f>
        <v>Night</v>
      </c>
      <c r="H49" s="2" t="b">
        <v>0</v>
      </c>
      <c r="I49" s="2">
        <v>1</v>
      </c>
      <c r="J49" s="2">
        <v>1</v>
      </c>
      <c r="K49" s="14">
        <v>0.22</v>
      </c>
      <c r="L49" s="4">
        <v>0.19700000000000001</v>
      </c>
      <c r="M49" s="4">
        <v>0.44</v>
      </c>
      <c r="N49" s="4">
        <v>0.35820000000000002</v>
      </c>
      <c r="O49" s="4">
        <v>0</v>
      </c>
      <c r="P49" s="4">
        <v>5</v>
      </c>
      <c r="Q49" s="8">
        <v>5</v>
      </c>
    </row>
    <row r="50" spans="1:17" x14ac:dyDescent="0.25">
      <c r="A50" s="7">
        <v>49</v>
      </c>
      <c r="B50" s="3">
        <v>40546</v>
      </c>
      <c r="C50" s="2">
        <v>1</v>
      </c>
      <c r="D50" s="2">
        <v>0</v>
      </c>
      <c r="E50" s="2">
        <v>1</v>
      </c>
      <c r="F50" s="2">
        <v>1</v>
      </c>
      <c r="G50" s="2" t="str" cm="1">
        <f t="array" ref="G50">_xlfn.IFS(F50&lt;3,"Night",F50&lt;=6,"Early Morning",F50&lt;8,"Morning",F50&lt;10,"Late Morning",F50&lt;12,"Afternoon",F50&lt;16,"Afternoon",F50&lt;=18,"Early Evening",F50&lt;=20,"Evening",F50&lt;=22,"Late Evening",F50&lt;=23,"Night")</f>
        <v>Night</v>
      </c>
      <c r="H50" s="2" t="b">
        <v>0</v>
      </c>
      <c r="I50" s="2">
        <v>1</v>
      </c>
      <c r="J50" s="2">
        <v>1</v>
      </c>
      <c r="K50" s="14">
        <v>0.2</v>
      </c>
      <c r="L50" s="4">
        <v>0.19989999999999999</v>
      </c>
      <c r="M50" s="4">
        <v>0.44</v>
      </c>
      <c r="N50" s="4">
        <v>0.41789999999999999</v>
      </c>
      <c r="O50" s="4">
        <v>0</v>
      </c>
      <c r="P50" s="4">
        <v>2</v>
      </c>
      <c r="Q50" s="8">
        <v>2</v>
      </c>
    </row>
    <row r="51" spans="1:17" x14ac:dyDescent="0.25">
      <c r="A51" s="7">
        <v>50</v>
      </c>
      <c r="B51" s="3">
        <v>40546</v>
      </c>
      <c r="C51" s="2">
        <v>1</v>
      </c>
      <c r="D51" s="2">
        <v>0</v>
      </c>
      <c r="E51" s="2">
        <v>1</v>
      </c>
      <c r="F51" s="2">
        <v>4</v>
      </c>
      <c r="G51" s="2" t="str" cm="1">
        <f t="array" ref="G51">_xlfn.IFS(F51&lt;3,"Night",F51&lt;=6,"Early Morning",F51&lt;8,"Morning",F51&lt;10,"Late Morning",F51&lt;12,"Afternoon",F51&lt;16,"Afternoon",F51&lt;=18,"Early Evening",F51&lt;=20,"Evening",F51&lt;=22,"Late Evening",F51&lt;=23,"Night")</f>
        <v>Early Morning</v>
      </c>
      <c r="H51" s="2" t="b">
        <v>0</v>
      </c>
      <c r="I51" s="2">
        <v>1</v>
      </c>
      <c r="J51" s="2">
        <v>1</v>
      </c>
      <c r="K51" s="14">
        <v>0.16</v>
      </c>
      <c r="L51" s="4">
        <v>0.13639999999999999</v>
      </c>
      <c r="M51" s="4">
        <v>0.47</v>
      </c>
      <c r="N51" s="4">
        <v>0.3881</v>
      </c>
      <c r="O51" s="4">
        <v>0</v>
      </c>
      <c r="P51" s="4">
        <v>1</v>
      </c>
      <c r="Q51" s="8">
        <v>1</v>
      </c>
    </row>
    <row r="52" spans="1:17" x14ac:dyDescent="0.25">
      <c r="A52" s="7">
        <v>51</v>
      </c>
      <c r="B52" s="3">
        <v>40546</v>
      </c>
      <c r="C52" s="2">
        <v>1</v>
      </c>
      <c r="D52" s="2">
        <v>0</v>
      </c>
      <c r="E52" s="2">
        <v>1</v>
      </c>
      <c r="F52" s="2">
        <v>5</v>
      </c>
      <c r="G52" s="2" t="str" cm="1">
        <f t="array" ref="G52">_xlfn.IFS(F52&lt;3,"Night",F52&lt;=6,"Early Morning",F52&lt;8,"Morning",F52&lt;10,"Late Morning",F52&lt;12,"Afternoon",F52&lt;16,"Afternoon",F52&lt;=18,"Early Evening",F52&lt;=20,"Evening",F52&lt;=22,"Late Evening",F52&lt;=23,"Night")</f>
        <v>Early Morning</v>
      </c>
      <c r="H52" s="2" t="b">
        <v>0</v>
      </c>
      <c r="I52" s="2">
        <v>1</v>
      </c>
      <c r="J52" s="2">
        <v>1</v>
      </c>
      <c r="K52" s="14">
        <v>0.16</v>
      </c>
      <c r="L52" s="4">
        <v>0.13639999999999999</v>
      </c>
      <c r="M52" s="4">
        <v>0.47</v>
      </c>
      <c r="N52" s="4">
        <v>0.28360000000000002</v>
      </c>
      <c r="O52" s="4">
        <v>0</v>
      </c>
      <c r="P52" s="4">
        <v>3</v>
      </c>
      <c r="Q52" s="8">
        <v>3</v>
      </c>
    </row>
    <row r="53" spans="1:17" x14ac:dyDescent="0.25">
      <c r="A53" s="7">
        <v>52</v>
      </c>
      <c r="B53" s="3">
        <v>40546</v>
      </c>
      <c r="C53" s="2">
        <v>1</v>
      </c>
      <c r="D53" s="2">
        <v>0</v>
      </c>
      <c r="E53" s="2">
        <v>1</v>
      </c>
      <c r="F53" s="2">
        <v>6</v>
      </c>
      <c r="G53" s="2" t="str" cm="1">
        <f t="array" ref="G53">_xlfn.IFS(F53&lt;3,"Night",F53&lt;=6,"Early Morning",F53&lt;8,"Morning",F53&lt;10,"Late Morning",F53&lt;12,"Afternoon",F53&lt;16,"Afternoon",F53&lt;=18,"Early Evening",F53&lt;=20,"Evening",F53&lt;=22,"Late Evening",F53&lt;=23,"Night")</f>
        <v>Early Morning</v>
      </c>
      <c r="H53" s="2" t="b">
        <v>0</v>
      </c>
      <c r="I53" s="2">
        <v>1</v>
      </c>
      <c r="J53" s="2">
        <v>1</v>
      </c>
      <c r="K53" s="14">
        <v>0.14000000000000001</v>
      </c>
      <c r="L53" s="4">
        <v>0.1061</v>
      </c>
      <c r="M53" s="4">
        <v>0.5</v>
      </c>
      <c r="N53" s="4">
        <v>0.3881</v>
      </c>
      <c r="O53" s="4">
        <v>0</v>
      </c>
      <c r="P53" s="4">
        <v>30</v>
      </c>
      <c r="Q53" s="8">
        <v>30</v>
      </c>
    </row>
    <row r="54" spans="1:17" x14ac:dyDescent="0.25">
      <c r="A54" s="7">
        <v>53</v>
      </c>
      <c r="B54" s="3">
        <v>40546</v>
      </c>
      <c r="C54" s="2">
        <v>1</v>
      </c>
      <c r="D54" s="2">
        <v>0</v>
      </c>
      <c r="E54" s="2">
        <v>1</v>
      </c>
      <c r="F54" s="2">
        <v>7</v>
      </c>
      <c r="G54" s="2" t="str" cm="1">
        <f t="array" ref="G54">_xlfn.IFS(F54&lt;3,"Night",F54&lt;=6,"Early Morning",F54&lt;8,"Morning",F54&lt;10,"Late Morning",F54&lt;12,"Afternoon",F54&lt;16,"Afternoon",F54&lt;=18,"Early Evening",F54&lt;=20,"Evening",F54&lt;=22,"Late Evening",F54&lt;=23,"Night")</f>
        <v>Morning</v>
      </c>
      <c r="H54" s="2" t="b">
        <v>0</v>
      </c>
      <c r="I54" s="2">
        <v>1</v>
      </c>
      <c r="J54" s="2">
        <v>1</v>
      </c>
      <c r="K54" s="14">
        <v>0.14000000000000001</v>
      </c>
      <c r="L54" s="4">
        <v>0.13639999999999999</v>
      </c>
      <c r="M54" s="4">
        <v>0.5</v>
      </c>
      <c r="N54" s="4">
        <v>0.19400000000000001</v>
      </c>
      <c r="O54" s="4">
        <v>1</v>
      </c>
      <c r="P54" s="4">
        <v>63</v>
      </c>
      <c r="Q54" s="8">
        <v>64</v>
      </c>
    </row>
    <row r="55" spans="1:17" x14ac:dyDescent="0.25">
      <c r="A55" s="7">
        <v>54</v>
      </c>
      <c r="B55" s="3">
        <v>40546</v>
      </c>
      <c r="C55" s="2">
        <v>1</v>
      </c>
      <c r="D55" s="2">
        <v>0</v>
      </c>
      <c r="E55" s="2">
        <v>1</v>
      </c>
      <c r="F55" s="2">
        <v>8</v>
      </c>
      <c r="G55" s="2" t="str" cm="1">
        <f t="array" ref="G55">_xlfn.IFS(F55&lt;3,"Night",F55&lt;=6,"Early Morning",F55&lt;8,"Morning",F55&lt;10,"Late Morning",F55&lt;12,"Afternoon",F55&lt;16,"Afternoon",F55&lt;=18,"Early Evening",F55&lt;=20,"Evening",F55&lt;=22,"Late Evening",F55&lt;=23,"Night")</f>
        <v>Late Morning</v>
      </c>
      <c r="H55" s="2" t="b">
        <v>0</v>
      </c>
      <c r="I55" s="2">
        <v>1</v>
      </c>
      <c r="J55" s="2">
        <v>1</v>
      </c>
      <c r="K55" s="14">
        <v>0.14000000000000001</v>
      </c>
      <c r="L55" s="4">
        <v>0.1212</v>
      </c>
      <c r="M55" s="4">
        <v>0.5</v>
      </c>
      <c r="N55" s="4">
        <v>0.28360000000000002</v>
      </c>
      <c r="O55" s="4">
        <v>1</v>
      </c>
      <c r="P55" s="4">
        <v>153</v>
      </c>
      <c r="Q55" s="8">
        <v>154</v>
      </c>
    </row>
    <row r="56" spans="1:17" x14ac:dyDescent="0.25">
      <c r="A56" s="7">
        <v>55</v>
      </c>
      <c r="B56" s="3">
        <v>40546</v>
      </c>
      <c r="C56" s="2">
        <v>1</v>
      </c>
      <c r="D56" s="2">
        <v>0</v>
      </c>
      <c r="E56" s="2">
        <v>1</v>
      </c>
      <c r="F56" s="2">
        <v>9</v>
      </c>
      <c r="G56" s="2" t="str" cm="1">
        <f t="array" ref="G56">_xlfn.IFS(F56&lt;3,"Night",F56&lt;=6,"Early Morning",F56&lt;8,"Morning",F56&lt;10,"Late Morning",F56&lt;12,"Afternoon",F56&lt;16,"Afternoon",F56&lt;=18,"Early Evening",F56&lt;=20,"Evening",F56&lt;=22,"Late Evening",F56&lt;=23,"Night")</f>
        <v>Late Morning</v>
      </c>
      <c r="H56" s="2" t="b">
        <v>0</v>
      </c>
      <c r="I56" s="2">
        <v>1</v>
      </c>
      <c r="J56" s="2">
        <v>1</v>
      </c>
      <c r="K56" s="14">
        <v>0.16</v>
      </c>
      <c r="L56" s="4">
        <v>0.13639999999999999</v>
      </c>
      <c r="M56" s="4">
        <v>0.43</v>
      </c>
      <c r="N56" s="4">
        <v>0.3881</v>
      </c>
      <c r="O56" s="4">
        <v>7</v>
      </c>
      <c r="P56" s="4">
        <v>81</v>
      </c>
      <c r="Q56" s="8">
        <v>88</v>
      </c>
    </row>
    <row r="57" spans="1:17" x14ac:dyDescent="0.25">
      <c r="A57" s="7">
        <v>56</v>
      </c>
      <c r="B57" s="3">
        <v>40546</v>
      </c>
      <c r="C57" s="2">
        <v>1</v>
      </c>
      <c r="D57" s="2">
        <v>0</v>
      </c>
      <c r="E57" s="2">
        <v>1</v>
      </c>
      <c r="F57" s="2">
        <v>10</v>
      </c>
      <c r="G57" s="2" t="str" cm="1">
        <f t="array" ref="G57">_xlfn.IFS(F57&lt;3,"Night",F57&lt;=6,"Early Morning",F57&lt;8,"Morning",F57&lt;10,"Late Morning",F57&lt;12,"Afternoon",F57&lt;16,"Afternoon",F57&lt;=18,"Early Evening",F57&lt;=20,"Evening",F57&lt;=22,"Late Evening",F57&lt;=23,"Night")</f>
        <v>Afternoon</v>
      </c>
      <c r="H57" s="2" t="b">
        <v>0</v>
      </c>
      <c r="I57" s="2">
        <v>1</v>
      </c>
      <c r="J57" s="2">
        <v>1</v>
      </c>
      <c r="K57" s="14">
        <v>0.18</v>
      </c>
      <c r="L57" s="4">
        <v>0.16669999999999999</v>
      </c>
      <c r="M57" s="4">
        <v>0.43</v>
      </c>
      <c r="N57" s="4">
        <v>0.25369999999999998</v>
      </c>
      <c r="O57" s="4">
        <v>11</v>
      </c>
      <c r="P57" s="4">
        <v>33</v>
      </c>
      <c r="Q57" s="8">
        <v>44</v>
      </c>
    </row>
    <row r="58" spans="1:17" x14ac:dyDescent="0.25">
      <c r="A58" s="7">
        <v>57</v>
      </c>
      <c r="B58" s="3">
        <v>40546</v>
      </c>
      <c r="C58" s="2">
        <v>1</v>
      </c>
      <c r="D58" s="2">
        <v>0</v>
      </c>
      <c r="E58" s="2">
        <v>1</v>
      </c>
      <c r="F58" s="2">
        <v>11</v>
      </c>
      <c r="G58" s="2" t="str" cm="1">
        <f t="array" ref="G58">_xlfn.IFS(F58&lt;3,"Night",F58&lt;=6,"Early Morning",F58&lt;8,"Morning",F58&lt;10,"Late Morning",F58&lt;12,"Afternoon",F58&lt;16,"Afternoon",F58&lt;=18,"Early Evening",F58&lt;=20,"Evening",F58&lt;=22,"Late Evening",F58&lt;=23,"Night")</f>
        <v>Afternoon</v>
      </c>
      <c r="H58" s="2" t="b">
        <v>0</v>
      </c>
      <c r="I58" s="2">
        <v>1</v>
      </c>
      <c r="J58" s="2">
        <v>1</v>
      </c>
      <c r="K58" s="14">
        <v>0.2</v>
      </c>
      <c r="L58" s="4">
        <v>0.18179999999999999</v>
      </c>
      <c r="M58" s="4">
        <v>0.4</v>
      </c>
      <c r="N58" s="4">
        <v>0.32840000000000003</v>
      </c>
      <c r="O58" s="4">
        <v>10</v>
      </c>
      <c r="P58" s="4">
        <v>41</v>
      </c>
      <c r="Q58" s="8">
        <v>51</v>
      </c>
    </row>
    <row r="59" spans="1:17" x14ac:dyDescent="0.25">
      <c r="A59" s="7">
        <v>58</v>
      </c>
      <c r="B59" s="3">
        <v>40546</v>
      </c>
      <c r="C59" s="2">
        <v>1</v>
      </c>
      <c r="D59" s="2">
        <v>0</v>
      </c>
      <c r="E59" s="2">
        <v>1</v>
      </c>
      <c r="F59" s="2">
        <v>12</v>
      </c>
      <c r="G59" s="2" t="str" cm="1">
        <f t="array" ref="G59">_xlfn.IFS(F59&lt;3,"Night",F59&lt;=6,"Early Morning",F59&lt;8,"Morning",F59&lt;10,"Late Morning",F59&lt;12,"Afternoon",F59&lt;16,"Afternoon",F59&lt;=18,"Early Evening",F59&lt;=20,"Evening",F59&lt;=22,"Late Evening",F59&lt;=23,"Night")</f>
        <v>Afternoon</v>
      </c>
      <c r="H59" s="2" t="b">
        <v>0</v>
      </c>
      <c r="I59" s="2">
        <v>1</v>
      </c>
      <c r="J59" s="2">
        <v>1</v>
      </c>
      <c r="K59" s="14">
        <v>0.22</v>
      </c>
      <c r="L59" s="4">
        <v>0.21210000000000001</v>
      </c>
      <c r="M59" s="4">
        <v>0.35</v>
      </c>
      <c r="N59" s="4">
        <v>0.29849999999999999</v>
      </c>
      <c r="O59" s="4">
        <v>13</v>
      </c>
      <c r="P59" s="4">
        <v>48</v>
      </c>
      <c r="Q59" s="8">
        <v>61</v>
      </c>
    </row>
    <row r="60" spans="1:17" x14ac:dyDescent="0.25">
      <c r="A60" s="7">
        <v>59</v>
      </c>
      <c r="B60" s="3">
        <v>40546</v>
      </c>
      <c r="C60" s="2">
        <v>1</v>
      </c>
      <c r="D60" s="2">
        <v>0</v>
      </c>
      <c r="E60" s="2">
        <v>1</v>
      </c>
      <c r="F60" s="2">
        <v>13</v>
      </c>
      <c r="G60" s="2" t="str" cm="1">
        <f t="array" ref="G60">_xlfn.IFS(F60&lt;3,"Night",F60&lt;=6,"Early Morning",F60&lt;8,"Morning",F60&lt;10,"Late Morning",F60&lt;12,"Afternoon",F60&lt;16,"Afternoon",F60&lt;=18,"Early Evening",F60&lt;=20,"Evening",F60&lt;=22,"Late Evening",F60&lt;=23,"Night")</f>
        <v>Afternoon</v>
      </c>
      <c r="H60" s="2" t="b">
        <v>0</v>
      </c>
      <c r="I60" s="2">
        <v>1</v>
      </c>
      <c r="J60" s="2">
        <v>1</v>
      </c>
      <c r="K60" s="14">
        <v>0.24</v>
      </c>
      <c r="L60" s="4">
        <v>0.19989999999999999</v>
      </c>
      <c r="M60" s="4">
        <v>0.35</v>
      </c>
      <c r="N60" s="4">
        <v>0.28360000000000002</v>
      </c>
      <c r="O60" s="4">
        <v>8</v>
      </c>
      <c r="P60" s="4">
        <v>53</v>
      </c>
      <c r="Q60" s="8">
        <v>61</v>
      </c>
    </row>
    <row r="61" spans="1:17" x14ac:dyDescent="0.25">
      <c r="A61" s="7">
        <v>60</v>
      </c>
      <c r="B61" s="3">
        <v>40546</v>
      </c>
      <c r="C61" s="2">
        <v>1</v>
      </c>
      <c r="D61" s="2">
        <v>0</v>
      </c>
      <c r="E61" s="2">
        <v>1</v>
      </c>
      <c r="F61" s="2">
        <v>14</v>
      </c>
      <c r="G61" s="2" t="str" cm="1">
        <f t="array" ref="G61">_xlfn.IFS(F61&lt;3,"Night",F61&lt;=6,"Early Morning",F61&lt;8,"Morning",F61&lt;10,"Late Morning",F61&lt;12,"Afternoon",F61&lt;16,"Afternoon",F61&lt;=18,"Early Evening",F61&lt;=20,"Evening",F61&lt;=22,"Late Evening",F61&lt;=23,"Night")</f>
        <v>Afternoon</v>
      </c>
      <c r="H61" s="2" t="b">
        <v>0</v>
      </c>
      <c r="I61" s="2">
        <v>1</v>
      </c>
      <c r="J61" s="2">
        <v>1</v>
      </c>
      <c r="K61" s="14">
        <v>0.26</v>
      </c>
      <c r="L61" s="4">
        <v>0.2424</v>
      </c>
      <c r="M61" s="4">
        <v>0.3</v>
      </c>
      <c r="N61" s="4">
        <v>0.28360000000000002</v>
      </c>
      <c r="O61" s="4">
        <v>11</v>
      </c>
      <c r="P61" s="4">
        <v>66</v>
      </c>
      <c r="Q61" s="8">
        <v>77</v>
      </c>
    </row>
    <row r="62" spans="1:17" x14ac:dyDescent="0.25">
      <c r="A62" s="7">
        <v>61</v>
      </c>
      <c r="B62" s="3">
        <v>40546</v>
      </c>
      <c r="C62" s="2">
        <v>1</v>
      </c>
      <c r="D62" s="2">
        <v>0</v>
      </c>
      <c r="E62" s="2">
        <v>1</v>
      </c>
      <c r="F62" s="2">
        <v>15</v>
      </c>
      <c r="G62" s="2" t="str" cm="1">
        <f t="array" ref="G62">_xlfn.IFS(F62&lt;3,"Night",F62&lt;=6,"Early Morning",F62&lt;8,"Morning",F62&lt;10,"Late Morning",F62&lt;12,"Afternoon",F62&lt;16,"Afternoon",F62&lt;=18,"Early Evening",F62&lt;=20,"Evening",F62&lt;=22,"Late Evening",F62&lt;=23,"Night")</f>
        <v>Afternoon</v>
      </c>
      <c r="H62" s="2" t="b">
        <v>0</v>
      </c>
      <c r="I62" s="2">
        <v>1</v>
      </c>
      <c r="J62" s="2">
        <v>1</v>
      </c>
      <c r="K62" s="14">
        <v>0.26</v>
      </c>
      <c r="L62" s="4">
        <v>0.2424</v>
      </c>
      <c r="M62" s="4">
        <v>0.3</v>
      </c>
      <c r="N62" s="4">
        <v>0.25369999999999998</v>
      </c>
      <c r="O62" s="4">
        <v>14</v>
      </c>
      <c r="P62" s="4">
        <v>58</v>
      </c>
      <c r="Q62" s="8">
        <v>72</v>
      </c>
    </row>
    <row r="63" spans="1:17" x14ac:dyDescent="0.25">
      <c r="A63" s="7">
        <v>62</v>
      </c>
      <c r="B63" s="3">
        <v>40546</v>
      </c>
      <c r="C63" s="2">
        <v>1</v>
      </c>
      <c r="D63" s="2">
        <v>0</v>
      </c>
      <c r="E63" s="2">
        <v>1</v>
      </c>
      <c r="F63" s="2">
        <v>16</v>
      </c>
      <c r="G63" s="2" t="str" cm="1">
        <f t="array" ref="G63">_xlfn.IFS(F63&lt;3,"Night",F63&lt;=6,"Early Morning",F63&lt;8,"Morning",F63&lt;10,"Late Morning",F63&lt;12,"Afternoon",F63&lt;16,"Afternoon",F63&lt;=18,"Early Evening",F63&lt;=20,"Evening",F63&lt;=22,"Late Evening",F63&lt;=23,"Night")</f>
        <v>Early Evening</v>
      </c>
      <c r="H63" s="2" t="b">
        <v>0</v>
      </c>
      <c r="I63" s="2">
        <v>1</v>
      </c>
      <c r="J63" s="2">
        <v>1</v>
      </c>
      <c r="K63" s="14">
        <v>0.26</v>
      </c>
      <c r="L63" s="4">
        <v>0.2424</v>
      </c>
      <c r="M63" s="4">
        <v>0.3</v>
      </c>
      <c r="N63" s="4">
        <v>0.25369999999999998</v>
      </c>
      <c r="O63" s="4">
        <v>9</v>
      </c>
      <c r="P63" s="4">
        <v>67</v>
      </c>
      <c r="Q63" s="8">
        <v>76</v>
      </c>
    </row>
    <row r="64" spans="1:17" x14ac:dyDescent="0.25">
      <c r="A64" s="7">
        <v>63</v>
      </c>
      <c r="B64" s="3">
        <v>40546</v>
      </c>
      <c r="C64" s="2">
        <v>1</v>
      </c>
      <c r="D64" s="2">
        <v>0</v>
      </c>
      <c r="E64" s="2">
        <v>1</v>
      </c>
      <c r="F64" s="2">
        <v>17</v>
      </c>
      <c r="G64" s="2" t="str" cm="1">
        <f t="array" ref="G64">_xlfn.IFS(F64&lt;3,"Night",F64&lt;=6,"Early Morning",F64&lt;8,"Morning",F64&lt;10,"Late Morning",F64&lt;12,"Afternoon",F64&lt;16,"Afternoon",F64&lt;=18,"Early Evening",F64&lt;=20,"Evening",F64&lt;=22,"Late Evening",F64&lt;=23,"Night")</f>
        <v>Early Evening</v>
      </c>
      <c r="H64" s="2" t="b">
        <v>0</v>
      </c>
      <c r="I64" s="2">
        <v>1</v>
      </c>
      <c r="J64" s="2">
        <v>1</v>
      </c>
      <c r="K64" s="14">
        <v>0.24</v>
      </c>
      <c r="L64" s="4">
        <v>0.2273</v>
      </c>
      <c r="M64" s="4">
        <v>0.3</v>
      </c>
      <c r="N64" s="4">
        <v>0.22389999999999999</v>
      </c>
      <c r="O64" s="4">
        <v>11</v>
      </c>
      <c r="P64" s="4">
        <v>146</v>
      </c>
      <c r="Q64" s="8">
        <v>157</v>
      </c>
    </row>
    <row r="65" spans="1:17" x14ac:dyDescent="0.25">
      <c r="A65" s="7">
        <v>64</v>
      </c>
      <c r="B65" s="3">
        <v>40546</v>
      </c>
      <c r="C65" s="2">
        <v>1</v>
      </c>
      <c r="D65" s="2">
        <v>0</v>
      </c>
      <c r="E65" s="2">
        <v>1</v>
      </c>
      <c r="F65" s="2">
        <v>18</v>
      </c>
      <c r="G65" s="2" t="str" cm="1">
        <f t="array" ref="G65">_xlfn.IFS(F65&lt;3,"Night",F65&lt;=6,"Early Morning",F65&lt;8,"Morning",F65&lt;10,"Late Morning",F65&lt;12,"Afternoon",F65&lt;16,"Afternoon",F65&lt;=18,"Early Evening",F65&lt;=20,"Evening",F65&lt;=22,"Late Evening",F65&lt;=23,"Night")</f>
        <v>Early Evening</v>
      </c>
      <c r="H65" s="2" t="b">
        <v>0</v>
      </c>
      <c r="I65" s="2">
        <v>1</v>
      </c>
      <c r="J65" s="2">
        <v>1</v>
      </c>
      <c r="K65" s="14">
        <v>0.24</v>
      </c>
      <c r="L65" s="4">
        <v>0.2576</v>
      </c>
      <c r="M65" s="4">
        <v>0.32</v>
      </c>
      <c r="N65" s="4">
        <v>0.1045</v>
      </c>
      <c r="O65" s="4">
        <v>9</v>
      </c>
      <c r="P65" s="4">
        <v>148</v>
      </c>
      <c r="Q65" s="8">
        <v>157</v>
      </c>
    </row>
    <row r="66" spans="1:17" x14ac:dyDescent="0.25">
      <c r="A66" s="7">
        <v>65</v>
      </c>
      <c r="B66" s="3">
        <v>40546</v>
      </c>
      <c r="C66" s="2">
        <v>1</v>
      </c>
      <c r="D66" s="2">
        <v>0</v>
      </c>
      <c r="E66" s="2">
        <v>1</v>
      </c>
      <c r="F66" s="2">
        <v>19</v>
      </c>
      <c r="G66" s="2" t="str" cm="1">
        <f t="array" ref="G66">_xlfn.IFS(F66&lt;3,"Night",F66&lt;=6,"Early Morning",F66&lt;8,"Morning",F66&lt;10,"Late Morning",F66&lt;12,"Afternoon",F66&lt;16,"Afternoon",F66&lt;=18,"Early Evening",F66&lt;=20,"Evening",F66&lt;=22,"Late Evening",F66&lt;=23,"Night")</f>
        <v>Evening</v>
      </c>
      <c r="H66" s="2" t="b">
        <v>0</v>
      </c>
      <c r="I66" s="2">
        <v>1</v>
      </c>
      <c r="J66" s="2">
        <v>1</v>
      </c>
      <c r="K66" s="14">
        <v>0.2</v>
      </c>
      <c r="L66" s="4">
        <v>0.2576</v>
      </c>
      <c r="M66" s="4">
        <v>0.47</v>
      </c>
      <c r="N66" s="4">
        <v>0</v>
      </c>
      <c r="O66" s="4">
        <v>8</v>
      </c>
      <c r="P66" s="4">
        <v>102</v>
      </c>
      <c r="Q66" s="8">
        <v>110</v>
      </c>
    </row>
    <row r="67" spans="1:17" x14ac:dyDescent="0.25">
      <c r="A67" s="7">
        <v>66</v>
      </c>
      <c r="B67" s="3">
        <v>40546</v>
      </c>
      <c r="C67" s="2">
        <v>1</v>
      </c>
      <c r="D67" s="2">
        <v>0</v>
      </c>
      <c r="E67" s="2">
        <v>1</v>
      </c>
      <c r="F67" s="2">
        <v>20</v>
      </c>
      <c r="G67" s="2" t="str" cm="1">
        <f t="array" ref="G67">_xlfn.IFS(F67&lt;3,"Night",F67&lt;=6,"Early Morning",F67&lt;8,"Morning",F67&lt;10,"Late Morning",F67&lt;12,"Afternoon",F67&lt;16,"Afternoon",F67&lt;=18,"Early Evening",F67&lt;=20,"Evening",F67&lt;=22,"Late Evening",F67&lt;=23,"Night")</f>
        <v>Evening</v>
      </c>
      <c r="H67" s="2" t="b">
        <v>0</v>
      </c>
      <c r="I67" s="2">
        <v>1</v>
      </c>
      <c r="J67" s="2">
        <v>1</v>
      </c>
      <c r="K67" s="14">
        <v>0.2</v>
      </c>
      <c r="L67" s="4">
        <v>0.19989999999999999</v>
      </c>
      <c r="M67" s="4">
        <v>0.47</v>
      </c>
      <c r="N67" s="4">
        <v>0.1045</v>
      </c>
      <c r="O67" s="4">
        <v>3</v>
      </c>
      <c r="P67" s="4">
        <v>49</v>
      </c>
      <c r="Q67" s="8">
        <v>52</v>
      </c>
    </row>
    <row r="68" spans="1:17" x14ac:dyDescent="0.25">
      <c r="A68" s="7">
        <v>67</v>
      </c>
      <c r="B68" s="3">
        <v>40546</v>
      </c>
      <c r="C68" s="2">
        <v>1</v>
      </c>
      <c r="D68" s="2">
        <v>0</v>
      </c>
      <c r="E68" s="2">
        <v>1</v>
      </c>
      <c r="F68" s="2">
        <v>21</v>
      </c>
      <c r="G68" s="2" t="str" cm="1">
        <f t="array" ref="G68">_xlfn.IFS(F68&lt;3,"Night",F68&lt;=6,"Early Morning",F68&lt;8,"Morning",F68&lt;10,"Late Morning",F68&lt;12,"Afternoon",F68&lt;16,"Afternoon",F68&lt;=18,"Early Evening",F68&lt;=20,"Evening",F68&lt;=22,"Late Evening",F68&lt;=23,"Night")</f>
        <v>Late Evening</v>
      </c>
      <c r="H68" s="2" t="b">
        <v>0</v>
      </c>
      <c r="I68" s="2">
        <v>1</v>
      </c>
      <c r="J68" s="2">
        <v>1</v>
      </c>
      <c r="K68" s="14">
        <v>0.18</v>
      </c>
      <c r="L68" s="4">
        <v>0.19700000000000001</v>
      </c>
      <c r="M68" s="4">
        <v>0.64</v>
      </c>
      <c r="N68" s="4">
        <v>0.1343</v>
      </c>
      <c r="O68" s="4">
        <v>3</v>
      </c>
      <c r="P68" s="4">
        <v>49</v>
      </c>
      <c r="Q68" s="8">
        <v>52</v>
      </c>
    </row>
    <row r="69" spans="1:17" x14ac:dyDescent="0.25">
      <c r="A69" s="7">
        <v>68</v>
      </c>
      <c r="B69" s="3">
        <v>40546</v>
      </c>
      <c r="C69" s="2">
        <v>1</v>
      </c>
      <c r="D69" s="2">
        <v>0</v>
      </c>
      <c r="E69" s="2">
        <v>1</v>
      </c>
      <c r="F69" s="2">
        <v>22</v>
      </c>
      <c r="G69" s="2" t="str" cm="1">
        <f t="array" ref="G69">_xlfn.IFS(F69&lt;3,"Night",F69&lt;=6,"Early Morning",F69&lt;8,"Morning",F69&lt;10,"Late Morning",F69&lt;12,"Afternoon",F69&lt;16,"Afternoon",F69&lt;=18,"Early Evening",F69&lt;=20,"Evening",F69&lt;=22,"Late Evening",F69&lt;=23,"Night")</f>
        <v>Late Evening</v>
      </c>
      <c r="H69" s="2" t="b">
        <v>0</v>
      </c>
      <c r="I69" s="2">
        <v>1</v>
      </c>
      <c r="J69" s="2">
        <v>1</v>
      </c>
      <c r="K69" s="14">
        <v>0.14000000000000001</v>
      </c>
      <c r="L69" s="4">
        <v>0.1515</v>
      </c>
      <c r="M69" s="4">
        <v>0.69</v>
      </c>
      <c r="N69" s="4">
        <v>0.1343</v>
      </c>
      <c r="O69" s="4">
        <v>0</v>
      </c>
      <c r="P69" s="4">
        <v>20</v>
      </c>
      <c r="Q69" s="8">
        <v>20</v>
      </c>
    </row>
    <row r="70" spans="1:17" x14ac:dyDescent="0.25">
      <c r="A70" s="7">
        <v>69</v>
      </c>
      <c r="B70" s="3">
        <v>40546</v>
      </c>
      <c r="C70" s="2">
        <v>1</v>
      </c>
      <c r="D70" s="2">
        <v>0</v>
      </c>
      <c r="E70" s="2">
        <v>1</v>
      </c>
      <c r="F70" s="2">
        <v>23</v>
      </c>
      <c r="G70" s="2" t="str" cm="1">
        <f t="array" ref="G70">_xlfn.IFS(F70&lt;3,"Night",F70&lt;=6,"Early Morning",F70&lt;8,"Morning",F70&lt;10,"Late Morning",F70&lt;12,"Afternoon",F70&lt;16,"Afternoon",F70&lt;=18,"Early Evening",F70&lt;=20,"Evening",F70&lt;=22,"Late Evening",F70&lt;=23,"Night")</f>
        <v>Night</v>
      </c>
      <c r="H70" s="2" t="b">
        <v>0</v>
      </c>
      <c r="I70" s="2">
        <v>1</v>
      </c>
      <c r="J70" s="2">
        <v>1</v>
      </c>
      <c r="K70" s="14">
        <v>0.18</v>
      </c>
      <c r="L70" s="4">
        <v>0.21210000000000001</v>
      </c>
      <c r="M70" s="4">
        <v>0.55000000000000004</v>
      </c>
      <c r="N70" s="4">
        <v>0.1045</v>
      </c>
      <c r="O70" s="4">
        <v>1</v>
      </c>
      <c r="P70" s="4">
        <v>11</v>
      </c>
      <c r="Q70" s="8">
        <v>12</v>
      </c>
    </row>
    <row r="71" spans="1:17" x14ac:dyDescent="0.25">
      <c r="A71" s="7">
        <v>70</v>
      </c>
      <c r="B71" s="3">
        <v>40547</v>
      </c>
      <c r="C71" s="2">
        <v>1</v>
      </c>
      <c r="D71" s="2">
        <v>0</v>
      </c>
      <c r="E71" s="2">
        <v>1</v>
      </c>
      <c r="F71" s="2">
        <v>0</v>
      </c>
      <c r="G71" s="2" t="str" cm="1">
        <f t="array" ref="G71">_xlfn.IFS(F71&lt;3,"Night",F71&lt;=6,"Early Morning",F71&lt;8,"Morning",F71&lt;10,"Late Morning",F71&lt;12,"Afternoon",F71&lt;16,"Afternoon",F71&lt;=18,"Early Evening",F71&lt;=20,"Evening",F71&lt;=22,"Late Evening",F71&lt;=23,"Night")</f>
        <v>Night</v>
      </c>
      <c r="H71" s="2" t="b">
        <v>0</v>
      </c>
      <c r="I71" s="2">
        <v>2</v>
      </c>
      <c r="J71" s="2">
        <v>1</v>
      </c>
      <c r="K71" s="14">
        <v>0.16</v>
      </c>
      <c r="L71" s="4">
        <v>0.19989999999999999</v>
      </c>
      <c r="M71" s="4">
        <v>0.55000000000000004</v>
      </c>
      <c r="N71" s="4">
        <v>0.1045</v>
      </c>
      <c r="O71" s="4">
        <v>0</v>
      </c>
      <c r="P71" s="4">
        <v>5</v>
      </c>
      <c r="Q71" s="8">
        <v>5</v>
      </c>
    </row>
    <row r="72" spans="1:17" x14ac:dyDescent="0.25">
      <c r="A72" s="7">
        <v>71</v>
      </c>
      <c r="B72" s="3">
        <v>40547</v>
      </c>
      <c r="C72" s="2">
        <v>1</v>
      </c>
      <c r="D72" s="2">
        <v>0</v>
      </c>
      <c r="E72" s="2">
        <v>1</v>
      </c>
      <c r="F72" s="2">
        <v>1</v>
      </c>
      <c r="G72" s="2" t="str" cm="1">
        <f t="array" ref="G72">_xlfn.IFS(F72&lt;3,"Night",F72&lt;=6,"Early Morning",F72&lt;8,"Morning",F72&lt;10,"Late Morning",F72&lt;12,"Afternoon",F72&lt;16,"Afternoon",F72&lt;=18,"Early Evening",F72&lt;=20,"Evening",F72&lt;=22,"Late Evening",F72&lt;=23,"Night")</f>
        <v>Night</v>
      </c>
      <c r="H72" s="2" t="b">
        <v>0</v>
      </c>
      <c r="I72" s="2">
        <v>2</v>
      </c>
      <c r="J72" s="2">
        <v>1</v>
      </c>
      <c r="K72" s="14">
        <v>0.16</v>
      </c>
      <c r="L72" s="4">
        <v>0.18179999999999999</v>
      </c>
      <c r="M72" s="4">
        <v>0.59</v>
      </c>
      <c r="N72" s="4">
        <v>0.1045</v>
      </c>
      <c r="O72" s="4">
        <v>0</v>
      </c>
      <c r="P72" s="4">
        <v>2</v>
      </c>
      <c r="Q72" s="8">
        <v>2</v>
      </c>
    </row>
    <row r="73" spans="1:17" x14ac:dyDescent="0.25">
      <c r="A73" s="7">
        <v>72</v>
      </c>
      <c r="B73" s="3">
        <v>40547</v>
      </c>
      <c r="C73" s="2">
        <v>1</v>
      </c>
      <c r="D73" s="2">
        <v>0</v>
      </c>
      <c r="E73" s="2">
        <v>1</v>
      </c>
      <c r="F73" s="2">
        <v>2</v>
      </c>
      <c r="G73" s="2" t="str" cm="1">
        <f t="array" ref="G73">_xlfn.IFS(F73&lt;3,"Night",F73&lt;=6,"Early Morning",F73&lt;8,"Morning",F73&lt;10,"Late Morning",F73&lt;12,"Afternoon",F73&lt;16,"Afternoon",F73&lt;=18,"Early Evening",F73&lt;=20,"Evening",F73&lt;=22,"Late Evening",F73&lt;=23,"Night")</f>
        <v>Night</v>
      </c>
      <c r="H73" s="2" t="b">
        <v>0</v>
      </c>
      <c r="I73" s="2">
        <v>2</v>
      </c>
      <c r="J73" s="2">
        <v>1</v>
      </c>
      <c r="K73" s="14">
        <v>0.14000000000000001</v>
      </c>
      <c r="L73" s="4">
        <v>0.1515</v>
      </c>
      <c r="M73" s="4">
        <v>0.63</v>
      </c>
      <c r="N73" s="4">
        <v>0.1343</v>
      </c>
      <c r="O73" s="4">
        <v>0</v>
      </c>
      <c r="P73" s="4">
        <v>1</v>
      </c>
      <c r="Q73" s="8">
        <v>1</v>
      </c>
    </row>
    <row r="74" spans="1:17" x14ac:dyDescent="0.25">
      <c r="A74" s="7">
        <v>73</v>
      </c>
      <c r="B74" s="3">
        <v>40547</v>
      </c>
      <c r="C74" s="2">
        <v>1</v>
      </c>
      <c r="D74" s="2">
        <v>0</v>
      </c>
      <c r="E74" s="2">
        <v>1</v>
      </c>
      <c r="F74" s="2">
        <v>4</v>
      </c>
      <c r="G74" s="2" t="str" cm="1">
        <f t="array" ref="G74">_xlfn.IFS(F74&lt;3,"Night",F74&lt;=6,"Early Morning",F74&lt;8,"Morning",F74&lt;10,"Late Morning",F74&lt;12,"Afternoon",F74&lt;16,"Afternoon",F74&lt;=18,"Early Evening",F74&lt;=20,"Evening",F74&lt;=22,"Late Evening",F74&lt;=23,"Night")</f>
        <v>Early Morning</v>
      </c>
      <c r="H74" s="2" t="b">
        <v>0</v>
      </c>
      <c r="I74" s="2">
        <v>2</v>
      </c>
      <c r="J74" s="2">
        <v>1</v>
      </c>
      <c r="K74" s="14">
        <v>0.14000000000000001</v>
      </c>
      <c r="L74" s="4">
        <v>0.18179999999999999</v>
      </c>
      <c r="M74" s="4">
        <v>0.63</v>
      </c>
      <c r="N74" s="4">
        <v>8.9599999999999999E-2</v>
      </c>
      <c r="O74" s="4">
        <v>0</v>
      </c>
      <c r="P74" s="4">
        <v>2</v>
      </c>
      <c r="Q74" s="8">
        <v>2</v>
      </c>
    </row>
    <row r="75" spans="1:17" x14ac:dyDescent="0.25">
      <c r="A75" s="7">
        <v>74</v>
      </c>
      <c r="B75" s="3">
        <v>40547</v>
      </c>
      <c r="C75" s="2">
        <v>1</v>
      </c>
      <c r="D75" s="2">
        <v>0</v>
      </c>
      <c r="E75" s="2">
        <v>1</v>
      </c>
      <c r="F75" s="2">
        <v>5</v>
      </c>
      <c r="G75" s="2" t="str" cm="1">
        <f t="array" ref="G75">_xlfn.IFS(F75&lt;3,"Night",F75&lt;=6,"Early Morning",F75&lt;8,"Morning",F75&lt;10,"Late Morning",F75&lt;12,"Afternoon",F75&lt;16,"Afternoon",F75&lt;=18,"Early Evening",F75&lt;=20,"Evening",F75&lt;=22,"Late Evening",F75&lt;=23,"Night")</f>
        <v>Early Morning</v>
      </c>
      <c r="H75" s="2" t="b">
        <v>0</v>
      </c>
      <c r="I75" s="2">
        <v>2</v>
      </c>
      <c r="J75" s="2">
        <v>1</v>
      </c>
      <c r="K75" s="14">
        <v>0.12</v>
      </c>
      <c r="L75" s="4">
        <v>0.1515</v>
      </c>
      <c r="M75" s="4">
        <v>0.68</v>
      </c>
      <c r="N75" s="4">
        <v>0.1045</v>
      </c>
      <c r="O75" s="4">
        <v>0</v>
      </c>
      <c r="P75" s="4">
        <v>4</v>
      </c>
      <c r="Q75" s="8">
        <v>4</v>
      </c>
    </row>
    <row r="76" spans="1:17" x14ac:dyDescent="0.25">
      <c r="A76" s="7">
        <v>75</v>
      </c>
      <c r="B76" s="3">
        <v>40547</v>
      </c>
      <c r="C76" s="2">
        <v>1</v>
      </c>
      <c r="D76" s="2">
        <v>0</v>
      </c>
      <c r="E76" s="2">
        <v>1</v>
      </c>
      <c r="F76" s="2">
        <v>6</v>
      </c>
      <c r="G76" s="2" t="str" cm="1">
        <f t="array" ref="G76">_xlfn.IFS(F76&lt;3,"Night",F76&lt;=6,"Early Morning",F76&lt;8,"Morning",F76&lt;10,"Late Morning",F76&lt;12,"Afternoon",F76&lt;16,"Afternoon",F76&lt;=18,"Early Evening",F76&lt;=20,"Evening",F76&lt;=22,"Late Evening",F76&lt;=23,"Night")</f>
        <v>Early Morning</v>
      </c>
      <c r="H76" s="2" t="b">
        <v>0</v>
      </c>
      <c r="I76" s="2">
        <v>2</v>
      </c>
      <c r="J76" s="2">
        <v>1</v>
      </c>
      <c r="K76" s="14">
        <v>0.12</v>
      </c>
      <c r="L76" s="4">
        <v>0.1515</v>
      </c>
      <c r="M76" s="4">
        <v>0.74</v>
      </c>
      <c r="N76" s="4">
        <v>0.1045</v>
      </c>
      <c r="O76" s="4">
        <v>0</v>
      </c>
      <c r="P76" s="4">
        <v>36</v>
      </c>
      <c r="Q76" s="8">
        <v>36</v>
      </c>
    </row>
    <row r="77" spans="1:17" x14ac:dyDescent="0.25">
      <c r="A77" s="7">
        <v>76</v>
      </c>
      <c r="B77" s="3">
        <v>40547</v>
      </c>
      <c r="C77" s="2">
        <v>1</v>
      </c>
      <c r="D77" s="2">
        <v>0</v>
      </c>
      <c r="E77" s="2">
        <v>1</v>
      </c>
      <c r="F77" s="2">
        <v>7</v>
      </c>
      <c r="G77" s="2" t="str" cm="1">
        <f t="array" ref="G77">_xlfn.IFS(F77&lt;3,"Night",F77&lt;=6,"Early Morning",F77&lt;8,"Morning",F77&lt;10,"Late Morning",F77&lt;12,"Afternoon",F77&lt;16,"Afternoon",F77&lt;=18,"Early Evening",F77&lt;=20,"Evening",F77&lt;=22,"Late Evening",F77&lt;=23,"Night")</f>
        <v>Morning</v>
      </c>
      <c r="H77" s="2" t="b">
        <v>0</v>
      </c>
      <c r="I77" s="2">
        <v>2</v>
      </c>
      <c r="J77" s="2">
        <v>1</v>
      </c>
      <c r="K77" s="14">
        <v>0.12</v>
      </c>
      <c r="L77" s="4">
        <v>0.1515</v>
      </c>
      <c r="M77" s="4">
        <v>0.74</v>
      </c>
      <c r="N77" s="4">
        <v>0.1343</v>
      </c>
      <c r="O77" s="4">
        <v>2</v>
      </c>
      <c r="P77" s="4">
        <v>92</v>
      </c>
      <c r="Q77" s="8">
        <v>94</v>
      </c>
    </row>
    <row r="78" spans="1:17" x14ac:dyDescent="0.25">
      <c r="A78" s="7">
        <v>77</v>
      </c>
      <c r="B78" s="3">
        <v>40547</v>
      </c>
      <c r="C78" s="2">
        <v>1</v>
      </c>
      <c r="D78" s="2">
        <v>0</v>
      </c>
      <c r="E78" s="2">
        <v>1</v>
      </c>
      <c r="F78" s="2">
        <v>8</v>
      </c>
      <c r="G78" s="2" t="str" cm="1">
        <f t="array" ref="G78">_xlfn.IFS(F78&lt;3,"Night",F78&lt;=6,"Early Morning",F78&lt;8,"Morning",F78&lt;10,"Late Morning",F78&lt;12,"Afternoon",F78&lt;16,"Afternoon",F78&lt;=18,"Early Evening",F78&lt;=20,"Evening",F78&lt;=22,"Late Evening",F78&lt;=23,"Night")</f>
        <v>Late Morning</v>
      </c>
      <c r="H78" s="2" t="b">
        <v>0</v>
      </c>
      <c r="I78" s="2">
        <v>2</v>
      </c>
      <c r="J78" s="2">
        <v>1</v>
      </c>
      <c r="K78" s="14">
        <v>0.14000000000000001</v>
      </c>
      <c r="L78" s="4">
        <v>0.1515</v>
      </c>
      <c r="M78" s="4">
        <v>0.69</v>
      </c>
      <c r="N78" s="4">
        <v>0.16420000000000001</v>
      </c>
      <c r="O78" s="4">
        <v>2</v>
      </c>
      <c r="P78" s="4">
        <v>177</v>
      </c>
      <c r="Q78" s="8">
        <v>179</v>
      </c>
    </row>
    <row r="79" spans="1:17" x14ac:dyDescent="0.25">
      <c r="A79" s="7">
        <v>78</v>
      </c>
      <c r="B79" s="3">
        <v>40547</v>
      </c>
      <c r="C79" s="2">
        <v>1</v>
      </c>
      <c r="D79" s="2">
        <v>0</v>
      </c>
      <c r="E79" s="2">
        <v>1</v>
      </c>
      <c r="F79" s="2">
        <v>9</v>
      </c>
      <c r="G79" s="2" t="str" cm="1">
        <f t="array" ref="G79">_xlfn.IFS(F79&lt;3,"Night",F79&lt;=6,"Early Morning",F79&lt;8,"Morning",F79&lt;10,"Late Morning",F79&lt;12,"Afternoon",F79&lt;16,"Afternoon",F79&lt;=18,"Early Evening",F79&lt;=20,"Evening",F79&lt;=22,"Late Evening",F79&lt;=23,"Night")</f>
        <v>Late Morning</v>
      </c>
      <c r="H79" s="2" t="b">
        <v>0</v>
      </c>
      <c r="I79" s="2">
        <v>2</v>
      </c>
      <c r="J79" s="2">
        <v>1</v>
      </c>
      <c r="K79" s="14">
        <v>0.16</v>
      </c>
      <c r="L79" s="4">
        <v>0.1515</v>
      </c>
      <c r="M79" s="4">
        <v>0.64</v>
      </c>
      <c r="N79" s="4">
        <v>0.22389999999999999</v>
      </c>
      <c r="O79" s="4">
        <v>2</v>
      </c>
      <c r="P79" s="4">
        <v>98</v>
      </c>
      <c r="Q79" s="8">
        <v>100</v>
      </c>
    </row>
    <row r="80" spans="1:17" x14ac:dyDescent="0.25">
      <c r="A80" s="7">
        <v>79</v>
      </c>
      <c r="B80" s="3">
        <v>40547</v>
      </c>
      <c r="C80" s="2">
        <v>1</v>
      </c>
      <c r="D80" s="2">
        <v>0</v>
      </c>
      <c r="E80" s="2">
        <v>1</v>
      </c>
      <c r="F80" s="2">
        <v>10</v>
      </c>
      <c r="G80" s="2" t="str" cm="1">
        <f t="array" ref="G80">_xlfn.IFS(F80&lt;3,"Night",F80&lt;=6,"Early Morning",F80&lt;8,"Morning",F80&lt;10,"Late Morning",F80&lt;12,"Afternoon",F80&lt;16,"Afternoon",F80&lt;=18,"Early Evening",F80&lt;=20,"Evening",F80&lt;=22,"Late Evening",F80&lt;=23,"Night")</f>
        <v>Afternoon</v>
      </c>
      <c r="H80" s="2" t="b">
        <v>0</v>
      </c>
      <c r="I80" s="2">
        <v>2</v>
      </c>
      <c r="J80" s="2">
        <v>2</v>
      </c>
      <c r="K80" s="14">
        <v>0.16</v>
      </c>
      <c r="L80" s="4">
        <v>0.13639999999999999</v>
      </c>
      <c r="M80" s="4">
        <v>0.69</v>
      </c>
      <c r="N80" s="4">
        <v>0.32840000000000003</v>
      </c>
      <c r="O80" s="4">
        <v>5</v>
      </c>
      <c r="P80" s="4">
        <v>37</v>
      </c>
      <c r="Q80" s="8">
        <v>42</v>
      </c>
    </row>
    <row r="81" spans="1:17" x14ac:dyDescent="0.25">
      <c r="A81" s="7">
        <v>80</v>
      </c>
      <c r="B81" s="3">
        <v>40547</v>
      </c>
      <c r="C81" s="2">
        <v>1</v>
      </c>
      <c r="D81" s="2">
        <v>0</v>
      </c>
      <c r="E81" s="2">
        <v>1</v>
      </c>
      <c r="F81" s="2">
        <v>11</v>
      </c>
      <c r="G81" s="2" t="str" cm="1">
        <f t="array" ref="G81">_xlfn.IFS(F81&lt;3,"Night",F81&lt;=6,"Early Morning",F81&lt;8,"Morning",F81&lt;10,"Late Morning",F81&lt;12,"Afternoon",F81&lt;16,"Afternoon",F81&lt;=18,"Early Evening",F81&lt;=20,"Evening",F81&lt;=22,"Late Evening",F81&lt;=23,"Night")</f>
        <v>Afternoon</v>
      </c>
      <c r="H81" s="2" t="b">
        <v>0</v>
      </c>
      <c r="I81" s="2">
        <v>2</v>
      </c>
      <c r="J81" s="2">
        <v>1</v>
      </c>
      <c r="K81" s="14">
        <v>0.22</v>
      </c>
      <c r="L81" s="4">
        <v>0.21210000000000001</v>
      </c>
      <c r="M81" s="4">
        <v>0.51</v>
      </c>
      <c r="N81" s="4">
        <v>0.29849999999999999</v>
      </c>
      <c r="O81" s="4">
        <v>7</v>
      </c>
      <c r="P81" s="4">
        <v>50</v>
      </c>
      <c r="Q81" s="8">
        <v>57</v>
      </c>
    </row>
    <row r="82" spans="1:17" x14ac:dyDescent="0.25">
      <c r="A82" s="7">
        <v>81</v>
      </c>
      <c r="B82" s="3">
        <v>40547</v>
      </c>
      <c r="C82" s="2">
        <v>1</v>
      </c>
      <c r="D82" s="2">
        <v>0</v>
      </c>
      <c r="E82" s="2">
        <v>1</v>
      </c>
      <c r="F82" s="2">
        <v>12</v>
      </c>
      <c r="G82" s="2" t="str" cm="1">
        <f t="array" ref="G82">_xlfn.IFS(F82&lt;3,"Night",F82&lt;=6,"Early Morning",F82&lt;8,"Morning",F82&lt;10,"Late Morning",F82&lt;12,"Afternoon",F82&lt;16,"Afternoon",F82&lt;=18,"Early Evening",F82&lt;=20,"Evening",F82&lt;=22,"Late Evening",F82&lt;=23,"Night")</f>
        <v>Afternoon</v>
      </c>
      <c r="H82" s="2" t="b">
        <v>0</v>
      </c>
      <c r="I82" s="2">
        <v>2</v>
      </c>
      <c r="J82" s="2">
        <v>1</v>
      </c>
      <c r="K82" s="14">
        <v>0.22</v>
      </c>
      <c r="L82" s="4">
        <v>0.2273</v>
      </c>
      <c r="M82" s="4">
        <v>0.51</v>
      </c>
      <c r="N82" s="4">
        <v>0.16420000000000001</v>
      </c>
      <c r="O82" s="4">
        <v>12</v>
      </c>
      <c r="P82" s="4">
        <v>66</v>
      </c>
      <c r="Q82" s="8">
        <v>78</v>
      </c>
    </row>
    <row r="83" spans="1:17" x14ac:dyDescent="0.25">
      <c r="A83" s="7">
        <v>82</v>
      </c>
      <c r="B83" s="3">
        <v>40547</v>
      </c>
      <c r="C83" s="2">
        <v>1</v>
      </c>
      <c r="D83" s="2">
        <v>0</v>
      </c>
      <c r="E83" s="2">
        <v>1</v>
      </c>
      <c r="F83" s="2">
        <v>13</v>
      </c>
      <c r="G83" s="2" t="str" cm="1">
        <f t="array" ref="G83">_xlfn.IFS(F83&lt;3,"Night",F83&lt;=6,"Early Morning",F83&lt;8,"Morning",F83&lt;10,"Late Morning",F83&lt;12,"Afternoon",F83&lt;16,"Afternoon",F83&lt;=18,"Early Evening",F83&lt;=20,"Evening",F83&lt;=22,"Late Evening",F83&lt;=23,"Night")</f>
        <v>Afternoon</v>
      </c>
      <c r="H83" s="2" t="b">
        <v>0</v>
      </c>
      <c r="I83" s="2">
        <v>2</v>
      </c>
      <c r="J83" s="2">
        <v>1</v>
      </c>
      <c r="K83" s="14">
        <v>0.24</v>
      </c>
      <c r="L83" s="4">
        <v>0.2273</v>
      </c>
      <c r="M83" s="4">
        <v>0.56000000000000005</v>
      </c>
      <c r="N83" s="4">
        <v>0.19400000000000001</v>
      </c>
      <c r="O83" s="4">
        <v>18</v>
      </c>
      <c r="P83" s="4">
        <v>79</v>
      </c>
      <c r="Q83" s="8">
        <v>97</v>
      </c>
    </row>
    <row r="84" spans="1:17" x14ac:dyDescent="0.25">
      <c r="A84" s="7">
        <v>83</v>
      </c>
      <c r="B84" s="3">
        <v>40547</v>
      </c>
      <c r="C84" s="2">
        <v>1</v>
      </c>
      <c r="D84" s="2">
        <v>0</v>
      </c>
      <c r="E84" s="2">
        <v>1</v>
      </c>
      <c r="F84" s="2">
        <v>14</v>
      </c>
      <c r="G84" s="2" t="str" cm="1">
        <f t="array" ref="G84">_xlfn.IFS(F84&lt;3,"Night",F84&lt;=6,"Early Morning",F84&lt;8,"Morning",F84&lt;10,"Late Morning",F84&lt;12,"Afternoon",F84&lt;16,"Afternoon",F84&lt;=18,"Early Evening",F84&lt;=20,"Evening",F84&lt;=22,"Late Evening",F84&lt;=23,"Night")</f>
        <v>Afternoon</v>
      </c>
      <c r="H84" s="2" t="b">
        <v>0</v>
      </c>
      <c r="I84" s="2">
        <v>2</v>
      </c>
      <c r="J84" s="2">
        <v>1</v>
      </c>
      <c r="K84" s="14">
        <v>0.26</v>
      </c>
      <c r="L84" s="4">
        <v>0.2576</v>
      </c>
      <c r="M84" s="4">
        <v>0.52</v>
      </c>
      <c r="N84" s="4">
        <v>0.22389999999999999</v>
      </c>
      <c r="O84" s="4">
        <v>9</v>
      </c>
      <c r="P84" s="4">
        <v>54</v>
      </c>
      <c r="Q84" s="8">
        <v>63</v>
      </c>
    </row>
    <row r="85" spans="1:17" x14ac:dyDescent="0.25">
      <c r="A85" s="7">
        <v>84</v>
      </c>
      <c r="B85" s="3">
        <v>40547</v>
      </c>
      <c r="C85" s="2">
        <v>1</v>
      </c>
      <c r="D85" s="2">
        <v>0</v>
      </c>
      <c r="E85" s="2">
        <v>1</v>
      </c>
      <c r="F85" s="2">
        <v>15</v>
      </c>
      <c r="G85" s="2" t="str" cm="1">
        <f t="array" ref="G85">_xlfn.IFS(F85&lt;3,"Night",F85&lt;=6,"Early Morning",F85&lt;8,"Morning",F85&lt;10,"Late Morning",F85&lt;12,"Afternoon",F85&lt;16,"Afternoon",F85&lt;=18,"Early Evening",F85&lt;=20,"Evening",F85&lt;=22,"Late Evening",F85&lt;=23,"Night")</f>
        <v>Afternoon</v>
      </c>
      <c r="H85" s="2" t="b">
        <v>0</v>
      </c>
      <c r="I85" s="2">
        <v>2</v>
      </c>
      <c r="J85" s="2">
        <v>1</v>
      </c>
      <c r="K85" s="14">
        <v>0.28000000000000003</v>
      </c>
      <c r="L85" s="4">
        <v>0.2727</v>
      </c>
      <c r="M85" s="4">
        <v>0.52</v>
      </c>
      <c r="N85" s="4">
        <v>0.25369999999999998</v>
      </c>
      <c r="O85" s="4">
        <v>17</v>
      </c>
      <c r="P85" s="4">
        <v>48</v>
      </c>
      <c r="Q85" s="8">
        <v>65</v>
      </c>
    </row>
    <row r="86" spans="1:17" x14ac:dyDescent="0.25">
      <c r="A86" s="7">
        <v>85</v>
      </c>
      <c r="B86" s="3">
        <v>40547</v>
      </c>
      <c r="C86" s="2">
        <v>1</v>
      </c>
      <c r="D86" s="2">
        <v>0</v>
      </c>
      <c r="E86" s="2">
        <v>1</v>
      </c>
      <c r="F86" s="2">
        <v>16</v>
      </c>
      <c r="G86" s="2" t="str" cm="1">
        <f t="array" ref="G86">_xlfn.IFS(F86&lt;3,"Night",F86&lt;=6,"Early Morning",F86&lt;8,"Morning",F86&lt;10,"Late Morning",F86&lt;12,"Afternoon",F86&lt;16,"Afternoon",F86&lt;=18,"Early Evening",F86&lt;=20,"Evening",F86&lt;=22,"Late Evening",F86&lt;=23,"Night")</f>
        <v>Early Evening</v>
      </c>
      <c r="H86" s="2" t="b">
        <v>0</v>
      </c>
      <c r="I86" s="2">
        <v>2</v>
      </c>
      <c r="J86" s="2">
        <v>1</v>
      </c>
      <c r="K86" s="14">
        <v>0.3</v>
      </c>
      <c r="L86" s="4">
        <v>0.28789999999999999</v>
      </c>
      <c r="M86" s="4">
        <v>0.49</v>
      </c>
      <c r="N86" s="4">
        <v>0.25369999999999998</v>
      </c>
      <c r="O86" s="4">
        <v>15</v>
      </c>
      <c r="P86" s="4">
        <v>68</v>
      </c>
      <c r="Q86" s="8">
        <v>83</v>
      </c>
    </row>
    <row r="87" spans="1:17" x14ac:dyDescent="0.25">
      <c r="A87" s="7">
        <v>86</v>
      </c>
      <c r="B87" s="3">
        <v>40547</v>
      </c>
      <c r="C87" s="2">
        <v>1</v>
      </c>
      <c r="D87" s="2">
        <v>0</v>
      </c>
      <c r="E87" s="2">
        <v>1</v>
      </c>
      <c r="F87" s="2">
        <v>17</v>
      </c>
      <c r="G87" s="2" t="str" cm="1">
        <f t="array" ref="G87">_xlfn.IFS(F87&lt;3,"Night",F87&lt;=6,"Early Morning",F87&lt;8,"Morning",F87&lt;10,"Late Morning",F87&lt;12,"Afternoon",F87&lt;16,"Afternoon",F87&lt;=18,"Early Evening",F87&lt;=20,"Evening",F87&lt;=22,"Late Evening",F87&lt;=23,"Night")</f>
        <v>Early Evening</v>
      </c>
      <c r="H87" s="2" t="b">
        <v>0</v>
      </c>
      <c r="I87" s="2">
        <v>2</v>
      </c>
      <c r="J87" s="2">
        <v>1</v>
      </c>
      <c r="K87" s="14">
        <v>0.28000000000000003</v>
      </c>
      <c r="L87" s="4">
        <v>0.2727</v>
      </c>
      <c r="M87" s="4">
        <v>0.48</v>
      </c>
      <c r="N87" s="4">
        <v>0.22389999999999999</v>
      </c>
      <c r="O87" s="4">
        <v>10</v>
      </c>
      <c r="P87" s="4">
        <v>202</v>
      </c>
      <c r="Q87" s="8">
        <v>212</v>
      </c>
    </row>
    <row r="88" spans="1:17" x14ac:dyDescent="0.25">
      <c r="A88" s="7">
        <v>87</v>
      </c>
      <c r="B88" s="3">
        <v>40547</v>
      </c>
      <c r="C88" s="2">
        <v>1</v>
      </c>
      <c r="D88" s="2">
        <v>0</v>
      </c>
      <c r="E88" s="2">
        <v>1</v>
      </c>
      <c r="F88" s="2">
        <v>18</v>
      </c>
      <c r="G88" s="2" t="str" cm="1">
        <f t="array" ref="G88">_xlfn.IFS(F88&lt;3,"Night",F88&lt;=6,"Early Morning",F88&lt;8,"Morning",F88&lt;10,"Late Morning",F88&lt;12,"Afternoon",F88&lt;16,"Afternoon",F88&lt;=18,"Early Evening",F88&lt;=20,"Evening",F88&lt;=22,"Late Evening",F88&lt;=23,"Night")</f>
        <v>Early Evening</v>
      </c>
      <c r="H88" s="2" t="b">
        <v>0</v>
      </c>
      <c r="I88" s="2">
        <v>2</v>
      </c>
      <c r="J88" s="2">
        <v>1</v>
      </c>
      <c r="K88" s="14">
        <v>0.26</v>
      </c>
      <c r="L88" s="4">
        <v>0.2576</v>
      </c>
      <c r="M88" s="4">
        <v>0.48</v>
      </c>
      <c r="N88" s="4">
        <v>0.19400000000000001</v>
      </c>
      <c r="O88" s="4">
        <v>3</v>
      </c>
      <c r="P88" s="4">
        <v>179</v>
      </c>
      <c r="Q88" s="8">
        <v>182</v>
      </c>
    </row>
    <row r="89" spans="1:17" x14ac:dyDescent="0.25">
      <c r="A89" s="7">
        <v>88</v>
      </c>
      <c r="B89" s="3">
        <v>40547</v>
      </c>
      <c r="C89" s="2">
        <v>1</v>
      </c>
      <c r="D89" s="2">
        <v>0</v>
      </c>
      <c r="E89" s="2">
        <v>1</v>
      </c>
      <c r="F89" s="2">
        <v>19</v>
      </c>
      <c r="G89" s="2" t="str" cm="1">
        <f t="array" ref="G89">_xlfn.IFS(F89&lt;3,"Night",F89&lt;=6,"Early Morning",F89&lt;8,"Morning",F89&lt;10,"Late Morning",F89&lt;12,"Afternoon",F89&lt;16,"Afternoon",F89&lt;=18,"Early Evening",F89&lt;=20,"Evening",F89&lt;=22,"Late Evening",F89&lt;=23,"Night")</f>
        <v>Evening</v>
      </c>
      <c r="H89" s="2" t="b">
        <v>0</v>
      </c>
      <c r="I89" s="2">
        <v>2</v>
      </c>
      <c r="J89" s="2">
        <v>1</v>
      </c>
      <c r="K89" s="14">
        <v>0.24</v>
      </c>
      <c r="L89" s="4">
        <v>0.2576</v>
      </c>
      <c r="M89" s="4">
        <v>0.48</v>
      </c>
      <c r="N89" s="4">
        <v>0.1045</v>
      </c>
      <c r="O89" s="4">
        <v>2</v>
      </c>
      <c r="P89" s="4">
        <v>110</v>
      </c>
      <c r="Q89" s="8">
        <v>112</v>
      </c>
    </row>
    <row r="90" spans="1:17" x14ac:dyDescent="0.25">
      <c r="A90" s="7">
        <v>89</v>
      </c>
      <c r="B90" s="3">
        <v>40547</v>
      </c>
      <c r="C90" s="2">
        <v>1</v>
      </c>
      <c r="D90" s="2">
        <v>0</v>
      </c>
      <c r="E90" s="2">
        <v>1</v>
      </c>
      <c r="F90" s="2">
        <v>20</v>
      </c>
      <c r="G90" s="2" t="str" cm="1">
        <f t="array" ref="G90">_xlfn.IFS(F90&lt;3,"Night",F90&lt;=6,"Early Morning",F90&lt;8,"Morning",F90&lt;10,"Late Morning",F90&lt;12,"Afternoon",F90&lt;16,"Afternoon",F90&lt;=18,"Early Evening",F90&lt;=20,"Evening",F90&lt;=22,"Late Evening",F90&lt;=23,"Night")</f>
        <v>Evening</v>
      </c>
      <c r="H90" s="2" t="b">
        <v>0</v>
      </c>
      <c r="I90" s="2">
        <v>2</v>
      </c>
      <c r="J90" s="2">
        <v>1</v>
      </c>
      <c r="K90" s="14">
        <v>0.24</v>
      </c>
      <c r="L90" s="4">
        <v>0.2576</v>
      </c>
      <c r="M90" s="4">
        <v>0.48</v>
      </c>
      <c r="N90" s="4">
        <v>0.1045</v>
      </c>
      <c r="O90" s="4">
        <v>1</v>
      </c>
      <c r="P90" s="4">
        <v>53</v>
      </c>
      <c r="Q90" s="8">
        <v>54</v>
      </c>
    </row>
    <row r="91" spans="1:17" x14ac:dyDescent="0.25">
      <c r="A91" s="7">
        <v>90</v>
      </c>
      <c r="B91" s="3">
        <v>40547</v>
      </c>
      <c r="C91" s="2">
        <v>1</v>
      </c>
      <c r="D91" s="2">
        <v>0</v>
      </c>
      <c r="E91" s="2">
        <v>1</v>
      </c>
      <c r="F91" s="2">
        <v>21</v>
      </c>
      <c r="G91" s="2" t="str" cm="1">
        <f t="array" ref="G91">_xlfn.IFS(F91&lt;3,"Night",F91&lt;=6,"Early Morning",F91&lt;8,"Morning",F91&lt;10,"Late Morning",F91&lt;12,"Afternoon",F91&lt;16,"Afternoon",F91&lt;=18,"Early Evening",F91&lt;=20,"Evening",F91&lt;=22,"Late Evening",F91&lt;=23,"Night")</f>
        <v>Late Evening</v>
      </c>
      <c r="H91" s="2" t="b">
        <v>0</v>
      </c>
      <c r="I91" s="2">
        <v>2</v>
      </c>
      <c r="J91" s="2">
        <v>1</v>
      </c>
      <c r="K91" s="14">
        <v>0.22</v>
      </c>
      <c r="L91" s="4">
        <v>0.2727</v>
      </c>
      <c r="M91" s="4">
        <v>0.64</v>
      </c>
      <c r="N91" s="4">
        <v>0</v>
      </c>
      <c r="O91" s="4">
        <v>0</v>
      </c>
      <c r="P91" s="4">
        <v>48</v>
      </c>
      <c r="Q91" s="8">
        <v>48</v>
      </c>
    </row>
    <row r="92" spans="1:17" x14ac:dyDescent="0.25">
      <c r="A92" s="7">
        <v>91</v>
      </c>
      <c r="B92" s="3">
        <v>40547</v>
      </c>
      <c r="C92" s="2">
        <v>1</v>
      </c>
      <c r="D92" s="2">
        <v>0</v>
      </c>
      <c r="E92" s="2">
        <v>1</v>
      </c>
      <c r="F92" s="2">
        <v>22</v>
      </c>
      <c r="G92" s="2" t="str" cm="1">
        <f t="array" ref="G92">_xlfn.IFS(F92&lt;3,"Night",F92&lt;=6,"Early Morning",F92&lt;8,"Morning",F92&lt;10,"Late Morning",F92&lt;12,"Afternoon",F92&lt;16,"Afternoon",F92&lt;=18,"Early Evening",F92&lt;=20,"Evening",F92&lt;=22,"Late Evening",F92&lt;=23,"Night")</f>
        <v>Late Evening</v>
      </c>
      <c r="H92" s="2" t="b">
        <v>0</v>
      </c>
      <c r="I92" s="2">
        <v>2</v>
      </c>
      <c r="J92" s="2">
        <v>1</v>
      </c>
      <c r="K92" s="14">
        <v>0.22</v>
      </c>
      <c r="L92" s="4">
        <v>0.2576</v>
      </c>
      <c r="M92" s="4">
        <v>0.64</v>
      </c>
      <c r="N92" s="4">
        <v>8.9599999999999999E-2</v>
      </c>
      <c r="O92" s="4">
        <v>1</v>
      </c>
      <c r="P92" s="4">
        <v>34</v>
      </c>
      <c r="Q92" s="8">
        <v>35</v>
      </c>
    </row>
    <row r="93" spans="1:17" x14ac:dyDescent="0.25">
      <c r="A93" s="7">
        <v>92</v>
      </c>
      <c r="B93" s="3">
        <v>40547</v>
      </c>
      <c r="C93" s="2">
        <v>1</v>
      </c>
      <c r="D93" s="2">
        <v>0</v>
      </c>
      <c r="E93" s="2">
        <v>1</v>
      </c>
      <c r="F93" s="2">
        <v>23</v>
      </c>
      <c r="G93" s="2" t="str" cm="1">
        <f t="array" ref="G93">_xlfn.IFS(F93&lt;3,"Night",F93&lt;=6,"Early Morning",F93&lt;8,"Morning",F93&lt;10,"Late Morning",F93&lt;12,"Afternoon",F93&lt;16,"Afternoon",F93&lt;=18,"Early Evening",F93&lt;=20,"Evening",F93&lt;=22,"Late Evening",F93&lt;=23,"Night")</f>
        <v>Night</v>
      </c>
      <c r="H93" s="2" t="b">
        <v>0</v>
      </c>
      <c r="I93" s="2">
        <v>2</v>
      </c>
      <c r="J93" s="2">
        <v>1</v>
      </c>
      <c r="K93" s="14">
        <v>0.2</v>
      </c>
      <c r="L93" s="4">
        <v>0.2273</v>
      </c>
      <c r="M93" s="4">
        <v>0.69</v>
      </c>
      <c r="N93" s="4">
        <v>8.9599999999999999E-2</v>
      </c>
      <c r="O93" s="4">
        <v>2</v>
      </c>
      <c r="P93" s="4">
        <v>9</v>
      </c>
      <c r="Q93" s="8">
        <v>11</v>
      </c>
    </row>
    <row r="94" spans="1:17" x14ac:dyDescent="0.25">
      <c r="A94" s="7">
        <v>93</v>
      </c>
      <c r="B94" s="3">
        <v>40548</v>
      </c>
      <c r="C94" s="2">
        <v>1</v>
      </c>
      <c r="D94" s="2">
        <v>0</v>
      </c>
      <c r="E94" s="2">
        <v>1</v>
      </c>
      <c r="F94" s="2">
        <v>0</v>
      </c>
      <c r="G94" s="2" t="str" cm="1">
        <f t="array" ref="G94">_xlfn.IFS(F94&lt;3,"Night",F94&lt;=6,"Early Morning",F94&lt;8,"Morning",F94&lt;10,"Late Morning",F94&lt;12,"Afternoon",F94&lt;16,"Afternoon",F94&lt;=18,"Early Evening",F94&lt;=20,"Evening",F94&lt;=22,"Late Evening",F94&lt;=23,"Night")</f>
        <v>Night</v>
      </c>
      <c r="H94" s="2" t="b">
        <v>0</v>
      </c>
      <c r="I94" s="2">
        <v>3</v>
      </c>
      <c r="J94" s="2">
        <v>1</v>
      </c>
      <c r="K94" s="14">
        <v>0.2</v>
      </c>
      <c r="L94" s="4">
        <v>0.2576</v>
      </c>
      <c r="M94" s="4">
        <v>0.64</v>
      </c>
      <c r="N94" s="4">
        <v>0</v>
      </c>
      <c r="O94" s="4">
        <v>0</v>
      </c>
      <c r="P94" s="4">
        <v>6</v>
      </c>
      <c r="Q94" s="8">
        <v>6</v>
      </c>
    </row>
    <row r="95" spans="1:17" x14ac:dyDescent="0.25">
      <c r="A95" s="7">
        <v>94</v>
      </c>
      <c r="B95" s="3">
        <v>40548</v>
      </c>
      <c r="C95" s="2">
        <v>1</v>
      </c>
      <c r="D95" s="2">
        <v>0</v>
      </c>
      <c r="E95" s="2">
        <v>1</v>
      </c>
      <c r="F95" s="2">
        <v>1</v>
      </c>
      <c r="G95" s="2" t="str" cm="1">
        <f t="array" ref="G95">_xlfn.IFS(F95&lt;3,"Night",F95&lt;=6,"Early Morning",F95&lt;8,"Morning",F95&lt;10,"Late Morning",F95&lt;12,"Afternoon",F95&lt;16,"Afternoon",F95&lt;=18,"Early Evening",F95&lt;=20,"Evening",F95&lt;=22,"Late Evening",F95&lt;=23,"Night")</f>
        <v>Night</v>
      </c>
      <c r="H95" s="2" t="b">
        <v>0</v>
      </c>
      <c r="I95" s="2">
        <v>3</v>
      </c>
      <c r="J95" s="2">
        <v>1</v>
      </c>
      <c r="K95" s="14">
        <v>0.16</v>
      </c>
      <c r="L95" s="4">
        <v>0.19700000000000001</v>
      </c>
      <c r="M95" s="4">
        <v>0.74</v>
      </c>
      <c r="N95" s="4">
        <v>8.9599999999999999E-2</v>
      </c>
      <c r="O95" s="4">
        <v>0</v>
      </c>
      <c r="P95" s="4">
        <v>6</v>
      </c>
      <c r="Q95" s="8">
        <v>6</v>
      </c>
    </row>
    <row r="96" spans="1:17" x14ac:dyDescent="0.25">
      <c r="A96" s="7">
        <v>95</v>
      </c>
      <c r="B96" s="3">
        <v>40548</v>
      </c>
      <c r="C96" s="2">
        <v>1</v>
      </c>
      <c r="D96" s="2">
        <v>0</v>
      </c>
      <c r="E96" s="2">
        <v>1</v>
      </c>
      <c r="F96" s="2">
        <v>2</v>
      </c>
      <c r="G96" s="2" t="str" cm="1">
        <f t="array" ref="G96">_xlfn.IFS(F96&lt;3,"Night",F96&lt;=6,"Early Morning",F96&lt;8,"Morning",F96&lt;10,"Late Morning",F96&lt;12,"Afternoon",F96&lt;16,"Afternoon",F96&lt;=18,"Early Evening",F96&lt;=20,"Evening",F96&lt;=22,"Late Evening",F96&lt;=23,"Night")</f>
        <v>Night</v>
      </c>
      <c r="H96" s="2" t="b">
        <v>0</v>
      </c>
      <c r="I96" s="2">
        <v>3</v>
      </c>
      <c r="J96" s="2">
        <v>1</v>
      </c>
      <c r="K96" s="14">
        <v>0.16</v>
      </c>
      <c r="L96" s="4">
        <v>0.19700000000000001</v>
      </c>
      <c r="M96" s="4">
        <v>0.74</v>
      </c>
      <c r="N96" s="4">
        <v>8.9599999999999999E-2</v>
      </c>
      <c r="O96" s="4">
        <v>0</v>
      </c>
      <c r="P96" s="4">
        <v>2</v>
      </c>
      <c r="Q96" s="8">
        <v>2</v>
      </c>
    </row>
    <row r="97" spans="1:17" x14ac:dyDescent="0.25">
      <c r="A97" s="7">
        <v>96</v>
      </c>
      <c r="B97" s="3">
        <v>40548</v>
      </c>
      <c r="C97" s="2">
        <v>1</v>
      </c>
      <c r="D97" s="2">
        <v>0</v>
      </c>
      <c r="E97" s="2">
        <v>1</v>
      </c>
      <c r="F97" s="2">
        <v>4</v>
      </c>
      <c r="G97" s="2" t="str" cm="1">
        <f t="array" ref="G97">_xlfn.IFS(F97&lt;3,"Night",F97&lt;=6,"Early Morning",F97&lt;8,"Morning",F97&lt;10,"Late Morning",F97&lt;12,"Afternoon",F97&lt;16,"Afternoon",F97&lt;=18,"Early Evening",F97&lt;=20,"Evening",F97&lt;=22,"Late Evening",F97&lt;=23,"Night")</f>
        <v>Early Morning</v>
      </c>
      <c r="H97" s="2" t="b">
        <v>0</v>
      </c>
      <c r="I97" s="2">
        <v>3</v>
      </c>
      <c r="J97" s="2">
        <v>1</v>
      </c>
      <c r="K97" s="14">
        <v>0.24</v>
      </c>
      <c r="L97" s="4">
        <v>0.2273</v>
      </c>
      <c r="M97" s="4">
        <v>0.48</v>
      </c>
      <c r="N97" s="4">
        <v>0.22389999999999999</v>
      </c>
      <c r="O97" s="4">
        <v>0</v>
      </c>
      <c r="P97" s="4">
        <v>2</v>
      </c>
      <c r="Q97" s="8">
        <v>2</v>
      </c>
    </row>
    <row r="98" spans="1:17" x14ac:dyDescent="0.25">
      <c r="A98" s="7">
        <v>97</v>
      </c>
      <c r="B98" s="3">
        <v>40548</v>
      </c>
      <c r="C98" s="2">
        <v>1</v>
      </c>
      <c r="D98" s="2">
        <v>0</v>
      </c>
      <c r="E98" s="2">
        <v>1</v>
      </c>
      <c r="F98" s="2">
        <v>5</v>
      </c>
      <c r="G98" s="2" t="str" cm="1">
        <f t="array" ref="G98">_xlfn.IFS(F98&lt;3,"Night",F98&lt;=6,"Early Morning",F98&lt;8,"Morning",F98&lt;10,"Late Morning",F98&lt;12,"Afternoon",F98&lt;16,"Afternoon",F98&lt;=18,"Early Evening",F98&lt;=20,"Evening",F98&lt;=22,"Late Evening",F98&lt;=23,"Night")</f>
        <v>Early Morning</v>
      </c>
      <c r="H98" s="2" t="b">
        <v>0</v>
      </c>
      <c r="I98" s="2">
        <v>3</v>
      </c>
      <c r="J98" s="2">
        <v>1</v>
      </c>
      <c r="K98" s="14">
        <v>0.22</v>
      </c>
      <c r="L98" s="4">
        <v>0.2273</v>
      </c>
      <c r="M98" s="4">
        <v>0.47</v>
      </c>
      <c r="N98" s="4">
        <v>0.16420000000000001</v>
      </c>
      <c r="O98" s="4">
        <v>0</v>
      </c>
      <c r="P98" s="4">
        <v>3</v>
      </c>
      <c r="Q98" s="8">
        <v>3</v>
      </c>
    </row>
    <row r="99" spans="1:17" x14ac:dyDescent="0.25">
      <c r="A99" s="7">
        <v>98</v>
      </c>
      <c r="B99" s="3">
        <v>40548</v>
      </c>
      <c r="C99" s="2">
        <v>1</v>
      </c>
      <c r="D99" s="2">
        <v>0</v>
      </c>
      <c r="E99" s="2">
        <v>1</v>
      </c>
      <c r="F99" s="2">
        <v>6</v>
      </c>
      <c r="G99" s="2" t="str" cm="1">
        <f t="array" ref="G99">_xlfn.IFS(F99&lt;3,"Night",F99&lt;=6,"Early Morning",F99&lt;8,"Morning",F99&lt;10,"Late Morning",F99&lt;12,"Afternoon",F99&lt;16,"Afternoon",F99&lt;=18,"Early Evening",F99&lt;=20,"Evening",F99&lt;=22,"Late Evening",F99&lt;=23,"Night")</f>
        <v>Early Morning</v>
      </c>
      <c r="H99" s="2" t="b">
        <v>0</v>
      </c>
      <c r="I99" s="2">
        <v>3</v>
      </c>
      <c r="J99" s="2">
        <v>1</v>
      </c>
      <c r="K99" s="14">
        <v>0.2</v>
      </c>
      <c r="L99" s="4">
        <v>0.19700000000000001</v>
      </c>
      <c r="M99" s="4">
        <v>0.47</v>
      </c>
      <c r="N99" s="4">
        <v>0.22389999999999999</v>
      </c>
      <c r="O99" s="4">
        <v>0</v>
      </c>
      <c r="P99" s="4">
        <v>33</v>
      </c>
      <c r="Q99" s="8">
        <v>33</v>
      </c>
    </row>
    <row r="100" spans="1:17" x14ac:dyDescent="0.25">
      <c r="A100" s="7">
        <v>99</v>
      </c>
      <c r="B100" s="3">
        <v>40548</v>
      </c>
      <c r="C100" s="2">
        <v>1</v>
      </c>
      <c r="D100" s="2">
        <v>0</v>
      </c>
      <c r="E100" s="2">
        <v>1</v>
      </c>
      <c r="F100" s="2">
        <v>7</v>
      </c>
      <c r="G100" s="2" t="str" cm="1">
        <f t="array" ref="G100">_xlfn.IFS(F100&lt;3,"Night",F100&lt;=6,"Early Morning",F100&lt;8,"Morning",F100&lt;10,"Late Morning",F100&lt;12,"Afternoon",F100&lt;16,"Afternoon",F100&lt;=18,"Early Evening",F100&lt;=20,"Evening",F100&lt;=22,"Late Evening",F100&lt;=23,"Night")</f>
        <v>Morning</v>
      </c>
      <c r="H100" s="2" t="b">
        <v>0</v>
      </c>
      <c r="I100" s="2">
        <v>3</v>
      </c>
      <c r="J100" s="2">
        <v>1</v>
      </c>
      <c r="K100" s="14">
        <v>0.18</v>
      </c>
      <c r="L100" s="4">
        <v>0.18179999999999999</v>
      </c>
      <c r="M100" s="4">
        <v>0.43</v>
      </c>
      <c r="N100" s="4">
        <v>0.19400000000000001</v>
      </c>
      <c r="O100" s="4">
        <v>1</v>
      </c>
      <c r="P100" s="4">
        <v>87</v>
      </c>
      <c r="Q100" s="8">
        <v>88</v>
      </c>
    </row>
    <row r="101" spans="1:17" x14ac:dyDescent="0.25">
      <c r="A101" s="7">
        <v>100</v>
      </c>
      <c r="B101" s="3">
        <v>40548</v>
      </c>
      <c r="C101" s="2">
        <v>1</v>
      </c>
      <c r="D101" s="2">
        <v>0</v>
      </c>
      <c r="E101" s="2">
        <v>1</v>
      </c>
      <c r="F101" s="2">
        <v>8</v>
      </c>
      <c r="G101" s="2" t="str" cm="1">
        <f t="array" ref="G101">_xlfn.IFS(F101&lt;3,"Night",F101&lt;=6,"Early Morning",F101&lt;8,"Morning",F101&lt;10,"Late Morning",F101&lt;12,"Afternoon",F101&lt;16,"Afternoon",F101&lt;=18,"Early Evening",F101&lt;=20,"Evening",F101&lt;=22,"Late Evening",F101&lt;=23,"Night")</f>
        <v>Late Morning</v>
      </c>
      <c r="H101" s="2" t="b">
        <v>0</v>
      </c>
      <c r="I101" s="2">
        <v>3</v>
      </c>
      <c r="J101" s="2">
        <v>1</v>
      </c>
      <c r="K101" s="14">
        <v>0.2</v>
      </c>
      <c r="L101" s="4">
        <v>0.18179999999999999</v>
      </c>
      <c r="M101" s="4">
        <v>0.4</v>
      </c>
      <c r="N101" s="4">
        <v>0.29849999999999999</v>
      </c>
      <c r="O101" s="4">
        <v>3</v>
      </c>
      <c r="P101" s="4">
        <v>192</v>
      </c>
      <c r="Q101" s="8">
        <v>195</v>
      </c>
    </row>
    <row r="102" spans="1:17" x14ac:dyDescent="0.25">
      <c r="A102" s="7">
        <v>101</v>
      </c>
      <c r="B102" s="3">
        <v>40548</v>
      </c>
      <c r="C102" s="2">
        <v>1</v>
      </c>
      <c r="D102" s="2">
        <v>0</v>
      </c>
      <c r="E102" s="2">
        <v>1</v>
      </c>
      <c r="F102" s="2">
        <v>9</v>
      </c>
      <c r="G102" s="2" t="str" cm="1">
        <f t="array" ref="G102">_xlfn.IFS(F102&lt;3,"Night",F102&lt;=6,"Early Morning",F102&lt;8,"Morning",F102&lt;10,"Late Morning",F102&lt;12,"Afternoon",F102&lt;16,"Afternoon",F102&lt;=18,"Early Evening",F102&lt;=20,"Evening",F102&lt;=22,"Late Evening",F102&lt;=23,"Night")</f>
        <v>Late Morning</v>
      </c>
      <c r="H102" s="2" t="b">
        <v>0</v>
      </c>
      <c r="I102" s="2">
        <v>3</v>
      </c>
      <c r="J102" s="2">
        <v>1</v>
      </c>
      <c r="K102" s="14">
        <v>0.22</v>
      </c>
      <c r="L102" s="4">
        <v>0.19700000000000001</v>
      </c>
      <c r="M102" s="4">
        <v>0.37</v>
      </c>
      <c r="N102" s="4">
        <v>0.32840000000000003</v>
      </c>
      <c r="O102" s="4">
        <v>6</v>
      </c>
      <c r="P102" s="4">
        <v>109</v>
      </c>
      <c r="Q102" s="8">
        <v>115</v>
      </c>
    </row>
    <row r="103" spans="1:17" x14ac:dyDescent="0.25">
      <c r="A103" s="7">
        <v>102</v>
      </c>
      <c r="B103" s="3">
        <v>40548</v>
      </c>
      <c r="C103" s="2">
        <v>1</v>
      </c>
      <c r="D103" s="2">
        <v>0</v>
      </c>
      <c r="E103" s="2">
        <v>1</v>
      </c>
      <c r="F103" s="2">
        <v>10</v>
      </c>
      <c r="G103" s="2" t="str" cm="1">
        <f t="array" ref="G103">_xlfn.IFS(F103&lt;3,"Night",F103&lt;=6,"Early Morning",F103&lt;8,"Morning",F103&lt;10,"Late Morning",F103&lt;12,"Afternoon",F103&lt;16,"Afternoon",F103&lt;=18,"Early Evening",F103&lt;=20,"Evening",F103&lt;=22,"Late Evening",F103&lt;=23,"Night")</f>
        <v>Afternoon</v>
      </c>
      <c r="H103" s="2" t="b">
        <v>0</v>
      </c>
      <c r="I103" s="2">
        <v>3</v>
      </c>
      <c r="J103" s="2">
        <v>1</v>
      </c>
      <c r="K103" s="14">
        <v>0.22</v>
      </c>
      <c r="L103" s="4">
        <v>0.19700000000000001</v>
      </c>
      <c r="M103" s="4">
        <v>0.37</v>
      </c>
      <c r="N103" s="4">
        <v>0.32840000000000003</v>
      </c>
      <c r="O103" s="4">
        <v>4</v>
      </c>
      <c r="P103" s="4">
        <v>53</v>
      </c>
      <c r="Q103" s="8">
        <v>57</v>
      </c>
    </row>
    <row r="104" spans="1:17" x14ac:dyDescent="0.25">
      <c r="A104" s="7">
        <v>103</v>
      </c>
      <c r="B104" s="3">
        <v>40548</v>
      </c>
      <c r="C104" s="2">
        <v>1</v>
      </c>
      <c r="D104" s="2">
        <v>0</v>
      </c>
      <c r="E104" s="2">
        <v>1</v>
      </c>
      <c r="F104" s="2">
        <v>11</v>
      </c>
      <c r="G104" s="2" t="str" cm="1">
        <f t="array" ref="G104">_xlfn.IFS(F104&lt;3,"Night",F104&lt;=6,"Early Morning",F104&lt;8,"Morning",F104&lt;10,"Late Morning",F104&lt;12,"Afternoon",F104&lt;16,"Afternoon",F104&lt;=18,"Early Evening",F104&lt;=20,"Evening",F104&lt;=22,"Late Evening",F104&lt;=23,"Night")</f>
        <v>Afternoon</v>
      </c>
      <c r="H104" s="2" t="b">
        <v>0</v>
      </c>
      <c r="I104" s="2">
        <v>3</v>
      </c>
      <c r="J104" s="2">
        <v>1</v>
      </c>
      <c r="K104" s="14">
        <v>0.26</v>
      </c>
      <c r="L104" s="4">
        <v>0.2273</v>
      </c>
      <c r="M104" s="4">
        <v>0.33</v>
      </c>
      <c r="N104" s="4">
        <v>0.32840000000000003</v>
      </c>
      <c r="O104" s="4">
        <v>12</v>
      </c>
      <c r="P104" s="4">
        <v>34</v>
      </c>
      <c r="Q104" s="8">
        <v>46</v>
      </c>
    </row>
    <row r="105" spans="1:17" x14ac:dyDescent="0.25">
      <c r="A105" s="7">
        <v>104</v>
      </c>
      <c r="B105" s="3">
        <v>40548</v>
      </c>
      <c r="C105" s="2">
        <v>1</v>
      </c>
      <c r="D105" s="2">
        <v>0</v>
      </c>
      <c r="E105" s="2">
        <v>1</v>
      </c>
      <c r="F105" s="2">
        <v>12</v>
      </c>
      <c r="G105" s="2" t="str" cm="1">
        <f t="array" ref="G105">_xlfn.IFS(F105&lt;3,"Night",F105&lt;=6,"Early Morning",F105&lt;8,"Morning",F105&lt;10,"Late Morning",F105&lt;12,"Afternoon",F105&lt;16,"Afternoon",F105&lt;=18,"Early Evening",F105&lt;=20,"Evening",F105&lt;=22,"Late Evening",F105&lt;=23,"Night")</f>
        <v>Afternoon</v>
      </c>
      <c r="H105" s="2" t="b">
        <v>0</v>
      </c>
      <c r="I105" s="2">
        <v>3</v>
      </c>
      <c r="J105" s="2">
        <v>1</v>
      </c>
      <c r="K105" s="14">
        <v>0.26</v>
      </c>
      <c r="L105" s="4">
        <v>0.2273</v>
      </c>
      <c r="M105" s="4">
        <v>0.33</v>
      </c>
      <c r="N105" s="4">
        <v>0.32840000000000003</v>
      </c>
      <c r="O105" s="4">
        <v>5</v>
      </c>
      <c r="P105" s="4">
        <v>74</v>
      </c>
      <c r="Q105" s="8">
        <v>79</v>
      </c>
    </row>
    <row r="106" spans="1:17" x14ac:dyDescent="0.25">
      <c r="A106" s="7">
        <v>105</v>
      </c>
      <c r="B106" s="3">
        <v>40548</v>
      </c>
      <c r="C106" s="2">
        <v>1</v>
      </c>
      <c r="D106" s="2">
        <v>0</v>
      </c>
      <c r="E106" s="2">
        <v>1</v>
      </c>
      <c r="F106" s="2">
        <v>13</v>
      </c>
      <c r="G106" s="2" t="str" cm="1">
        <f t="array" ref="G106">_xlfn.IFS(F106&lt;3,"Night",F106&lt;=6,"Early Morning",F106&lt;8,"Morning",F106&lt;10,"Late Morning",F106&lt;12,"Afternoon",F106&lt;16,"Afternoon",F106&lt;=18,"Early Evening",F106&lt;=20,"Evening",F106&lt;=22,"Late Evening",F106&lt;=23,"Night")</f>
        <v>Afternoon</v>
      </c>
      <c r="H106" s="2" t="b">
        <v>0</v>
      </c>
      <c r="I106" s="2">
        <v>3</v>
      </c>
      <c r="J106" s="2">
        <v>1</v>
      </c>
      <c r="K106" s="14">
        <v>0.28000000000000003</v>
      </c>
      <c r="L106" s="4">
        <v>0.2576</v>
      </c>
      <c r="M106" s="4">
        <v>0.3</v>
      </c>
      <c r="N106" s="4">
        <v>0.29849999999999999</v>
      </c>
      <c r="O106" s="4">
        <v>6</v>
      </c>
      <c r="P106" s="4">
        <v>65</v>
      </c>
      <c r="Q106" s="8">
        <v>71</v>
      </c>
    </row>
    <row r="107" spans="1:17" x14ac:dyDescent="0.25">
      <c r="A107" s="7">
        <v>106</v>
      </c>
      <c r="B107" s="3">
        <v>40548</v>
      </c>
      <c r="C107" s="2">
        <v>1</v>
      </c>
      <c r="D107" s="2">
        <v>0</v>
      </c>
      <c r="E107" s="2">
        <v>1</v>
      </c>
      <c r="F107" s="2">
        <v>14</v>
      </c>
      <c r="G107" s="2" t="str" cm="1">
        <f t="array" ref="G107">_xlfn.IFS(F107&lt;3,"Night",F107&lt;=6,"Early Morning",F107&lt;8,"Morning",F107&lt;10,"Late Morning",F107&lt;12,"Afternoon",F107&lt;16,"Afternoon",F107&lt;=18,"Early Evening",F107&lt;=20,"Evening",F107&lt;=22,"Late Evening",F107&lt;=23,"Night")</f>
        <v>Afternoon</v>
      </c>
      <c r="H107" s="2" t="b">
        <v>0</v>
      </c>
      <c r="I107" s="2">
        <v>3</v>
      </c>
      <c r="J107" s="2">
        <v>1</v>
      </c>
      <c r="K107" s="14">
        <v>0.3</v>
      </c>
      <c r="L107" s="4">
        <v>0.28789999999999999</v>
      </c>
      <c r="M107" s="4">
        <v>0.28000000000000003</v>
      </c>
      <c r="N107" s="4">
        <v>0.19400000000000001</v>
      </c>
      <c r="O107" s="4">
        <v>10</v>
      </c>
      <c r="P107" s="4">
        <v>52</v>
      </c>
      <c r="Q107" s="8">
        <v>62</v>
      </c>
    </row>
    <row r="108" spans="1:17" x14ac:dyDescent="0.25">
      <c r="A108" s="7">
        <v>107</v>
      </c>
      <c r="B108" s="3">
        <v>40548</v>
      </c>
      <c r="C108" s="2">
        <v>1</v>
      </c>
      <c r="D108" s="2">
        <v>0</v>
      </c>
      <c r="E108" s="2">
        <v>1</v>
      </c>
      <c r="F108" s="2">
        <v>15</v>
      </c>
      <c r="G108" s="2" t="str" cm="1">
        <f t="array" ref="G108">_xlfn.IFS(F108&lt;3,"Night",F108&lt;=6,"Early Morning",F108&lt;8,"Morning",F108&lt;10,"Late Morning",F108&lt;12,"Afternoon",F108&lt;16,"Afternoon",F108&lt;=18,"Early Evening",F108&lt;=20,"Evening",F108&lt;=22,"Late Evening",F108&lt;=23,"Night")</f>
        <v>Afternoon</v>
      </c>
      <c r="H108" s="2" t="b">
        <v>0</v>
      </c>
      <c r="I108" s="2">
        <v>3</v>
      </c>
      <c r="J108" s="2">
        <v>1</v>
      </c>
      <c r="K108" s="14">
        <v>0.3</v>
      </c>
      <c r="L108" s="4">
        <v>0.28789999999999999</v>
      </c>
      <c r="M108" s="4">
        <v>0.28000000000000003</v>
      </c>
      <c r="N108" s="4">
        <v>0.19400000000000001</v>
      </c>
      <c r="O108" s="4">
        <v>7</v>
      </c>
      <c r="P108" s="4">
        <v>55</v>
      </c>
      <c r="Q108" s="8">
        <v>62</v>
      </c>
    </row>
    <row r="109" spans="1:17" x14ac:dyDescent="0.25">
      <c r="A109" s="7">
        <v>108</v>
      </c>
      <c r="B109" s="3">
        <v>40548</v>
      </c>
      <c r="C109" s="2">
        <v>1</v>
      </c>
      <c r="D109" s="2">
        <v>0</v>
      </c>
      <c r="E109" s="2">
        <v>1</v>
      </c>
      <c r="F109" s="2">
        <v>16</v>
      </c>
      <c r="G109" s="2" t="str" cm="1">
        <f t="array" ref="G109">_xlfn.IFS(F109&lt;3,"Night",F109&lt;=6,"Early Morning",F109&lt;8,"Morning",F109&lt;10,"Late Morning",F109&lt;12,"Afternoon",F109&lt;16,"Afternoon",F109&lt;=18,"Early Evening",F109&lt;=20,"Evening",F109&lt;=22,"Late Evening",F109&lt;=23,"Night")</f>
        <v>Early Evening</v>
      </c>
      <c r="H109" s="2" t="b">
        <v>0</v>
      </c>
      <c r="I109" s="2">
        <v>3</v>
      </c>
      <c r="J109" s="2">
        <v>1</v>
      </c>
      <c r="K109" s="14">
        <v>0.3</v>
      </c>
      <c r="L109" s="4">
        <v>0.31819999999999998</v>
      </c>
      <c r="M109" s="4">
        <v>0.28000000000000003</v>
      </c>
      <c r="N109" s="4">
        <v>8.9599999999999999E-2</v>
      </c>
      <c r="O109" s="4">
        <v>4</v>
      </c>
      <c r="P109" s="4">
        <v>85</v>
      </c>
      <c r="Q109" s="8">
        <v>89</v>
      </c>
    </row>
    <row r="110" spans="1:17" x14ac:dyDescent="0.25">
      <c r="A110" s="7">
        <v>109</v>
      </c>
      <c r="B110" s="3">
        <v>40548</v>
      </c>
      <c r="C110" s="2">
        <v>1</v>
      </c>
      <c r="D110" s="2">
        <v>0</v>
      </c>
      <c r="E110" s="2">
        <v>1</v>
      </c>
      <c r="F110" s="2">
        <v>17</v>
      </c>
      <c r="G110" s="2" t="str" cm="1">
        <f t="array" ref="G110">_xlfn.IFS(F110&lt;3,"Night",F110&lt;=6,"Early Morning",F110&lt;8,"Morning",F110&lt;10,"Late Morning",F110&lt;12,"Afternoon",F110&lt;16,"Afternoon",F110&lt;=18,"Early Evening",F110&lt;=20,"Evening",F110&lt;=22,"Late Evening",F110&lt;=23,"Night")</f>
        <v>Early Evening</v>
      </c>
      <c r="H110" s="2" t="b">
        <v>0</v>
      </c>
      <c r="I110" s="2">
        <v>3</v>
      </c>
      <c r="J110" s="2">
        <v>1</v>
      </c>
      <c r="K110" s="14">
        <v>0.24</v>
      </c>
      <c r="L110" s="4">
        <v>0.2273</v>
      </c>
      <c r="M110" s="4">
        <v>0.38</v>
      </c>
      <c r="N110" s="4">
        <v>0.19400000000000001</v>
      </c>
      <c r="O110" s="4">
        <v>4</v>
      </c>
      <c r="P110" s="4">
        <v>186</v>
      </c>
      <c r="Q110" s="8">
        <v>190</v>
      </c>
    </row>
    <row r="111" spans="1:17" x14ac:dyDescent="0.25">
      <c r="A111" s="7">
        <v>110</v>
      </c>
      <c r="B111" s="3">
        <v>40548</v>
      </c>
      <c r="C111" s="2">
        <v>1</v>
      </c>
      <c r="D111" s="2">
        <v>0</v>
      </c>
      <c r="E111" s="2">
        <v>1</v>
      </c>
      <c r="F111" s="2">
        <v>18</v>
      </c>
      <c r="G111" s="2" t="str" cm="1">
        <f t="array" ref="G111">_xlfn.IFS(F111&lt;3,"Night",F111&lt;=6,"Early Morning",F111&lt;8,"Morning",F111&lt;10,"Late Morning",F111&lt;12,"Afternoon",F111&lt;16,"Afternoon",F111&lt;=18,"Early Evening",F111&lt;=20,"Evening",F111&lt;=22,"Late Evening",F111&lt;=23,"Night")</f>
        <v>Early Evening</v>
      </c>
      <c r="H111" s="2" t="b">
        <v>0</v>
      </c>
      <c r="I111" s="2">
        <v>3</v>
      </c>
      <c r="J111" s="2">
        <v>1</v>
      </c>
      <c r="K111" s="14">
        <v>0.24</v>
      </c>
      <c r="L111" s="4">
        <v>0.2424</v>
      </c>
      <c r="M111" s="4">
        <v>0.38</v>
      </c>
      <c r="N111" s="4">
        <v>0.1343</v>
      </c>
      <c r="O111" s="4">
        <v>3</v>
      </c>
      <c r="P111" s="4">
        <v>166</v>
      </c>
      <c r="Q111" s="8">
        <v>169</v>
      </c>
    </row>
    <row r="112" spans="1:17" x14ac:dyDescent="0.25">
      <c r="A112" s="7">
        <v>111</v>
      </c>
      <c r="B112" s="3">
        <v>40548</v>
      </c>
      <c r="C112" s="2">
        <v>1</v>
      </c>
      <c r="D112" s="2">
        <v>0</v>
      </c>
      <c r="E112" s="2">
        <v>1</v>
      </c>
      <c r="F112" s="2">
        <v>19</v>
      </c>
      <c r="G112" s="2" t="str" cm="1">
        <f t="array" ref="G112">_xlfn.IFS(F112&lt;3,"Night",F112&lt;=6,"Early Morning",F112&lt;8,"Morning",F112&lt;10,"Late Morning",F112&lt;12,"Afternoon",F112&lt;16,"Afternoon",F112&lt;=18,"Early Evening",F112&lt;=20,"Evening",F112&lt;=22,"Late Evening",F112&lt;=23,"Night")</f>
        <v>Evening</v>
      </c>
      <c r="H112" s="2" t="b">
        <v>0</v>
      </c>
      <c r="I112" s="2">
        <v>3</v>
      </c>
      <c r="J112" s="2">
        <v>1</v>
      </c>
      <c r="K112" s="14">
        <v>0.24</v>
      </c>
      <c r="L112" s="4">
        <v>0.2576</v>
      </c>
      <c r="M112" s="4">
        <v>0.38</v>
      </c>
      <c r="N112" s="4">
        <v>0.1045</v>
      </c>
      <c r="O112" s="4">
        <v>5</v>
      </c>
      <c r="P112" s="4">
        <v>127</v>
      </c>
      <c r="Q112" s="8">
        <v>132</v>
      </c>
    </row>
    <row r="113" spans="1:17" x14ac:dyDescent="0.25">
      <c r="A113" s="7">
        <v>112</v>
      </c>
      <c r="B113" s="3">
        <v>40548</v>
      </c>
      <c r="C113" s="2">
        <v>1</v>
      </c>
      <c r="D113" s="2">
        <v>0</v>
      </c>
      <c r="E113" s="2">
        <v>1</v>
      </c>
      <c r="F113" s="2">
        <v>20</v>
      </c>
      <c r="G113" s="2" t="str" cm="1">
        <f t="array" ref="G113">_xlfn.IFS(F113&lt;3,"Night",F113&lt;=6,"Early Morning",F113&lt;8,"Morning",F113&lt;10,"Late Morning",F113&lt;12,"Afternoon",F113&lt;16,"Afternoon",F113&lt;=18,"Early Evening",F113&lt;=20,"Evening",F113&lt;=22,"Late Evening",F113&lt;=23,"Night")</f>
        <v>Evening</v>
      </c>
      <c r="H113" s="2" t="b">
        <v>0</v>
      </c>
      <c r="I113" s="2">
        <v>3</v>
      </c>
      <c r="J113" s="2">
        <v>1</v>
      </c>
      <c r="K113" s="14">
        <v>0.22</v>
      </c>
      <c r="L113" s="4">
        <v>0.2273</v>
      </c>
      <c r="M113" s="4">
        <v>0.47</v>
      </c>
      <c r="N113" s="4">
        <v>0.16420000000000001</v>
      </c>
      <c r="O113" s="4">
        <v>7</v>
      </c>
      <c r="P113" s="4">
        <v>82</v>
      </c>
      <c r="Q113" s="8">
        <v>89</v>
      </c>
    </row>
    <row r="114" spans="1:17" x14ac:dyDescent="0.25">
      <c r="A114" s="7">
        <v>113</v>
      </c>
      <c r="B114" s="3">
        <v>40548</v>
      </c>
      <c r="C114" s="2">
        <v>1</v>
      </c>
      <c r="D114" s="2">
        <v>0</v>
      </c>
      <c r="E114" s="2">
        <v>1</v>
      </c>
      <c r="F114" s="2">
        <v>21</v>
      </c>
      <c r="G114" s="2" t="str" cm="1">
        <f t="array" ref="G114">_xlfn.IFS(F114&lt;3,"Night",F114&lt;=6,"Early Morning",F114&lt;8,"Morning",F114&lt;10,"Late Morning",F114&lt;12,"Afternoon",F114&lt;16,"Afternoon",F114&lt;=18,"Early Evening",F114&lt;=20,"Evening",F114&lt;=22,"Late Evening",F114&lt;=23,"Night")</f>
        <v>Late Evening</v>
      </c>
      <c r="H114" s="2" t="b">
        <v>0</v>
      </c>
      <c r="I114" s="2">
        <v>3</v>
      </c>
      <c r="J114" s="2">
        <v>1</v>
      </c>
      <c r="K114" s="14">
        <v>0.2</v>
      </c>
      <c r="L114" s="4">
        <v>0.19700000000000001</v>
      </c>
      <c r="M114" s="4">
        <v>0.51</v>
      </c>
      <c r="N114" s="4">
        <v>0.19400000000000001</v>
      </c>
      <c r="O114" s="4">
        <v>3</v>
      </c>
      <c r="P114" s="4">
        <v>40</v>
      </c>
      <c r="Q114" s="8">
        <v>43</v>
      </c>
    </row>
    <row r="115" spans="1:17" x14ac:dyDescent="0.25">
      <c r="A115" s="7">
        <v>114</v>
      </c>
      <c r="B115" s="3">
        <v>40548</v>
      </c>
      <c r="C115" s="2">
        <v>1</v>
      </c>
      <c r="D115" s="2">
        <v>0</v>
      </c>
      <c r="E115" s="2">
        <v>1</v>
      </c>
      <c r="F115" s="2">
        <v>22</v>
      </c>
      <c r="G115" s="2" t="str" cm="1">
        <f t="array" ref="G115">_xlfn.IFS(F115&lt;3,"Night",F115&lt;=6,"Early Morning",F115&lt;8,"Morning",F115&lt;10,"Late Morning",F115&lt;12,"Afternoon",F115&lt;16,"Afternoon",F115&lt;=18,"Early Evening",F115&lt;=20,"Evening",F115&lt;=22,"Late Evening",F115&lt;=23,"Night")</f>
        <v>Late Evening</v>
      </c>
      <c r="H115" s="2" t="b">
        <v>0</v>
      </c>
      <c r="I115" s="2">
        <v>3</v>
      </c>
      <c r="J115" s="2">
        <v>1</v>
      </c>
      <c r="K115" s="14">
        <v>0.18</v>
      </c>
      <c r="L115" s="4">
        <v>0.19700000000000001</v>
      </c>
      <c r="M115" s="4">
        <v>0.55000000000000004</v>
      </c>
      <c r="N115" s="4">
        <v>0.1343</v>
      </c>
      <c r="O115" s="4">
        <v>1</v>
      </c>
      <c r="P115" s="4">
        <v>41</v>
      </c>
      <c r="Q115" s="8">
        <v>42</v>
      </c>
    </row>
    <row r="116" spans="1:17" x14ac:dyDescent="0.25">
      <c r="A116" s="7">
        <v>115</v>
      </c>
      <c r="B116" s="3">
        <v>40548</v>
      </c>
      <c r="C116" s="2">
        <v>1</v>
      </c>
      <c r="D116" s="2">
        <v>0</v>
      </c>
      <c r="E116" s="2">
        <v>1</v>
      </c>
      <c r="F116" s="2">
        <v>23</v>
      </c>
      <c r="G116" s="2" t="str" cm="1">
        <f t="array" ref="G116">_xlfn.IFS(F116&lt;3,"Night",F116&lt;=6,"Early Morning",F116&lt;8,"Morning",F116&lt;10,"Late Morning",F116&lt;12,"Afternoon",F116&lt;16,"Afternoon",F116&lt;=18,"Early Evening",F116&lt;=20,"Evening",F116&lt;=22,"Late Evening",F116&lt;=23,"Night")</f>
        <v>Night</v>
      </c>
      <c r="H116" s="2" t="b">
        <v>0</v>
      </c>
      <c r="I116" s="2">
        <v>3</v>
      </c>
      <c r="J116" s="2">
        <v>1</v>
      </c>
      <c r="K116" s="14">
        <v>0.2</v>
      </c>
      <c r="L116" s="4">
        <v>0.2576</v>
      </c>
      <c r="M116" s="4">
        <v>0.47</v>
      </c>
      <c r="N116" s="4">
        <v>0</v>
      </c>
      <c r="O116" s="4">
        <v>1</v>
      </c>
      <c r="P116" s="4">
        <v>18</v>
      </c>
      <c r="Q116" s="8">
        <v>19</v>
      </c>
    </row>
    <row r="117" spans="1:17" x14ac:dyDescent="0.25">
      <c r="A117" s="7">
        <v>116</v>
      </c>
      <c r="B117" s="3">
        <v>40549</v>
      </c>
      <c r="C117" s="2">
        <v>1</v>
      </c>
      <c r="D117" s="2">
        <v>0</v>
      </c>
      <c r="E117" s="2">
        <v>1</v>
      </c>
      <c r="F117" s="2">
        <v>0</v>
      </c>
      <c r="G117" s="2" t="str" cm="1">
        <f t="array" ref="G117">_xlfn.IFS(F117&lt;3,"Night",F117&lt;=6,"Early Morning",F117&lt;8,"Morning",F117&lt;10,"Late Morning",F117&lt;12,"Afternoon",F117&lt;16,"Afternoon",F117&lt;=18,"Early Evening",F117&lt;=20,"Evening",F117&lt;=22,"Late Evening",F117&lt;=23,"Night")</f>
        <v>Night</v>
      </c>
      <c r="H117" s="2" t="b">
        <v>0</v>
      </c>
      <c r="I117" s="2">
        <v>4</v>
      </c>
      <c r="J117" s="2">
        <v>1</v>
      </c>
      <c r="K117" s="14">
        <v>0.18</v>
      </c>
      <c r="L117" s="4">
        <v>0.2424</v>
      </c>
      <c r="M117" s="4">
        <v>0.55000000000000004</v>
      </c>
      <c r="N117" s="4">
        <v>0</v>
      </c>
      <c r="O117" s="4">
        <v>0</v>
      </c>
      <c r="P117" s="4">
        <v>11</v>
      </c>
      <c r="Q117" s="8">
        <v>11</v>
      </c>
    </row>
    <row r="118" spans="1:17" x14ac:dyDescent="0.25">
      <c r="A118" s="7">
        <v>117</v>
      </c>
      <c r="B118" s="3">
        <v>40549</v>
      </c>
      <c r="C118" s="2">
        <v>1</v>
      </c>
      <c r="D118" s="2">
        <v>0</v>
      </c>
      <c r="E118" s="2">
        <v>1</v>
      </c>
      <c r="F118" s="2">
        <v>1</v>
      </c>
      <c r="G118" s="2" t="str" cm="1">
        <f t="array" ref="G118">_xlfn.IFS(F118&lt;3,"Night",F118&lt;=6,"Early Morning",F118&lt;8,"Morning",F118&lt;10,"Late Morning",F118&lt;12,"Afternoon",F118&lt;16,"Afternoon",F118&lt;=18,"Early Evening",F118&lt;=20,"Evening",F118&lt;=22,"Late Evening",F118&lt;=23,"Night")</f>
        <v>Night</v>
      </c>
      <c r="H118" s="2" t="b">
        <v>0</v>
      </c>
      <c r="I118" s="2">
        <v>4</v>
      </c>
      <c r="J118" s="2">
        <v>1</v>
      </c>
      <c r="K118" s="14">
        <v>0.16</v>
      </c>
      <c r="L118" s="4">
        <v>0.2273</v>
      </c>
      <c r="M118" s="4">
        <v>0.64</v>
      </c>
      <c r="N118" s="4">
        <v>0</v>
      </c>
      <c r="O118" s="4">
        <v>0</v>
      </c>
      <c r="P118" s="4">
        <v>4</v>
      </c>
      <c r="Q118" s="8">
        <v>4</v>
      </c>
    </row>
    <row r="119" spans="1:17" x14ac:dyDescent="0.25">
      <c r="A119" s="7">
        <v>118</v>
      </c>
      <c r="B119" s="3">
        <v>40549</v>
      </c>
      <c r="C119" s="2">
        <v>1</v>
      </c>
      <c r="D119" s="2">
        <v>0</v>
      </c>
      <c r="E119" s="2">
        <v>1</v>
      </c>
      <c r="F119" s="2">
        <v>2</v>
      </c>
      <c r="G119" s="2" t="str" cm="1">
        <f t="array" ref="G119">_xlfn.IFS(F119&lt;3,"Night",F119&lt;=6,"Early Morning",F119&lt;8,"Morning",F119&lt;10,"Late Morning",F119&lt;12,"Afternoon",F119&lt;16,"Afternoon",F119&lt;=18,"Early Evening",F119&lt;=20,"Evening",F119&lt;=22,"Late Evening",F119&lt;=23,"Night")</f>
        <v>Night</v>
      </c>
      <c r="H119" s="2" t="b">
        <v>0</v>
      </c>
      <c r="I119" s="2">
        <v>4</v>
      </c>
      <c r="J119" s="2">
        <v>1</v>
      </c>
      <c r="K119" s="14">
        <v>0.16</v>
      </c>
      <c r="L119" s="4">
        <v>0.2273</v>
      </c>
      <c r="M119" s="4">
        <v>0.64</v>
      </c>
      <c r="N119" s="4">
        <v>0</v>
      </c>
      <c r="O119" s="4">
        <v>0</v>
      </c>
      <c r="P119" s="4">
        <v>2</v>
      </c>
      <c r="Q119" s="8">
        <v>2</v>
      </c>
    </row>
    <row r="120" spans="1:17" x14ac:dyDescent="0.25">
      <c r="A120" s="7">
        <v>119</v>
      </c>
      <c r="B120" s="3">
        <v>40549</v>
      </c>
      <c r="C120" s="2">
        <v>1</v>
      </c>
      <c r="D120" s="2">
        <v>0</v>
      </c>
      <c r="E120" s="2">
        <v>1</v>
      </c>
      <c r="F120" s="2">
        <v>4</v>
      </c>
      <c r="G120" s="2" t="str" cm="1">
        <f t="array" ref="G120">_xlfn.IFS(F120&lt;3,"Night",F120&lt;=6,"Early Morning",F120&lt;8,"Morning",F120&lt;10,"Late Morning",F120&lt;12,"Afternoon",F120&lt;16,"Afternoon",F120&lt;=18,"Early Evening",F120&lt;=20,"Evening",F120&lt;=22,"Late Evening",F120&lt;=23,"Night")</f>
        <v>Early Morning</v>
      </c>
      <c r="H120" s="2" t="b">
        <v>0</v>
      </c>
      <c r="I120" s="2">
        <v>4</v>
      </c>
      <c r="J120" s="2">
        <v>2</v>
      </c>
      <c r="K120" s="14">
        <v>0.16</v>
      </c>
      <c r="L120" s="4">
        <v>0.19700000000000001</v>
      </c>
      <c r="M120" s="4">
        <v>0.64</v>
      </c>
      <c r="N120" s="4">
        <v>8.9599999999999999E-2</v>
      </c>
      <c r="O120" s="4">
        <v>0</v>
      </c>
      <c r="P120" s="4">
        <v>1</v>
      </c>
      <c r="Q120" s="8">
        <v>1</v>
      </c>
    </row>
    <row r="121" spans="1:17" x14ac:dyDescent="0.25">
      <c r="A121" s="7">
        <v>120</v>
      </c>
      <c r="B121" s="3">
        <v>40549</v>
      </c>
      <c r="C121" s="2">
        <v>1</v>
      </c>
      <c r="D121" s="2">
        <v>0</v>
      </c>
      <c r="E121" s="2">
        <v>1</v>
      </c>
      <c r="F121" s="2">
        <v>5</v>
      </c>
      <c r="G121" s="2" t="str" cm="1">
        <f t="array" ref="G121">_xlfn.IFS(F121&lt;3,"Night",F121&lt;=6,"Early Morning",F121&lt;8,"Morning",F121&lt;10,"Late Morning",F121&lt;12,"Afternoon",F121&lt;16,"Afternoon",F121&lt;=18,"Early Evening",F121&lt;=20,"Evening",F121&lt;=22,"Late Evening",F121&lt;=23,"Night")</f>
        <v>Early Morning</v>
      </c>
      <c r="H121" s="2" t="b">
        <v>0</v>
      </c>
      <c r="I121" s="2">
        <v>4</v>
      </c>
      <c r="J121" s="2">
        <v>2</v>
      </c>
      <c r="K121" s="14">
        <v>0.14000000000000001</v>
      </c>
      <c r="L121" s="4">
        <v>0.18179999999999999</v>
      </c>
      <c r="M121" s="4">
        <v>0.69</v>
      </c>
      <c r="N121" s="4">
        <v>8.9599999999999999E-2</v>
      </c>
      <c r="O121" s="4">
        <v>0</v>
      </c>
      <c r="P121" s="4">
        <v>4</v>
      </c>
      <c r="Q121" s="8">
        <v>4</v>
      </c>
    </row>
    <row r="122" spans="1:17" x14ac:dyDescent="0.25">
      <c r="A122" s="7">
        <v>121</v>
      </c>
      <c r="B122" s="3">
        <v>40549</v>
      </c>
      <c r="C122" s="2">
        <v>1</v>
      </c>
      <c r="D122" s="2">
        <v>0</v>
      </c>
      <c r="E122" s="2">
        <v>1</v>
      </c>
      <c r="F122" s="2">
        <v>6</v>
      </c>
      <c r="G122" s="2" t="str" cm="1">
        <f t="array" ref="G122">_xlfn.IFS(F122&lt;3,"Night",F122&lt;=6,"Early Morning",F122&lt;8,"Morning",F122&lt;10,"Late Morning",F122&lt;12,"Afternoon",F122&lt;16,"Afternoon",F122&lt;=18,"Early Evening",F122&lt;=20,"Evening",F122&lt;=22,"Late Evening",F122&lt;=23,"Night")</f>
        <v>Early Morning</v>
      </c>
      <c r="H122" s="2" t="b">
        <v>0</v>
      </c>
      <c r="I122" s="2">
        <v>4</v>
      </c>
      <c r="J122" s="2">
        <v>2</v>
      </c>
      <c r="K122" s="14">
        <v>0.14000000000000001</v>
      </c>
      <c r="L122" s="4">
        <v>0.16669999999999999</v>
      </c>
      <c r="M122" s="4">
        <v>0.63</v>
      </c>
      <c r="N122" s="4">
        <v>0.1045</v>
      </c>
      <c r="O122" s="4">
        <v>0</v>
      </c>
      <c r="P122" s="4">
        <v>36</v>
      </c>
      <c r="Q122" s="8">
        <v>36</v>
      </c>
    </row>
    <row r="123" spans="1:17" x14ac:dyDescent="0.25">
      <c r="A123" s="7">
        <v>122</v>
      </c>
      <c r="B123" s="3">
        <v>40549</v>
      </c>
      <c r="C123" s="2">
        <v>1</v>
      </c>
      <c r="D123" s="2">
        <v>0</v>
      </c>
      <c r="E123" s="2">
        <v>1</v>
      </c>
      <c r="F123" s="2">
        <v>7</v>
      </c>
      <c r="G123" s="2" t="str" cm="1">
        <f t="array" ref="G123">_xlfn.IFS(F123&lt;3,"Night",F123&lt;=6,"Early Morning",F123&lt;8,"Morning",F123&lt;10,"Late Morning",F123&lt;12,"Afternoon",F123&lt;16,"Afternoon",F123&lt;=18,"Early Evening",F123&lt;=20,"Evening",F123&lt;=22,"Late Evening",F123&lt;=23,"Night")</f>
        <v>Morning</v>
      </c>
      <c r="H123" s="2" t="b">
        <v>0</v>
      </c>
      <c r="I123" s="2">
        <v>4</v>
      </c>
      <c r="J123" s="2">
        <v>2</v>
      </c>
      <c r="K123" s="14">
        <v>0.16</v>
      </c>
      <c r="L123" s="4">
        <v>0.2273</v>
      </c>
      <c r="M123" s="4">
        <v>0.59</v>
      </c>
      <c r="N123" s="4">
        <v>0</v>
      </c>
      <c r="O123" s="4">
        <v>0</v>
      </c>
      <c r="P123" s="4">
        <v>95</v>
      </c>
      <c r="Q123" s="8">
        <v>95</v>
      </c>
    </row>
    <row r="124" spans="1:17" x14ac:dyDescent="0.25">
      <c r="A124" s="7">
        <v>123</v>
      </c>
      <c r="B124" s="3">
        <v>40549</v>
      </c>
      <c r="C124" s="2">
        <v>1</v>
      </c>
      <c r="D124" s="2">
        <v>0</v>
      </c>
      <c r="E124" s="2">
        <v>1</v>
      </c>
      <c r="F124" s="2">
        <v>8</v>
      </c>
      <c r="G124" s="2" t="str" cm="1">
        <f t="array" ref="G124">_xlfn.IFS(F124&lt;3,"Night",F124&lt;=6,"Early Morning",F124&lt;8,"Morning",F124&lt;10,"Late Morning",F124&lt;12,"Afternoon",F124&lt;16,"Afternoon",F124&lt;=18,"Early Evening",F124&lt;=20,"Evening",F124&lt;=22,"Late Evening",F124&lt;=23,"Night")</f>
        <v>Late Morning</v>
      </c>
      <c r="H124" s="2" t="b">
        <v>0</v>
      </c>
      <c r="I124" s="2">
        <v>4</v>
      </c>
      <c r="J124" s="2">
        <v>1</v>
      </c>
      <c r="K124" s="14">
        <v>0.16</v>
      </c>
      <c r="L124" s="4">
        <v>0.2273</v>
      </c>
      <c r="M124" s="4">
        <v>0.59</v>
      </c>
      <c r="N124" s="4">
        <v>0</v>
      </c>
      <c r="O124" s="4">
        <v>3</v>
      </c>
      <c r="P124" s="4">
        <v>216</v>
      </c>
      <c r="Q124" s="8">
        <v>219</v>
      </c>
    </row>
    <row r="125" spans="1:17" x14ac:dyDescent="0.25">
      <c r="A125" s="7">
        <v>124</v>
      </c>
      <c r="B125" s="3">
        <v>40549</v>
      </c>
      <c r="C125" s="2">
        <v>1</v>
      </c>
      <c r="D125" s="2">
        <v>0</v>
      </c>
      <c r="E125" s="2">
        <v>1</v>
      </c>
      <c r="F125" s="2">
        <v>9</v>
      </c>
      <c r="G125" s="2" t="str" cm="1">
        <f t="array" ref="G125">_xlfn.IFS(F125&lt;3,"Night",F125&lt;=6,"Early Morning",F125&lt;8,"Morning",F125&lt;10,"Late Morning",F125&lt;12,"Afternoon",F125&lt;16,"Afternoon",F125&lt;=18,"Early Evening",F125&lt;=20,"Evening",F125&lt;=22,"Late Evening",F125&lt;=23,"Night")</f>
        <v>Late Morning</v>
      </c>
      <c r="H125" s="2" t="b">
        <v>0</v>
      </c>
      <c r="I125" s="2">
        <v>4</v>
      </c>
      <c r="J125" s="2">
        <v>2</v>
      </c>
      <c r="K125" s="14">
        <v>0.18</v>
      </c>
      <c r="L125" s="4">
        <v>0.2424</v>
      </c>
      <c r="M125" s="4">
        <v>0.51</v>
      </c>
      <c r="N125" s="4">
        <v>0</v>
      </c>
      <c r="O125" s="4">
        <v>6</v>
      </c>
      <c r="P125" s="4">
        <v>116</v>
      </c>
      <c r="Q125" s="8">
        <v>122</v>
      </c>
    </row>
    <row r="126" spans="1:17" x14ac:dyDescent="0.25">
      <c r="A126" s="7">
        <v>125</v>
      </c>
      <c r="B126" s="3">
        <v>40549</v>
      </c>
      <c r="C126" s="2">
        <v>1</v>
      </c>
      <c r="D126" s="2">
        <v>0</v>
      </c>
      <c r="E126" s="2">
        <v>1</v>
      </c>
      <c r="F126" s="2">
        <v>10</v>
      </c>
      <c r="G126" s="2" t="str" cm="1">
        <f t="array" ref="G126">_xlfn.IFS(F126&lt;3,"Night",F126&lt;=6,"Early Morning",F126&lt;8,"Morning",F126&lt;10,"Late Morning",F126&lt;12,"Afternoon",F126&lt;16,"Afternoon",F126&lt;=18,"Early Evening",F126&lt;=20,"Evening",F126&lt;=22,"Late Evening",F126&lt;=23,"Night")</f>
        <v>Afternoon</v>
      </c>
      <c r="H126" s="2" t="b">
        <v>0</v>
      </c>
      <c r="I126" s="2">
        <v>4</v>
      </c>
      <c r="J126" s="2">
        <v>1</v>
      </c>
      <c r="K126" s="14">
        <v>0.2</v>
      </c>
      <c r="L126" s="4">
        <v>0.2576</v>
      </c>
      <c r="M126" s="4">
        <v>0.47</v>
      </c>
      <c r="N126" s="4">
        <v>0</v>
      </c>
      <c r="O126" s="4">
        <v>3</v>
      </c>
      <c r="P126" s="4">
        <v>42</v>
      </c>
      <c r="Q126" s="8">
        <v>45</v>
      </c>
    </row>
    <row r="127" spans="1:17" x14ac:dyDescent="0.25">
      <c r="A127" s="7">
        <v>126</v>
      </c>
      <c r="B127" s="3">
        <v>40549</v>
      </c>
      <c r="C127" s="2">
        <v>1</v>
      </c>
      <c r="D127" s="2">
        <v>0</v>
      </c>
      <c r="E127" s="2">
        <v>1</v>
      </c>
      <c r="F127" s="2">
        <v>11</v>
      </c>
      <c r="G127" s="2" t="str" cm="1">
        <f t="array" ref="G127">_xlfn.IFS(F127&lt;3,"Night",F127&lt;=6,"Early Morning",F127&lt;8,"Morning",F127&lt;10,"Late Morning",F127&lt;12,"Afternoon",F127&lt;16,"Afternoon",F127&lt;=18,"Early Evening",F127&lt;=20,"Evening",F127&lt;=22,"Late Evening",F127&lt;=23,"Night")</f>
        <v>Afternoon</v>
      </c>
      <c r="H127" s="2" t="b">
        <v>0</v>
      </c>
      <c r="I127" s="2">
        <v>4</v>
      </c>
      <c r="J127" s="2">
        <v>1</v>
      </c>
      <c r="K127" s="14">
        <v>0.22</v>
      </c>
      <c r="L127" s="4">
        <v>0.2576</v>
      </c>
      <c r="M127" s="4">
        <v>0.44</v>
      </c>
      <c r="N127" s="4">
        <v>8.9599999999999999E-2</v>
      </c>
      <c r="O127" s="4">
        <v>2</v>
      </c>
      <c r="P127" s="4">
        <v>57</v>
      </c>
      <c r="Q127" s="8">
        <v>59</v>
      </c>
    </row>
    <row r="128" spans="1:17" x14ac:dyDescent="0.25">
      <c r="A128" s="7">
        <v>127</v>
      </c>
      <c r="B128" s="3">
        <v>40549</v>
      </c>
      <c r="C128" s="2">
        <v>1</v>
      </c>
      <c r="D128" s="2">
        <v>0</v>
      </c>
      <c r="E128" s="2">
        <v>1</v>
      </c>
      <c r="F128" s="2">
        <v>12</v>
      </c>
      <c r="G128" s="2" t="str" cm="1">
        <f t="array" ref="G128">_xlfn.IFS(F128&lt;3,"Night",F128&lt;=6,"Early Morning",F128&lt;8,"Morning",F128&lt;10,"Late Morning",F128&lt;12,"Afternoon",F128&lt;16,"Afternoon",F128&lt;=18,"Early Evening",F128&lt;=20,"Evening",F128&lt;=22,"Late Evening",F128&lt;=23,"Night")</f>
        <v>Afternoon</v>
      </c>
      <c r="H128" s="2" t="b">
        <v>0</v>
      </c>
      <c r="I128" s="2">
        <v>4</v>
      </c>
      <c r="J128" s="2">
        <v>1</v>
      </c>
      <c r="K128" s="14">
        <v>0.26</v>
      </c>
      <c r="L128" s="4">
        <v>0.28789999999999999</v>
      </c>
      <c r="M128" s="4">
        <v>0.35</v>
      </c>
      <c r="N128" s="4">
        <v>0</v>
      </c>
      <c r="O128" s="4">
        <v>6</v>
      </c>
      <c r="P128" s="4">
        <v>78</v>
      </c>
      <c r="Q128" s="8">
        <v>84</v>
      </c>
    </row>
    <row r="129" spans="1:17" x14ac:dyDescent="0.25">
      <c r="A129" s="7">
        <v>128</v>
      </c>
      <c r="B129" s="3">
        <v>40549</v>
      </c>
      <c r="C129" s="2">
        <v>1</v>
      </c>
      <c r="D129" s="2">
        <v>0</v>
      </c>
      <c r="E129" s="2">
        <v>1</v>
      </c>
      <c r="F129" s="2">
        <v>13</v>
      </c>
      <c r="G129" s="2" t="str" cm="1">
        <f t="array" ref="G129">_xlfn.IFS(F129&lt;3,"Night",F129&lt;=6,"Early Morning",F129&lt;8,"Morning",F129&lt;10,"Late Morning",F129&lt;12,"Afternoon",F129&lt;16,"Afternoon",F129&lt;=18,"Early Evening",F129&lt;=20,"Evening",F129&lt;=22,"Late Evening",F129&lt;=23,"Night")</f>
        <v>Afternoon</v>
      </c>
      <c r="H129" s="2" t="b">
        <v>0</v>
      </c>
      <c r="I129" s="2">
        <v>4</v>
      </c>
      <c r="J129" s="2">
        <v>1</v>
      </c>
      <c r="K129" s="14">
        <v>0.26</v>
      </c>
      <c r="L129" s="4">
        <v>0.2727</v>
      </c>
      <c r="M129" s="4">
        <v>0.35</v>
      </c>
      <c r="N129" s="4">
        <v>0.1045</v>
      </c>
      <c r="O129" s="4">
        <v>12</v>
      </c>
      <c r="P129" s="4">
        <v>55</v>
      </c>
      <c r="Q129" s="8">
        <v>67</v>
      </c>
    </row>
    <row r="130" spans="1:17" x14ac:dyDescent="0.25">
      <c r="A130" s="7">
        <v>129</v>
      </c>
      <c r="B130" s="3">
        <v>40549</v>
      </c>
      <c r="C130" s="2">
        <v>1</v>
      </c>
      <c r="D130" s="2">
        <v>0</v>
      </c>
      <c r="E130" s="2">
        <v>1</v>
      </c>
      <c r="F130" s="2">
        <v>14</v>
      </c>
      <c r="G130" s="2" t="str" cm="1">
        <f t="array" ref="G130">_xlfn.IFS(F130&lt;3,"Night",F130&lt;=6,"Early Morning",F130&lt;8,"Morning",F130&lt;10,"Late Morning",F130&lt;12,"Afternoon",F130&lt;16,"Afternoon",F130&lt;=18,"Early Evening",F130&lt;=20,"Evening",F130&lt;=22,"Late Evening",F130&lt;=23,"Night")</f>
        <v>Afternoon</v>
      </c>
      <c r="H130" s="2" t="b">
        <v>0</v>
      </c>
      <c r="I130" s="2">
        <v>4</v>
      </c>
      <c r="J130" s="2">
        <v>1</v>
      </c>
      <c r="K130" s="14">
        <v>0.28000000000000003</v>
      </c>
      <c r="L130" s="4">
        <v>0.2727</v>
      </c>
      <c r="M130" s="4">
        <v>0.36</v>
      </c>
      <c r="N130" s="4">
        <v>0.16420000000000001</v>
      </c>
      <c r="O130" s="4">
        <v>11</v>
      </c>
      <c r="P130" s="4">
        <v>59</v>
      </c>
      <c r="Q130" s="8">
        <v>70</v>
      </c>
    </row>
    <row r="131" spans="1:17" x14ac:dyDescent="0.25">
      <c r="A131" s="7">
        <v>130</v>
      </c>
      <c r="B131" s="3">
        <v>40549</v>
      </c>
      <c r="C131" s="2">
        <v>1</v>
      </c>
      <c r="D131" s="2">
        <v>0</v>
      </c>
      <c r="E131" s="2">
        <v>1</v>
      </c>
      <c r="F131" s="2">
        <v>15</v>
      </c>
      <c r="G131" s="2" t="str" cm="1">
        <f t="array" ref="G131">_xlfn.IFS(F131&lt;3,"Night",F131&lt;=6,"Early Morning",F131&lt;8,"Morning",F131&lt;10,"Late Morning",F131&lt;12,"Afternoon",F131&lt;16,"Afternoon",F131&lt;=18,"Early Evening",F131&lt;=20,"Evening",F131&lt;=22,"Late Evening",F131&lt;=23,"Night")</f>
        <v>Afternoon</v>
      </c>
      <c r="H131" s="2" t="b">
        <v>0</v>
      </c>
      <c r="I131" s="2">
        <v>4</v>
      </c>
      <c r="J131" s="2">
        <v>1</v>
      </c>
      <c r="K131" s="14">
        <v>0.28000000000000003</v>
      </c>
      <c r="L131" s="4">
        <v>0.2727</v>
      </c>
      <c r="M131" s="4">
        <v>0.36</v>
      </c>
      <c r="N131" s="4">
        <v>0</v>
      </c>
      <c r="O131" s="4">
        <v>8</v>
      </c>
      <c r="P131" s="4">
        <v>54</v>
      </c>
      <c r="Q131" s="8">
        <v>62</v>
      </c>
    </row>
    <row r="132" spans="1:17" x14ac:dyDescent="0.25">
      <c r="A132" s="7">
        <v>131</v>
      </c>
      <c r="B132" s="3">
        <v>40549</v>
      </c>
      <c r="C132" s="2">
        <v>1</v>
      </c>
      <c r="D132" s="2">
        <v>0</v>
      </c>
      <c r="E132" s="2">
        <v>1</v>
      </c>
      <c r="F132" s="2">
        <v>16</v>
      </c>
      <c r="G132" s="2" t="str" cm="1">
        <f t="array" ref="G132">_xlfn.IFS(F132&lt;3,"Night",F132&lt;=6,"Early Morning",F132&lt;8,"Morning",F132&lt;10,"Late Morning",F132&lt;12,"Afternoon",F132&lt;16,"Afternoon",F132&lt;=18,"Early Evening",F132&lt;=20,"Evening",F132&lt;=22,"Late Evening",F132&lt;=23,"Night")</f>
        <v>Early Evening</v>
      </c>
      <c r="H132" s="2" t="b">
        <v>0</v>
      </c>
      <c r="I132" s="2">
        <v>4</v>
      </c>
      <c r="J132" s="2">
        <v>1</v>
      </c>
      <c r="K132" s="14">
        <v>0.26</v>
      </c>
      <c r="L132" s="4">
        <v>0.2576</v>
      </c>
      <c r="M132" s="4">
        <v>0.38</v>
      </c>
      <c r="N132" s="4">
        <v>0.16420000000000001</v>
      </c>
      <c r="O132" s="4">
        <v>12</v>
      </c>
      <c r="P132" s="4">
        <v>74</v>
      </c>
      <c r="Q132" s="8">
        <v>86</v>
      </c>
    </row>
    <row r="133" spans="1:17" x14ac:dyDescent="0.25">
      <c r="A133" s="7">
        <v>132</v>
      </c>
      <c r="B133" s="3">
        <v>40549</v>
      </c>
      <c r="C133" s="2">
        <v>1</v>
      </c>
      <c r="D133" s="2">
        <v>0</v>
      </c>
      <c r="E133" s="2">
        <v>1</v>
      </c>
      <c r="F133" s="2">
        <v>17</v>
      </c>
      <c r="G133" s="2" t="str" cm="1">
        <f t="array" ref="G133">_xlfn.IFS(F133&lt;3,"Night",F133&lt;=6,"Early Morning",F133&lt;8,"Morning",F133&lt;10,"Late Morning",F133&lt;12,"Afternoon",F133&lt;16,"Afternoon",F133&lt;=18,"Early Evening",F133&lt;=20,"Evening",F133&lt;=22,"Late Evening",F133&lt;=23,"Night")</f>
        <v>Early Evening</v>
      </c>
      <c r="H133" s="2" t="b">
        <v>0</v>
      </c>
      <c r="I133" s="2">
        <v>4</v>
      </c>
      <c r="J133" s="2">
        <v>1</v>
      </c>
      <c r="K133" s="14">
        <v>0.22</v>
      </c>
      <c r="L133" s="4">
        <v>0.2273</v>
      </c>
      <c r="M133" s="4">
        <v>0.51</v>
      </c>
      <c r="N133" s="4">
        <v>0.16420000000000001</v>
      </c>
      <c r="O133" s="4">
        <v>9</v>
      </c>
      <c r="P133" s="4">
        <v>163</v>
      </c>
      <c r="Q133" s="8">
        <v>172</v>
      </c>
    </row>
    <row r="134" spans="1:17" x14ac:dyDescent="0.25">
      <c r="A134" s="7">
        <v>133</v>
      </c>
      <c r="B134" s="3">
        <v>40549</v>
      </c>
      <c r="C134" s="2">
        <v>1</v>
      </c>
      <c r="D134" s="2">
        <v>0</v>
      </c>
      <c r="E134" s="2">
        <v>1</v>
      </c>
      <c r="F134" s="2">
        <v>18</v>
      </c>
      <c r="G134" s="2" t="str" cm="1">
        <f t="array" ref="G134">_xlfn.IFS(F134&lt;3,"Night",F134&lt;=6,"Early Morning",F134&lt;8,"Morning",F134&lt;10,"Late Morning",F134&lt;12,"Afternoon",F134&lt;16,"Afternoon",F134&lt;=18,"Early Evening",F134&lt;=20,"Evening",F134&lt;=22,"Late Evening",F134&lt;=23,"Night")</f>
        <v>Early Evening</v>
      </c>
      <c r="H134" s="2" t="b">
        <v>0</v>
      </c>
      <c r="I134" s="2">
        <v>4</v>
      </c>
      <c r="J134" s="2">
        <v>1</v>
      </c>
      <c r="K134" s="14">
        <v>0.22</v>
      </c>
      <c r="L134" s="4">
        <v>0.2273</v>
      </c>
      <c r="M134" s="4">
        <v>0.51</v>
      </c>
      <c r="N134" s="4">
        <v>0.1343</v>
      </c>
      <c r="O134" s="4">
        <v>5</v>
      </c>
      <c r="P134" s="4">
        <v>158</v>
      </c>
      <c r="Q134" s="8">
        <v>163</v>
      </c>
    </row>
    <row r="135" spans="1:17" x14ac:dyDescent="0.25">
      <c r="A135" s="7">
        <v>134</v>
      </c>
      <c r="B135" s="3">
        <v>40549</v>
      </c>
      <c r="C135" s="2">
        <v>1</v>
      </c>
      <c r="D135" s="2">
        <v>0</v>
      </c>
      <c r="E135" s="2">
        <v>1</v>
      </c>
      <c r="F135" s="2">
        <v>19</v>
      </c>
      <c r="G135" s="2" t="str" cm="1">
        <f t="array" ref="G135">_xlfn.IFS(F135&lt;3,"Night",F135&lt;=6,"Early Morning",F135&lt;8,"Morning",F135&lt;10,"Late Morning",F135&lt;12,"Afternoon",F135&lt;16,"Afternoon",F135&lt;=18,"Early Evening",F135&lt;=20,"Evening",F135&lt;=22,"Late Evening",F135&lt;=23,"Night")</f>
        <v>Evening</v>
      </c>
      <c r="H135" s="2" t="b">
        <v>0</v>
      </c>
      <c r="I135" s="2">
        <v>4</v>
      </c>
      <c r="J135" s="2">
        <v>1</v>
      </c>
      <c r="K135" s="14">
        <v>0.22</v>
      </c>
      <c r="L135" s="4">
        <v>0.2576</v>
      </c>
      <c r="M135" s="4">
        <v>0.55000000000000004</v>
      </c>
      <c r="N135" s="4">
        <v>8.9599999999999999E-2</v>
      </c>
      <c r="O135" s="4">
        <v>3</v>
      </c>
      <c r="P135" s="4">
        <v>109</v>
      </c>
      <c r="Q135" s="8">
        <v>112</v>
      </c>
    </row>
    <row r="136" spans="1:17" x14ac:dyDescent="0.25">
      <c r="A136" s="7">
        <v>135</v>
      </c>
      <c r="B136" s="3">
        <v>40549</v>
      </c>
      <c r="C136" s="2">
        <v>1</v>
      </c>
      <c r="D136" s="2">
        <v>0</v>
      </c>
      <c r="E136" s="2">
        <v>1</v>
      </c>
      <c r="F136" s="2">
        <v>20</v>
      </c>
      <c r="G136" s="2" t="str" cm="1">
        <f t="array" ref="G136">_xlfn.IFS(F136&lt;3,"Night",F136&lt;=6,"Early Morning",F136&lt;8,"Morning",F136&lt;10,"Late Morning",F136&lt;12,"Afternoon",F136&lt;16,"Afternoon",F136&lt;=18,"Early Evening",F136&lt;=20,"Evening",F136&lt;=22,"Late Evening",F136&lt;=23,"Night")</f>
        <v>Evening</v>
      </c>
      <c r="H136" s="2" t="b">
        <v>0</v>
      </c>
      <c r="I136" s="2">
        <v>4</v>
      </c>
      <c r="J136" s="2">
        <v>1</v>
      </c>
      <c r="K136" s="14">
        <v>0.2</v>
      </c>
      <c r="L136" s="4">
        <v>0.21210000000000001</v>
      </c>
      <c r="M136" s="4">
        <v>0.51</v>
      </c>
      <c r="N136" s="4">
        <v>0.16420000000000001</v>
      </c>
      <c r="O136" s="4">
        <v>3</v>
      </c>
      <c r="P136" s="4">
        <v>66</v>
      </c>
      <c r="Q136" s="8">
        <v>69</v>
      </c>
    </row>
    <row r="137" spans="1:17" x14ac:dyDescent="0.25">
      <c r="A137" s="7">
        <v>136</v>
      </c>
      <c r="B137" s="3">
        <v>40549</v>
      </c>
      <c r="C137" s="2">
        <v>1</v>
      </c>
      <c r="D137" s="2">
        <v>0</v>
      </c>
      <c r="E137" s="2">
        <v>1</v>
      </c>
      <c r="F137" s="2">
        <v>21</v>
      </c>
      <c r="G137" s="2" t="str" cm="1">
        <f t="array" ref="G137">_xlfn.IFS(F137&lt;3,"Night",F137&lt;=6,"Early Morning",F137&lt;8,"Morning",F137&lt;10,"Late Morning",F137&lt;12,"Afternoon",F137&lt;16,"Afternoon",F137&lt;=18,"Early Evening",F137&lt;=20,"Evening",F137&lt;=22,"Late Evening",F137&lt;=23,"Night")</f>
        <v>Late Evening</v>
      </c>
      <c r="H137" s="2" t="b">
        <v>0</v>
      </c>
      <c r="I137" s="2">
        <v>4</v>
      </c>
      <c r="J137" s="2">
        <v>2</v>
      </c>
      <c r="K137" s="14">
        <v>0.22</v>
      </c>
      <c r="L137" s="4">
        <v>0.21210000000000001</v>
      </c>
      <c r="M137" s="4">
        <v>0.55000000000000004</v>
      </c>
      <c r="N137" s="4">
        <v>0.22389999999999999</v>
      </c>
      <c r="O137" s="4">
        <v>0</v>
      </c>
      <c r="P137" s="4">
        <v>48</v>
      </c>
      <c r="Q137" s="8">
        <v>48</v>
      </c>
    </row>
    <row r="138" spans="1:17" x14ac:dyDescent="0.25">
      <c r="A138" s="7">
        <v>137</v>
      </c>
      <c r="B138" s="3">
        <v>40549</v>
      </c>
      <c r="C138" s="2">
        <v>1</v>
      </c>
      <c r="D138" s="2">
        <v>0</v>
      </c>
      <c r="E138" s="2">
        <v>1</v>
      </c>
      <c r="F138" s="2">
        <v>22</v>
      </c>
      <c r="G138" s="2" t="str" cm="1">
        <f t="array" ref="G138">_xlfn.IFS(F138&lt;3,"Night",F138&lt;=6,"Early Morning",F138&lt;8,"Morning",F138&lt;10,"Late Morning",F138&lt;12,"Afternoon",F138&lt;16,"Afternoon",F138&lt;=18,"Early Evening",F138&lt;=20,"Evening",F138&lt;=22,"Late Evening",F138&lt;=23,"Night")</f>
        <v>Late Evening</v>
      </c>
      <c r="H138" s="2" t="b">
        <v>0</v>
      </c>
      <c r="I138" s="2">
        <v>4</v>
      </c>
      <c r="J138" s="2">
        <v>2</v>
      </c>
      <c r="K138" s="14">
        <v>0.22</v>
      </c>
      <c r="L138" s="4">
        <v>0.21210000000000001</v>
      </c>
      <c r="M138" s="4">
        <v>0.51</v>
      </c>
      <c r="N138" s="4">
        <v>0.28360000000000002</v>
      </c>
      <c r="O138" s="4">
        <v>1</v>
      </c>
      <c r="P138" s="4">
        <v>51</v>
      </c>
      <c r="Q138" s="8">
        <v>52</v>
      </c>
    </row>
    <row r="139" spans="1:17" x14ac:dyDescent="0.25">
      <c r="A139" s="7">
        <v>138</v>
      </c>
      <c r="B139" s="3">
        <v>40549</v>
      </c>
      <c r="C139" s="2">
        <v>1</v>
      </c>
      <c r="D139" s="2">
        <v>0</v>
      </c>
      <c r="E139" s="2">
        <v>1</v>
      </c>
      <c r="F139" s="2">
        <v>23</v>
      </c>
      <c r="G139" s="2" t="str" cm="1">
        <f t="array" ref="G139">_xlfn.IFS(F139&lt;3,"Night",F139&lt;=6,"Early Morning",F139&lt;8,"Morning",F139&lt;10,"Late Morning",F139&lt;12,"Afternoon",F139&lt;16,"Afternoon",F139&lt;=18,"Early Evening",F139&lt;=20,"Evening",F139&lt;=22,"Late Evening",F139&lt;=23,"Night")</f>
        <v>Night</v>
      </c>
      <c r="H139" s="2" t="b">
        <v>0</v>
      </c>
      <c r="I139" s="2">
        <v>4</v>
      </c>
      <c r="J139" s="2">
        <v>2</v>
      </c>
      <c r="K139" s="14">
        <v>0.2</v>
      </c>
      <c r="L139" s="4">
        <v>0.19700000000000001</v>
      </c>
      <c r="M139" s="4">
        <v>0.59</v>
      </c>
      <c r="N139" s="4">
        <v>0.19400000000000001</v>
      </c>
      <c r="O139" s="4">
        <v>4</v>
      </c>
      <c r="P139" s="4">
        <v>19</v>
      </c>
      <c r="Q139" s="8">
        <v>23</v>
      </c>
    </row>
    <row r="140" spans="1:17" x14ac:dyDescent="0.25">
      <c r="A140" s="7">
        <v>139</v>
      </c>
      <c r="B140" s="3">
        <v>40550</v>
      </c>
      <c r="C140" s="2">
        <v>1</v>
      </c>
      <c r="D140" s="2">
        <v>0</v>
      </c>
      <c r="E140" s="2">
        <v>1</v>
      </c>
      <c r="F140" s="2">
        <v>0</v>
      </c>
      <c r="G140" s="2" t="str" cm="1">
        <f t="array" ref="G140">_xlfn.IFS(F140&lt;3,"Night",F140&lt;=6,"Early Morning",F140&lt;8,"Morning",F140&lt;10,"Late Morning",F140&lt;12,"Afternoon",F140&lt;16,"Afternoon",F140&lt;=18,"Early Evening",F140&lt;=20,"Evening",F140&lt;=22,"Late Evening",F140&lt;=23,"Night")</f>
        <v>Night</v>
      </c>
      <c r="H140" s="2" t="b">
        <v>0</v>
      </c>
      <c r="I140" s="2">
        <v>5</v>
      </c>
      <c r="J140" s="2">
        <v>2</v>
      </c>
      <c r="K140" s="14">
        <v>0.2</v>
      </c>
      <c r="L140" s="4">
        <v>0.19700000000000001</v>
      </c>
      <c r="M140" s="4">
        <v>0.64</v>
      </c>
      <c r="N140" s="4">
        <v>0.19400000000000001</v>
      </c>
      <c r="O140" s="4">
        <v>4</v>
      </c>
      <c r="P140" s="4">
        <v>13</v>
      </c>
      <c r="Q140" s="8">
        <v>17</v>
      </c>
    </row>
    <row r="141" spans="1:17" x14ac:dyDescent="0.25">
      <c r="A141" s="7">
        <v>140</v>
      </c>
      <c r="B141" s="3">
        <v>40550</v>
      </c>
      <c r="C141" s="2">
        <v>1</v>
      </c>
      <c r="D141" s="2">
        <v>0</v>
      </c>
      <c r="E141" s="2">
        <v>1</v>
      </c>
      <c r="F141" s="2">
        <v>1</v>
      </c>
      <c r="G141" s="2" t="str" cm="1">
        <f t="array" ref="G141">_xlfn.IFS(F141&lt;3,"Night",F141&lt;=6,"Early Morning",F141&lt;8,"Morning",F141&lt;10,"Late Morning",F141&lt;12,"Afternoon",F141&lt;16,"Afternoon",F141&lt;=18,"Early Evening",F141&lt;=20,"Evening",F141&lt;=22,"Late Evening",F141&lt;=23,"Night")</f>
        <v>Night</v>
      </c>
      <c r="H141" s="2" t="b">
        <v>0</v>
      </c>
      <c r="I141" s="2">
        <v>5</v>
      </c>
      <c r="J141" s="2">
        <v>2</v>
      </c>
      <c r="K141" s="14">
        <v>0.2</v>
      </c>
      <c r="L141" s="4">
        <v>0.19700000000000001</v>
      </c>
      <c r="M141" s="4">
        <v>0.69</v>
      </c>
      <c r="N141" s="4">
        <v>0.22389999999999999</v>
      </c>
      <c r="O141" s="4">
        <v>2</v>
      </c>
      <c r="P141" s="4">
        <v>5</v>
      </c>
      <c r="Q141" s="8">
        <v>7</v>
      </c>
    </row>
    <row r="142" spans="1:17" x14ac:dyDescent="0.25">
      <c r="A142" s="7">
        <v>141</v>
      </c>
      <c r="B142" s="3">
        <v>40550</v>
      </c>
      <c r="C142" s="2">
        <v>1</v>
      </c>
      <c r="D142" s="2">
        <v>0</v>
      </c>
      <c r="E142" s="2">
        <v>1</v>
      </c>
      <c r="F142" s="2">
        <v>2</v>
      </c>
      <c r="G142" s="2" t="str" cm="1">
        <f t="array" ref="G142">_xlfn.IFS(F142&lt;3,"Night",F142&lt;=6,"Early Morning",F142&lt;8,"Morning",F142&lt;10,"Late Morning",F142&lt;12,"Afternoon",F142&lt;16,"Afternoon",F142&lt;=18,"Early Evening",F142&lt;=20,"Evening",F142&lt;=22,"Late Evening",F142&lt;=23,"Night")</f>
        <v>Night</v>
      </c>
      <c r="H142" s="2" t="b">
        <v>0</v>
      </c>
      <c r="I142" s="2">
        <v>5</v>
      </c>
      <c r="J142" s="2">
        <v>2</v>
      </c>
      <c r="K142" s="14">
        <v>0.2</v>
      </c>
      <c r="L142" s="4">
        <v>0.19700000000000001</v>
      </c>
      <c r="M142" s="4">
        <v>0.69</v>
      </c>
      <c r="N142" s="4">
        <v>0.22389999999999999</v>
      </c>
      <c r="O142" s="4">
        <v>0</v>
      </c>
      <c r="P142" s="4">
        <v>1</v>
      </c>
      <c r="Q142" s="8">
        <v>1</v>
      </c>
    </row>
    <row r="143" spans="1:17" x14ac:dyDescent="0.25">
      <c r="A143" s="7">
        <v>142</v>
      </c>
      <c r="B143" s="3">
        <v>40550</v>
      </c>
      <c r="C143" s="2">
        <v>1</v>
      </c>
      <c r="D143" s="2">
        <v>0</v>
      </c>
      <c r="E143" s="2">
        <v>1</v>
      </c>
      <c r="F143" s="2">
        <v>4</v>
      </c>
      <c r="G143" s="2" t="str" cm="1">
        <f t="array" ref="G143">_xlfn.IFS(F143&lt;3,"Night",F143&lt;=6,"Early Morning",F143&lt;8,"Morning",F143&lt;10,"Late Morning",F143&lt;12,"Afternoon",F143&lt;16,"Afternoon",F143&lt;=18,"Early Evening",F143&lt;=20,"Evening",F143&lt;=22,"Late Evening",F143&lt;=23,"Night")</f>
        <v>Early Morning</v>
      </c>
      <c r="H143" s="2" t="b">
        <v>0</v>
      </c>
      <c r="I143" s="2">
        <v>5</v>
      </c>
      <c r="J143" s="2">
        <v>2</v>
      </c>
      <c r="K143" s="14">
        <v>0.2</v>
      </c>
      <c r="L143" s="4">
        <v>0.21210000000000001</v>
      </c>
      <c r="M143" s="4">
        <v>0.69</v>
      </c>
      <c r="N143" s="4">
        <v>0.1343</v>
      </c>
      <c r="O143" s="4">
        <v>0</v>
      </c>
      <c r="P143" s="4">
        <v>1</v>
      </c>
      <c r="Q143" s="8">
        <v>1</v>
      </c>
    </row>
    <row r="144" spans="1:17" x14ac:dyDescent="0.25">
      <c r="A144" s="7">
        <v>143</v>
      </c>
      <c r="B144" s="3">
        <v>40550</v>
      </c>
      <c r="C144" s="2">
        <v>1</v>
      </c>
      <c r="D144" s="2">
        <v>0</v>
      </c>
      <c r="E144" s="2">
        <v>1</v>
      </c>
      <c r="F144" s="2">
        <v>5</v>
      </c>
      <c r="G144" s="2" t="str" cm="1">
        <f t="array" ref="G144">_xlfn.IFS(F144&lt;3,"Night",F144&lt;=6,"Early Morning",F144&lt;8,"Morning",F144&lt;10,"Late Morning",F144&lt;12,"Afternoon",F144&lt;16,"Afternoon",F144&lt;=18,"Early Evening",F144&lt;=20,"Evening",F144&lt;=22,"Late Evening",F144&lt;=23,"Night")</f>
        <v>Early Morning</v>
      </c>
      <c r="H144" s="2" t="b">
        <v>0</v>
      </c>
      <c r="I144" s="2">
        <v>5</v>
      </c>
      <c r="J144" s="2">
        <v>3</v>
      </c>
      <c r="K144" s="14">
        <v>0.22</v>
      </c>
      <c r="L144" s="4">
        <v>0.2727</v>
      </c>
      <c r="M144" s="4">
        <v>0.55000000000000004</v>
      </c>
      <c r="N144" s="4">
        <v>0</v>
      </c>
      <c r="O144" s="4">
        <v>0</v>
      </c>
      <c r="P144" s="4">
        <v>5</v>
      </c>
      <c r="Q144" s="8">
        <v>5</v>
      </c>
    </row>
    <row r="145" spans="1:17" x14ac:dyDescent="0.25">
      <c r="A145" s="7">
        <v>144</v>
      </c>
      <c r="B145" s="3">
        <v>40550</v>
      </c>
      <c r="C145" s="2">
        <v>1</v>
      </c>
      <c r="D145" s="2">
        <v>0</v>
      </c>
      <c r="E145" s="2">
        <v>1</v>
      </c>
      <c r="F145" s="2">
        <v>6</v>
      </c>
      <c r="G145" s="2" t="str" cm="1">
        <f t="array" ref="G145">_xlfn.IFS(F145&lt;3,"Night",F145&lt;=6,"Early Morning",F145&lt;8,"Morning",F145&lt;10,"Late Morning",F145&lt;12,"Afternoon",F145&lt;16,"Afternoon",F145&lt;=18,"Early Evening",F145&lt;=20,"Evening",F145&lt;=22,"Late Evening",F145&lt;=23,"Night")</f>
        <v>Early Morning</v>
      </c>
      <c r="H145" s="2" t="b">
        <v>0</v>
      </c>
      <c r="I145" s="2">
        <v>5</v>
      </c>
      <c r="J145" s="2">
        <v>2</v>
      </c>
      <c r="K145" s="14">
        <v>0.2</v>
      </c>
      <c r="L145" s="4">
        <v>0.2576</v>
      </c>
      <c r="M145" s="4">
        <v>0.69</v>
      </c>
      <c r="N145" s="4">
        <v>0</v>
      </c>
      <c r="O145" s="4">
        <v>8</v>
      </c>
      <c r="P145" s="4">
        <v>26</v>
      </c>
      <c r="Q145" s="8">
        <v>34</v>
      </c>
    </row>
    <row r="146" spans="1:17" x14ac:dyDescent="0.25">
      <c r="A146" s="7">
        <v>145</v>
      </c>
      <c r="B146" s="3">
        <v>40550</v>
      </c>
      <c r="C146" s="2">
        <v>1</v>
      </c>
      <c r="D146" s="2">
        <v>0</v>
      </c>
      <c r="E146" s="2">
        <v>1</v>
      </c>
      <c r="F146" s="2">
        <v>7</v>
      </c>
      <c r="G146" s="2" t="str" cm="1">
        <f t="array" ref="G146">_xlfn.IFS(F146&lt;3,"Night",F146&lt;=6,"Early Morning",F146&lt;8,"Morning",F146&lt;10,"Late Morning",F146&lt;12,"Afternoon",F146&lt;16,"Afternoon",F146&lt;=18,"Early Evening",F146&lt;=20,"Evening",F146&lt;=22,"Late Evening",F146&lt;=23,"Night")</f>
        <v>Morning</v>
      </c>
      <c r="H146" s="2" t="b">
        <v>0</v>
      </c>
      <c r="I146" s="2">
        <v>5</v>
      </c>
      <c r="J146" s="2">
        <v>1</v>
      </c>
      <c r="K146" s="14">
        <v>0.2</v>
      </c>
      <c r="L146" s="4">
        <v>0.21210000000000001</v>
      </c>
      <c r="M146" s="4">
        <v>0.69</v>
      </c>
      <c r="N146" s="4">
        <v>0.1343</v>
      </c>
      <c r="O146" s="4">
        <v>8</v>
      </c>
      <c r="P146" s="4">
        <v>76</v>
      </c>
      <c r="Q146" s="8">
        <v>84</v>
      </c>
    </row>
    <row r="147" spans="1:17" x14ac:dyDescent="0.25">
      <c r="A147" s="7">
        <v>146</v>
      </c>
      <c r="B147" s="3">
        <v>40550</v>
      </c>
      <c r="C147" s="2">
        <v>1</v>
      </c>
      <c r="D147" s="2">
        <v>0</v>
      </c>
      <c r="E147" s="2">
        <v>1</v>
      </c>
      <c r="F147" s="2">
        <v>8</v>
      </c>
      <c r="G147" s="2" t="str" cm="1">
        <f t="array" ref="G147">_xlfn.IFS(F147&lt;3,"Night",F147&lt;=6,"Early Morning",F147&lt;8,"Morning",F147&lt;10,"Late Morning",F147&lt;12,"Afternoon",F147&lt;16,"Afternoon",F147&lt;=18,"Early Evening",F147&lt;=20,"Evening",F147&lt;=22,"Late Evening",F147&lt;=23,"Night")</f>
        <v>Late Morning</v>
      </c>
      <c r="H147" s="2" t="b">
        <v>0</v>
      </c>
      <c r="I147" s="2">
        <v>5</v>
      </c>
      <c r="J147" s="2">
        <v>1</v>
      </c>
      <c r="K147" s="14">
        <v>0.2</v>
      </c>
      <c r="L147" s="4">
        <v>0.19700000000000001</v>
      </c>
      <c r="M147" s="4">
        <v>0.51</v>
      </c>
      <c r="N147" s="4">
        <v>0.25369999999999998</v>
      </c>
      <c r="O147" s="4">
        <v>20</v>
      </c>
      <c r="P147" s="4">
        <v>190</v>
      </c>
      <c r="Q147" s="8">
        <v>210</v>
      </c>
    </row>
    <row r="148" spans="1:17" x14ac:dyDescent="0.25">
      <c r="A148" s="7">
        <v>147</v>
      </c>
      <c r="B148" s="3">
        <v>40550</v>
      </c>
      <c r="C148" s="2">
        <v>1</v>
      </c>
      <c r="D148" s="2">
        <v>0</v>
      </c>
      <c r="E148" s="2">
        <v>1</v>
      </c>
      <c r="F148" s="2">
        <v>9</v>
      </c>
      <c r="G148" s="2" t="str" cm="1">
        <f t="array" ref="G148">_xlfn.IFS(F148&lt;3,"Night",F148&lt;=6,"Early Morning",F148&lt;8,"Morning",F148&lt;10,"Late Morning",F148&lt;12,"Afternoon",F148&lt;16,"Afternoon",F148&lt;=18,"Early Evening",F148&lt;=20,"Evening",F148&lt;=22,"Late Evening",F148&lt;=23,"Night")</f>
        <v>Late Morning</v>
      </c>
      <c r="H148" s="2" t="b">
        <v>0</v>
      </c>
      <c r="I148" s="2">
        <v>5</v>
      </c>
      <c r="J148" s="2">
        <v>1</v>
      </c>
      <c r="K148" s="14">
        <v>0.2</v>
      </c>
      <c r="L148" s="4">
        <v>0.18179999999999999</v>
      </c>
      <c r="M148" s="4">
        <v>0.47</v>
      </c>
      <c r="N148" s="4">
        <v>0.29849999999999999</v>
      </c>
      <c r="O148" s="4">
        <v>9</v>
      </c>
      <c r="P148" s="4">
        <v>125</v>
      </c>
      <c r="Q148" s="8">
        <v>134</v>
      </c>
    </row>
    <row r="149" spans="1:17" x14ac:dyDescent="0.25">
      <c r="A149" s="7">
        <v>148</v>
      </c>
      <c r="B149" s="3">
        <v>40550</v>
      </c>
      <c r="C149" s="2">
        <v>1</v>
      </c>
      <c r="D149" s="2">
        <v>0</v>
      </c>
      <c r="E149" s="2">
        <v>1</v>
      </c>
      <c r="F149" s="2">
        <v>10</v>
      </c>
      <c r="G149" s="2" t="str" cm="1">
        <f t="array" ref="G149">_xlfn.IFS(F149&lt;3,"Night",F149&lt;=6,"Early Morning",F149&lt;8,"Morning",F149&lt;10,"Late Morning",F149&lt;12,"Afternoon",F149&lt;16,"Afternoon",F149&lt;=18,"Early Evening",F149&lt;=20,"Evening",F149&lt;=22,"Late Evening",F149&lt;=23,"Night")</f>
        <v>Afternoon</v>
      </c>
      <c r="H149" s="2" t="b">
        <v>0</v>
      </c>
      <c r="I149" s="2">
        <v>5</v>
      </c>
      <c r="J149" s="2">
        <v>1</v>
      </c>
      <c r="K149" s="14">
        <v>0.22</v>
      </c>
      <c r="L149" s="4">
        <v>0.19700000000000001</v>
      </c>
      <c r="M149" s="4">
        <v>0.37</v>
      </c>
      <c r="N149" s="4">
        <v>0.32840000000000003</v>
      </c>
      <c r="O149" s="4">
        <v>16</v>
      </c>
      <c r="P149" s="4">
        <v>47</v>
      </c>
      <c r="Q149" s="8">
        <v>63</v>
      </c>
    </row>
    <row r="150" spans="1:17" x14ac:dyDescent="0.25">
      <c r="A150" s="7">
        <v>149</v>
      </c>
      <c r="B150" s="3">
        <v>40550</v>
      </c>
      <c r="C150" s="2">
        <v>1</v>
      </c>
      <c r="D150" s="2">
        <v>0</v>
      </c>
      <c r="E150" s="2">
        <v>1</v>
      </c>
      <c r="F150" s="2">
        <v>11</v>
      </c>
      <c r="G150" s="2" t="str" cm="1">
        <f t="array" ref="G150">_xlfn.IFS(F150&lt;3,"Night",F150&lt;=6,"Early Morning",F150&lt;8,"Morning",F150&lt;10,"Late Morning",F150&lt;12,"Afternoon",F150&lt;16,"Afternoon",F150&lt;=18,"Early Evening",F150&lt;=20,"Evening",F150&lt;=22,"Late Evening",F150&lt;=23,"Night")</f>
        <v>Afternoon</v>
      </c>
      <c r="H150" s="2" t="b">
        <v>0</v>
      </c>
      <c r="I150" s="2">
        <v>5</v>
      </c>
      <c r="J150" s="2">
        <v>2</v>
      </c>
      <c r="K150" s="14">
        <v>0.2</v>
      </c>
      <c r="L150" s="4">
        <v>0.19700000000000001</v>
      </c>
      <c r="M150" s="4">
        <v>0.4</v>
      </c>
      <c r="N150" s="4">
        <v>0.22389999999999999</v>
      </c>
      <c r="O150" s="4">
        <v>19</v>
      </c>
      <c r="P150" s="4">
        <v>48</v>
      </c>
      <c r="Q150" s="8">
        <v>67</v>
      </c>
    </row>
    <row r="151" spans="1:17" x14ac:dyDescent="0.25">
      <c r="A151" s="7">
        <v>150</v>
      </c>
      <c r="B151" s="3">
        <v>40550</v>
      </c>
      <c r="C151" s="2">
        <v>1</v>
      </c>
      <c r="D151" s="2">
        <v>0</v>
      </c>
      <c r="E151" s="2">
        <v>1</v>
      </c>
      <c r="F151" s="2">
        <v>12</v>
      </c>
      <c r="G151" s="2" t="str" cm="1">
        <f t="array" ref="G151">_xlfn.IFS(F151&lt;3,"Night",F151&lt;=6,"Early Morning",F151&lt;8,"Morning",F151&lt;10,"Late Morning",F151&lt;12,"Afternoon",F151&lt;16,"Afternoon",F151&lt;=18,"Early Evening",F151&lt;=20,"Evening",F151&lt;=22,"Late Evening",F151&lt;=23,"Night")</f>
        <v>Afternoon</v>
      </c>
      <c r="H151" s="2" t="b">
        <v>0</v>
      </c>
      <c r="I151" s="2">
        <v>5</v>
      </c>
      <c r="J151" s="2">
        <v>2</v>
      </c>
      <c r="K151" s="14">
        <v>0.2</v>
      </c>
      <c r="L151" s="4">
        <v>0.19700000000000001</v>
      </c>
      <c r="M151" s="4">
        <v>0.37</v>
      </c>
      <c r="N151" s="4">
        <v>0.25369999999999998</v>
      </c>
      <c r="O151" s="4">
        <v>9</v>
      </c>
      <c r="P151" s="4">
        <v>50</v>
      </c>
      <c r="Q151" s="8">
        <v>59</v>
      </c>
    </row>
    <row r="152" spans="1:17" x14ac:dyDescent="0.25">
      <c r="A152" s="7">
        <v>151</v>
      </c>
      <c r="B152" s="3">
        <v>40550</v>
      </c>
      <c r="C152" s="2">
        <v>1</v>
      </c>
      <c r="D152" s="2">
        <v>0</v>
      </c>
      <c r="E152" s="2">
        <v>1</v>
      </c>
      <c r="F152" s="2">
        <v>13</v>
      </c>
      <c r="G152" s="2" t="str" cm="1">
        <f t="array" ref="G152">_xlfn.IFS(F152&lt;3,"Night",F152&lt;=6,"Early Morning",F152&lt;8,"Morning",F152&lt;10,"Late Morning",F152&lt;12,"Afternoon",F152&lt;16,"Afternoon",F152&lt;=18,"Early Evening",F152&lt;=20,"Evening",F152&lt;=22,"Late Evening",F152&lt;=23,"Night")</f>
        <v>Afternoon</v>
      </c>
      <c r="H152" s="2" t="b">
        <v>0</v>
      </c>
      <c r="I152" s="2">
        <v>5</v>
      </c>
      <c r="J152" s="2">
        <v>2</v>
      </c>
      <c r="K152" s="14">
        <v>0.2</v>
      </c>
      <c r="L152" s="4">
        <v>0.18179999999999999</v>
      </c>
      <c r="M152" s="4">
        <v>0.37</v>
      </c>
      <c r="N152" s="4">
        <v>0.28360000000000002</v>
      </c>
      <c r="O152" s="4">
        <v>9</v>
      </c>
      <c r="P152" s="4">
        <v>64</v>
      </c>
      <c r="Q152" s="8">
        <v>73</v>
      </c>
    </row>
    <row r="153" spans="1:17" x14ac:dyDescent="0.25">
      <c r="A153" s="7">
        <v>152</v>
      </c>
      <c r="B153" s="3">
        <v>40550</v>
      </c>
      <c r="C153" s="2">
        <v>1</v>
      </c>
      <c r="D153" s="2">
        <v>0</v>
      </c>
      <c r="E153" s="2">
        <v>1</v>
      </c>
      <c r="F153" s="2">
        <v>14</v>
      </c>
      <c r="G153" s="2" t="str" cm="1">
        <f t="array" ref="G153">_xlfn.IFS(F153&lt;3,"Night",F153&lt;=6,"Early Morning",F153&lt;8,"Morning",F153&lt;10,"Late Morning",F153&lt;12,"Afternoon",F153&lt;16,"Afternoon",F153&lt;=18,"Early Evening",F153&lt;=20,"Evening",F153&lt;=22,"Late Evening",F153&lt;=23,"Night")</f>
        <v>Afternoon</v>
      </c>
      <c r="H153" s="2" t="b">
        <v>0</v>
      </c>
      <c r="I153" s="2">
        <v>5</v>
      </c>
      <c r="J153" s="2">
        <v>2</v>
      </c>
      <c r="K153" s="14">
        <v>0.2</v>
      </c>
      <c r="L153" s="4">
        <v>0.19700000000000001</v>
      </c>
      <c r="M153" s="4">
        <v>0.4</v>
      </c>
      <c r="N153" s="4">
        <v>0.25369999999999998</v>
      </c>
      <c r="O153" s="4">
        <v>7</v>
      </c>
      <c r="P153" s="4">
        <v>43</v>
      </c>
      <c r="Q153" s="8">
        <v>50</v>
      </c>
    </row>
    <row r="154" spans="1:17" x14ac:dyDescent="0.25">
      <c r="A154" s="7">
        <v>153</v>
      </c>
      <c r="B154" s="3">
        <v>40550</v>
      </c>
      <c r="C154" s="2">
        <v>1</v>
      </c>
      <c r="D154" s="2">
        <v>0</v>
      </c>
      <c r="E154" s="2">
        <v>1</v>
      </c>
      <c r="F154" s="2">
        <v>15</v>
      </c>
      <c r="G154" s="2" t="str" cm="1">
        <f t="array" ref="G154">_xlfn.IFS(F154&lt;3,"Night",F154&lt;=6,"Early Morning",F154&lt;8,"Morning",F154&lt;10,"Late Morning",F154&lt;12,"Afternoon",F154&lt;16,"Afternoon",F154&lt;=18,"Early Evening",F154&lt;=20,"Evening",F154&lt;=22,"Late Evening",F154&lt;=23,"Night")</f>
        <v>Afternoon</v>
      </c>
      <c r="H154" s="2" t="b">
        <v>0</v>
      </c>
      <c r="I154" s="2">
        <v>5</v>
      </c>
      <c r="J154" s="2">
        <v>2</v>
      </c>
      <c r="K154" s="14">
        <v>0.2</v>
      </c>
      <c r="L154" s="4">
        <v>0.21210000000000001</v>
      </c>
      <c r="M154" s="4">
        <v>0.37</v>
      </c>
      <c r="N154" s="4">
        <v>0.16420000000000001</v>
      </c>
      <c r="O154" s="4">
        <v>9</v>
      </c>
      <c r="P154" s="4">
        <v>63</v>
      </c>
      <c r="Q154" s="8">
        <v>72</v>
      </c>
    </row>
    <row r="155" spans="1:17" x14ac:dyDescent="0.25">
      <c r="A155" s="7">
        <v>154</v>
      </c>
      <c r="B155" s="3">
        <v>40550</v>
      </c>
      <c r="C155" s="2">
        <v>1</v>
      </c>
      <c r="D155" s="2">
        <v>0</v>
      </c>
      <c r="E155" s="2">
        <v>1</v>
      </c>
      <c r="F155" s="2">
        <v>16</v>
      </c>
      <c r="G155" s="2" t="str" cm="1">
        <f t="array" ref="G155">_xlfn.IFS(F155&lt;3,"Night",F155&lt;=6,"Early Morning",F155&lt;8,"Morning",F155&lt;10,"Late Morning",F155&lt;12,"Afternoon",F155&lt;16,"Afternoon",F155&lt;=18,"Early Evening",F155&lt;=20,"Evening",F155&lt;=22,"Late Evening",F155&lt;=23,"Night")</f>
        <v>Early Evening</v>
      </c>
      <c r="H155" s="2" t="b">
        <v>0</v>
      </c>
      <c r="I155" s="2">
        <v>5</v>
      </c>
      <c r="J155" s="2">
        <v>2</v>
      </c>
      <c r="K155" s="14">
        <v>0.2</v>
      </c>
      <c r="L155" s="4">
        <v>0.21210000000000001</v>
      </c>
      <c r="M155" s="4">
        <v>0.37</v>
      </c>
      <c r="N155" s="4">
        <v>0.16420000000000001</v>
      </c>
      <c r="O155" s="4">
        <v>5</v>
      </c>
      <c r="P155" s="4">
        <v>82</v>
      </c>
      <c r="Q155" s="8">
        <v>87</v>
      </c>
    </row>
    <row r="156" spans="1:17" x14ac:dyDescent="0.25">
      <c r="A156" s="7">
        <v>155</v>
      </c>
      <c r="B156" s="3">
        <v>40550</v>
      </c>
      <c r="C156" s="2">
        <v>1</v>
      </c>
      <c r="D156" s="2">
        <v>0</v>
      </c>
      <c r="E156" s="2">
        <v>1</v>
      </c>
      <c r="F156" s="2">
        <v>17</v>
      </c>
      <c r="G156" s="2" t="str" cm="1">
        <f t="array" ref="G156">_xlfn.IFS(F156&lt;3,"Night",F156&lt;=6,"Early Morning",F156&lt;8,"Morning",F156&lt;10,"Late Morning",F156&lt;12,"Afternoon",F156&lt;16,"Afternoon",F156&lt;=18,"Early Evening",F156&lt;=20,"Evening",F156&lt;=22,"Late Evening",F156&lt;=23,"Night")</f>
        <v>Early Evening</v>
      </c>
      <c r="H156" s="2" t="b">
        <v>0</v>
      </c>
      <c r="I156" s="2">
        <v>5</v>
      </c>
      <c r="J156" s="2">
        <v>2</v>
      </c>
      <c r="K156" s="14">
        <v>0.2</v>
      </c>
      <c r="L156" s="4">
        <v>0.2576</v>
      </c>
      <c r="M156" s="4">
        <v>0.37</v>
      </c>
      <c r="N156" s="4">
        <v>0</v>
      </c>
      <c r="O156" s="4">
        <v>9</v>
      </c>
      <c r="P156" s="4">
        <v>178</v>
      </c>
      <c r="Q156" s="8">
        <v>187</v>
      </c>
    </row>
    <row r="157" spans="1:17" x14ac:dyDescent="0.25">
      <c r="A157" s="7">
        <v>156</v>
      </c>
      <c r="B157" s="3">
        <v>40550</v>
      </c>
      <c r="C157" s="2">
        <v>1</v>
      </c>
      <c r="D157" s="2">
        <v>0</v>
      </c>
      <c r="E157" s="2">
        <v>1</v>
      </c>
      <c r="F157" s="2">
        <v>18</v>
      </c>
      <c r="G157" s="2" t="str" cm="1">
        <f t="array" ref="G157">_xlfn.IFS(F157&lt;3,"Night",F157&lt;=6,"Early Morning",F157&lt;8,"Morning",F157&lt;10,"Late Morning",F157&lt;12,"Afternoon",F157&lt;16,"Afternoon",F157&lt;=18,"Early Evening",F157&lt;=20,"Evening",F157&lt;=22,"Late Evening",F157&lt;=23,"Night")</f>
        <v>Early Evening</v>
      </c>
      <c r="H157" s="2" t="b">
        <v>0</v>
      </c>
      <c r="I157" s="2">
        <v>5</v>
      </c>
      <c r="J157" s="2">
        <v>1</v>
      </c>
      <c r="K157" s="14">
        <v>0.2</v>
      </c>
      <c r="L157" s="4">
        <v>0.2273</v>
      </c>
      <c r="M157" s="4">
        <v>0.4</v>
      </c>
      <c r="N157" s="4">
        <v>8.9599999999999999E-2</v>
      </c>
      <c r="O157" s="4">
        <v>7</v>
      </c>
      <c r="P157" s="4">
        <v>116</v>
      </c>
      <c r="Q157" s="8">
        <v>123</v>
      </c>
    </row>
    <row r="158" spans="1:17" x14ac:dyDescent="0.25">
      <c r="A158" s="7">
        <v>157</v>
      </c>
      <c r="B158" s="3">
        <v>40550</v>
      </c>
      <c r="C158" s="2">
        <v>1</v>
      </c>
      <c r="D158" s="2">
        <v>0</v>
      </c>
      <c r="E158" s="2">
        <v>1</v>
      </c>
      <c r="F158" s="2">
        <v>19</v>
      </c>
      <c r="G158" s="2" t="str" cm="1">
        <f t="array" ref="G158">_xlfn.IFS(F158&lt;3,"Night",F158&lt;=6,"Early Morning",F158&lt;8,"Morning",F158&lt;10,"Late Morning",F158&lt;12,"Afternoon",F158&lt;16,"Afternoon",F158&lt;=18,"Early Evening",F158&lt;=20,"Evening",F158&lt;=22,"Late Evening",F158&lt;=23,"Night")</f>
        <v>Evening</v>
      </c>
      <c r="H158" s="2" t="b">
        <v>0</v>
      </c>
      <c r="I158" s="2">
        <v>5</v>
      </c>
      <c r="J158" s="2">
        <v>1</v>
      </c>
      <c r="K158" s="14">
        <v>0.16</v>
      </c>
      <c r="L158" s="4">
        <v>0.19700000000000001</v>
      </c>
      <c r="M158" s="4">
        <v>0.55000000000000004</v>
      </c>
      <c r="N158" s="4">
        <v>8.9599999999999999E-2</v>
      </c>
      <c r="O158" s="4">
        <v>3</v>
      </c>
      <c r="P158" s="4">
        <v>92</v>
      </c>
      <c r="Q158" s="8">
        <v>95</v>
      </c>
    </row>
    <row r="159" spans="1:17" x14ac:dyDescent="0.25">
      <c r="A159" s="7">
        <v>158</v>
      </c>
      <c r="B159" s="3">
        <v>40550</v>
      </c>
      <c r="C159" s="2">
        <v>1</v>
      </c>
      <c r="D159" s="2">
        <v>0</v>
      </c>
      <c r="E159" s="2">
        <v>1</v>
      </c>
      <c r="F159" s="2">
        <v>20</v>
      </c>
      <c r="G159" s="2" t="str" cm="1">
        <f t="array" ref="G159">_xlfn.IFS(F159&lt;3,"Night",F159&lt;=6,"Early Morning",F159&lt;8,"Morning",F159&lt;10,"Late Morning",F159&lt;12,"Afternoon",F159&lt;16,"Afternoon",F159&lt;=18,"Early Evening",F159&lt;=20,"Evening",F159&lt;=22,"Late Evening",F159&lt;=23,"Night")</f>
        <v>Evening</v>
      </c>
      <c r="H159" s="2" t="b">
        <v>0</v>
      </c>
      <c r="I159" s="2">
        <v>5</v>
      </c>
      <c r="J159" s="2">
        <v>1</v>
      </c>
      <c r="K159" s="14">
        <v>0.18</v>
      </c>
      <c r="L159" s="4">
        <v>0.21210000000000001</v>
      </c>
      <c r="M159" s="4">
        <v>0.47</v>
      </c>
      <c r="N159" s="4">
        <v>0.1045</v>
      </c>
      <c r="O159" s="4">
        <v>1</v>
      </c>
      <c r="P159" s="4">
        <v>50</v>
      </c>
      <c r="Q159" s="8">
        <v>51</v>
      </c>
    </row>
    <row r="160" spans="1:17" x14ac:dyDescent="0.25">
      <c r="A160" s="7">
        <v>159</v>
      </c>
      <c r="B160" s="3">
        <v>40550</v>
      </c>
      <c r="C160" s="2">
        <v>1</v>
      </c>
      <c r="D160" s="2">
        <v>0</v>
      </c>
      <c r="E160" s="2">
        <v>1</v>
      </c>
      <c r="F160" s="2">
        <v>21</v>
      </c>
      <c r="G160" s="2" t="str" cm="1">
        <f t="array" ref="G160">_xlfn.IFS(F160&lt;3,"Night",F160&lt;=6,"Early Morning",F160&lt;8,"Morning",F160&lt;10,"Late Morning",F160&lt;12,"Afternoon",F160&lt;16,"Afternoon",F160&lt;=18,"Early Evening",F160&lt;=20,"Evening",F160&lt;=22,"Late Evening",F160&lt;=23,"Night")</f>
        <v>Late Evening</v>
      </c>
      <c r="H160" s="2" t="b">
        <v>0</v>
      </c>
      <c r="I160" s="2">
        <v>5</v>
      </c>
      <c r="J160" s="2">
        <v>1</v>
      </c>
      <c r="K160" s="14">
        <v>0.18</v>
      </c>
      <c r="L160" s="4">
        <v>0.19700000000000001</v>
      </c>
      <c r="M160" s="4">
        <v>0.47</v>
      </c>
      <c r="N160" s="4">
        <v>0.1343</v>
      </c>
      <c r="O160" s="4">
        <v>0</v>
      </c>
      <c r="P160" s="4">
        <v>39</v>
      </c>
      <c r="Q160" s="8">
        <v>39</v>
      </c>
    </row>
    <row r="161" spans="1:17" x14ac:dyDescent="0.25">
      <c r="A161" s="7">
        <v>160</v>
      </c>
      <c r="B161" s="3">
        <v>40550</v>
      </c>
      <c r="C161" s="2">
        <v>1</v>
      </c>
      <c r="D161" s="2">
        <v>0</v>
      </c>
      <c r="E161" s="2">
        <v>1</v>
      </c>
      <c r="F161" s="2">
        <v>22</v>
      </c>
      <c r="G161" s="2" t="str" cm="1">
        <f t="array" ref="G161">_xlfn.IFS(F161&lt;3,"Night",F161&lt;=6,"Early Morning",F161&lt;8,"Morning",F161&lt;10,"Late Morning",F161&lt;12,"Afternoon",F161&lt;16,"Afternoon",F161&lt;=18,"Early Evening",F161&lt;=20,"Evening",F161&lt;=22,"Late Evening",F161&lt;=23,"Night")</f>
        <v>Late Evening</v>
      </c>
      <c r="H161" s="2" t="b">
        <v>0</v>
      </c>
      <c r="I161" s="2">
        <v>5</v>
      </c>
      <c r="J161" s="2">
        <v>2</v>
      </c>
      <c r="K161" s="14">
        <v>0.18</v>
      </c>
      <c r="L161" s="4">
        <v>0.19700000000000001</v>
      </c>
      <c r="M161" s="4">
        <v>0.43</v>
      </c>
      <c r="N161" s="4">
        <v>0.16420000000000001</v>
      </c>
      <c r="O161" s="4">
        <v>2</v>
      </c>
      <c r="P161" s="4">
        <v>34</v>
      </c>
      <c r="Q161" s="8">
        <v>36</v>
      </c>
    </row>
    <row r="162" spans="1:17" x14ac:dyDescent="0.25">
      <c r="A162" s="7">
        <v>161</v>
      </c>
      <c r="B162" s="3">
        <v>40550</v>
      </c>
      <c r="C162" s="2">
        <v>1</v>
      </c>
      <c r="D162" s="2">
        <v>0</v>
      </c>
      <c r="E162" s="2">
        <v>1</v>
      </c>
      <c r="F162" s="2">
        <v>23</v>
      </c>
      <c r="G162" s="2" t="str" cm="1">
        <f t="array" ref="G162">_xlfn.IFS(F162&lt;3,"Night",F162&lt;=6,"Early Morning",F162&lt;8,"Morning",F162&lt;10,"Late Morning",F162&lt;12,"Afternoon",F162&lt;16,"Afternoon",F162&lt;=18,"Early Evening",F162&lt;=20,"Evening",F162&lt;=22,"Late Evening",F162&lt;=23,"Night")</f>
        <v>Night</v>
      </c>
      <c r="H162" s="2" t="b">
        <v>0</v>
      </c>
      <c r="I162" s="2">
        <v>5</v>
      </c>
      <c r="J162" s="2">
        <v>2</v>
      </c>
      <c r="K162" s="14">
        <v>0.18</v>
      </c>
      <c r="L162" s="4">
        <v>0.19700000000000001</v>
      </c>
      <c r="M162" s="4">
        <v>0.51</v>
      </c>
      <c r="N162" s="4">
        <v>0.16420000000000001</v>
      </c>
      <c r="O162" s="4">
        <v>1</v>
      </c>
      <c r="P162" s="4">
        <v>14</v>
      </c>
      <c r="Q162" s="8">
        <v>15</v>
      </c>
    </row>
    <row r="163" spans="1:17" x14ac:dyDescent="0.25">
      <c r="A163" s="7">
        <v>162</v>
      </c>
      <c r="B163" s="3">
        <v>40551</v>
      </c>
      <c r="C163" s="2">
        <v>1</v>
      </c>
      <c r="D163" s="2">
        <v>0</v>
      </c>
      <c r="E163" s="2">
        <v>1</v>
      </c>
      <c r="F163" s="2">
        <v>0</v>
      </c>
      <c r="G163" s="2" t="str" cm="1">
        <f t="array" ref="G163">_xlfn.IFS(F163&lt;3,"Night",F163&lt;=6,"Early Morning",F163&lt;8,"Morning",F163&lt;10,"Late Morning",F163&lt;12,"Afternoon",F163&lt;16,"Afternoon",F163&lt;=18,"Early Evening",F163&lt;=20,"Evening",F163&lt;=22,"Late Evening",F163&lt;=23,"Night")</f>
        <v>Night</v>
      </c>
      <c r="H163" s="2" t="b">
        <v>0</v>
      </c>
      <c r="I163" s="2">
        <v>6</v>
      </c>
      <c r="J163" s="2">
        <v>2</v>
      </c>
      <c r="K163" s="14">
        <v>0.18</v>
      </c>
      <c r="L163" s="4">
        <v>0.19700000000000001</v>
      </c>
      <c r="M163" s="4">
        <v>0.51</v>
      </c>
      <c r="N163" s="4">
        <v>0.16420000000000001</v>
      </c>
      <c r="O163" s="4">
        <v>1</v>
      </c>
      <c r="P163" s="4">
        <v>24</v>
      </c>
      <c r="Q163" s="8">
        <v>25</v>
      </c>
    </row>
    <row r="164" spans="1:17" x14ac:dyDescent="0.25">
      <c r="A164" s="7">
        <v>163</v>
      </c>
      <c r="B164" s="3">
        <v>40551</v>
      </c>
      <c r="C164" s="2">
        <v>1</v>
      </c>
      <c r="D164" s="2">
        <v>0</v>
      </c>
      <c r="E164" s="2">
        <v>1</v>
      </c>
      <c r="F164" s="2">
        <v>1</v>
      </c>
      <c r="G164" s="2" t="str" cm="1">
        <f t="array" ref="G164">_xlfn.IFS(F164&lt;3,"Night",F164&lt;=6,"Early Morning",F164&lt;8,"Morning",F164&lt;10,"Late Morning",F164&lt;12,"Afternoon",F164&lt;16,"Afternoon",F164&lt;=18,"Early Evening",F164&lt;=20,"Evening",F164&lt;=22,"Late Evening",F164&lt;=23,"Night")</f>
        <v>Night</v>
      </c>
      <c r="H164" s="2" t="b">
        <v>0</v>
      </c>
      <c r="I164" s="2">
        <v>6</v>
      </c>
      <c r="J164" s="2">
        <v>2</v>
      </c>
      <c r="K164" s="14">
        <v>0.18</v>
      </c>
      <c r="L164" s="4">
        <v>0.21210000000000001</v>
      </c>
      <c r="M164" s="4">
        <v>0.55000000000000004</v>
      </c>
      <c r="N164" s="4">
        <v>8.9599999999999999E-2</v>
      </c>
      <c r="O164" s="4">
        <v>1</v>
      </c>
      <c r="P164" s="4">
        <v>15</v>
      </c>
      <c r="Q164" s="8">
        <v>16</v>
      </c>
    </row>
    <row r="165" spans="1:17" x14ac:dyDescent="0.25">
      <c r="A165" s="7">
        <v>164</v>
      </c>
      <c r="B165" s="3">
        <v>40551</v>
      </c>
      <c r="C165" s="2">
        <v>1</v>
      </c>
      <c r="D165" s="2">
        <v>0</v>
      </c>
      <c r="E165" s="2">
        <v>1</v>
      </c>
      <c r="F165" s="2">
        <v>2</v>
      </c>
      <c r="G165" s="2" t="str" cm="1">
        <f t="array" ref="G165">_xlfn.IFS(F165&lt;3,"Night",F165&lt;=6,"Early Morning",F165&lt;8,"Morning",F165&lt;10,"Late Morning",F165&lt;12,"Afternoon",F165&lt;16,"Afternoon",F165&lt;=18,"Early Evening",F165&lt;=20,"Evening",F165&lt;=22,"Late Evening",F165&lt;=23,"Night")</f>
        <v>Night</v>
      </c>
      <c r="H165" s="2" t="b">
        <v>0</v>
      </c>
      <c r="I165" s="2">
        <v>6</v>
      </c>
      <c r="J165" s="2">
        <v>2</v>
      </c>
      <c r="K165" s="14">
        <v>0.18</v>
      </c>
      <c r="L165" s="4">
        <v>0.2424</v>
      </c>
      <c r="M165" s="4">
        <v>0.55000000000000004</v>
      </c>
      <c r="N165" s="4">
        <v>0</v>
      </c>
      <c r="O165" s="4">
        <v>3</v>
      </c>
      <c r="P165" s="4">
        <v>13</v>
      </c>
      <c r="Q165" s="8">
        <v>16</v>
      </c>
    </row>
    <row r="166" spans="1:17" x14ac:dyDescent="0.25">
      <c r="A166" s="7">
        <v>165</v>
      </c>
      <c r="B166" s="3">
        <v>40551</v>
      </c>
      <c r="C166" s="2">
        <v>1</v>
      </c>
      <c r="D166" s="2">
        <v>0</v>
      </c>
      <c r="E166" s="2">
        <v>1</v>
      </c>
      <c r="F166" s="2">
        <v>3</v>
      </c>
      <c r="G166" s="2" t="str" cm="1">
        <f t="array" ref="G166">_xlfn.IFS(F166&lt;3,"Night",F166&lt;=6,"Early Morning",F166&lt;8,"Morning",F166&lt;10,"Late Morning",F166&lt;12,"Afternoon",F166&lt;16,"Afternoon",F166&lt;=18,"Early Evening",F166&lt;=20,"Evening",F166&lt;=22,"Late Evening",F166&lt;=23,"Night")</f>
        <v>Early Morning</v>
      </c>
      <c r="H166" s="2" t="b">
        <v>0</v>
      </c>
      <c r="I166" s="2">
        <v>6</v>
      </c>
      <c r="J166" s="2">
        <v>3</v>
      </c>
      <c r="K166" s="14">
        <v>0.18</v>
      </c>
      <c r="L166" s="4">
        <v>0.19700000000000001</v>
      </c>
      <c r="M166" s="4">
        <v>0.55000000000000004</v>
      </c>
      <c r="N166" s="4">
        <v>0.16420000000000001</v>
      </c>
      <c r="O166" s="4">
        <v>0</v>
      </c>
      <c r="P166" s="4">
        <v>7</v>
      </c>
      <c r="Q166" s="8">
        <v>7</v>
      </c>
    </row>
    <row r="167" spans="1:17" x14ac:dyDescent="0.25">
      <c r="A167" s="7">
        <v>166</v>
      </c>
      <c r="B167" s="3">
        <v>40551</v>
      </c>
      <c r="C167" s="2">
        <v>1</v>
      </c>
      <c r="D167" s="2">
        <v>0</v>
      </c>
      <c r="E167" s="2">
        <v>1</v>
      </c>
      <c r="F167" s="2">
        <v>4</v>
      </c>
      <c r="G167" s="2" t="str" cm="1">
        <f t="array" ref="G167">_xlfn.IFS(F167&lt;3,"Night",F167&lt;=6,"Early Morning",F167&lt;8,"Morning",F167&lt;10,"Late Morning",F167&lt;12,"Afternoon",F167&lt;16,"Afternoon",F167&lt;=18,"Early Evening",F167&lt;=20,"Evening",F167&lt;=22,"Late Evening",F167&lt;=23,"Night")</f>
        <v>Early Morning</v>
      </c>
      <c r="H167" s="2" t="b">
        <v>0</v>
      </c>
      <c r="I167" s="2">
        <v>6</v>
      </c>
      <c r="J167" s="2">
        <v>3</v>
      </c>
      <c r="K167" s="14">
        <v>0.18</v>
      </c>
      <c r="L167" s="4">
        <v>0.19700000000000001</v>
      </c>
      <c r="M167" s="4">
        <v>0.55000000000000004</v>
      </c>
      <c r="N167" s="4">
        <v>0.16420000000000001</v>
      </c>
      <c r="O167" s="4">
        <v>0</v>
      </c>
      <c r="P167" s="4">
        <v>1</v>
      </c>
      <c r="Q167" s="8">
        <v>1</v>
      </c>
    </row>
    <row r="168" spans="1:17" x14ac:dyDescent="0.25">
      <c r="A168" s="7">
        <v>167</v>
      </c>
      <c r="B168" s="3">
        <v>40551</v>
      </c>
      <c r="C168" s="2">
        <v>1</v>
      </c>
      <c r="D168" s="2">
        <v>0</v>
      </c>
      <c r="E168" s="2">
        <v>1</v>
      </c>
      <c r="F168" s="2">
        <v>5</v>
      </c>
      <c r="G168" s="2" t="str" cm="1">
        <f t="array" ref="G168">_xlfn.IFS(F168&lt;3,"Night",F168&lt;=6,"Early Morning",F168&lt;8,"Morning",F168&lt;10,"Late Morning",F168&lt;12,"Afternoon",F168&lt;16,"Afternoon",F168&lt;=18,"Early Evening",F168&lt;=20,"Evening",F168&lt;=22,"Late Evening",F168&lt;=23,"Night")</f>
        <v>Early Morning</v>
      </c>
      <c r="H168" s="2" t="b">
        <v>0</v>
      </c>
      <c r="I168" s="2">
        <v>6</v>
      </c>
      <c r="J168" s="2">
        <v>2</v>
      </c>
      <c r="K168" s="14">
        <v>0.16</v>
      </c>
      <c r="L168" s="4">
        <v>0.16669999999999999</v>
      </c>
      <c r="M168" s="4">
        <v>0.74</v>
      </c>
      <c r="N168" s="4">
        <v>0.16420000000000001</v>
      </c>
      <c r="O168" s="4">
        <v>0</v>
      </c>
      <c r="P168" s="4">
        <v>5</v>
      </c>
      <c r="Q168" s="8">
        <v>5</v>
      </c>
    </row>
    <row r="169" spans="1:17" x14ac:dyDescent="0.25">
      <c r="A169" s="7">
        <v>168</v>
      </c>
      <c r="B169" s="3">
        <v>40551</v>
      </c>
      <c r="C169" s="2">
        <v>1</v>
      </c>
      <c r="D169" s="2">
        <v>0</v>
      </c>
      <c r="E169" s="2">
        <v>1</v>
      </c>
      <c r="F169" s="2">
        <v>6</v>
      </c>
      <c r="G169" s="2" t="str" cm="1">
        <f t="array" ref="G169">_xlfn.IFS(F169&lt;3,"Night",F169&lt;=6,"Early Morning",F169&lt;8,"Morning",F169&lt;10,"Late Morning",F169&lt;12,"Afternoon",F169&lt;16,"Afternoon",F169&lt;=18,"Early Evening",F169&lt;=20,"Evening",F169&lt;=22,"Late Evening",F169&lt;=23,"Night")</f>
        <v>Early Morning</v>
      </c>
      <c r="H169" s="2" t="b">
        <v>0</v>
      </c>
      <c r="I169" s="2">
        <v>6</v>
      </c>
      <c r="J169" s="2">
        <v>2</v>
      </c>
      <c r="K169" s="14">
        <v>0.16</v>
      </c>
      <c r="L169" s="4">
        <v>0.16669999999999999</v>
      </c>
      <c r="M169" s="4">
        <v>0.74</v>
      </c>
      <c r="N169" s="4">
        <v>0.16420000000000001</v>
      </c>
      <c r="O169" s="4">
        <v>0</v>
      </c>
      <c r="P169" s="4">
        <v>2</v>
      </c>
      <c r="Q169" s="8">
        <v>2</v>
      </c>
    </row>
    <row r="170" spans="1:17" x14ac:dyDescent="0.25">
      <c r="A170" s="7">
        <v>169</v>
      </c>
      <c r="B170" s="3">
        <v>40551</v>
      </c>
      <c r="C170" s="2">
        <v>1</v>
      </c>
      <c r="D170" s="2">
        <v>0</v>
      </c>
      <c r="E170" s="2">
        <v>1</v>
      </c>
      <c r="F170" s="2">
        <v>7</v>
      </c>
      <c r="G170" s="2" t="str" cm="1">
        <f t="array" ref="G170">_xlfn.IFS(F170&lt;3,"Night",F170&lt;=6,"Early Morning",F170&lt;8,"Morning",F170&lt;10,"Late Morning",F170&lt;12,"Afternoon",F170&lt;16,"Afternoon",F170&lt;=18,"Early Evening",F170&lt;=20,"Evening",F170&lt;=22,"Late Evening",F170&lt;=23,"Night")</f>
        <v>Morning</v>
      </c>
      <c r="H170" s="2" t="b">
        <v>0</v>
      </c>
      <c r="I170" s="2">
        <v>6</v>
      </c>
      <c r="J170" s="2">
        <v>2</v>
      </c>
      <c r="K170" s="14">
        <v>0.16</v>
      </c>
      <c r="L170" s="4">
        <v>0.18179999999999999</v>
      </c>
      <c r="M170" s="4">
        <v>0.74</v>
      </c>
      <c r="N170" s="4">
        <v>0.1045</v>
      </c>
      <c r="O170" s="4">
        <v>1</v>
      </c>
      <c r="P170" s="4">
        <v>8</v>
      </c>
      <c r="Q170" s="8">
        <v>9</v>
      </c>
    </row>
    <row r="171" spans="1:17" x14ac:dyDescent="0.25">
      <c r="A171" s="7">
        <v>170</v>
      </c>
      <c r="B171" s="3">
        <v>40551</v>
      </c>
      <c r="C171" s="2">
        <v>1</v>
      </c>
      <c r="D171" s="2">
        <v>0</v>
      </c>
      <c r="E171" s="2">
        <v>1</v>
      </c>
      <c r="F171" s="2">
        <v>8</v>
      </c>
      <c r="G171" s="2" t="str" cm="1">
        <f t="array" ref="G171">_xlfn.IFS(F171&lt;3,"Night",F171&lt;=6,"Early Morning",F171&lt;8,"Morning",F171&lt;10,"Late Morning",F171&lt;12,"Afternoon",F171&lt;16,"Afternoon",F171&lt;=18,"Early Evening",F171&lt;=20,"Evening",F171&lt;=22,"Late Evening",F171&lt;=23,"Night")</f>
        <v>Late Morning</v>
      </c>
      <c r="H171" s="2" t="b">
        <v>0</v>
      </c>
      <c r="I171" s="2">
        <v>6</v>
      </c>
      <c r="J171" s="2">
        <v>3</v>
      </c>
      <c r="K171" s="14">
        <v>0.16</v>
      </c>
      <c r="L171" s="4">
        <v>0.18179999999999999</v>
      </c>
      <c r="M171" s="4">
        <v>0.93</v>
      </c>
      <c r="N171" s="4">
        <v>0.1045</v>
      </c>
      <c r="O171" s="4">
        <v>0</v>
      </c>
      <c r="P171" s="4">
        <v>15</v>
      </c>
      <c r="Q171" s="8">
        <v>15</v>
      </c>
    </row>
    <row r="172" spans="1:17" x14ac:dyDescent="0.25">
      <c r="A172" s="7">
        <v>171</v>
      </c>
      <c r="B172" s="3">
        <v>40551</v>
      </c>
      <c r="C172" s="2">
        <v>1</v>
      </c>
      <c r="D172" s="2">
        <v>0</v>
      </c>
      <c r="E172" s="2">
        <v>1</v>
      </c>
      <c r="F172" s="2">
        <v>9</v>
      </c>
      <c r="G172" s="2" t="str" cm="1">
        <f t="array" ref="G172">_xlfn.IFS(F172&lt;3,"Night",F172&lt;=6,"Early Morning",F172&lt;8,"Morning",F172&lt;10,"Late Morning",F172&lt;12,"Afternoon",F172&lt;16,"Afternoon",F172&lt;=18,"Early Evening",F172&lt;=20,"Evening",F172&lt;=22,"Late Evening",F172&lt;=23,"Night")</f>
        <v>Late Morning</v>
      </c>
      <c r="H172" s="2" t="b">
        <v>0</v>
      </c>
      <c r="I172" s="2">
        <v>6</v>
      </c>
      <c r="J172" s="2">
        <v>3</v>
      </c>
      <c r="K172" s="14">
        <v>0.16</v>
      </c>
      <c r="L172" s="4">
        <v>0.18179999999999999</v>
      </c>
      <c r="M172" s="4">
        <v>0.93</v>
      </c>
      <c r="N172" s="4">
        <v>0.1045</v>
      </c>
      <c r="O172" s="4">
        <v>0</v>
      </c>
      <c r="P172" s="4">
        <v>20</v>
      </c>
      <c r="Q172" s="8">
        <v>20</v>
      </c>
    </row>
    <row r="173" spans="1:17" x14ac:dyDescent="0.25">
      <c r="A173" s="7">
        <v>172</v>
      </c>
      <c r="B173" s="3">
        <v>40551</v>
      </c>
      <c r="C173" s="2">
        <v>1</v>
      </c>
      <c r="D173" s="2">
        <v>0</v>
      </c>
      <c r="E173" s="2">
        <v>1</v>
      </c>
      <c r="F173" s="2">
        <v>10</v>
      </c>
      <c r="G173" s="2" t="str" cm="1">
        <f t="array" ref="G173">_xlfn.IFS(F173&lt;3,"Night",F173&lt;=6,"Early Morning",F173&lt;8,"Morning",F173&lt;10,"Late Morning",F173&lt;12,"Afternoon",F173&lt;16,"Afternoon",F173&lt;=18,"Early Evening",F173&lt;=20,"Evening",F173&lt;=22,"Late Evening",F173&lt;=23,"Night")</f>
        <v>Afternoon</v>
      </c>
      <c r="H173" s="2" t="b">
        <v>0</v>
      </c>
      <c r="I173" s="2">
        <v>6</v>
      </c>
      <c r="J173" s="2">
        <v>2</v>
      </c>
      <c r="K173" s="14">
        <v>0.18</v>
      </c>
      <c r="L173" s="4">
        <v>0.19700000000000001</v>
      </c>
      <c r="M173" s="4">
        <v>0.8</v>
      </c>
      <c r="N173" s="4">
        <v>0.16420000000000001</v>
      </c>
      <c r="O173" s="4">
        <v>5</v>
      </c>
      <c r="P173" s="4">
        <v>56</v>
      </c>
      <c r="Q173" s="8">
        <v>61</v>
      </c>
    </row>
    <row r="174" spans="1:17" x14ac:dyDescent="0.25">
      <c r="A174" s="7">
        <v>173</v>
      </c>
      <c r="B174" s="3">
        <v>40551</v>
      </c>
      <c r="C174" s="2">
        <v>1</v>
      </c>
      <c r="D174" s="2">
        <v>0</v>
      </c>
      <c r="E174" s="2">
        <v>1</v>
      </c>
      <c r="F174" s="2">
        <v>11</v>
      </c>
      <c r="G174" s="2" t="str" cm="1">
        <f t="array" ref="G174">_xlfn.IFS(F174&lt;3,"Night",F174&lt;=6,"Early Morning",F174&lt;8,"Morning",F174&lt;10,"Late Morning",F174&lt;12,"Afternoon",F174&lt;16,"Afternoon",F174&lt;=18,"Early Evening",F174&lt;=20,"Evening",F174&lt;=22,"Late Evening",F174&lt;=23,"Night")</f>
        <v>Afternoon</v>
      </c>
      <c r="H174" s="2" t="b">
        <v>0</v>
      </c>
      <c r="I174" s="2">
        <v>6</v>
      </c>
      <c r="J174" s="2">
        <v>2</v>
      </c>
      <c r="K174" s="14">
        <v>0.2</v>
      </c>
      <c r="L174" s="4">
        <v>0.18179999999999999</v>
      </c>
      <c r="M174" s="4">
        <v>0.69</v>
      </c>
      <c r="N174" s="4">
        <v>0.3881</v>
      </c>
      <c r="O174" s="4">
        <v>2</v>
      </c>
      <c r="P174" s="4">
        <v>60</v>
      </c>
      <c r="Q174" s="8">
        <v>62</v>
      </c>
    </row>
    <row r="175" spans="1:17" x14ac:dyDescent="0.25">
      <c r="A175" s="7">
        <v>174</v>
      </c>
      <c r="B175" s="3">
        <v>40551</v>
      </c>
      <c r="C175" s="2">
        <v>1</v>
      </c>
      <c r="D175" s="2">
        <v>0</v>
      </c>
      <c r="E175" s="2">
        <v>1</v>
      </c>
      <c r="F175" s="2">
        <v>12</v>
      </c>
      <c r="G175" s="2" t="str" cm="1">
        <f t="array" ref="G175">_xlfn.IFS(F175&lt;3,"Night",F175&lt;=6,"Early Morning",F175&lt;8,"Morning",F175&lt;10,"Late Morning",F175&lt;12,"Afternoon",F175&lt;16,"Afternoon",F175&lt;=18,"Early Evening",F175&lt;=20,"Evening",F175&lt;=22,"Late Evening",F175&lt;=23,"Night")</f>
        <v>Afternoon</v>
      </c>
      <c r="H175" s="2" t="b">
        <v>0</v>
      </c>
      <c r="I175" s="2">
        <v>6</v>
      </c>
      <c r="J175" s="2">
        <v>2</v>
      </c>
      <c r="K175" s="14">
        <v>0.2</v>
      </c>
      <c r="L175" s="4">
        <v>0.18179999999999999</v>
      </c>
      <c r="M175" s="4">
        <v>0.59</v>
      </c>
      <c r="N175" s="4">
        <v>0.35820000000000002</v>
      </c>
      <c r="O175" s="4">
        <v>8</v>
      </c>
      <c r="P175" s="4">
        <v>90</v>
      </c>
      <c r="Q175" s="8">
        <v>98</v>
      </c>
    </row>
    <row r="176" spans="1:17" x14ac:dyDescent="0.25">
      <c r="A176" s="7">
        <v>175</v>
      </c>
      <c r="B176" s="3">
        <v>40551</v>
      </c>
      <c r="C176" s="2">
        <v>1</v>
      </c>
      <c r="D176" s="2">
        <v>0</v>
      </c>
      <c r="E176" s="2">
        <v>1</v>
      </c>
      <c r="F176" s="2">
        <v>13</v>
      </c>
      <c r="G176" s="2" t="str" cm="1">
        <f t="array" ref="G176">_xlfn.IFS(F176&lt;3,"Night",F176&lt;=6,"Early Morning",F176&lt;8,"Morning",F176&lt;10,"Late Morning",F176&lt;12,"Afternoon",F176&lt;16,"Afternoon",F176&lt;=18,"Early Evening",F176&lt;=20,"Evening",F176&lt;=22,"Late Evening",F176&lt;=23,"Night")</f>
        <v>Afternoon</v>
      </c>
      <c r="H176" s="2" t="b">
        <v>0</v>
      </c>
      <c r="I176" s="2">
        <v>6</v>
      </c>
      <c r="J176" s="2">
        <v>1</v>
      </c>
      <c r="K176" s="14">
        <v>0.2</v>
      </c>
      <c r="L176" s="4">
        <v>0.18179999999999999</v>
      </c>
      <c r="M176" s="4">
        <v>0.44</v>
      </c>
      <c r="N176" s="4">
        <v>0.32840000000000003</v>
      </c>
      <c r="O176" s="4">
        <v>7</v>
      </c>
      <c r="P176" s="4">
        <v>95</v>
      </c>
      <c r="Q176" s="8">
        <v>102</v>
      </c>
    </row>
    <row r="177" spans="1:17" x14ac:dyDescent="0.25">
      <c r="A177" s="7">
        <v>176</v>
      </c>
      <c r="B177" s="3">
        <v>40551</v>
      </c>
      <c r="C177" s="2">
        <v>1</v>
      </c>
      <c r="D177" s="2">
        <v>0</v>
      </c>
      <c r="E177" s="2">
        <v>1</v>
      </c>
      <c r="F177" s="2">
        <v>14</v>
      </c>
      <c r="G177" s="2" t="str" cm="1">
        <f t="array" ref="G177">_xlfn.IFS(F177&lt;3,"Night",F177&lt;=6,"Early Morning",F177&lt;8,"Morning",F177&lt;10,"Late Morning",F177&lt;12,"Afternoon",F177&lt;16,"Afternoon",F177&lt;=18,"Early Evening",F177&lt;=20,"Evening",F177&lt;=22,"Late Evening",F177&lt;=23,"Night")</f>
        <v>Afternoon</v>
      </c>
      <c r="H177" s="2" t="b">
        <v>0</v>
      </c>
      <c r="I177" s="2">
        <v>6</v>
      </c>
      <c r="J177" s="2">
        <v>1</v>
      </c>
      <c r="K177" s="14">
        <v>0.2</v>
      </c>
      <c r="L177" s="4">
        <v>0.16669999999999999</v>
      </c>
      <c r="M177" s="4">
        <v>0.32</v>
      </c>
      <c r="N177" s="4">
        <v>0.49249999999999999</v>
      </c>
      <c r="O177" s="4">
        <v>12</v>
      </c>
      <c r="P177" s="4">
        <v>83</v>
      </c>
      <c r="Q177" s="8">
        <v>95</v>
      </c>
    </row>
    <row r="178" spans="1:17" x14ac:dyDescent="0.25">
      <c r="A178" s="7">
        <v>177</v>
      </c>
      <c r="B178" s="3">
        <v>40551</v>
      </c>
      <c r="C178" s="2">
        <v>1</v>
      </c>
      <c r="D178" s="2">
        <v>0</v>
      </c>
      <c r="E178" s="2">
        <v>1</v>
      </c>
      <c r="F178" s="2">
        <v>15</v>
      </c>
      <c r="G178" s="2" t="str" cm="1">
        <f t="array" ref="G178">_xlfn.IFS(F178&lt;3,"Night",F178&lt;=6,"Early Morning",F178&lt;8,"Morning",F178&lt;10,"Late Morning",F178&lt;12,"Afternoon",F178&lt;16,"Afternoon",F178&lt;=18,"Early Evening",F178&lt;=20,"Evening",F178&lt;=22,"Late Evening",F178&lt;=23,"Night")</f>
        <v>Afternoon</v>
      </c>
      <c r="H178" s="2" t="b">
        <v>0</v>
      </c>
      <c r="I178" s="2">
        <v>6</v>
      </c>
      <c r="J178" s="2">
        <v>1</v>
      </c>
      <c r="K178" s="14">
        <v>0.2</v>
      </c>
      <c r="L178" s="4">
        <v>0.16669999999999999</v>
      </c>
      <c r="M178" s="4">
        <v>0.32</v>
      </c>
      <c r="N178" s="4">
        <v>0.44779999999999998</v>
      </c>
      <c r="O178" s="4">
        <v>5</v>
      </c>
      <c r="P178" s="4">
        <v>69</v>
      </c>
      <c r="Q178" s="8">
        <v>74</v>
      </c>
    </row>
    <row r="179" spans="1:17" x14ac:dyDescent="0.25">
      <c r="A179" s="7">
        <v>178</v>
      </c>
      <c r="B179" s="3">
        <v>40551</v>
      </c>
      <c r="C179" s="2">
        <v>1</v>
      </c>
      <c r="D179" s="2">
        <v>0</v>
      </c>
      <c r="E179" s="2">
        <v>1</v>
      </c>
      <c r="F179" s="2">
        <v>16</v>
      </c>
      <c r="G179" s="2" t="str" cm="1">
        <f t="array" ref="G179">_xlfn.IFS(F179&lt;3,"Night",F179&lt;=6,"Early Morning",F179&lt;8,"Morning",F179&lt;10,"Late Morning",F179&lt;12,"Afternoon",F179&lt;16,"Afternoon",F179&lt;=18,"Early Evening",F179&lt;=20,"Evening",F179&lt;=22,"Late Evening",F179&lt;=23,"Night")</f>
        <v>Early Evening</v>
      </c>
      <c r="H179" s="2" t="b">
        <v>0</v>
      </c>
      <c r="I179" s="2">
        <v>6</v>
      </c>
      <c r="J179" s="2">
        <v>1</v>
      </c>
      <c r="K179" s="14">
        <v>0.18</v>
      </c>
      <c r="L179" s="4">
        <v>0.13639999999999999</v>
      </c>
      <c r="M179" s="4">
        <v>0.28999999999999998</v>
      </c>
      <c r="N179" s="4">
        <v>0.44779999999999998</v>
      </c>
      <c r="O179" s="4">
        <v>8</v>
      </c>
      <c r="P179" s="4">
        <v>68</v>
      </c>
      <c r="Q179" s="8">
        <v>76</v>
      </c>
    </row>
    <row r="180" spans="1:17" x14ac:dyDescent="0.25">
      <c r="A180" s="7">
        <v>179</v>
      </c>
      <c r="B180" s="3">
        <v>40551</v>
      </c>
      <c r="C180" s="2">
        <v>1</v>
      </c>
      <c r="D180" s="2">
        <v>0</v>
      </c>
      <c r="E180" s="2">
        <v>1</v>
      </c>
      <c r="F180" s="2">
        <v>17</v>
      </c>
      <c r="G180" s="2" t="str" cm="1">
        <f t="array" ref="G180">_xlfn.IFS(F180&lt;3,"Night",F180&lt;=6,"Early Morning",F180&lt;8,"Morning",F180&lt;10,"Late Morning",F180&lt;12,"Afternoon",F180&lt;16,"Afternoon",F180&lt;=18,"Early Evening",F180&lt;=20,"Evening",F180&lt;=22,"Late Evening",F180&lt;=23,"Night")</f>
        <v>Early Evening</v>
      </c>
      <c r="H180" s="2" t="b">
        <v>0</v>
      </c>
      <c r="I180" s="2">
        <v>6</v>
      </c>
      <c r="J180" s="2">
        <v>1</v>
      </c>
      <c r="K180" s="14">
        <v>0.16</v>
      </c>
      <c r="L180" s="4">
        <v>0.1212</v>
      </c>
      <c r="M180" s="4">
        <v>0.37</v>
      </c>
      <c r="N180" s="4">
        <v>0.55220000000000002</v>
      </c>
      <c r="O180" s="4">
        <v>5</v>
      </c>
      <c r="P180" s="4">
        <v>64</v>
      </c>
      <c r="Q180" s="8">
        <v>69</v>
      </c>
    </row>
    <row r="181" spans="1:17" x14ac:dyDescent="0.25">
      <c r="A181" s="7">
        <v>180</v>
      </c>
      <c r="B181" s="3">
        <v>40551</v>
      </c>
      <c r="C181" s="2">
        <v>1</v>
      </c>
      <c r="D181" s="2">
        <v>0</v>
      </c>
      <c r="E181" s="2">
        <v>1</v>
      </c>
      <c r="F181" s="2">
        <v>18</v>
      </c>
      <c r="G181" s="2" t="str" cm="1">
        <f t="array" ref="G181">_xlfn.IFS(F181&lt;3,"Night",F181&lt;=6,"Early Morning",F181&lt;8,"Morning",F181&lt;10,"Late Morning",F181&lt;12,"Afternoon",F181&lt;16,"Afternoon",F181&lt;=18,"Early Evening",F181&lt;=20,"Evening",F181&lt;=22,"Late Evening",F181&lt;=23,"Night")</f>
        <v>Early Evening</v>
      </c>
      <c r="H181" s="2" t="b">
        <v>0</v>
      </c>
      <c r="I181" s="2">
        <v>6</v>
      </c>
      <c r="J181" s="2">
        <v>1</v>
      </c>
      <c r="K181" s="14">
        <v>0.14000000000000001</v>
      </c>
      <c r="L181" s="4">
        <v>0.1212</v>
      </c>
      <c r="M181" s="4">
        <v>0.39</v>
      </c>
      <c r="N181" s="4">
        <v>0.29849999999999999</v>
      </c>
      <c r="O181" s="4">
        <v>3</v>
      </c>
      <c r="P181" s="4">
        <v>52</v>
      </c>
      <c r="Q181" s="8">
        <v>55</v>
      </c>
    </row>
    <row r="182" spans="1:17" x14ac:dyDescent="0.25">
      <c r="A182" s="7">
        <v>181</v>
      </c>
      <c r="B182" s="3">
        <v>40551</v>
      </c>
      <c r="C182" s="2">
        <v>1</v>
      </c>
      <c r="D182" s="2">
        <v>0</v>
      </c>
      <c r="E182" s="2">
        <v>1</v>
      </c>
      <c r="F182" s="2">
        <v>19</v>
      </c>
      <c r="G182" s="2" t="str" cm="1">
        <f t="array" ref="G182">_xlfn.IFS(F182&lt;3,"Night",F182&lt;=6,"Early Morning",F182&lt;8,"Morning",F182&lt;10,"Late Morning",F182&lt;12,"Afternoon",F182&lt;16,"Afternoon",F182&lt;=18,"Early Evening",F182&lt;=20,"Evening",F182&lt;=22,"Late Evening",F182&lt;=23,"Night")</f>
        <v>Evening</v>
      </c>
      <c r="H182" s="2" t="b">
        <v>0</v>
      </c>
      <c r="I182" s="2">
        <v>6</v>
      </c>
      <c r="J182" s="2">
        <v>1</v>
      </c>
      <c r="K182" s="14">
        <v>0.14000000000000001</v>
      </c>
      <c r="L182" s="4">
        <v>0.1212</v>
      </c>
      <c r="M182" s="4">
        <v>0.36</v>
      </c>
      <c r="N182" s="4">
        <v>0.25369999999999998</v>
      </c>
      <c r="O182" s="4">
        <v>4</v>
      </c>
      <c r="P182" s="4">
        <v>26</v>
      </c>
      <c r="Q182" s="8">
        <v>30</v>
      </c>
    </row>
    <row r="183" spans="1:17" x14ac:dyDescent="0.25">
      <c r="A183" s="7">
        <v>182</v>
      </c>
      <c r="B183" s="3">
        <v>40551</v>
      </c>
      <c r="C183" s="2">
        <v>1</v>
      </c>
      <c r="D183" s="2">
        <v>0</v>
      </c>
      <c r="E183" s="2">
        <v>1</v>
      </c>
      <c r="F183" s="2">
        <v>20</v>
      </c>
      <c r="G183" s="2" t="str" cm="1">
        <f t="array" ref="G183">_xlfn.IFS(F183&lt;3,"Night",F183&lt;=6,"Early Morning",F183&lt;8,"Morning",F183&lt;10,"Late Morning",F183&lt;12,"Afternoon",F183&lt;16,"Afternoon",F183&lt;=18,"Early Evening",F183&lt;=20,"Evening",F183&lt;=22,"Late Evening",F183&lt;=23,"Night")</f>
        <v>Evening</v>
      </c>
      <c r="H183" s="2" t="b">
        <v>0</v>
      </c>
      <c r="I183" s="2">
        <v>6</v>
      </c>
      <c r="J183" s="2">
        <v>1</v>
      </c>
      <c r="K183" s="14">
        <v>0.12</v>
      </c>
      <c r="L183" s="4">
        <v>0.1212</v>
      </c>
      <c r="M183" s="4">
        <v>0.36</v>
      </c>
      <c r="N183" s="4">
        <v>0.25369999999999998</v>
      </c>
      <c r="O183" s="4">
        <v>0</v>
      </c>
      <c r="P183" s="4">
        <v>28</v>
      </c>
      <c r="Q183" s="8">
        <v>28</v>
      </c>
    </row>
    <row r="184" spans="1:17" x14ac:dyDescent="0.25">
      <c r="A184" s="7">
        <v>183</v>
      </c>
      <c r="B184" s="3">
        <v>40551</v>
      </c>
      <c r="C184" s="2">
        <v>1</v>
      </c>
      <c r="D184" s="2">
        <v>0</v>
      </c>
      <c r="E184" s="2">
        <v>1</v>
      </c>
      <c r="F184" s="2">
        <v>21</v>
      </c>
      <c r="G184" s="2" t="str" cm="1">
        <f t="array" ref="G184">_xlfn.IFS(F184&lt;3,"Night",F184&lt;=6,"Early Morning",F184&lt;8,"Morning",F184&lt;10,"Late Morning",F184&lt;12,"Afternoon",F184&lt;16,"Afternoon",F184&lt;=18,"Early Evening",F184&lt;=20,"Evening",F184&lt;=22,"Late Evening",F184&lt;=23,"Night")</f>
        <v>Late Evening</v>
      </c>
      <c r="H184" s="2" t="b">
        <v>0</v>
      </c>
      <c r="I184" s="2">
        <v>6</v>
      </c>
      <c r="J184" s="2">
        <v>1</v>
      </c>
      <c r="K184" s="14">
        <v>0.12</v>
      </c>
      <c r="L184" s="4">
        <v>0.1061</v>
      </c>
      <c r="M184" s="4">
        <v>0.39</v>
      </c>
      <c r="N184" s="4">
        <v>0.35820000000000002</v>
      </c>
      <c r="O184" s="4">
        <v>2</v>
      </c>
      <c r="P184" s="4">
        <v>35</v>
      </c>
      <c r="Q184" s="8">
        <v>37</v>
      </c>
    </row>
    <row r="185" spans="1:17" x14ac:dyDescent="0.25">
      <c r="A185" s="7">
        <v>184</v>
      </c>
      <c r="B185" s="3">
        <v>40551</v>
      </c>
      <c r="C185" s="2">
        <v>1</v>
      </c>
      <c r="D185" s="2">
        <v>0</v>
      </c>
      <c r="E185" s="2">
        <v>1</v>
      </c>
      <c r="F185" s="2">
        <v>22</v>
      </c>
      <c r="G185" s="2" t="str" cm="1">
        <f t="array" ref="G185">_xlfn.IFS(F185&lt;3,"Night",F185&lt;=6,"Early Morning",F185&lt;8,"Morning",F185&lt;10,"Late Morning",F185&lt;12,"Afternoon",F185&lt;16,"Afternoon",F185&lt;=18,"Early Evening",F185&lt;=20,"Evening",F185&lt;=22,"Late Evening",F185&lt;=23,"Night")</f>
        <v>Late Evening</v>
      </c>
      <c r="H185" s="2" t="b">
        <v>0</v>
      </c>
      <c r="I185" s="2">
        <v>6</v>
      </c>
      <c r="J185" s="2">
        <v>1</v>
      </c>
      <c r="K185" s="14">
        <v>0.12</v>
      </c>
      <c r="L185" s="4">
        <v>0.1061</v>
      </c>
      <c r="M185" s="4">
        <v>0.36</v>
      </c>
      <c r="N185" s="4">
        <v>0.3881</v>
      </c>
      <c r="O185" s="4">
        <v>1</v>
      </c>
      <c r="P185" s="4">
        <v>33</v>
      </c>
      <c r="Q185" s="8">
        <v>34</v>
      </c>
    </row>
    <row r="186" spans="1:17" x14ac:dyDescent="0.25">
      <c r="A186" s="7">
        <v>185</v>
      </c>
      <c r="B186" s="3">
        <v>40551</v>
      </c>
      <c r="C186" s="2">
        <v>1</v>
      </c>
      <c r="D186" s="2">
        <v>0</v>
      </c>
      <c r="E186" s="2">
        <v>1</v>
      </c>
      <c r="F186" s="2">
        <v>23</v>
      </c>
      <c r="G186" s="2" t="str" cm="1">
        <f t="array" ref="G186">_xlfn.IFS(F186&lt;3,"Night",F186&lt;=6,"Early Morning",F186&lt;8,"Morning",F186&lt;10,"Late Morning",F186&lt;12,"Afternoon",F186&lt;16,"Afternoon",F186&lt;=18,"Early Evening",F186&lt;=20,"Evening",F186&lt;=22,"Late Evening",F186&lt;=23,"Night")</f>
        <v>Night</v>
      </c>
      <c r="H186" s="2" t="b">
        <v>0</v>
      </c>
      <c r="I186" s="2">
        <v>6</v>
      </c>
      <c r="J186" s="2">
        <v>1</v>
      </c>
      <c r="K186" s="14">
        <v>0.1</v>
      </c>
      <c r="L186" s="4">
        <v>6.0600000000000001E-2</v>
      </c>
      <c r="M186" s="4">
        <v>0.39</v>
      </c>
      <c r="N186" s="4">
        <v>0.44779999999999998</v>
      </c>
      <c r="O186" s="4">
        <v>0</v>
      </c>
      <c r="P186" s="4">
        <v>22</v>
      </c>
      <c r="Q186" s="8">
        <v>22</v>
      </c>
    </row>
    <row r="187" spans="1:17" x14ac:dyDescent="0.25">
      <c r="A187" s="7">
        <v>186</v>
      </c>
      <c r="B187" s="3">
        <v>40552</v>
      </c>
      <c r="C187" s="2">
        <v>1</v>
      </c>
      <c r="D187" s="2">
        <v>0</v>
      </c>
      <c r="E187" s="2">
        <v>1</v>
      </c>
      <c r="F187" s="2">
        <v>0</v>
      </c>
      <c r="G187" s="2" t="str" cm="1">
        <f t="array" ref="G187">_xlfn.IFS(F187&lt;3,"Night",F187&lt;=6,"Early Morning",F187&lt;8,"Morning",F187&lt;10,"Late Morning",F187&lt;12,"Afternoon",F187&lt;16,"Afternoon",F187&lt;=18,"Early Evening",F187&lt;=20,"Evening",F187&lt;=22,"Late Evening",F187&lt;=23,"Night")</f>
        <v>Night</v>
      </c>
      <c r="H187" s="2" t="b">
        <v>0</v>
      </c>
      <c r="I187" s="2">
        <v>0</v>
      </c>
      <c r="J187" s="2">
        <v>1</v>
      </c>
      <c r="K187" s="14">
        <v>0.1</v>
      </c>
      <c r="L187" s="4">
        <v>7.5800000000000006E-2</v>
      </c>
      <c r="M187" s="4">
        <v>0.42</v>
      </c>
      <c r="N187" s="4">
        <v>0.3881</v>
      </c>
      <c r="O187" s="4">
        <v>1</v>
      </c>
      <c r="P187" s="4">
        <v>24</v>
      </c>
      <c r="Q187" s="8">
        <v>25</v>
      </c>
    </row>
    <row r="188" spans="1:17" x14ac:dyDescent="0.25">
      <c r="A188" s="7">
        <v>187</v>
      </c>
      <c r="B188" s="3">
        <v>40552</v>
      </c>
      <c r="C188" s="2">
        <v>1</v>
      </c>
      <c r="D188" s="2">
        <v>0</v>
      </c>
      <c r="E188" s="2">
        <v>1</v>
      </c>
      <c r="F188" s="2">
        <v>1</v>
      </c>
      <c r="G188" s="2" t="str" cm="1">
        <f t="array" ref="G188">_xlfn.IFS(F188&lt;3,"Night",F188&lt;=6,"Early Morning",F188&lt;8,"Morning",F188&lt;10,"Late Morning",F188&lt;12,"Afternoon",F188&lt;16,"Afternoon",F188&lt;=18,"Early Evening",F188&lt;=20,"Evening",F188&lt;=22,"Late Evening",F188&lt;=23,"Night")</f>
        <v>Night</v>
      </c>
      <c r="H188" s="2" t="b">
        <v>0</v>
      </c>
      <c r="I188" s="2">
        <v>0</v>
      </c>
      <c r="J188" s="2">
        <v>1</v>
      </c>
      <c r="K188" s="14">
        <v>0.1</v>
      </c>
      <c r="L188" s="4">
        <v>6.0600000000000001E-2</v>
      </c>
      <c r="M188" s="4">
        <v>0.42</v>
      </c>
      <c r="N188" s="4">
        <v>0.4627</v>
      </c>
      <c r="O188" s="4">
        <v>0</v>
      </c>
      <c r="P188" s="4">
        <v>12</v>
      </c>
      <c r="Q188" s="8">
        <v>12</v>
      </c>
    </row>
    <row r="189" spans="1:17" x14ac:dyDescent="0.25">
      <c r="A189" s="7">
        <v>188</v>
      </c>
      <c r="B189" s="3">
        <v>40552</v>
      </c>
      <c r="C189" s="2">
        <v>1</v>
      </c>
      <c r="D189" s="2">
        <v>0</v>
      </c>
      <c r="E189" s="2">
        <v>1</v>
      </c>
      <c r="F189" s="2">
        <v>2</v>
      </c>
      <c r="G189" s="2" t="str" cm="1">
        <f t="array" ref="G189">_xlfn.IFS(F189&lt;3,"Night",F189&lt;=6,"Early Morning",F189&lt;8,"Morning",F189&lt;10,"Late Morning",F189&lt;12,"Afternoon",F189&lt;16,"Afternoon",F189&lt;=18,"Early Evening",F189&lt;=20,"Evening",F189&lt;=22,"Late Evening",F189&lt;=23,"Night")</f>
        <v>Night</v>
      </c>
      <c r="H189" s="2" t="b">
        <v>0</v>
      </c>
      <c r="I189" s="2">
        <v>0</v>
      </c>
      <c r="J189" s="2">
        <v>1</v>
      </c>
      <c r="K189" s="14">
        <v>0.1</v>
      </c>
      <c r="L189" s="4">
        <v>6.0600000000000001E-2</v>
      </c>
      <c r="M189" s="4">
        <v>0.46</v>
      </c>
      <c r="N189" s="4">
        <v>0.4627</v>
      </c>
      <c r="O189" s="4">
        <v>0</v>
      </c>
      <c r="P189" s="4">
        <v>11</v>
      </c>
      <c r="Q189" s="8">
        <v>11</v>
      </c>
    </row>
    <row r="190" spans="1:17" x14ac:dyDescent="0.25">
      <c r="A190" s="7">
        <v>189</v>
      </c>
      <c r="B190" s="3">
        <v>40552</v>
      </c>
      <c r="C190" s="2">
        <v>1</v>
      </c>
      <c r="D190" s="2">
        <v>0</v>
      </c>
      <c r="E190" s="2">
        <v>1</v>
      </c>
      <c r="F190" s="2">
        <v>3</v>
      </c>
      <c r="G190" s="2" t="str" cm="1">
        <f t="array" ref="G190">_xlfn.IFS(F190&lt;3,"Night",F190&lt;=6,"Early Morning",F190&lt;8,"Morning",F190&lt;10,"Late Morning",F190&lt;12,"Afternoon",F190&lt;16,"Afternoon",F190&lt;=18,"Early Evening",F190&lt;=20,"Evening",F190&lt;=22,"Late Evening",F190&lt;=23,"Night")</f>
        <v>Early Morning</v>
      </c>
      <c r="H190" s="2" t="b">
        <v>0</v>
      </c>
      <c r="I190" s="2">
        <v>0</v>
      </c>
      <c r="J190" s="2">
        <v>1</v>
      </c>
      <c r="K190" s="14">
        <v>0.1</v>
      </c>
      <c r="L190" s="4">
        <v>7.5800000000000006E-2</v>
      </c>
      <c r="M190" s="4">
        <v>0.46</v>
      </c>
      <c r="N190" s="4">
        <v>0.41789999999999999</v>
      </c>
      <c r="O190" s="4">
        <v>0</v>
      </c>
      <c r="P190" s="4">
        <v>4</v>
      </c>
      <c r="Q190" s="8">
        <v>4</v>
      </c>
    </row>
    <row r="191" spans="1:17" x14ac:dyDescent="0.25">
      <c r="A191" s="7">
        <v>190</v>
      </c>
      <c r="B191" s="3">
        <v>40552</v>
      </c>
      <c r="C191" s="2">
        <v>1</v>
      </c>
      <c r="D191" s="2">
        <v>0</v>
      </c>
      <c r="E191" s="2">
        <v>1</v>
      </c>
      <c r="F191" s="2">
        <v>4</v>
      </c>
      <c r="G191" s="2" t="str" cm="1">
        <f t="array" ref="G191">_xlfn.IFS(F191&lt;3,"Night",F191&lt;=6,"Early Morning",F191&lt;8,"Morning",F191&lt;10,"Late Morning",F191&lt;12,"Afternoon",F191&lt;16,"Afternoon",F191&lt;=18,"Early Evening",F191&lt;=20,"Evening",F191&lt;=22,"Late Evening",F191&lt;=23,"Night")</f>
        <v>Early Morning</v>
      </c>
      <c r="H191" s="2" t="b">
        <v>0</v>
      </c>
      <c r="I191" s="2">
        <v>0</v>
      </c>
      <c r="J191" s="2">
        <v>1</v>
      </c>
      <c r="K191" s="14">
        <v>0.08</v>
      </c>
      <c r="L191" s="4">
        <v>9.0899999999999995E-2</v>
      </c>
      <c r="M191" s="4">
        <v>0.53</v>
      </c>
      <c r="N191" s="4">
        <v>0.19400000000000001</v>
      </c>
      <c r="O191" s="4">
        <v>0</v>
      </c>
      <c r="P191" s="4">
        <v>1</v>
      </c>
      <c r="Q191" s="8">
        <v>1</v>
      </c>
    </row>
    <row r="192" spans="1:17" x14ac:dyDescent="0.25">
      <c r="A192" s="7">
        <v>191</v>
      </c>
      <c r="B192" s="3">
        <v>40552</v>
      </c>
      <c r="C192" s="2">
        <v>1</v>
      </c>
      <c r="D192" s="2">
        <v>0</v>
      </c>
      <c r="E192" s="2">
        <v>1</v>
      </c>
      <c r="F192" s="2">
        <v>5</v>
      </c>
      <c r="G192" s="2" t="str" cm="1">
        <f t="array" ref="G192">_xlfn.IFS(F192&lt;3,"Night",F192&lt;=6,"Early Morning",F192&lt;8,"Morning",F192&lt;10,"Late Morning",F192&lt;12,"Afternoon",F192&lt;16,"Afternoon",F192&lt;=18,"Early Evening",F192&lt;=20,"Evening",F192&lt;=22,"Late Evening",F192&lt;=23,"Night")</f>
        <v>Early Morning</v>
      </c>
      <c r="H192" s="2" t="b">
        <v>0</v>
      </c>
      <c r="I192" s="2">
        <v>0</v>
      </c>
      <c r="J192" s="2">
        <v>1</v>
      </c>
      <c r="K192" s="14">
        <v>0.08</v>
      </c>
      <c r="L192" s="4">
        <v>9.0899999999999995E-2</v>
      </c>
      <c r="M192" s="4">
        <v>0.53</v>
      </c>
      <c r="N192" s="4">
        <v>0.19400000000000001</v>
      </c>
      <c r="O192" s="4">
        <v>0</v>
      </c>
      <c r="P192" s="4">
        <v>1</v>
      </c>
      <c r="Q192" s="8">
        <v>1</v>
      </c>
    </row>
    <row r="193" spans="1:17" x14ac:dyDescent="0.25">
      <c r="A193" s="7">
        <v>192</v>
      </c>
      <c r="B193" s="3">
        <v>40552</v>
      </c>
      <c r="C193" s="2">
        <v>1</v>
      </c>
      <c r="D193" s="2">
        <v>0</v>
      </c>
      <c r="E193" s="2">
        <v>1</v>
      </c>
      <c r="F193" s="2">
        <v>6</v>
      </c>
      <c r="G193" s="2" t="str" cm="1">
        <f t="array" ref="G193">_xlfn.IFS(F193&lt;3,"Night",F193&lt;=6,"Early Morning",F193&lt;8,"Morning",F193&lt;10,"Late Morning",F193&lt;12,"Afternoon",F193&lt;16,"Afternoon",F193&lt;=18,"Early Evening",F193&lt;=20,"Evening",F193&lt;=22,"Late Evening",F193&lt;=23,"Night")</f>
        <v>Early Morning</v>
      </c>
      <c r="H193" s="2" t="b">
        <v>0</v>
      </c>
      <c r="I193" s="2">
        <v>0</v>
      </c>
      <c r="J193" s="2">
        <v>1</v>
      </c>
      <c r="K193" s="14">
        <v>0.1</v>
      </c>
      <c r="L193" s="4">
        <v>9.0899999999999995E-2</v>
      </c>
      <c r="M193" s="4">
        <v>0.49</v>
      </c>
      <c r="N193" s="4">
        <v>0.28360000000000002</v>
      </c>
      <c r="O193" s="4">
        <v>0</v>
      </c>
      <c r="P193" s="4">
        <v>1</v>
      </c>
      <c r="Q193" s="8">
        <v>1</v>
      </c>
    </row>
    <row r="194" spans="1:17" x14ac:dyDescent="0.25">
      <c r="A194" s="7">
        <v>193</v>
      </c>
      <c r="B194" s="3">
        <v>40552</v>
      </c>
      <c r="C194" s="2">
        <v>1</v>
      </c>
      <c r="D194" s="2">
        <v>0</v>
      </c>
      <c r="E194" s="2">
        <v>1</v>
      </c>
      <c r="F194" s="2">
        <v>7</v>
      </c>
      <c r="G194" s="2" t="str" cm="1">
        <f t="array" ref="G194">_xlfn.IFS(F194&lt;3,"Night",F194&lt;=6,"Early Morning",F194&lt;8,"Morning",F194&lt;10,"Late Morning",F194&lt;12,"Afternoon",F194&lt;16,"Afternoon",F194&lt;=18,"Early Evening",F194&lt;=20,"Evening",F194&lt;=22,"Late Evening",F194&lt;=23,"Night")</f>
        <v>Morning</v>
      </c>
      <c r="H194" s="2" t="b">
        <v>0</v>
      </c>
      <c r="I194" s="2">
        <v>0</v>
      </c>
      <c r="J194" s="2">
        <v>1</v>
      </c>
      <c r="K194" s="14">
        <v>0.08</v>
      </c>
      <c r="L194" s="4">
        <v>9.0899999999999995E-2</v>
      </c>
      <c r="M194" s="4">
        <v>0.53</v>
      </c>
      <c r="N194" s="4">
        <v>0.19400000000000001</v>
      </c>
      <c r="O194" s="4">
        <v>1</v>
      </c>
      <c r="P194" s="4">
        <v>5</v>
      </c>
      <c r="Q194" s="8">
        <v>6</v>
      </c>
    </row>
    <row r="195" spans="1:17" x14ac:dyDescent="0.25">
      <c r="A195" s="7">
        <v>194</v>
      </c>
      <c r="B195" s="3">
        <v>40552</v>
      </c>
      <c r="C195" s="2">
        <v>1</v>
      </c>
      <c r="D195" s="2">
        <v>0</v>
      </c>
      <c r="E195" s="2">
        <v>1</v>
      </c>
      <c r="F195" s="2">
        <v>8</v>
      </c>
      <c r="G195" s="2" t="str" cm="1">
        <f t="array" ref="G195">_xlfn.IFS(F195&lt;3,"Night",F195&lt;=6,"Early Morning",F195&lt;8,"Morning",F195&lt;10,"Late Morning",F195&lt;12,"Afternoon",F195&lt;16,"Afternoon",F195&lt;=18,"Early Evening",F195&lt;=20,"Evening",F195&lt;=22,"Late Evening",F195&lt;=23,"Night")</f>
        <v>Late Morning</v>
      </c>
      <c r="H195" s="2" t="b">
        <v>0</v>
      </c>
      <c r="I195" s="2">
        <v>0</v>
      </c>
      <c r="J195" s="2">
        <v>1</v>
      </c>
      <c r="K195" s="14">
        <v>0.1</v>
      </c>
      <c r="L195" s="4">
        <v>9.0899999999999995E-2</v>
      </c>
      <c r="M195" s="4">
        <v>0.49</v>
      </c>
      <c r="N195" s="4">
        <v>0.28360000000000002</v>
      </c>
      <c r="O195" s="4">
        <v>0</v>
      </c>
      <c r="P195" s="4">
        <v>10</v>
      </c>
      <c r="Q195" s="8">
        <v>10</v>
      </c>
    </row>
    <row r="196" spans="1:17" x14ac:dyDescent="0.25">
      <c r="A196" s="7">
        <v>195</v>
      </c>
      <c r="B196" s="3">
        <v>40552</v>
      </c>
      <c r="C196" s="2">
        <v>1</v>
      </c>
      <c r="D196" s="2">
        <v>0</v>
      </c>
      <c r="E196" s="2">
        <v>1</v>
      </c>
      <c r="F196" s="2">
        <v>9</v>
      </c>
      <c r="G196" s="2" t="str" cm="1">
        <f t="array" ref="G196">_xlfn.IFS(F196&lt;3,"Night",F196&lt;=6,"Early Morning",F196&lt;8,"Morning",F196&lt;10,"Late Morning",F196&lt;12,"Afternoon",F196&lt;16,"Afternoon",F196&lt;=18,"Early Evening",F196&lt;=20,"Evening",F196&lt;=22,"Late Evening",F196&lt;=23,"Night")</f>
        <v>Late Morning</v>
      </c>
      <c r="H196" s="2" t="b">
        <v>0</v>
      </c>
      <c r="I196" s="2">
        <v>0</v>
      </c>
      <c r="J196" s="2">
        <v>1</v>
      </c>
      <c r="K196" s="14">
        <v>0.12</v>
      </c>
      <c r="L196" s="4">
        <v>7.5800000000000006E-2</v>
      </c>
      <c r="M196" s="4">
        <v>0.46</v>
      </c>
      <c r="N196" s="4">
        <v>0.52239999999999998</v>
      </c>
      <c r="O196" s="4">
        <v>0</v>
      </c>
      <c r="P196" s="4">
        <v>19</v>
      </c>
      <c r="Q196" s="8">
        <v>19</v>
      </c>
    </row>
    <row r="197" spans="1:17" x14ac:dyDescent="0.25">
      <c r="A197" s="7">
        <v>196</v>
      </c>
      <c r="B197" s="3">
        <v>40552</v>
      </c>
      <c r="C197" s="2">
        <v>1</v>
      </c>
      <c r="D197" s="2">
        <v>0</v>
      </c>
      <c r="E197" s="2">
        <v>1</v>
      </c>
      <c r="F197" s="2">
        <v>10</v>
      </c>
      <c r="G197" s="2" t="str" cm="1">
        <f t="array" ref="G197">_xlfn.IFS(F197&lt;3,"Night",F197&lt;=6,"Early Morning",F197&lt;8,"Morning",F197&lt;10,"Late Morning",F197&lt;12,"Afternoon",F197&lt;16,"Afternoon",F197&lt;=18,"Early Evening",F197&lt;=20,"Evening",F197&lt;=22,"Late Evening",F197&lt;=23,"Night")</f>
        <v>Afternoon</v>
      </c>
      <c r="H197" s="2" t="b">
        <v>0</v>
      </c>
      <c r="I197" s="2">
        <v>0</v>
      </c>
      <c r="J197" s="2">
        <v>1</v>
      </c>
      <c r="K197" s="14">
        <v>0.14000000000000001</v>
      </c>
      <c r="L197" s="4">
        <v>0.1061</v>
      </c>
      <c r="M197" s="4">
        <v>0.43</v>
      </c>
      <c r="N197" s="4">
        <v>0.3881</v>
      </c>
      <c r="O197" s="4">
        <v>0</v>
      </c>
      <c r="P197" s="4">
        <v>49</v>
      </c>
      <c r="Q197" s="8">
        <v>49</v>
      </c>
    </row>
    <row r="198" spans="1:17" x14ac:dyDescent="0.25">
      <c r="A198" s="7">
        <v>197</v>
      </c>
      <c r="B198" s="3">
        <v>40552</v>
      </c>
      <c r="C198" s="2">
        <v>1</v>
      </c>
      <c r="D198" s="2">
        <v>0</v>
      </c>
      <c r="E198" s="2">
        <v>1</v>
      </c>
      <c r="F198" s="2">
        <v>11</v>
      </c>
      <c r="G198" s="2" t="str" cm="1">
        <f t="array" ref="G198">_xlfn.IFS(F198&lt;3,"Night",F198&lt;=6,"Early Morning",F198&lt;8,"Morning",F198&lt;10,"Late Morning",F198&lt;12,"Afternoon",F198&lt;16,"Afternoon",F198&lt;=18,"Early Evening",F198&lt;=20,"Evening",F198&lt;=22,"Late Evening",F198&lt;=23,"Night")</f>
        <v>Afternoon</v>
      </c>
      <c r="H198" s="2" t="b">
        <v>0</v>
      </c>
      <c r="I198" s="2">
        <v>0</v>
      </c>
      <c r="J198" s="2">
        <v>1</v>
      </c>
      <c r="K198" s="14">
        <v>0.16</v>
      </c>
      <c r="L198" s="4">
        <v>0.1212</v>
      </c>
      <c r="M198" s="4">
        <v>0.4</v>
      </c>
      <c r="N198" s="4">
        <v>0.52239999999999998</v>
      </c>
      <c r="O198" s="4">
        <v>2</v>
      </c>
      <c r="P198" s="4">
        <v>47</v>
      </c>
      <c r="Q198" s="8">
        <v>49</v>
      </c>
    </row>
    <row r="199" spans="1:17" x14ac:dyDescent="0.25">
      <c r="A199" s="7">
        <v>198</v>
      </c>
      <c r="B199" s="3">
        <v>40552</v>
      </c>
      <c r="C199" s="2">
        <v>1</v>
      </c>
      <c r="D199" s="2">
        <v>0</v>
      </c>
      <c r="E199" s="2">
        <v>1</v>
      </c>
      <c r="F199" s="2">
        <v>12</v>
      </c>
      <c r="G199" s="2" t="str" cm="1">
        <f t="array" ref="G199">_xlfn.IFS(F199&lt;3,"Night",F199&lt;=6,"Early Morning",F199&lt;8,"Morning",F199&lt;10,"Late Morning",F199&lt;12,"Afternoon",F199&lt;16,"Afternoon",F199&lt;=18,"Early Evening",F199&lt;=20,"Evening",F199&lt;=22,"Late Evening",F199&lt;=23,"Night")</f>
        <v>Afternoon</v>
      </c>
      <c r="H199" s="2" t="b">
        <v>0</v>
      </c>
      <c r="I199" s="2">
        <v>0</v>
      </c>
      <c r="J199" s="2">
        <v>1</v>
      </c>
      <c r="K199" s="14">
        <v>0.18</v>
      </c>
      <c r="L199" s="4">
        <v>0.13639999999999999</v>
      </c>
      <c r="M199" s="4">
        <v>0.37</v>
      </c>
      <c r="N199" s="4">
        <v>0.44779999999999998</v>
      </c>
      <c r="O199" s="4">
        <v>4</v>
      </c>
      <c r="P199" s="4">
        <v>79</v>
      </c>
      <c r="Q199" s="8">
        <v>83</v>
      </c>
    </row>
    <row r="200" spans="1:17" x14ac:dyDescent="0.25">
      <c r="A200" s="7">
        <v>199</v>
      </c>
      <c r="B200" s="3">
        <v>40552</v>
      </c>
      <c r="C200" s="2">
        <v>1</v>
      </c>
      <c r="D200" s="2">
        <v>0</v>
      </c>
      <c r="E200" s="2">
        <v>1</v>
      </c>
      <c r="F200" s="2">
        <v>13</v>
      </c>
      <c r="G200" s="2" t="str" cm="1">
        <f t="array" ref="G200">_xlfn.IFS(F200&lt;3,"Night",F200&lt;=6,"Early Morning",F200&lt;8,"Morning",F200&lt;10,"Late Morning",F200&lt;12,"Afternoon",F200&lt;16,"Afternoon",F200&lt;=18,"Early Evening",F200&lt;=20,"Evening",F200&lt;=22,"Late Evening",F200&lt;=23,"Night")</f>
        <v>Afternoon</v>
      </c>
      <c r="H200" s="2" t="b">
        <v>0</v>
      </c>
      <c r="I200" s="2">
        <v>0</v>
      </c>
      <c r="J200" s="2">
        <v>1</v>
      </c>
      <c r="K200" s="14">
        <v>0.2</v>
      </c>
      <c r="L200" s="4">
        <v>0.16669999999999999</v>
      </c>
      <c r="M200" s="4">
        <v>0.34</v>
      </c>
      <c r="N200" s="4">
        <v>0.44779999999999998</v>
      </c>
      <c r="O200" s="4">
        <v>6</v>
      </c>
      <c r="P200" s="4">
        <v>69</v>
      </c>
      <c r="Q200" s="8">
        <v>75</v>
      </c>
    </row>
    <row r="201" spans="1:17" x14ac:dyDescent="0.25">
      <c r="A201" s="7">
        <v>200</v>
      </c>
      <c r="B201" s="3">
        <v>40552</v>
      </c>
      <c r="C201" s="2">
        <v>1</v>
      </c>
      <c r="D201" s="2">
        <v>0</v>
      </c>
      <c r="E201" s="2">
        <v>1</v>
      </c>
      <c r="F201" s="2">
        <v>14</v>
      </c>
      <c r="G201" s="2" t="str" cm="1">
        <f t="array" ref="G201">_xlfn.IFS(F201&lt;3,"Night",F201&lt;=6,"Early Morning",F201&lt;8,"Morning",F201&lt;10,"Late Morning",F201&lt;12,"Afternoon",F201&lt;16,"Afternoon",F201&lt;=18,"Early Evening",F201&lt;=20,"Evening",F201&lt;=22,"Late Evening",F201&lt;=23,"Night")</f>
        <v>Afternoon</v>
      </c>
      <c r="H201" s="2" t="b">
        <v>0</v>
      </c>
      <c r="I201" s="2">
        <v>0</v>
      </c>
      <c r="J201" s="2">
        <v>1</v>
      </c>
      <c r="K201" s="14">
        <v>0.22</v>
      </c>
      <c r="L201" s="4">
        <v>0.18179999999999999</v>
      </c>
      <c r="M201" s="4">
        <v>0.32</v>
      </c>
      <c r="N201" s="4">
        <v>0.4627</v>
      </c>
      <c r="O201" s="4">
        <v>8</v>
      </c>
      <c r="P201" s="4">
        <v>64</v>
      </c>
      <c r="Q201" s="8">
        <v>72</v>
      </c>
    </row>
    <row r="202" spans="1:17" x14ac:dyDescent="0.25">
      <c r="A202" s="7">
        <v>201</v>
      </c>
      <c r="B202" s="3">
        <v>40552</v>
      </c>
      <c r="C202" s="2">
        <v>1</v>
      </c>
      <c r="D202" s="2">
        <v>0</v>
      </c>
      <c r="E202" s="2">
        <v>1</v>
      </c>
      <c r="F202" s="2">
        <v>15</v>
      </c>
      <c r="G202" s="2" t="str" cm="1">
        <f t="array" ref="G202">_xlfn.IFS(F202&lt;3,"Night",F202&lt;=6,"Early Morning",F202&lt;8,"Morning",F202&lt;10,"Late Morning",F202&lt;12,"Afternoon",F202&lt;16,"Afternoon",F202&lt;=18,"Early Evening",F202&lt;=20,"Evening",F202&lt;=22,"Late Evening",F202&lt;=23,"Night")</f>
        <v>Afternoon</v>
      </c>
      <c r="H202" s="2" t="b">
        <v>0</v>
      </c>
      <c r="I202" s="2">
        <v>0</v>
      </c>
      <c r="J202" s="2">
        <v>1</v>
      </c>
      <c r="K202" s="14">
        <v>0.22</v>
      </c>
      <c r="L202" s="4">
        <v>0.19700000000000001</v>
      </c>
      <c r="M202" s="4">
        <v>0.35</v>
      </c>
      <c r="N202" s="4">
        <v>0.35820000000000002</v>
      </c>
      <c r="O202" s="4">
        <v>5</v>
      </c>
      <c r="P202" s="4">
        <v>77</v>
      </c>
      <c r="Q202" s="8">
        <v>82</v>
      </c>
    </row>
    <row r="203" spans="1:17" x14ac:dyDescent="0.25">
      <c r="A203" s="7">
        <v>202</v>
      </c>
      <c r="B203" s="3">
        <v>40552</v>
      </c>
      <c r="C203" s="2">
        <v>1</v>
      </c>
      <c r="D203" s="2">
        <v>0</v>
      </c>
      <c r="E203" s="2">
        <v>1</v>
      </c>
      <c r="F203" s="2">
        <v>16</v>
      </c>
      <c r="G203" s="2" t="str" cm="1">
        <f t="array" ref="G203">_xlfn.IFS(F203&lt;3,"Night",F203&lt;=6,"Early Morning",F203&lt;8,"Morning",F203&lt;10,"Late Morning",F203&lt;12,"Afternoon",F203&lt;16,"Afternoon",F203&lt;=18,"Early Evening",F203&lt;=20,"Evening",F203&lt;=22,"Late Evening",F203&lt;=23,"Night")</f>
        <v>Early Evening</v>
      </c>
      <c r="H203" s="2" t="b">
        <v>0</v>
      </c>
      <c r="I203" s="2">
        <v>0</v>
      </c>
      <c r="J203" s="2">
        <v>1</v>
      </c>
      <c r="K203" s="14">
        <v>0.2</v>
      </c>
      <c r="L203" s="4">
        <v>0.16669999999999999</v>
      </c>
      <c r="M203" s="4">
        <v>0.34</v>
      </c>
      <c r="N203" s="4">
        <v>0.44779999999999998</v>
      </c>
      <c r="O203" s="4">
        <v>13</v>
      </c>
      <c r="P203" s="4">
        <v>79</v>
      </c>
      <c r="Q203" s="8">
        <v>92</v>
      </c>
    </row>
    <row r="204" spans="1:17" x14ac:dyDescent="0.25">
      <c r="A204" s="7">
        <v>203</v>
      </c>
      <c r="B204" s="3">
        <v>40552</v>
      </c>
      <c r="C204" s="2">
        <v>1</v>
      </c>
      <c r="D204" s="2">
        <v>0</v>
      </c>
      <c r="E204" s="2">
        <v>1</v>
      </c>
      <c r="F204" s="2">
        <v>17</v>
      </c>
      <c r="G204" s="2" t="str" cm="1">
        <f t="array" ref="G204">_xlfn.IFS(F204&lt;3,"Night",F204&lt;=6,"Early Morning",F204&lt;8,"Morning",F204&lt;10,"Late Morning",F204&lt;12,"Afternoon",F204&lt;16,"Afternoon",F204&lt;=18,"Early Evening",F204&lt;=20,"Evening",F204&lt;=22,"Late Evening",F204&lt;=23,"Night")</f>
        <v>Early Evening</v>
      </c>
      <c r="H204" s="2" t="b">
        <v>0</v>
      </c>
      <c r="I204" s="2">
        <v>0</v>
      </c>
      <c r="J204" s="2">
        <v>1</v>
      </c>
      <c r="K204" s="14">
        <v>0.18</v>
      </c>
      <c r="L204" s="4">
        <v>0.1515</v>
      </c>
      <c r="M204" s="4">
        <v>0.37</v>
      </c>
      <c r="N204" s="4">
        <v>0.3881</v>
      </c>
      <c r="O204" s="4">
        <v>3</v>
      </c>
      <c r="P204" s="4">
        <v>59</v>
      </c>
      <c r="Q204" s="8">
        <v>62</v>
      </c>
    </row>
    <row r="205" spans="1:17" x14ac:dyDescent="0.25">
      <c r="A205" s="7">
        <v>204</v>
      </c>
      <c r="B205" s="3">
        <v>40552</v>
      </c>
      <c r="C205" s="2">
        <v>1</v>
      </c>
      <c r="D205" s="2">
        <v>0</v>
      </c>
      <c r="E205" s="2">
        <v>1</v>
      </c>
      <c r="F205" s="2">
        <v>18</v>
      </c>
      <c r="G205" s="2" t="str" cm="1">
        <f t="array" ref="G205">_xlfn.IFS(F205&lt;3,"Night",F205&lt;=6,"Early Morning",F205&lt;8,"Morning",F205&lt;10,"Late Morning",F205&lt;12,"Afternoon",F205&lt;16,"Afternoon",F205&lt;=18,"Early Evening",F205&lt;=20,"Evening",F205&lt;=22,"Late Evening",F205&lt;=23,"Night")</f>
        <v>Early Evening</v>
      </c>
      <c r="H205" s="2" t="b">
        <v>0</v>
      </c>
      <c r="I205" s="2">
        <v>0</v>
      </c>
      <c r="J205" s="2">
        <v>1</v>
      </c>
      <c r="K205" s="14">
        <v>0.16</v>
      </c>
      <c r="L205" s="4">
        <v>0.13639999999999999</v>
      </c>
      <c r="M205" s="4">
        <v>0.4</v>
      </c>
      <c r="N205" s="4">
        <v>0.32840000000000003</v>
      </c>
      <c r="O205" s="4">
        <v>4</v>
      </c>
      <c r="P205" s="4">
        <v>44</v>
      </c>
      <c r="Q205" s="8">
        <v>48</v>
      </c>
    </row>
    <row r="206" spans="1:17" x14ac:dyDescent="0.25">
      <c r="A206" s="7">
        <v>205</v>
      </c>
      <c r="B206" s="3">
        <v>40552</v>
      </c>
      <c r="C206" s="2">
        <v>1</v>
      </c>
      <c r="D206" s="2">
        <v>0</v>
      </c>
      <c r="E206" s="2">
        <v>1</v>
      </c>
      <c r="F206" s="2">
        <v>19</v>
      </c>
      <c r="G206" s="2" t="str" cm="1">
        <f t="array" ref="G206">_xlfn.IFS(F206&lt;3,"Night",F206&lt;=6,"Early Morning",F206&lt;8,"Morning",F206&lt;10,"Late Morning",F206&lt;12,"Afternoon",F206&lt;16,"Afternoon",F206&lt;=18,"Early Evening",F206&lt;=20,"Evening",F206&lt;=22,"Late Evening",F206&lt;=23,"Night")</f>
        <v>Evening</v>
      </c>
      <c r="H206" s="2" t="b">
        <v>0</v>
      </c>
      <c r="I206" s="2">
        <v>0</v>
      </c>
      <c r="J206" s="2">
        <v>1</v>
      </c>
      <c r="K206" s="14">
        <v>0.16</v>
      </c>
      <c r="L206" s="4">
        <v>0.13639999999999999</v>
      </c>
      <c r="M206" s="4">
        <v>0.43</v>
      </c>
      <c r="N206" s="4">
        <v>0.32840000000000003</v>
      </c>
      <c r="O206" s="4">
        <v>1</v>
      </c>
      <c r="P206" s="4">
        <v>40</v>
      </c>
      <c r="Q206" s="8">
        <v>41</v>
      </c>
    </row>
    <row r="207" spans="1:17" x14ac:dyDescent="0.25">
      <c r="A207" s="7">
        <v>206</v>
      </c>
      <c r="B207" s="3">
        <v>40552</v>
      </c>
      <c r="C207" s="2">
        <v>1</v>
      </c>
      <c r="D207" s="2">
        <v>0</v>
      </c>
      <c r="E207" s="2">
        <v>1</v>
      </c>
      <c r="F207" s="2">
        <v>20</v>
      </c>
      <c r="G207" s="2" t="str" cm="1">
        <f t="array" ref="G207">_xlfn.IFS(F207&lt;3,"Night",F207&lt;=6,"Early Morning",F207&lt;8,"Morning",F207&lt;10,"Late Morning",F207&lt;12,"Afternoon",F207&lt;16,"Afternoon",F207&lt;=18,"Early Evening",F207&lt;=20,"Evening",F207&lt;=22,"Late Evening",F207&lt;=23,"Night")</f>
        <v>Evening</v>
      </c>
      <c r="H207" s="2" t="b">
        <v>0</v>
      </c>
      <c r="I207" s="2">
        <v>0</v>
      </c>
      <c r="J207" s="2">
        <v>1</v>
      </c>
      <c r="K207" s="14">
        <v>0.14000000000000001</v>
      </c>
      <c r="L207" s="4">
        <v>0.1212</v>
      </c>
      <c r="M207" s="4">
        <v>0.46</v>
      </c>
      <c r="N207" s="4">
        <v>0.25369999999999998</v>
      </c>
      <c r="O207" s="4">
        <v>0</v>
      </c>
      <c r="P207" s="4">
        <v>38</v>
      </c>
      <c r="Q207" s="8">
        <v>38</v>
      </c>
    </row>
    <row r="208" spans="1:17" x14ac:dyDescent="0.25">
      <c r="A208" s="7">
        <v>207</v>
      </c>
      <c r="B208" s="3">
        <v>40552</v>
      </c>
      <c r="C208" s="2">
        <v>1</v>
      </c>
      <c r="D208" s="2">
        <v>0</v>
      </c>
      <c r="E208" s="2">
        <v>1</v>
      </c>
      <c r="F208" s="2">
        <v>21</v>
      </c>
      <c r="G208" s="2" t="str" cm="1">
        <f t="array" ref="G208">_xlfn.IFS(F208&lt;3,"Night",F208&lt;=6,"Early Morning",F208&lt;8,"Morning",F208&lt;10,"Late Morning",F208&lt;12,"Afternoon",F208&lt;16,"Afternoon",F208&lt;=18,"Early Evening",F208&lt;=20,"Evening",F208&lt;=22,"Late Evening",F208&lt;=23,"Night")</f>
        <v>Late Evening</v>
      </c>
      <c r="H208" s="2" t="b">
        <v>0</v>
      </c>
      <c r="I208" s="2">
        <v>0</v>
      </c>
      <c r="J208" s="2">
        <v>1</v>
      </c>
      <c r="K208" s="14">
        <v>0.14000000000000001</v>
      </c>
      <c r="L208" s="4">
        <v>0.1061</v>
      </c>
      <c r="M208" s="4">
        <v>0.46</v>
      </c>
      <c r="N208" s="4">
        <v>0.41789999999999999</v>
      </c>
      <c r="O208" s="4">
        <v>1</v>
      </c>
      <c r="P208" s="4">
        <v>19</v>
      </c>
      <c r="Q208" s="8">
        <v>20</v>
      </c>
    </row>
    <row r="209" spans="1:17" x14ac:dyDescent="0.25">
      <c r="A209" s="7">
        <v>208</v>
      </c>
      <c r="B209" s="3">
        <v>40552</v>
      </c>
      <c r="C209" s="2">
        <v>1</v>
      </c>
      <c r="D209" s="2">
        <v>0</v>
      </c>
      <c r="E209" s="2">
        <v>1</v>
      </c>
      <c r="F209" s="2">
        <v>22</v>
      </c>
      <c r="G209" s="2" t="str" cm="1">
        <f t="array" ref="G209">_xlfn.IFS(F209&lt;3,"Night",F209&lt;=6,"Early Morning",F209&lt;8,"Morning",F209&lt;10,"Late Morning",F209&lt;12,"Afternoon",F209&lt;16,"Afternoon",F209&lt;=18,"Early Evening",F209&lt;=20,"Evening",F209&lt;=22,"Late Evening",F209&lt;=23,"Night")</f>
        <v>Late Evening</v>
      </c>
      <c r="H209" s="2" t="b">
        <v>0</v>
      </c>
      <c r="I209" s="2">
        <v>0</v>
      </c>
      <c r="J209" s="2">
        <v>1</v>
      </c>
      <c r="K209" s="14">
        <v>0.14000000000000001</v>
      </c>
      <c r="L209" s="4">
        <v>0.1212</v>
      </c>
      <c r="M209" s="4">
        <v>0.46</v>
      </c>
      <c r="N209" s="4">
        <v>0.29849999999999999</v>
      </c>
      <c r="O209" s="4">
        <v>5</v>
      </c>
      <c r="P209" s="4">
        <v>10</v>
      </c>
      <c r="Q209" s="8">
        <v>15</v>
      </c>
    </row>
    <row r="210" spans="1:17" x14ac:dyDescent="0.25">
      <c r="A210" s="7">
        <v>209</v>
      </c>
      <c r="B210" s="3">
        <v>40552</v>
      </c>
      <c r="C210" s="2">
        <v>1</v>
      </c>
      <c r="D210" s="2">
        <v>0</v>
      </c>
      <c r="E210" s="2">
        <v>1</v>
      </c>
      <c r="F210" s="2">
        <v>23</v>
      </c>
      <c r="G210" s="2" t="str" cm="1">
        <f t="array" ref="G210">_xlfn.IFS(F210&lt;3,"Night",F210&lt;=6,"Early Morning",F210&lt;8,"Morning",F210&lt;10,"Late Morning",F210&lt;12,"Afternoon",F210&lt;16,"Afternoon",F210&lt;=18,"Early Evening",F210&lt;=20,"Evening",F210&lt;=22,"Late Evening",F210&lt;=23,"Night")</f>
        <v>Night</v>
      </c>
      <c r="H210" s="2" t="b">
        <v>0</v>
      </c>
      <c r="I210" s="2">
        <v>0</v>
      </c>
      <c r="J210" s="2">
        <v>1</v>
      </c>
      <c r="K210" s="14">
        <v>0.12</v>
      </c>
      <c r="L210" s="4">
        <v>0.13639999999999999</v>
      </c>
      <c r="M210" s="4">
        <v>0.5</v>
      </c>
      <c r="N210" s="4">
        <v>0.19400000000000001</v>
      </c>
      <c r="O210" s="4">
        <v>0</v>
      </c>
      <c r="P210" s="4">
        <v>6</v>
      </c>
      <c r="Q210" s="8">
        <v>6</v>
      </c>
    </row>
    <row r="211" spans="1:17" x14ac:dyDescent="0.25">
      <c r="A211" s="7">
        <v>210</v>
      </c>
      <c r="B211" s="3">
        <v>40553</v>
      </c>
      <c r="C211" s="2">
        <v>1</v>
      </c>
      <c r="D211" s="2">
        <v>0</v>
      </c>
      <c r="E211" s="2">
        <v>1</v>
      </c>
      <c r="F211" s="2">
        <v>0</v>
      </c>
      <c r="G211" s="2" t="str" cm="1">
        <f t="array" ref="G211">_xlfn.IFS(F211&lt;3,"Night",F211&lt;=6,"Early Morning",F211&lt;8,"Morning",F211&lt;10,"Late Morning",F211&lt;12,"Afternoon",F211&lt;16,"Afternoon",F211&lt;=18,"Early Evening",F211&lt;=20,"Evening",F211&lt;=22,"Late Evening",F211&lt;=23,"Night")</f>
        <v>Night</v>
      </c>
      <c r="H211" s="2" t="b">
        <v>0</v>
      </c>
      <c r="I211" s="2">
        <v>1</v>
      </c>
      <c r="J211" s="2">
        <v>1</v>
      </c>
      <c r="K211" s="14">
        <v>0.12</v>
      </c>
      <c r="L211" s="4">
        <v>0.1212</v>
      </c>
      <c r="M211" s="4">
        <v>0.5</v>
      </c>
      <c r="N211" s="4">
        <v>0.28360000000000002</v>
      </c>
      <c r="O211" s="4">
        <v>2</v>
      </c>
      <c r="P211" s="4">
        <v>3</v>
      </c>
      <c r="Q211" s="8">
        <v>5</v>
      </c>
    </row>
    <row r="212" spans="1:17" x14ac:dyDescent="0.25">
      <c r="A212" s="7">
        <v>211</v>
      </c>
      <c r="B212" s="3">
        <v>40553</v>
      </c>
      <c r="C212" s="2">
        <v>1</v>
      </c>
      <c r="D212" s="2">
        <v>0</v>
      </c>
      <c r="E212" s="2">
        <v>1</v>
      </c>
      <c r="F212" s="2">
        <v>1</v>
      </c>
      <c r="G212" s="2" t="str" cm="1">
        <f t="array" ref="G212">_xlfn.IFS(F212&lt;3,"Night",F212&lt;=6,"Early Morning",F212&lt;8,"Morning",F212&lt;10,"Late Morning",F212&lt;12,"Afternoon",F212&lt;16,"Afternoon",F212&lt;=18,"Early Evening",F212&lt;=20,"Evening",F212&lt;=22,"Late Evening",F212&lt;=23,"Night")</f>
        <v>Night</v>
      </c>
      <c r="H212" s="2" t="b">
        <v>0</v>
      </c>
      <c r="I212" s="2">
        <v>1</v>
      </c>
      <c r="J212" s="2">
        <v>1</v>
      </c>
      <c r="K212" s="14">
        <v>0.12</v>
      </c>
      <c r="L212" s="4">
        <v>0.1212</v>
      </c>
      <c r="M212" s="4">
        <v>0.5</v>
      </c>
      <c r="N212" s="4">
        <v>0.28360000000000002</v>
      </c>
      <c r="O212" s="4">
        <v>1</v>
      </c>
      <c r="P212" s="4">
        <v>0</v>
      </c>
      <c r="Q212" s="8">
        <v>1</v>
      </c>
    </row>
    <row r="213" spans="1:17" x14ac:dyDescent="0.25">
      <c r="A213" s="7">
        <v>212</v>
      </c>
      <c r="B213" s="3">
        <v>40553</v>
      </c>
      <c r="C213" s="2">
        <v>1</v>
      </c>
      <c r="D213" s="2">
        <v>0</v>
      </c>
      <c r="E213" s="2">
        <v>1</v>
      </c>
      <c r="F213" s="2">
        <v>2</v>
      </c>
      <c r="G213" s="2" t="str" cm="1">
        <f t="array" ref="G213">_xlfn.IFS(F213&lt;3,"Night",F213&lt;=6,"Early Morning",F213&lt;8,"Morning",F213&lt;10,"Late Morning",F213&lt;12,"Afternoon",F213&lt;16,"Afternoon",F213&lt;=18,"Early Evening",F213&lt;=20,"Evening",F213&lt;=22,"Late Evening",F213&lt;=23,"Night")</f>
        <v>Night</v>
      </c>
      <c r="H213" s="2" t="b">
        <v>0</v>
      </c>
      <c r="I213" s="2">
        <v>1</v>
      </c>
      <c r="J213" s="2">
        <v>1</v>
      </c>
      <c r="K213" s="14">
        <v>0.12</v>
      </c>
      <c r="L213" s="4">
        <v>0.1212</v>
      </c>
      <c r="M213" s="4">
        <v>0.5</v>
      </c>
      <c r="N213" s="4">
        <v>0.22389999999999999</v>
      </c>
      <c r="O213" s="4">
        <v>0</v>
      </c>
      <c r="P213" s="4">
        <v>3</v>
      </c>
      <c r="Q213" s="8">
        <v>3</v>
      </c>
    </row>
    <row r="214" spans="1:17" x14ac:dyDescent="0.25">
      <c r="A214" s="7">
        <v>213</v>
      </c>
      <c r="B214" s="3">
        <v>40553</v>
      </c>
      <c r="C214" s="2">
        <v>1</v>
      </c>
      <c r="D214" s="2">
        <v>0</v>
      </c>
      <c r="E214" s="2">
        <v>1</v>
      </c>
      <c r="F214" s="2">
        <v>3</v>
      </c>
      <c r="G214" s="2" t="str" cm="1">
        <f t="array" ref="G214">_xlfn.IFS(F214&lt;3,"Night",F214&lt;=6,"Early Morning",F214&lt;8,"Morning",F214&lt;10,"Late Morning",F214&lt;12,"Afternoon",F214&lt;16,"Afternoon",F214&lt;=18,"Early Evening",F214&lt;=20,"Evening",F214&lt;=22,"Late Evening",F214&lt;=23,"Night")</f>
        <v>Early Morning</v>
      </c>
      <c r="H214" s="2" t="b">
        <v>0</v>
      </c>
      <c r="I214" s="2">
        <v>1</v>
      </c>
      <c r="J214" s="2">
        <v>1</v>
      </c>
      <c r="K214" s="14">
        <v>0.12</v>
      </c>
      <c r="L214" s="4">
        <v>0.1212</v>
      </c>
      <c r="M214" s="4">
        <v>0.5</v>
      </c>
      <c r="N214" s="4">
        <v>0.22389999999999999</v>
      </c>
      <c r="O214" s="4">
        <v>0</v>
      </c>
      <c r="P214" s="4">
        <v>1</v>
      </c>
      <c r="Q214" s="8">
        <v>1</v>
      </c>
    </row>
    <row r="215" spans="1:17" x14ac:dyDescent="0.25">
      <c r="A215" s="7">
        <v>214</v>
      </c>
      <c r="B215" s="3">
        <v>40553</v>
      </c>
      <c r="C215" s="2">
        <v>1</v>
      </c>
      <c r="D215" s="2">
        <v>0</v>
      </c>
      <c r="E215" s="2">
        <v>1</v>
      </c>
      <c r="F215" s="2">
        <v>4</v>
      </c>
      <c r="G215" s="2" t="str" cm="1">
        <f t="array" ref="G215">_xlfn.IFS(F215&lt;3,"Night",F215&lt;=6,"Early Morning",F215&lt;8,"Morning",F215&lt;10,"Late Morning",F215&lt;12,"Afternoon",F215&lt;16,"Afternoon",F215&lt;=18,"Early Evening",F215&lt;=20,"Evening",F215&lt;=22,"Late Evening",F215&lt;=23,"Night")</f>
        <v>Early Morning</v>
      </c>
      <c r="H215" s="2" t="b">
        <v>0</v>
      </c>
      <c r="I215" s="2">
        <v>1</v>
      </c>
      <c r="J215" s="2">
        <v>1</v>
      </c>
      <c r="K215" s="14">
        <v>0.1</v>
      </c>
      <c r="L215" s="4">
        <v>0.1212</v>
      </c>
      <c r="M215" s="4">
        <v>0.54</v>
      </c>
      <c r="N215" s="4">
        <v>0.1343</v>
      </c>
      <c r="O215" s="4">
        <v>1</v>
      </c>
      <c r="P215" s="4">
        <v>2</v>
      </c>
      <c r="Q215" s="8">
        <v>3</v>
      </c>
    </row>
    <row r="216" spans="1:17" x14ac:dyDescent="0.25">
      <c r="A216" s="7">
        <v>215</v>
      </c>
      <c r="B216" s="3">
        <v>40553</v>
      </c>
      <c r="C216" s="2">
        <v>1</v>
      </c>
      <c r="D216" s="2">
        <v>0</v>
      </c>
      <c r="E216" s="2">
        <v>1</v>
      </c>
      <c r="F216" s="2">
        <v>5</v>
      </c>
      <c r="G216" s="2" t="str" cm="1">
        <f t="array" ref="G216">_xlfn.IFS(F216&lt;3,"Night",F216&lt;=6,"Early Morning",F216&lt;8,"Morning",F216&lt;10,"Late Morning",F216&lt;12,"Afternoon",F216&lt;16,"Afternoon",F216&lt;=18,"Early Evening",F216&lt;=20,"Evening",F216&lt;=22,"Late Evening",F216&lt;=23,"Night")</f>
        <v>Early Morning</v>
      </c>
      <c r="H216" s="2" t="b">
        <v>0</v>
      </c>
      <c r="I216" s="2">
        <v>1</v>
      </c>
      <c r="J216" s="2">
        <v>1</v>
      </c>
      <c r="K216" s="14">
        <v>0.1</v>
      </c>
      <c r="L216" s="4">
        <v>0.1061</v>
      </c>
      <c r="M216" s="4">
        <v>0.54</v>
      </c>
      <c r="N216" s="4">
        <v>0.25369999999999998</v>
      </c>
      <c r="O216" s="4">
        <v>0</v>
      </c>
      <c r="P216" s="4">
        <v>3</v>
      </c>
      <c r="Q216" s="8">
        <v>3</v>
      </c>
    </row>
    <row r="217" spans="1:17" x14ac:dyDescent="0.25">
      <c r="A217" s="7">
        <v>216</v>
      </c>
      <c r="B217" s="3">
        <v>40553</v>
      </c>
      <c r="C217" s="2">
        <v>1</v>
      </c>
      <c r="D217" s="2">
        <v>0</v>
      </c>
      <c r="E217" s="2">
        <v>1</v>
      </c>
      <c r="F217" s="2">
        <v>6</v>
      </c>
      <c r="G217" s="2" t="str" cm="1">
        <f t="array" ref="G217">_xlfn.IFS(F217&lt;3,"Night",F217&lt;=6,"Early Morning",F217&lt;8,"Morning",F217&lt;10,"Late Morning",F217&lt;12,"Afternoon",F217&lt;16,"Afternoon",F217&lt;=18,"Early Evening",F217&lt;=20,"Evening",F217&lt;=22,"Late Evening",F217&lt;=23,"Night")</f>
        <v>Early Morning</v>
      </c>
      <c r="H217" s="2" t="b">
        <v>0</v>
      </c>
      <c r="I217" s="2">
        <v>1</v>
      </c>
      <c r="J217" s="2">
        <v>1</v>
      </c>
      <c r="K217" s="14">
        <v>0.12</v>
      </c>
      <c r="L217" s="4">
        <v>0.1212</v>
      </c>
      <c r="M217" s="4">
        <v>0.5</v>
      </c>
      <c r="N217" s="4">
        <v>0.28360000000000002</v>
      </c>
      <c r="O217" s="4">
        <v>0</v>
      </c>
      <c r="P217" s="4">
        <v>31</v>
      </c>
      <c r="Q217" s="8">
        <v>31</v>
      </c>
    </row>
    <row r="218" spans="1:17" x14ac:dyDescent="0.25">
      <c r="A218" s="7">
        <v>217</v>
      </c>
      <c r="B218" s="3">
        <v>40553</v>
      </c>
      <c r="C218" s="2">
        <v>1</v>
      </c>
      <c r="D218" s="2">
        <v>0</v>
      </c>
      <c r="E218" s="2">
        <v>1</v>
      </c>
      <c r="F218" s="2">
        <v>7</v>
      </c>
      <c r="G218" s="2" t="str" cm="1">
        <f t="array" ref="G218">_xlfn.IFS(F218&lt;3,"Night",F218&lt;=6,"Early Morning",F218&lt;8,"Morning",F218&lt;10,"Late Morning",F218&lt;12,"Afternoon",F218&lt;16,"Afternoon",F218&lt;=18,"Early Evening",F218&lt;=20,"Evening",F218&lt;=22,"Late Evening",F218&lt;=23,"Night")</f>
        <v>Morning</v>
      </c>
      <c r="H218" s="2" t="b">
        <v>0</v>
      </c>
      <c r="I218" s="2">
        <v>1</v>
      </c>
      <c r="J218" s="2">
        <v>1</v>
      </c>
      <c r="K218" s="14">
        <v>0.12</v>
      </c>
      <c r="L218" s="4">
        <v>0.1212</v>
      </c>
      <c r="M218" s="4">
        <v>0.5</v>
      </c>
      <c r="N218" s="4">
        <v>0.22389999999999999</v>
      </c>
      <c r="O218" s="4">
        <v>2</v>
      </c>
      <c r="P218" s="4">
        <v>75</v>
      </c>
      <c r="Q218" s="8">
        <v>77</v>
      </c>
    </row>
    <row r="219" spans="1:17" x14ac:dyDescent="0.25">
      <c r="A219" s="7">
        <v>218</v>
      </c>
      <c r="B219" s="3">
        <v>40553</v>
      </c>
      <c r="C219" s="2">
        <v>1</v>
      </c>
      <c r="D219" s="2">
        <v>0</v>
      </c>
      <c r="E219" s="2">
        <v>1</v>
      </c>
      <c r="F219" s="2">
        <v>8</v>
      </c>
      <c r="G219" s="2" t="str" cm="1">
        <f t="array" ref="G219">_xlfn.IFS(F219&lt;3,"Night",F219&lt;=6,"Early Morning",F219&lt;8,"Morning",F219&lt;10,"Late Morning",F219&lt;12,"Afternoon",F219&lt;16,"Afternoon",F219&lt;=18,"Early Evening",F219&lt;=20,"Evening",F219&lt;=22,"Late Evening",F219&lt;=23,"Night")</f>
        <v>Late Morning</v>
      </c>
      <c r="H219" s="2" t="b">
        <v>0</v>
      </c>
      <c r="I219" s="2">
        <v>1</v>
      </c>
      <c r="J219" s="2">
        <v>2</v>
      </c>
      <c r="K219" s="14">
        <v>0.12</v>
      </c>
      <c r="L219" s="4">
        <v>0.1212</v>
      </c>
      <c r="M219" s="4">
        <v>0.5</v>
      </c>
      <c r="N219" s="4">
        <v>0.28360000000000002</v>
      </c>
      <c r="O219" s="4">
        <v>4</v>
      </c>
      <c r="P219" s="4">
        <v>184</v>
      </c>
      <c r="Q219" s="8">
        <v>188</v>
      </c>
    </row>
    <row r="220" spans="1:17" x14ac:dyDescent="0.25">
      <c r="A220" s="7">
        <v>219</v>
      </c>
      <c r="B220" s="3">
        <v>40553</v>
      </c>
      <c r="C220" s="2">
        <v>1</v>
      </c>
      <c r="D220" s="2">
        <v>0</v>
      </c>
      <c r="E220" s="2">
        <v>1</v>
      </c>
      <c r="F220" s="2">
        <v>9</v>
      </c>
      <c r="G220" s="2" t="str" cm="1">
        <f t="array" ref="G220">_xlfn.IFS(F220&lt;3,"Night",F220&lt;=6,"Early Morning",F220&lt;8,"Morning",F220&lt;10,"Late Morning",F220&lt;12,"Afternoon",F220&lt;16,"Afternoon",F220&lt;=18,"Early Evening",F220&lt;=20,"Evening",F220&lt;=22,"Late Evening",F220&lt;=23,"Night")</f>
        <v>Late Morning</v>
      </c>
      <c r="H220" s="2" t="b">
        <v>0</v>
      </c>
      <c r="I220" s="2">
        <v>1</v>
      </c>
      <c r="J220" s="2">
        <v>2</v>
      </c>
      <c r="K220" s="14">
        <v>0.14000000000000001</v>
      </c>
      <c r="L220" s="4">
        <v>0.1212</v>
      </c>
      <c r="M220" s="4">
        <v>0.5</v>
      </c>
      <c r="N220" s="4">
        <v>0.25369999999999998</v>
      </c>
      <c r="O220" s="4">
        <v>2</v>
      </c>
      <c r="P220" s="4">
        <v>92</v>
      </c>
      <c r="Q220" s="8">
        <v>94</v>
      </c>
    </row>
    <row r="221" spans="1:17" x14ac:dyDescent="0.25">
      <c r="A221" s="7">
        <v>220</v>
      </c>
      <c r="B221" s="3">
        <v>40553</v>
      </c>
      <c r="C221" s="2">
        <v>1</v>
      </c>
      <c r="D221" s="2">
        <v>0</v>
      </c>
      <c r="E221" s="2">
        <v>1</v>
      </c>
      <c r="F221" s="2">
        <v>10</v>
      </c>
      <c r="G221" s="2" t="str" cm="1">
        <f t="array" ref="G221">_xlfn.IFS(F221&lt;3,"Night",F221&lt;=6,"Early Morning",F221&lt;8,"Morning",F221&lt;10,"Late Morning",F221&lt;12,"Afternoon",F221&lt;16,"Afternoon",F221&lt;=18,"Early Evening",F221&lt;=20,"Evening",F221&lt;=22,"Late Evening",F221&lt;=23,"Night")</f>
        <v>Afternoon</v>
      </c>
      <c r="H221" s="2" t="b">
        <v>0</v>
      </c>
      <c r="I221" s="2">
        <v>1</v>
      </c>
      <c r="J221" s="2">
        <v>2</v>
      </c>
      <c r="K221" s="14">
        <v>0.14000000000000001</v>
      </c>
      <c r="L221" s="4">
        <v>0.1212</v>
      </c>
      <c r="M221" s="4">
        <v>0.5</v>
      </c>
      <c r="N221" s="4">
        <v>0.29849999999999999</v>
      </c>
      <c r="O221" s="4">
        <v>0</v>
      </c>
      <c r="P221" s="4">
        <v>31</v>
      </c>
      <c r="Q221" s="8">
        <v>31</v>
      </c>
    </row>
    <row r="222" spans="1:17" x14ac:dyDescent="0.25">
      <c r="A222" s="7">
        <v>221</v>
      </c>
      <c r="B222" s="3">
        <v>40553</v>
      </c>
      <c r="C222" s="2">
        <v>1</v>
      </c>
      <c r="D222" s="2">
        <v>0</v>
      </c>
      <c r="E222" s="2">
        <v>1</v>
      </c>
      <c r="F222" s="2">
        <v>11</v>
      </c>
      <c r="G222" s="2" t="str" cm="1">
        <f t="array" ref="G222">_xlfn.IFS(F222&lt;3,"Night",F222&lt;=6,"Early Morning",F222&lt;8,"Morning",F222&lt;10,"Late Morning",F222&lt;12,"Afternoon",F222&lt;16,"Afternoon",F222&lt;=18,"Early Evening",F222&lt;=20,"Evening",F222&lt;=22,"Late Evening",F222&lt;=23,"Night")</f>
        <v>Afternoon</v>
      </c>
      <c r="H222" s="2" t="b">
        <v>0</v>
      </c>
      <c r="I222" s="2">
        <v>1</v>
      </c>
      <c r="J222" s="2">
        <v>2</v>
      </c>
      <c r="K222" s="14">
        <v>0.16</v>
      </c>
      <c r="L222" s="4">
        <v>0.13639999999999999</v>
      </c>
      <c r="M222" s="4">
        <v>0.47</v>
      </c>
      <c r="N222" s="4">
        <v>0.28360000000000002</v>
      </c>
      <c r="O222" s="4">
        <v>2</v>
      </c>
      <c r="P222" s="4">
        <v>28</v>
      </c>
      <c r="Q222" s="8">
        <v>30</v>
      </c>
    </row>
    <row r="223" spans="1:17" x14ac:dyDescent="0.25">
      <c r="A223" s="7">
        <v>222</v>
      </c>
      <c r="B223" s="3">
        <v>40553</v>
      </c>
      <c r="C223" s="2">
        <v>1</v>
      </c>
      <c r="D223" s="2">
        <v>0</v>
      </c>
      <c r="E223" s="2">
        <v>1</v>
      </c>
      <c r="F223" s="2">
        <v>12</v>
      </c>
      <c r="G223" s="2" t="str" cm="1">
        <f t="array" ref="G223">_xlfn.IFS(F223&lt;3,"Night",F223&lt;=6,"Early Morning",F223&lt;8,"Morning",F223&lt;10,"Late Morning",F223&lt;12,"Afternoon",F223&lt;16,"Afternoon",F223&lt;=18,"Early Evening",F223&lt;=20,"Evening",F223&lt;=22,"Late Evening",F223&lt;=23,"Night")</f>
        <v>Afternoon</v>
      </c>
      <c r="H223" s="2" t="b">
        <v>0</v>
      </c>
      <c r="I223" s="2">
        <v>1</v>
      </c>
      <c r="J223" s="2">
        <v>2</v>
      </c>
      <c r="K223" s="14">
        <v>0.2</v>
      </c>
      <c r="L223" s="4">
        <v>0.18179999999999999</v>
      </c>
      <c r="M223" s="4">
        <v>0.4</v>
      </c>
      <c r="N223" s="4">
        <v>0.28360000000000002</v>
      </c>
      <c r="O223" s="4">
        <v>5</v>
      </c>
      <c r="P223" s="4">
        <v>47</v>
      </c>
      <c r="Q223" s="8">
        <v>52</v>
      </c>
    </row>
    <row r="224" spans="1:17" x14ac:dyDescent="0.25">
      <c r="A224" s="7">
        <v>223</v>
      </c>
      <c r="B224" s="3">
        <v>40553</v>
      </c>
      <c r="C224" s="2">
        <v>1</v>
      </c>
      <c r="D224" s="2">
        <v>0</v>
      </c>
      <c r="E224" s="2">
        <v>1</v>
      </c>
      <c r="F224" s="2">
        <v>13</v>
      </c>
      <c r="G224" s="2" t="str" cm="1">
        <f t="array" ref="G224">_xlfn.IFS(F224&lt;3,"Night",F224&lt;=6,"Early Morning",F224&lt;8,"Morning",F224&lt;10,"Late Morning",F224&lt;12,"Afternoon",F224&lt;16,"Afternoon",F224&lt;=18,"Early Evening",F224&lt;=20,"Evening",F224&lt;=22,"Late Evening",F224&lt;=23,"Night")</f>
        <v>Afternoon</v>
      </c>
      <c r="H224" s="2" t="b">
        <v>0</v>
      </c>
      <c r="I224" s="2">
        <v>1</v>
      </c>
      <c r="J224" s="2">
        <v>2</v>
      </c>
      <c r="K224" s="14">
        <v>0.2</v>
      </c>
      <c r="L224" s="4">
        <v>0.18179999999999999</v>
      </c>
      <c r="M224" s="4">
        <v>0.4</v>
      </c>
      <c r="N224" s="4">
        <v>0.28360000000000002</v>
      </c>
      <c r="O224" s="4">
        <v>4</v>
      </c>
      <c r="P224" s="4">
        <v>50</v>
      </c>
      <c r="Q224" s="8">
        <v>54</v>
      </c>
    </row>
    <row r="225" spans="1:17" x14ac:dyDescent="0.25">
      <c r="A225" s="7">
        <v>224</v>
      </c>
      <c r="B225" s="3">
        <v>40553</v>
      </c>
      <c r="C225" s="2">
        <v>1</v>
      </c>
      <c r="D225" s="2">
        <v>0</v>
      </c>
      <c r="E225" s="2">
        <v>1</v>
      </c>
      <c r="F225" s="2">
        <v>14</v>
      </c>
      <c r="G225" s="2" t="str" cm="1">
        <f t="array" ref="G225">_xlfn.IFS(F225&lt;3,"Night",F225&lt;=6,"Early Morning",F225&lt;8,"Morning",F225&lt;10,"Late Morning",F225&lt;12,"Afternoon",F225&lt;16,"Afternoon",F225&lt;=18,"Early Evening",F225&lt;=20,"Evening",F225&lt;=22,"Late Evening",F225&lt;=23,"Night")</f>
        <v>Afternoon</v>
      </c>
      <c r="H225" s="2" t="b">
        <v>0</v>
      </c>
      <c r="I225" s="2">
        <v>1</v>
      </c>
      <c r="J225" s="2">
        <v>2</v>
      </c>
      <c r="K225" s="14">
        <v>0.2</v>
      </c>
      <c r="L225" s="4">
        <v>0.19700000000000001</v>
      </c>
      <c r="M225" s="4">
        <v>0.4</v>
      </c>
      <c r="N225" s="4">
        <v>0.22389999999999999</v>
      </c>
      <c r="O225" s="4">
        <v>0</v>
      </c>
      <c r="P225" s="4">
        <v>47</v>
      </c>
      <c r="Q225" s="8">
        <v>47</v>
      </c>
    </row>
    <row r="226" spans="1:17" x14ac:dyDescent="0.25">
      <c r="A226" s="7">
        <v>225</v>
      </c>
      <c r="B226" s="3">
        <v>40553</v>
      </c>
      <c r="C226" s="2">
        <v>1</v>
      </c>
      <c r="D226" s="2">
        <v>0</v>
      </c>
      <c r="E226" s="2">
        <v>1</v>
      </c>
      <c r="F226" s="2">
        <v>15</v>
      </c>
      <c r="G226" s="2" t="str" cm="1">
        <f t="array" ref="G226">_xlfn.IFS(F226&lt;3,"Night",F226&lt;=6,"Early Morning",F226&lt;8,"Morning",F226&lt;10,"Late Morning",F226&lt;12,"Afternoon",F226&lt;16,"Afternoon",F226&lt;=18,"Early Evening",F226&lt;=20,"Evening",F226&lt;=22,"Late Evening",F226&lt;=23,"Night")</f>
        <v>Afternoon</v>
      </c>
      <c r="H226" s="2" t="b">
        <v>0</v>
      </c>
      <c r="I226" s="2">
        <v>1</v>
      </c>
      <c r="J226" s="2">
        <v>2</v>
      </c>
      <c r="K226" s="14">
        <v>0.2</v>
      </c>
      <c r="L226" s="4">
        <v>0.19700000000000001</v>
      </c>
      <c r="M226" s="4">
        <v>0.4</v>
      </c>
      <c r="N226" s="4">
        <v>0.22389999999999999</v>
      </c>
      <c r="O226" s="4">
        <v>2</v>
      </c>
      <c r="P226" s="4">
        <v>43</v>
      </c>
      <c r="Q226" s="8">
        <v>45</v>
      </c>
    </row>
    <row r="227" spans="1:17" x14ac:dyDescent="0.25">
      <c r="A227" s="7">
        <v>226</v>
      </c>
      <c r="B227" s="3">
        <v>40553</v>
      </c>
      <c r="C227" s="2">
        <v>1</v>
      </c>
      <c r="D227" s="2">
        <v>0</v>
      </c>
      <c r="E227" s="2">
        <v>1</v>
      </c>
      <c r="F227" s="2">
        <v>16</v>
      </c>
      <c r="G227" s="2" t="str" cm="1">
        <f t="array" ref="G227">_xlfn.IFS(F227&lt;3,"Night",F227&lt;=6,"Early Morning",F227&lt;8,"Morning",F227&lt;10,"Late Morning",F227&lt;12,"Afternoon",F227&lt;16,"Afternoon",F227&lt;=18,"Early Evening",F227&lt;=20,"Evening",F227&lt;=22,"Late Evening",F227&lt;=23,"Night")</f>
        <v>Early Evening</v>
      </c>
      <c r="H227" s="2" t="b">
        <v>0</v>
      </c>
      <c r="I227" s="2">
        <v>1</v>
      </c>
      <c r="J227" s="2">
        <v>1</v>
      </c>
      <c r="K227" s="14">
        <v>0.2</v>
      </c>
      <c r="L227" s="4">
        <v>0.21210000000000001</v>
      </c>
      <c r="M227" s="4">
        <v>0.4</v>
      </c>
      <c r="N227" s="4">
        <v>0.1343</v>
      </c>
      <c r="O227" s="4">
        <v>4</v>
      </c>
      <c r="P227" s="4">
        <v>70</v>
      </c>
      <c r="Q227" s="8">
        <v>74</v>
      </c>
    </row>
    <row r="228" spans="1:17" x14ac:dyDescent="0.25">
      <c r="A228" s="7">
        <v>227</v>
      </c>
      <c r="B228" s="3">
        <v>40553</v>
      </c>
      <c r="C228" s="2">
        <v>1</v>
      </c>
      <c r="D228" s="2">
        <v>0</v>
      </c>
      <c r="E228" s="2">
        <v>1</v>
      </c>
      <c r="F228" s="2">
        <v>17</v>
      </c>
      <c r="G228" s="2" t="str" cm="1">
        <f t="array" ref="G228">_xlfn.IFS(F228&lt;3,"Night",F228&lt;=6,"Early Morning",F228&lt;8,"Morning",F228&lt;10,"Late Morning",F228&lt;12,"Afternoon",F228&lt;16,"Afternoon",F228&lt;=18,"Early Evening",F228&lt;=20,"Evening",F228&lt;=22,"Late Evening",F228&lt;=23,"Night")</f>
        <v>Early Evening</v>
      </c>
      <c r="H228" s="2" t="b">
        <v>0</v>
      </c>
      <c r="I228" s="2">
        <v>1</v>
      </c>
      <c r="J228" s="2">
        <v>1</v>
      </c>
      <c r="K228" s="14">
        <v>0.2</v>
      </c>
      <c r="L228" s="4">
        <v>0.2273</v>
      </c>
      <c r="M228" s="4">
        <v>0.4</v>
      </c>
      <c r="N228" s="4">
        <v>0.1045</v>
      </c>
      <c r="O228" s="4">
        <v>4</v>
      </c>
      <c r="P228" s="4">
        <v>174</v>
      </c>
      <c r="Q228" s="8">
        <v>178</v>
      </c>
    </row>
    <row r="229" spans="1:17" x14ac:dyDescent="0.25">
      <c r="A229" s="7">
        <v>228</v>
      </c>
      <c r="B229" s="3">
        <v>40553</v>
      </c>
      <c r="C229" s="2">
        <v>1</v>
      </c>
      <c r="D229" s="2">
        <v>0</v>
      </c>
      <c r="E229" s="2">
        <v>1</v>
      </c>
      <c r="F229" s="2">
        <v>18</v>
      </c>
      <c r="G229" s="2" t="str" cm="1">
        <f t="array" ref="G229">_xlfn.IFS(F229&lt;3,"Night",F229&lt;=6,"Early Morning",F229&lt;8,"Morning",F229&lt;10,"Late Morning",F229&lt;12,"Afternoon",F229&lt;16,"Afternoon",F229&lt;=18,"Early Evening",F229&lt;=20,"Evening",F229&lt;=22,"Late Evening",F229&lt;=23,"Night")</f>
        <v>Early Evening</v>
      </c>
      <c r="H229" s="2" t="b">
        <v>0</v>
      </c>
      <c r="I229" s="2">
        <v>1</v>
      </c>
      <c r="J229" s="2">
        <v>1</v>
      </c>
      <c r="K229" s="14">
        <v>0.2</v>
      </c>
      <c r="L229" s="4">
        <v>0.19700000000000001</v>
      </c>
      <c r="M229" s="4">
        <v>0.4</v>
      </c>
      <c r="N229" s="4">
        <v>0.22389999999999999</v>
      </c>
      <c r="O229" s="4">
        <v>1</v>
      </c>
      <c r="P229" s="4">
        <v>154</v>
      </c>
      <c r="Q229" s="8">
        <v>155</v>
      </c>
    </row>
    <row r="230" spans="1:17" x14ac:dyDescent="0.25">
      <c r="A230" s="7">
        <v>229</v>
      </c>
      <c r="B230" s="3">
        <v>40553</v>
      </c>
      <c r="C230" s="2">
        <v>1</v>
      </c>
      <c r="D230" s="2">
        <v>0</v>
      </c>
      <c r="E230" s="2">
        <v>1</v>
      </c>
      <c r="F230" s="2">
        <v>19</v>
      </c>
      <c r="G230" s="2" t="str" cm="1">
        <f t="array" ref="G230">_xlfn.IFS(F230&lt;3,"Night",F230&lt;=6,"Early Morning",F230&lt;8,"Morning",F230&lt;10,"Late Morning",F230&lt;12,"Afternoon",F230&lt;16,"Afternoon",F230&lt;=18,"Early Evening",F230&lt;=20,"Evening",F230&lt;=22,"Late Evening",F230&lt;=23,"Night")</f>
        <v>Evening</v>
      </c>
      <c r="H230" s="2" t="b">
        <v>0</v>
      </c>
      <c r="I230" s="2">
        <v>1</v>
      </c>
      <c r="J230" s="2">
        <v>1</v>
      </c>
      <c r="K230" s="14">
        <v>0.16</v>
      </c>
      <c r="L230" s="4">
        <v>0.16669999999999999</v>
      </c>
      <c r="M230" s="4">
        <v>0.47</v>
      </c>
      <c r="N230" s="4">
        <v>0.16420000000000001</v>
      </c>
      <c r="O230" s="4">
        <v>3</v>
      </c>
      <c r="P230" s="4">
        <v>92</v>
      </c>
      <c r="Q230" s="8">
        <v>95</v>
      </c>
    </row>
    <row r="231" spans="1:17" x14ac:dyDescent="0.25">
      <c r="A231" s="7">
        <v>230</v>
      </c>
      <c r="B231" s="3">
        <v>40553</v>
      </c>
      <c r="C231" s="2">
        <v>1</v>
      </c>
      <c r="D231" s="2">
        <v>0</v>
      </c>
      <c r="E231" s="2">
        <v>1</v>
      </c>
      <c r="F231" s="2">
        <v>20</v>
      </c>
      <c r="G231" s="2" t="str" cm="1">
        <f t="array" ref="G231">_xlfn.IFS(F231&lt;3,"Night",F231&lt;=6,"Early Morning",F231&lt;8,"Morning",F231&lt;10,"Late Morning",F231&lt;12,"Afternoon",F231&lt;16,"Afternoon",F231&lt;=18,"Early Evening",F231&lt;=20,"Evening",F231&lt;=22,"Late Evening",F231&lt;=23,"Night")</f>
        <v>Evening</v>
      </c>
      <c r="H231" s="2" t="b">
        <v>0</v>
      </c>
      <c r="I231" s="2">
        <v>1</v>
      </c>
      <c r="J231" s="2">
        <v>1</v>
      </c>
      <c r="K231" s="14">
        <v>0.16</v>
      </c>
      <c r="L231" s="4">
        <v>0.16669999999999999</v>
      </c>
      <c r="M231" s="4">
        <v>0.5</v>
      </c>
      <c r="N231" s="4">
        <v>0.16420000000000001</v>
      </c>
      <c r="O231" s="4">
        <v>1</v>
      </c>
      <c r="P231" s="4">
        <v>73</v>
      </c>
      <c r="Q231" s="8">
        <v>74</v>
      </c>
    </row>
    <row r="232" spans="1:17" x14ac:dyDescent="0.25">
      <c r="A232" s="7">
        <v>231</v>
      </c>
      <c r="B232" s="3">
        <v>40553</v>
      </c>
      <c r="C232" s="2">
        <v>1</v>
      </c>
      <c r="D232" s="2">
        <v>0</v>
      </c>
      <c r="E232" s="2">
        <v>1</v>
      </c>
      <c r="F232" s="2">
        <v>21</v>
      </c>
      <c r="G232" s="2" t="str" cm="1">
        <f t="array" ref="G232">_xlfn.IFS(F232&lt;3,"Night",F232&lt;=6,"Early Morning",F232&lt;8,"Morning",F232&lt;10,"Late Morning",F232&lt;12,"Afternoon",F232&lt;16,"Afternoon",F232&lt;=18,"Early Evening",F232&lt;=20,"Evening",F232&lt;=22,"Late Evening",F232&lt;=23,"Night")</f>
        <v>Late Evening</v>
      </c>
      <c r="H232" s="2" t="b">
        <v>0</v>
      </c>
      <c r="I232" s="2">
        <v>1</v>
      </c>
      <c r="J232" s="2">
        <v>1</v>
      </c>
      <c r="K232" s="14">
        <v>0.14000000000000001</v>
      </c>
      <c r="L232" s="4">
        <v>0.13639999999999999</v>
      </c>
      <c r="M232" s="4">
        <v>0.59</v>
      </c>
      <c r="N232" s="4">
        <v>0.19400000000000001</v>
      </c>
      <c r="O232" s="4">
        <v>1</v>
      </c>
      <c r="P232" s="4">
        <v>37</v>
      </c>
      <c r="Q232" s="8">
        <v>38</v>
      </c>
    </row>
    <row r="233" spans="1:17" x14ac:dyDescent="0.25">
      <c r="A233" s="7">
        <v>232</v>
      </c>
      <c r="B233" s="3">
        <v>40553</v>
      </c>
      <c r="C233" s="2">
        <v>1</v>
      </c>
      <c r="D233" s="2">
        <v>0</v>
      </c>
      <c r="E233" s="2">
        <v>1</v>
      </c>
      <c r="F233" s="2">
        <v>22</v>
      </c>
      <c r="G233" s="2" t="str" cm="1">
        <f t="array" ref="G233">_xlfn.IFS(F233&lt;3,"Night",F233&lt;=6,"Early Morning",F233&lt;8,"Morning",F233&lt;10,"Late Morning",F233&lt;12,"Afternoon",F233&lt;16,"Afternoon",F233&lt;=18,"Early Evening",F233&lt;=20,"Evening",F233&lt;=22,"Late Evening",F233&lt;=23,"Night")</f>
        <v>Late Evening</v>
      </c>
      <c r="H233" s="2" t="b">
        <v>0</v>
      </c>
      <c r="I233" s="2">
        <v>1</v>
      </c>
      <c r="J233" s="2">
        <v>1</v>
      </c>
      <c r="K233" s="14">
        <v>0.14000000000000001</v>
      </c>
      <c r="L233" s="4">
        <v>0.1515</v>
      </c>
      <c r="M233" s="4">
        <v>0.59</v>
      </c>
      <c r="N233" s="4">
        <v>0.16420000000000001</v>
      </c>
      <c r="O233" s="4">
        <v>2</v>
      </c>
      <c r="P233" s="4">
        <v>22</v>
      </c>
      <c r="Q233" s="8">
        <v>24</v>
      </c>
    </row>
    <row r="234" spans="1:17" x14ac:dyDescent="0.25">
      <c r="A234" s="7">
        <v>233</v>
      </c>
      <c r="B234" s="3">
        <v>40553</v>
      </c>
      <c r="C234" s="2">
        <v>1</v>
      </c>
      <c r="D234" s="2">
        <v>0</v>
      </c>
      <c r="E234" s="2">
        <v>1</v>
      </c>
      <c r="F234" s="2">
        <v>23</v>
      </c>
      <c r="G234" s="2" t="str" cm="1">
        <f t="array" ref="G234">_xlfn.IFS(F234&lt;3,"Night",F234&lt;=6,"Early Morning",F234&lt;8,"Morning",F234&lt;10,"Late Morning",F234&lt;12,"Afternoon",F234&lt;16,"Afternoon",F234&lt;=18,"Early Evening",F234&lt;=20,"Evening",F234&lt;=22,"Late Evening",F234&lt;=23,"Night")</f>
        <v>Night</v>
      </c>
      <c r="H234" s="2" t="b">
        <v>0</v>
      </c>
      <c r="I234" s="2">
        <v>1</v>
      </c>
      <c r="J234" s="2">
        <v>1</v>
      </c>
      <c r="K234" s="14">
        <v>0.14000000000000001</v>
      </c>
      <c r="L234" s="4">
        <v>0.1515</v>
      </c>
      <c r="M234" s="4">
        <v>0.59</v>
      </c>
      <c r="N234" s="4">
        <v>0.16420000000000001</v>
      </c>
      <c r="O234" s="4">
        <v>0</v>
      </c>
      <c r="P234" s="4">
        <v>18</v>
      </c>
      <c r="Q234" s="8">
        <v>18</v>
      </c>
    </row>
    <row r="235" spans="1:17" x14ac:dyDescent="0.25">
      <c r="A235" s="7">
        <v>234</v>
      </c>
      <c r="B235" s="3">
        <v>40554</v>
      </c>
      <c r="C235" s="2">
        <v>1</v>
      </c>
      <c r="D235" s="2">
        <v>0</v>
      </c>
      <c r="E235" s="2">
        <v>1</v>
      </c>
      <c r="F235" s="2">
        <v>0</v>
      </c>
      <c r="G235" s="2" t="str" cm="1">
        <f t="array" ref="G235">_xlfn.IFS(F235&lt;3,"Night",F235&lt;=6,"Early Morning",F235&lt;8,"Morning",F235&lt;10,"Late Morning",F235&lt;12,"Afternoon",F235&lt;16,"Afternoon",F235&lt;=18,"Early Evening",F235&lt;=20,"Evening",F235&lt;=22,"Late Evening",F235&lt;=23,"Night")</f>
        <v>Night</v>
      </c>
      <c r="H235" s="2" t="b">
        <v>0</v>
      </c>
      <c r="I235" s="2">
        <v>2</v>
      </c>
      <c r="J235" s="2">
        <v>1</v>
      </c>
      <c r="K235" s="14">
        <v>0.14000000000000001</v>
      </c>
      <c r="L235" s="4">
        <v>0.16669999999999999</v>
      </c>
      <c r="M235" s="4">
        <v>0.59</v>
      </c>
      <c r="N235" s="4">
        <v>0.1045</v>
      </c>
      <c r="O235" s="4">
        <v>2</v>
      </c>
      <c r="P235" s="4">
        <v>10</v>
      </c>
      <c r="Q235" s="8">
        <v>12</v>
      </c>
    </row>
    <row r="236" spans="1:17" x14ac:dyDescent="0.25">
      <c r="A236" s="7">
        <v>235</v>
      </c>
      <c r="B236" s="3">
        <v>40554</v>
      </c>
      <c r="C236" s="2">
        <v>1</v>
      </c>
      <c r="D236" s="2">
        <v>0</v>
      </c>
      <c r="E236" s="2">
        <v>1</v>
      </c>
      <c r="F236" s="2">
        <v>1</v>
      </c>
      <c r="G236" s="2" t="str" cm="1">
        <f t="array" ref="G236">_xlfn.IFS(F236&lt;3,"Night",F236&lt;=6,"Early Morning",F236&lt;8,"Morning",F236&lt;10,"Late Morning",F236&lt;12,"Afternoon",F236&lt;16,"Afternoon",F236&lt;=18,"Early Evening",F236&lt;=20,"Evening",F236&lt;=22,"Late Evening",F236&lt;=23,"Night")</f>
        <v>Night</v>
      </c>
      <c r="H236" s="2" t="b">
        <v>0</v>
      </c>
      <c r="I236" s="2">
        <v>2</v>
      </c>
      <c r="J236" s="2">
        <v>1</v>
      </c>
      <c r="K236" s="14">
        <v>0.14000000000000001</v>
      </c>
      <c r="L236" s="4">
        <v>0.1515</v>
      </c>
      <c r="M236" s="4">
        <v>0.59</v>
      </c>
      <c r="N236" s="4">
        <v>0.16420000000000001</v>
      </c>
      <c r="O236" s="4">
        <v>0</v>
      </c>
      <c r="P236" s="4">
        <v>3</v>
      </c>
      <c r="Q236" s="8">
        <v>3</v>
      </c>
    </row>
    <row r="237" spans="1:17" x14ac:dyDescent="0.25">
      <c r="A237" s="7">
        <v>236</v>
      </c>
      <c r="B237" s="3">
        <v>40554</v>
      </c>
      <c r="C237" s="2">
        <v>1</v>
      </c>
      <c r="D237" s="2">
        <v>0</v>
      </c>
      <c r="E237" s="2">
        <v>1</v>
      </c>
      <c r="F237" s="2">
        <v>2</v>
      </c>
      <c r="G237" s="2" t="str" cm="1">
        <f t="array" ref="G237">_xlfn.IFS(F237&lt;3,"Night",F237&lt;=6,"Early Morning",F237&lt;8,"Morning",F237&lt;10,"Late Morning",F237&lt;12,"Afternoon",F237&lt;16,"Afternoon",F237&lt;=18,"Early Evening",F237&lt;=20,"Evening",F237&lt;=22,"Late Evening",F237&lt;=23,"Night")</f>
        <v>Night</v>
      </c>
      <c r="H237" s="2" t="b">
        <v>0</v>
      </c>
      <c r="I237" s="2">
        <v>2</v>
      </c>
      <c r="J237" s="2">
        <v>2</v>
      </c>
      <c r="K237" s="14">
        <v>0.16</v>
      </c>
      <c r="L237" s="4">
        <v>0.1515</v>
      </c>
      <c r="M237" s="4">
        <v>0.55000000000000004</v>
      </c>
      <c r="N237" s="4">
        <v>0.19400000000000001</v>
      </c>
      <c r="O237" s="4">
        <v>0</v>
      </c>
      <c r="P237" s="4">
        <v>3</v>
      </c>
      <c r="Q237" s="8">
        <v>3</v>
      </c>
    </row>
    <row r="238" spans="1:17" x14ac:dyDescent="0.25">
      <c r="A238" s="7">
        <v>237</v>
      </c>
      <c r="B238" s="3">
        <v>40554</v>
      </c>
      <c r="C238" s="2">
        <v>1</v>
      </c>
      <c r="D238" s="2">
        <v>0</v>
      </c>
      <c r="E238" s="2">
        <v>1</v>
      </c>
      <c r="F238" s="2">
        <v>5</v>
      </c>
      <c r="G238" s="2" t="str" cm="1">
        <f t="array" ref="G238">_xlfn.IFS(F238&lt;3,"Night",F238&lt;=6,"Early Morning",F238&lt;8,"Morning",F238&lt;10,"Late Morning",F238&lt;12,"Afternoon",F238&lt;16,"Afternoon",F238&lt;=18,"Early Evening",F238&lt;=20,"Evening",F238&lt;=22,"Late Evening",F238&lt;=23,"Night")</f>
        <v>Early Morning</v>
      </c>
      <c r="H238" s="2" t="b">
        <v>0</v>
      </c>
      <c r="I238" s="2">
        <v>2</v>
      </c>
      <c r="J238" s="2">
        <v>2</v>
      </c>
      <c r="K238" s="14">
        <v>0.16</v>
      </c>
      <c r="L238" s="4">
        <v>0.18179999999999999</v>
      </c>
      <c r="M238" s="4">
        <v>0.55000000000000004</v>
      </c>
      <c r="N238" s="4">
        <v>0.1343</v>
      </c>
      <c r="O238" s="4">
        <v>0</v>
      </c>
      <c r="P238" s="4">
        <v>6</v>
      </c>
      <c r="Q238" s="8">
        <v>6</v>
      </c>
    </row>
    <row r="239" spans="1:17" x14ac:dyDescent="0.25">
      <c r="A239" s="7">
        <v>238</v>
      </c>
      <c r="B239" s="3">
        <v>40554</v>
      </c>
      <c r="C239" s="2">
        <v>1</v>
      </c>
      <c r="D239" s="2">
        <v>0</v>
      </c>
      <c r="E239" s="2">
        <v>1</v>
      </c>
      <c r="F239" s="2">
        <v>6</v>
      </c>
      <c r="G239" s="2" t="str" cm="1">
        <f t="array" ref="G239">_xlfn.IFS(F239&lt;3,"Night",F239&lt;=6,"Early Morning",F239&lt;8,"Morning",F239&lt;10,"Late Morning",F239&lt;12,"Afternoon",F239&lt;16,"Afternoon",F239&lt;=18,"Early Evening",F239&lt;=20,"Evening",F239&lt;=22,"Late Evening",F239&lt;=23,"Night")</f>
        <v>Early Morning</v>
      </c>
      <c r="H239" s="2" t="b">
        <v>0</v>
      </c>
      <c r="I239" s="2">
        <v>2</v>
      </c>
      <c r="J239" s="2">
        <v>2</v>
      </c>
      <c r="K239" s="14">
        <v>0.16</v>
      </c>
      <c r="L239" s="4">
        <v>0.18179999999999999</v>
      </c>
      <c r="M239" s="4">
        <v>0.55000000000000004</v>
      </c>
      <c r="N239" s="4">
        <v>0.1343</v>
      </c>
      <c r="O239" s="4">
        <v>0</v>
      </c>
      <c r="P239" s="4">
        <v>27</v>
      </c>
      <c r="Q239" s="8">
        <v>27</v>
      </c>
    </row>
    <row r="240" spans="1:17" x14ac:dyDescent="0.25">
      <c r="A240" s="7">
        <v>239</v>
      </c>
      <c r="B240" s="3">
        <v>40554</v>
      </c>
      <c r="C240" s="2">
        <v>1</v>
      </c>
      <c r="D240" s="2">
        <v>0</v>
      </c>
      <c r="E240" s="2">
        <v>1</v>
      </c>
      <c r="F240" s="2">
        <v>7</v>
      </c>
      <c r="G240" s="2" t="str" cm="1">
        <f t="array" ref="G240">_xlfn.IFS(F240&lt;3,"Night",F240&lt;=6,"Early Morning",F240&lt;8,"Morning",F240&lt;10,"Late Morning",F240&lt;12,"Afternoon",F240&lt;16,"Afternoon",F240&lt;=18,"Early Evening",F240&lt;=20,"Evening",F240&lt;=22,"Late Evening",F240&lt;=23,"Night")</f>
        <v>Morning</v>
      </c>
      <c r="H240" s="2" t="b">
        <v>0</v>
      </c>
      <c r="I240" s="2">
        <v>2</v>
      </c>
      <c r="J240" s="2">
        <v>2</v>
      </c>
      <c r="K240" s="14">
        <v>0.16</v>
      </c>
      <c r="L240" s="4">
        <v>0.2273</v>
      </c>
      <c r="M240" s="4">
        <v>0.55000000000000004</v>
      </c>
      <c r="N240" s="4">
        <v>0</v>
      </c>
      <c r="O240" s="4">
        <v>2</v>
      </c>
      <c r="P240" s="4">
        <v>97</v>
      </c>
      <c r="Q240" s="8">
        <v>99</v>
      </c>
    </row>
    <row r="241" spans="1:17" x14ac:dyDescent="0.25">
      <c r="A241" s="7">
        <v>240</v>
      </c>
      <c r="B241" s="3">
        <v>40554</v>
      </c>
      <c r="C241" s="2">
        <v>1</v>
      </c>
      <c r="D241" s="2">
        <v>0</v>
      </c>
      <c r="E241" s="2">
        <v>1</v>
      </c>
      <c r="F241" s="2">
        <v>8</v>
      </c>
      <c r="G241" s="2" t="str" cm="1">
        <f t="array" ref="G241">_xlfn.IFS(F241&lt;3,"Night",F241&lt;=6,"Early Morning",F241&lt;8,"Morning",F241&lt;10,"Late Morning",F241&lt;12,"Afternoon",F241&lt;16,"Afternoon",F241&lt;=18,"Early Evening",F241&lt;=20,"Evening",F241&lt;=22,"Late Evening",F241&lt;=23,"Night")</f>
        <v>Late Morning</v>
      </c>
      <c r="H241" s="2" t="b">
        <v>0</v>
      </c>
      <c r="I241" s="2">
        <v>2</v>
      </c>
      <c r="J241" s="2">
        <v>2</v>
      </c>
      <c r="K241" s="14">
        <v>0.18</v>
      </c>
      <c r="L241" s="4">
        <v>0.21210000000000001</v>
      </c>
      <c r="M241" s="4">
        <v>0.51</v>
      </c>
      <c r="N241" s="4">
        <v>8.9599999999999999E-2</v>
      </c>
      <c r="O241" s="4">
        <v>3</v>
      </c>
      <c r="P241" s="4">
        <v>214</v>
      </c>
      <c r="Q241" s="8">
        <v>217</v>
      </c>
    </row>
    <row r="242" spans="1:17" x14ac:dyDescent="0.25">
      <c r="A242" s="7">
        <v>241</v>
      </c>
      <c r="B242" s="3">
        <v>40554</v>
      </c>
      <c r="C242" s="2">
        <v>1</v>
      </c>
      <c r="D242" s="2">
        <v>0</v>
      </c>
      <c r="E242" s="2">
        <v>1</v>
      </c>
      <c r="F242" s="2">
        <v>9</v>
      </c>
      <c r="G242" s="2" t="str" cm="1">
        <f t="array" ref="G242">_xlfn.IFS(F242&lt;3,"Night",F242&lt;=6,"Early Morning",F242&lt;8,"Morning",F242&lt;10,"Late Morning",F242&lt;12,"Afternoon",F242&lt;16,"Afternoon",F242&lt;=18,"Early Evening",F242&lt;=20,"Evening",F242&lt;=22,"Late Evening",F242&lt;=23,"Night")</f>
        <v>Late Morning</v>
      </c>
      <c r="H242" s="2" t="b">
        <v>0</v>
      </c>
      <c r="I242" s="2">
        <v>2</v>
      </c>
      <c r="J242" s="2">
        <v>2</v>
      </c>
      <c r="K242" s="14">
        <v>0.18</v>
      </c>
      <c r="L242" s="4">
        <v>0.19700000000000001</v>
      </c>
      <c r="M242" s="4">
        <v>0.51</v>
      </c>
      <c r="N242" s="4">
        <v>0.16420000000000001</v>
      </c>
      <c r="O242" s="4">
        <v>3</v>
      </c>
      <c r="P242" s="4">
        <v>127</v>
      </c>
      <c r="Q242" s="8">
        <v>130</v>
      </c>
    </row>
    <row r="243" spans="1:17" x14ac:dyDescent="0.25">
      <c r="A243" s="7">
        <v>242</v>
      </c>
      <c r="B243" s="3">
        <v>40554</v>
      </c>
      <c r="C243" s="2">
        <v>1</v>
      </c>
      <c r="D243" s="2">
        <v>0</v>
      </c>
      <c r="E243" s="2">
        <v>1</v>
      </c>
      <c r="F243" s="2">
        <v>10</v>
      </c>
      <c r="G243" s="2" t="str" cm="1">
        <f t="array" ref="G243">_xlfn.IFS(F243&lt;3,"Night",F243&lt;=6,"Early Morning",F243&lt;8,"Morning",F243&lt;10,"Late Morning",F243&lt;12,"Afternoon",F243&lt;16,"Afternoon",F243&lt;=18,"Early Evening",F243&lt;=20,"Evening",F243&lt;=22,"Late Evening",F243&lt;=23,"Night")</f>
        <v>Afternoon</v>
      </c>
      <c r="H243" s="2" t="b">
        <v>0</v>
      </c>
      <c r="I243" s="2">
        <v>2</v>
      </c>
      <c r="J243" s="2">
        <v>2</v>
      </c>
      <c r="K243" s="14">
        <v>0.2</v>
      </c>
      <c r="L243" s="4">
        <v>0.21210000000000001</v>
      </c>
      <c r="M243" s="4">
        <v>0.51</v>
      </c>
      <c r="N243" s="4">
        <v>0.16420000000000001</v>
      </c>
      <c r="O243" s="4">
        <v>3</v>
      </c>
      <c r="P243" s="4">
        <v>51</v>
      </c>
      <c r="Q243" s="8">
        <v>54</v>
      </c>
    </row>
    <row r="244" spans="1:17" x14ac:dyDescent="0.25">
      <c r="A244" s="7">
        <v>243</v>
      </c>
      <c r="B244" s="3">
        <v>40554</v>
      </c>
      <c r="C244" s="2">
        <v>1</v>
      </c>
      <c r="D244" s="2">
        <v>0</v>
      </c>
      <c r="E244" s="2">
        <v>1</v>
      </c>
      <c r="F244" s="2">
        <v>11</v>
      </c>
      <c r="G244" s="2" t="str" cm="1">
        <f t="array" ref="G244">_xlfn.IFS(F244&lt;3,"Night",F244&lt;=6,"Early Morning",F244&lt;8,"Morning",F244&lt;10,"Late Morning",F244&lt;12,"Afternoon",F244&lt;16,"Afternoon",F244&lt;=18,"Early Evening",F244&lt;=20,"Evening",F244&lt;=22,"Late Evening",F244&lt;=23,"Night")</f>
        <v>Afternoon</v>
      </c>
      <c r="H244" s="2" t="b">
        <v>0</v>
      </c>
      <c r="I244" s="2">
        <v>2</v>
      </c>
      <c r="J244" s="2">
        <v>2</v>
      </c>
      <c r="K244" s="14">
        <v>0.2</v>
      </c>
      <c r="L244" s="4">
        <v>0.21210000000000001</v>
      </c>
      <c r="M244" s="4">
        <v>0.47</v>
      </c>
      <c r="N244" s="4">
        <v>0.1343</v>
      </c>
      <c r="O244" s="4">
        <v>4</v>
      </c>
      <c r="P244" s="4">
        <v>31</v>
      </c>
      <c r="Q244" s="8">
        <v>35</v>
      </c>
    </row>
    <row r="245" spans="1:17" x14ac:dyDescent="0.25">
      <c r="A245" s="7">
        <v>244</v>
      </c>
      <c r="B245" s="3">
        <v>40554</v>
      </c>
      <c r="C245" s="2">
        <v>1</v>
      </c>
      <c r="D245" s="2">
        <v>0</v>
      </c>
      <c r="E245" s="2">
        <v>1</v>
      </c>
      <c r="F245" s="2">
        <v>12</v>
      </c>
      <c r="G245" s="2" t="str" cm="1">
        <f t="array" ref="G245">_xlfn.IFS(F245&lt;3,"Night",F245&lt;=6,"Early Morning",F245&lt;8,"Morning",F245&lt;10,"Late Morning",F245&lt;12,"Afternoon",F245&lt;16,"Afternoon",F245&lt;=18,"Early Evening",F245&lt;=20,"Evening",F245&lt;=22,"Late Evening",F245&lt;=23,"Night")</f>
        <v>Afternoon</v>
      </c>
      <c r="H245" s="2" t="b">
        <v>0</v>
      </c>
      <c r="I245" s="2">
        <v>2</v>
      </c>
      <c r="J245" s="2">
        <v>2</v>
      </c>
      <c r="K245" s="14">
        <v>0.2</v>
      </c>
      <c r="L245" s="4">
        <v>0.2273</v>
      </c>
      <c r="M245" s="4">
        <v>0.51</v>
      </c>
      <c r="N245" s="4">
        <v>0.1045</v>
      </c>
      <c r="O245" s="4">
        <v>2</v>
      </c>
      <c r="P245" s="4">
        <v>55</v>
      </c>
      <c r="Q245" s="8">
        <v>57</v>
      </c>
    </row>
    <row r="246" spans="1:17" x14ac:dyDescent="0.25">
      <c r="A246" s="7">
        <v>245</v>
      </c>
      <c r="B246" s="3">
        <v>40554</v>
      </c>
      <c r="C246" s="2">
        <v>1</v>
      </c>
      <c r="D246" s="2">
        <v>0</v>
      </c>
      <c r="E246" s="2">
        <v>1</v>
      </c>
      <c r="F246" s="2">
        <v>13</v>
      </c>
      <c r="G246" s="2" t="str" cm="1">
        <f t="array" ref="G246">_xlfn.IFS(F246&lt;3,"Night",F246&lt;=6,"Early Morning",F246&lt;8,"Morning",F246&lt;10,"Late Morning",F246&lt;12,"Afternoon",F246&lt;16,"Afternoon",F246&lt;=18,"Early Evening",F246&lt;=20,"Evening",F246&lt;=22,"Late Evening",F246&lt;=23,"Night")</f>
        <v>Afternoon</v>
      </c>
      <c r="H246" s="2" t="b">
        <v>0</v>
      </c>
      <c r="I246" s="2">
        <v>2</v>
      </c>
      <c r="J246" s="2">
        <v>2</v>
      </c>
      <c r="K246" s="14">
        <v>0.2</v>
      </c>
      <c r="L246" s="4">
        <v>0.2273</v>
      </c>
      <c r="M246" s="4">
        <v>0.59</v>
      </c>
      <c r="N246" s="4">
        <v>8.9599999999999999E-2</v>
      </c>
      <c r="O246" s="4">
        <v>6</v>
      </c>
      <c r="P246" s="4">
        <v>46</v>
      </c>
      <c r="Q246" s="8">
        <v>52</v>
      </c>
    </row>
    <row r="247" spans="1:17" x14ac:dyDescent="0.25">
      <c r="A247" s="7">
        <v>246</v>
      </c>
      <c r="B247" s="3">
        <v>40554</v>
      </c>
      <c r="C247" s="2">
        <v>1</v>
      </c>
      <c r="D247" s="2">
        <v>0</v>
      </c>
      <c r="E247" s="2">
        <v>1</v>
      </c>
      <c r="F247" s="2">
        <v>14</v>
      </c>
      <c r="G247" s="2" t="str" cm="1">
        <f t="array" ref="G247">_xlfn.IFS(F247&lt;3,"Night",F247&lt;=6,"Early Morning",F247&lt;8,"Morning",F247&lt;10,"Late Morning",F247&lt;12,"Afternoon",F247&lt;16,"Afternoon",F247&lt;=18,"Early Evening",F247&lt;=20,"Evening",F247&lt;=22,"Late Evening",F247&lt;=23,"Night")</f>
        <v>Afternoon</v>
      </c>
      <c r="H247" s="2" t="b">
        <v>0</v>
      </c>
      <c r="I247" s="2">
        <v>2</v>
      </c>
      <c r="J247" s="2">
        <v>2</v>
      </c>
      <c r="K247" s="14">
        <v>0.2</v>
      </c>
      <c r="L247" s="4">
        <v>0.2273</v>
      </c>
      <c r="M247" s="4">
        <v>0.59</v>
      </c>
      <c r="N247" s="4">
        <v>8.9599999999999999E-2</v>
      </c>
      <c r="O247" s="4">
        <v>3</v>
      </c>
      <c r="P247" s="4">
        <v>60</v>
      </c>
      <c r="Q247" s="8">
        <v>63</v>
      </c>
    </row>
    <row r="248" spans="1:17" x14ac:dyDescent="0.25">
      <c r="A248" s="7">
        <v>247</v>
      </c>
      <c r="B248" s="3">
        <v>40554</v>
      </c>
      <c r="C248" s="2">
        <v>1</v>
      </c>
      <c r="D248" s="2">
        <v>0</v>
      </c>
      <c r="E248" s="2">
        <v>1</v>
      </c>
      <c r="F248" s="2">
        <v>15</v>
      </c>
      <c r="G248" s="2" t="str" cm="1">
        <f t="array" ref="G248">_xlfn.IFS(F248&lt;3,"Night",F248&lt;=6,"Early Morning",F248&lt;8,"Morning",F248&lt;10,"Late Morning",F248&lt;12,"Afternoon",F248&lt;16,"Afternoon",F248&lt;=18,"Early Evening",F248&lt;=20,"Evening",F248&lt;=22,"Late Evening",F248&lt;=23,"Night")</f>
        <v>Afternoon</v>
      </c>
      <c r="H248" s="2" t="b">
        <v>0</v>
      </c>
      <c r="I248" s="2">
        <v>2</v>
      </c>
      <c r="J248" s="2">
        <v>2</v>
      </c>
      <c r="K248" s="14">
        <v>0.16</v>
      </c>
      <c r="L248" s="4">
        <v>0.19700000000000001</v>
      </c>
      <c r="M248" s="4">
        <v>0.8</v>
      </c>
      <c r="N248" s="4">
        <v>8.9599999999999999E-2</v>
      </c>
      <c r="O248" s="4">
        <v>2</v>
      </c>
      <c r="P248" s="4">
        <v>45</v>
      </c>
      <c r="Q248" s="8">
        <v>47</v>
      </c>
    </row>
    <row r="249" spans="1:17" x14ac:dyDescent="0.25">
      <c r="A249" s="7">
        <v>248</v>
      </c>
      <c r="B249" s="3">
        <v>40554</v>
      </c>
      <c r="C249" s="2">
        <v>1</v>
      </c>
      <c r="D249" s="2">
        <v>0</v>
      </c>
      <c r="E249" s="2">
        <v>1</v>
      </c>
      <c r="F249" s="2">
        <v>16</v>
      </c>
      <c r="G249" s="2" t="str" cm="1">
        <f t="array" ref="G249">_xlfn.IFS(F249&lt;3,"Night",F249&lt;=6,"Early Morning",F249&lt;8,"Morning",F249&lt;10,"Late Morning",F249&lt;12,"Afternoon",F249&lt;16,"Afternoon",F249&lt;=18,"Early Evening",F249&lt;=20,"Evening",F249&lt;=22,"Late Evening",F249&lt;=23,"Night")</f>
        <v>Early Evening</v>
      </c>
      <c r="H249" s="2" t="b">
        <v>0</v>
      </c>
      <c r="I249" s="2">
        <v>2</v>
      </c>
      <c r="J249" s="2">
        <v>2</v>
      </c>
      <c r="K249" s="14">
        <v>0.16</v>
      </c>
      <c r="L249" s="4">
        <v>0.1515</v>
      </c>
      <c r="M249" s="4">
        <v>0.86</v>
      </c>
      <c r="N249" s="4">
        <v>0.22389999999999999</v>
      </c>
      <c r="O249" s="4">
        <v>4</v>
      </c>
      <c r="P249" s="4">
        <v>72</v>
      </c>
      <c r="Q249" s="8">
        <v>76</v>
      </c>
    </row>
    <row r="250" spans="1:17" x14ac:dyDescent="0.25">
      <c r="A250" s="7">
        <v>249</v>
      </c>
      <c r="B250" s="3">
        <v>40554</v>
      </c>
      <c r="C250" s="2">
        <v>1</v>
      </c>
      <c r="D250" s="2">
        <v>0</v>
      </c>
      <c r="E250" s="2">
        <v>1</v>
      </c>
      <c r="F250" s="2">
        <v>17</v>
      </c>
      <c r="G250" s="2" t="str" cm="1">
        <f t="array" ref="G250">_xlfn.IFS(F250&lt;3,"Night",F250&lt;=6,"Early Morning",F250&lt;8,"Morning",F250&lt;10,"Late Morning",F250&lt;12,"Afternoon",F250&lt;16,"Afternoon",F250&lt;=18,"Early Evening",F250&lt;=20,"Evening",F250&lt;=22,"Late Evening",F250&lt;=23,"Night")</f>
        <v>Early Evening</v>
      </c>
      <c r="H250" s="2" t="b">
        <v>0</v>
      </c>
      <c r="I250" s="2">
        <v>2</v>
      </c>
      <c r="J250" s="2">
        <v>2</v>
      </c>
      <c r="K250" s="14">
        <v>0.16</v>
      </c>
      <c r="L250" s="4">
        <v>0.1515</v>
      </c>
      <c r="M250" s="4">
        <v>0.86</v>
      </c>
      <c r="N250" s="4">
        <v>0.22389999999999999</v>
      </c>
      <c r="O250" s="4">
        <v>6</v>
      </c>
      <c r="P250" s="4">
        <v>130</v>
      </c>
      <c r="Q250" s="8">
        <v>136</v>
      </c>
    </row>
    <row r="251" spans="1:17" x14ac:dyDescent="0.25">
      <c r="A251" s="7">
        <v>250</v>
      </c>
      <c r="B251" s="3">
        <v>40554</v>
      </c>
      <c r="C251" s="2">
        <v>1</v>
      </c>
      <c r="D251" s="2">
        <v>0</v>
      </c>
      <c r="E251" s="2">
        <v>1</v>
      </c>
      <c r="F251" s="2">
        <v>18</v>
      </c>
      <c r="G251" s="2" t="str" cm="1">
        <f t="array" ref="G251">_xlfn.IFS(F251&lt;3,"Night",F251&lt;=6,"Early Morning",F251&lt;8,"Morning",F251&lt;10,"Late Morning",F251&lt;12,"Afternoon",F251&lt;16,"Afternoon",F251&lt;=18,"Early Evening",F251&lt;=20,"Evening",F251&lt;=22,"Late Evening",F251&lt;=23,"Night")</f>
        <v>Early Evening</v>
      </c>
      <c r="H251" s="2" t="b">
        <v>0</v>
      </c>
      <c r="I251" s="2">
        <v>2</v>
      </c>
      <c r="J251" s="2">
        <v>3</v>
      </c>
      <c r="K251" s="14">
        <v>0.16</v>
      </c>
      <c r="L251" s="4">
        <v>0.18179999999999999</v>
      </c>
      <c r="M251" s="4">
        <v>0.93</v>
      </c>
      <c r="N251" s="4">
        <v>0.1045</v>
      </c>
      <c r="O251" s="4">
        <v>1</v>
      </c>
      <c r="P251" s="4">
        <v>94</v>
      </c>
      <c r="Q251" s="8">
        <v>95</v>
      </c>
    </row>
    <row r="252" spans="1:17" x14ac:dyDescent="0.25">
      <c r="A252" s="7">
        <v>251</v>
      </c>
      <c r="B252" s="3">
        <v>40554</v>
      </c>
      <c r="C252" s="2">
        <v>1</v>
      </c>
      <c r="D252" s="2">
        <v>0</v>
      </c>
      <c r="E252" s="2">
        <v>1</v>
      </c>
      <c r="F252" s="2">
        <v>19</v>
      </c>
      <c r="G252" s="2" t="str" cm="1">
        <f t="array" ref="G252">_xlfn.IFS(F252&lt;3,"Night",F252&lt;=6,"Early Morning",F252&lt;8,"Morning",F252&lt;10,"Late Morning",F252&lt;12,"Afternoon",F252&lt;16,"Afternoon",F252&lt;=18,"Early Evening",F252&lt;=20,"Evening",F252&lt;=22,"Late Evening",F252&lt;=23,"Night")</f>
        <v>Evening</v>
      </c>
      <c r="H252" s="2" t="b">
        <v>0</v>
      </c>
      <c r="I252" s="2">
        <v>2</v>
      </c>
      <c r="J252" s="2">
        <v>3</v>
      </c>
      <c r="K252" s="14">
        <v>0.16</v>
      </c>
      <c r="L252" s="4">
        <v>0.2273</v>
      </c>
      <c r="M252" s="4">
        <v>0.93</v>
      </c>
      <c r="N252" s="4">
        <v>0</v>
      </c>
      <c r="O252" s="4">
        <v>0</v>
      </c>
      <c r="P252" s="4">
        <v>51</v>
      </c>
      <c r="Q252" s="8">
        <v>51</v>
      </c>
    </row>
    <row r="253" spans="1:17" x14ac:dyDescent="0.25">
      <c r="A253" s="7">
        <v>252</v>
      </c>
      <c r="B253" s="3">
        <v>40554</v>
      </c>
      <c r="C253" s="2">
        <v>1</v>
      </c>
      <c r="D253" s="2">
        <v>0</v>
      </c>
      <c r="E253" s="2">
        <v>1</v>
      </c>
      <c r="F253" s="2">
        <v>20</v>
      </c>
      <c r="G253" s="2" t="str" cm="1">
        <f t="array" ref="G253">_xlfn.IFS(F253&lt;3,"Night",F253&lt;=6,"Early Morning",F253&lt;8,"Morning",F253&lt;10,"Late Morning",F253&lt;12,"Afternoon",F253&lt;16,"Afternoon",F253&lt;=18,"Early Evening",F253&lt;=20,"Evening",F253&lt;=22,"Late Evening",F253&lt;=23,"Night")</f>
        <v>Evening</v>
      </c>
      <c r="H253" s="2" t="b">
        <v>0</v>
      </c>
      <c r="I253" s="2">
        <v>2</v>
      </c>
      <c r="J253" s="2">
        <v>3</v>
      </c>
      <c r="K253" s="14">
        <v>0.16</v>
      </c>
      <c r="L253" s="4">
        <v>0.1515</v>
      </c>
      <c r="M253" s="4">
        <v>0.93</v>
      </c>
      <c r="N253" s="4">
        <v>0.19400000000000001</v>
      </c>
      <c r="O253" s="4">
        <v>0</v>
      </c>
      <c r="P253" s="4">
        <v>32</v>
      </c>
      <c r="Q253" s="8">
        <v>32</v>
      </c>
    </row>
    <row r="254" spans="1:17" x14ac:dyDescent="0.25">
      <c r="A254" s="7">
        <v>253</v>
      </c>
      <c r="B254" s="3">
        <v>40554</v>
      </c>
      <c r="C254" s="2">
        <v>1</v>
      </c>
      <c r="D254" s="2">
        <v>0</v>
      </c>
      <c r="E254" s="2">
        <v>1</v>
      </c>
      <c r="F254" s="2">
        <v>21</v>
      </c>
      <c r="G254" s="2" t="str" cm="1">
        <f t="array" ref="G254">_xlfn.IFS(F254&lt;3,"Night",F254&lt;=6,"Early Morning",F254&lt;8,"Morning",F254&lt;10,"Late Morning",F254&lt;12,"Afternoon",F254&lt;16,"Afternoon",F254&lt;=18,"Early Evening",F254&lt;=20,"Evening",F254&lt;=22,"Late Evening",F254&lt;=23,"Night")</f>
        <v>Late Evening</v>
      </c>
      <c r="H254" s="2" t="b">
        <v>0</v>
      </c>
      <c r="I254" s="2">
        <v>2</v>
      </c>
      <c r="J254" s="2">
        <v>3</v>
      </c>
      <c r="K254" s="14">
        <v>0.16</v>
      </c>
      <c r="L254" s="4">
        <v>0.19700000000000001</v>
      </c>
      <c r="M254" s="4">
        <v>0.86</v>
      </c>
      <c r="N254" s="4">
        <v>8.9599999999999999E-2</v>
      </c>
      <c r="O254" s="4">
        <v>0</v>
      </c>
      <c r="P254" s="4">
        <v>20</v>
      </c>
      <c r="Q254" s="8">
        <v>20</v>
      </c>
    </row>
    <row r="255" spans="1:17" x14ac:dyDescent="0.25">
      <c r="A255" s="7">
        <v>254</v>
      </c>
      <c r="B255" s="3">
        <v>40554</v>
      </c>
      <c r="C255" s="2">
        <v>1</v>
      </c>
      <c r="D255" s="2">
        <v>0</v>
      </c>
      <c r="E255" s="2">
        <v>1</v>
      </c>
      <c r="F255" s="2">
        <v>22</v>
      </c>
      <c r="G255" s="2" t="str" cm="1">
        <f t="array" ref="G255">_xlfn.IFS(F255&lt;3,"Night",F255&lt;=6,"Early Morning",F255&lt;8,"Morning",F255&lt;10,"Late Morning",F255&lt;12,"Afternoon",F255&lt;16,"Afternoon",F255&lt;=18,"Early Evening",F255&lt;=20,"Evening",F255&lt;=22,"Late Evening",F255&lt;=23,"Night")</f>
        <v>Late Evening</v>
      </c>
      <c r="H255" s="2" t="b">
        <v>0</v>
      </c>
      <c r="I255" s="2">
        <v>2</v>
      </c>
      <c r="J255" s="2">
        <v>3</v>
      </c>
      <c r="K255" s="14">
        <v>0.16</v>
      </c>
      <c r="L255" s="4">
        <v>0.18179999999999999</v>
      </c>
      <c r="M255" s="4">
        <v>0.93</v>
      </c>
      <c r="N255" s="4">
        <v>0.1045</v>
      </c>
      <c r="O255" s="4">
        <v>1</v>
      </c>
      <c r="P255" s="4">
        <v>28</v>
      </c>
      <c r="Q255" s="8">
        <v>29</v>
      </c>
    </row>
    <row r="256" spans="1:17" x14ac:dyDescent="0.25">
      <c r="A256" s="7">
        <v>255</v>
      </c>
      <c r="B256" s="3">
        <v>40554</v>
      </c>
      <c r="C256" s="2">
        <v>1</v>
      </c>
      <c r="D256" s="2">
        <v>0</v>
      </c>
      <c r="E256" s="2">
        <v>1</v>
      </c>
      <c r="F256" s="2">
        <v>23</v>
      </c>
      <c r="G256" s="2" t="str" cm="1">
        <f t="array" ref="G256">_xlfn.IFS(F256&lt;3,"Night",F256&lt;=6,"Early Morning",F256&lt;8,"Morning",F256&lt;10,"Late Morning",F256&lt;12,"Afternoon",F256&lt;16,"Afternoon",F256&lt;=18,"Early Evening",F256&lt;=20,"Evening",F256&lt;=22,"Late Evening",F256&lt;=23,"Night")</f>
        <v>Night</v>
      </c>
      <c r="H256" s="2" t="b">
        <v>0</v>
      </c>
      <c r="I256" s="2">
        <v>2</v>
      </c>
      <c r="J256" s="2">
        <v>3</v>
      </c>
      <c r="K256" s="14">
        <v>0.16</v>
      </c>
      <c r="L256" s="4">
        <v>0.19700000000000001</v>
      </c>
      <c r="M256" s="4">
        <v>0.93</v>
      </c>
      <c r="N256" s="4">
        <v>8.9599999999999999E-2</v>
      </c>
      <c r="O256" s="4">
        <v>1</v>
      </c>
      <c r="P256" s="4">
        <v>18</v>
      </c>
      <c r="Q256" s="8">
        <v>19</v>
      </c>
    </row>
    <row r="257" spans="1:17" x14ac:dyDescent="0.25">
      <c r="A257" s="7">
        <v>256</v>
      </c>
      <c r="B257" s="3">
        <v>40555</v>
      </c>
      <c r="C257" s="2">
        <v>1</v>
      </c>
      <c r="D257" s="2">
        <v>0</v>
      </c>
      <c r="E257" s="2">
        <v>1</v>
      </c>
      <c r="F257" s="2">
        <v>0</v>
      </c>
      <c r="G257" s="2" t="str" cm="1">
        <f t="array" ref="G257">_xlfn.IFS(F257&lt;3,"Night",F257&lt;=6,"Early Morning",F257&lt;8,"Morning",F257&lt;10,"Late Morning",F257&lt;12,"Afternoon",F257&lt;16,"Afternoon",F257&lt;=18,"Early Evening",F257&lt;=20,"Evening",F257&lt;=22,"Late Evening",F257&lt;=23,"Night")</f>
        <v>Night</v>
      </c>
      <c r="H257" s="2" t="b">
        <v>0</v>
      </c>
      <c r="I257" s="2">
        <v>3</v>
      </c>
      <c r="J257" s="2">
        <v>2</v>
      </c>
      <c r="K257" s="14">
        <v>0.16</v>
      </c>
      <c r="L257" s="4">
        <v>0.19700000000000001</v>
      </c>
      <c r="M257" s="4">
        <v>0.86</v>
      </c>
      <c r="N257" s="4">
        <v>8.9599999999999999E-2</v>
      </c>
      <c r="O257" s="4">
        <v>0</v>
      </c>
      <c r="P257" s="4">
        <v>7</v>
      </c>
      <c r="Q257" s="8">
        <v>7</v>
      </c>
    </row>
    <row r="258" spans="1:17" x14ac:dyDescent="0.25">
      <c r="A258" s="7">
        <v>257</v>
      </c>
      <c r="B258" s="3">
        <v>40555</v>
      </c>
      <c r="C258" s="2">
        <v>1</v>
      </c>
      <c r="D258" s="2">
        <v>0</v>
      </c>
      <c r="E258" s="2">
        <v>1</v>
      </c>
      <c r="F258" s="2">
        <v>1</v>
      </c>
      <c r="G258" s="2" t="str" cm="1">
        <f t="array" ref="G258">_xlfn.IFS(F258&lt;3,"Night",F258&lt;=6,"Early Morning",F258&lt;8,"Morning",F258&lt;10,"Late Morning",F258&lt;12,"Afternoon",F258&lt;16,"Afternoon",F258&lt;=18,"Early Evening",F258&lt;=20,"Evening",F258&lt;=22,"Late Evening",F258&lt;=23,"Night")</f>
        <v>Night</v>
      </c>
      <c r="H258" s="2" t="b">
        <v>0</v>
      </c>
      <c r="I258" s="2">
        <v>3</v>
      </c>
      <c r="J258" s="2">
        <v>2</v>
      </c>
      <c r="K258" s="14">
        <v>0.16</v>
      </c>
      <c r="L258" s="4">
        <v>0.18179999999999999</v>
      </c>
      <c r="M258" s="4">
        <v>0.86</v>
      </c>
      <c r="N258" s="4">
        <v>0.1045</v>
      </c>
      <c r="O258" s="4">
        <v>0</v>
      </c>
      <c r="P258" s="4">
        <v>6</v>
      </c>
      <c r="Q258" s="8">
        <v>6</v>
      </c>
    </row>
    <row r="259" spans="1:17" x14ac:dyDescent="0.25">
      <c r="A259" s="7">
        <v>258</v>
      </c>
      <c r="B259" s="3">
        <v>40555</v>
      </c>
      <c r="C259" s="2">
        <v>1</v>
      </c>
      <c r="D259" s="2">
        <v>0</v>
      </c>
      <c r="E259" s="2">
        <v>1</v>
      </c>
      <c r="F259" s="2">
        <v>2</v>
      </c>
      <c r="G259" s="2" t="str" cm="1">
        <f t="array" ref="G259">_xlfn.IFS(F259&lt;3,"Night",F259&lt;=6,"Early Morning",F259&lt;8,"Morning",F259&lt;10,"Late Morning",F259&lt;12,"Afternoon",F259&lt;16,"Afternoon",F259&lt;=18,"Early Evening",F259&lt;=20,"Evening",F259&lt;=22,"Late Evening",F259&lt;=23,"Night")</f>
        <v>Night</v>
      </c>
      <c r="H259" s="2" t="b">
        <v>0</v>
      </c>
      <c r="I259" s="2">
        <v>3</v>
      </c>
      <c r="J259" s="2">
        <v>1</v>
      </c>
      <c r="K259" s="14">
        <v>0.14000000000000001</v>
      </c>
      <c r="L259" s="4">
        <v>0.1515</v>
      </c>
      <c r="M259" s="4">
        <v>0.86</v>
      </c>
      <c r="N259" s="4">
        <v>0.1343</v>
      </c>
      <c r="O259" s="4">
        <v>0</v>
      </c>
      <c r="P259" s="4">
        <v>1</v>
      </c>
      <c r="Q259" s="8">
        <v>1</v>
      </c>
    </row>
    <row r="260" spans="1:17" x14ac:dyDescent="0.25">
      <c r="A260" s="7">
        <v>259</v>
      </c>
      <c r="B260" s="3">
        <v>40555</v>
      </c>
      <c r="C260" s="2">
        <v>1</v>
      </c>
      <c r="D260" s="2">
        <v>0</v>
      </c>
      <c r="E260" s="2">
        <v>1</v>
      </c>
      <c r="F260" s="2">
        <v>5</v>
      </c>
      <c r="G260" s="2" t="str" cm="1">
        <f t="array" ref="G260">_xlfn.IFS(F260&lt;3,"Night",F260&lt;=6,"Early Morning",F260&lt;8,"Morning",F260&lt;10,"Late Morning",F260&lt;12,"Afternoon",F260&lt;16,"Afternoon",F260&lt;=18,"Early Evening",F260&lt;=20,"Evening",F260&lt;=22,"Late Evening",F260&lt;=23,"Night")</f>
        <v>Early Morning</v>
      </c>
      <c r="H260" s="2" t="b">
        <v>0</v>
      </c>
      <c r="I260" s="2">
        <v>3</v>
      </c>
      <c r="J260" s="2">
        <v>1</v>
      </c>
      <c r="K260" s="14">
        <v>0.14000000000000001</v>
      </c>
      <c r="L260" s="4">
        <v>0.1515</v>
      </c>
      <c r="M260" s="4">
        <v>0.86</v>
      </c>
      <c r="N260" s="4">
        <v>0.16420000000000001</v>
      </c>
      <c r="O260" s="4">
        <v>0</v>
      </c>
      <c r="P260" s="4">
        <v>5</v>
      </c>
      <c r="Q260" s="8">
        <v>5</v>
      </c>
    </row>
    <row r="261" spans="1:17" x14ac:dyDescent="0.25">
      <c r="A261" s="7">
        <v>260</v>
      </c>
      <c r="B261" s="3">
        <v>40555</v>
      </c>
      <c r="C261" s="2">
        <v>1</v>
      </c>
      <c r="D261" s="2">
        <v>0</v>
      </c>
      <c r="E261" s="2">
        <v>1</v>
      </c>
      <c r="F261" s="2">
        <v>6</v>
      </c>
      <c r="G261" s="2" t="str" cm="1">
        <f t="array" ref="G261">_xlfn.IFS(F261&lt;3,"Night",F261&lt;=6,"Early Morning",F261&lt;8,"Morning",F261&lt;10,"Late Morning",F261&lt;12,"Afternoon",F261&lt;16,"Afternoon",F261&lt;=18,"Early Evening",F261&lt;=20,"Evening",F261&lt;=22,"Late Evening",F261&lt;=23,"Night")</f>
        <v>Early Morning</v>
      </c>
      <c r="H261" s="2" t="b">
        <v>0</v>
      </c>
      <c r="I261" s="2">
        <v>3</v>
      </c>
      <c r="J261" s="2">
        <v>1</v>
      </c>
      <c r="K261" s="14">
        <v>0.12</v>
      </c>
      <c r="L261" s="4">
        <v>0.1515</v>
      </c>
      <c r="M261" s="4">
        <v>0.93</v>
      </c>
      <c r="N261" s="4">
        <v>0.1343</v>
      </c>
      <c r="O261" s="4">
        <v>0</v>
      </c>
      <c r="P261" s="4">
        <v>16</v>
      </c>
      <c r="Q261" s="8">
        <v>16</v>
      </c>
    </row>
    <row r="262" spans="1:17" x14ac:dyDescent="0.25">
      <c r="A262" s="7">
        <v>261</v>
      </c>
      <c r="B262" s="3">
        <v>40555</v>
      </c>
      <c r="C262" s="2">
        <v>1</v>
      </c>
      <c r="D262" s="2">
        <v>0</v>
      </c>
      <c r="E262" s="2">
        <v>1</v>
      </c>
      <c r="F262" s="2">
        <v>7</v>
      </c>
      <c r="G262" s="2" t="str" cm="1">
        <f t="array" ref="G262">_xlfn.IFS(F262&lt;3,"Night",F262&lt;=6,"Early Morning",F262&lt;8,"Morning",F262&lt;10,"Late Morning",F262&lt;12,"Afternoon",F262&lt;16,"Afternoon",F262&lt;=18,"Early Evening",F262&lt;=20,"Evening",F262&lt;=22,"Late Evening",F262&lt;=23,"Night")</f>
        <v>Morning</v>
      </c>
      <c r="H262" s="2" t="b">
        <v>0</v>
      </c>
      <c r="I262" s="2">
        <v>3</v>
      </c>
      <c r="J262" s="2">
        <v>1</v>
      </c>
      <c r="K262" s="14">
        <v>0.14000000000000001</v>
      </c>
      <c r="L262" s="4">
        <v>0.1515</v>
      </c>
      <c r="M262" s="4">
        <v>0.69</v>
      </c>
      <c r="N262" s="4">
        <v>0.1343</v>
      </c>
      <c r="O262" s="4">
        <v>0</v>
      </c>
      <c r="P262" s="4">
        <v>54</v>
      </c>
      <c r="Q262" s="8">
        <v>54</v>
      </c>
    </row>
    <row r="263" spans="1:17" x14ac:dyDescent="0.25">
      <c r="A263" s="7">
        <v>262</v>
      </c>
      <c r="B263" s="3">
        <v>40555</v>
      </c>
      <c r="C263" s="2">
        <v>1</v>
      </c>
      <c r="D263" s="2">
        <v>0</v>
      </c>
      <c r="E263" s="2">
        <v>1</v>
      </c>
      <c r="F263" s="2">
        <v>8</v>
      </c>
      <c r="G263" s="2" t="str" cm="1">
        <f t="array" ref="G263">_xlfn.IFS(F263&lt;3,"Night",F263&lt;=6,"Early Morning",F263&lt;8,"Morning",F263&lt;10,"Late Morning",F263&lt;12,"Afternoon",F263&lt;16,"Afternoon",F263&lt;=18,"Early Evening",F263&lt;=20,"Evening",F263&lt;=22,"Late Evening",F263&lt;=23,"Night")</f>
        <v>Late Morning</v>
      </c>
      <c r="H263" s="2" t="b">
        <v>0</v>
      </c>
      <c r="I263" s="2">
        <v>3</v>
      </c>
      <c r="J263" s="2">
        <v>1</v>
      </c>
      <c r="K263" s="14">
        <v>0.16</v>
      </c>
      <c r="L263" s="4">
        <v>0.16669999999999999</v>
      </c>
      <c r="M263" s="4">
        <v>0.59</v>
      </c>
      <c r="N263" s="4">
        <v>0.16420000000000001</v>
      </c>
      <c r="O263" s="4">
        <v>3</v>
      </c>
      <c r="P263" s="4">
        <v>125</v>
      </c>
      <c r="Q263" s="8">
        <v>128</v>
      </c>
    </row>
    <row r="264" spans="1:17" x14ac:dyDescent="0.25">
      <c r="A264" s="7">
        <v>263</v>
      </c>
      <c r="B264" s="3">
        <v>40555</v>
      </c>
      <c r="C264" s="2">
        <v>1</v>
      </c>
      <c r="D264" s="2">
        <v>0</v>
      </c>
      <c r="E264" s="2">
        <v>1</v>
      </c>
      <c r="F264" s="2">
        <v>9</v>
      </c>
      <c r="G264" s="2" t="str" cm="1">
        <f t="array" ref="G264">_xlfn.IFS(F264&lt;3,"Night",F264&lt;=6,"Early Morning",F264&lt;8,"Morning",F264&lt;10,"Late Morning",F264&lt;12,"Afternoon",F264&lt;16,"Afternoon",F264&lt;=18,"Early Evening",F264&lt;=20,"Evening",F264&lt;=22,"Late Evening",F264&lt;=23,"Night")</f>
        <v>Late Morning</v>
      </c>
      <c r="H264" s="2" t="b">
        <v>0</v>
      </c>
      <c r="I264" s="2">
        <v>3</v>
      </c>
      <c r="J264" s="2">
        <v>1</v>
      </c>
      <c r="K264" s="14">
        <v>0.16</v>
      </c>
      <c r="L264" s="4">
        <v>0.13639999999999999</v>
      </c>
      <c r="M264" s="4">
        <v>0.59</v>
      </c>
      <c r="N264" s="4">
        <v>0.32840000000000003</v>
      </c>
      <c r="O264" s="4">
        <v>3</v>
      </c>
      <c r="P264" s="4">
        <v>78</v>
      </c>
      <c r="Q264" s="8">
        <v>81</v>
      </c>
    </row>
    <row r="265" spans="1:17" x14ac:dyDescent="0.25">
      <c r="A265" s="7">
        <v>264</v>
      </c>
      <c r="B265" s="3">
        <v>40555</v>
      </c>
      <c r="C265" s="2">
        <v>1</v>
      </c>
      <c r="D265" s="2">
        <v>0</v>
      </c>
      <c r="E265" s="2">
        <v>1</v>
      </c>
      <c r="F265" s="2">
        <v>10</v>
      </c>
      <c r="G265" s="2" t="str" cm="1">
        <f t="array" ref="G265">_xlfn.IFS(F265&lt;3,"Night",F265&lt;=6,"Early Morning",F265&lt;8,"Morning",F265&lt;10,"Late Morning",F265&lt;12,"Afternoon",F265&lt;16,"Afternoon",F265&lt;=18,"Early Evening",F265&lt;=20,"Evening",F265&lt;=22,"Late Evening",F265&lt;=23,"Night")</f>
        <v>Afternoon</v>
      </c>
      <c r="H265" s="2" t="b">
        <v>0</v>
      </c>
      <c r="I265" s="2">
        <v>3</v>
      </c>
      <c r="J265" s="2">
        <v>1</v>
      </c>
      <c r="K265" s="14">
        <v>0.18</v>
      </c>
      <c r="L265" s="4">
        <v>0.18179999999999999</v>
      </c>
      <c r="M265" s="4">
        <v>0.55000000000000004</v>
      </c>
      <c r="N265" s="4">
        <v>0.22389999999999999</v>
      </c>
      <c r="O265" s="4">
        <v>0</v>
      </c>
      <c r="P265" s="4">
        <v>39</v>
      </c>
      <c r="Q265" s="8">
        <v>39</v>
      </c>
    </row>
    <row r="266" spans="1:17" x14ac:dyDescent="0.25">
      <c r="A266" s="7">
        <v>265</v>
      </c>
      <c r="B266" s="3">
        <v>40555</v>
      </c>
      <c r="C266" s="2">
        <v>1</v>
      </c>
      <c r="D266" s="2">
        <v>0</v>
      </c>
      <c r="E266" s="2">
        <v>1</v>
      </c>
      <c r="F266" s="2">
        <v>11</v>
      </c>
      <c r="G266" s="2" t="str" cm="1">
        <f t="array" ref="G266">_xlfn.IFS(F266&lt;3,"Night",F266&lt;=6,"Early Morning",F266&lt;8,"Morning",F266&lt;10,"Late Morning",F266&lt;12,"Afternoon",F266&lt;16,"Afternoon",F266&lt;=18,"Early Evening",F266&lt;=20,"Evening",F266&lt;=22,"Late Evening",F266&lt;=23,"Night")</f>
        <v>Afternoon</v>
      </c>
      <c r="H266" s="2" t="b">
        <v>0</v>
      </c>
      <c r="I266" s="2">
        <v>3</v>
      </c>
      <c r="J266" s="2">
        <v>1</v>
      </c>
      <c r="K266" s="14">
        <v>0.2</v>
      </c>
      <c r="L266" s="4">
        <v>0.18179999999999999</v>
      </c>
      <c r="M266" s="4">
        <v>0.51</v>
      </c>
      <c r="N266" s="4">
        <v>0.3881</v>
      </c>
      <c r="O266" s="4">
        <v>3</v>
      </c>
      <c r="P266" s="4">
        <v>32</v>
      </c>
      <c r="Q266" s="8">
        <v>35</v>
      </c>
    </row>
    <row r="267" spans="1:17" x14ac:dyDescent="0.25">
      <c r="A267" s="7">
        <v>266</v>
      </c>
      <c r="B267" s="3">
        <v>40555</v>
      </c>
      <c r="C267" s="2">
        <v>1</v>
      </c>
      <c r="D267" s="2">
        <v>0</v>
      </c>
      <c r="E267" s="2">
        <v>1</v>
      </c>
      <c r="F267" s="2">
        <v>12</v>
      </c>
      <c r="G267" s="2" t="str" cm="1">
        <f t="array" ref="G267">_xlfn.IFS(F267&lt;3,"Night",F267&lt;=6,"Early Morning",F267&lt;8,"Morning",F267&lt;10,"Late Morning",F267&lt;12,"Afternoon",F267&lt;16,"Afternoon",F267&lt;=18,"Early Evening",F267&lt;=20,"Evening",F267&lt;=22,"Late Evening",F267&lt;=23,"Night")</f>
        <v>Afternoon</v>
      </c>
      <c r="H267" s="2" t="b">
        <v>0</v>
      </c>
      <c r="I267" s="2">
        <v>3</v>
      </c>
      <c r="J267" s="2">
        <v>1</v>
      </c>
      <c r="K267" s="14">
        <v>0.2</v>
      </c>
      <c r="L267" s="4">
        <v>0.1515</v>
      </c>
      <c r="M267" s="4">
        <v>0.47</v>
      </c>
      <c r="N267" s="4">
        <v>0.58209999999999995</v>
      </c>
      <c r="O267" s="4">
        <v>3</v>
      </c>
      <c r="P267" s="4">
        <v>52</v>
      </c>
      <c r="Q267" s="8">
        <v>55</v>
      </c>
    </row>
    <row r="268" spans="1:17" x14ac:dyDescent="0.25">
      <c r="A268" s="7">
        <v>267</v>
      </c>
      <c r="B268" s="3">
        <v>40555</v>
      </c>
      <c r="C268" s="2">
        <v>1</v>
      </c>
      <c r="D268" s="2">
        <v>0</v>
      </c>
      <c r="E268" s="2">
        <v>1</v>
      </c>
      <c r="F268" s="2">
        <v>13</v>
      </c>
      <c r="G268" s="2" t="str" cm="1">
        <f t="array" ref="G268">_xlfn.IFS(F268&lt;3,"Night",F268&lt;=6,"Early Morning",F268&lt;8,"Morning",F268&lt;10,"Late Morning",F268&lt;12,"Afternoon",F268&lt;16,"Afternoon",F268&lt;=18,"Early Evening",F268&lt;=20,"Evening",F268&lt;=22,"Late Evening",F268&lt;=23,"Night")</f>
        <v>Afternoon</v>
      </c>
      <c r="H268" s="2" t="b">
        <v>0</v>
      </c>
      <c r="I268" s="2">
        <v>3</v>
      </c>
      <c r="J268" s="2">
        <v>1</v>
      </c>
      <c r="K268" s="14">
        <v>0.22</v>
      </c>
      <c r="L268" s="4">
        <v>0.19700000000000001</v>
      </c>
      <c r="M268" s="4">
        <v>0.44</v>
      </c>
      <c r="N268" s="4">
        <v>0.35820000000000002</v>
      </c>
      <c r="O268" s="4">
        <v>0</v>
      </c>
      <c r="P268" s="4">
        <v>49</v>
      </c>
      <c r="Q268" s="8">
        <v>49</v>
      </c>
    </row>
    <row r="269" spans="1:17" x14ac:dyDescent="0.25">
      <c r="A269" s="7">
        <v>268</v>
      </c>
      <c r="B269" s="3">
        <v>40555</v>
      </c>
      <c r="C269" s="2">
        <v>1</v>
      </c>
      <c r="D269" s="2">
        <v>0</v>
      </c>
      <c r="E269" s="2">
        <v>1</v>
      </c>
      <c r="F269" s="2">
        <v>14</v>
      </c>
      <c r="G269" s="2" t="str" cm="1">
        <f t="array" ref="G269">_xlfn.IFS(F269&lt;3,"Night",F269&lt;=6,"Early Morning",F269&lt;8,"Morning",F269&lt;10,"Late Morning",F269&lt;12,"Afternoon",F269&lt;16,"Afternoon",F269&lt;=18,"Early Evening",F269&lt;=20,"Evening",F269&lt;=22,"Late Evening",F269&lt;=23,"Night")</f>
        <v>Afternoon</v>
      </c>
      <c r="H269" s="2" t="b">
        <v>0</v>
      </c>
      <c r="I269" s="2">
        <v>3</v>
      </c>
      <c r="J269" s="2">
        <v>1</v>
      </c>
      <c r="K269" s="14">
        <v>0.2</v>
      </c>
      <c r="L269" s="4">
        <v>0.18179999999999999</v>
      </c>
      <c r="M269" s="4">
        <v>0.47</v>
      </c>
      <c r="N269" s="4">
        <v>0.32840000000000003</v>
      </c>
      <c r="O269" s="4">
        <v>0</v>
      </c>
      <c r="P269" s="4">
        <v>44</v>
      </c>
      <c r="Q269" s="8">
        <v>44</v>
      </c>
    </row>
    <row r="270" spans="1:17" x14ac:dyDescent="0.25">
      <c r="A270" s="7">
        <v>269</v>
      </c>
      <c r="B270" s="3">
        <v>40555</v>
      </c>
      <c r="C270" s="2">
        <v>1</v>
      </c>
      <c r="D270" s="2">
        <v>0</v>
      </c>
      <c r="E270" s="2">
        <v>1</v>
      </c>
      <c r="F270" s="2">
        <v>15</v>
      </c>
      <c r="G270" s="2" t="str" cm="1">
        <f t="array" ref="G270">_xlfn.IFS(F270&lt;3,"Night",F270&lt;=6,"Early Morning",F270&lt;8,"Morning",F270&lt;10,"Late Morning",F270&lt;12,"Afternoon",F270&lt;16,"Afternoon",F270&lt;=18,"Early Evening",F270&lt;=20,"Evening",F270&lt;=22,"Late Evening",F270&lt;=23,"Night")</f>
        <v>Afternoon</v>
      </c>
      <c r="H270" s="2" t="b">
        <v>0</v>
      </c>
      <c r="I270" s="2">
        <v>3</v>
      </c>
      <c r="J270" s="2">
        <v>1</v>
      </c>
      <c r="K270" s="14">
        <v>0.2</v>
      </c>
      <c r="L270" s="4">
        <v>0.16669999999999999</v>
      </c>
      <c r="M270" s="4">
        <v>0.47</v>
      </c>
      <c r="N270" s="4">
        <v>0.41789999999999999</v>
      </c>
      <c r="O270" s="4">
        <v>1</v>
      </c>
      <c r="P270" s="4">
        <v>48</v>
      </c>
      <c r="Q270" s="8">
        <v>49</v>
      </c>
    </row>
    <row r="271" spans="1:17" x14ac:dyDescent="0.25">
      <c r="A271" s="7">
        <v>270</v>
      </c>
      <c r="B271" s="3">
        <v>40555</v>
      </c>
      <c r="C271" s="2">
        <v>1</v>
      </c>
      <c r="D271" s="2">
        <v>0</v>
      </c>
      <c r="E271" s="2">
        <v>1</v>
      </c>
      <c r="F271" s="2">
        <v>16</v>
      </c>
      <c r="G271" s="2" t="str" cm="1">
        <f t="array" ref="G271">_xlfn.IFS(F271&lt;3,"Night",F271&lt;=6,"Early Morning",F271&lt;8,"Morning",F271&lt;10,"Late Morning",F271&lt;12,"Afternoon",F271&lt;16,"Afternoon",F271&lt;=18,"Early Evening",F271&lt;=20,"Evening",F271&lt;=22,"Late Evening",F271&lt;=23,"Night")</f>
        <v>Early Evening</v>
      </c>
      <c r="H271" s="2" t="b">
        <v>0</v>
      </c>
      <c r="I271" s="2">
        <v>3</v>
      </c>
      <c r="J271" s="2">
        <v>1</v>
      </c>
      <c r="K271" s="14">
        <v>0.22</v>
      </c>
      <c r="L271" s="4">
        <v>0.19700000000000001</v>
      </c>
      <c r="M271" s="4">
        <v>0.44</v>
      </c>
      <c r="N271" s="4">
        <v>0.32840000000000003</v>
      </c>
      <c r="O271" s="4">
        <v>5</v>
      </c>
      <c r="P271" s="4">
        <v>63</v>
      </c>
      <c r="Q271" s="8">
        <v>68</v>
      </c>
    </row>
    <row r="272" spans="1:17" x14ac:dyDescent="0.25">
      <c r="A272" s="7">
        <v>271</v>
      </c>
      <c r="B272" s="3">
        <v>40555</v>
      </c>
      <c r="C272" s="2">
        <v>1</v>
      </c>
      <c r="D272" s="2">
        <v>0</v>
      </c>
      <c r="E272" s="2">
        <v>1</v>
      </c>
      <c r="F272" s="2">
        <v>17</v>
      </c>
      <c r="G272" s="2" t="str" cm="1">
        <f t="array" ref="G272">_xlfn.IFS(F272&lt;3,"Night",F272&lt;=6,"Early Morning",F272&lt;8,"Morning",F272&lt;10,"Late Morning",F272&lt;12,"Afternoon",F272&lt;16,"Afternoon",F272&lt;=18,"Early Evening",F272&lt;=20,"Evening",F272&lt;=22,"Late Evening",F272&lt;=23,"Night")</f>
        <v>Early Evening</v>
      </c>
      <c r="H272" s="2" t="b">
        <v>0</v>
      </c>
      <c r="I272" s="2">
        <v>3</v>
      </c>
      <c r="J272" s="2">
        <v>1</v>
      </c>
      <c r="K272" s="14">
        <v>0.2</v>
      </c>
      <c r="L272" s="4">
        <v>0.18179999999999999</v>
      </c>
      <c r="M272" s="4">
        <v>0.47</v>
      </c>
      <c r="N272" s="4">
        <v>0.35820000000000002</v>
      </c>
      <c r="O272" s="4">
        <v>0</v>
      </c>
      <c r="P272" s="4">
        <v>139</v>
      </c>
      <c r="Q272" s="8">
        <v>139</v>
      </c>
    </row>
    <row r="273" spans="1:17" x14ac:dyDescent="0.25">
      <c r="A273" s="7">
        <v>272</v>
      </c>
      <c r="B273" s="3">
        <v>40555</v>
      </c>
      <c r="C273" s="2">
        <v>1</v>
      </c>
      <c r="D273" s="2">
        <v>0</v>
      </c>
      <c r="E273" s="2">
        <v>1</v>
      </c>
      <c r="F273" s="2">
        <v>18</v>
      </c>
      <c r="G273" s="2" t="str" cm="1">
        <f t="array" ref="G273">_xlfn.IFS(F273&lt;3,"Night",F273&lt;=6,"Early Morning",F273&lt;8,"Morning",F273&lt;10,"Late Morning",F273&lt;12,"Afternoon",F273&lt;16,"Afternoon",F273&lt;=18,"Early Evening",F273&lt;=20,"Evening",F273&lt;=22,"Late Evening",F273&lt;=23,"Night")</f>
        <v>Early Evening</v>
      </c>
      <c r="H273" s="2" t="b">
        <v>0</v>
      </c>
      <c r="I273" s="2">
        <v>3</v>
      </c>
      <c r="J273" s="2">
        <v>1</v>
      </c>
      <c r="K273" s="14">
        <v>0.2</v>
      </c>
      <c r="L273" s="4">
        <v>0.1515</v>
      </c>
      <c r="M273" s="4">
        <v>0.47</v>
      </c>
      <c r="N273" s="4">
        <v>0.52239999999999998</v>
      </c>
      <c r="O273" s="4">
        <v>2</v>
      </c>
      <c r="P273" s="4">
        <v>135</v>
      </c>
      <c r="Q273" s="8">
        <v>137</v>
      </c>
    </row>
    <row r="274" spans="1:17" x14ac:dyDescent="0.25">
      <c r="A274" s="7">
        <v>273</v>
      </c>
      <c r="B274" s="3">
        <v>40555</v>
      </c>
      <c r="C274" s="2">
        <v>1</v>
      </c>
      <c r="D274" s="2">
        <v>0</v>
      </c>
      <c r="E274" s="2">
        <v>1</v>
      </c>
      <c r="F274" s="2">
        <v>19</v>
      </c>
      <c r="G274" s="2" t="str" cm="1">
        <f t="array" ref="G274">_xlfn.IFS(F274&lt;3,"Night",F274&lt;=6,"Early Morning",F274&lt;8,"Morning",F274&lt;10,"Late Morning",F274&lt;12,"Afternoon",F274&lt;16,"Afternoon",F274&lt;=18,"Early Evening",F274&lt;=20,"Evening",F274&lt;=22,"Late Evening",F274&lt;=23,"Night")</f>
        <v>Evening</v>
      </c>
      <c r="H274" s="2" t="b">
        <v>0</v>
      </c>
      <c r="I274" s="2">
        <v>3</v>
      </c>
      <c r="J274" s="2">
        <v>1</v>
      </c>
      <c r="K274" s="14">
        <v>0.18</v>
      </c>
      <c r="L274" s="4">
        <v>0.1515</v>
      </c>
      <c r="M274" s="4">
        <v>0.47</v>
      </c>
      <c r="N274" s="4">
        <v>0.41789999999999999</v>
      </c>
      <c r="O274" s="4">
        <v>1</v>
      </c>
      <c r="P274" s="4">
        <v>82</v>
      </c>
      <c r="Q274" s="8">
        <v>83</v>
      </c>
    </row>
    <row r="275" spans="1:17" x14ac:dyDescent="0.25">
      <c r="A275" s="7">
        <v>274</v>
      </c>
      <c r="B275" s="3">
        <v>40555</v>
      </c>
      <c r="C275" s="2">
        <v>1</v>
      </c>
      <c r="D275" s="2">
        <v>0</v>
      </c>
      <c r="E275" s="2">
        <v>1</v>
      </c>
      <c r="F275" s="2">
        <v>20</v>
      </c>
      <c r="G275" s="2" t="str" cm="1">
        <f t="array" ref="G275">_xlfn.IFS(F275&lt;3,"Night",F275&lt;=6,"Early Morning",F275&lt;8,"Morning",F275&lt;10,"Late Morning",F275&lt;12,"Afternoon",F275&lt;16,"Afternoon",F275&lt;=18,"Early Evening",F275&lt;=20,"Evening",F275&lt;=22,"Late Evening",F275&lt;=23,"Night")</f>
        <v>Evening</v>
      </c>
      <c r="H275" s="2" t="b">
        <v>0</v>
      </c>
      <c r="I275" s="2">
        <v>3</v>
      </c>
      <c r="J275" s="2">
        <v>1</v>
      </c>
      <c r="K275" s="14">
        <v>0.16</v>
      </c>
      <c r="L275" s="4">
        <v>0.13639999999999999</v>
      </c>
      <c r="M275" s="4">
        <v>0.5</v>
      </c>
      <c r="N275" s="4">
        <v>0.32840000000000003</v>
      </c>
      <c r="O275" s="4">
        <v>2</v>
      </c>
      <c r="P275" s="4">
        <v>54</v>
      </c>
      <c r="Q275" s="8">
        <v>56</v>
      </c>
    </row>
    <row r="276" spans="1:17" x14ac:dyDescent="0.25">
      <c r="A276" s="7">
        <v>275</v>
      </c>
      <c r="B276" s="3">
        <v>40555</v>
      </c>
      <c r="C276" s="2">
        <v>1</v>
      </c>
      <c r="D276" s="2">
        <v>0</v>
      </c>
      <c r="E276" s="2">
        <v>1</v>
      </c>
      <c r="F276" s="2">
        <v>21</v>
      </c>
      <c r="G276" s="2" t="str" cm="1">
        <f t="array" ref="G276">_xlfn.IFS(F276&lt;3,"Night",F276&lt;=6,"Early Morning",F276&lt;8,"Morning",F276&lt;10,"Late Morning",F276&lt;12,"Afternoon",F276&lt;16,"Afternoon",F276&lt;=18,"Early Evening",F276&lt;=20,"Evening",F276&lt;=22,"Late Evening",F276&lt;=23,"Night")</f>
        <v>Late Evening</v>
      </c>
      <c r="H276" s="2" t="b">
        <v>0</v>
      </c>
      <c r="I276" s="2">
        <v>3</v>
      </c>
      <c r="J276" s="2">
        <v>1</v>
      </c>
      <c r="K276" s="14">
        <v>0.16</v>
      </c>
      <c r="L276" s="4">
        <v>0.13639999999999999</v>
      </c>
      <c r="M276" s="4">
        <v>0.55000000000000004</v>
      </c>
      <c r="N276" s="4">
        <v>0.32840000000000003</v>
      </c>
      <c r="O276" s="4">
        <v>0</v>
      </c>
      <c r="P276" s="4">
        <v>57</v>
      </c>
      <c r="Q276" s="8">
        <v>57</v>
      </c>
    </row>
    <row r="277" spans="1:17" x14ac:dyDescent="0.25">
      <c r="A277" s="7">
        <v>276</v>
      </c>
      <c r="B277" s="3">
        <v>40555</v>
      </c>
      <c r="C277" s="2">
        <v>1</v>
      </c>
      <c r="D277" s="2">
        <v>0</v>
      </c>
      <c r="E277" s="2">
        <v>1</v>
      </c>
      <c r="F277" s="2">
        <v>22</v>
      </c>
      <c r="G277" s="2" t="str" cm="1">
        <f t="array" ref="G277">_xlfn.IFS(F277&lt;3,"Night",F277&lt;=6,"Early Morning",F277&lt;8,"Morning",F277&lt;10,"Late Morning",F277&lt;12,"Afternoon",F277&lt;16,"Afternoon",F277&lt;=18,"Early Evening",F277&lt;=20,"Evening",F277&lt;=22,"Late Evening",F277&lt;=23,"Night")</f>
        <v>Late Evening</v>
      </c>
      <c r="H277" s="2" t="b">
        <v>0</v>
      </c>
      <c r="I277" s="2">
        <v>3</v>
      </c>
      <c r="J277" s="2">
        <v>1</v>
      </c>
      <c r="K277" s="14">
        <v>0.16</v>
      </c>
      <c r="L277" s="4">
        <v>0.1212</v>
      </c>
      <c r="M277" s="4">
        <v>0.55000000000000004</v>
      </c>
      <c r="N277" s="4">
        <v>0.44779999999999998</v>
      </c>
      <c r="O277" s="4">
        <v>1</v>
      </c>
      <c r="P277" s="4">
        <v>32</v>
      </c>
      <c r="Q277" s="8">
        <v>33</v>
      </c>
    </row>
    <row r="278" spans="1:17" x14ac:dyDescent="0.25">
      <c r="A278" s="7">
        <v>277</v>
      </c>
      <c r="B278" s="3">
        <v>40555</v>
      </c>
      <c r="C278" s="2">
        <v>1</v>
      </c>
      <c r="D278" s="2">
        <v>0</v>
      </c>
      <c r="E278" s="2">
        <v>1</v>
      </c>
      <c r="F278" s="2">
        <v>23</v>
      </c>
      <c r="G278" s="2" t="str" cm="1">
        <f t="array" ref="G278">_xlfn.IFS(F278&lt;3,"Night",F278&lt;=6,"Early Morning",F278&lt;8,"Morning",F278&lt;10,"Late Morning",F278&lt;12,"Afternoon",F278&lt;16,"Afternoon",F278&lt;=18,"Early Evening",F278&lt;=20,"Evening",F278&lt;=22,"Late Evening",F278&lt;=23,"Night")</f>
        <v>Night</v>
      </c>
      <c r="H278" s="2" t="b">
        <v>0</v>
      </c>
      <c r="I278" s="2">
        <v>3</v>
      </c>
      <c r="J278" s="2">
        <v>1</v>
      </c>
      <c r="K278" s="14">
        <v>0.14000000000000001</v>
      </c>
      <c r="L278" s="4">
        <v>0.1061</v>
      </c>
      <c r="M278" s="4">
        <v>0.59</v>
      </c>
      <c r="N278" s="4">
        <v>0.41789999999999999</v>
      </c>
      <c r="O278" s="4">
        <v>1</v>
      </c>
      <c r="P278" s="4">
        <v>19</v>
      </c>
      <c r="Q278" s="8">
        <v>20</v>
      </c>
    </row>
    <row r="279" spans="1:17" x14ac:dyDescent="0.25">
      <c r="A279" s="7">
        <v>278</v>
      </c>
      <c r="B279" s="3">
        <v>40556</v>
      </c>
      <c r="C279" s="2">
        <v>1</v>
      </c>
      <c r="D279" s="2">
        <v>0</v>
      </c>
      <c r="E279" s="2">
        <v>1</v>
      </c>
      <c r="F279" s="2">
        <v>0</v>
      </c>
      <c r="G279" s="2" t="str" cm="1">
        <f t="array" ref="G279">_xlfn.IFS(F279&lt;3,"Night",F279&lt;=6,"Early Morning",F279&lt;8,"Morning",F279&lt;10,"Late Morning",F279&lt;12,"Afternoon",F279&lt;16,"Afternoon",F279&lt;=18,"Early Evening",F279&lt;=20,"Evening",F279&lt;=22,"Late Evening",F279&lt;=23,"Night")</f>
        <v>Night</v>
      </c>
      <c r="H279" s="2" t="b">
        <v>0</v>
      </c>
      <c r="I279" s="2">
        <v>4</v>
      </c>
      <c r="J279" s="2">
        <v>1</v>
      </c>
      <c r="K279" s="14">
        <v>0.14000000000000001</v>
      </c>
      <c r="L279" s="4">
        <v>0.1212</v>
      </c>
      <c r="M279" s="4">
        <v>0.59</v>
      </c>
      <c r="N279" s="4">
        <v>0.28360000000000002</v>
      </c>
      <c r="O279" s="4">
        <v>1</v>
      </c>
      <c r="P279" s="4">
        <v>6</v>
      </c>
      <c r="Q279" s="8">
        <v>7</v>
      </c>
    </row>
    <row r="280" spans="1:17" x14ac:dyDescent="0.25">
      <c r="A280" s="7">
        <v>279</v>
      </c>
      <c r="B280" s="3">
        <v>40556</v>
      </c>
      <c r="C280" s="2">
        <v>1</v>
      </c>
      <c r="D280" s="2">
        <v>0</v>
      </c>
      <c r="E280" s="2">
        <v>1</v>
      </c>
      <c r="F280" s="2">
        <v>1</v>
      </c>
      <c r="G280" s="2" t="str" cm="1">
        <f t="array" ref="G280">_xlfn.IFS(F280&lt;3,"Night",F280&lt;=6,"Early Morning",F280&lt;8,"Morning",F280&lt;10,"Late Morning",F280&lt;12,"Afternoon",F280&lt;16,"Afternoon",F280&lt;=18,"Early Evening",F280&lt;=20,"Evening",F280&lt;=22,"Late Evening",F280&lt;=23,"Night")</f>
        <v>Night</v>
      </c>
      <c r="H280" s="2" t="b">
        <v>0</v>
      </c>
      <c r="I280" s="2">
        <v>4</v>
      </c>
      <c r="J280" s="2">
        <v>1</v>
      </c>
      <c r="K280" s="14">
        <v>0.14000000000000001</v>
      </c>
      <c r="L280" s="4">
        <v>0.1212</v>
      </c>
      <c r="M280" s="4">
        <v>0.5</v>
      </c>
      <c r="N280" s="4">
        <v>0.28360000000000002</v>
      </c>
      <c r="O280" s="4">
        <v>0</v>
      </c>
      <c r="P280" s="4">
        <v>2</v>
      </c>
      <c r="Q280" s="8">
        <v>2</v>
      </c>
    </row>
    <row r="281" spans="1:17" x14ac:dyDescent="0.25">
      <c r="A281" s="7">
        <v>280</v>
      </c>
      <c r="B281" s="3">
        <v>40556</v>
      </c>
      <c r="C281" s="2">
        <v>1</v>
      </c>
      <c r="D281" s="2">
        <v>0</v>
      </c>
      <c r="E281" s="2">
        <v>1</v>
      </c>
      <c r="F281" s="2">
        <v>2</v>
      </c>
      <c r="G281" s="2" t="str" cm="1">
        <f t="array" ref="G281">_xlfn.IFS(F281&lt;3,"Night",F281&lt;=6,"Early Morning",F281&lt;8,"Morning",F281&lt;10,"Late Morning",F281&lt;12,"Afternoon",F281&lt;16,"Afternoon",F281&lt;=18,"Early Evening",F281&lt;=20,"Evening",F281&lt;=22,"Late Evening",F281&lt;=23,"Night")</f>
        <v>Night</v>
      </c>
      <c r="H281" s="2" t="b">
        <v>0</v>
      </c>
      <c r="I281" s="2">
        <v>4</v>
      </c>
      <c r="J281" s="2">
        <v>1</v>
      </c>
      <c r="K281" s="14">
        <v>0.14000000000000001</v>
      </c>
      <c r="L281" s="4">
        <v>0.1212</v>
      </c>
      <c r="M281" s="4">
        <v>0.5</v>
      </c>
      <c r="N281" s="4">
        <v>0.35820000000000002</v>
      </c>
      <c r="O281" s="4">
        <v>0</v>
      </c>
      <c r="P281" s="4">
        <v>2</v>
      </c>
      <c r="Q281" s="8">
        <v>2</v>
      </c>
    </row>
    <row r="282" spans="1:17" x14ac:dyDescent="0.25">
      <c r="A282" s="7">
        <v>281</v>
      </c>
      <c r="B282" s="3">
        <v>40556</v>
      </c>
      <c r="C282" s="2">
        <v>1</v>
      </c>
      <c r="D282" s="2">
        <v>0</v>
      </c>
      <c r="E282" s="2">
        <v>1</v>
      </c>
      <c r="F282" s="2">
        <v>3</v>
      </c>
      <c r="G282" s="2" t="str" cm="1">
        <f t="array" ref="G282">_xlfn.IFS(F282&lt;3,"Night",F282&lt;=6,"Early Morning",F282&lt;8,"Morning",F282&lt;10,"Late Morning",F282&lt;12,"Afternoon",F282&lt;16,"Afternoon",F282&lt;=18,"Early Evening",F282&lt;=20,"Evening",F282&lt;=22,"Late Evening",F282&lt;=23,"Night")</f>
        <v>Early Morning</v>
      </c>
      <c r="H282" s="2" t="b">
        <v>0</v>
      </c>
      <c r="I282" s="2">
        <v>4</v>
      </c>
      <c r="J282" s="2">
        <v>1</v>
      </c>
      <c r="K282" s="14">
        <v>0.14000000000000001</v>
      </c>
      <c r="L282" s="4">
        <v>0.1212</v>
      </c>
      <c r="M282" s="4">
        <v>0.5</v>
      </c>
      <c r="N282" s="4">
        <v>0.32840000000000003</v>
      </c>
      <c r="O282" s="4">
        <v>0</v>
      </c>
      <c r="P282" s="4">
        <v>3</v>
      </c>
      <c r="Q282" s="8">
        <v>3</v>
      </c>
    </row>
    <row r="283" spans="1:17" x14ac:dyDescent="0.25">
      <c r="A283" s="7">
        <v>282</v>
      </c>
      <c r="B283" s="3">
        <v>40556</v>
      </c>
      <c r="C283" s="2">
        <v>1</v>
      </c>
      <c r="D283" s="2">
        <v>0</v>
      </c>
      <c r="E283" s="2">
        <v>1</v>
      </c>
      <c r="F283" s="2">
        <v>4</v>
      </c>
      <c r="G283" s="2" t="str" cm="1">
        <f t="array" ref="G283">_xlfn.IFS(F283&lt;3,"Night",F283&lt;=6,"Early Morning",F283&lt;8,"Morning",F283&lt;10,"Late Morning",F283&lt;12,"Afternoon",F283&lt;16,"Afternoon",F283&lt;=18,"Early Evening",F283&lt;=20,"Evening",F283&lt;=22,"Late Evening",F283&lt;=23,"Night")</f>
        <v>Early Morning</v>
      </c>
      <c r="H283" s="2" t="b">
        <v>0</v>
      </c>
      <c r="I283" s="2">
        <v>4</v>
      </c>
      <c r="J283" s="2">
        <v>1</v>
      </c>
      <c r="K283" s="14">
        <v>0.14000000000000001</v>
      </c>
      <c r="L283" s="4">
        <v>0.1212</v>
      </c>
      <c r="M283" s="4">
        <v>0.5</v>
      </c>
      <c r="N283" s="4">
        <v>0.25369999999999998</v>
      </c>
      <c r="O283" s="4">
        <v>0</v>
      </c>
      <c r="P283" s="4">
        <v>4</v>
      </c>
      <c r="Q283" s="8">
        <v>4</v>
      </c>
    </row>
    <row r="284" spans="1:17" x14ac:dyDescent="0.25">
      <c r="A284" s="7">
        <v>283</v>
      </c>
      <c r="B284" s="3">
        <v>40556</v>
      </c>
      <c r="C284" s="2">
        <v>1</v>
      </c>
      <c r="D284" s="2">
        <v>0</v>
      </c>
      <c r="E284" s="2">
        <v>1</v>
      </c>
      <c r="F284" s="2">
        <v>5</v>
      </c>
      <c r="G284" s="2" t="str" cm="1">
        <f t="array" ref="G284">_xlfn.IFS(F284&lt;3,"Night",F284&lt;=6,"Early Morning",F284&lt;8,"Morning",F284&lt;10,"Late Morning",F284&lt;12,"Afternoon",F284&lt;16,"Afternoon",F284&lt;=18,"Early Evening",F284&lt;=20,"Evening",F284&lt;=22,"Late Evening",F284&lt;=23,"Night")</f>
        <v>Early Morning</v>
      </c>
      <c r="H284" s="2" t="b">
        <v>0</v>
      </c>
      <c r="I284" s="2">
        <v>4</v>
      </c>
      <c r="J284" s="2">
        <v>1</v>
      </c>
      <c r="K284" s="14">
        <v>0.14000000000000001</v>
      </c>
      <c r="L284" s="4">
        <v>0.1212</v>
      </c>
      <c r="M284" s="4">
        <v>0.5</v>
      </c>
      <c r="N284" s="4">
        <v>0.29849999999999999</v>
      </c>
      <c r="O284" s="4">
        <v>0</v>
      </c>
      <c r="P284" s="4">
        <v>3</v>
      </c>
      <c r="Q284" s="8">
        <v>3</v>
      </c>
    </row>
    <row r="285" spans="1:17" x14ac:dyDescent="0.25">
      <c r="A285" s="7">
        <v>284</v>
      </c>
      <c r="B285" s="3">
        <v>40556</v>
      </c>
      <c r="C285" s="2">
        <v>1</v>
      </c>
      <c r="D285" s="2">
        <v>0</v>
      </c>
      <c r="E285" s="2">
        <v>1</v>
      </c>
      <c r="F285" s="2">
        <v>6</v>
      </c>
      <c r="G285" s="2" t="str" cm="1">
        <f t="array" ref="G285">_xlfn.IFS(F285&lt;3,"Night",F285&lt;=6,"Early Morning",F285&lt;8,"Morning",F285&lt;10,"Late Morning",F285&lt;12,"Afternoon",F285&lt;16,"Afternoon",F285&lt;=18,"Early Evening",F285&lt;=20,"Evening",F285&lt;=22,"Late Evening",F285&lt;=23,"Night")</f>
        <v>Early Morning</v>
      </c>
      <c r="H285" s="2" t="b">
        <v>0</v>
      </c>
      <c r="I285" s="2">
        <v>4</v>
      </c>
      <c r="J285" s="2">
        <v>1</v>
      </c>
      <c r="K285" s="14">
        <v>0.12</v>
      </c>
      <c r="L285" s="4">
        <v>0.1515</v>
      </c>
      <c r="M285" s="4">
        <v>0.54</v>
      </c>
      <c r="N285" s="4">
        <v>0.1343</v>
      </c>
      <c r="O285" s="4">
        <v>0</v>
      </c>
      <c r="P285" s="4">
        <v>28</v>
      </c>
      <c r="Q285" s="8">
        <v>28</v>
      </c>
    </row>
    <row r="286" spans="1:17" x14ac:dyDescent="0.25">
      <c r="A286" s="7">
        <v>285</v>
      </c>
      <c r="B286" s="3">
        <v>40556</v>
      </c>
      <c r="C286" s="2">
        <v>1</v>
      </c>
      <c r="D286" s="2">
        <v>0</v>
      </c>
      <c r="E286" s="2">
        <v>1</v>
      </c>
      <c r="F286" s="2">
        <v>7</v>
      </c>
      <c r="G286" s="2" t="str" cm="1">
        <f t="array" ref="G286">_xlfn.IFS(F286&lt;3,"Night",F286&lt;=6,"Early Morning",F286&lt;8,"Morning",F286&lt;10,"Late Morning",F286&lt;12,"Afternoon",F286&lt;16,"Afternoon",F286&lt;=18,"Early Evening",F286&lt;=20,"Evening",F286&lt;=22,"Late Evening",F286&lt;=23,"Night")</f>
        <v>Morning</v>
      </c>
      <c r="H286" s="2" t="b">
        <v>0</v>
      </c>
      <c r="I286" s="2">
        <v>4</v>
      </c>
      <c r="J286" s="2">
        <v>1</v>
      </c>
      <c r="K286" s="14">
        <v>0.12</v>
      </c>
      <c r="L286" s="4">
        <v>0.1515</v>
      </c>
      <c r="M286" s="4">
        <v>0.54</v>
      </c>
      <c r="N286" s="4">
        <v>0.1343</v>
      </c>
      <c r="O286" s="4">
        <v>0</v>
      </c>
      <c r="P286" s="4">
        <v>72</v>
      </c>
      <c r="Q286" s="8">
        <v>72</v>
      </c>
    </row>
    <row r="287" spans="1:17" x14ac:dyDescent="0.25">
      <c r="A287" s="7">
        <v>286</v>
      </c>
      <c r="B287" s="3">
        <v>40556</v>
      </c>
      <c r="C287" s="2">
        <v>1</v>
      </c>
      <c r="D287" s="2">
        <v>0</v>
      </c>
      <c r="E287" s="2">
        <v>1</v>
      </c>
      <c r="F287" s="2">
        <v>8</v>
      </c>
      <c r="G287" s="2" t="str" cm="1">
        <f t="array" ref="G287">_xlfn.IFS(F287&lt;3,"Night",F287&lt;=6,"Early Morning",F287&lt;8,"Morning",F287&lt;10,"Late Morning",F287&lt;12,"Afternoon",F287&lt;16,"Afternoon",F287&lt;=18,"Early Evening",F287&lt;=20,"Evening",F287&lt;=22,"Late Evening",F287&lt;=23,"Night")</f>
        <v>Late Morning</v>
      </c>
      <c r="H287" s="2" t="b">
        <v>0</v>
      </c>
      <c r="I287" s="2">
        <v>4</v>
      </c>
      <c r="J287" s="2">
        <v>1</v>
      </c>
      <c r="K287" s="14">
        <v>0.14000000000000001</v>
      </c>
      <c r="L287" s="4">
        <v>0.13639999999999999</v>
      </c>
      <c r="M287" s="4">
        <v>0.5</v>
      </c>
      <c r="N287" s="4">
        <v>0.19400000000000001</v>
      </c>
      <c r="O287" s="4">
        <v>5</v>
      </c>
      <c r="P287" s="4">
        <v>197</v>
      </c>
      <c r="Q287" s="8">
        <v>202</v>
      </c>
    </row>
    <row r="288" spans="1:17" x14ac:dyDescent="0.25">
      <c r="A288" s="7">
        <v>287</v>
      </c>
      <c r="B288" s="3">
        <v>40556</v>
      </c>
      <c r="C288" s="2">
        <v>1</v>
      </c>
      <c r="D288" s="2">
        <v>0</v>
      </c>
      <c r="E288" s="2">
        <v>1</v>
      </c>
      <c r="F288" s="2">
        <v>9</v>
      </c>
      <c r="G288" s="2" t="str" cm="1">
        <f t="array" ref="G288">_xlfn.IFS(F288&lt;3,"Night",F288&lt;=6,"Early Morning",F288&lt;8,"Morning",F288&lt;10,"Late Morning",F288&lt;12,"Afternoon",F288&lt;16,"Afternoon",F288&lt;=18,"Early Evening",F288&lt;=20,"Evening",F288&lt;=22,"Late Evening",F288&lt;=23,"Night")</f>
        <v>Late Morning</v>
      </c>
      <c r="H288" s="2" t="b">
        <v>0</v>
      </c>
      <c r="I288" s="2">
        <v>4</v>
      </c>
      <c r="J288" s="2">
        <v>1</v>
      </c>
      <c r="K288" s="14">
        <v>0.14000000000000001</v>
      </c>
      <c r="L288" s="4">
        <v>0.1212</v>
      </c>
      <c r="M288" s="4">
        <v>0.5</v>
      </c>
      <c r="N288" s="4">
        <v>0.32840000000000003</v>
      </c>
      <c r="O288" s="4">
        <v>2</v>
      </c>
      <c r="P288" s="4">
        <v>137</v>
      </c>
      <c r="Q288" s="8">
        <v>139</v>
      </c>
    </row>
    <row r="289" spans="1:17" x14ac:dyDescent="0.25">
      <c r="A289" s="7">
        <v>288</v>
      </c>
      <c r="B289" s="3">
        <v>40556</v>
      </c>
      <c r="C289" s="2">
        <v>1</v>
      </c>
      <c r="D289" s="2">
        <v>0</v>
      </c>
      <c r="E289" s="2">
        <v>1</v>
      </c>
      <c r="F289" s="2">
        <v>10</v>
      </c>
      <c r="G289" s="2" t="str" cm="1">
        <f t="array" ref="G289">_xlfn.IFS(F289&lt;3,"Night",F289&lt;=6,"Early Morning",F289&lt;8,"Morning",F289&lt;10,"Late Morning",F289&lt;12,"Afternoon",F289&lt;16,"Afternoon",F289&lt;=18,"Early Evening",F289&lt;=20,"Evening",F289&lt;=22,"Late Evening",F289&lt;=23,"Night")</f>
        <v>Afternoon</v>
      </c>
      <c r="H289" s="2" t="b">
        <v>0</v>
      </c>
      <c r="I289" s="2">
        <v>4</v>
      </c>
      <c r="J289" s="2">
        <v>2</v>
      </c>
      <c r="K289" s="14">
        <v>0.16</v>
      </c>
      <c r="L289" s="4">
        <v>0.13639999999999999</v>
      </c>
      <c r="M289" s="4">
        <v>0.5</v>
      </c>
      <c r="N289" s="4">
        <v>0.35820000000000002</v>
      </c>
      <c r="O289" s="4">
        <v>2</v>
      </c>
      <c r="P289" s="4">
        <v>36</v>
      </c>
      <c r="Q289" s="8">
        <v>38</v>
      </c>
    </row>
    <row r="290" spans="1:17" x14ac:dyDescent="0.25">
      <c r="A290" s="7">
        <v>289</v>
      </c>
      <c r="B290" s="3">
        <v>40556</v>
      </c>
      <c r="C290" s="2">
        <v>1</v>
      </c>
      <c r="D290" s="2">
        <v>0</v>
      </c>
      <c r="E290" s="2">
        <v>1</v>
      </c>
      <c r="F290" s="2">
        <v>11</v>
      </c>
      <c r="G290" s="2" t="str" cm="1">
        <f t="array" ref="G290">_xlfn.IFS(F290&lt;3,"Night",F290&lt;=6,"Early Morning",F290&lt;8,"Morning",F290&lt;10,"Late Morning",F290&lt;12,"Afternoon",F290&lt;16,"Afternoon",F290&lt;=18,"Early Evening",F290&lt;=20,"Evening",F290&lt;=22,"Late Evening",F290&lt;=23,"Night")</f>
        <v>Afternoon</v>
      </c>
      <c r="H290" s="2" t="b">
        <v>0</v>
      </c>
      <c r="I290" s="2">
        <v>4</v>
      </c>
      <c r="J290" s="2">
        <v>2</v>
      </c>
      <c r="K290" s="14">
        <v>0.2</v>
      </c>
      <c r="L290" s="4">
        <v>0.16669999999999999</v>
      </c>
      <c r="M290" s="4">
        <v>0.44</v>
      </c>
      <c r="N290" s="4">
        <v>0.44779999999999998</v>
      </c>
      <c r="O290" s="4">
        <v>4</v>
      </c>
      <c r="P290" s="4">
        <v>33</v>
      </c>
      <c r="Q290" s="8">
        <v>37</v>
      </c>
    </row>
    <row r="291" spans="1:17" x14ac:dyDescent="0.25">
      <c r="A291" s="7">
        <v>290</v>
      </c>
      <c r="B291" s="3">
        <v>40556</v>
      </c>
      <c r="C291" s="2">
        <v>1</v>
      </c>
      <c r="D291" s="2">
        <v>0</v>
      </c>
      <c r="E291" s="2">
        <v>1</v>
      </c>
      <c r="F291" s="2">
        <v>12</v>
      </c>
      <c r="G291" s="2" t="str" cm="1">
        <f t="array" ref="G291">_xlfn.IFS(F291&lt;3,"Night",F291&lt;=6,"Early Morning",F291&lt;8,"Morning",F291&lt;10,"Late Morning",F291&lt;12,"Afternoon",F291&lt;16,"Afternoon",F291&lt;=18,"Early Evening",F291&lt;=20,"Evening",F291&lt;=22,"Late Evening",F291&lt;=23,"Night")</f>
        <v>Afternoon</v>
      </c>
      <c r="H291" s="2" t="b">
        <v>0</v>
      </c>
      <c r="I291" s="2">
        <v>4</v>
      </c>
      <c r="J291" s="2">
        <v>1</v>
      </c>
      <c r="K291" s="14">
        <v>0.2</v>
      </c>
      <c r="L291" s="4">
        <v>0.16669999999999999</v>
      </c>
      <c r="M291" s="4">
        <v>0.44</v>
      </c>
      <c r="N291" s="4">
        <v>0.41789999999999999</v>
      </c>
      <c r="O291" s="4">
        <v>3</v>
      </c>
      <c r="P291" s="4">
        <v>49</v>
      </c>
      <c r="Q291" s="8">
        <v>52</v>
      </c>
    </row>
    <row r="292" spans="1:17" x14ac:dyDescent="0.25">
      <c r="A292" s="7">
        <v>291</v>
      </c>
      <c r="B292" s="3">
        <v>40556</v>
      </c>
      <c r="C292" s="2">
        <v>1</v>
      </c>
      <c r="D292" s="2">
        <v>0</v>
      </c>
      <c r="E292" s="2">
        <v>1</v>
      </c>
      <c r="F292" s="2">
        <v>13</v>
      </c>
      <c r="G292" s="2" t="str" cm="1">
        <f t="array" ref="G292">_xlfn.IFS(F292&lt;3,"Night",F292&lt;=6,"Early Morning",F292&lt;8,"Morning",F292&lt;10,"Late Morning",F292&lt;12,"Afternoon",F292&lt;16,"Afternoon",F292&lt;=18,"Early Evening",F292&lt;=20,"Evening",F292&lt;=22,"Late Evening",F292&lt;=23,"Night")</f>
        <v>Afternoon</v>
      </c>
      <c r="H292" s="2" t="b">
        <v>0</v>
      </c>
      <c r="I292" s="2">
        <v>4</v>
      </c>
      <c r="J292" s="2">
        <v>1</v>
      </c>
      <c r="K292" s="14">
        <v>0.22</v>
      </c>
      <c r="L292" s="4">
        <v>0.19700000000000001</v>
      </c>
      <c r="M292" s="4">
        <v>0.41</v>
      </c>
      <c r="N292" s="4">
        <v>0.44779999999999998</v>
      </c>
      <c r="O292" s="4">
        <v>2</v>
      </c>
      <c r="P292" s="4">
        <v>81</v>
      </c>
      <c r="Q292" s="8">
        <v>83</v>
      </c>
    </row>
    <row r="293" spans="1:17" x14ac:dyDescent="0.25">
      <c r="A293" s="7">
        <v>292</v>
      </c>
      <c r="B293" s="3">
        <v>40556</v>
      </c>
      <c r="C293" s="2">
        <v>1</v>
      </c>
      <c r="D293" s="2">
        <v>0</v>
      </c>
      <c r="E293" s="2">
        <v>1</v>
      </c>
      <c r="F293" s="2">
        <v>14</v>
      </c>
      <c r="G293" s="2" t="str" cm="1">
        <f t="array" ref="G293">_xlfn.IFS(F293&lt;3,"Night",F293&lt;=6,"Early Morning",F293&lt;8,"Morning",F293&lt;10,"Late Morning",F293&lt;12,"Afternoon",F293&lt;16,"Afternoon",F293&lt;=18,"Early Evening",F293&lt;=20,"Evening",F293&lt;=22,"Late Evening",F293&lt;=23,"Night")</f>
        <v>Afternoon</v>
      </c>
      <c r="H293" s="2" t="b">
        <v>0</v>
      </c>
      <c r="I293" s="2">
        <v>4</v>
      </c>
      <c r="J293" s="2">
        <v>1</v>
      </c>
      <c r="K293" s="14">
        <v>0.22</v>
      </c>
      <c r="L293" s="4">
        <v>0.19700000000000001</v>
      </c>
      <c r="M293" s="4">
        <v>0.41</v>
      </c>
      <c r="N293" s="4">
        <v>0.3881</v>
      </c>
      <c r="O293" s="4">
        <v>3</v>
      </c>
      <c r="P293" s="4">
        <v>39</v>
      </c>
      <c r="Q293" s="8">
        <v>42</v>
      </c>
    </row>
    <row r="294" spans="1:17" x14ac:dyDescent="0.25">
      <c r="A294" s="7">
        <v>293</v>
      </c>
      <c r="B294" s="3">
        <v>40556</v>
      </c>
      <c r="C294" s="2">
        <v>1</v>
      </c>
      <c r="D294" s="2">
        <v>0</v>
      </c>
      <c r="E294" s="2">
        <v>1</v>
      </c>
      <c r="F294" s="2">
        <v>15</v>
      </c>
      <c r="G294" s="2" t="str" cm="1">
        <f t="array" ref="G294">_xlfn.IFS(F294&lt;3,"Night",F294&lt;=6,"Early Morning",F294&lt;8,"Morning",F294&lt;10,"Late Morning",F294&lt;12,"Afternoon",F294&lt;16,"Afternoon",F294&lt;=18,"Early Evening",F294&lt;=20,"Evening",F294&lt;=22,"Late Evening",F294&lt;=23,"Night")</f>
        <v>Afternoon</v>
      </c>
      <c r="H294" s="2" t="b">
        <v>0</v>
      </c>
      <c r="I294" s="2">
        <v>4</v>
      </c>
      <c r="J294" s="2">
        <v>1</v>
      </c>
      <c r="K294" s="14">
        <v>0.24</v>
      </c>
      <c r="L294" s="4">
        <v>0.21210000000000001</v>
      </c>
      <c r="M294" s="4">
        <v>0.38</v>
      </c>
      <c r="N294" s="4">
        <v>0.29849999999999999</v>
      </c>
      <c r="O294" s="4">
        <v>5</v>
      </c>
      <c r="P294" s="4">
        <v>55</v>
      </c>
      <c r="Q294" s="8">
        <v>60</v>
      </c>
    </row>
    <row r="295" spans="1:17" x14ac:dyDescent="0.25">
      <c r="A295" s="7">
        <v>294</v>
      </c>
      <c r="B295" s="3">
        <v>40556</v>
      </c>
      <c r="C295" s="2">
        <v>1</v>
      </c>
      <c r="D295" s="2">
        <v>0</v>
      </c>
      <c r="E295" s="2">
        <v>1</v>
      </c>
      <c r="F295" s="2">
        <v>16</v>
      </c>
      <c r="G295" s="2" t="str" cm="1">
        <f t="array" ref="G295">_xlfn.IFS(F295&lt;3,"Night",F295&lt;=6,"Early Morning",F295&lt;8,"Morning",F295&lt;10,"Late Morning",F295&lt;12,"Afternoon",F295&lt;16,"Afternoon",F295&lt;=18,"Early Evening",F295&lt;=20,"Evening",F295&lt;=22,"Late Evening",F295&lt;=23,"Night")</f>
        <v>Early Evening</v>
      </c>
      <c r="H295" s="2" t="b">
        <v>0</v>
      </c>
      <c r="I295" s="2">
        <v>4</v>
      </c>
      <c r="J295" s="2">
        <v>1</v>
      </c>
      <c r="K295" s="14">
        <v>0.24</v>
      </c>
      <c r="L295" s="4">
        <v>0.21210000000000001</v>
      </c>
      <c r="M295" s="4">
        <v>0.38</v>
      </c>
      <c r="N295" s="4">
        <v>0.35820000000000002</v>
      </c>
      <c r="O295" s="4">
        <v>2</v>
      </c>
      <c r="P295" s="4">
        <v>76</v>
      </c>
      <c r="Q295" s="8">
        <v>78</v>
      </c>
    </row>
    <row r="296" spans="1:17" x14ac:dyDescent="0.25">
      <c r="A296" s="7">
        <v>295</v>
      </c>
      <c r="B296" s="3">
        <v>40556</v>
      </c>
      <c r="C296" s="2">
        <v>1</v>
      </c>
      <c r="D296" s="2">
        <v>0</v>
      </c>
      <c r="E296" s="2">
        <v>1</v>
      </c>
      <c r="F296" s="2">
        <v>17</v>
      </c>
      <c r="G296" s="2" t="str" cm="1">
        <f t="array" ref="G296">_xlfn.IFS(F296&lt;3,"Night",F296&lt;=6,"Early Morning",F296&lt;8,"Morning",F296&lt;10,"Late Morning",F296&lt;12,"Afternoon",F296&lt;16,"Afternoon",F296&lt;=18,"Early Evening",F296&lt;=20,"Evening",F296&lt;=22,"Late Evening",F296&lt;=23,"Night")</f>
        <v>Early Evening</v>
      </c>
      <c r="H296" s="2" t="b">
        <v>0</v>
      </c>
      <c r="I296" s="2">
        <v>4</v>
      </c>
      <c r="J296" s="2">
        <v>1</v>
      </c>
      <c r="K296" s="14">
        <v>0.2</v>
      </c>
      <c r="L296" s="4">
        <v>0.18179999999999999</v>
      </c>
      <c r="M296" s="4">
        <v>0.4</v>
      </c>
      <c r="N296" s="4">
        <v>0.28360000000000002</v>
      </c>
      <c r="O296" s="4">
        <v>4</v>
      </c>
      <c r="P296" s="4">
        <v>158</v>
      </c>
      <c r="Q296" s="8">
        <v>162</v>
      </c>
    </row>
    <row r="297" spans="1:17" x14ac:dyDescent="0.25">
      <c r="A297" s="7">
        <v>296</v>
      </c>
      <c r="B297" s="3">
        <v>40556</v>
      </c>
      <c r="C297" s="2">
        <v>1</v>
      </c>
      <c r="D297" s="2">
        <v>0</v>
      </c>
      <c r="E297" s="2">
        <v>1</v>
      </c>
      <c r="F297" s="2">
        <v>18</v>
      </c>
      <c r="G297" s="2" t="str" cm="1">
        <f t="array" ref="G297">_xlfn.IFS(F297&lt;3,"Night",F297&lt;=6,"Early Morning",F297&lt;8,"Morning",F297&lt;10,"Late Morning",F297&lt;12,"Afternoon",F297&lt;16,"Afternoon",F297&lt;=18,"Early Evening",F297&lt;=20,"Evening",F297&lt;=22,"Late Evening",F297&lt;=23,"Night")</f>
        <v>Early Evening</v>
      </c>
      <c r="H297" s="2" t="b">
        <v>0</v>
      </c>
      <c r="I297" s="2">
        <v>4</v>
      </c>
      <c r="J297" s="2">
        <v>1</v>
      </c>
      <c r="K297" s="14">
        <v>0.2</v>
      </c>
      <c r="L297" s="4">
        <v>0.18179999999999999</v>
      </c>
      <c r="M297" s="4">
        <v>0.4</v>
      </c>
      <c r="N297" s="4">
        <v>0.32840000000000003</v>
      </c>
      <c r="O297" s="4">
        <v>3</v>
      </c>
      <c r="P297" s="4">
        <v>141</v>
      </c>
      <c r="Q297" s="8">
        <v>144</v>
      </c>
    </row>
    <row r="298" spans="1:17" x14ac:dyDescent="0.25">
      <c r="A298" s="7">
        <v>297</v>
      </c>
      <c r="B298" s="3">
        <v>40556</v>
      </c>
      <c r="C298" s="2">
        <v>1</v>
      </c>
      <c r="D298" s="2">
        <v>0</v>
      </c>
      <c r="E298" s="2">
        <v>1</v>
      </c>
      <c r="F298" s="2">
        <v>19</v>
      </c>
      <c r="G298" s="2" t="str" cm="1">
        <f t="array" ref="G298">_xlfn.IFS(F298&lt;3,"Night",F298&lt;=6,"Early Morning",F298&lt;8,"Morning",F298&lt;10,"Late Morning",F298&lt;12,"Afternoon",F298&lt;16,"Afternoon",F298&lt;=18,"Early Evening",F298&lt;=20,"Evening",F298&lt;=22,"Late Evening",F298&lt;=23,"Night")</f>
        <v>Evening</v>
      </c>
      <c r="H298" s="2" t="b">
        <v>0</v>
      </c>
      <c r="I298" s="2">
        <v>4</v>
      </c>
      <c r="J298" s="2">
        <v>1</v>
      </c>
      <c r="K298" s="14">
        <v>0.16</v>
      </c>
      <c r="L298" s="4">
        <v>0.1515</v>
      </c>
      <c r="M298" s="4">
        <v>0.47</v>
      </c>
      <c r="N298" s="4">
        <v>0.25369999999999998</v>
      </c>
      <c r="O298" s="4">
        <v>1</v>
      </c>
      <c r="P298" s="4">
        <v>98</v>
      </c>
      <c r="Q298" s="8">
        <v>99</v>
      </c>
    </row>
    <row r="299" spans="1:17" x14ac:dyDescent="0.25">
      <c r="A299" s="7">
        <v>298</v>
      </c>
      <c r="B299" s="3">
        <v>40556</v>
      </c>
      <c r="C299" s="2">
        <v>1</v>
      </c>
      <c r="D299" s="2">
        <v>0</v>
      </c>
      <c r="E299" s="2">
        <v>1</v>
      </c>
      <c r="F299" s="2">
        <v>20</v>
      </c>
      <c r="G299" s="2" t="str" cm="1">
        <f t="array" ref="G299">_xlfn.IFS(F299&lt;3,"Night",F299&lt;=6,"Early Morning",F299&lt;8,"Morning",F299&lt;10,"Late Morning",F299&lt;12,"Afternoon",F299&lt;16,"Afternoon",F299&lt;=18,"Early Evening",F299&lt;=20,"Evening",F299&lt;=22,"Late Evening",F299&lt;=23,"Night")</f>
        <v>Evening</v>
      </c>
      <c r="H299" s="2" t="b">
        <v>0</v>
      </c>
      <c r="I299" s="2">
        <v>4</v>
      </c>
      <c r="J299" s="2">
        <v>1</v>
      </c>
      <c r="K299" s="14">
        <v>0.16</v>
      </c>
      <c r="L299" s="4">
        <v>0.1515</v>
      </c>
      <c r="M299" s="4">
        <v>0.47</v>
      </c>
      <c r="N299" s="4">
        <v>0.22389999999999999</v>
      </c>
      <c r="O299" s="4">
        <v>0</v>
      </c>
      <c r="P299" s="4">
        <v>64</v>
      </c>
      <c r="Q299" s="8">
        <v>64</v>
      </c>
    </row>
    <row r="300" spans="1:17" x14ac:dyDescent="0.25">
      <c r="A300" s="7">
        <v>299</v>
      </c>
      <c r="B300" s="3">
        <v>40556</v>
      </c>
      <c r="C300" s="2">
        <v>1</v>
      </c>
      <c r="D300" s="2">
        <v>0</v>
      </c>
      <c r="E300" s="2">
        <v>1</v>
      </c>
      <c r="F300" s="2">
        <v>21</v>
      </c>
      <c r="G300" s="2" t="str" cm="1">
        <f t="array" ref="G300">_xlfn.IFS(F300&lt;3,"Night",F300&lt;=6,"Early Morning",F300&lt;8,"Morning",F300&lt;10,"Late Morning",F300&lt;12,"Afternoon",F300&lt;16,"Afternoon",F300&lt;=18,"Early Evening",F300&lt;=20,"Evening",F300&lt;=22,"Late Evening",F300&lt;=23,"Night")</f>
        <v>Late Evening</v>
      </c>
      <c r="H300" s="2" t="b">
        <v>0</v>
      </c>
      <c r="I300" s="2">
        <v>4</v>
      </c>
      <c r="J300" s="2">
        <v>1</v>
      </c>
      <c r="K300" s="14">
        <v>0.14000000000000001</v>
      </c>
      <c r="L300" s="4">
        <v>0.1212</v>
      </c>
      <c r="M300" s="4">
        <v>0.46</v>
      </c>
      <c r="N300" s="4">
        <v>0.29849999999999999</v>
      </c>
      <c r="O300" s="4">
        <v>0</v>
      </c>
      <c r="P300" s="4">
        <v>40</v>
      </c>
      <c r="Q300" s="8">
        <v>40</v>
      </c>
    </row>
    <row r="301" spans="1:17" x14ac:dyDescent="0.25">
      <c r="A301" s="7">
        <v>300</v>
      </c>
      <c r="B301" s="3">
        <v>40556</v>
      </c>
      <c r="C301" s="2">
        <v>1</v>
      </c>
      <c r="D301" s="2">
        <v>0</v>
      </c>
      <c r="E301" s="2">
        <v>1</v>
      </c>
      <c r="F301" s="2">
        <v>22</v>
      </c>
      <c r="G301" s="2" t="str" cm="1">
        <f t="array" ref="G301">_xlfn.IFS(F301&lt;3,"Night",F301&lt;=6,"Early Morning",F301&lt;8,"Morning",F301&lt;10,"Late Morning",F301&lt;12,"Afternoon",F301&lt;16,"Afternoon",F301&lt;=18,"Early Evening",F301&lt;=20,"Evening",F301&lt;=22,"Late Evening",F301&lt;=23,"Night")</f>
        <v>Late Evening</v>
      </c>
      <c r="H301" s="2" t="b">
        <v>0</v>
      </c>
      <c r="I301" s="2">
        <v>4</v>
      </c>
      <c r="J301" s="2">
        <v>1</v>
      </c>
      <c r="K301" s="14">
        <v>0.14000000000000001</v>
      </c>
      <c r="L301" s="4">
        <v>0.1212</v>
      </c>
      <c r="M301" s="4">
        <v>0.46</v>
      </c>
      <c r="N301" s="4">
        <v>0.32840000000000003</v>
      </c>
      <c r="O301" s="4">
        <v>0</v>
      </c>
      <c r="P301" s="4">
        <v>30</v>
      </c>
      <c r="Q301" s="8">
        <v>30</v>
      </c>
    </row>
    <row r="302" spans="1:17" x14ac:dyDescent="0.25">
      <c r="A302" s="7">
        <v>301</v>
      </c>
      <c r="B302" s="3">
        <v>40556</v>
      </c>
      <c r="C302" s="2">
        <v>1</v>
      </c>
      <c r="D302" s="2">
        <v>0</v>
      </c>
      <c r="E302" s="2">
        <v>1</v>
      </c>
      <c r="F302" s="2">
        <v>23</v>
      </c>
      <c r="G302" s="2" t="str" cm="1">
        <f t="array" ref="G302">_xlfn.IFS(F302&lt;3,"Night",F302&lt;=6,"Early Morning",F302&lt;8,"Morning",F302&lt;10,"Late Morning",F302&lt;12,"Afternoon",F302&lt;16,"Afternoon",F302&lt;=18,"Early Evening",F302&lt;=20,"Evening",F302&lt;=22,"Late Evening",F302&lt;=23,"Night")</f>
        <v>Night</v>
      </c>
      <c r="H302" s="2" t="b">
        <v>0</v>
      </c>
      <c r="I302" s="2">
        <v>4</v>
      </c>
      <c r="J302" s="2">
        <v>1</v>
      </c>
      <c r="K302" s="14">
        <v>0.12</v>
      </c>
      <c r="L302" s="4">
        <v>0.13639999999999999</v>
      </c>
      <c r="M302" s="4">
        <v>0.5</v>
      </c>
      <c r="N302" s="4">
        <v>0.19400000000000001</v>
      </c>
      <c r="O302" s="4">
        <v>1</v>
      </c>
      <c r="P302" s="4">
        <v>14</v>
      </c>
      <c r="Q302" s="8">
        <v>15</v>
      </c>
    </row>
    <row r="303" spans="1:17" x14ac:dyDescent="0.25">
      <c r="A303" s="7">
        <v>302</v>
      </c>
      <c r="B303" s="3">
        <v>40557</v>
      </c>
      <c r="C303" s="2">
        <v>1</v>
      </c>
      <c r="D303" s="2">
        <v>0</v>
      </c>
      <c r="E303" s="2">
        <v>1</v>
      </c>
      <c r="F303" s="2">
        <v>0</v>
      </c>
      <c r="G303" s="2" t="str" cm="1">
        <f t="array" ref="G303">_xlfn.IFS(F303&lt;3,"Night",F303&lt;=6,"Early Morning",F303&lt;8,"Morning",F303&lt;10,"Late Morning",F303&lt;12,"Afternoon",F303&lt;16,"Afternoon",F303&lt;=18,"Early Evening",F303&lt;=20,"Evening",F303&lt;=22,"Late Evening",F303&lt;=23,"Night")</f>
        <v>Night</v>
      </c>
      <c r="H303" s="2" t="b">
        <v>0</v>
      </c>
      <c r="I303" s="2">
        <v>5</v>
      </c>
      <c r="J303" s="2">
        <v>1</v>
      </c>
      <c r="K303" s="14">
        <v>0.12</v>
      </c>
      <c r="L303" s="4">
        <v>0.13639999999999999</v>
      </c>
      <c r="M303" s="4">
        <v>0.5</v>
      </c>
      <c r="N303" s="4">
        <v>0.19400000000000001</v>
      </c>
      <c r="O303" s="4">
        <v>0</v>
      </c>
      <c r="P303" s="4">
        <v>14</v>
      </c>
      <c r="Q303" s="8">
        <v>14</v>
      </c>
    </row>
    <row r="304" spans="1:17" x14ac:dyDescent="0.25">
      <c r="A304" s="7">
        <v>303</v>
      </c>
      <c r="B304" s="3">
        <v>40557</v>
      </c>
      <c r="C304" s="2">
        <v>1</v>
      </c>
      <c r="D304" s="2">
        <v>0</v>
      </c>
      <c r="E304" s="2">
        <v>1</v>
      </c>
      <c r="F304" s="2">
        <v>1</v>
      </c>
      <c r="G304" s="2" t="str" cm="1">
        <f t="array" ref="G304">_xlfn.IFS(F304&lt;3,"Night",F304&lt;=6,"Early Morning",F304&lt;8,"Morning",F304&lt;10,"Late Morning",F304&lt;12,"Afternoon",F304&lt;16,"Afternoon",F304&lt;=18,"Early Evening",F304&lt;=20,"Evening",F304&lt;=22,"Late Evening",F304&lt;=23,"Night")</f>
        <v>Night</v>
      </c>
      <c r="H304" s="2" t="b">
        <v>0</v>
      </c>
      <c r="I304" s="2">
        <v>5</v>
      </c>
      <c r="J304" s="2">
        <v>1</v>
      </c>
      <c r="K304" s="14">
        <v>0.1</v>
      </c>
      <c r="L304" s="4">
        <v>0.1212</v>
      </c>
      <c r="M304" s="4">
        <v>0.54</v>
      </c>
      <c r="N304" s="4">
        <v>0.16420000000000001</v>
      </c>
      <c r="O304" s="4">
        <v>0</v>
      </c>
      <c r="P304" s="4">
        <v>5</v>
      </c>
      <c r="Q304" s="8">
        <v>5</v>
      </c>
    </row>
    <row r="305" spans="1:17" x14ac:dyDescent="0.25">
      <c r="A305" s="7">
        <v>304</v>
      </c>
      <c r="B305" s="3">
        <v>40557</v>
      </c>
      <c r="C305" s="2">
        <v>1</v>
      </c>
      <c r="D305" s="2">
        <v>0</v>
      </c>
      <c r="E305" s="2">
        <v>1</v>
      </c>
      <c r="F305" s="2">
        <v>2</v>
      </c>
      <c r="G305" s="2" t="str" cm="1">
        <f t="array" ref="G305">_xlfn.IFS(F305&lt;3,"Night",F305&lt;=6,"Early Morning",F305&lt;8,"Morning",F305&lt;10,"Late Morning",F305&lt;12,"Afternoon",F305&lt;16,"Afternoon",F305&lt;=18,"Early Evening",F305&lt;=20,"Evening",F305&lt;=22,"Late Evening",F305&lt;=23,"Night")</f>
        <v>Night</v>
      </c>
      <c r="H305" s="2" t="b">
        <v>0</v>
      </c>
      <c r="I305" s="2">
        <v>5</v>
      </c>
      <c r="J305" s="2">
        <v>1</v>
      </c>
      <c r="K305" s="14">
        <v>0.1</v>
      </c>
      <c r="L305" s="4">
        <v>0.1212</v>
      </c>
      <c r="M305" s="4">
        <v>0.54</v>
      </c>
      <c r="N305" s="4">
        <v>0.1343</v>
      </c>
      <c r="O305" s="4">
        <v>0</v>
      </c>
      <c r="P305" s="4">
        <v>1</v>
      </c>
      <c r="Q305" s="8">
        <v>1</v>
      </c>
    </row>
    <row r="306" spans="1:17" x14ac:dyDescent="0.25">
      <c r="A306" s="7">
        <v>305</v>
      </c>
      <c r="B306" s="3">
        <v>40557</v>
      </c>
      <c r="C306" s="2">
        <v>1</v>
      </c>
      <c r="D306" s="2">
        <v>0</v>
      </c>
      <c r="E306" s="2">
        <v>1</v>
      </c>
      <c r="F306" s="2">
        <v>3</v>
      </c>
      <c r="G306" s="2" t="str" cm="1">
        <f t="array" ref="G306">_xlfn.IFS(F306&lt;3,"Night",F306&lt;=6,"Early Morning",F306&lt;8,"Morning",F306&lt;10,"Late Morning",F306&lt;12,"Afternoon",F306&lt;16,"Afternoon",F306&lt;=18,"Early Evening",F306&lt;=20,"Evening",F306&lt;=22,"Late Evening",F306&lt;=23,"Night")</f>
        <v>Early Morning</v>
      </c>
      <c r="H306" s="2" t="b">
        <v>0</v>
      </c>
      <c r="I306" s="2">
        <v>5</v>
      </c>
      <c r="J306" s="2">
        <v>1</v>
      </c>
      <c r="K306" s="14">
        <v>0.1</v>
      </c>
      <c r="L306" s="4">
        <v>0.13639999999999999</v>
      </c>
      <c r="M306" s="4">
        <v>0.54</v>
      </c>
      <c r="N306" s="4">
        <v>0.1045</v>
      </c>
      <c r="O306" s="4">
        <v>0</v>
      </c>
      <c r="P306" s="4">
        <v>1</v>
      </c>
      <c r="Q306" s="8">
        <v>1</v>
      </c>
    </row>
    <row r="307" spans="1:17" x14ac:dyDescent="0.25">
      <c r="A307" s="7">
        <v>306</v>
      </c>
      <c r="B307" s="3">
        <v>40557</v>
      </c>
      <c r="C307" s="2">
        <v>1</v>
      </c>
      <c r="D307" s="2">
        <v>0</v>
      </c>
      <c r="E307" s="2">
        <v>1</v>
      </c>
      <c r="F307" s="2">
        <v>5</v>
      </c>
      <c r="G307" s="2" t="str" cm="1">
        <f t="array" ref="G307">_xlfn.IFS(F307&lt;3,"Night",F307&lt;=6,"Early Morning",F307&lt;8,"Morning",F307&lt;10,"Late Morning",F307&lt;12,"Afternoon",F307&lt;16,"Afternoon",F307&lt;=18,"Early Evening",F307&lt;=20,"Evening",F307&lt;=22,"Late Evening",F307&lt;=23,"Night")</f>
        <v>Early Morning</v>
      </c>
      <c r="H307" s="2" t="b">
        <v>0</v>
      </c>
      <c r="I307" s="2">
        <v>5</v>
      </c>
      <c r="J307" s="2">
        <v>1</v>
      </c>
      <c r="K307" s="14">
        <v>0.1</v>
      </c>
      <c r="L307" s="4">
        <v>0.13639999999999999</v>
      </c>
      <c r="M307" s="4">
        <v>0.54</v>
      </c>
      <c r="N307" s="4">
        <v>8.9599999999999999E-2</v>
      </c>
      <c r="O307" s="4">
        <v>0</v>
      </c>
      <c r="P307" s="4">
        <v>8</v>
      </c>
      <c r="Q307" s="8">
        <v>8</v>
      </c>
    </row>
    <row r="308" spans="1:17" x14ac:dyDescent="0.25">
      <c r="A308" s="7">
        <v>307</v>
      </c>
      <c r="B308" s="3">
        <v>40557</v>
      </c>
      <c r="C308" s="2">
        <v>1</v>
      </c>
      <c r="D308" s="2">
        <v>0</v>
      </c>
      <c r="E308" s="2">
        <v>1</v>
      </c>
      <c r="F308" s="2">
        <v>6</v>
      </c>
      <c r="G308" s="2" t="str" cm="1">
        <f t="array" ref="G308">_xlfn.IFS(F308&lt;3,"Night",F308&lt;=6,"Early Morning",F308&lt;8,"Morning",F308&lt;10,"Late Morning",F308&lt;12,"Afternoon",F308&lt;16,"Afternoon",F308&lt;=18,"Early Evening",F308&lt;=20,"Evening",F308&lt;=22,"Late Evening",F308&lt;=23,"Night")</f>
        <v>Early Morning</v>
      </c>
      <c r="H308" s="2" t="b">
        <v>0</v>
      </c>
      <c r="I308" s="2">
        <v>5</v>
      </c>
      <c r="J308" s="2">
        <v>1</v>
      </c>
      <c r="K308" s="14">
        <v>0.1</v>
      </c>
      <c r="L308" s="4">
        <v>0.18179999999999999</v>
      </c>
      <c r="M308" s="4">
        <v>0.54</v>
      </c>
      <c r="N308" s="4">
        <v>0</v>
      </c>
      <c r="O308" s="4">
        <v>0</v>
      </c>
      <c r="P308" s="4">
        <v>17</v>
      </c>
      <c r="Q308" s="8">
        <v>17</v>
      </c>
    </row>
    <row r="309" spans="1:17" x14ac:dyDescent="0.25">
      <c r="A309" s="7">
        <v>308</v>
      </c>
      <c r="B309" s="3">
        <v>40557</v>
      </c>
      <c r="C309" s="2">
        <v>1</v>
      </c>
      <c r="D309" s="2">
        <v>0</v>
      </c>
      <c r="E309" s="2">
        <v>1</v>
      </c>
      <c r="F309" s="2">
        <v>7</v>
      </c>
      <c r="G309" s="2" t="str" cm="1">
        <f t="array" ref="G309">_xlfn.IFS(F309&lt;3,"Night",F309&lt;=6,"Early Morning",F309&lt;8,"Morning",F309&lt;10,"Late Morning",F309&lt;12,"Afternoon",F309&lt;16,"Afternoon",F309&lt;=18,"Early Evening",F309&lt;=20,"Evening",F309&lt;=22,"Late Evening",F309&lt;=23,"Night")</f>
        <v>Morning</v>
      </c>
      <c r="H309" s="2" t="b">
        <v>0</v>
      </c>
      <c r="I309" s="2">
        <v>5</v>
      </c>
      <c r="J309" s="2">
        <v>1</v>
      </c>
      <c r="K309" s="14">
        <v>0.1</v>
      </c>
      <c r="L309" s="4">
        <v>0.1212</v>
      </c>
      <c r="M309" s="4">
        <v>0.74</v>
      </c>
      <c r="N309" s="4">
        <v>0.16420000000000001</v>
      </c>
      <c r="O309" s="4">
        <v>0</v>
      </c>
      <c r="P309" s="4">
        <v>70</v>
      </c>
      <c r="Q309" s="8">
        <v>70</v>
      </c>
    </row>
    <row r="310" spans="1:17" x14ac:dyDescent="0.25">
      <c r="A310" s="7">
        <v>309</v>
      </c>
      <c r="B310" s="3">
        <v>40557</v>
      </c>
      <c r="C310" s="2">
        <v>1</v>
      </c>
      <c r="D310" s="2">
        <v>0</v>
      </c>
      <c r="E310" s="2">
        <v>1</v>
      </c>
      <c r="F310" s="2">
        <v>8</v>
      </c>
      <c r="G310" s="2" t="str" cm="1">
        <f t="array" ref="G310">_xlfn.IFS(F310&lt;3,"Night",F310&lt;=6,"Early Morning",F310&lt;8,"Morning",F310&lt;10,"Late Morning",F310&lt;12,"Afternoon",F310&lt;16,"Afternoon",F310&lt;=18,"Early Evening",F310&lt;=20,"Evening",F310&lt;=22,"Late Evening",F310&lt;=23,"Night")</f>
        <v>Late Morning</v>
      </c>
      <c r="H310" s="2" t="b">
        <v>0</v>
      </c>
      <c r="I310" s="2">
        <v>5</v>
      </c>
      <c r="J310" s="2">
        <v>1</v>
      </c>
      <c r="K310" s="14">
        <v>0.12</v>
      </c>
      <c r="L310" s="4">
        <v>0.16669999999999999</v>
      </c>
      <c r="M310" s="4">
        <v>0.68</v>
      </c>
      <c r="N310" s="4">
        <v>0</v>
      </c>
      <c r="O310" s="4">
        <v>2</v>
      </c>
      <c r="P310" s="4">
        <v>156</v>
      </c>
      <c r="Q310" s="8">
        <v>158</v>
      </c>
    </row>
    <row r="311" spans="1:17" x14ac:dyDescent="0.25">
      <c r="A311" s="7">
        <v>310</v>
      </c>
      <c r="B311" s="3">
        <v>40557</v>
      </c>
      <c r="C311" s="2">
        <v>1</v>
      </c>
      <c r="D311" s="2">
        <v>0</v>
      </c>
      <c r="E311" s="2">
        <v>1</v>
      </c>
      <c r="F311" s="2">
        <v>9</v>
      </c>
      <c r="G311" s="2" t="str" cm="1">
        <f t="array" ref="G311">_xlfn.IFS(F311&lt;3,"Night",F311&lt;=6,"Early Morning",F311&lt;8,"Morning",F311&lt;10,"Late Morning",F311&lt;12,"Afternoon",F311&lt;16,"Afternoon",F311&lt;=18,"Early Evening",F311&lt;=20,"Evening",F311&lt;=22,"Late Evening",F311&lt;=23,"Night")</f>
        <v>Late Morning</v>
      </c>
      <c r="H311" s="2" t="b">
        <v>0</v>
      </c>
      <c r="I311" s="2">
        <v>5</v>
      </c>
      <c r="J311" s="2">
        <v>1</v>
      </c>
      <c r="K311" s="14">
        <v>0.14000000000000001</v>
      </c>
      <c r="L311" s="4">
        <v>0.1515</v>
      </c>
      <c r="M311" s="4">
        <v>0.69</v>
      </c>
      <c r="N311" s="4">
        <v>0.1343</v>
      </c>
      <c r="O311" s="4">
        <v>0</v>
      </c>
      <c r="P311" s="4">
        <v>117</v>
      </c>
      <c r="Q311" s="8">
        <v>117</v>
      </c>
    </row>
    <row r="312" spans="1:17" x14ac:dyDescent="0.25">
      <c r="A312" s="7">
        <v>311</v>
      </c>
      <c r="B312" s="3">
        <v>40557</v>
      </c>
      <c r="C312" s="2">
        <v>1</v>
      </c>
      <c r="D312" s="2">
        <v>0</v>
      </c>
      <c r="E312" s="2">
        <v>1</v>
      </c>
      <c r="F312" s="2">
        <v>10</v>
      </c>
      <c r="G312" s="2" t="str" cm="1">
        <f t="array" ref="G312">_xlfn.IFS(F312&lt;3,"Night",F312&lt;=6,"Early Morning",F312&lt;8,"Morning",F312&lt;10,"Late Morning",F312&lt;12,"Afternoon",F312&lt;16,"Afternoon",F312&lt;=18,"Early Evening",F312&lt;=20,"Evening",F312&lt;=22,"Late Evening",F312&lt;=23,"Night")</f>
        <v>Afternoon</v>
      </c>
      <c r="H312" s="2" t="b">
        <v>0</v>
      </c>
      <c r="I312" s="2">
        <v>5</v>
      </c>
      <c r="J312" s="2">
        <v>1</v>
      </c>
      <c r="K312" s="14">
        <v>0.18</v>
      </c>
      <c r="L312" s="4">
        <v>0.18179999999999999</v>
      </c>
      <c r="M312" s="4">
        <v>0.55000000000000004</v>
      </c>
      <c r="N312" s="4">
        <v>0.19400000000000001</v>
      </c>
      <c r="O312" s="4">
        <v>4</v>
      </c>
      <c r="P312" s="4">
        <v>40</v>
      </c>
      <c r="Q312" s="8">
        <v>44</v>
      </c>
    </row>
    <row r="313" spans="1:17" x14ac:dyDescent="0.25">
      <c r="A313" s="7">
        <v>312</v>
      </c>
      <c r="B313" s="3">
        <v>40557</v>
      </c>
      <c r="C313" s="2">
        <v>1</v>
      </c>
      <c r="D313" s="2">
        <v>0</v>
      </c>
      <c r="E313" s="2">
        <v>1</v>
      </c>
      <c r="F313" s="2">
        <v>11</v>
      </c>
      <c r="G313" s="2" t="str" cm="1">
        <f t="array" ref="G313">_xlfn.IFS(F313&lt;3,"Night",F313&lt;=6,"Early Morning",F313&lt;8,"Morning",F313&lt;10,"Late Morning",F313&lt;12,"Afternoon",F313&lt;16,"Afternoon",F313&lt;=18,"Early Evening",F313&lt;=20,"Evening",F313&lt;=22,"Late Evening",F313&lt;=23,"Night")</f>
        <v>Afternoon</v>
      </c>
      <c r="H313" s="2" t="b">
        <v>0</v>
      </c>
      <c r="I313" s="2">
        <v>5</v>
      </c>
      <c r="J313" s="2">
        <v>1</v>
      </c>
      <c r="K313" s="14">
        <v>0.18</v>
      </c>
      <c r="L313" s="4">
        <v>0.16669999999999999</v>
      </c>
      <c r="M313" s="4">
        <v>0.51</v>
      </c>
      <c r="N313" s="4">
        <v>0.28360000000000002</v>
      </c>
      <c r="O313" s="4">
        <v>6</v>
      </c>
      <c r="P313" s="4">
        <v>47</v>
      </c>
      <c r="Q313" s="8">
        <v>53</v>
      </c>
    </row>
    <row r="314" spans="1:17" x14ac:dyDescent="0.25">
      <c r="A314" s="7">
        <v>313</v>
      </c>
      <c r="B314" s="3">
        <v>40557</v>
      </c>
      <c r="C314" s="2">
        <v>1</v>
      </c>
      <c r="D314" s="2">
        <v>0</v>
      </c>
      <c r="E314" s="2">
        <v>1</v>
      </c>
      <c r="F314" s="2">
        <v>12</v>
      </c>
      <c r="G314" s="2" t="str" cm="1">
        <f t="array" ref="G314">_xlfn.IFS(F314&lt;3,"Night",F314&lt;=6,"Early Morning",F314&lt;8,"Morning",F314&lt;10,"Late Morning",F314&lt;12,"Afternoon",F314&lt;16,"Afternoon",F314&lt;=18,"Early Evening",F314&lt;=20,"Evening",F314&lt;=22,"Late Evening",F314&lt;=23,"Night")</f>
        <v>Afternoon</v>
      </c>
      <c r="H314" s="2" t="b">
        <v>0</v>
      </c>
      <c r="I314" s="2">
        <v>5</v>
      </c>
      <c r="J314" s="2">
        <v>1</v>
      </c>
      <c r="K314" s="14">
        <v>0.2</v>
      </c>
      <c r="L314" s="4">
        <v>0.19700000000000001</v>
      </c>
      <c r="M314" s="4">
        <v>0.44</v>
      </c>
      <c r="N314" s="4">
        <v>0.25369999999999998</v>
      </c>
      <c r="O314" s="4">
        <v>2</v>
      </c>
      <c r="P314" s="4">
        <v>59</v>
      </c>
      <c r="Q314" s="8">
        <v>61</v>
      </c>
    </row>
    <row r="315" spans="1:17" x14ac:dyDescent="0.25">
      <c r="A315" s="7">
        <v>314</v>
      </c>
      <c r="B315" s="3">
        <v>40557</v>
      </c>
      <c r="C315" s="2">
        <v>1</v>
      </c>
      <c r="D315" s="2">
        <v>0</v>
      </c>
      <c r="E315" s="2">
        <v>1</v>
      </c>
      <c r="F315" s="2">
        <v>13</v>
      </c>
      <c r="G315" s="2" t="str" cm="1">
        <f t="array" ref="G315">_xlfn.IFS(F315&lt;3,"Night",F315&lt;=6,"Early Morning",F315&lt;8,"Morning",F315&lt;10,"Late Morning",F315&lt;12,"Afternoon",F315&lt;16,"Afternoon",F315&lt;=18,"Early Evening",F315&lt;=20,"Evening",F315&lt;=22,"Late Evening",F315&lt;=23,"Night")</f>
        <v>Afternoon</v>
      </c>
      <c r="H315" s="2" t="b">
        <v>0</v>
      </c>
      <c r="I315" s="2">
        <v>5</v>
      </c>
      <c r="J315" s="2">
        <v>1</v>
      </c>
      <c r="K315" s="14">
        <v>0.22</v>
      </c>
      <c r="L315" s="4">
        <v>0.19700000000000001</v>
      </c>
      <c r="M315" s="4">
        <v>0.37</v>
      </c>
      <c r="N315" s="4">
        <v>0.3881</v>
      </c>
      <c r="O315" s="4">
        <v>4</v>
      </c>
      <c r="P315" s="4">
        <v>73</v>
      </c>
      <c r="Q315" s="8">
        <v>77</v>
      </c>
    </row>
    <row r="316" spans="1:17" x14ac:dyDescent="0.25">
      <c r="A316" s="7">
        <v>315</v>
      </c>
      <c r="B316" s="3">
        <v>40557</v>
      </c>
      <c r="C316" s="2">
        <v>1</v>
      </c>
      <c r="D316" s="2">
        <v>0</v>
      </c>
      <c r="E316" s="2">
        <v>1</v>
      </c>
      <c r="F316" s="2">
        <v>14</v>
      </c>
      <c r="G316" s="2" t="str" cm="1">
        <f t="array" ref="G316">_xlfn.IFS(F316&lt;3,"Night",F316&lt;=6,"Early Morning",F316&lt;8,"Morning",F316&lt;10,"Late Morning",F316&lt;12,"Afternoon",F316&lt;16,"Afternoon",F316&lt;=18,"Early Evening",F316&lt;=20,"Evening",F316&lt;=22,"Late Evening",F316&lt;=23,"Night")</f>
        <v>Afternoon</v>
      </c>
      <c r="H316" s="2" t="b">
        <v>0</v>
      </c>
      <c r="I316" s="2">
        <v>5</v>
      </c>
      <c r="J316" s="2">
        <v>1</v>
      </c>
      <c r="K316" s="14">
        <v>0.22</v>
      </c>
      <c r="L316" s="4">
        <v>0.21210000000000001</v>
      </c>
      <c r="M316" s="4">
        <v>0.41</v>
      </c>
      <c r="N316" s="4">
        <v>0.28360000000000002</v>
      </c>
      <c r="O316" s="4">
        <v>5</v>
      </c>
      <c r="P316" s="4">
        <v>59</v>
      </c>
      <c r="Q316" s="8">
        <v>64</v>
      </c>
    </row>
    <row r="317" spans="1:17" x14ac:dyDescent="0.25">
      <c r="A317" s="7">
        <v>316</v>
      </c>
      <c r="B317" s="3">
        <v>40557</v>
      </c>
      <c r="C317" s="2">
        <v>1</v>
      </c>
      <c r="D317" s="2">
        <v>0</v>
      </c>
      <c r="E317" s="2">
        <v>1</v>
      </c>
      <c r="F317" s="2">
        <v>15</v>
      </c>
      <c r="G317" s="2" t="str" cm="1">
        <f t="array" ref="G317">_xlfn.IFS(F317&lt;3,"Night",F317&lt;=6,"Early Morning",F317&lt;8,"Morning",F317&lt;10,"Late Morning",F317&lt;12,"Afternoon",F317&lt;16,"Afternoon",F317&lt;=18,"Early Evening",F317&lt;=20,"Evening",F317&lt;=22,"Late Evening",F317&lt;=23,"Night")</f>
        <v>Afternoon</v>
      </c>
      <c r="H317" s="2" t="b">
        <v>0</v>
      </c>
      <c r="I317" s="2">
        <v>5</v>
      </c>
      <c r="J317" s="2">
        <v>1</v>
      </c>
      <c r="K317" s="14">
        <v>0.24</v>
      </c>
      <c r="L317" s="4">
        <v>0.2424</v>
      </c>
      <c r="M317" s="4">
        <v>0.38</v>
      </c>
      <c r="N317" s="4">
        <v>0.16420000000000001</v>
      </c>
      <c r="O317" s="4">
        <v>9</v>
      </c>
      <c r="P317" s="4">
        <v>59</v>
      </c>
      <c r="Q317" s="8">
        <v>68</v>
      </c>
    </row>
    <row r="318" spans="1:17" x14ac:dyDescent="0.25">
      <c r="A318" s="7">
        <v>317</v>
      </c>
      <c r="B318" s="3">
        <v>40557</v>
      </c>
      <c r="C318" s="2">
        <v>1</v>
      </c>
      <c r="D318" s="2">
        <v>0</v>
      </c>
      <c r="E318" s="2">
        <v>1</v>
      </c>
      <c r="F318" s="2">
        <v>16</v>
      </c>
      <c r="G318" s="2" t="str" cm="1">
        <f t="array" ref="G318">_xlfn.IFS(F318&lt;3,"Night",F318&lt;=6,"Early Morning",F318&lt;8,"Morning",F318&lt;10,"Late Morning",F318&lt;12,"Afternoon",F318&lt;16,"Afternoon",F318&lt;=18,"Early Evening",F318&lt;=20,"Evening",F318&lt;=22,"Late Evening",F318&lt;=23,"Night")</f>
        <v>Early Evening</v>
      </c>
      <c r="H318" s="2" t="b">
        <v>0</v>
      </c>
      <c r="I318" s="2">
        <v>5</v>
      </c>
      <c r="J318" s="2">
        <v>1</v>
      </c>
      <c r="K318" s="14">
        <v>0.22</v>
      </c>
      <c r="L318" s="4">
        <v>0.2424</v>
      </c>
      <c r="M318" s="4">
        <v>0.41</v>
      </c>
      <c r="N318" s="4">
        <v>0.1045</v>
      </c>
      <c r="O318" s="4">
        <v>3</v>
      </c>
      <c r="P318" s="4">
        <v>87</v>
      </c>
      <c r="Q318" s="8">
        <v>90</v>
      </c>
    </row>
    <row r="319" spans="1:17" x14ac:dyDescent="0.25">
      <c r="A319" s="7">
        <v>318</v>
      </c>
      <c r="B319" s="3">
        <v>40557</v>
      </c>
      <c r="C319" s="2">
        <v>1</v>
      </c>
      <c r="D319" s="2">
        <v>0</v>
      </c>
      <c r="E319" s="2">
        <v>1</v>
      </c>
      <c r="F319" s="2">
        <v>17</v>
      </c>
      <c r="G319" s="2" t="str" cm="1">
        <f t="array" ref="G319">_xlfn.IFS(F319&lt;3,"Night",F319&lt;=6,"Early Morning",F319&lt;8,"Morning",F319&lt;10,"Late Morning",F319&lt;12,"Afternoon",F319&lt;16,"Afternoon",F319&lt;=18,"Early Evening",F319&lt;=20,"Evening",F319&lt;=22,"Late Evening",F319&lt;=23,"Night")</f>
        <v>Early Evening</v>
      </c>
      <c r="H319" s="2" t="b">
        <v>0</v>
      </c>
      <c r="I319" s="2">
        <v>5</v>
      </c>
      <c r="J319" s="2">
        <v>1</v>
      </c>
      <c r="K319" s="14">
        <v>0.22</v>
      </c>
      <c r="L319" s="4">
        <v>0.2273</v>
      </c>
      <c r="M319" s="4">
        <v>0.41</v>
      </c>
      <c r="N319" s="4">
        <v>0.16420000000000001</v>
      </c>
      <c r="O319" s="4">
        <v>4</v>
      </c>
      <c r="P319" s="4">
        <v>155</v>
      </c>
      <c r="Q319" s="8">
        <v>159</v>
      </c>
    </row>
    <row r="320" spans="1:17" x14ac:dyDescent="0.25">
      <c r="A320" s="7">
        <v>319</v>
      </c>
      <c r="B320" s="3">
        <v>40557</v>
      </c>
      <c r="C320" s="2">
        <v>1</v>
      </c>
      <c r="D320" s="2">
        <v>0</v>
      </c>
      <c r="E320" s="2">
        <v>1</v>
      </c>
      <c r="F320" s="2">
        <v>18</v>
      </c>
      <c r="G320" s="2" t="str" cm="1">
        <f t="array" ref="G320">_xlfn.IFS(F320&lt;3,"Night",F320&lt;=6,"Early Morning",F320&lt;8,"Morning",F320&lt;10,"Late Morning",F320&lt;12,"Afternoon",F320&lt;16,"Afternoon",F320&lt;=18,"Early Evening",F320&lt;=20,"Evening",F320&lt;=22,"Late Evening",F320&lt;=23,"Night")</f>
        <v>Early Evening</v>
      </c>
      <c r="H320" s="2" t="b">
        <v>0</v>
      </c>
      <c r="I320" s="2">
        <v>5</v>
      </c>
      <c r="J320" s="2">
        <v>1</v>
      </c>
      <c r="K320" s="14">
        <v>0.2</v>
      </c>
      <c r="L320" s="4">
        <v>0.2576</v>
      </c>
      <c r="M320" s="4">
        <v>0.47</v>
      </c>
      <c r="N320" s="4">
        <v>0</v>
      </c>
      <c r="O320" s="4">
        <v>5</v>
      </c>
      <c r="P320" s="4">
        <v>134</v>
      </c>
      <c r="Q320" s="8">
        <v>139</v>
      </c>
    </row>
    <row r="321" spans="1:17" x14ac:dyDescent="0.25">
      <c r="A321" s="7">
        <v>320</v>
      </c>
      <c r="B321" s="3">
        <v>40557</v>
      </c>
      <c r="C321" s="2">
        <v>1</v>
      </c>
      <c r="D321" s="2">
        <v>0</v>
      </c>
      <c r="E321" s="2">
        <v>1</v>
      </c>
      <c r="F321" s="2">
        <v>19</v>
      </c>
      <c r="G321" s="2" t="str" cm="1">
        <f t="array" ref="G321">_xlfn.IFS(F321&lt;3,"Night",F321&lt;=6,"Early Morning",F321&lt;8,"Morning",F321&lt;10,"Late Morning",F321&lt;12,"Afternoon",F321&lt;16,"Afternoon",F321&lt;=18,"Early Evening",F321&lt;=20,"Evening",F321&lt;=22,"Late Evening",F321&lt;=23,"Night")</f>
        <v>Evening</v>
      </c>
      <c r="H321" s="2" t="b">
        <v>0</v>
      </c>
      <c r="I321" s="2">
        <v>5</v>
      </c>
      <c r="J321" s="2">
        <v>1</v>
      </c>
      <c r="K321" s="14">
        <v>0.16</v>
      </c>
      <c r="L321" s="4">
        <v>0.19700000000000001</v>
      </c>
      <c r="M321" s="4">
        <v>0.59</v>
      </c>
      <c r="N321" s="4">
        <v>8.9599999999999999E-2</v>
      </c>
      <c r="O321" s="4">
        <v>3</v>
      </c>
      <c r="P321" s="4">
        <v>89</v>
      </c>
      <c r="Q321" s="8">
        <v>92</v>
      </c>
    </row>
    <row r="322" spans="1:17" x14ac:dyDescent="0.25">
      <c r="A322" s="7">
        <v>321</v>
      </c>
      <c r="B322" s="3">
        <v>40557</v>
      </c>
      <c r="C322" s="2">
        <v>1</v>
      </c>
      <c r="D322" s="2">
        <v>0</v>
      </c>
      <c r="E322" s="2">
        <v>1</v>
      </c>
      <c r="F322" s="2">
        <v>20</v>
      </c>
      <c r="G322" s="2" t="str" cm="1">
        <f t="array" ref="G322">_xlfn.IFS(F322&lt;3,"Night",F322&lt;=6,"Early Morning",F322&lt;8,"Morning",F322&lt;10,"Late Morning",F322&lt;12,"Afternoon",F322&lt;16,"Afternoon",F322&lt;=18,"Early Evening",F322&lt;=20,"Evening",F322&lt;=22,"Late Evening",F322&lt;=23,"Night")</f>
        <v>Evening</v>
      </c>
      <c r="H322" s="2" t="b">
        <v>0</v>
      </c>
      <c r="I322" s="2">
        <v>5</v>
      </c>
      <c r="J322" s="2">
        <v>1</v>
      </c>
      <c r="K322" s="14">
        <v>0.18</v>
      </c>
      <c r="L322" s="4">
        <v>0.2424</v>
      </c>
      <c r="M322" s="4">
        <v>0.59</v>
      </c>
      <c r="N322" s="4">
        <v>0</v>
      </c>
      <c r="O322" s="4">
        <v>0</v>
      </c>
      <c r="P322" s="4">
        <v>68</v>
      </c>
      <c r="Q322" s="8">
        <v>68</v>
      </c>
    </row>
    <row r="323" spans="1:17" x14ac:dyDescent="0.25">
      <c r="A323" s="7">
        <v>322</v>
      </c>
      <c r="B323" s="3">
        <v>40557</v>
      </c>
      <c r="C323" s="2">
        <v>1</v>
      </c>
      <c r="D323" s="2">
        <v>0</v>
      </c>
      <c r="E323" s="2">
        <v>1</v>
      </c>
      <c r="F323" s="2">
        <v>21</v>
      </c>
      <c r="G323" s="2" t="str" cm="1">
        <f t="array" ref="G323">_xlfn.IFS(F323&lt;3,"Night",F323&lt;=6,"Early Morning",F323&lt;8,"Morning",F323&lt;10,"Late Morning",F323&lt;12,"Afternoon",F323&lt;16,"Afternoon",F323&lt;=18,"Early Evening",F323&lt;=20,"Evening",F323&lt;=22,"Late Evening",F323&lt;=23,"Night")</f>
        <v>Late Evening</v>
      </c>
      <c r="H323" s="2" t="b">
        <v>0</v>
      </c>
      <c r="I323" s="2">
        <v>5</v>
      </c>
      <c r="J323" s="2">
        <v>1</v>
      </c>
      <c r="K323" s="14">
        <v>0.16</v>
      </c>
      <c r="L323" s="4">
        <v>0.2273</v>
      </c>
      <c r="M323" s="4">
        <v>0.69</v>
      </c>
      <c r="N323" s="4">
        <v>0</v>
      </c>
      <c r="O323" s="4">
        <v>4</v>
      </c>
      <c r="P323" s="4">
        <v>48</v>
      </c>
      <c r="Q323" s="8">
        <v>52</v>
      </c>
    </row>
    <row r="324" spans="1:17" x14ac:dyDescent="0.25">
      <c r="A324" s="7">
        <v>323</v>
      </c>
      <c r="B324" s="3">
        <v>40557</v>
      </c>
      <c r="C324" s="2">
        <v>1</v>
      </c>
      <c r="D324" s="2">
        <v>0</v>
      </c>
      <c r="E324" s="2">
        <v>1</v>
      </c>
      <c r="F324" s="2">
        <v>22</v>
      </c>
      <c r="G324" s="2" t="str" cm="1">
        <f t="array" ref="G324">_xlfn.IFS(F324&lt;3,"Night",F324&lt;=6,"Early Morning",F324&lt;8,"Morning",F324&lt;10,"Late Morning",F324&lt;12,"Afternoon",F324&lt;16,"Afternoon",F324&lt;=18,"Early Evening",F324&lt;=20,"Evening",F324&lt;=22,"Late Evening",F324&lt;=23,"Night")</f>
        <v>Late Evening</v>
      </c>
      <c r="H324" s="2" t="b">
        <v>0</v>
      </c>
      <c r="I324" s="2">
        <v>5</v>
      </c>
      <c r="J324" s="2">
        <v>2</v>
      </c>
      <c r="K324" s="14">
        <v>0.16</v>
      </c>
      <c r="L324" s="4">
        <v>0.2273</v>
      </c>
      <c r="M324" s="4">
        <v>0.69</v>
      </c>
      <c r="N324" s="4">
        <v>0</v>
      </c>
      <c r="O324" s="4">
        <v>2</v>
      </c>
      <c r="P324" s="4">
        <v>34</v>
      </c>
      <c r="Q324" s="8">
        <v>36</v>
      </c>
    </row>
    <row r="325" spans="1:17" x14ac:dyDescent="0.25">
      <c r="A325" s="7">
        <v>324</v>
      </c>
      <c r="B325" s="3">
        <v>40557</v>
      </c>
      <c r="C325" s="2">
        <v>1</v>
      </c>
      <c r="D325" s="2">
        <v>0</v>
      </c>
      <c r="E325" s="2">
        <v>1</v>
      </c>
      <c r="F325" s="2">
        <v>23</v>
      </c>
      <c r="G325" s="2" t="str" cm="1">
        <f t="array" ref="G325">_xlfn.IFS(F325&lt;3,"Night",F325&lt;=6,"Early Morning",F325&lt;8,"Morning",F325&lt;10,"Late Morning",F325&lt;12,"Afternoon",F325&lt;16,"Afternoon",F325&lt;=18,"Early Evening",F325&lt;=20,"Evening",F325&lt;=22,"Late Evening",F325&lt;=23,"Night")</f>
        <v>Night</v>
      </c>
      <c r="H325" s="2" t="b">
        <v>0</v>
      </c>
      <c r="I325" s="2">
        <v>5</v>
      </c>
      <c r="J325" s="2">
        <v>2</v>
      </c>
      <c r="K325" s="14">
        <v>0.18</v>
      </c>
      <c r="L325" s="4">
        <v>0.2424</v>
      </c>
      <c r="M325" s="4">
        <v>0.55000000000000004</v>
      </c>
      <c r="N325" s="4">
        <v>0</v>
      </c>
      <c r="O325" s="4">
        <v>1</v>
      </c>
      <c r="P325" s="4">
        <v>26</v>
      </c>
      <c r="Q325" s="8">
        <v>27</v>
      </c>
    </row>
    <row r="326" spans="1:17" x14ac:dyDescent="0.25">
      <c r="A326" s="7">
        <v>325</v>
      </c>
      <c r="B326" s="3">
        <v>40558</v>
      </c>
      <c r="C326" s="2">
        <v>1</v>
      </c>
      <c r="D326" s="2">
        <v>0</v>
      </c>
      <c r="E326" s="2">
        <v>1</v>
      </c>
      <c r="F326" s="2">
        <v>0</v>
      </c>
      <c r="G326" s="2" t="str" cm="1">
        <f t="array" ref="G326">_xlfn.IFS(F326&lt;3,"Night",F326&lt;=6,"Early Morning",F326&lt;8,"Morning",F326&lt;10,"Late Morning",F326&lt;12,"Afternoon",F326&lt;16,"Afternoon",F326&lt;=18,"Early Evening",F326&lt;=20,"Evening",F326&lt;=22,"Late Evening",F326&lt;=23,"Night")</f>
        <v>Night</v>
      </c>
      <c r="H326" s="2" t="b">
        <v>0</v>
      </c>
      <c r="I326" s="2">
        <v>6</v>
      </c>
      <c r="J326" s="2">
        <v>1</v>
      </c>
      <c r="K326" s="14">
        <v>0.18</v>
      </c>
      <c r="L326" s="4">
        <v>0.2424</v>
      </c>
      <c r="M326" s="4">
        <v>0.55000000000000004</v>
      </c>
      <c r="N326" s="4">
        <v>0</v>
      </c>
      <c r="O326" s="4">
        <v>3</v>
      </c>
      <c r="P326" s="4">
        <v>25</v>
      </c>
      <c r="Q326" s="8">
        <v>28</v>
      </c>
    </row>
    <row r="327" spans="1:17" x14ac:dyDescent="0.25">
      <c r="A327" s="7">
        <v>326</v>
      </c>
      <c r="B327" s="3">
        <v>40558</v>
      </c>
      <c r="C327" s="2">
        <v>1</v>
      </c>
      <c r="D327" s="2">
        <v>0</v>
      </c>
      <c r="E327" s="2">
        <v>1</v>
      </c>
      <c r="F327" s="2">
        <v>1</v>
      </c>
      <c r="G327" s="2" t="str" cm="1">
        <f t="array" ref="G327">_xlfn.IFS(F327&lt;3,"Night",F327&lt;=6,"Early Morning",F327&lt;8,"Morning",F327&lt;10,"Late Morning",F327&lt;12,"Afternoon",F327&lt;16,"Afternoon",F327&lt;=18,"Early Evening",F327&lt;=20,"Evening",F327&lt;=22,"Late Evening",F327&lt;=23,"Night")</f>
        <v>Night</v>
      </c>
      <c r="H327" s="2" t="b">
        <v>0</v>
      </c>
      <c r="I327" s="2">
        <v>6</v>
      </c>
      <c r="J327" s="2">
        <v>2</v>
      </c>
      <c r="K327" s="14">
        <v>0.16</v>
      </c>
      <c r="L327" s="4">
        <v>0.19700000000000001</v>
      </c>
      <c r="M327" s="4">
        <v>0.59</v>
      </c>
      <c r="N327" s="4">
        <v>8.9599999999999999E-2</v>
      </c>
      <c r="O327" s="4">
        <v>2</v>
      </c>
      <c r="P327" s="4">
        <v>18</v>
      </c>
      <c r="Q327" s="8">
        <v>20</v>
      </c>
    </row>
    <row r="328" spans="1:17" x14ac:dyDescent="0.25">
      <c r="A328" s="7">
        <v>327</v>
      </c>
      <c r="B328" s="3">
        <v>40558</v>
      </c>
      <c r="C328" s="2">
        <v>1</v>
      </c>
      <c r="D328" s="2">
        <v>0</v>
      </c>
      <c r="E328" s="2">
        <v>1</v>
      </c>
      <c r="F328" s="2">
        <v>2</v>
      </c>
      <c r="G328" s="2" t="str" cm="1">
        <f t="array" ref="G328">_xlfn.IFS(F328&lt;3,"Night",F328&lt;=6,"Early Morning",F328&lt;8,"Morning",F328&lt;10,"Late Morning",F328&lt;12,"Afternoon",F328&lt;16,"Afternoon",F328&lt;=18,"Early Evening",F328&lt;=20,"Evening",F328&lt;=22,"Late Evening",F328&lt;=23,"Night")</f>
        <v>Night</v>
      </c>
      <c r="H328" s="2" t="b">
        <v>0</v>
      </c>
      <c r="I328" s="2">
        <v>6</v>
      </c>
      <c r="J328" s="2">
        <v>2</v>
      </c>
      <c r="K328" s="14">
        <v>0.16</v>
      </c>
      <c r="L328" s="4">
        <v>0.19700000000000001</v>
      </c>
      <c r="M328" s="4">
        <v>0.59</v>
      </c>
      <c r="N328" s="4">
        <v>8.9599999999999999E-2</v>
      </c>
      <c r="O328" s="4">
        <v>0</v>
      </c>
      <c r="P328" s="4">
        <v>12</v>
      </c>
      <c r="Q328" s="8">
        <v>12</v>
      </c>
    </row>
    <row r="329" spans="1:17" x14ac:dyDescent="0.25">
      <c r="A329" s="7">
        <v>328</v>
      </c>
      <c r="B329" s="3">
        <v>40558</v>
      </c>
      <c r="C329" s="2">
        <v>1</v>
      </c>
      <c r="D329" s="2">
        <v>0</v>
      </c>
      <c r="E329" s="2">
        <v>1</v>
      </c>
      <c r="F329" s="2">
        <v>3</v>
      </c>
      <c r="G329" s="2" t="str" cm="1">
        <f t="array" ref="G329">_xlfn.IFS(F329&lt;3,"Night",F329&lt;=6,"Early Morning",F329&lt;8,"Morning",F329&lt;10,"Late Morning",F329&lt;12,"Afternoon",F329&lt;16,"Afternoon",F329&lt;=18,"Early Evening",F329&lt;=20,"Evening",F329&lt;=22,"Late Evening",F329&lt;=23,"Night")</f>
        <v>Early Morning</v>
      </c>
      <c r="H329" s="2" t="b">
        <v>0</v>
      </c>
      <c r="I329" s="2">
        <v>6</v>
      </c>
      <c r="J329" s="2">
        <v>2</v>
      </c>
      <c r="K329" s="14">
        <v>0.16</v>
      </c>
      <c r="L329" s="4">
        <v>0.2273</v>
      </c>
      <c r="M329" s="4">
        <v>0.59</v>
      </c>
      <c r="N329" s="4">
        <v>0</v>
      </c>
      <c r="O329" s="4">
        <v>1</v>
      </c>
      <c r="P329" s="4">
        <v>7</v>
      </c>
      <c r="Q329" s="8">
        <v>8</v>
      </c>
    </row>
    <row r="330" spans="1:17" x14ac:dyDescent="0.25">
      <c r="A330" s="7">
        <v>329</v>
      </c>
      <c r="B330" s="3">
        <v>40558</v>
      </c>
      <c r="C330" s="2">
        <v>1</v>
      </c>
      <c r="D330" s="2">
        <v>0</v>
      </c>
      <c r="E330" s="2">
        <v>1</v>
      </c>
      <c r="F330" s="2">
        <v>4</v>
      </c>
      <c r="G330" s="2" t="str" cm="1">
        <f t="array" ref="G330">_xlfn.IFS(F330&lt;3,"Night",F330&lt;=6,"Early Morning",F330&lt;8,"Morning",F330&lt;10,"Late Morning",F330&lt;12,"Afternoon",F330&lt;16,"Afternoon",F330&lt;=18,"Early Evening",F330&lt;=20,"Evening",F330&lt;=22,"Late Evening",F330&lt;=23,"Night")</f>
        <v>Early Morning</v>
      </c>
      <c r="H330" s="2" t="b">
        <v>0</v>
      </c>
      <c r="I330" s="2">
        <v>6</v>
      </c>
      <c r="J330" s="2">
        <v>2</v>
      </c>
      <c r="K330" s="14">
        <v>0.16</v>
      </c>
      <c r="L330" s="4">
        <v>0.2273</v>
      </c>
      <c r="M330" s="4">
        <v>0.59</v>
      </c>
      <c r="N330" s="4">
        <v>0</v>
      </c>
      <c r="O330" s="4">
        <v>0</v>
      </c>
      <c r="P330" s="4">
        <v>5</v>
      </c>
      <c r="Q330" s="8">
        <v>5</v>
      </c>
    </row>
    <row r="331" spans="1:17" x14ac:dyDescent="0.25">
      <c r="A331" s="7">
        <v>330</v>
      </c>
      <c r="B331" s="3">
        <v>40558</v>
      </c>
      <c r="C331" s="2">
        <v>1</v>
      </c>
      <c r="D331" s="2">
        <v>0</v>
      </c>
      <c r="E331" s="2">
        <v>1</v>
      </c>
      <c r="F331" s="2">
        <v>5</v>
      </c>
      <c r="G331" s="2" t="str" cm="1">
        <f t="array" ref="G331">_xlfn.IFS(F331&lt;3,"Night",F331&lt;=6,"Early Morning",F331&lt;8,"Morning",F331&lt;10,"Late Morning",F331&lt;12,"Afternoon",F331&lt;16,"Afternoon",F331&lt;=18,"Early Evening",F331&lt;=20,"Evening",F331&lt;=22,"Late Evening",F331&lt;=23,"Night")</f>
        <v>Early Morning</v>
      </c>
      <c r="H331" s="2" t="b">
        <v>0</v>
      </c>
      <c r="I331" s="2">
        <v>6</v>
      </c>
      <c r="J331" s="2">
        <v>1</v>
      </c>
      <c r="K331" s="14">
        <v>0.16</v>
      </c>
      <c r="L331" s="4">
        <v>0.2273</v>
      </c>
      <c r="M331" s="4">
        <v>0.59</v>
      </c>
      <c r="N331" s="4">
        <v>0</v>
      </c>
      <c r="O331" s="4">
        <v>0</v>
      </c>
      <c r="P331" s="4">
        <v>1</v>
      </c>
      <c r="Q331" s="8">
        <v>1</v>
      </c>
    </row>
    <row r="332" spans="1:17" x14ac:dyDescent="0.25">
      <c r="A332" s="7">
        <v>331</v>
      </c>
      <c r="B332" s="3">
        <v>40558</v>
      </c>
      <c r="C332" s="2">
        <v>1</v>
      </c>
      <c r="D332" s="2">
        <v>0</v>
      </c>
      <c r="E332" s="2">
        <v>1</v>
      </c>
      <c r="F332" s="2">
        <v>6</v>
      </c>
      <c r="G332" s="2" t="str" cm="1">
        <f t="array" ref="G332">_xlfn.IFS(F332&lt;3,"Night",F332&lt;=6,"Early Morning",F332&lt;8,"Morning",F332&lt;10,"Late Morning",F332&lt;12,"Afternoon",F332&lt;16,"Afternoon",F332&lt;=18,"Early Evening",F332&lt;=20,"Evening",F332&lt;=22,"Late Evening",F332&lt;=23,"Night")</f>
        <v>Early Morning</v>
      </c>
      <c r="H332" s="2" t="b">
        <v>0</v>
      </c>
      <c r="I332" s="2">
        <v>6</v>
      </c>
      <c r="J332" s="2">
        <v>1</v>
      </c>
      <c r="K332" s="14">
        <v>0.14000000000000001</v>
      </c>
      <c r="L332" s="4">
        <v>0.16669999999999999</v>
      </c>
      <c r="M332" s="4">
        <v>0.63</v>
      </c>
      <c r="N332" s="4">
        <v>0.1045</v>
      </c>
      <c r="O332" s="4">
        <v>1</v>
      </c>
      <c r="P332" s="4">
        <v>2</v>
      </c>
      <c r="Q332" s="8">
        <v>3</v>
      </c>
    </row>
    <row r="333" spans="1:17" x14ac:dyDescent="0.25">
      <c r="A333" s="7">
        <v>332</v>
      </c>
      <c r="B333" s="3">
        <v>40558</v>
      </c>
      <c r="C333" s="2">
        <v>1</v>
      </c>
      <c r="D333" s="2">
        <v>0</v>
      </c>
      <c r="E333" s="2">
        <v>1</v>
      </c>
      <c r="F333" s="2">
        <v>7</v>
      </c>
      <c r="G333" s="2" t="str" cm="1">
        <f t="array" ref="G333">_xlfn.IFS(F333&lt;3,"Night",F333&lt;=6,"Early Morning",F333&lt;8,"Morning",F333&lt;10,"Late Morning",F333&lt;12,"Afternoon",F333&lt;16,"Afternoon",F333&lt;=18,"Early Evening",F333&lt;=20,"Evening",F333&lt;=22,"Late Evening",F333&lt;=23,"Night")</f>
        <v>Morning</v>
      </c>
      <c r="H333" s="2" t="b">
        <v>0</v>
      </c>
      <c r="I333" s="2">
        <v>6</v>
      </c>
      <c r="J333" s="2">
        <v>1</v>
      </c>
      <c r="K333" s="14">
        <v>0.14000000000000001</v>
      </c>
      <c r="L333" s="4">
        <v>0.21210000000000001</v>
      </c>
      <c r="M333" s="4">
        <v>0.63</v>
      </c>
      <c r="N333" s="4">
        <v>0</v>
      </c>
      <c r="O333" s="4">
        <v>1</v>
      </c>
      <c r="P333" s="4">
        <v>9</v>
      </c>
      <c r="Q333" s="8">
        <v>10</v>
      </c>
    </row>
    <row r="334" spans="1:17" x14ac:dyDescent="0.25">
      <c r="A334" s="7">
        <v>333</v>
      </c>
      <c r="B334" s="3">
        <v>40558</v>
      </c>
      <c r="C334" s="2">
        <v>1</v>
      </c>
      <c r="D334" s="2">
        <v>0</v>
      </c>
      <c r="E334" s="2">
        <v>1</v>
      </c>
      <c r="F334" s="2">
        <v>8</v>
      </c>
      <c r="G334" s="2" t="str" cm="1">
        <f t="array" ref="G334">_xlfn.IFS(F334&lt;3,"Night",F334&lt;=6,"Early Morning",F334&lt;8,"Morning",F334&lt;10,"Late Morning",F334&lt;12,"Afternoon",F334&lt;16,"Afternoon",F334&lt;=18,"Early Evening",F334&lt;=20,"Evening",F334&lt;=22,"Late Evening",F334&lt;=23,"Night")</f>
        <v>Late Morning</v>
      </c>
      <c r="H334" s="2" t="b">
        <v>0</v>
      </c>
      <c r="I334" s="2">
        <v>6</v>
      </c>
      <c r="J334" s="2">
        <v>1</v>
      </c>
      <c r="K334" s="14">
        <v>0.14000000000000001</v>
      </c>
      <c r="L334" s="4">
        <v>0.1515</v>
      </c>
      <c r="M334" s="4">
        <v>0.63</v>
      </c>
      <c r="N334" s="4">
        <v>0.1343</v>
      </c>
      <c r="O334" s="4">
        <v>1</v>
      </c>
      <c r="P334" s="4">
        <v>22</v>
      </c>
      <c r="Q334" s="8">
        <v>23</v>
      </c>
    </row>
    <row r="335" spans="1:17" x14ac:dyDescent="0.25">
      <c r="A335" s="7">
        <v>334</v>
      </c>
      <c r="B335" s="3">
        <v>40558</v>
      </c>
      <c r="C335" s="2">
        <v>1</v>
      </c>
      <c r="D335" s="2">
        <v>0</v>
      </c>
      <c r="E335" s="2">
        <v>1</v>
      </c>
      <c r="F335" s="2">
        <v>9</v>
      </c>
      <c r="G335" s="2" t="str" cm="1">
        <f t="array" ref="G335">_xlfn.IFS(F335&lt;3,"Night",F335&lt;=6,"Early Morning",F335&lt;8,"Morning",F335&lt;10,"Late Morning",F335&lt;12,"Afternoon",F335&lt;16,"Afternoon",F335&lt;=18,"Early Evening",F335&lt;=20,"Evening",F335&lt;=22,"Late Evening",F335&lt;=23,"Night")</f>
        <v>Late Morning</v>
      </c>
      <c r="H335" s="2" t="b">
        <v>0</v>
      </c>
      <c r="I335" s="2">
        <v>6</v>
      </c>
      <c r="J335" s="2">
        <v>1</v>
      </c>
      <c r="K335" s="14">
        <v>0.16</v>
      </c>
      <c r="L335" s="4">
        <v>0.18179999999999999</v>
      </c>
      <c r="M335" s="4">
        <v>0.64</v>
      </c>
      <c r="N335" s="4">
        <v>0.1343</v>
      </c>
      <c r="O335" s="4">
        <v>2</v>
      </c>
      <c r="P335" s="4">
        <v>31</v>
      </c>
      <c r="Q335" s="8">
        <v>33</v>
      </c>
    </row>
    <row r="336" spans="1:17" x14ac:dyDescent="0.25">
      <c r="A336" s="7">
        <v>335</v>
      </c>
      <c r="B336" s="3">
        <v>40558</v>
      </c>
      <c r="C336" s="2">
        <v>1</v>
      </c>
      <c r="D336" s="2">
        <v>0</v>
      </c>
      <c r="E336" s="2">
        <v>1</v>
      </c>
      <c r="F336" s="2">
        <v>10</v>
      </c>
      <c r="G336" s="2" t="str" cm="1">
        <f t="array" ref="G336">_xlfn.IFS(F336&lt;3,"Night",F336&lt;=6,"Early Morning",F336&lt;8,"Morning",F336&lt;10,"Late Morning",F336&lt;12,"Afternoon",F336&lt;16,"Afternoon",F336&lt;=18,"Early Evening",F336&lt;=20,"Evening",F336&lt;=22,"Late Evening",F336&lt;=23,"Night")</f>
        <v>Afternoon</v>
      </c>
      <c r="H336" s="2" t="b">
        <v>0</v>
      </c>
      <c r="I336" s="2">
        <v>6</v>
      </c>
      <c r="J336" s="2">
        <v>1</v>
      </c>
      <c r="K336" s="14">
        <v>0.18</v>
      </c>
      <c r="L336" s="4">
        <v>0.19700000000000001</v>
      </c>
      <c r="M336" s="4">
        <v>0.59</v>
      </c>
      <c r="N336" s="4">
        <v>0.16420000000000001</v>
      </c>
      <c r="O336" s="4">
        <v>2</v>
      </c>
      <c r="P336" s="4">
        <v>57</v>
      </c>
      <c r="Q336" s="8">
        <v>59</v>
      </c>
    </row>
    <row r="337" spans="1:17" x14ac:dyDescent="0.25">
      <c r="A337" s="7">
        <v>336</v>
      </c>
      <c r="B337" s="3">
        <v>40558</v>
      </c>
      <c r="C337" s="2">
        <v>1</v>
      </c>
      <c r="D337" s="2">
        <v>0</v>
      </c>
      <c r="E337" s="2">
        <v>1</v>
      </c>
      <c r="F337" s="2">
        <v>11</v>
      </c>
      <c r="G337" s="2" t="str" cm="1">
        <f t="array" ref="G337">_xlfn.IFS(F337&lt;3,"Night",F337&lt;=6,"Early Morning",F337&lt;8,"Morning",F337&lt;10,"Late Morning",F337&lt;12,"Afternoon",F337&lt;16,"Afternoon",F337&lt;=18,"Early Evening",F337&lt;=20,"Evening",F337&lt;=22,"Late Evening",F337&lt;=23,"Night")</f>
        <v>Afternoon</v>
      </c>
      <c r="H337" s="2" t="b">
        <v>0</v>
      </c>
      <c r="I337" s="2">
        <v>6</v>
      </c>
      <c r="J337" s="2">
        <v>1</v>
      </c>
      <c r="K337" s="14">
        <v>0.2</v>
      </c>
      <c r="L337" s="4">
        <v>0.19700000000000001</v>
      </c>
      <c r="M337" s="4">
        <v>0.55000000000000004</v>
      </c>
      <c r="N337" s="4">
        <v>0.22389999999999999</v>
      </c>
      <c r="O337" s="4">
        <v>18</v>
      </c>
      <c r="P337" s="4">
        <v>54</v>
      </c>
      <c r="Q337" s="8">
        <v>72</v>
      </c>
    </row>
    <row r="338" spans="1:17" x14ac:dyDescent="0.25">
      <c r="A338" s="7">
        <v>337</v>
      </c>
      <c r="B338" s="3">
        <v>40558</v>
      </c>
      <c r="C338" s="2">
        <v>1</v>
      </c>
      <c r="D338" s="2">
        <v>0</v>
      </c>
      <c r="E338" s="2">
        <v>1</v>
      </c>
      <c r="F338" s="2">
        <v>12</v>
      </c>
      <c r="G338" s="2" t="str" cm="1">
        <f t="array" ref="G338">_xlfn.IFS(F338&lt;3,"Night",F338&lt;=6,"Early Morning",F338&lt;8,"Morning",F338&lt;10,"Late Morning",F338&lt;12,"Afternoon",F338&lt;16,"Afternoon",F338&lt;=18,"Early Evening",F338&lt;=20,"Evening",F338&lt;=22,"Late Evening",F338&lt;=23,"Night")</f>
        <v>Afternoon</v>
      </c>
      <c r="H338" s="2" t="b">
        <v>0</v>
      </c>
      <c r="I338" s="2">
        <v>6</v>
      </c>
      <c r="J338" s="2">
        <v>1</v>
      </c>
      <c r="K338" s="14">
        <v>0.24</v>
      </c>
      <c r="L338" s="4">
        <v>0.2273</v>
      </c>
      <c r="M338" s="4">
        <v>0.48</v>
      </c>
      <c r="N338" s="4">
        <v>0.22389999999999999</v>
      </c>
      <c r="O338" s="4">
        <v>15</v>
      </c>
      <c r="P338" s="4">
        <v>74</v>
      </c>
      <c r="Q338" s="8">
        <v>89</v>
      </c>
    </row>
    <row r="339" spans="1:17" x14ac:dyDescent="0.25">
      <c r="A339" s="7">
        <v>338</v>
      </c>
      <c r="B339" s="3">
        <v>40558</v>
      </c>
      <c r="C339" s="2">
        <v>1</v>
      </c>
      <c r="D339" s="2">
        <v>0</v>
      </c>
      <c r="E339" s="2">
        <v>1</v>
      </c>
      <c r="F339" s="2">
        <v>13</v>
      </c>
      <c r="G339" s="2" t="str" cm="1">
        <f t="array" ref="G339">_xlfn.IFS(F339&lt;3,"Night",F339&lt;=6,"Early Morning",F339&lt;8,"Morning",F339&lt;10,"Late Morning",F339&lt;12,"Afternoon",F339&lt;16,"Afternoon",F339&lt;=18,"Early Evening",F339&lt;=20,"Evening",F339&lt;=22,"Late Evening",F339&lt;=23,"Night")</f>
        <v>Afternoon</v>
      </c>
      <c r="H339" s="2" t="b">
        <v>0</v>
      </c>
      <c r="I339" s="2">
        <v>6</v>
      </c>
      <c r="J339" s="2">
        <v>1</v>
      </c>
      <c r="K339" s="14">
        <v>0.28000000000000003</v>
      </c>
      <c r="L339" s="4">
        <v>0.2576</v>
      </c>
      <c r="M339" s="4">
        <v>0.38</v>
      </c>
      <c r="N339" s="4">
        <v>0.29849999999999999</v>
      </c>
      <c r="O339" s="4">
        <v>21</v>
      </c>
      <c r="P339" s="4">
        <v>80</v>
      </c>
      <c r="Q339" s="8">
        <v>101</v>
      </c>
    </row>
    <row r="340" spans="1:17" x14ac:dyDescent="0.25">
      <c r="A340" s="7">
        <v>339</v>
      </c>
      <c r="B340" s="3">
        <v>40558</v>
      </c>
      <c r="C340" s="2">
        <v>1</v>
      </c>
      <c r="D340" s="2">
        <v>0</v>
      </c>
      <c r="E340" s="2">
        <v>1</v>
      </c>
      <c r="F340" s="2">
        <v>14</v>
      </c>
      <c r="G340" s="2" t="str" cm="1">
        <f t="array" ref="G340">_xlfn.IFS(F340&lt;3,"Night",F340&lt;=6,"Early Morning",F340&lt;8,"Morning",F340&lt;10,"Late Morning",F340&lt;12,"Afternoon",F340&lt;16,"Afternoon",F340&lt;=18,"Early Evening",F340&lt;=20,"Evening",F340&lt;=22,"Late Evening",F340&lt;=23,"Night")</f>
        <v>Afternoon</v>
      </c>
      <c r="H340" s="2" t="b">
        <v>0</v>
      </c>
      <c r="I340" s="2">
        <v>6</v>
      </c>
      <c r="J340" s="2">
        <v>1</v>
      </c>
      <c r="K340" s="14">
        <v>0.3</v>
      </c>
      <c r="L340" s="4">
        <v>0.28789999999999999</v>
      </c>
      <c r="M340" s="4">
        <v>0.39</v>
      </c>
      <c r="N340" s="4">
        <v>0.28360000000000002</v>
      </c>
      <c r="O340" s="4">
        <v>26</v>
      </c>
      <c r="P340" s="4">
        <v>92</v>
      </c>
      <c r="Q340" s="8">
        <v>118</v>
      </c>
    </row>
    <row r="341" spans="1:17" x14ac:dyDescent="0.25">
      <c r="A341" s="7">
        <v>340</v>
      </c>
      <c r="B341" s="3">
        <v>40558</v>
      </c>
      <c r="C341" s="2">
        <v>1</v>
      </c>
      <c r="D341" s="2">
        <v>0</v>
      </c>
      <c r="E341" s="2">
        <v>1</v>
      </c>
      <c r="F341" s="2">
        <v>15</v>
      </c>
      <c r="G341" s="2" t="str" cm="1">
        <f t="array" ref="G341">_xlfn.IFS(F341&lt;3,"Night",F341&lt;=6,"Early Morning",F341&lt;8,"Morning",F341&lt;10,"Late Morning",F341&lt;12,"Afternoon",F341&lt;16,"Afternoon",F341&lt;=18,"Early Evening",F341&lt;=20,"Evening",F341&lt;=22,"Late Evening",F341&lt;=23,"Night")</f>
        <v>Afternoon</v>
      </c>
      <c r="H341" s="2" t="b">
        <v>0</v>
      </c>
      <c r="I341" s="2">
        <v>6</v>
      </c>
      <c r="J341" s="2">
        <v>2</v>
      </c>
      <c r="K341" s="14">
        <v>0.32</v>
      </c>
      <c r="L341" s="4">
        <v>0.31819999999999998</v>
      </c>
      <c r="M341" s="4">
        <v>0.36</v>
      </c>
      <c r="N341" s="4">
        <v>0.19400000000000001</v>
      </c>
      <c r="O341" s="4">
        <v>21</v>
      </c>
      <c r="P341" s="4">
        <v>108</v>
      </c>
      <c r="Q341" s="8">
        <v>129</v>
      </c>
    </row>
    <row r="342" spans="1:17" x14ac:dyDescent="0.25">
      <c r="A342" s="7">
        <v>341</v>
      </c>
      <c r="B342" s="3">
        <v>40558</v>
      </c>
      <c r="C342" s="2">
        <v>1</v>
      </c>
      <c r="D342" s="2">
        <v>0</v>
      </c>
      <c r="E342" s="2">
        <v>1</v>
      </c>
      <c r="F342" s="2">
        <v>16</v>
      </c>
      <c r="G342" s="2" t="str" cm="1">
        <f t="array" ref="G342">_xlfn.IFS(F342&lt;3,"Night",F342&lt;=6,"Early Morning",F342&lt;8,"Morning",F342&lt;10,"Late Morning",F342&lt;12,"Afternoon",F342&lt;16,"Afternoon",F342&lt;=18,"Early Evening",F342&lt;=20,"Evening",F342&lt;=22,"Late Evening",F342&lt;=23,"Night")</f>
        <v>Early Evening</v>
      </c>
      <c r="H342" s="2" t="b">
        <v>0</v>
      </c>
      <c r="I342" s="2">
        <v>6</v>
      </c>
      <c r="J342" s="2">
        <v>2</v>
      </c>
      <c r="K342" s="14">
        <v>0.34</v>
      </c>
      <c r="L342" s="4">
        <v>0.33329999999999999</v>
      </c>
      <c r="M342" s="4">
        <v>0.34</v>
      </c>
      <c r="N342" s="4">
        <v>0.19400000000000001</v>
      </c>
      <c r="O342" s="4">
        <v>33</v>
      </c>
      <c r="P342" s="4">
        <v>95</v>
      </c>
      <c r="Q342" s="8">
        <v>128</v>
      </c>
    </row>
    <row r="343" spans="1:17" x14ac:dyDescent="0.25">
      <c r="A343" s="7">
        <v>342</v>
      </c>
      <c r="B343" s="3">
        <v>40558</v>
      </c>
      <c r="C343" s="2">
        <v>1</v>
      </c>
      <c r="D343" s="2">
        <v>0</v>
      </c>
      <c r="E343" s="2">
        <v>1</v>
      </c>
      <c r="F343" s="2">
        <v>17</v>
      </c>
      <c r="G343" s="2" t="str" cm="1">
        <f t="array" ref="G343">_xlfn.IFS(F343&lt;3,"Night",F343&lt;=6,"Early Morning",F343&lt;8,"Morning",F343&lt;10,"Late Morning",F343&lt;12,"Afternoon",F343&lt;16,"Afternoon",F343&lt;=18,"Early Evening",F343&lt;=20,"Evening",F343&lt;=22,"Late Evening",F343&lt;=23,"Night")</f>
        <v>Early Evening</v>
      </c>
      <c r="H343" s="2" t="b">
        <v>0</v>
      </c>
      <c r="I343" s="2">
        <v>6</v>
      </c>
      <c r="J343" s="2">
        <v>2</v>
      </c>
      <c r="K343" s="14">
        <v>0.32</v>
      </c>
      <c r="L343" s="4">
        <v>0.30299999999999999</v>
      </c>
      <c r="M343" s="4">
        <v>0.36</v>
      </c>
      <c r="N343" s="4">
        <v>0.28360000000000002</v>
      </c>
      <c r="O343" s="4">
        <v>29</v>
      </c>
      <c r="P343" s="4">
        <v>54</v>
      </c>
      <c r="Q343" s="8">
        <v>83</v>
      </c>
    </row>
    <row r="344" spans="1:17" x14ac:dyDescent="0.25">
      <c r="A344" s="7">
        <v>343</v>
      </c>
      <c r="B344" s="3">
        <v>40558</v>
      </c>
      <c r="C344" s="2">
        <v>1</v>
      </c>
      <c r="D344" s="2">
        <v>0</v>
      </c>
      <c r="E344" s="2">
        <v>1</v>
      </c>
      <c r="F344" s="2">
        <v>18</v>
      </c>
      <c r="G344" s="2" t="str" cm="1">
        <f t="array" ref="G344">_xlfn.IFS(F344&lt;3,"Night",F344&lt;=6,"Early Morning",F344&lt;8,"Morning",F344&lt;10,"Late Morning",F344&lt;12,"Afternoon",F344&lt;16,"Afternoon",F344&lt;=18,"Early Evening",F344&lt;=20,"Evening",F344&lt;=22,"Late Evening",F344&lt;=23,"Night")</f>
        <v>Early Evening</v>
      </c>
      <c r="H344" s="2" t="b">
        <v>0</v>
      </c>
      <c r="I344" s="2">
        <v>6</v>
      </c>
      <c r="J344" s="2">
        <v>2</v>
      </c>
      <c r="K344" s="14">
        <v>0.3</v>
      </c>
      <c r="L344" s="4">
        <v>0.28789999999999999</v>
      </c>
      <c r="M344" s="4">
        <v>0.45</v>
      </c>
      <c r="N344" s="4">
        <v>0.25369999999999998</v>
      </c>
      <c r="O344" s="4">
        <v>15</v>
      </c>
      <c r="P344" s="4">
        <v>69</v>
      </c>
      <c r="Q344" s="8">
        <v>84</v>
      </c>
    </row>
    <row r="345" spans="1:17" x14ac:dyDescent="0.25">
      <c r="A345" s="7">
        <v>344</v>
      </c>
      <c r="B345" s="3">
        <v>40558</v>
      </c>
      <c r="C345" s="2">
        <v>1</v>
      </c>
      <c r="D345" s="2">
        <v>0</v>
      </c>
      <c r="E345" s="2">
        <v>1</v>
      </c>
      <c r="F345" s="2">
        <v>19</v>
      </c>
      <c r="G345" s="2" t="str" cm="1">
        <f t="array" ref="G345">_xlfn.IFS(F345&lt;3,"Night",F345&lt;=6,"Early Morning",F345&lt;8,"Morning",F345&lt;10,"Late Morning",F345&lt;12,"Afternoon",F345&lt;16,"Afternoon",F345&lt;=18,"Early Evening",F345&lt;=20,"Evening",F345&lt;=22,"Late Evening",F345&lt;=23,"Night")</f>
        <v>Evening</v>
      </c>
      <c r="H345" s="2" t="b">
        <v>0</v>
      </c>
      <c r="I345" s="2">
        <v>6</v>
      </c>
      <c r="J345" s="2">
        <v>2</v>
      </c>
      <c r="K345" s="14">
        <v>0.32</v>
      </c>
      <c r="L345" s="4">
        <v>0.30299999999999999</v>
      </c>
      <c r="M345" s="4">
        <v>0.39</v>
      </c>
      <c r="N345" s="4">
        <v>0.25369999999999998</v>
      </c>
      <c r="O345" s="4">
        <v>14</v>
      </c>
      <c r="P345" s="4">
        <v>60</v>
      </c>
      <c r="Q345" s="8">
        <v>74</v>
      </c>
    </row>
    <row r="346" spans="1:17" x14ac:dyDescent="0.25">
      <c r="A346" s="7">
        <v>345</v>
      </c>
      <c r="B346" s="3">
        <v>40558</v>
      </c>
      <c r="C346" s="2">
        <v>1</v>
      </c>
      <c r="D346" s="2">
        <v>0</v>
      </c>
      <c r="E346" s="2">
        <v>1</v>
      </c>
      <c r="F346" s="2">
        <v>20</v>
      </c>
      <c r="G346" s="2" t="str" cm="1">
        <f t="array" ref="G346">_xlfn.IFS(F346&lt;3,"Night",F346&lt;=6,"Early Morning",F346&lt;8,"Morning",F346&lt;10,"Late Morning",F346&lt;12,"Afternoon",F346&lt;16,"Afternoon",F346&lt;=18,"Early Evening",F346&lt;=20,"Evening",F346&lt;=22,"Late Evening",F346&lt;=23,"Night")</f>
        <v>Evening</v>
      </c>
      <c r="H346" s="2" t="b">
        <v>0</v>
      </c>
      <c r="I346" s="2">
        <v>6</v>
      </c>
      <c r="J346" s="2">
        <v>2</v>
      </c>
      <c r="K346" s="14">
        <v>0.32</v>
      </c>
      <c r="L346" s="4">
        <v>0.30299999999999999</v>
      </c>
      <c r="M346" s="4">
        <v>0.39</v>
      </c>
      <c r="N346" s="4">
        <v>0.25369999999999998</v>
      </c>
      <c r="O346" s="4">
        <v>6</v>
      </c>
      <c r="P346" s="4">
        <v>35</v>
      </c>
      <c r="Q346" s="8">
        <v>41</v>
      </c>
    </row>
    <row r="347" spans="1:17" x14ac:dyDescent="0.25">
      <c r="A347" s="7">
        <v>346</v>
      </c>
      <c r="B347" s="3">
        <v>40558</v>
      </c>
      <c r="C347" s="2">
        <v>1</v>
      </c>
      <c r="D347" s="2">
        <v>0</v>
      </c>
      <c r="E347" s="2">
        <v>1</v>
      </c>
      <c r="F347" s="2">
        <v>21</v>
      </c>
      <c r="G347" s="2" t="str" cm="1">
        <f t="array" ref="G347">_xlfn.IFS(F347&lt;3,"Night",F347&lt;=6,"Early Morning",F347&lt;8,"Morning",F347&lt;10,"Late Morning",F347&lt;12,"Afternoon",F347&lt;16,"Afternoon",F347&lt;=18,"Early Evening",F347&lt;=20,"Evening",F347&lt;=22,"Late Evening",F347&lt;=23,"Night")</f>
        <v>Late Evening</v>
      </c>
      <c r="H347" s="2" t="b">
        <v>0</v>
      </c>
      <c r="I347" s="2">
        <v>6</v>
      </c>
      <c r="J347" s="2">
        <v>2</v>
      </c>
      <c r="K347" s="14">
        <v>0.32</v>
      </c>
      <c r="L347" s="4">
        <v>0.30299999999999999</v>
      </c>
      <c r="M347" s="4">
        <v>0.39</v>
      </c>
      <c r="N347" s="4">
        <v>0.22389999999999999</v>
      </c>
      <c r="O347" s="4">
        <v>6</v>
      </c>
      <c r="P347" s="4">
        <v>51</v>
      </c>
      <c r="Q347" s="8">
        <v>57</v>
      </c>
    </row>
    <row r="348" spans="1:17" x14ac:dyDescent="0.25">
      <c r="A348" s="7">
        <v>347</v>
      </c>
      <c r="B348" s="3">
        <v>40558</v>
      </c>
      <c r="C348" s="2">
        <v>1</v>
      </c>
      <c r="D348" s="2">
        <v>0</v>
      </c>
      <c r="E348" s="2">
        <v>1</v>
      </c>
      <c r="F348" s="2">
        <v>22</v>
      </c>
      <c r="G348" s="2" t="str" cm="1">
        <f t="array" ref="G348">_xlfn.IFS(F348&lt;3,"Night",F348&lt;=6,"Early Morning",F348&lt;8,"Morning",F348&lt;10,"Late Morning",F348&lt;12,"Afternoon",F348&lt;16,"Afternoon",F348&lt;=18,"Early Evening",F348&lt;=20,"Evening",F348&lt;=22,"Late Evening",F348&lt;=23,"Night")</f>
        <v>Late Evening</v>
      </c>
      <c r="H348" s="2" t="b">
        <v>0</v>
      </c>
      <c r="I348" s="2">
        <v>6</v>
      </c>
      <c r="J348" s="2">
        <v>2</v>
      </c>
      <c r="K348" s="14">
        <v>0.3</v>
      </c>
      <c r="L348" s="4">
        <v>0.31819999999999998</v>
      </c>
      <c r="M348" s="4">
        <v>0.42</v>
      </c>
      <c r="N348" s="4">
        <v>0.1045</v>
      </c>
      <c r="O348" s="4">
        <v>0</v>
      </c>
      <c r="P348" s="4">
        <v>26</v>
      </c>
      <c r="Q348" s="8">
        <v>26</v>
      </c>
    </row>
    <row r="349" spans="1:17" x14ac:dyDescent="0.25">
      <c r="A349" s="7">
        <v>348</v>
      </c>
      <c r="B349" s="3">
        <v>40558</v>
      </c>
      <c r="C349" s="2">
        <v>1</v>
      </c>
      <c r="D349" s="2">
        <v>0</v>
      </c>
      <c r="E349" s="2">
        <v>1</v>
      </c>
      <c r="F349" s="2">
        <v>23</v>
      </c>
      <c r="G349" s="2" t="str" cm="1">
        <f t="array" ref="G349">_xlfn.IFS(F349&lt;3,"Night",F349&lt;=6,"Early Morning",F349&lt;8,"Morning",F349&lt;10,"Late Morning",F349&lt;12,"Afternoon",F349&lt;16,"Afternoon",F349&lt;=18,"Early Evening",F349&lt;=20,"Evening",F349&lt;=22,"Late Evening",F349&lt;=23,"Night")</f>
        <v>Night</v>
      </c>
      <c r="H349" s="2" t="b">
        <v>0</v>
      </c>
      <c r="I349" s="2">
        <v>6</v>
      </c>
      <c r="J349" s="2">
        <v>1</v>
      </c>
      <c r="K349" s="14">
        <v>0.3</v>
      </c>
      <c r="L349" s="4">
        <v>0.28789999999999999</v>
      </c>
      <c r="M349" s="4">
        <v>0.45</v>
      </c>
      <c r="N349" s="4">
        <v>0.28360000000000002</v>
      </c>
      <c r="O349" s="4">
        <v>5</v>
      </c>
      <c r="P349" s="4">
        <v>39</v>
      </c>
      <c r="Q349" s="8">
        <v>44</v>
      </c>
    </row>
    <row r="350" spans="1:17" x14ac:dyDescent="0.25">
      <c r="A350" s="7">
        <v>349</v>
      </c>
      <c r="B350" s="3">
        <v>40559</v>
      </c>
      <c r="C350" s="2">
        <v>1</v>
      </c>
      <c r="D350" s="2">
        <v>0</v>
      </c>
      <c r="E350" s="2">
        <v>1</v>
      </c>
      <c r="F350" s="2">
        <v>0</v>
      </c>
      <c r="G350" s="2" t="str" cm="1">
        <f t="array" ref="G350">_xlfn.IFS(F350&lt;3,"Night",F350&lt;=6,"Early Morning",F350&lt;8,"Morning",F350&lt;10,"Late Morning",F350&lt;12,"Afternoon",F350&lt;16,"Afternoon",F350&lt;=18,"Early Evening",F350&lt;=20,"Evening",F350&lt;=22,"Late Evening",F350&lt;=23,"Night")</f>
        <v>Night</v>
      </c>
      <c r="H350" s="2" t="b">
        <v>0</v>
      </c>
      <c r="I350" s="2">
        <v>0</v>
      </c>
      <c r="J350" s="2">
        <v>1</v>
      </c>
      <c r="K350" s="14">
        <v>0.26</v>
      </c>
      <c r="L350" s="4">
        <v>0.30299999999999999</v>
      </c>
      <c r="M350" s="4">
        <v>0.56000000000000005</v>
      </c>
      <c r="N350" s="4">
        <v>0</v>
      </c>
      <c r="O350" s="4">
        <v>6</v>
      </c>
      <c r="P350" s="4">
        <v>33</v>
      </c>
      <c r="Q350" s="8">
        <v>39</v>
      </c>
    </row>
    <row r="351" spans="1:17" x14ac:dyDescent="0.25">
      <c r="A351" s="7">
        <v>350</v>
      </c>
      <c r="B351" s="3">
        <v>40559</v>
      </c>
      <c r="C351" s="2">
        <v>1</v>
      </c>
      <c r="D351" s="2">
        <v>0</v>
      </c>
      <c r="E351" s="2">
        <v>1</v>
      </c>
      <c r="F351" s="2">
        <v>1</v>
      </c>
      <c r="G351" s="2" t="str" cm="1">
        <f t="array" ref="G351">_xlfn.IFS(F351&lt;3,"Night",F351&lt;=6,"Early Morning",F351&lt;8,"Morning",F351&lt;10,"Late Morning",F351&lt;12,"Afternoon",F351&lt;16,"Afternoon",F351&lt;=18,"Early Evening",F351&lt;=20,"Evening",F351&lt;=22,"Late Evening",F351&lt;=23,"Night")</f>
        <v>Night</v>
      </c>
      <c r="H351" s="2" t="b">
        <v>0</v>
      </c>
      <c r="I351" s="2">
        <v>0</v>
      </c>
      <c r="J351" s="2">
        <v>1</v>
      </c>
      <c r="K351" s="14">
        <v>0.26</v>
      </c>
      <c r="L351" s="4">
        <v>0.2727</v>
      </c>
      <c r="M351" s="4">
        <v>0.56000000000000005</v>
      </c>
      <c r="N351" s="4">
        <v>0.1343</v>
      </c>
      <c r="O351" s="4">
        <v>4</v>
      </c>
      <c r="P351" s="4">
        <v>19</v>
      </c>
      <c r="Q351" s="8">
        <v>23</v>
      </c>
    </row>
    <row r="352" spans="1:17" x14ac:dyDescent="0.25">
      <c r="A352" s="7">
        <v>351</v>
      </c>
      <c r="B352" s="3">
        <v>40559</v>
      </c>
      <c r="C352" s="2">
        <v>1</v>
      </c>
      <c r="D352" s="2">
        <v>0</v>
      </c>
      <c r="E352" s="2">
        <v>1</v>
      </c>
      <c r="F352" s="2">
        <v>2</v>
      </c>
      <c r="G352" s="2" t="str" cm="1">
        <f t="array" ref="G352">_xlfn.IFS(F352&lt;3,"Night",F352&lt;=6,"Early Morning",F352&lt;8,"Morning",F352&lt;10,"Late Morning",F352&lt;12,"Afternoon",F352&lt;16,"Afternoon",F352&lt;=18,"Early Evening",F352&lt;=20,"Evening",F352&lt;=22,"Late Evening",F352&lt;=23,"Night")</f>
        <v>Night</v>
      </c>
      <c r="H352" s="2" t="b">
        <v>0</v>
      </c>
      <c r="I352" s="2">
        <v>0</v>
      </c>
      <c r="J352" s="2">
        <v>1</v>
      </c>
      <c r="K352" s="14">
        <v>0.26</v>
      </c>
      <c r="L352" s="4">
        <v>0.28789999999999999</v>
      </c>
      <c r="M352" s="4">
        <v>0.56000000000000005</v>
      </c>
      <c r="N352" s="4">
        <v>8.9599999999999999E-2</v>
      </c>
      <c r="O352" s="4">
        <v>3</v>
      </c>
      <c r="P352" s="4">
        <v>13</v>
      </c>
      <c r="Q352" s="8">
        <v>16</v>
      </c>
    </row>
    <row r="353" spans="1:17" x14ac:dyDescent="0.25">
      <c r="A353" s="7">
        <v>352</v>
      </c>
      <c r="B353" s="3">
        <v>40559</v>
      </c>
      <c r="C353" s="2">
        <v>1</v>
      </c>
      <c r="D353" s="2">
        <v>0</v>
      </c>
      <c r="E353" s="2">
        <v>1</v>
      </c>
      <c r="F353" s="2">
        <v>3</v>
      </c>
      <c r="G353" s="2" t="str" cm="1">
        <f t="array" ref="G353">_xlfn.IFS(F353&lt;3,"Night",F353&lt;=6,"Early Morning",F353&lt;8,"Morning",F353&lt;10,"Late Morning",F353&lt;12,"Afternoon",F353&lt;16,"Afternoon",F353&lt;=18,"Early Evening",F353&lt;=20,"Evening",F353&lt;=22,"Late Evening",F353&lt;=23,"Night")</f>
        <v>Early Morning</v>
      </c>
      <c r="H353" s="2" t="b">
        <v>0</v>
      </c>
      <c r="I353" s="2">
        <v>0</v>
      </c>
      <c r="J353" s="2">
        <v>1</v>
      </c>
      <c r="K353" s="14">
        <v>0.22</v>
      </c>
      <c r="L353" s="4">
        <v>0.2727</v>
      </c>
      <c r="M353" s="4">
        <v>0.69</v>
      </c>
      <c r="N353" s="4">
        <v>0</v>
      </c>
      <c r="O353" s="4">
        <v>9</v>
      </c>
      <c r="P353" s="4">
        <v>6</v>
      </c>
      <c r="Q353" s="8">
        <v>15</v>
      </c>
    </row>
    <row r="354" spans="1:17" x14ac:dyDescent="0.25">
      <c r="A354" s="7">
        <v>353</v>
      </c>
      <c r="B354" s="3">
        <v>40559</v>
      </c>
      <c r="C354" s="2">
        <v>1</v>
      </c>
      <c r="D354" s="2">
        <v>0</v>
      </c>
      <c r="E354" s="2">
        <v>1</v>
      </c>
      <c r="F354" s="2">
        <v>4</v>
      </c>
      <c r="G354" s="2" t="str" cm="1">
        <f t="array" ref="G354">_xlfn.IFS(F354&lt;3,"Night",F354&lt;=6,"Early Morning",F354&lt;8,"Morning",F354&lt;10,"Late Morning",F354&lt;12,"Afternoon",F354&lt;16,"Afternoon",F354&lt;=18,"Early Evening",F354&lt;=20,"Evening",F354&lt;=22,"Late Evening",F354&lt;=23,"Night")</f>
        <v>Early Morning</v>
      </c>
      <c r="H354" s="2" t="b">
        <v>0</v>
      </c>
      <c r="I354" s="2">
        <v>0</v>
      </c>
      <c r="J354" s="2">
        <v>1</v>
      </c>
      <c r="K354" s="14">
        <v>0.26</v>
      </c>
      <c r="L354" s="4">
        <v>0.2576</v>
      </c>
      <c r="M354" s="4">
        <v>0.56000000000000005</v>
      </c>
      <c r="N354" s="4">
        <v>0.16420000000000001</v>
      </c>
      <c r="O354" s="4">
        <v>0</v>
      </c>
      <c r="P354" s="4">
        <v>1</v>
      </c>
      <c r="Q354" s="8">
        <v>1</v>
      </c>
    </row>
    <row r="355" spans="1:17" x14ac:dyDescent="0.25">
      <c r="A355" s="7">
        <v>354</v>
      </c>
      <c r="B355" s="3">
        <v>40559</v>
      </c>
      <c r="C355" s="2">
        <v>1</v>
      </c>
      <c r="D355" s="2">
        <v>0</v>
      </c>
      <c r="E355" s="2">
        <v>1</v>
      </c>
      <c r="F355" s="2">
        <v>5</v>
      </c>
      <c r="G355" s="2" t="str" cm="1">
        <f t="array" ref="G355">_xlfn.IFS(F355&lt;3,"Night",F355&lt;=6,"Early Morning",F355&lt;8,"Morning",F355&lt;10,"Late Morning",F355&lt;12,"Afternoon",F355&lt;16,"Afternoon",F355&lt;=18,"Early Evening",F355&lt;=20,"Evening",F355&lt;=22,"Late Evening",F355&lt;=23,"Night")</f>
        <v>Early Morning</v>
      </c>
      <c r="H355" s="2" t="b">
        <v>0</v>
      </c>
      <c r="I355" s="2">
        <v>0</v>
      </c>
      <c r="J355" s="2">
        <v>2</v>
      </c>
      <c r="K355" s="14">
        <v>0.26</v>
      </c>
      <c r="L355" s="4">
        <v>0.2576</v>
      </c>
      <c r="M355" s="4">
        <v>0.56000000000000005</v>
      </c>
      <c r="N355" s="4">
        <v>0.16420000000000001</v>
      </c>
      <c r="O355" s="4">
        <v>1</v>
      </c>
      <c r="P355" s="4">
        <v>1</v>
      </c>
      <c r="Q355" s="8">
        <v>2</v>
      </c>
    </row>
    <row r="356" spans="1:17" x14ac:dyDescent="0.25">
      <c r="A356" s="7">
        <v>355</v>
      </c>
      <c r="B356" s="3">
        <v>40559</v>
      </c>
      <c r="C356" s="2">
        <v>1</v>
      </c>
      <c r="D356" s="2">
        <v>0</v>
      </c>
      <c r="E356" s="2">
        <v>1</v>
      </c>
      <c r="F356" s="2">
        <v>6</v>
      </c>
      <c r="G356" s="2" t="str" cm="1">
        <f t="array" ref="G356">_xlfn.IFS(F356&lt;3,"Night",F356&lt;=6,"Early Morning",F356&lt;8,"Morning",F356&lt;10,"Late Morning",F356&lt;12,"Afternoon",F356&lt;16,"Afternoon",F356&lt;=18,"Early Evening",F356&lt;=20,"Evening",F356&lt;=22,"Late Evening",F356&lt;=23,"Night")</f>
        <v>Early Morning</v>
      </c>
      <c r="H356" s="2" t="b">
        <v>0</v>
      </c>
      <c r="I356" s="2">
        <v>0</v>
      </c>
      <c r="J356" s="2">
        <v>2</v>
      </c>
      <c r="K356" s="14">
        <v>0.26</v>
      </c>
      <c r="L356" s="4">
        <v>0.2576</v>
      </c>
      <c r="M356" s="4">
        <v>0.56000000000000005</v>
      </c>
      <c r="N356" s="4">
        <v>0.16420000000000001</v>
      </c>
      <c r="O356" s="4">
        <v>0</v>
      </c>
      <c r="P356" s="4">
        <v>1</v>
      </c>
      <c r="Q356" s="8">
        <v>1</v>
      </c>
    </row>
    <row r="357" spans="1:17" x14ac:dyDescent="0.25">
      <c r="A357" s="7">
        <v>356</v>
      </c>
      <c r="B357" s="3">
        <v>40559</v>
      </c>
      <c r="C357" s="2">
        <v>1</v>
      </c>
      <c r="D357" s="2">
        <v>0</v>
      </c>
      <c r="E357" s="2">
        <v>1</v>
      </c>
      <c r="F357" s="2">
        <v>7</v>
      </c>
      <c r="G357" s="2" t="str" cm="1">
        <f t="array" ref="G357">_xlfn.IFS(F357&lt;3,"Night",F357&lt;=6,"Early Morning",F357&lt;8,"Morning",F357&lt;10,"Late Morning",F357&lt;12,"Afternoon",F357&lt;16,"Afternoon",F357&lt;=18,"Early Evening",F357&lt;=20,"Evening",F357&lt;=22,"Late Evening",F357&lt;=23,"Night")</f>
        <v>Morning</v>
      </c>
      <c r="H357" s="2" t="b">
        <v>0</v>
      </c>
      <c r="I357" s="2">
        <v>0</v>
      </c>
      <c r="J357" s="2">
        <v>2</v>
      </c>
      <c r="K357" s="14">
        <v>0.24</v>
      </c>
      <c r="L357" s="4">
        <v>0.21210000000000001</v>
      </c>
      <c r="M357" s="4">
        <v>0.56000000000000005</v>
      </c>
      <c r="N357" s="4">
        <v>0.29849999999999999</v>
      </c>
      <c r="O357" s="4">
        <v>0</v>
      </c>
      <c r="P357" s="4">
        <v>3</v>
      </c>
      <c r="Q357" s="8">
        <v>3</v>
      </c>
    </row>
    <row r="358" spans="1:17" x14ac:dyDescent="0.25">
      <c r="A358" s="7">
        <v>357</v>
      </c>
      <c r="B358" s="3">
        <v>40559</v>
      </c>
      <c r="C358" s="2">
        <v>1</v>
      </c>
      <c r="D358" s="2">
        <v>0</v>
      </c>
      <c r="E358" s="2">
        <v>1</v>
      </c>
      <c r="F358" s="2">
        <v>8</v>
      </c>
      <c r="G358" s="2" t="str" cm="1">
        <f t="array" ref="G358">_xlfn.IFS(F358&lt;3,"Night",F358&lt;=6,"Early Morning",F358&lt;8,"Morning",F358&lt;10,"Late Morning",F358&lt;12,"Afternoon",F358&lt;16,"Afternoon",F358&lt;=18,"Early Evening",F358&lt;=20,"Evening",F358&lt;=22,"Late Evening",F358&lt;=23,"Night")</f>
        <v>Late Morning</v>
      </c>
      <c r="H358" s="2" t="b">
        <v>0</v>
      </c>
      <c r="I358" s="2">
        <v>0</v>
      </c>
      <c r="J358" s="2">
        <v>1</v>
      </c>
      <c r="K358" s="14">
        <v>0.22</v>
      </c>
      <c r="L358" s="4">
        <v>0.21210000000000001</v>
      </c>
      <c r="M358" s="4">
        <v>0.55000000000000004</v>
      </c>
      <c r="N358" s="4">
        <v>0.28360000000000002</v>
      </c>
      <c r="O358" s="4">
        <v>0</v>
      </c>
      <c r="P358" s="4">
        <v>18</v>
      </c>
      <c r="Q358" s="8">
        <v>18</v>
      </c>
    </row>
    <row r="359" spans="1:17" x14ac:dyDescent="0.25">
      <c r="A359" s="7">
        <v>358</v>
      </c>
      <c r="B359" s="3">
        <v>40559</v>
      </c>
      <c r="C359" s="2">
        <v>1</v>
      </c>
      <c r="D359" s="2">
        <v>0</v>
      </c>
      <c r="E359" s="2">
        <v>1</v>
      </c>
      <c r="F359" s="2">
        <v>9</v>
      </c>
      <c r="G359" s="2" t="str" cm="1">
        <f t="array" ref="G359">_xlfn.IFS(F359&lt;3,"Night",F359&lt;=6,"Early Morning",F359&lt;8,"Morning",F359&lt;10,"Late Morning",F359&lt;12,"Afternoon",F359&lt;16,"Afternoon",F359&lt;=18,"Early Evening",F359&lt;=20,"Evening",F359&lt;=22,"Late Evening",F359&lt;=23,"Night")</f>
        <v>Late Morning</v>
      </c>
      <c r="H359" s="2" t="b">
        <v>0</v>
      </c>
      <c r="I359" s="2">
        <v>0</v>
      </c>
      <c r="J359" s="2">
        <v>1</v>
      </c>
      <c r="K359" s="14">
        <v>0.22</v>
      </c>
      <c r="L359" s="4">
        <v>0.21210000000000001</v>
      </c>
      <c r="M359" s="4">
        <v>0.51</v>
      </c>
      <c r="N359" s="4">
        <v>0.25369999999999998</v>
      </c>
      <c r="O359" s="4">
        <v>3</v>
      </c>
      <c r="P359" s="4">
        <v>29</v>
      </c>
      <c r="Q359" s="8">
        <v>32</v>
      </c>
    </row>
    <row r="360" spans="1:17" x14ac:dyDescent="0.25">
      <c r="A360" s="7">
        <v>359</v>
      </c>
      <c r="B360" s="3">
        <v>40559</v>
      </c>
      <c r="C360" s="2">
        <v>1</v>
      </c>
      <c r="D360" s="2">
        <v>0</v>
      </c>
      <c r="E360" s="2">
        <v>1</v>
      </c>
      <c r="F360" s="2">
        <v>10</v>
      </c>
      <c r="G360" s="2" t="str" cm="1">
        <f t="array" ref="G360">_xlfn.IFS(F360&lt;3,"Night",F360&lt;=6,"Early Morning",F360&lt;8,"Morning",F360&lt;10,"Late Morning",F360&lt;12,"Afternoon",F360&lt;16,"Afternoon",F360&lt;=18,"Early Evening",F360&lt;=20,"Evening",F360&lt;=22,"Late Evening",F360&lt;=23,"Night")</f>
        <v>Afternoon</v>
      </c>
      <c r="H360" s="2" t="b">
        <v>0</v>
      </c>
      <c r="I360" s="2">
        <v>0</v>
      </c>
      <c r="J360" s="2">
        <v>1</v>
      </c>
      <c r="K360" s="14">
        <v>0.22</v>
      </c>
      <c r="L360" s="4">
        <v>0.21210000000000001</v>
      </c>
      <c r="M360" s="4">
        <v>0.51</v>
      </c>
      <c r="N360" s="4">
        <v>0.28360000000000002</v>
      </c>
      <c r="O360" s="4">
        <v>8</v>
      </c>
      <c r="P360" s="4">
        <v>71</v>
      </c>
      <c r="Q360" s="8">
        <v>79</v>
      </c>
    </row>
    <row r="361" spans="1:17" x14ac:dyDescent="0.25">
      <c r="A361" s="7">
        <v>360</v>
      </c>
      <c r="B361" s="3">
        <v>40559</v>
      </c>
      <c r="C361" s="2">
        <v>1</v>
      </c>
      <c r="D361" s="2">
        <v>0</v>
      </c>
      <c r="E361" s="2">
        <v>1</v>
      </c>
      <c r="F361" s="2">
        <v>11</v>
      </c>
      <c r="G361" s="2" t="str" cm="1">
        <f t="array" ref="G361">_xlfn.IFS(F361&lt;3,"Night",F361&lt;=6,"Early Morning",F361&lt;8,"Morning",F361&lt;10,"Late Morning",F361&lt;12,"Afternoon",F361&lt;16,"Afternoon",F361&lt;=18,"Early Evening",F361&lt;=20,"Evening",F361&lt;=22,"Late Evening",F361&lt;=23,"Night")</f>
        <v>Afternoon</v>
      </c>
      <c r="H361" s="2" t="b">
        <v>0</v>
      </c>
      <c r="I361" s="2">
        <v>0</v>
      </c>
      <c r="J361" s="2">
        <v>1</v>
      </c>
      <c r="K361" s="14">
        <v>0.24</v>
      </c>
      <c r="L361" s="4">
        <v>0.2273</v>
      </c>
      <c r="M361" s="4">
        <v>0.44</v>
      </c>
      <c r="N361" s="4">
        <v>0.25369999999999998</v>
      </c>
      <c r="O361" s="4">
        <v>23</v>
      </c>
      <c r="P361" s="4">
        <v>70</v>
      </c>
      <c r="Q361" s="8">
        <v>93</v>
      </c>
    </row>
    <row r="362" spans="1:17" x14ac:dyDescent="0.25">
      <c r="A362" s="7">
        <v>361</v>
      </c>
      <c r="B362" s="3">
        <v>40559</v>
      </c>
      <c r="C362" s="2">
        <v>1</v>
      </c>
      <c r="D362" s="2">
        <v>0</v>
      </c>
      <c r="E362" s="2">
        <v>1</v>
      </c>
      <c r="F362" s="2">
        <v>12</v>
      </c>
      <c r="G362" s="2" t="str" cm="1">
        <f t="array" ref="G362">_xlfn.IFS(F362&lt;3,"Night",F362&lt;=6,"Early Morning",F362&lt;8,"Morning",F362&lt;10,"Late Morning",F362&lt;12,"Afternoon",F362&lt;16,"Afternoon",F362&lt;=18,"Early Evening",F362&lt;=20,"Evening",F362&lt;=22,"Late Evening",F362&lt;=23,"Night")</f>
        <v>Afternoon</v>
      </c>
      <c r="H362" s="2" t="b">
        <v>0</v>
      </c>
      <c r="I362" s="2">
        <v>0</v>
      </c>
      <c r="J362" s="2">
        <v>1</v>
      </c>
      <c r="K362" s="14">
        <v>0.24</v>
      </c>
      <c r="L362" s="4">
        <v>0.21210000000000001</v>
      </c>
      <c r="M362" s="4">
        <v>0.41</v>
      </c>
      <c r="N362" s="4">
        <v>0.28360000000000002</v>
      </c>
      <c r="O362" s="4">
        <v>29</v>
      </c>
      <c r="P362" s="4">
        <v>75</v>
      </c>
      <c r="Q362" s="8">
        <v>104</v>
      </c>
    </row>
    <row r="363" spans="1:17" x14ac:dyDescent="0.25">
      <c r="A363" s="7">
        <v>362</v>
      </c>
      <c r="B363" s="3">
        <v>40559</v>
      </c>
      <c r="C363" s="2">
        <v>1</v>
      </c>
      <c r="D363" s="2">
        <v>0</v>
      </c>
      <c r="E363" s="2">
        <v>1</v>
      </c>
      <c r="F363" s="2">
        <v>13</v>
      </c>
      <c r="G363" s="2" t="str" cm="1">
        <f t="array" ref="G363">_xlfn.IFS(F363&lt;3,"Night",F363&lt;=6,"Early Morning",F363&lt;8,"Morning",F363&lt;10,"Late Morning",F363&lt;12,"Afternoon",F363&lt;16,"Afternoon",F363&lt;=18,"Early Evening",F363&lt;=20,"Evening",F363&lt;=22,"Late Evening",F363&lt;=23,"Night")</f>
        <v>Afternoon</v>
      </c>
      <c r="H363" s="2" t="b">
        <v>0</v>
      </c>
      <c r="I363" s="2">
        <v>0</v>
      </c>
      <c r="J363" s="2">
        <v>1</v>
      </c>
      <c r="K363" s="14">
        <v>0.26</v>
      </c>
      <c r="L363" s="4">
        <v>0.2273</v>
      </c>
      <c r="M363" s="4">
        <v>0.35</v>
      </c>
      <c r="N363" s="4">
        <v>0.29849999999999999</v>
      </c>
      <c r="O363" s="4">
        <v>23</v>
      </c>
      <c r="P363" s="4">
        <v>95</v>
      </c>
      <c r="Q363" s="8">
        <v>118</v>
      </c>
    </row>
    <row r="364" spans="1:17" x14ac:dyDescent="0.25">
      <c r="A364" s="7">
        <v>363</v>
      </c>
      <c r="B364" s="3">
        <v>40559</v>
      </c>
      <c r="C364" s="2">
        <v>1</v>
      </c>
      <c r="D364" s="2">
        <v>0</v>
      </c>
      <c r="E364" s="2">
        <v>1</v>
      </c>
      <c r="F364" s="2">
        <v>14</v>
      </c>
      <c r="G364" s="2" t="str" cm="1">
        <f t="array" ref="G364">_xlfn.IFS(F364&lt;3,"Night",F364&lt;=6,"Early Morning",F364&lt;8,"Morning",F364&lt;10,"Late Morning",F364&lt;12,"Afternoon",F364&lt;16,"Afternoon",F364&lt;=18,"Early Evening",F364&lt;=20,"Evening",F364&lt;=22,"Late Evening",F364&lt;=23,"Night")</f>
        <v>Afternoon</v>
      </c>
      <c r="H364" s="2" t="b">
        <v>0</v>
      </c>
      <c r="I364" s="2">
        <v>0</v>
      </c>
      <c r="J364" s="2">
        <v>1</v>
      </c>
      <c r="K364" s="14">
        <v>0.28000000000000003</v>
      </c>
      <c r="L364" s="4">
        <v>0.2727</v>
      </c>
      <c r="M364" s="4">
        <v>0.36</v>
      </c>
      <c r="N364" s="4">
        <v>0.25369999999999998</v>
      </c>
      <c r="O364" s="4">
        <v>22</v>
      </c>
      <c r="P364" s="4">
        <v>69</v>
      </c>
      <c r="Q364" s="8">
        <v>91</v>
      </c>
    </row>
    <row r="365" spans="1:17" x14ac:dyDescent="0.25">
      <c r="A365" s="7">
        <v>364</v>
      </c>
      <c r="B365" s="3">
        <v>40559</v>
      </c>
      <c r="C365" s="2">
        <v>1</v>
      </c>
      <c r="D365" s="2">
        <v>0</v>
      </c>
      <c r="E365" s="2">
        <v>1</v>
      </c>
      <c r="F365" s="2">
        <v>15</v>
      </c>
      <c r="G365" s="2" t="str" cm="1">
        <f t="array" ref="G365">_xlfn.IFS(F365&lt;3,"Night",F365&lt;=6,"Early Morning",F365&lt;8,"Morning",F365&lt;10,"Late Morning",F365&lt;12,"Afternoon",F365&lt;16,"Afternoon",F365&lt;=18,"Early Evening",F365&lt;=20,"Evening",F365&lt;=22,"Late Evening",F365&lt;=23,"Night")</f>
        <v>Afternoon</v>
      </c>
      <c r="H365" s="2" t="b">
        <v>0</v>
      </c>
      <c r="I365" s="2">
        <v>0</v>
      </c>
      <c r="J365" s="2">
        <v>1</v>
      </c>
      <c r="K365" s="14">
        <v>0.26</v>
      </c>
      <c r="L365" s="4">
        <v>0.2424</v>
      </c>
      <c r="M365" s="4">
        <v>0.38</v>
      </c>
      <c r="N365" s="4">
        <v>0.25369999999999998</v>
      </c>
      <c r="O365" s="4">
        <v>35</v>
      </c>
      <c r="P365" s="4">
        <v>78</v>
      </c>
      <c r="Q365" s="8">
        <v>113</v>
      </c>
    </row>
    <row r="366" spans="1:17" x14ac:dyDescent="0.25">
      <c r="A366" s="7">
        <v>365</v>
      </c>
      <c r="B366" s="3">
        <v>40559</v>
      </c>
      <c r="C366" s="2">
        <v>1</v>
      </c>
      <c r="D366" s="2">
        <v>0</v>
      </c>
      <c r="E366" s="2">
        <v>1</v>
      </c>
      <c r="F366" s="2">
        <v>16</v>
      </c>
      <c r="G366" s="2" t="str" cm="1">
        <f t="array" ref="G366">_xlfn.IFS(F366&lt;3,"Night",F366&lt;=6,"Early Morning",F366&lt;8,"Morning",F366&lt;10,"Late Morning",F366&lt;12,"Afternoon",F366&lt;16,"Afternoon",F366&lt;=18,"Early Evening",F366&lt;=20,"Evening",F366&lt;=22,"Late Evening",F366&lt;=23,"Night")</f>
        <v>Early Evening</v>
      </c>
      <c r="H366" s="2" t="b">
        <v>0</v>
      </c>
      <c r="I366" s="2">
        <v>0</v>
      </c>
      <c r="J366" s="2">
        <v>1</v>
      </c>
      <c r="K366" s="14">
        <v>0.24</v>
      </c>
      <c r="L366" s="4">
        <v>0.2273</v>
      </c>
      <c r="M366" s="4">
        <v>0.38</v>
      </c>
      <c r="N366" s="4">
        <v>0.22389999999999999</v>
      </c>
      <c r="O366" s="4">
        <v>22</v>
      </c>
      <c r="P366" s="4">
        <v>77</v>
      </c>
      <c r="Q366" s="8">
        <v>99</v>
      </c>
    </row>
    <row r="367" spans="1:17" x14ac:dyDescent="0.25">
      <c r="A367" s="7">
        <v>366</v>
      </c>
      <c r="B367" s="3">
        <v>40559</v>
      </c>
      <c r="C367" s="2">
        <v>1</v>
      </c>
      <c r="D367" s="2">
        <v>0</v>
      </c>
      <c r="E367" s="2">
        <v>1</v>
      </c>
      <c r="F367" s="2">
        <v>17</v>
      </c>
      <c r="G367" s="2" t="str" cm="1">
        <f t="array" ref="G367">_xlfn.IFS(F367&lt;3,"Night",F367&lt;=6,"Early Morning",F367&lt;8,"Morning",F367&lt;10,"Late Morning",F367&lt;12,"Afternoon",F367&lt;16,"Afternoon",F367&lt;=18,"Early Evening",F367&lt;=20,"Evening",F367&lt;=22,"Late Evening",F367&lt;=23,"Night")</f>
        <v>Early Evening</v>
      </c>
      <c r="H367" s="2" t="b">
        <v>0</v>
      </c>
      <c r="I367" s="2">
        <v>0</v>
      </c>
      <c r="J367" s="2">
        <v>1</v>
      </c>
      <c r="K367" s="14">
        <v>0.22</v>
      </c>
      <c r="L367" s="4">
        <v>0.21210000000000001</v>
      </c>
      <c r="M367" s="4">
        <v>0.37</v>
      </c>
      <c r="N367" s="4">
        <v>0.25369999999999998</v>
      </c>
      <c r="O367" s="4">
        <v>23</v>
      </c>
      <c r="P367" s="4">
        <v>82</v>
      </c>
      <c r="Q367" s="8">
        <v>105</v>
      </c>
    </row>
    <row r="368" spans="1:17" x14ac:dyDescent="0.25">
      <c r="A368" s="7">
        <v>367</v>
      </c>
      <c r="B368" s="3">
        <v>40559</v>
      </c>
      <c r="C368" s="2">
        <v>1</v>
      </c>
      <c r="D368" s="2">
        <v>0</v>
      </c>
      <c r="E368" s="2">
        <v>1</v>
      </c>
      <c r="F368" s="2">
        <v>18</v>
      </c>
      <c r="G368" s="2" t="str" cm="1">
        <f t="array" ref="G368">_xlfn.IFS(F368&lt;3,"Night",F368&lt;=6,"Early Morning",F368&lt;8,"Morning",F368&lt;10,"Late Morning",F368&lt;12,"Afternoon",F368&lt;16,"Afternoon",F368&lt;=18,"Early Evening",F368&lt;=20,"Evening",F368&lt;=22,"Late Evening",F368&lt;=23,"Night")</f>
        <v>Early Evening</v>
      </c>
      <c r="H368" s="2" t="b">
        <v>0</v>
      </c>
      <c r="I368" s="2">
        <v>0</v>
      </c>
      <c r="J368" s="2">
        <v>1</v>
      </c>
      <c r="K368" s="14">
        <v>0.2</v>
      </c>
      <c r="L368" s="4">
        <v>0.21210000000000001</v>
      </c>
      <c r="M368" s="4">
        <v>0.4</v>
      </c>
      <c r="N368" s="4">
        <v>0.16420000000000001</v>
      </c>
      <c r="O368" s="4">
        <v>11</v>
      </c>
      <c r="P368" s="4">
        <v>56</v>
      </c>
      <c r="Q368" s="8">
        <v>67</v>
      </c>
    </row>
    <row r="369" spans="1:17" x14ac:dyDescent="0.25">
      <c r="A369" s="7">
        <v>368</v>
      </c>
      <c r="B369" s="3">
        <v>40559</v>
      </c>
      <c r="C369" s="2">
        <v>1</v>
      </c>
      <c r="D369" s="2">
        <v>0</v>
      </c>
      <c r="E369" s="2">
        <v>1</v>
      </c>
      <c r="F369" s="2">
        <v>19</v>
      </c>
      <c r="G369" s="2" t="str" cm="1">
        <f t="array" ref="G369">_xlfn.IFS(F369&lt;3,"Night",F369&lt;=6,"Early Morning",F369&lt;8,"Morning",F369&lt;10,"Late Morning",F369&lt;12,"Afternoon",F369&lt;16,"Afternoon",F369&lt;=18,"Early Evening",F369&lt;=20,"Evening",F369&lt;=22,"Late Evening",F369&lt;=23,"Night")</f>
        <v>Evening</v>
      </c>
      <c r="H369" s="2" t="b">
        <v>0</v>
      </c>
      <c r="I369" s="2">
        <v>0</v>
      </c>
      <c r="J369" s="2">
        <v>1</v>
      </c>
      <c r="K369" s="14">
        <v>0.18</v>
      </c>
      <c r="L369" s="4">
        <v>0.19700000000000001</v>
      </c>
      <c r="M369" s="4">
        <v>0.47</v>
      </c>
      <c r="N369" s="4">
        <v>0.1343</v>
      </c>
      <c r="O369" s="4">
        <v>14</v>
      </c>
      <c r="P369" s="4">
        <v>47</v>
      </c>
      <c r="Q369" s="8">
        <v>61</v>
      </c>
    </row>
    <row r="370" spans="1:17" x14ac:dyDescent="0.25">
      <c r="A370" s="7">
        <v>369</v>
      </c>
      <c r="B370" s="3">
        <v>40559</v>
      </c>
      <c r="C370" s="2">
        <v>1</v>
      </c>
      <c r="D370" s="2">
        <v>0</v>
      </c>
      <c r="E370" s="2">
        <v>1</v>
      </c>
      <c r="F370" s="2">
        <v>20</v>
      </c>
      <c r="G370" s="2" t="str" cm="1">
        <f t="array" ref="G370">_xlfn.IFS(F370&lt;3,"Night",F370&lt;=6,"Early Morning",F370&lt;8,"Morning",F370&lt;10,"Late Morning",F370&lt;12,"Afternoon",F370&lt;16,"Afternoon",F370&lt;=18,"Early Evening",F370&lt;=20,"Evening",F370&lt;=22,"Late Evening",F370&lt;=23,"Night")</f>
        <v>Evening</v>
      </c>
      <c r="H370" s="2" t="b">
        <v>0</v>
      </c>
      <c r="I370" s="2">
        <v>0</v>
      </c>
      <c r="J370" s="2">
        <v>1</v>
      </c>
      <c r="K370" s="14">
        <v>0.18</v>
      </c>
      <c r="L370" s="4">
        <v>0.19700000000000001</v>
      </c>
      <c r="M370" s="4">
        <v>0.47</v>
      </c>
      <c r="N370" s="4">
        <v>0.16420000000000001</v>
      </c>
      <c r="O370" s="4">
        <v>7</v>
      </c>
      <c r="P370" s="4">
        <v>50</v>
      </c>
      <c r="Q370" s="8">
        <v>57</v>
      </c>
    </row>
    <row r="371" spans="1:17" x14ac:dyDescent="0.25">
      <c r="A371" s="7">
        <v>370</v>
      </c>
      <c r="B371" s="3">
        <v>40559</v>
      </c>
      <c r="C371" s="2">
        <v>1</v>
      </c>
      <c r="D371" s="2">
        <v>0</v>
      </c>
      <c r="E371" s="2">
        <v>1</v>
      </c>
      <c r="F371" s="2">
        <v>21</v>
      </c>
      <c r="G371" s="2" t="str" cm="1">
        <f t="array" ref="G371">_xlfn.IFS(F371&lt;3,"Night",F371&lt;=6,"Early Morning",F371&lt;8,"Morning",F371&lt;10,"Late Morning",F371&lt;12,"Afternoon",F371&lt;16,"Afternoon",F371&lt;=18,"Early Evening",F371&lt;=20,"Evening",F371&lt;=22,"Late Evening",F371&lt;=23,"Night")</f>
        <v>Late Evening</v>
      </c>
      <c r="H371" s="2" t="b">
        <v>0</v>
      </c>
      <c r="I371" s="2">
        <v>0</v>
      </c>
      <c r="J371" s="2">
        <v>1</v>
      </c>
      <c r="K371" s="14">
        <v>0.18</v>
      </c>
      <c r="L371" s="4">
        <v>0.19700000000000001</v>
      </c>
      <c r="M371" s="4">
        <v>0.51</v>
      </c>
      <c r="N371" s="4">
        <v>0.16420000000000001</v>
      </c>
      <c r="O371" s="4">
        <v>6</v>
      </c>
      <c r="P371" s="4">
        <v>22</v>
      </c>
      <c r="Q371" s="8">
        <v>28</v>
      </c>
    </row>
    <row r="372" spans="1:17" x14ac:dyDescent="0.25">
      <c r="A372" s="7">
        <v>371</v>
      </c>
      <c r="B372" s="3">
        <v>40559</v>
      </c>
      <c r="C372" s="2">
        <v>1</v>
      </c>
      <c r="D372" s="2">
        <v>0</v>
      </c>
      <c r="E372" s="2">
        <v>1</v>
      </c>
      <c r="F372" s="2">
        <v>22</v>
      </c>
      <c r="G372" s="2" t="str" cm="1">
        <f t="array" ref="G372">_xlfn.IFS(F372&lt;3,"Night",F372&lt;=6,"Early Morning",F372&lt;8,"Morning",F372&lt;10,"Late Morning",F372&lt;12,"Afternoon",F372&lt;16,"Afternoon",F372&lt;=18,"Early Evening",F372&lt;=20,"Evening",F372&lt;=22,"Late Evening",F372&lt;=23,"Night")</f>
        <v>Late Evening</v>
      </c>
      <c r="H372" s="2" t="b">
        <v>0</v>
      </c>
      <c r="I372" s="2">
        <v>0</v>
      </c>
      <c r="J372" s="2">
        <v>2</v>
      </c>
      <c r="K372" s="14">
        <v>0.2</v>
      </c>
      <c r="L372" s="4">
        <v>0.21210000000000001</v>
      </c>
      <c r="M372" s="4">
        <v>0.49</v>
      </c>
      <c r="N372" s="4">
        <v>0.1343</v>
      </c>
      <c r="O372" s="4">
        <v>2</v>
      </c>
      <c r="P372" s="4">
        <v>19</v>
      </c>
      <c r="Q372" s="8">
        <v>21</v>
      </c>
    </row>
    <row r="373" spans="1:17" x14ac:dyDescent="0.25">
      <c r="A373" s="7">
        <v>372</v>
      </c>
      <c r="B373" s="3">
        <v>40559</v>
      </c>
      <c r="C373" s="2">
        <v>1</v>
      </c>
      <c r="D373" s="2">
        <v>0</v>
      </c>
      <c r="E373" s="2">
        <v>1</v>
      </c>
      <c r="F373" s="2">
        <v>23</v>
      </c>
      <c r="G373" s="2" t="str" cm="1">
        <f t="array" ref="G373">_xlfn.IFS(F373&lt;3,"Night",F373&lt;=6,"Early Morning",F373&lt;8,"Morning",F373&lt;10,"Late Morning",F373&lt;12,"Afternoon",F373&lt;16,"Afternoon",F373&lt;=18,"Early Evening",F373&lt;=20,"Evening",F373&lt;=22,"Late Evening",F373&lt;=23,"Night")</f>
        <v>Night</v>
      </c>
      <c r="H373" s="2" t="b">
        <v>0</v>
      </c>
      <c r="I373" s="2">
        <v>0</v>
      </c>
      <c r="J373" s="2">
        <v>2</v>
      </c>
      <c r="K373" s="14">
        <v>0.2</v>
      </c>
      <c r="L373" s="4">
        <v>0.2273</v>
      </c>
      <c r="M373" s="4">
        <v>0.4</v>
      </c>
      <c r="N373" s="4">
        <v>0.1045</v>
      </c>
      <c r="O373" s="4">
        <v>0</v>
      </c>
      <c r="P373" s="4">
        <v>18</v>
      </c>
      <c r="Q373" s="8">
        <v>18</v>
      </c>
    </row>
    <row r="374" spans="1:17" x14ac:dyDescent="0.25">
      <c r="A374" s="7">
        <v>373</v>
      </c>
      <c r="B374" s="3">
        <v>40560</v>
      </c>
      <c r="C374" s="2">
        <v>1</v>
      </c>
      <c r="D374" s="2">
        <v>0</v>
      </c>
      <c r="E374" s="2">
        <v>1</v>
      </c>
      <c r="F374" s="2">
        <v>0</v>
      </c>
      <c r="G374" s="2" t="str" cm="1">
        <f t="array" ref="G374">_xlfn.IFS(F374&lt;3,"Night",F374&lt;=6,"Early Morning",F374&lt;8,"Morning",F374&lt;10,"Late Morning",F374&lt;12,"Afternoon",F374&lt;16,"Afternoon",F374&lt;=18,"Early Evening",F374&lt;=20,"Evening",F374&lt;=22,"Late Evening",F374&lt;=23,"Night")</f>
        <v>Night</v>
      </c>
      <c r="H374" s="2" t="b">
        <v>1</v>
      </c>
      <c r="I374" s="2">
        <v>1</v>
      </c>
      <c r="J374" s="2">
        <v>2</v>
      </c>
      <c r="K374" s="14">
        <v>0.2</v>
      </c>
      <c r="L374" s="4">
        <v>0.19700000000000001</v>
      </c>
      <c r="M374" s="4">
        <v>0.47</v>
      </c>
      <c r="N374" s="4">
        <v>0.22389999999999999</v>
      </c>
      <c r="O374" s="4">
        <v>1</v>
      </c>
      <c r="P374" s="4">
        <v>16</v>
      </c>
      <c r="Q374" s="8">
        <v>17</v>
      </c>
    </row>
    <row r="375" spans="1:17" x14ac:dyDescent="0.25">
      <c r="A375" s="7">
        <v>374</v>
      </c>
      <c r="B375" s="3">
        <v>40560</v>
      </c>
      <c r="C375" s="2">
        <v>1</v>
      </c>
      <c r="D375" s="2">
        <v>0</v>
      </c>
      <c r="E375" s="2">
        <v>1</v>
      </c>
      <c r="F375" s="2">
        <v>1</v>
      </c>
      <c r="G375" s="2" t="str" cm="1">
        <f t="array" ref="G375">_xlfn.IFS(F375&lt;3,"Night",F375&lt;=6,"Early Morning",F375&lt;8,"Morning",F375&lt;10,"Late Morning",F375&lt;12,"Afternoon",F375&lt;16,"Afternoon",F375&lt;=18,"Early Evening",F375&lt;=20,"Evening",F375&lt;=22,"Late Evening",F375&lt;=23,"Night")</f>
        <v>Night</v>
      </c>
      <c r="H375" s="2" t="b">
        <v>1</v>
      </c>
      <c r="I375" s="2">
        <v>1</v>
      </c>
      <c r="J375" s="2">
        <v>2</v>
      </c>
      <c r="K375" s="14">
        <v>0.2</v>
      </c>
      <c r="L375" s="4">
        <v>0.19700000000000001</v>
      </c>
      <c r="M375" s="4">
        <v>0.44</v>
      </c>
      <c r="N375" s="4">
        <v>0.19400000000000001</v>
      </c>
      <c r="O375" s="4">
        <v>1</v>
      </c>
      <c r="P375" s="4">
        <v>15</v>
      </c>
      <c r="Q375" s="8">
        <v>16</v>
      </c>
    </row>
    <row r="376" spans="1:17" x14ac:dyDescent="0.25">
      <c r="A376" s="7">
        <v>375</v>
      </c>
      <c r="B376" s="3">
        <v>40560</v>
      </c>
      <c r="C376" s="2">
        <v>1</v>
      </c>
      <c r="D376" s="2">
        <v>0</v>
      </c>
      <c r="E376" s="2">
        <v>1</v>
      </c>
      <c r="F376" s="2">
        <v>2</v>
      </c>
      <c r="G376" s="2" t="str" cm="1">
        <f t="array" ref="G376">_xlfn.IFS(F376&lt;3,"Night",F376&lt;=6,"Early Morning",F376&lt;8,"Morning",F376&lt;10,"Late Morning",F376&lt;12,"Afternoon",F376&lt;16,"Afternoon",F376&lt;=18,"Early Evening",F376&lt;=20,"Evening",F376&lt;=22,"Late Evening",F376&lt;=23,"Night")</f>
        <v>Night</v>
      </c>
      <c r="H376" s="2" t="b">
        <v>1</v>
      </c>
      <c r="I376" s="2">
        <v>1</v>
      </c>
      <c r="J376" s="2">
        <v>2</v>
      </c>
      <c r="K376" s="14">
        <v>0.18</v>
      </c>
      <c r="L376" s="4">
        <v>0.16669999999999999</v>
      </c>
      <c r="M376" s="4">
        <v>0.43</v>
      </c>
      <c r="N376" s="4">
        <v>0.25369999999999998</v>
      </c>
      <c r="O376" s="4">
        <v>0</v>
      </c>
      <c r="P376" s="4">
        <v>8</v>
      </c>
      <c r="Q376" s="8">
        <v>8</v>
      </c>
    </row>
    <row r="377" spans="1:17" x14ac:dyDescent="0.25">
      <c r="A377" s="7">
        <v>376</v>
      </c>
      <c r="B377" s="3">
        <v>40560</v>
      </c>
      <c r="C377" s="2">
        <v>1</v>
      </c>
      <c r="D377" s="2">
        <v>0</v>
      </c>
      <c r="E377" s="2">
        <v>1</v>
      </c>
      <c r="F377" s="2">
        <v>3</v>
      </c>
      <c r="G377" s="2" t="str" cm="1">
        <f t="array" ref="G377">_xlfn.IFS(F377&lt;3,"Night",F377&lt;=6,"Early Morning",F377&lt;8,"Morning",F377&lt;10,"Late Morning",F377&lt;12,"Afternoon",F377&lt;16,"Afternoon",F377&lt;=18,"Early Evening",F377&lt;=20,"Evening",F377&lt;=22,"Late Evening",F377&lt;=23,"Night")</f>
        <v>Early Morning</v>
      </c>
      <c r="H377" s="2" t="b">
        <v>1</v>
      </c>
      <c r="I377" s="2">
        <v>1</v>
      </c>
      <c r="J377" s="2">
        <v>2</v>
      </c>
      <c r="K377" s="14">
        <v>0.18</v>
      </c>
      <c r="L377" s="4">
        <v>0.18179999999999999</v>
      </c>
      <c r="M377" s="4">
        <v>0.43</v>
      </c>
      <c r="N377" s="4">
        <v>0.19400000000000001</v>
      </c>
      <c r="O377" s="4">
        <v>0</v>
      </c>
      <c r="P377" s="4">
        <v>2</v>
      </c>
      <c r="Q377" s="8">
        <v>2</v>
      </c>
    </row>
    <row r="378" spans="1:17" x14ac:dyDescent="0.25">
      <c r="A378" s="7">
        <v>377</v>
      </c>
      <c r="B378" s="3">
        <v>40560</v>
      </c>
      <c r="C378" s="2">
        <v>1</v>
      </c>
      <c r="D378" s="2">
        <v>0</v>
      </c>
      <c r="E378" s="2">
        <v>1</v>
      </c>
      <c r="F378" s="2">
        <v>4</v>
      </c>
      <c r="G378" s="2" t="str" cm="1">
        <f t="array" ref="G378">_xlfn.IFS(F378&lt;3,"Night",F378&lt;=6,"Early Morning",F378&lt;8,"Morning",F378&lt;10,"Late Morning",F378&lt;12,"Afternoon",F378&lt;16,"Afternoon",F378&lt;=18,"Early Evening",F378&lt;=20,"Evening",F378&lt;=22,"Late Evening",F378&lt;=23,"Night")</f>
        <v>Early Morning</v>
      </c>
      <c r="H378" s="2" t="b">
        <v>1</v>
      </c>
      <c r="I378" s="2">
        <v>1</v>
      </c>
      <c r="J378" s="2">
        <v>2</v>
      </c>
      <c r="K378" s="14">
        <v>0.18</v>
      </c>
      <c r="L378" s="4">
        <v>0.19700000000000001</v>
      </c>
      <c r="M378" s="4">
        <v>0.43</v>
      </c>
      <c r="N378" s="4">
        <v>0.1343</v>
      </c>
      <c r="O378" s="4">
        <v>1</v>
      </c>
      <c r="P378" s="4">
        <v>2</v>
      </c>
      <c r="Q378" s="8">
        <v>3</v>
      </c>
    </row>
    <row r="379" spans="1:17" x14ac:dyDescent="0.25">
      <c r="A379" s="7">
        <v>378</v>
      </c>
      <c r="B379" s="3">
        <v>40560</v>
      </c>
      <c r="C379" s="2">
        <v>1</v>
      </c>
      <c r="D379" s="2">
        <v>0</v>
      </c>
      <c r="E379" s="2">
        <v>1</v>
      </c>
      <c r="F379" s="2">
        <v>5</v>
      </c>
      <c r="G379" s="2" t="str" cm="1">
        <f t="array" ref="G379">_xlfn.IFS(F379&lt;3,"Night",F379&lt;=6,"Early Morning",F379&lt;8,"Morning",F379&lt;10,"Late Morning",F379&lt;12,"Afternoon",F379&lt;16,"Afternoon",F379&lt;=18,"Early Evening",F379&lt;=20,"Evening",F379&lt;=22,"Late Evening",F379&lt;=23,"Night")</f>
        <v>Early Morning</v>
      </c>
      <c r="H379" s="2" t="b">
        <v>1</v>
      </c>
      <c r="I379" s="2">
        <v>1</v>
      </c>
      <c r="J379" s="2">
        <v>2</v>
      </c>
      <c r="K379" s="14">
        <v>0.18</v>
      </c>
      <c r="L379" s="4">
        <v>0.19700000000000001</v>
      </c>
      <c r="M379" s="4">
        <v>0.43</v>
      </c>
      <c r="N379" s="4">
        <v>0.16420000000000001</v>
      </c>
      <c r="O379" s="4">
        <v>0</v>
      </c>
      <c r="P379" s="4">
        <v>1</v>
      </c>
      <c r="Q379" s="8">
        <v>1</v>
      </c>
    </row>
    <row r="380" spans="1:17" x14ac:dyDescent="0.25">
      <c r="A380" s="7">
        <v>379</v>
      </c>
      <c r="B380" s="3">
        <v>40560</v>
      </c>
      <c r="C380" s="2">
        <v>1</v>
      </c>
      <c r="D380" s="2">
        <v>0</v>
      </c>
      <c r="E380" s="2">
        <v>1</v>
      </c>
      <c r="F380" s="2">
        <v>6</v>
      </c>
      <c r="G380" s="2" t="str" cm="1">
        <f t="array" ref="G380">_xlfn.IFS(F380&lt;3,"Night",F380&lt;=6,"Early Morning",F380&lt;8,"Morning",F380&lt;10,"Late Morning",F380&lt;12,"Afternoon",F380&lt;16,"Afternoon",F380&lt;=18,"Early Evening",F380&lt;=20,"Evening",F380&lt;=22,"Late Evening",F380&lt;=23,"Night")</f>
        <v>Early Morning</v>
      </c>
      <c r="H380" s="2" t="b">
        <v>1</v>
      </c>
      <c r="I380" s="2">
        <v>1</v>
      </c>
      <c r="J380" s="2">
        <v>2</v>
      </c>
      <c r="K380" s="14">
        <v>0.18</v>
      </c>
      <c r="L380" s="4">
        <v>0.18179999999999999</v>
      </c>
      <c r="M380" s="4">
        <v>0.43</v>
      </c>
      <c r="N380" s="4">
        <v>0.19400000000000001</v>
      </c>
      <c r="O380" s="4">
        <v>0</v>
      </c>
      <c r="P380" s="4">
        <v>5</v>
      </c>
      <c r="Q380" s="8">
        <v>5</v>
      </c>
    </row>
    <row r="381" spans="1:17" x14ac:dyDescent="0.25">
      <c r="A381" s="7">
        <v>380</v>
      </c>
      <c r="B381" s="3">
        <v>40560</v>
      </c>
      <c r="C381" s="2">
        <v>1</v>
      </c>
      <c r="D381" s="2">
        <v>0</v>
      </c>
      <c r="E381" s="2">
        <v>1</v>
      </c>
      <c r="F381" s="2">
        <v>7</v>
      </c>
      <c r="G381" s="2" t="str" cm="1">
        <f t="array" ref="G381">_xlfn.IFS(F381&lt;3,"Night",F381&lt;=6,"Early Morning",F381&lt;8,"Morning",F381&lt;10,"Late Morning",F381&lt;12,"Afternoon",F381&lt;16,"Afternoon",F381&lt;=18,"Early Evening",F381&lt;=20,"Evening",F381&lt;=22,"Late Evening",F381&lt;=23,"Night")</f>
        <v>Morning</v>
      </c>
      <c r="H381" s="2" t="b">
        <v>1</v>
      </c>
      <c r="I381" s="2">
        <v>1</v>
      </c>
      <c r="J381" s="2">
        <v>2</v>
      </c>
      <c r="K381" s="14">
        <v>0.16</v>
      </c>
      <c r="L381" s="4">
        <v>0.18179999999999999</v>
      </c>
      <c r="M381" s="4">
        <v>0.5</v>
      </c>
      <c r="N381" s="4">
        <v>0.1343</v>
      </c>
      <c r="O381" s="4">
        <v>4</v>
      </c>
      <c r="P381" s="4">
        <v>9</v>
      </c>
      <c r="Q381" s="8">
        <v>13</v>
      </c>
    </row>
    <row r="382" spans="1:17" x14ac:dyDescent="0.25">
      <c r="A382" s="7">
        <v>381</v>
      </c>
      <c r="B382" s="3">
        <v>40560</v>
      </c>
      <c r="C382" s="2">
        <v>1</v>
      </c>
      <c r="D382" s="2">
        <v>0</v>
      </c>
      <c r="E382" s="2">
        <v>1</v>
      </c>
      <c r="F382" s="2">
        <v>8</v>
      </c>
      <c r="G382" s="2" t="str" cm="1">
        <f t="array" ref="G382">_xlfn.IFS(F382&lt;3,"Night",F382&lt;=6,"Early Morning",F382&lt;8,"Morning",F382&lt;10,"Late Morning",F382&lt;12,"Afternoon",F382&lt;16,"Afternoon",F382&lt;=18,"Early Evening",F382&lt;=20,"Evening",F382&lt;=22,"Late Evening",F382&lt;=23,"Night")</f>
        <v>Late Morning</v>
      </c>
      <c r="H382" s="2" t="b">
        <v>1</v>
      </c>
      <c r="I382" s="2">
        <v>1</v>
      </c>
      <c r="J382" s="2">
        <v>2</v>
      </c>
      <c r="K382" s="14">
        <v>0.16</v>
      </c>
      <c r="L382" s="4">
        <v>0.1515</v>
      </c>
      <c r="M382" s="4">
        <v>0.47</v>
      </c>
      <c r="N382" s="4">
        <v>0.22389999999999999</v>
      </c>
      <c r="O382" s="4">
        <v>3</v>
      </c>
      <c r="P382" s="4">
        <v>30</v>
      </c>
      <c r="Q382" s="8">
        <v>33</v>
      </c>
    </row>
    <row r="383" spans="1:17" x14ac:dyDescent="0.25">
      <c r="A383" s="7">
        <v>382</v>
      </c>
      <c r="B383" s="3">
        <v>40560</v>
      </c>
      <c r="C383" s="2">
        <v>1</v>
      </c>
      <c r="D383" s="2">
        <v>0</v>
      </c>
      <c r="E383" s="2">
        <v>1</v>
      </c>
      <c r="F383" s="2">
        <v>9</v>
      </c>
      <c r="G383" s="2" t="str" cm="1">
        <f t="array" ref="G383">_xlfn.IFS(F383&lt;3,"Night",F383&lt;=6,"Early Morning",F383&lt;8,"Morning",F383&lt;10,"Late Morning",F383&lt;12,"Afternoon",F383&lt;16,"Afternoon",F383&lt;=18,"Early Evening",F383&lt;=20,"Evening",F383&lt;=22,"Late Evening",F383&lt;=23,"Night")</f>
        <v>Late Morning</v>
      </c>
      <c r="H383" s="2" t="b">
        <v>1</v>
      </c>
      <c r="I383" s="2">
        <v>1</v>
      </c>
      <c r="J383" s="2">
        <v>2</v>
      </c>
      <c r="K383" s="14">
        <v>0.16</v>
      </c>
      <c r="L383" s="4">
        <v>0.1515</v>
      </c>
      <c r="M383" s="4">
        <v>0.47</v>
      </c>
      <c r="N383" s="4">
        <v>0.22389999999999999</v>
      </c>
      <c r="O383" s="4">
        <v>8</v>
      </c>
      <c r="P383" s="4">
        <v>39</v>
      </c>
      <c r="Q383" s="8">
        <v>47</v>
      </c>
    </row>
    <row r="384" spans="1:17" x14ac:dyDescent="0.25">
      <c r="A384" s="7">
        <v>383</v>
      </c>
      <c r="B384" s="3">
        <v>40560</v>
      </c>
      <c r="C384" s="2">
        <v>1</v>
      </c>
      <c r="D384" s="2">
        <v>0</v>
      </c>
      <c r="E384" s="2">
        <v>1</v>
      </c>
      <c r="F384" s="2">
        <v>10</v>
      </c>
      <c r="G384" s="2" t="str" cm="1">
        <f t="array" ref="G384">_xlfn.IFS(F384&lt;3,"Night",F384&lt;=6,"Early Morning",F384&lt;8,"Morning",F384&lt;10,"Late Morning",F384&lt;12,"Afternoon",F384&lt;16,"Afternoon",F384&lt;=18,"Early Evening",F384&lt;=20,"Evening",F384&lt;=22,"Late Evening",F384&lt;=23,"Night")</f>
        <v>Afternoon</v>
      </c>
      <c r="H384" s="2" t="b">
        <v>1</v>
      </c>
      <c r="I384" s="2">
        <v>1</v>
      </c>
      <c r="J384" s="2">
        <v>2</v>
      </c>
      <c r="K384" s="14">
        <v>0.16</v>
      </c>
      <c r="L384" s="4">
        <v>0.1515</v>
      </c>
      <c r="M384" s="4">
        <v>0.5</v>
      </c>
      <c r="N384" s="4">
        <v>0.25369999999999998</v>
      </c>
      <c r="O384" s="4">
        <v>7</v>
      </c>
      <c r="P384" s="4">
        <v>50</v>
      </c>
      <c r="Q384" s="8">
        <v>57</v>
      </c>
    </row>
    <row r="385" spans="1:17" x14ac:dyDescent="0.25">
      <c r="A385" s="7">
        <v>384</v>
      </c>
      <c r="B385" s="3">
        <v>40560</v>
      </c>
      <c r="C385" s="2">
        <v>1</v>
      </c>
      <c r="D385" s="2">
        <v>0</v>
      </c>
      <c r="E385" s="2">
        <v>1</v>
      </c>
      <c r="F385" s="2">
        <v>11</v>
      </c>
      <c r="G385" s="2" t="str" cm="1">
        <f t="array" ref="G385">_xlfn.IFS(F385&lt;3,"Night",F385&lt;=6,"Early Morning",F385&lt;8,"Morning",F385&lt;10,"Late Morning",F385&lt;12,"Afternoon",F385&lt;16,"Afternoon",F385&lt;=18,"Early Evening",F385&lt;=20,"Evening",F385&lt;=22,"Late Evening",F385&lt;=23,"Night")</f>
        <v>Afternoon</v>
      </c>
      <c r="H385" s="2" t="b">
        <v>1</v>
      </c>
      <c r="I385" s="2">
        <v>1</v>
      </c>
      <c r="J385" s="2">
        <v>2</v>
      </c>
      <c r="K385" s="14">
        <v>0.16</v>
      </c>
      <c r="L385" s="4">
        <v>0.1515</v>
      </c>
      <c r="M385" s="4">
        <v>0.55000000000000004</v>
      </c>
      <c r="N385" s="4">
        <v>0.19400000000000001</v>
      </c>
      <c r="O385" s="4">
        <v>9</v>
      </c>
      <c r="P385" s="4">
        <v>55</v>
      </c>
      <c r="Q385" s="8">
        <v>64</v>
      </c>
    </row>
    <row r="386" spans="1:17" x14ac:dyDescent="0.25">
      <c r="A386" s="7">
        <v>385</v>
      </c>
      <c r="B386" s="3">
        <v>40560</v>
      </c>
      <c r="C386" s="2">
        <v>1</v>
      </c>
      <c r="D386" s="2">
        <v>0</v>
      </c>
      <c r="E386" s="2">
        <v>1</v>
      </c>
      <c r="F386" s="2">
        <v>12</v>
      </c>
      <c r="G386" s="2" t="str" cm="1">
        <f t="array" ref="G386">_xlfn.IFS(F386&lt;3,"Night",F386&lt;=6,"Early Morning",F386&lt;8,"Morning",F386&lt;10,"Late Morning",F386&lt;12,"Afternoon",F386&lt;16,"Afternoon",F386&lt;=18,"Early Evening",F386&lt;=20,"Evening",F386&lt;=22,"Late Evening",F386&lt;=23,"Night")</f>
        <v>Afternoon</v>
      </c>
      <c r="H386" s="2" t="b">
        <v>1</v>
      </c>
      <c r="I386" s="2">
        <v>1</v>
      </c>
      <c r="J386" s="2">
        <v>2</v>
      </c>
      <c r="K386" s="14">
        <v>0.18</v>
      </c>
      <c r="L386" s="4">
        <v>0.19700000000000001</v>
      </c>
      <c r="M386" s="4">
        <v>0.47</v>
      </c>
      <c r="N386" s="4">
        <v>0.1343</v>
      </c>
      <c r="O386" s="4">
        <v>10</v>
      </c>
      <c r="P386" s="4">
        <v>70</v>
      </c>
      <c r="Q386" s="8">
        <v>80</v>
      </c>
    </row>
    <row r="387" spans="1:17" x14ac:dyDescent="0.25">
      <c r="A387" s="7">
        <v>386</v>
      </c>
      <c r="B387" s="3">
        <v>40560</v>
      </c>
      <c r="C387" s="2">
        <v>1</v>
      </c>
      <c r="D387" s="2">
        <v>0</v>
      </c>
      <c r="E387" s="2">
        <v>1</v>
      </c>
      <c r="F387" s="2">
        <v>13</v>
      </c>
      <c r="G387" s="2" t="str" cm="1">
        <f t="array" ref="G387">_xlfn.IFS(F387&lt;3,"Night",F387&lt;=6,"Early Morning",F387&lt;8,"Morning",F387&lt;10,"Late Morning",F387&lt;12,"Afternoon",F387&lt;16,"Afternoon",F387&lt;=18,"Early Evening",F387&lt;=20,"Evening",F387&lt;=22,"Late Evening",F387&lt;=23,"Night")</f>
        <v>Afternoon</v>
      </c>
      <c r="H387" s="2" t="b">
        <v>1</v>
      </c>
      <c r="I387" s="2">
        <v>1</v>
      </c>
      <c r="J387" s="2">
        <v>2</v>
      </c>
      <c r="K387" s="14">
        <v>0.18</v>
      </c>
      <c r="L387" s="4">
        <v>0.19700000000000001</v>
      </c>
      <c r="M387" s="4">
        <v>0.47</v>
      </c>
      <c r="N387" s="4">
        <v>0.1343</v>
      </c>
      <c r="O387" s="4">
        <v>13</v>
      </c>
      <c r="P387" s="4">
        <v>80</v>
      </c>
      <c r="Q387" s="8">
        <v>93</v>
      </c>
    </row>
    <row r="388" spans="1:17" x14ac:dyDescent="0.25">
      <c r="A388" s="7">
        <v>387</v>
      </c>
      <c r="B388" s="3">
        <v>40560</v>
      </c>
      <c r="C388" s="2">
        <v>1</v>
      </c>
      <c r="D388" s="2">
        <v>0</v>
      </c>
      <c r="E388" s="2">
        <v>1</v>
      </c>
      <c r="F388" s="2">
        <v>14</v>
      </c>
      <c r="G388" s="2" t="str" cm="1">
        <f t="array" ref="G388">_xlfn.IFS(F388&lt;3,"Night",F388&lt;=6,"Early Morning",F388&lt;8,"Morning",F388&lt;10,"Late Morning",F388&lt;12,"Afternoon",F388&lt;16,"Afternoon",F388&lt;=18,"Early Evening",F388&lt;=20,"Evening",F388&lt;=22,"Late Evening",F388&lt;=23,"Night")</f>
        <v>Afternoon</v>
      </c>
      <c r="H388" s="2" t="b">
        <v>1</v>
      </c>
      <c r="I388" s="2">
        <v>1</v>
      </c>
      <c r="J388" s="2">
        <v>2</v>
      </c>
      <c r="K388" s="14">
        <v>0.18</v>
      </c>
      <c r="L388" s="4">
        <v>0.21210000000000001</v>
      </c>
      <c r="M388" s="4">
        <v>0.43</v>
      </c>
      <c r="N388" s="4">
        <v>0.1045</v>
      </c>
      <c r="O388" s="4">
        <v>12</v>
      </c>
      <c r="P388" s="4">
        <v>74</v>
      </c>
      <c r="Q388" s="8">
        <v>86</v>
      </c>
    </row>
    <row r="389" spans="1:17" x14ac:dyDescent="0.25">
      <c r="A389" s="7">
        <v>388</v>
      </c>
      <c r="B389" s="3">
        <v>40560</v>
      </c>
      <c r="C389" s="2">
        <v>1</v>
      </c>
      <c r="D389" s="2">
        <v>0</v>
      </c>
      <c r="E389" s="2">
        <v>1</v>
      </c>
      <c r="F389" s="2">
        <v>15</v>
      </c>
      <c r="G389" s="2" t="str" cm="1">
        <f t="array" ref="G389">_xlfn.IFS(F389&lt;3,"Night",F389&lt;=6,"Early Morning",F389&lt;8,"Morning",F389&lt;10,"Late Morning",F389&lt;12,"Afternoon",F389&lt;16,"Afternoon",F389&lt;=18,"Early Evening",F389&lt;=20,"Evening",F389&lt;=22,"Late Evening",F389&lt;=23,"Night")</f>
        <v>Afternoon</v>
      </c>
      <c r="H389" s="2" t="b">
        <v>1</v>
      </c>
      <c r="I389" s="2">
        <v>1</v>
      </c>
      <c r="J389" s="2">
        <v>2</v>
      </c>
      <c r="K389" s="14">
        <v>0.2</v>
      </c>
      <c r="L389" s="4">
        <v>0.21210000000000001</v>
      </c>
      <c r="M389" s="4">
        <v>0.47</v>
      </c>
      <c r="N389" s="4">
        <v>0.16420000000000001</v>
      </c>
      <c r="O389" s="4">
        <v>21</v>
      </c>
      <c r="P389" s="4">
        <v>72</v>
      </c>
      <c r="Q389" s="8">
        <v>93</v>
      </c>
    </row>
    <row r="390" spans="1:17" x14ac:dyDescent="0.25">
      <c r="A390" s="7">
        <v>389</v>
      </c>
      <c r="B390" s="3">
        <v>40560</v>
      </c>
      <c r="C390" s="2">
        <v>1</v>
      </c>
      <c r="D390" s="2">
        <v>0</v>
      </c>
      <c r="E390" s="2">
        <v>1</v>
      </c>
      <c r="F390" s="2">
        <v>16</v>
      </c>
      <c r="G390" s="2" t="str" cm="1">
        <f t="array" ref="G390">_xlfn.IFS(F390&lt;3,"Night",F390&lt;=6,"Early Morning",F390&lt;8,"Morning",F390&lt;10,"Late Morning",F390&lt;12,"Afternoon",F390&lt;16,"Afternoon",F390&lt;=18,"Early Evening",F390&lt;=20,"Evening",F390&lt;=22,"Late Evening",F390&lt;=23,"Night")</f>
        <v>Early Evening</v>
      </c>
      <c r="H390" s="2" t="b">
        <v>1</v>
      </c>
      <c r="I390" s="2">
        <v>1</v>
      </c>
      <c r="J390" s="2">
        <v>2</v>
      </c>
      <c r="K390" s="14">
        <v>0.2</v>
      </c>
      <c r="L390" s="4">
        <v>0.21210000000000001</v>
      </c>
      <c r="M390" s="4">
        <v>0.47</v>
      </c>
      <c r="N390" s="4">
        <v>0.16420000000000001</v>
      </c>
      <c r="O390" s="4">
        <v>6</v>
      </c>
      <c r="P390" s="4">
        <v>76</v>
      </c>
      <c r="Q390" s="8">
        <v>82</v>
      </c>
    </row>
    <row r="391" spans="1:17" x14ac:dyDescent="0.25">
      <c r="A391" s="7">
        <v>390</v>
      </c>
      <c r="B391" s="3">
        <v>40560</v>
      </c>
      <c r="C391" s="2">
        <v>1</v>
      </c>
      <c r="D391" s="2">
        <v>0</v>
      </c>
      <c r="E391" s="2">
        <v>1</v>
      </c>
      <c r="F391" s="2">
        <v>17</v>
      </c>
      <c r="G391" s="2" t="str" cm="1">
        <f t="array" ref="G391">_xlfn.IFS(F391&lt;3,"Night",F391&lt;=6,"Early Morning",F391&lt;8,"Morning",F391&lt;10,"Late Morning",F391&lt;12,"Afternoon",F391&lt;16,"Afternoon",F391&lt;=18,"Early Evening",F391&lt;=20,"Evening",F391&lt;=22,"Late Evening",F391&lt;=23,"Night")</f>
        <v>Early Evening</v>
      </c>
      <c r="H391" s="2" t="b">
        <v>1</v>
      </c>
      <c r="I391" s="2">
        <v>1</v>
      </c>
      <c r="J391" s="2">
        <v>1</v>
      </c>
      <c r="K391" s="14">
        <v>0.2</v>
      </c>
      <c r="L391" s="4">
        <v>0.19700000000000001</v>
      </c>
      <c r="M391" s="4">
        <v>0.51</v>
      </c>
      <c r="N391" s="4">
        <v>0.19400000000000001</v>
      </c>
      <c r="O391" s="4">
        <v>4</v>
      </c>
      <c r="P391" s="4">
        <v>67</v>
      </c>
      <c r="Q391" s="8">
        <v>71</v>
      </c>
    </row>
    <row r="392" spans="1:17" x14ac:dyDescent="0.25">
      <c r="A392" s="7">
        <v>391</v>
      </c>
      <c r="B392" s="3">
        <v>40560</v>
      </c>
      <c r="C392" s="2">
        <v>1</v>
      </c>
      <c r="D392" s="2">
        <v>0</v>
      </c>
      <c r="E392" s="2">
        <v>1</v>
      </c>
      <c r="F392" s="2">
        <v>18</v>
      </c>
      <c r="G392" s="2" t="str" cm="1">
        <f t="array" ref="G392">_xlfn.IFS(F392&lt;3,"Night",F392&lt;=6,"Early Morning",F392&lt;8,"Morning",F392&lt;10,"Late Morning",F392&lt;12,"Afternoon",F392&lt;16,"Afternoon",F392&lt;=18,"Early Evening",F392&lt;=20,"Evening",F392&lt;=22,"Late Evening",F392&lt;=23,"Night")</f>
        <v>Early Evening</v>
      </c>
      <c r="H392" s="2" t="b">
        <v>1</v>
      </c>
      <c r="I392" s="2">
        <v>1</v>
      </c>
      <c r="J392" s="2">
        <v>2</v>
      </c>
      <c r="K392" s="14">
        <v>0.18</v>
      </c>
      <c r="L392" s="4">
        <v>0.16669999999999999</v>
      </c>
      <c r="M392" s="4">
        <v>0.55000000000000004</v>
      </c>
      <c r="N392" s="4">
        <v>0.25369999999999998</v>
      </c>
      <c r="O392" s="4">
        <v>7</v>
      </c>
      <c r="P392" s="4">
        <v>85</v>
      </c>
      <c r="Q392" s="8">
        <v>92</v>
      </c>
    </row>
    <row r="393" spans="1:17" x14ac:dyDescent="0.25">
      <c r="A393" s="7">
        <v>392</v>
      </c>
      <c r="B393" s="3">
        <v>40560</v>
      </c>
      <c r="C393" s="2">
        <v>1</v>
      </c>
      <c r="D393" s="2">
        <v>0</v>
      </c>
      <c r="E393" s="2">
        <v>1</v>
      </c>
      <c r="F393" s="2">
        <v>19</v>
      </c>
      <c r="G393" s="2" t="str" cm="1">
        <f t="array" ref="G393">_xlfn.IFS(F393&lt;3,"Night",F393&lt;=6,"Early Morning",F393&lt;8,"Morning",F393&lt;10,"Late Morning",F393&lt;12,"Afternoon",F393&lt;16,"Afternoon",F393&lt;=18,"Early Evening",F393&lt;=20,"Evening",F393&lt;=22,"Late Evening",F393&lt;=23,"Night")</f>
        <v>Evening</v>
      </c>
      <c r="H393" s="2" t="b">
        <v>1</v>
      </c>
      <c r="I393" s="2">
        <v>1</v>
      </c>
      <c r="J393" s="2">
        <v>3</v>
      </c>
      <c r="K393" s="14">
        <v>0.18</v>
      </c>
      <c r="L393" s="4">
        <v>0.18179999999999999</v>
      </c>
      <c r="M393" s="4">
        <v>0.59</v>
      </c>
      <c r="N393" s="4">
        <v>0.19400000000000001</v>
      </c>
      <c r="O393" s="4">
        <v>2</v>
      </c>
      <c r="P393" s="4">
        <v>58</v>
      </c>
      <c r="Q393" s="8">
        <v>60</v>
      </c>
    </row>
    <row r="394" spans="1:17" x14ac:dyDescent="0.25">
      <c r="A394" s="7">
        <v>393</v>
      </c>
      <c r="B394" s="3">
        <v>40560</v>
      </c>
      <c r="C394" s="2">
        <v>1</v>
      </c>
      <c r="D394" s="2">
        <v>0</v>
      </c>
      <c r="E394" s="2">
        <v>1</v>
      </c>
      <c r="F394" s="2">
        <v>20</v>
      </c>
      <c r="G394" s="2" t="str" cm="1">
        <f t="array" ref="G394">_xlfn.IFS(F394&lt;3,"Night",F394&lt;=6,"Early Morning",F394&lt;8,"Morning",F394&lt;10,"Late Morning",F394&lt;12,"Afternoon",F394&lt;16,"Afternoon",F394&lt;=18,"Early Evening",F394&lt;=20,"Evening",F394&lt;=22,"Late Evening",F394&lt;=23,"Night")</f>
        <v>Evening</v>
      </c>
      <c r="H394" s="2" t="b">
        <v>1</v>
      </c>
      <c r="I394" s="2">
        <v>1</v>
      </c>
      <c r="J394" s="2">
        <v>3</v>
      </c>
      <c r="K394" s="14">
        <v>0.16</v>
      </c>
      <c r="L394" s="4">
        <v>0.1515</v>
      </c>
      <c r="M394" s="4">
        <v>0.8</v>
      </c>
      <c r="N394" s="4">
        <v>0.19400000000000001</v>
      </c>
      <c r="O394" s="4">
        <v>4</v>
      </c>
      <c r="P394" s="4">
        <v>29</v>
      </c>
      <c r="Q394" s="8">
        <v>33</v>
      </c>
    </row>
    <row r="395" spans="1:17" x14ac:dyDescent="0.25">
      <c r="A395" s="7">
        <v>394</v>
      </c>
      <c r="B395" s="3">
        <v>40560</v>
      </c>
      <c r="C395" s="2">
        <v>1</v>
      </c>
      <c r="D395" s="2">
        <v>0</v>
      </c>
      <c r="E395" s="2">
        <v>1</v>
      </c>
      <c r="F395" s="2">
        <v>21</v>
      </c>
      <c r="G395" s="2" t="str" cm="1">
        <f t="array" ref="G395">_xlfn.IFS(F395&lt;3,"Night",F395&lt;=6,"Early Morning",F395&lt;8,"Morning",F395&lt;10,"Late Morning",F395&lt;12,"Afternoon",F395&lt;16,"Afternoon",F395&lt;=18,"Early Evening",F395&lt;=20,"Evening",F395&lt;=22,"Late Evening",F395&lt;=23,"Night")</f>
        <v>Late Evening</v>
      </c>
      <c r="H395" s="2" t="b">
        <v>1</v>
      </c>
      <c r="I395" s="2">
        <v>1</v>
      </c>
      <c r="J395" s="2">
        <v>3</v>
      </c>
      <c r="K395" s="14">
        <v>0.16</v>
      </c>
      <c r="L395" s="4">
        <v>0.1515</v>
      </c>
      <c r="M395" s="4">
        <v>0.8</v>
      </c>
      <c r="N395" s="4">
        <v>0.19400000000000001</v>
      </c>
      <c r="O395" s="4">
        <v>3</v>
      </c>
      <c r="P395" s="4">
        <v>24</v>
      </c>
      <c r="Q395" s="8">
        <v>27</v>
      </c>
    </row>
    <row r="396" spans="1:17" x14ac:dyDescent="0.25">
      <c r="A396" s="7">
        <v>395</v>
      </c>
      <c r="B396" s="3">
        <v>40560</v>
      </c>
      <c r="C396" s="2">
        <v>1</v>
      </c>
      <c r="D396" s="2">
        <v>0</v>
      </c>
      <c r="E396" s="2">
        <v>1</v>
      </c>
      <c r="F396" s="2">
        <v>22</v>
      </c>
      <c r="G396" s="2" t="str" cm="1">
        <f t="array" ref="G396">_xlfn.IFS(F396&lt;3,"Night",F396&lt;=6,"Early Morning",F396&lt;8,"Morning",F396&lt;10,"Late Morning",F396&lt;12,"Afternoon",F396&lt;16,"Afternoon",F396&lt;=18,"Early Evening",F396&lt;=20,"Evening",F396&lt;=22,"Late Evening",F396&lt;=23,"Night")</f>
        <v>Late Evening</v>
      </c>
      <c r="H396" s="2" t="b">
        <v>1</v>
      </c>
      <c r="I396" s="2">
        <v>1</v>
      </c>
      <c r="J396" s="2">
        <v>3</v>
      </c>
      <c r="K396" s="14">
        <v>0.14000000000000001</v>
      </c>
      <c r="L396" s="4">
        <v>0.1212</v>
      </c>
      <c r="M396" s="4">
        <v>0.93</v>
      </c>
      <c r="N396" s="4">
        <v>0.25369999999999998</v>
      </c>
      <c r="O396" s="4">
        <v>0</v>
      </c>
      <c r="P396" s="4">
        <v>13</v>
      </c>
      <c r="Q396" s="8">
        <v>13</v>
      </c>
    </row>
    <row r="397" spans="1:17" x14ac:dyDescent="0.25">
      <c r="A397" s="7">
        <v>396</v>
      </c>
      <c r="B397" s="3">
        <v>40560</v>
      </c>
      <c r="C397" s="2">
        <v>1</v>
      </c>
      <c r="D397" s="2">
        <v>0</v>
      </c>
      <c r="E397" s="2">
        <v>1</v>
      </c>
      <c r="F397" s="2">
        <v>23</v>
      </c>
      <c r="G397" s="2" t="str" cm="1">
        <f t="array" ref="G397">_xlfn.IFS(F397&lt;3,"Night",F397&lt;=6,"Early Morning",F397&lt;8,"Morning",F397&lt;10,"Late Morning",F397&lt;12,"Afternoon",F397&lt;16,"Afternoon",F397&lt;=18,"Early Evening",F397&lt;=20,"Evening",F397&lt;=22,"Late Evening",F397&lt;=23,"Night")</f>
        <v>Night</v>
      </c>
      <c r="H397" s="2" t="b">
        <v>1</v>
      </c>
      <c r="I397" s="2">
        <v>1</v>
      </c>
      <c r="J397" s="2">
        <v>3</v>
      </c>
      <c r="K397" s="14">
        <v>0.16</v>
      </c>
      <c r="L397" s="4">
        <v>0.13639999999999999</v>
      </c>
      <c r="M397" s="4">
        <v>0.86</v>
      </c>
      <c r="N397" s="4">
        <v>0.28360000000000002</v>
      </c>
      <c r="O397" s="4">
        <v>1</v>
      </c>
      <c r="P397" s="4">
        <v>3</v>
      </c>
      <c r="Q397" s="8">
        <v>4</v>
      </c>
    </row>
    <row r="398" spans="1:17" x14ac:dyDescent="0.25">
      <c r="A398" s="7">
        <v>397</v>
      </c>
      <c r="B398" s="3">
        <v>40561</v>
      </c>
      <c r="C398" s="2">
        <v>1</v>
      </c>
      <c r="D398" s="2">
        <v>0</v>
      </c>
      <c r="E398" s="2">
        <v>1</v>
      </c>
      <c r="F398" s="2">
        <v>12</v>
      </c>
      <c r="G398" s="2" t="str" cm="1">
        <f t="array" ref="G398">_xlfn.IFS(F398&lt;3,"Night",F398&lt;=6,"Early Morning",F398&lt;8,"Morning",F398&lt;10,"Late Morning",F398&lt;12,"Afternoon",F398&lt;16,"Afternoon",F398&lt;=18,"Early Evening",F398&lt;=20,"Evening",F398&lt;=22,"Late Evening",F398&lt;=23,"Night")</f>
        <v>Afternoon</v>
      </c>
      <c r="H398" s="2" t="b">
        <v>0</v>
      </c>
      <c r="I398" s="2">
        <v>2</v>
      </c>
      <c r="J398" s="2">
        <v>2</v>
      </c>
      <c r="K398" s="14">
        <v>0.2</v>
      </c>
      <c r="L398" s="4">
        <v>0.18179999999999999</v>
      </c>
      <c r="M398" s="4">
        <v>0.86</v>
      </c>
      <c r="N398" s="4">
        <v>0.32840000000000003</v>
      </c>
      <c r="O398" s="4">
        <v>0</v>
      </c>
      <c r="P398" s="4">
        <v>3</v>
      </c>
      <c r="Q398" s="8">
        <v>3</v>
      </c>
    </row>
    <row r="399" spans="1:17" x14ac:dyDescent="0.25">
      <c r="A399" s="7">
        <v>398</v>
      </c>
      <c r="B399" s="3">
        <v>40561</v>
      </c>
      <c r="C399" s="2">
        <v>1</v>
      </c>
      <c r="D399" s="2">
        <v>0</v>
      </c>
      <c r="E399" s="2">
        <v>1</v>
      </c>
      <c r="F399" s="2">
        <v>13</v>
      </c>
      <c r="G399" s="2" t="str" cm="1">
        <f t="array" ref="G399">_xlfn.IFS(F399&lt;3,"Night",F399&lt;=6,"Early Morning",F399&lt;8,"Morning",F399&lt;10,"Late Morning",F399&lt;12,"Afternoon",F399&lt;16,"Afternoon",F399&lt;=18,"Early Evening",F399&lt;=20,"Evening",F399&lt;=22,"Late Evening",F399&lt;=23,"Night")</f>
        <v>Afternoon</v>
      </c>
      <c r="H399" s="2" t="b">
        <v>0</v>
      </c>
      <c r="I399" s="2">
        <v>2</v>
      </c>
      <c r="J399" s="2">
        <v>2</v>
      </c>
      <c r="K399" s="14">
        <v>0.2</v>
      </c>
      <c r="L399" s="4">
        <v>0.19700000000000001</v>
      </c>
      <c r="M399" s="4">
        <v>0.86</v>
      </c>
      <c r="N399" s="4">
        <v>0.22389999999999999</v>
      </c>
      <c r="O399" s="4">
        <v>0</v>
      </c>
      <c r="P399" s="4">
        <v>22</v>
      </c>
      <c r="Q399" s="8">
        <v>22</v>
      </c>
    </row>
    <row r="400" spans="1:17" x14ac:dyDescent="0.25">
      <c r="A400" s="7">
        <v>399</v>
      </c>
      <c r="B400" s="3">
        <v>40561</v>
      </c>
      <c r="C400" s="2">
        <v>1</v>
      </c>
      <c r="D400" s="2">
        <v>0</v>
      </c>
      <c r="E400" s="2">
        <v>1</v>
      </c>
      <c r="F400" s="2">
        <v>14</v>
      </c>
      <c r="G400" s="2" t="str" cm="1">
        <f t="array" ref="G400">_xlfn.IFS(F400&lt;3,"Night",F400&lt;=6,"Early Morning",F400&lt;8,"Morning",F400&lt;10,"Late Morning",F400&lt;12,"Afternoon",F400&lt;16,"Afternoon",F400&lt;=18,"Early Evening",F400&lt;=20,"Evening",F400&lt;=22,"Late Evening",F400&lt;=23,"Night")</f>
        <v>Afternoon</v>
      </c>
      <c r="H400" s="2" t="b">
        <v>0</v>
      </c>
      <c r="I400" s="2">
        <v>2</v>
      </c>
      <c r="J400" s="2">
        <v>2</v>
      </c>
      <c r="K400" s="14">
        <v>0.22</v>
      </c>
      <c r="L400" s="4">
        <v>0.2273</v>
      </c>
      <c r="M400" s="4">
        <v>0.8</v>
      </c>
      <c r="N400" s="4">
        <v>0.16420000000000001</v>
      </c>
      <c r="O400" s="4">
        <v>2</v>
      </c>
      <c r="P400" s="4">
        <v>26</v>
      </c>
      <c r="Q400" s="8">
        <v>28</v>
      </c>
    </row>
    <row r="401" spans="1:17" x14ac:dyDescent="0.25">
      <c r="A401" s="7">
        <v>400</v>
      </c>
      <c r="B401" s="3">
        <v>40561</v>
      </c>
      <c r="C401" s="2">
        <v>1</v>
      </c>
      <c r="D401" s="2">
        <v>0</v>
      </c>
      <c r="E401" s="2">
        <v>1</v>
      </c>
      <c r="F401" s="2">
        <v>15</v>
      </c>
      <c r="G401" s="2" t="str" cm="1">
        <f t="array" ref="G401">_xlfn.IFS(F401&lt;3,"Night",F401&lt;=6,"Early Morning",F401&lt;8,"Morning",F401&lt;10,"Late Morning",F401&lt;12,"Afternoon",F401&lt;16,"Afternoon",F401&lt;=18,"Early Evening",F401&lt;=20,"Evening",F401&lt;=22,"Late Evening",F401&lt;=23,"Night")</f>
        <v>Afternoon</v>
      </c>
      <c r="H401" s="2" t="b">
        <v>0</v>
      </c>
      <c r="I401" s="2">
        <v>2</v>
      </c>
      <c r="J401" s="2">
        <v>2</v>
      </c>
      <c r="K401" s="14">
        <v>0.22</v>
      </c>
      <c r="L401" s="4">
        <v>0.2273</v>
      </c>
      <c r="M401" s="4">
        <v>0.87</v>
      </c>
      <c r="N401" s="4">
        <v>0.16420000000000001</v>
      </c>
      <c r="O401" s="4">
        <v>3</v>
      </c>
      <c r="P401" s="4">
        <v>32</v>
      </c>
      <c r="Q401" s="8">
        <v>35</v>
      </c>
    </row>
    <row r="402" spans="1:17" x14ac:dyDescent="0.25">
      <c r="A402" s="7">
        <v>401</v>
      </c>
      <c r="B402" s="3">
        <v>40561</v>
      </c>
      <c r="C402" s="2">
        <v>1</v>
      </c>
      <c r="D402" s="2">
        <v>0</v>
      </c>
      <c r="E402" s="2">
        <v>1</v>
      </c>
      <c r="F402" s="2">
        <v>16</v>
      </c>
      <c r="G402" s="2" t="str" cm="1">
        <f t="array" ref="G402">_xlfn.IFS(F402&lt;3,"Night",F402&lt;=6,"Early Morning",F402&lt;8,"Morning",F402&lt;10,"Late Morning",F402&lt;12,"Afternoon",F402&lt;16,"Afternoon",F402&lt;=18,"Early Evening",F402&lt;=20,"Evening",F402&lt;=22,"Late Evening",F402&lt;=23,"Night")</f>
        <v>Early Evening</v>
      </c>
      <c r="H402" s="2" t="b">
        <v>0</v>
      </c>
      <c r="I402" s="2">
        <v>2</v>
      </c>
      <c r="J402" s="2">
        <v>2</v>
      </c>
      <c r="K402" s="14">
        <v>0.22</v>
      </c>
      <c r="L402" s="4">
        <v>0.2273</v>
      </c>
      <c r="M402" s="4">
        <v>0.87</v>
      </c>
      <c r="N402" s="4">
        <v>0.19400000000000001</v>
      </c>
      <c r="O402" s="4">
        <v>0</v>
      </c>
      <c r="P402" s="4">
        <v>61</v>
      </c>
      <c r="Q402" s="8">
        <v>61</v>
      </c>
    </row>
    <row r="403" spans="1:17" x14ac:dyDescent="0.25">
      <c r="A403" s="7">
        <v>402</v>
      </c>
      <c r="B403" s="3">
        <v>40561</v>
      </c>
      <c r="C403" s="2">
        <v>1</v>
      </c>
      <c r="D403" s="2">
        <v>0</v>
      </c>
      <c r="E403" s="2">
        <v>1</v>
      </c>
      <c r="F403" s="2">
        <v>17</v>
      </c>
      <c r="G403" s="2" t="str" cm="1">
        <f t="array" ref="G403">_xlfn.IFS(F403&lt;3,"Night",F403&lt;=6,"Early Morning",F403&lt;8,"Morning",F403&lt;10,"Late Morning",F403&lt;12,"Afternoon",F403&lt;16,"Afternoon",F403&lt;=18,"Early Evening",F403&lt;=20,"Evening",F403&lt;=22,"Late Evening",F403&lt;=23,"Night")</f>
        <v>Early Evening</v>
      </c>
      <c r="H403" s="2" t="b">
        <v>0</v>
      </c>
      <c r="I403" s="2">
        <v>2</v>
      </c>
      <c r="J403" s="2">
        <v>2</v>
      </c>
      <c r="K403" s="14">
        <v>0.22</v>
      </c>
      <c r="L403" s="4">
        <v>0.2273</v>
      </c>
      <c r="M403" s="4">
        <v>0.82</v>
      </c>
      <c r="N403" s="4">
        <v>0.19400000000000001</v>
      </c>
      <c r="O403" s="4">
        <v>1</v>
      </c>
      <c r="P403" s="4">
        <v>124</v>
      </c>
      <c r="Q403" s="8">
        <v>125</v>
      </c>
    </row>
    <row r="404" spans="1:17" x14ac:dyDescent="0.25">
      <c r="A404" s="7">
        <v>403</v>
      </c>
      <c r="B404" s="3">
        <v>40561</v>
      </c>
      <c r="C404" s="2">
        <v>1</v>
      </c>
      <c r="D404" s="2">
        <v>0</v>
      </c>
      <c r="E404" s="2">
        <v>1</v>
      </c>
      <c r="F404" s="2">
        <v>18</v>
      </c>
      <c r="G404" s="2" t="str" cm="1">
        <f t="array" ref="G404">_xlfn.IFS(F404&lt;3,"Night",F404&lt;=6,"Early Morning",F404&lt;8,"Morning",F404&lt;10,"Late Morning",F404&lt;12,"Afternoon",F404&lt;16,"Afternoon",F404&lt;=18,"Early Evening",F404&lt;=20,"Evening",F404&lt;=22,"Late Evening",F404&lt;=23,"Night")</f>
        <v>Early Evening</v>
      </c>
      <c r="H404" s="2" t="b">
        <v>0</v>
      </c>
      <c r="I404" s="2">
        <v>2</v>
      </c>
      <c r="J404" s="2">
        <v>2</v>
      </c>
      <c r="K404" s="14">
        <v>0.22</v>
      </c>
      <c r="L404" s="4">
        <v>0.2273</v>
      </c>
      <c r="M404" s="4">
        <v>0.8</v>
      </c>
      <c r="N404" s="4">
        <v>0.16420000000000001</v>
      </c>
      <c r="O404" s="4">
        <v>1</v>
      </c>
      <c r="P404" s="4">
        <v>132</v>
      </c>
      <c r="Q404" s="8">
        <v>133</v>
      </c>
    </row>
    <row r="405" spans="1:17" x14ac:dyDescent="0.25">
      <c r="A405" s="7">
        <v>404</v>
      </c>
      <c r="B405" s="3">
        <v>40561</v>
      </c>
      <c r="C405" s="2">
        <v>1</v>
      </c>
      <c r="D405" s="2">
        <v>0</v>
      </c>
      <c r="E405" s="2">
        <v>1</v>
      </c>
      <c r="F405" s="2">
        <v>19</v>
      </c>
      <c r="G405" s="2" t="str" cm="1">
        <f t="array" ref="G405">_xlfn.IFS(F405&lt;3,"Night",F405&lt;=6,"Early Morning",F405&lt;8,"Morning",F405&lt;10,"Late Morning",F405&lt;12,"Afternoon",F405&lt;16,"Afternoon",F405&lt;=18,"Early Evening",F405&lt;=20,"Evening",F405&lt;=22,"Late Evening",F405&lt;=23,"Night")</f>
        <v>Evening</v>
      </c>
      <c r="H405" s="2" t="b">
        <v>0</v>
      </c>
      <c r="I405" s="2">
        <v>2</v>
      </c>
      <c r="J405" s="2">
        <v>2</v>
      </c>
      <c r="K405" s="14">
        <v>0.22</v>
      </c>
      <c r="L405" s="4">
        <v>0.2273</v>
      </c>
      <c r="M405" s="4">
        <v>0.8</v>
      </c>
      <c r="N405" s="4">
        <v>0.1343</v>
      </c>
      <c r="O405" s="4">
        <v>1</v>
      </c>
      <c r="P405" s="4">
        <v>98</v>
      </c>
      <c r="Q405" s="8">
        <v>99</v>
      </c>
    </row>
    <row r="406" spans="1:17" x14ac:dyDescent="0.25">
      <c r="A406" s="7">
        <v>405</v>
      </c>
      <c r="B406" s="3">
        <v>40561</v>
      </c>
      <c r="C406" s="2">
        <v>1</v>
      </c>
      <c r="D406" s="2">
        <v>0</v>
      </c>
      <c r="E406" s="2">
        <v>1</v>
      </c>
      <c r="F406" s="2">
        <v>20</v>
      </c>
      <c r="G406" s="2" t="str" cm="1">
        <f t="array" ref="G406">_xlfn.IFS(F406&lt;3,"Night",F406&lt;=6,"Early Morning",F406&lt;8,"Morning",F406&lt;10,"Late Morning",F406&lt;12,"Afternoon",F406&lt;16,"Afternoon",F406&lt;=18,"Early Evening",F406&lt;=20,"Evening",F406&lt;=22,"Late Evening",F406&lt;=23,"Night")</f>
        <v>Evening</v>
      </c>
      <c r="H406" s="2" t="b">
        <v>0</v>
      </c>
      <c r="I406" s="2">
        <v>2</v>
      </c>
      <c r="J406" s="2">
        <v>2</v>
      </c>
      <c r="K406" s="14">
        <v>0.22</v>
      </c>
      <c r="L406" s="4">
        <v>0.2727</v>
      </c>
      <c r="M406" s="4">
        <v>0.87</v>
      </c>
      <c r="N406" s="4">
        <v>0</v>
      </c>
      <c r="O406" s="4">
        <v>0</v>
      </c>
      <c r="P406" s="4">
        <v>83</v>
      </c>
      <c r="Q406" s="8">
        <v>83</v>
      </c>
    </row>
    <row r="407" spans="1:17" x14ac:dyDescent="0.25">
      <c r="A407" s="7">
        <v>406</v>
      </c>
      <c r="B407" s="3">
        <v>40561</v>
      </c>
      <c r="C407" s="2">
        <v>1</v>
      </c>
      <c r="D407" s="2">
        <v>0</v>
      </c>
      <c r="E407" s="2">
        <v>1</v>
      </c>
      <c r="F407" s="2">
        <v>21</v>
      </c>
      <c r="G407" s="2" t="str" cm="1">
        <f t="array" ref="G407">_xlfn.IFS(F407&lt;3,"Night",F407&lt;=6,"Early Morning",F407&lt;8,"Morning",F407&lt;10,"Late Morning",F407&lt;12,"Afternoon",F407&lt;16,"Afternoon",F407&lt;=18,"Early Evening",F407&lt;=20,"Evening",F407&lt;=22,"Late Evening",F407&lt;=23,"Night")</f>
        <v>Late Evening</v>
      </c>
      <c r="H407" s="2" t="b">
        <v>0</v>
      </c>
      <c r="I407" s="2">
        <v>2</v>
      </c>
      <c r="J407" s="2">
        <v>2</v>
      </c>
      <c r="K407" s="14">
        <v>0.22</v>
      </c>
      <c r="L407" s="4">
        <v>0.2424</v>
      </c>
      <c r="M407" s="4">
        <v>0.93</v>
      </c>
      <c r="N407" s="4">
        <v>0.1045</v>
      </c>
      <c r="O407" s="4">
        <v>0</v>
      </c>
      <c r="P407" s="4">
        <v>41</v>
      </c>
      <c r="Q407" s="8">
        <v>41</v>
      </c>
    </row>
    <row r="408" spans="1:17" x14ac:dyDescent="0.25">
      <c r="A408" s="7">
        <v>407</v>
      </c>
      <c r="B408" s="3">
        <v>40561</v>
      </c>
      <c r="C408" s="2">
        <v>1</v>
      </c>
      <c r="D408" s="2">
        <v>0</v>
      </c>
      <c r="E408" s="2">
        <v>1</v>
      </c>
      <c r="F408" s="2">
        <v>22</v>
      </c>
      <c r="G408" s="2" t="str" cm="1">
        <f t="array" ref="G408">_xlfn.IFS(F408&lt;3,"Night",F408&lt;=6,"Early Morning",F408&lt;8,"Morning",F408&lt;10,"Late Morning",F408&lt;12,"Afternoon",F408&lt;16,"Afternoon",F408&lt;=18,"Early Evening",F408&lt;=20,"Evening",F408&lt;=22,"Late Evening",F408&lt;=23,"Night")</f>
        <v>Late Evening</v>
      </c>
      <c r="H408" s="2" t="b">
        <v>0</v>
      </c>
      <c r="I408" s="2">
        <v>2</v>
      </c>
      <c r="J408" s="2">
        <v>2</v>
      </c>
      <c r="K408" s="14">
        <v>0.22</v>
      </c>
      <c r="L408" s="4">
        <v>0.2576</v>
      </c>
      <c r="M408" s="4">
        <v>0.93</v>
      </c>
      <c r="N408" s="4">
        <v>8.9599999999999999E-2</v>
      </c>
      <c r="O408" s="4">
        <v>0</v>
      </c>
      <c r="P408" s="4">
        <v>33</v>
      </c>
      <c r="Q408" s="8">
        <v>33</v>
      </c>
    </row>
    <row r="409" spans="1:17" x14ac:dyDescent="0.25">
      <c r="A409" s="7">
        <v>408</v>
      </c>
      <c r="B409" s="3">
        <v>40561</v>
      </c>
      <c r="C409" s="2">
        <v>1</v>
      </c>
      <c r="D409" s="2">
        <v>0</v>
      </c>
      <c r="E409" s="2">
        <v>1</v>
      </c>
      <c r="F409" s="2">
        <v>23</v>
      </c>
      <c r="G409" s="2" t="str" cm="1">
        <f t="array" ref="G409">_xlfn.IFS(F409&lt;3,"Night",F409&lt;=6,"Early Morning",F409&lt;8,"Morning",F409&lt;10,"Late Morning",F409&lt;12,"Afternoon",F409&lt;16,"Afternoon",F409&lt;=18,"Early Evening",F409&lt;=20,"Evening",F409&lt;=22,"Late Evening",F409&lt;=23,"Night")</f>
        <v>Night</v>
      </c>
      <c r="H409" s="2" t="b">
        <v>0</v>
      </c>
      <c r="I409" s="2">
        <v>2</v>
      </c>
      <c r="J409" s="2">
        <v>2</v>
      </c>
      <c r="K409" s="14">
        <v>0.22</v>
      </c>
      <c r="L409" s="4">
        <v>0.2727</v>
      </c>
      <c r="M409" s="4">
        <v>0.93</v>
      </c>
      <c r="N409" s="4">
        <v>0</v>
      </c>
      <c r="O409" s="4">
        <v>1</v>
      </c>
      <c r="P409" s="4">
        <v>19</v>
      </c>
      <c r="Q409" s="8">
        <v>20</v>
      </c>
    </row>
    <row r="410" spans="1:17" x14ac:dyDescent="0.25">
      <c r="A410" s="7">
        <v>409</v>
      </c>
      <c r="B410" s="3">
        <v>40562</v>
      </c>
      <c r="C410" s="2">
        <v>1</v>
      </c>
      <c r="D410" s="2">
        <v>0</v>
      </c>
      <c r="E410" s="2">
        <v>1</v>
      </c>
      <c r="F410" s="2">
        <v>0</v>
      </c>
      <c r="G410" s="2" t="str" cm="1">
        <f t="array" ref="G410">_xlfn.IFS(F410&lt;3,"Night",F410&lt;=6,"Early Morning",F410&lt;8,"Morning",F410&lt;10,"Late Morning",F410&lt;12,"Afternoon",F410&lt;16,"Afternoon",F410&lt;=18,"Early Evening",F410&lt;=20,"Evening",F410&lt;=22,"Late Evening",F410&lt;=23,"Night")</f>
        <v>Night</v>
      </c>
      <c r="H410" s="2" t="b">
        <v>0</v>
      </c>
      <c r="I410" s="2">
        <v>3</v>
      </c>
      <c r="J410" s="2">
        <v>2</v>
      </c>
      <c r="K410" s="14">
        <v>0.22</v>
      </c>
      <c r="L410" s="4">
        <v>0.2727</v>
      </c>
      <c r="M410" s="4">
        <v>0.93</v>
      </c>
      <c r="N410" s="4">
        <v>0</v>
      </c>
      <c r="O410" s="4">
        <v>0</v>
      </c>
      <c r="P410" s="4">
        <v>3</v>
      </c>
      <c r="Q410" s="8">
        <v>3</v>
      </c>
    </row>
    <row r="411" spans="1:17" x14ac:dyDescent="0.25">
      <c r="A411" s="7">
        <v>410</v>
      </c>
      <c r="B411" s="3">
        <v>40562</v>
      </c>
      <c r="C411" s="2">
        <v>1</v>
      </c>
      <c r="D411" s="2">
        <v>0</v>
      </c>
      <c r="E411" s="2">
        <v>1</v>
      </c>
      <c r="F411" s="2">
        <v>1</v>
      </c>
      <c r="G411" s="2" t="str" cm="1">
        <f t="array" ref="G411">_xlfn.IFS(F411&lt;3,"Night",F411&lt;=6,"Early Morning",F411&lt;8,"Morning",F411&lt;10,"Late Morning",F411&lt;12,"Afternoon",F411&lt;16,"Afternoon",F411&lt;=18,"Early Evening",F411&lt;=20,"Evening",F411&lt;=22,"Late Evening",F411&lt;=23,"Night")</f>
        <v>Night</v>
      </c>
      <c r="H411" s="2" t="b">
        <v>0</v>
      </c>
      <c r="I411" s="2">
        <v>3</v>
      </c>
      <c r="J411" s="2">
        <v>3</v>
      </c>
      <c r="K411" s="14">
        <v>0.22</v>
      </c>
      <c r="L411" s="4">
        <v>0.2273</v>
      </c>
      <c r="M411" s="4">
        <v>0.93</v>
      </c>
      <c r="N411" s="4">
        <v>0.1343</v>
      </c>
      <c r="O411" s="4">
        <v>1</v>
      </c>
      <c r="P411" s="4">
        <v>6</v>
      </c>
      <c r="Q411" s="8">
        <v>7</v>
      </c>
    </row>
    <row r="412" spans="1:17" x14ac:dyDescent="0.25">
      <c r="A412" s="7">
        <v>411</v>
      </c>
      <c r="B412" s="3">
        <v>40562</v>
      </c>
      <c r="C412" s="2">
        <v>1</v>
      </c>
      <c r="D412" s="2">
        <v>0</v>
      </c>
      <c r="E412" s="2">
        <v>1</v>
      </c>
      <c r="F412" s="2">
        <v>2</v>
      </c>
      <c r="G412" s="2" t="str" cm="1">
        <f t="array" ref="G412">_xlfn.IFS(F412&lt;3,"Night",F412&lt;=6,"Early Morning",F412&lt;8,"Morning",F412&lt;10,"Late Morning",F412&lt;12,"Afternoon",F412&lt;16,"Afternoon",F412&lt;=18,"Early Evening",F412&lt;=20,"Evening",F412&lt;=22,"Late Evening",F412&lt;=23,"Night")</f>
        <v>Night</v>
      </c>
      <c r="H412" s="2" t="b">
        <v>0</v>
      </c>
      <c r="I412" s="2">
        <v>3</v>
      </c>
      <c r="J412" s="2">
        <v>3</v>
      </c>
      <c r="K412" s="14">
        <v>0.22</v>
      </c>
      <c r="L412" s="4">
        <v>0.2273</v>
      </c>
      <c r="M412" s="4">
        <v>0.93</v>
      </c>
      <c r="N412" s="4">
        <v>0.1343</v>
      </c>
      <c r="O412" s="4">
        <v>0</v>
      </c>
      <c r="P412" s="4">
        <v>3</v>
      </c>
      <c r="Q412" s="8">
        <v>3</v>
      </c>
    </row>
    <row r="413" spans="1:17" x14ac:dyDescent="0.25">
      <c r="A413" s="7">
        <v>412</v>
      </c>
      <c r="B413" s="3">
        <v>40562</v>
      </c>
      <c r="C413" s="2">
        <v>1</v>
      </c>
      <c r="D413" s="2">
        <v>0</v>
      </c>
      <c r="E413" s="2">
        <v>1</v>
      </c>
      <c r="F413" s="2">
        <v>4</v>
      </c>
      <c r="G413" s="2" t="str" cm="1">
        <f t="array" ref="G413">_xlfn.IFS(F413&lt;3,"Night",F413&lt;=6,"Early Morning",F413&lt;8,"Morning",F413&lt;10,"Late Morning",F413&lt;12,"Afternoon",F413&lt;16,"Afternoon",F413&lt;=18,"Early Evening",F413&lt;=20,"Evening",F413&lt;=22,"Late Evening",F413&lt;=23,"Night")</f>
        <v>Early Morning</v>
      </c>
      <c r="H413" s="2" t="b">
        <v>0</v>
      </c>
      <c r="I413" s="2">
        <v>3</v>
      </c>
      <c r="J413" s="2">
        <v>3</v>
      </c>
      <c r="K413" s="14">
        <v>0.22</v>
      </c>
      <c r="L413" s="4">
        <v>0.2273</v>
      </c>
      <c r="M413" s="4">
        <v>0.93</v>
      </c>
      <c r="N413" s="4">
        <v>0.1343</v>
      </c>
      <c r="O413" s="4">
        <v>1</v>
      </c>
      <c r="P413" s="4">
        <v>1</v>
      </c>
      <c r="Q413" s="8">
        <v>2</v>
      </c>
    </row>
    <row r="414" spans="1:17" x14ac:dyDescent="0.25">
      <c r="A414" s="7">
        <v>413</v>
      </c>
      <c r="B414" s="3">
        <v>40562</v>
      </c>
      <c r="C414" s="2">
        <v>1</v>
      </c>
      <c r="D414" s="2">
        <v>0</v>
      </c>
      <c r="E414" s="2">
        <v>1</v>
      </c>
      <c r="F414" s="2">
        <v>5</v>
      </c>
      <c r="G414" s="2" t="str" cm="1">
        <f t="array" ref="G414">_xlfn.IFS(F414&lt;3,"Night",F414&lt;=6,"Early Morning",F414&lt;8,"Morning",F414&lt;10,"Late Morning",F414&lt;12,"Afternoon",F414&lt;16,"Afternoon",F414&lt;=18,"Early Evening",F414&lt;=20,"Evening",F414&lt;=22,"Late Evening",F414&lt;=23,"Night")</f>
        <v>Early Morning</v>
      </c>
      <c r="H414" s="2" t="b">
        <v>0</v>
      </c>
      <c r="I414" s="2">
        <v>3</v>
      </c>
      <c r="J414" s="2">
        <v>2</v>
      </c>
      <c r="K414" s="14">
        <v>0.22</v>
      </c>
      <c r="L414" s="4">
        <v>0.2576</v>
      </c>
      <c r="M414" s="4">
        <v>0.93</v>
      </c>
      <c r="N414" s="4">
        <v>8.9599999999999999E-2</v>
      </c>
      <c r="O414" s="4">
        <v>0</v>
      </c>
      <c r="P414" s="4">
        <v>7</v>
      </c>
      <c r="Q414" s="8">
        <v>7</v>
      </c>
    </row>
    <row r="415" spans="1:17" x14ac:dyDescent="0.25">
      <c r="A415" s="7">
        <v>414</v>
      </c>
      <c r="B415" s="3">
        <v>40562</v>
      </c>
      <c r="C415" s="2">
        <v>1</v>
      </c>
      <c r="D415" s="2">
        <v>0</v>
      </c>
      <c r="E415" s="2">
        <v>1</v>
      </c>
      <c r="F415" s="2">
        <v>6</v>
      </c>
      <c r="G415" s="2" t="str" cm="1">
        <f t="array" ref="G415">_xlfn.IFS(F415&lt;3,"Night",F415&lt;=6,"Early Morning",F415&lt;8,"Morning",F415&lt;10,"Late Morning",F415&lt;12,"Afternoon",F415&lt;16,"Afternoon",F415&lt;=18,"Early Evening",F415&lt;=20,"Evening",F415&lt;=22,"Late Evening",F415&lt;=23,"Night")</f>
        <v>Early Morning</v>
      </c>
      <c r="H415" s="2" t="b">
        <v>0</v>
      </c>
      <c r="I415" s="2">
        <v>3</v>
      </c>
      <c r="J415" s="2">
        <v>2</v>
      </c>
      <c r="K415" s="14">
        <v>0.22</v>
      </c>
      <c r="L415" s="4">
        <v>0.2576</v>
      </c>
      <c r="M415" s="4">
        <v>0.93</v>
      </c>
      <c r="N415" s="4">
        <v>8.9599999999999999E-2</v>
      </c>
      <c r="O415" s="4">
        <v>0</v>
      </c>
      <c r="P415" s="4">
        <v>32</v>
      </c>
      <c r="Q415" s="8">
        <v>32</v>
      </c>
    </row>
    <row r="416" spans="1:17" x14ac:dyDescent="0.25">
      <c r="A416" s="7">
        <v>415</v>
      </c>
      <c r="B416" s="3">
        <v>40562</v>
      </c>
      <c r="C416" s="2">
        <v>1</v>
      </c>
      <c r="D416" s="2">
        <v>0</v>
      </c>
      <c r="E416" s="2">
        <v>1</v>
      </c>
      <c r="F416" s="2">
        <v>7</v>
      </c>
      <c r="G416" s="2" t="str" cm="1">
        <f t="array" ref="G416">_xlfn.IFS(F416&lt;3,"Night",F416&lt;=6,"Early Morning",F416&lt;8,"Morning",F416&lt;10,"Late Morning",F416&lt;12,"Afternoon",F416&lt;16,"Afternoon",F416&lt;=18,"Early Evening",F416&lt;=20,"Evening",F416&lt;=22,"Late Evening",F416&lt;=23,"Night")</f>
        <v>Morning</v>
      </c>
      <c r="H416" s="2" t="b">
        <v>0</v>
      </c>
      <c r="I416" s="2">
        <v>3</v>
      </c>
      <c r="J416" s="2">
        <v>2</v>
      </c>
      <c r="K416" s="14">
        <v>0.24</v>
      </c>
      <c r="L416" s="4">
        <v>0.2576</v>
      </c>
      <c r="M416" s="4">
        <v>0.92</v>
      </c>
      <c r="N416" s="4">
        <v>0.1045</v>
      </c>
      <c r="O416" s="4">
        <v>1</v>
      </c>
      <c r="P416" s="4">
        <v>89</v>
      </c>
      <c r="Q416" s="8">
        <v>90</v>
      </c>
    </row>
    <row r="417" spans="1:17" x14ac:dyDescent="0.25">
      <c r="A417" s="7">
        <v>416</v>
      </c>
      <c r="B417" s="3">
        <v>40562</v>
      </c>
      <c r="C417" s="2">
        <v>1</v>
      </c>
      <c r="D417" s="2">
        <v>0</v>
      </c>
      <c r="E417" s="2">
        <v>1</v>
      </c>
      <c r="F417" s="2">
        <v>8</v>
      </c>
      <c r="G417" s="2" t="str" cm="1">
        <f t="array" ref="G417">_xlfn.IFS(F417&lt;3,"Night",F417&lt;=6,"Early Morning",F417&lt;8,"Morning",F417&lt;10,"Late Morning",F417&lt;12,"Afternoon",F417&lt;16,"Afternoon",F417&lt;=18,"Early Evening",F417&lt;=20,"Evening",F417&lt;=22,"Late Evening",F417&lt;=23,"Night")</f>
        <v>Late Morning</v>
      </c>
      <c r="H417" s="2" t="b">
        <v>0</v>
      </c>
      <c r="I417" s="2">
        <v>3</v>
      </c>
      <c r="J417" s="2">
        <v>2</v>
      </c>
      <c r="K417" s="14">
        <v>0.24</v>
      </c>
      <c r="L417" s="4">
        <v>0.2576</v>
      </c>
      <c r="M417" s="4">
        <v>0.93</v>
      </c>
      <c r="N417" s="4">
        <v>0.1045</v>
      </c>
      <c r="O417" s="4">
        <v>1</v>
      </c>
      <c r="P417" s="4">
        <v>196</v>
      </c>
      <c r="Q417" s="8">
        <v>197</v>
      </c>
    </row>
    <row r="418" spans="1:17" x14ac:dyDescent="0.25">
      <c r="A418" s="7">
        <v>417</v>
      </c>
      <c r="B418" s="3">
        <v>40562</v>
      </c>
      <c r="C418" s="2">
        <v>1</v>
      </c>
      <c r="D418" s="2">
        <v>0</v>
      </c>
      <c r="E418" s="2">
        <v>1</v>
      </c>
      <c r="F418" s="2">
        <v>9</v>
      </c>
      <c r="G418" s="2" t="str" cm="1">
        <f t="array" ref="G418">_xlfn.IFS(F418&lt;3,"Night",F418&lt;=6,"Early Morning",F418&lt;8,"Morning",F418&lt;10,"Late Morning",F418&lt;12,"Afternoon",F418&lt;16,"Afternoon",F418&lt;=18,"Early Evening",F418&lt;=20,"Evening",F418&lt;=22,"Late Evening",F418&lt;=23,"Night")</f>
        <v>Late Morning</v>
      </c>
      <c r="H418" s="2" t="b">
        <v>0</v>
      </c>
      <c r="I418" s="2">
        <v>3</v>
      </c>
      <c r="J418" s="2">
        <v>2</v>
      </c>
      <c r="K418" s="14">
        <v>0.24</v>
      </c>
      <c r="L418" s="4">
        <v>0.2576</v>
      </c>
      <c r="M418" s="4">
        <v>0.93</v>
      </c>
      <c r="N418" s="4">
        <v>0.1045</v>
      </c>
      <c r="O418" s="4">
        <v>2</v>
      </c>
      <c r="P418" s="4">
        <v>107</v>
      </c>
      <c r="Q418" s="8">
        <v>109</v>
      </c>
    </row>
    <row r="419" spans="1:17" x14ac:dyDescent="0.25">
      <c r="A419" s="7">
        <v>418</v>
      </c>
      <c r="B419" s="3">
        <v>40562</v>
      </c>
      <c r="C419" s="2">
        <v>1</v>
      </c>
      <c r="D419" s="2">
        <v>0</v>
      </c>
      <c r="E419" s="2">
        <v>1</v>
      </c>
      <c r="F419" s="2">
        <v>10</v>
      </c>
      <c r="G419" s="2" t="str" cm="1">
        <f t="array" ref="G419">_xlfn.IFS(F419&lt;3,"Night",F419&lt;=6,"Early Morning",F419&lt;8,"Morning",F419&lt;10,"Late Morning",F419&lt;12,"Afternoon",F419&lt;16,"Afternoon",F419&lt;=18,"Early Evening",F419&lt;=20,"Evening",F419&lt;=22,"Late Evening",F419&lt;=23,"Night")</f>
        <v>Afternoon</v>
      </c>
      <c r="H419" s="2" t="b">
        <v>0</v>
      </c>
      <c r="I419" s="2">
        <v>3</v>
      </c>
      <c r="J419" s="2">
        <v>2</v>
      </c>
      <c r="K419" s="14">
        <v>0.26</v>
      </c>
      <c r="L419" s="4">
        <v>0.2727</v>
      </c>
      <c r="M419" s="4">
        <v>0.93</v>
      </c>
      <c r="N419" s="4">
        <v>0.1343</v>
      </c>
      <c r="O419" s="4">
        <v>1</v>
      </c>
      <c r="P419" s="4">
        <v>46</v>
      </c>
      <c r="Q419" s="8">
        <v>47</v>
      </c>
    </row>
    <row r="420" spans="1:17" x14ac:dyDescent="0.25">
      <c r="A420" s="7">
        <v>419</v>
      </c>
      <c r="B420" s="3">
        <v>40562</v>
      </c>
      <c r="C420" s="2">
        <v>1</v>
      </c>
      <c r="D420" s="2">
        <v>0</v>
      </c>
      <c r="E420" s="2">
        <v>1</v>
      </c>
      <c r="F420" s="2">
        <v>11</v>
      </c>
      <c r="G420" s="2" t="str" cm="1">
        <f t="array" ref="G420">_xlfn.IFS(F420&lt;3,"Night",F420&lt;=6,"Early Morning",F420&lt;8,"Morning",F420&lt;10,"Late Morning",F420&lt;12,"Afternoon",F420&lt;16,"Afternoon",F420&lt;=18,"Early Evening",F420&lt;=20,"Evening",F420&lt;=22,"Late Evening",F420&lt;=23,"Night")</f>
        <v>Afternoon</v>
      </c>
      <c r="H420" s="2" t="b">
        <v>0</v>
      </c>
      <c r="I420" s="2">
        <v>3</v>
      </c>
      <c r="J420" s="2">
        <v>2</v>
      </c>
      <c r="K420" s="14">
        <v>0.28000000000000003</v>
      </c>
      <c r="L420" s="4">
        <v>0.30299999999999999</v>
      </c>
      <c r="M420" s="4">
        <v>0.87</v>
      </c>
      <c r="N420" s="4">
        <v>8.9599999999999999E-2</v>
      </c>
      <c r="O420" s="4">
        <v>5</v>
      </c>
      <c r="P420" s="4">
        <v>47</v>
      </c>
      <c r="Q420" s="8">
        <v>52</v>
      </c>
    </row>
    <row r="421" spans="1:17" x14ac:dyDescent="0.25">
      <c r="A421" s="7">
        <v>420</v>
      </c>
      <c r="B421" s="3">
        <v>40562</v>
      </c>
      <c r="C421" s="2">
        <v>1</v>
      </c>
      <c r="D421" s="2">
        <v>0</v>
      </c>
      <c r="E421" s="2">
        <v>1</v>
      </c>
      <c r="F421" s="2">
        <v>12</v>
      </c>
      <c r="G421" s="2" t="str" cm="1">
        <f t="array" ref="G421">_xlfn.IFS(F421&lt;3,"Night",F421&lt;=6,"Early Morning",F421&lt;8,"Morning",F421&lt;10,"Late Morning",F421&lt;12,"Afternoon",F421&lt;16,"Afternoon",F421&lt;=18,"Early Evening",F421&lt;=20,"Evening",F421&lt;=22,"Late Evening",F421&lt;=23,"Night")</f>
        <v>Afternoon</v>
      </c>
      <c r="H421" s="2" t="b">
        <v>0</v>
      </c>
      <c r="I421" s="2">
        <v>3</v>
      </c>
      <c r="J421" s="2">
        <v>2</v>
      </c>
      <c r="K421" s="14">
        <v>0.3</v>
      </c>
      <c r="L421" s="4">
        <v>0.31819999999999998</v>
      </c>
      <c r="M421" s="4">
        <v>0.81</v>
      </c>
      <c r="N421" s="4">
        <v>8.9599999999999999E-2</v>
      </c>
      <c r="O421" s="4">
        <v>5</v>
      </c>
      <c r="P421" s="4">
        <v>65</v>
      </c>
      <c r="Q421" s="8">
        <v>70</v>
      </c>
    </row>
    <row r="422" spans="1:17" x14ac:dyDescent="0.25">
      <c r="A422" s="7">
        <v>421</v>
      </c>
      <c r="B422" s="3">
        <v>40562</v>
      </c>
      <c r="C422" s="2">
        <v>1</v>
      </c>
      <c r="D422" s="2">
        <v>0</v>
      </c>
      <c r="E422" s="2">
        <v>1</v>
      </c>
      <c r="F422" s="2">
        <v>13</v>
      </c>
      <c r="G422" s="2" t="str" cm="1">
        <f t="array" ref="G422">_xlfn.IFS(F422&lt;3,"Night",F422&lt;=6,"Early Morning",F422&lt;8,"Morning",F422&lt;10,"Late Morning",F422&lt;12,"Afternoon",F422&lt;16,"Afternoon",F422&lt;=18,"Early Evening",F422&lt;=20,"Evening",F422&lt;=22,"Late Evening",F422&lt;=23,"Night")</f>
        <v>Afternoon</v>
      </c>
      <c r="H422" s="2" t="b">
        <v>0</v>
      </c>
      <c r="I422" s="2">
        <v>3</v>
      </c>
      <c r="J422" s="2">
        <v>1</v>
      </c>
      <c r="K422" s="14">
        <v>0.4</v>
      </c>
      <c r="L422" s="4">
        <v>0.40910000000000002</v>
      </c>
      <c r="M422" s="4">
        <v>0.62</v>
      </c>
      <c r="N422" s="4">
        <v>0.28360000000000002</v>
      </c>
      <c r="O422" s="4">
        <v>11</v>
      </c>
      <c r="P422" s="4">
        <v>67</v>
      </c>
      <c r="Q422" s="8">
        <v>78</v>
      </c>
    </row>
    <row r="423" spans="1:17" x14ac:dyDescent="0.25">
      <c r="A423" s="7">
        <v>422</v>
      </c>
      <c r="B423" s="3">
        <v>40562</v>
      </c>
      <c r="C423" s="2">
        <v>1</v>
      </c>
      <c r="D423" s="2">
        <v>0</v>
      </c>
      <c r="E423" s="2">
        <v>1</v>
      </c>
      <c r="F423" s="2">
        <v>14</v>
      </c>
      <c r="G423" s="2" t="str" cm="1">
        <f t="array" ref="G423">_xlfn.IFS(F423&lt;3,"Night",F423&lt;=6,"Early Morning",F423&lt;8,"Morning",F423&lt;10,"Late Morning",F423&lt;12,"Afternoon",F423&lt;16,"Afternoon",F423&lt;=18,"Early Evening",F423&lt;=20,"Evening",F423&lt;=22,"Late Evening",F423&lt;=23,"Night")</f>
        <v>Afternoon</v>
      </c>
      <c r="H423" s="2" t="b">
        <v>0</v>
      </c>
      <c r="I423" s="2">
        <v>3</v>
      </c>
      <c r="J423" s="2">
        <v>1</v>
      </c>
      <c r="K423" s="14">
        <v>0.4</v>
      </c>
      <c r="L423" s="4">
        <v>0.40910000000000002</v>
      </c>
      <c r="M423" s="4">
        <v>0.57999999999999996</v>
      </c>
      <c r="N423" s="4">
        <v>0.25369999999999998</v>
      </c>
      <c r="O423" s="4">
        <v>7</v>
      </c>
      <c r="P423" s="4">
        <v>68</v>
      </c>
      <c r="Q423" s="8">
        <v>75</v>
      </c>
    </row>
    <row r="424" spans="1:17" x14ac:dyDescent="0.25">
      <c r="A424" s="7">
        <v>423</v>
      </c>
      <c r="B424" s="3">
        <v>40562</v>
      </c>
      <c r="C424" s="2">
        <v>1</v>
      </c>
      <c r="D424" s="2">
        <v>0</v>
      </c>
      <c r="E424" s="2">
        <v>1</v>
      </c>
      <c r="F424" s="2">
        <v>15</v>
      </c>
      <c r="G424" s="2" t="str" cm="1">
        <f t="array" ref="G424">_xlfn.IFS(F424&lt;3,"Night",F424&lt;=6,"Early Morning",F424&lt;8,"Morning",F424&lt;10,"Late Morning",F424&lt;12,"Afternoon",F424&lt;16,"Afternoon",F424&lt;=18,"Early Evening",F424&lt;=20,"Evening",F424&lt;=22,"Late Evening",F424&lt;=23,"Night")</f>
        <v>Afternoon</v>
      </c>
      <c r="H424" s="2" t="b">
        <v>0</v>
      </c>
      <c r="I424" s="2">
        <v>3</v>
      </c>
      <c r="J424" s="2">
        <v>1</v>
      </c>
      <c r="K424" s="14">
        <v>0.4</v>
      </c>
      <c r="L424" s="4">
        <v>0.40910000000000002</v>
      </c>
      <c r="M424" s="4">
        <v>0.54</v>
      </c>
      <c r="N424" s="4">
        <v>0.28360000000000002</v>
      </c>
      <c r="O424" s="4">
        <v>4</v>
      </c>
      <c r="P424" s="4">
        <v>78</v>
      </c>
      <c r="Q424" s="8">
        <v>82</v>
      </c>
    </row>
    <row r="425" spans="1:17" x14ac:dyDescent="0.25">
      <c r="A425" s="7">
        <v>424</v>
      </c>
      <c r="B425" s="3">
        <v>40562</v>
      </c>
      <c r="C425" s="2">
        <v>1</v>
      </c>
      <c r="D425" s="2">
        <v>0</v>
      </c>
      <c r="E425" s="2">
        <v>1</v>
      </c>
      <c r="F425" s="2">
        <v>16</v>
      </c>
      <c r="G425" s="2" t="str" cm="1">
        <f t="array" ref="G425">_xlfn.IFS(F425&lt;3,"Night",F425&lt;=6,"Early Morning",F425&lt;8,"Morning",F425&lt;10,"Late Morning",F425&lt;12,"Afternoon",F425&lt;16,"Afternoon",F425&lt;=18,"Early Evening",F425&lt;=20,"Evening",F425&lt;=22,"Late Evening",F425&lt;=23,"Night")</f>
        <v>Early Evening</v>
      </c>
      <c r="H425" s="2" t="b">
        <v>0</v>
      </c>
      <c r="I425" s="2">
        <v>3</v>
      </c>
      <c r="J425" s="2">
        <v>1</v>
      </c>
      <c r="K425" s="14">
        <v>0.38</v>
      </c>
      <c r="L425" s="4">
        <v>0.39389999999999997</v>
      </c>
      <c r="M425" s="4">
        <v>0.57999999999999996</v>
      </c>
      <c r="N425" s="4">
        <v>0.3881</v>
      </c>
      <c r="O425" s="4">
        <v>10</v>
      </c>
      <c r="P425" s="4">
        <v>94</v>
      </c>
      <c r="Q425" s="8">
        <v>104</v>
      </c>
    </row>
    <row r="426" spans="1:17" x14ac:dyDescent="0.25">
      <c r="A426" s="7">
        <v>425</v>
      </c>
      <c r="B426" s="3">
        <v>40562</v>
      </c>
      <c r="C426" s="2">
        <v>1</v>
      </c>
      <c r="D426" s="2">
        <v>0</v>
      </c>
      <c r="E426" s="2">
        <v>1</v>
      </c>
      <c r="F426" s="2">
        <v>17</v>
      </c>
      <c r="G426" s="2" t="str" cm="1">
        <f t="array" ref="G426">_xlfn.IFS(F426&lt;3,"Night",F426&lt;=6,"Early Morning",F426&lt;8,"Morning",F426&lt;10,"Late Morning",F426&lt;12,"Afternoon",F426&lt;16,"Afternoon",F426&lt;=18,"Early Evening",F426&lt;=20,"Evening",F426&lt;=22,"Late Evening",F426&lt;=23,"Night")</f>
        <v>Early Evening</v>
      </c>
      <c r="H426" s="2" t="b">
        <v>0</v>
      </c>
      <c r="I426" s="2">
        <v>3</v>
      </c>
      <c r="J426" s="2">
        <v>1</v>
      </c>
      <c r="K426" s="14">
        <v>0.36</v>
      </c>
      <c r="L426" s="4">
        <v>0.33329999999999999</v>
      </c>
      <c r="M426" s="4">
        <v>0.56999999999999995</v>
      </c>
      <c r="N426" s="4">
        <v>0.32840000000000003</v>
      </c>
      <c r="O426" s="4">
        <v>7</v>
      </c>
      <c r="P426" s="4">
        <v>190</v>
      </c>
      <c r="Q426" s="8">
        <v>197</v>
      </c>
    </row>
    <row r="427" spans="1:17" x14ac:dyDescent="0.25">
      <c r="A427" s="7">
        <v>426</v>
      </c>
      <c r="B427" s="3">
        <v>40562</v>
      </c>
      <c r="C427" s="2">
        <v>1</v>
      </c>
      <c r="D427" s="2">
        <v>0</v>
      </c>
      <c r="E427" s="2">
        <v>1</v>
      </c>
      <c r="F427" s="2">
        <v>18</v>
      </c>
      <c r="G427" s="2" t="str" cm="1">
        <f t="array" ref="G427">_xlfn.IFS(F427&lt;3,"Night",F427&lt;=6,"Early Morning",F427&lt;8,"Morning",F427&lt;10,"Late Morning",F427&lt;12,"Afternoon",F427&lt;16,"Afternoon",F427&lt;=18,"Early Evening",F427&lt;=20,"Evening",F427&lt;=22,"Late Evening",F427&lt;=23,"Night")</f>
        <v>Early Evening</v>
      </c>
      <c r="H427" s="2" t="b">
        <v>0</v>
      </c>
      <c r="I427" s="2">
        <v>3</v>
      </c>
      <c r="J427" s="2">
        <v>1</v>
      </c>
      <c r="K427" s="14">
        <v>0.34</v>
      </c>
      <c r="L427" s="4">
        <v>0.31819999999999998</v>
      </c>
      <c r="M427" s="4">
        <v>0.61</v>
      </c>
      <c r="N427" s="4">
        <v>0.28360000000000002</v>
      </c>
      <c r="O427" s="4">
        <v>5</v>
      </c>
      <c r="P427" s="4">
        <v>156</v>
      </c>
      <c r="Q427" s="8">
        <v>161</v>
      </c>
    </row>
    <row r="428" spans="1:17" x14ac:dyDescent="0.25">
      <c r="A428" s="7">
        <v>427</v>
      </c>
      <c r="B428" s="3">
        <v>40562</v>
      </c>
      <c r="C428" s="2">
        <v>1</v>
      </c>
      <c r="D428" s="2">
        <v>0</v>
      </c>
      <c r="E428" s="2">
        <v>1</v>
      </c>
      <c r="F428" s="2">
        <v>19</v>
      </c>
      <c r="G428" s="2" t="str" cm="1">
        <f t="array" ref="G428">_xlfn.IFS(F428&lt;3,"Night",F428&lt;=6,"Early Morning",F428&lt;8,"Morning",F428&lt;10,"Late Morning",F428&lt;12,"Afternoon",F428&lt;16,"Afternoon",F428&lt;=18,"Early Evening",F428&lt;=20,"Evening",F428&lt;=22,"Late Evening",F428&lt;=23,"Night")</f>
        <v>Evening</v>
      </c>
      <c r="H428" s="2" t="b">
        <v>0</v>
      </c>
      <c r="I428" s="2">
        <v>3</v>
      </c>
      <c r="J428" s="2">
        <v>1</v>
      </c>
      <c r="K428" s="14">
        <v>0.32</v>
      </c>
      <c r="L428" s="4">
        <v>0.28789999999999999</v>
      </c>
      <c r="M428" s="4">
        <v>0.56999999999999995</v>
      </c>
      <c r="N428" s="4">
        <v>0.41789999999999999</v>
      </c>
      <c r="O428" s="4">
        <v>4</v>
      </c>
      <c r="P428" s="4">
        <v>108</v>
      </c>
      <c r="Q428" s="8">
        <v>112</v>
      </c>
    </row>
    <row r="429" spans="1:17" x14ac:dyDescent="0.25">
      <c r="A429" s="7">
        <v>428</v>
      </c>
      <c r="B429" s="3">
        <v>40562</v>
      </c>
      <c r="C429" s="2">
        <v>1</v>
      </c>
      <c r="D429" s="2">
        <v>0</v>
      </c>
      <c r="E429" s="2">
        <v>1</v>
      </c>
      <c r="F429" s="2">
        <v>20</v>
      </c>
      <c r="G429" s="2" t="str" cm="1">
        <f t="array" ref="G429">_xlfn.IFS(F429&lt;3,"Night",F429&lt;=6,"Early Morning",F429&lt;8,"Morning",F429&lt;10,"Late Morning",F429&lt;12,"Afternoon",F429&lt;16,"Afternoon",F429&lt;=18,"Early Evening",F429&lt;=20,"Evening",F429&lt;=22,"Late Evening",F429&lt;=23,"Night")</f>
        <v>Evening</v>
      </c>
      <c r="H429" s="2" t="b">
        <v>0</v>
      </c>
      <c r="I429" s="2">
        <v>3</v>
      </c>
      <c r="J429" s="2">
        <v>1</v>
      </c>
      <c r="K429" s="14">
        <v>0.32</v>
      </c>
      <c r="L429" s="4">
        <v>0.30299999999999999</v>
      </c>
      <c r="M429" s="4">
        <v>0.49</v>
      </c>
      <c r="N429" s="4">
        <v>0.29849999999999999</v>
      </c>
      <c r="O429" s="4">
        <v>2</v>
      </c>
      <c r="P429" s="4">
        <v>74</v>
      </c>
      <c r="Q429" s="8">
        <v>76</v>
      </c>
    </row>
    <row r="430" spans="1:17" x14ac:dyDescent="0.25">
      <c r="A430" s="7">
        <v>429</v>
      </c>
      <c r="B430" s="3">
        <v>40562</v>
      </c>
      <c r="C430" s="2">
        <v>1</v>
      </c>
      <c r="D430" s="2">
        <v>0</v>
      </c>
      <c r="E430" s="2">
        <v>1</v>
      </c>
      <c r="F430" s="2">
        <v>21</v>
      </c>
      <c r="G430" s="2" t="str" cm="1">
        <f t="array" ref="G430">_xlfn.IFS(F430&lt;3,"Night",F430&lt;=6,"Early Morning",F430&lt;8,"Morning",F430&lt;10,"Late Morning",F430&lt;12,"Afternoon",F430&lt;16,"Afternoon",F430&lt;=18,"Early Evening",F430&lt;=20,"Evening",F430&lt;=22,"Late Evening",F430&lt;=23,"Night")</f>
        <v>Late Evening</v>
      </c>
      <c r="H430" s="2" t="b">
        <v>0</v>
      </c>
      <c r="I430" s="2">
        <v>3</v>
      </c>
      <c r="J430" s="2">
        <v>1</v>
      </c>
      <c r="K430" s="14">
        <v>0.32</v>
      </c>
      <c r="L430" s="4">
        <v>0.28789999999999999</v>
      </c>
      <c r="M430" s="4">
        <v>0.49</v>
      </c>
      <c r="N430" s="4">
        <v>0.41789999999999999</v>
      </c>
      <c r="O430" s="4">
        <v>4</v>
      </c>
      <c r="P430" s="4">
        <v>55</v>
      </c>
      <c r="Q430" s="8">
        <v>59</v>
      </c>
    </row>
    <row r="431" spans="1:17" x14ac:dyDescent="0.25">
      <c r="A431" s="7">
        <v>430</v>
      </c>
      <c r="B431" s="3">
        <v>40562</v>
      </c>
      <c r="C431" s="2">
        <v>1</v>
      </c>
      <c r="D431" s="2">
        <v>0</v>
      </c>
      <c r="E431" s="2">
        <v>1</v>
      </c>
      <c r="F431" s="2">
        <v>22</v>
      </c>
      <c r="G431" s="2" t="str" cm="1">
        <f t="array" ref="G431">_xlfn.IFS(F431&lt;3,"Night",F431&lt;=6,"Early Morning",F431&lt;8,"Morning",F431&lt;10,"Late Morning",F431&lt;12,"Afternoon",F431&lt;16,"Afternoon",F431&lt;=18,"Early Evening",F431&lt;=20,"Evening",F431&lt;=22,"Late Evening",F431&lt;=23,"Night")</f>
        <v>Late Evening</v>
      </c>
      <c r="H431" s="2" t="b">
        <v>0</v>
      </c>
      <c r="I431" s="2">
        <v>3</v>
      </c>
      <c r="J431" s="2">
        <v>1</v>
      </c>
      <c r="K431" s="14">
        <v>0.3</v>
      </c>
      <c r="L431" s="4">
        <v>0.30299999999999999</v>
      </c>
      <c r="M431" s="4">
        <v>0.52</v>
      </c>
      <c r="N431" s="4">
        <v>0.16420000000000001</v>
      </c>
      <c r="O431" s="4">
        <v>6</v>
      </c>
      <c r="P431" s="4">
        <v>53</v>
      </c>
      <c r="Q431" s="8">
        <v>59</v>
      </c>
    </row>
    <row r="432" spans="1:17" x14ac:dyDescent="0.25">
      <c r="A432" s="7">
        <v>431</v>
      </c>
      <c r="B432" s="3">
        <v>40562</v>
      </c>
      <c r="C432" s="2">
        <v>1</v>
      </c>
      <c r="D432" s="2">
        <v>0</v>
      </c>
      <c r="E432" s="2">
        <v>1</v>
      </c>
      <c r="F432" s="2">
        <v>23</v>
      </c>
      <c r="G432" s="2" t="str" cm="1">
        <f t="array" ref="G432">_xlfn.IFS(F432&lt;3,"Night",F432&lt;=6,"Early Morning",F432&lt;8,"Morning",F432&lt;10,"Late Morning",F432&lt;12,"Afternoon",F432&lt;16,"Afternoon",F432&lt;=18,"Early Evening",F432&lt;=20,"Evening",F432&lt;=22,"Late Evening",F432&lt;=23,"Night")</f>
        <v>Night</v>
      </c>
      <c r="H432" s="2" t="b">
        <v>0</v>
      </c>
      <c r="I432" s="2">
        <v>3</v>
      </c>
      <c r="J432" s="2">
        <v>1</v>
      </c>
      <c r="K432" s="14">
        <v>0.3</v>
      </c>
      <c r="L432" s="4">
        <v>0.2727</v>
      </c>
      <c r="M432" s="4">
        <v>0.52</v>
      </c>
      <c r="N432" s="4">
        <v>0.4627</v>
      </c>
      <c r="O432" s="4">
        <v>1</v>
      </c>
      <c r="P432" s="4">
        <v>27</v>
      </c>
      <c r="Q432" s="8">
        <v>28</v>
      </c>
    </row>
    <row r="433" spans="1:17" x14ac:dyDescent="0.25">
      <c r="A433" s="7">
        <v>432</v>
      </c>
      <c r="B433" s="3">
        <v>40563</v>
      </c>
      <c r="C433" s="2">
        <v>1</v>
      </c>
      <c r="D433" s="2">
        <v>0</v>
      </c>
      <c r="E433" s="2">
        <v>1</v>
      </c>
      <c r="F433" s="2">
        <v>0</v>
      </c>
      <c r="G433" s="2" t="str" cm="1">
        <f t="array" ref="G433">_xlfn.IFS(F433&lt;3,"Night",F433&lt;=6,"Early Morning",F433&lt;8,"Morning",F433&lt;10,"Late Morning",F433&lt;12,"Afternoon",F433&lt;16,"Afternoon",F433&lt;=18,"Early Evening",F433&lt;=20,"Evening",F433&lt;=22,"Late Evening",F433&lt;=23,"Night")</f>
        <v>Night</v>
      </c>
      <c r="H433" s="2" t="b">
        <v>0</v>
      </c>
      <c r="I433" s="2">
        <v>4</v>
      </c>
      <c r="J433" s="2">
        <v>1</v>
      </c>
      <c r="K433" s="14">
        <v>0.26</v>
      </c>
      <c r="L433" s="4">
        <v>0.2273</v>
      </c>
      <c r="M433" s="4">
        <v>0.56000000000000005</v>
      </c>
      <c r="N433" s="4">
        <v>0.3881</v>
      </c>
      <c r="O433" s="4">
        <v>5</v>
      </c>
      <c r="P433" s="4">
        <v>8</v>
      </c>
      <c r="Q433" s="8">
        <v>13</v>
      </c>
    </row>
    <row r="434" spans="1:17" x14ac:dyDescent="0.25">
      <c r="A434" s="7">
        <v>433</v>
      </c>
      <c r="B434" s="3">
        <v>40563</v>
      </c>
      <c r="C434" s="2">
        <v>1</v>
      </c>
      <c r="D434" s="2">
        <v>0</v>
      </c>
      <c r="E434" s="2">
        <v>1</v>
      </c>
      <c r="F434" s="2">
        <v>1</v>
      </c>
      <c r="G434" s="2" t="str" cm="1">
        <f t="array" ref="G434">_xlfn.IFS(F434&lt;3,"Night",F434&lt;=6,"Early Morning",F434&lt;8,"Morning",F434&lt;10,"Late Morning",F434&lt;12,"Afternoon",F434&lt;16,"Afternoon",F434&lt;=18,"Early Evening",F434&lt;=20,"Evening",F434&lt;=22,"Late Evening",F434&lt;=23,"Night")</f>
        <v>Night</v>
      </c>
      <c r="H434" s="2" t="b">
        <v>0</v>
      </c>
      <c r="I434" s="2">
        <v>4</v>
      </c>
      <c r="J434" s="2">
        <v>1</v>
      </c>
      <c r="K434" s="14">
        <v>0.26</v>
      </c>
      <c r="L434" s="4">
        <v>0.2727</v>
      </c>
      <c r="M434" s="4">
        <v>0.56000000000000005</v>
      </c>
      <c r="N434" s="4">
        <v>0</v>
      </c>
      <c r="O434" s="4">
        <v>2</v>
      </c>
      <c r="P434" s="4">
        <v>3</v>
      </c>
      <c r="Q434" s="8">
        <v>5</v>
      </c>
    </row>
    <row r="435" spans="1:17" x14ac:dyDescent="0.25">
      <c r="A435" s="7">
        <v>434</v>
      </c>
      <c r="B435" s="3">
        <v>40563</v>
      </c>
      <c r="C435" s="2">
        <v>1</v>
      </c>
      <c r="D435" s="2">
        <v>0</v>
      </c>
      <c r="E435" s="2">
        <v>1</v>
      </c>
      <c r="F435" s="2">
        <v>2</v>
      </c>
      <c r="G435" s="2" t="str" cm="1">
        <f t="array" ref="G435">_xlfn.IFS(F435&lt;3,"Night",F435&lt;=6,"Early Morning",F435&lt;8,"Morning",F435&lt;10,"Late Morning",F435&lt;12,"Afternoon",F435&lt;16,"Afternoon",F435&lt;=18,"Early Evening",F435&lt;=20,"Evening",F435&lt;=22,"Late Evening",F435&lt;=23,"Night")</f>
        <v>Night</v>
      </c>
      <c r="H435" s="2" t="b">
        <v>0</v>
      </c>
      <c r="I435" s="2">
        <v>4</v>
      </c>
      <c r="J435" s="2">
        <v>1</v>
      </c>
      <c r="K435" s="14">
        <v>0.26</v>
      </c>
      <c r="L435" s="4">
        <v>0.2727</v>
      </c>
      <c r="M435" s="4">
        <v>0.56000000000000005</v>
      </c>
      <c r="N435" s="4">
        <v>0</v>
      </c>
      <c r="O435" s="4">
        <v>0</v>
      </c>
      <c r="P435" s="4">
        <v>2</v>
      </c>
      <c r="Q435" s="8">
        <v>2</v>
      </c>
    </row>
    <row r="436" spans="1:17" x14ac:dyDescent="0.25">
      <c r="A436" s="7">
        <v>435</v>
      </c>
      <c r="B436" s="3">
        <v>40563</v>
      </c>
      <c r="C436" s="2">
        <v>1</v>
      </c>
      <c r="D436" s="2">
        <v>0</v>
      </c>
      <c r="E436" s="2">
        <v>1</v>
      </c>
      <c r="F436" s="2">
        <v>3</v>
      </c>
      <c r="G436" s="2" t="str" cm="1">
        <f t="array" ref="G436">_xlfn.IFS(F436&lt;3,"Night",F436&lt;=6,"Early Morning",F436&lt;8,"Morning",F436&lt;10,"Late Morning",F436&lt;12,"Afternoon",F436&lt;16,"Afternoon",F436&lt;=18,"Early Evening",F436&lt;=20,"Evening",F436&lt;=22,"Late Evening",F436&lt;=23,"Night")</f>
        <v>Early Morning</v>
      </c>
      <c r="H436" s="2" t="b">
        <v>0</v>
      </c>
      <c r="I436" s="2">
        <v>4</v>
      </c>
      <c r="J436" s="2">
        <v>1</v>
      </c>
      <c r="K436" s="14">
        <v>0.26</v>
      </c>
      <c r="L436" s="4">
        <v>0.2576</v>
      </c>
      <c r="M436" s="4">
        <v>0.56000000000000005</v>
      </c>
      <c r="N436" s="4">
        <v>0.16420000000000001</v>
      </c>
      <c r="O436" s="4">
        <v>0</v>
      </c>
      <c r="P436" s="4">
        <v>1</v>
      </c>
      <c r="Q436" s="8">
        <v>1</v>
      </c>
    </row>
    <row r="437" spans="1:17" x14ac:dyDescent="0.25">
      <c r="A437" s="7">
        <v>436</v>
      </c>
      <c r="B437" s="3">
        <v>40563</v>
      </c>
      <c r="C437" s="2">
        <v>1</v>
      </c>
      <c r="D437" s="2">
        <v>0</v>
      </c>
      <c r="E437" s="2">
        <v>1</v>
      </c>
      <c r="F437" s="2">
        <v>4</v>
      </c>
      <c r="G437" s="2" t="str" cm="1">
        <f t="array" ref="G437">_xlfn.IFS(F437&lt;3,"Night",F437&lt;=6,"Early Morning",F437&lt;8,"Morning",F437&lt;10,"Late Morning",F437&lt;12,"Afternoon",F437&lt;16,"Afternoon",F437&lt;=18,"Early Evening",F437&lt;=20,"Evening",F437&lt;=22,"Late Evening",F437&lt;=23,"Night")</f>
        <v>Early Morning</v>
      </c>
      <c r="H437" s="2" t="b">
        <v>0</v>
      </c>
      <c r="I437" s="2">
        <v>4</v>
      </c>
      <c r="J437" s="2">
        <v>1</v>
      </c>
      <c r="K437" s="14">
        <v>0.26</v>
      </c>
      <c r="L437" s="4">
        <v>0.2576</v>
      </c>
      <c r="M437" s="4">
        <v>0.56000000000000005</v>
      </c>
      <c r="N437" s="4">
        <v>0.16420000000000001</v>
      </c>
      <c r="O437" s="4">
        <v>0</v>
      </c>
      <c r="P437" s="4">
        <v>1</v>
      </c>
      <c r="Q437" s="8">
        <v>1</v>
      </c>
    </row>
    <row r="438" spans="1:17" x14ac:dyDescent="0.25">
      <c r="A438" s="7">
        <v>437</v>
      </c>
      <c r="B438" s="3">
        <v>40563</v>
      </c>
      <c r="C438" s="2">
        <v>1</v>
      </c>
      <c r="D438" s="2">
        <v>0</v>
      </c>
      <c r="E438" s="2">
        <v>1</v>
      </c>
      <c r="F438" s="2">
        <v>5</v>
      </c>
      <c r="G438" s="2" t="str" cm="1">
        <f t="array" ref="G438">_xlfn.IFS(F438&lt;3,"Night",F438&lt;=6,"Early Morning",F438&lt;8,"Morning",F438&lt;10,"Late Morning",F438&lt;12,"Afternoon",F438&lt;16,"Afternoon",F438&lt;=18,"Early Evening",F438&lt;=20,"Evening",F438&lt;=22,"Late Evening",F438&lt;=23,"Night")</f>
        <v>Early Morning</v>
      </c>
      <c r="H438" s="2" t="b">
        <v>0</v>
      </c>
      <c r="I438" s="2">
        <v>4</v>
      </c>
      <c r="J438" s="2">
        <v>1</v>
      </c>
      <c r="K438" s="14">
        <v>0.24</v>
      </c>
      <c r="L438" s="4">
        <v>0.2273</v>
      </c>
      <c r="M438" s="4">
        <v>0.6</v>
      </c>
      <c r="N438" s="4">
        <v>0.22389999999999999</v>
      </c>
      <c r="O438" s="4">
        <v>0</v>
      </c>
      <c r="P438" s="4">
        <v>6</v>
      </c>
      <c r="Q438" s="8">
        <v>6</v>
      </c>
    </row>
    <row r="439" spans="1:17" x14ac:dyDescent="0.25">
      <c r="A439" s="7">
        <v>438</v>
      </c>
      <c r="B439" s="3">
        <v>40563</v>
      </c>
      <c r="C439" s="2">
        <v>1</v>
      </c>
      <c r="D439" s="2">
        <v>0</v>
      </c>
      <c r="E439" s="2">
        <v>1</v>
      </c>
      <c r="F439" s="2">
        <v>6</v>
      </c>
      <c r="G439" s="2" t="str" cm="1">
        <f t="array" ref="G439">_xlfn.IFS(F439&lt;3,"Night",F439&lt;=6,"Early Morning",F439&lt;8,"Morning",F439&lt;10,"Late Morning",F439&lt;12,"Afternoon",F439&lt;16,"Afternoon",F439&lt;=18,"Early Evening",F439&lt;=20,"Evening",F439&lt;=22,"Late Evening",F439&lt;=23,"Night")</f>
        <v>Early Morning</v>
      </c>
      <c r="H439" s="2" t="b">
        <v>0</v>
      </c>
      <c r="I439" s="2">
        <v>4</v>
      </c>
      <c r="J439" s="2">
        <v>1</v>
      </c>
      <c r="K439" s="14">
        <v>0.22</v>
      </c>
      <c r="L439" s="4">
        <v>0.21210000000000001</v>
      </c>
      <c r="M439" s="4">
        <v>0.6</v>
      </c>
      <c r="N439" s="4">
        <v>0.22389999999999999</v>
      </c>
      <c r="O439" s="4">
        <v>0</v>
      </c>
      <c r="P439" s="4">
        <v>35</v>
      </c>
      <c r="Q439" s="8">
        <v>35</v>
      </c>
    </row>
    <row r="440" spans="1:17" x14ac:dyDescent="0.25">
      <c r="A440" s="7">
        <v>439</v>
      </c>
      <c r="B440" s="3">
        <v>40563</v>
      </c>
      <c r="C440" s="2">
        <v>1</v>
      </c>
      <c r="D440" s="2">
        <v>0</v>
      </c>
      <c r="E440" s="2">
        <v>1</v>
      </c>
      <c r="F440" s="2">
        <v>7</v>
      </c>
      <c r="G440" s="2" t="str" cm="1">
        <f t="array" ref="G440">_xlfn.IFS(F440&lt;3,"Night",F440&lt;=6,"Early Morning",F440&lt;8,"Morning",F440&lt;10,"Late Morning",F440&lt;12,"Afternoon",F440&lt;16,"Afternoon",F440&lt;=18,"Early Evening",F440&lt;=20,"Evening",F440&lt;=22,"Late Evening",F440&lt;=23,"Night")</f>
        <v>Morning</v>
      </c>
      <c r="H440" s="2" t="b">
        <v>0</v>
      </c>
      <c r="I440" s="2">
        <v>4</v>
      </c>
      <c r="J440" s="2">
        <v>1</v>
      </c>
      <c r="K440" s="14">
        <v>0.22</v>
      </c>
      <c r="L440" s="4">
        <v>0.21210000000000001</v>
      </c>
      <c r="M440" s="4">
        <v>0.55000000000000004</v>
      </c>
      <c r="N440" s="4">
        <v>0.22389999999999999</v>
      </c>
      <c r="O440" s="4">
        <v>1</v>
      </c>
      <c r="P440" s="4">
        <v>100</v>
      </c>
      <c r="Q440" s="8">
        <v>101</v>
      </c>
    </row>
    <row r="441" spans="1:17" x14ac:dyDescent="0.25">
      <c r="A441" s="7">
        <v>440</v>
      </c>
      <c r="B441" s="3">
        <v>40563</v>
      </c>
      <c r="C441" s="2">
        <v>1</v>
      </c>
      <c r="D441" s="2">
        <v>0</v>
      </c>
      <c r="E441" s="2">
        <v>1</v>
      </c>
      <c r="F441" s="2">
        <v>8</v>
      </c>
      <c r="G441" s="2" t="str" cm="1">
        <f t="array" ref="G441">_xlfn.IFS(F441&lt;3,"Night",F441&lt;=6,"Early Morning",F441&lt;8,"Morning",F441&lt;10,"Late Morning",F441&lt;12,"Afternoon",F441&lt;16,"Afternoon",F441&lt;=18,"Early Evening",F441&lt;=20,"Evening",F441&lt;=22,"Late Evening",F441&lt;=23,"Night")</f>
        <v>Late Morning</v>
      </c>
      <c r="H441" s="2" t="b">
        <v>0</v>
      </c>
      <c r="I441" s="2">
        <v>4</v>
      </c>
      <c r="J441" s="2">
        <v>1</v>
      </c>
      <c r="K441" s="14">
        <v>0.22</v>
      </c>
      <c r="L441" s="4">
        <v>0.21210000000000001</v>
      </c>
      <c r="M441" s="4">
        <v>0.55000000000000004</v>
      </c>
      <c r="N441" s="4">
        <v>0.28360000000000002</v>
      </c>
      <c r="O441" s="4">
        <v>2</v>
      </c>
      <c r="P441" s="4">
        <v>247</v>
      </c>
      <c r="Q441" s="8">
        <v>249</v>
      </c>
    </row>
    <row r="442" spans="1:17" x14ac:dyDescent="0.25">
      <c r="A442" s="7">
        <v>441</v>
      </c>
      <c r="B442" s="3">
        <v>40563</v>
      </c>
      <c r="C442" s="2">
        <v>1</v>
      </c>
      <c r="D442" s="2">
        <v>0</v>
      </c>
      <c r="E442" s="2">
        <v>1</v>
      </c>
      <c r="F442" s="2">
        <v>9</v>
      </c>
      <c r="G442" s="2" t="str" cm="1">
        <f t="array" ref="G442">_xlfn.IFS(F442&lt;3,"Night",F442&lt;=6,"Early Morning",F442&lt;8,"Morning",F442&lt;10,"Late Morning",F442&lt;12,"Afternoon",F442&lt;16,"Afternoon",F442&lt;=18,"Early Evening",F442&lt;=20,"Evening",F442&lt;=22,"Late Evening",F442&lt;=23,"Night")</f>
        <v>Late Morning</v>
      </c>
      <c r="H442" s="2" t="b">
        <v>0</v>
      </c>
      <c r="I442" s="2">
        <v>4</v>
      </c>
      <c r="J442" s="2">
        <v>2</v>
      </c>
      <c r="K442" s="14">
        <v>0.24</v>
      </c>
      <c r="L442" s="4">
        <v>0.2273</v>
      </c>
      <c r="M442" s="4">
        <v>0.52</v>
      </c>
      <c r="N442" s="4">
        <v>0.22389999999999999</v>
      </c>
      <c r="O442" s="4">
        <v>3</v>
      </c>
      <c r="P442" s="4">
        <v>140</v>
      </c>
      <c r="Q442" s="8">
        <v>143</v>
      </c>
    </row>
    <row r="443" spans="1:17" x14ac:dyDescent="0.25">
      <c r="A443" s="7">
        <v>442</v>
      </c>
      <c r="B443" s="3">
        <v>40563</v>
      </c>
      <c r="C443" s="2">
        <v>1</v>
      </c>
      <c r="D443" s="2">
        <v>0</v>
      </c>
      <c r="E443" s="2">
        <v>1</v>
      </c>
      <c r="F443" s="2">
        <v>10</v>
      </c>
      <c r="G443" s="2" t="str" cm="1">
        <f t="array" ref="G443">_xlfn.IFS(F443&lt;3,"Night",F443&lt;=6,"Early Morning",F443&lt;8,"Morning",F443&lt;10,"Late Morning",F443&lt;12,"Afternoon",F443&lt;16,"Afternoon",F443&lt;=18,"Early Evening",F443&lt;=20,"Evening",F443&lt;=22,"Late Evening",F443&lt;=23,"Night")</f>
        <v>Afternoon</v>
      </c>
      <c r="H443" s="2" t="b">
        <v>0</v>
      </c>
      <c r="I443" s="2">
        <v>4</v>
      </c>
      <c r="J443" s="2">
        <v>1</v>
      </c>
      <c r="K443" s="14">
        <v>0.26</v>
      </c>
      <c r="L443" s="4">
        <v>0.2273</v>
      </c>
      <c r="M443" s="4">
        <v>0.48</v>
      </c>
      <c r="N443" s="4">
        <v>0.29849999999999999</v>
      </c>
      <c r="O443" s="4">
        <v>1</v>
      </c>
      <c r="P443" s="4">
        <v>56</v>
      </c>
      <c r="Q443" s="8">
        <v>57</v>
      </c>
    </row>
    <row r="444" spans="1:17" x14ac:dyDescent="0.25">
      <c r="A444" s="7">
        <v>443</v>
      </c>
      <c r="B444" s="3">
        <v>40563</v>
      </c>
      <c r="C444" s="2">
        <v>1</v>
      </c>
      <c r="D444" s="2">
        <v>0</v>
      </c>
      <c r="E444" s="2">
        <v>1</v>
      </c>
      <c r="F444" s="2">
        <v>11</v>
      </c>
      <c r="G444" s="2" t="str" cm="1">
        <f t="array" ref="G444">_xlfn.IFS(F444&lt;3,"Night",F444&lt;=6,"Early Morning",F444&lt;8,"Morning",F444&lt;10,"Late Morning",F444&lt;12,"Afternoon",F444&lt;16,"Afternoon",F444&lt;=18,"Early Evening",F444&lt;=20,"Evening",F444&lt;=22,"Late Evening",F444&lt;=23,"Night")</f>
        <v>Afternoon</v>
      </c>
      <c r="H444" s="2" t="b">
        <v>0</v>
      </c>
      <c r="I444" s="2">
        <v>4</v>
      </c>
      <c r="J444" s="2">
        <v>2</v>
      </c>
      <c r="K444" s="14">
        <v>0.28000000000000003</v>
      </c>
      <c r="L444" s="4">
        <v>0.2727</v>
      </c>
      <c r="M444" s="4">
        <v>0.45</v>
      </c>
      <c r="N444" s="4">
        <v>0.16420000000000001</v>
      </c>
      <c r="O444" s="4">
        <v>5</v>
      </c>
      <c r="P444" s="4">
        <v>63</v>
      </c>
      <c r="Q444" s="8">
        <v>68</v>
      </c>
    </row>
    <row r="445" spans="1:17" x14ac:dyDescent="0.25">
      <c r="A445" s="7">
        <v>444</v>
      </c>
      <c r="B445" s="3">
        <v>40563</v>
      </c>
      <c r="C445" s="2">
        <v>1</v>
      </c>
      <c r="D445" s="2">
        <v>0</v>
      </c>
      <c r="E445" s="2">
        <v>1</v>
      </c>
      <c r="F445" s="2">
        <v>12</v>
      </c>
      <c r="G445" s="2" t="str" cm="1">
        <f t="array" ref="G445">_xlfn.IFS(F445&lt;3,"Night",F445&lt;=6,"Early Morning",F445&lt;8,"Morning",F445&lt;10,"Late Morning",F445&lt;12,"Afternoon",F445&lt;16,"Afternoon",F445&lt;=18,"Early Evening",F445&lt;=20,"Evening",F445&lt;=22,"Late Evening",F445&lt;=23,"Night")</f>
        <v>Afternoon</v>
      </c>
      <c r="H445" s="2" t="b">
        <v>0</v>
      </c>
      <c r="I445" s="2">
        <v>4</v>
      </c>
      <c r="J445" s="2">
        <v>2</v>
      </c>
      <c r="K445" s="14">
        <v>0.3</v>
      </c>
      <c r="L445" s="4">
        <v>0.33329999999999999</v>
      </c>
      <c r="M445" s="4">
        <v>0.42</v>
      </c>
      <c r="N445" s="4">
        <v>0</v>
      </c>
      <c r="O445" s="4">
        <v>7</v>
      </c>
      <c r="P445" s="4">
        <v>77</v>
      </c>
      <c r="Q445" s="8">
        <v>84</v>
      </c>
    </row>
    <row r="446" spans="1:17" x14ac:dyDescent="0.25">
      <c r="A446" s="7">
        <v>445</v>
      </c>
      <c r="B446" s="3">
        <v>40563</v>
      </c>
      <c r="C446" s="2">
        <v>1</v>
      </c>
      <c r="D446" s="2">
        <v>0</v>
      </c>
      <c r="E446" s="2">
        <v>1</v>
      </c>
      <c r="F446" s="2">
        <v>13</v>
      </c>
      <c r="G446" s="2" t="str" cm="1">
        <f t="array" ref="G446">_xlfn.IFS(F446&lt;3,"Night",F446&lt;=6,"Early Morning",F446&lt;8,"Morning",F446&lt;10,"Late Morning",F446&lt;12,"Afternoon",F446&lt;16,"Afternoon",F446&lt;=18,"Early Evening",F446&lt;=20,"Evening",F446&lt;=22,"Late Evening",F446&lt;=23,"Night")</f>
        <v>Afternoon</v>
      </c>
      <c r="H446" s="2" t="b">
        <v>0</v>
      </c>
      <c r="I446" s="2">
        <v>4</v>
      </c>
      <c r="J446" s="2">
        <v>2</v>
      </c>
      <c r="K446" s="14">
        <v>0.28000000000000003</v>
      </c>
      <c r="L446" s="4">
        <v>0.28789999999999999</v>
      </c>
      <c r="M446" s="4">
        <v>0.45</v>
      </c>
      <c r="N446" s="4">
        <v>0.1045</v>
      </c>
      <c r="O446" s="4">
        <v>12</v>
      </c>
      <c r="P446" s="4">
        <v>86</v>
      </c>
      <c r="Q446" s="8">
        <v>98</v>
      </c>
    </row>
    <row r="447" spans="1:17" x14ac:dyDescent="0.25">
      <c r="A447" s="7">
        <v>446</v>
      </c>
      <c r="B447" s="3">
        <v>40563</v>
      </c>
      <c r="C447" s="2">
        <v>1</v>
      </c>
      <c r="D447" s="2">
        <v>0</v>
      </c>
      <c r="E447" s="2">
        <v>1</v>
      </c>
      <c r="F447" s="2">
        <v>14</v>
      </c>
      <c r="G447" s="2" t="str" cm="1">
        <f t="array" ref="G447">_xlfn.IFS(F447&lt;3,"Night",F447&lt;=6,"Early Morning",F447&lt;8,"Morning",F447&lt;10,"Late Morning",F447&lt;12,"Afternoon",F447&lt;16,"Afternoon",F447&lt;=18,"Early Evening",F447&lt;=20,"Evening",F447&lt;=22,"Late Evening",F447&lt;=23,"Night")</f>
        <v>Afternoon</v>
      </c>
      <c r="H447" s="2" t="b">
        <v>0</v>
      </c>
      <c r="I447" s="2">
        <v>4</v>
      </c>
      <c r="J447" s="2">
        <v>2</v>
      </c>
      <c r="K447" s="14">
        <v>0.3</v>
      </c>
      <c r="L447" s="4">
        <v>0.30299999999999999</v>
      </c>
      <c r="M447" s="4">
        <v>0.45</v>
      </c>
      <c r="N447" s="4">
        <v>0.1343</v>
      </c>
      <c r="O447" s="4">
        <v>6</v>
      </c>
      <c r="P447" s="4">
        <v>75</v>
      </c>
      <c r="Q447" s="8">
        <v>81</v>
      </c>
    </row>
    <row r="448" spans="1:17" x14ac:dyDescent="0.25">
      <c r="A448" s="7">
        <v>447</v>
      </c>
      <c r="B448" s="3">
        <v>40563</v>
      </c>
      <c r="C448" s="2">
        <v>1</v>
      </c>
      <c r="D448" s="2">
        <v>0</v>
      </c>
      <c r="E448" s="2">
        <v>1</v>
      </c>
      <c r="F448" s="2">
        <v>15</v>
      </c>
      <c r="G448" s="2" t="str" cm="1">
        <f t="array" ref="G448">_xlfn.IFS(F448&lt;3,"Night",F448&lt;=6,"Early Morning",F448&lt;8,"Morning",F448&lt;10,"Late Morning",F448&lt;12,"Afternoon",F448&lt;16,"Afternoon",F448&lt;=18,"Early Evening",F448&lt;=20,"Evening",F448&lt;=22,"Late Evening",F448&lt;=23,"Night")</f>
        <v>Afternoon</v>
      </c>
      <c r="H448" s="2" t="b">
        <v>0</v>
      </c>
      <c r="I448" s="2">
        <v>4</v>
      </c>
      <c r="J448" s="2">
        <v>2</v>
      </c>
      <c r="K448" s="14">
        <v>0.32</v>
      </c>
      <c r="L448" s="4">
        <v>0.31819999999999998</v>
      </c>
      <c r="M448" s="4">
        <v>0.45</v>
      </c>
      <c r="N448" s="4">
        <v>0.19400000000000001</v>
      </c>
      <c r="O448" s="4">
        <v>8</v>
      </c>
      <c r="P448" s="4">
        <v>62</v>
      </c>
      <c r="Q448" s="8">
        <v>70</v>
      </c>
    </row>
    <row r="449" spans="1:17" x14ac:dyDescent="0.25">
      <c r="A449" s="7">
        <v>448</v>
      </c>
      <c r="B449" s="3">
        <v>40563</v>
      </c>
      <c r="C449" s="2">
        <v>1</v>
      </c>
      <c r="D449" s="2">
        <v>0</v>
      </c>
      <c r="E449" s="2">
        <v>1</v>
      </c>
      <c r="F449" s="2">
        <v>16</v>
      </c>
      <c r="G449" s="2" t="str" cm="1">
        <f t="array" ref="G449">_xlfn.IFS(F449&lt;3,"Night",F449&lt;=6,"Early Morning",F449&lt;8,"Morning",F449&lt;10,"Late Morning",F449&lt;12,"Afternoon",F449&lt;16,"Afternoon",F449&lt;=18,"Early Evening",F449&lt;=20,"Evening",F449&lt;=22,"Late Evening",F449&lt;=23,"Night")</f>
        <v>Early Evening</v>
      </c>
      <c r="H449" s="2" t="b">
        <v>0</v>
      </c>
      <c r="I449" s="2">
        <v>4</v>
      </c>
      <c r="J449" s="2">
        <v>2</v>
      </c>
      <c r="K449" s="14">
        <v>0.3</v>
      </c>
      <c r="L449" s="4">
        <v>0.30299999999999999</v>
      </c>
      <c r="M449" s="4">
        <v>0.49</v>
      </c>
      <c r="N449" s="4">
        <v>0.1343</v>
      </c>
      <c r="O449" s="4">
        <v>8</v>
      </c>
      <c r="P449" s="4">
        <v>83</v>
      </c>
      <c r="Q449" s="8">
        <v>91</v>
      </c>
    </row>
    <row r="450" spans="1:17" x14ac:dyDescent="0.25">
      <c r="A450" s="7">
        <v>449</v>
      </c>
      <c r="B450" s="3">
        <v>40563</v>
      </c>
      <c r="C450" s="2">
        <v>1</v>
      </c>
      <c r="D450" s="2">
        <v>0</v>
      </c>
      <c r="E450" s="2">
        <v>1</v>
      </c>
      <c r="F450" s="2">
        <v>17</v>
      </c>
      <c r="G450" s="2" t="str" cm="1">
        <f t="array" ref="G450">_xlfn.IFS(F450&lt;3,"Night",F450&lt;=6,"Early Morning",F450&lt;8,"Morning",F450&lt;10,"Late Morning",F450&lt;12,"Afternoon",F450&lt;16,"Afternoon",F450&lt;=18,"Early Evening",F450&lt;=20,"Evening",F450&lt;=22,"Late Evening",F450&lt;=23,"Night")</f>
        <v>Early Evening</v>
      </c>
      <c r="H450" s="2" t="b">
        <v>0</v>
      </c>
      <c r="I450" s="2">
        <v>4</v>
      </c>
      <c r="J450" s="2">
        <v>2</v>
      </c>
      <c r="K450" s="14">
        <v>0.3</v>
      </c>
      <c r="L450" s="4">
        <v>0.31819999999999998</v>
      </c>
      <c r="M450" s="4">
        <v>0.49</v>
      </c>
      <c r="N450" s="4">
        <v>0.1045</v>
      </c>
      <c r="O450" s="4">
        <v>8</v>
      </c>
      <c r="P450" s="4">
        <v>207</v>
      </c>
      <c r="Q450" s="8">
        <v>215</v>
      </c>
    </row>
    <row r="451" spans="1:17" x14ac:dyDescent="0.25">
      <c r="A451" s="7">
        <v>450</v>
      </c>
      <c r="B451" s="3">
        <v>40563</v>
      </c>
      <c r="C451" s="2">
        <v>1</v>
      </c>
      <c r="D451" s="2">
        <v>0</v>
      </c>
      <c r="E451" s="2">
        <v>1</v>
      </c>
      <c r="F451" s="2">
        <v>18</v>
      </c>
      <c r="G451" s="2" t="str" cm="1">
        <f t="array" ref="G451">_xlfn.IFS(F451&lt;3,"Night",F451&lt;=6,"Early Morning",F451&lt;8,"Morning",F451&lt;10,"Late Morning",F451&lt;12,"Afternoon",F451&lt;16,"Afternoon",F451&lt;=18,"Early Evening",F451&lt;=20,"Evening",F451&lt;=22,"Late Evening",F451&lt;=23,"Night")</f>
        <v>Early Evening</v>
      </c>
      <c r="H451" s="2" t="b">
        <v>0</v>
      </c>
      <c r="I451" s="2">
        <v>4</v>
      </c>
      <c r="J451" s="2">
        <v>2</v>
      </c>
      <c r="K451" s="14">
        <v>0.26</v>
      </c>
      <c r="L451" s="4">
        <v>0.2576</v>
      </c>
      <c r="M451" s="4">
        <v>0.56000000000000005</v>
      </c>
      <c r="N451" s="4">
        <v>0.19400000000000001</v>
      </c>
      <c r="O451" s="4">
        <v>1</v>
      </c>
      <c r="P451" s="4">
        <v>184</v>
      </c>
      <c r="Q451" s="8">
        <v>185</v>
      </c>
    </row>
    <row r="452" spans="1:17" x14ac:dyDescent="0.25">
      <c r="A452" s="7">
        <v>451</v>
      </c>
      <c r="B452" s="3">
        <v>40563</v>
      </c>
      <c r="C452" s="2">
        <v>1</v>
      </c>
      <c r="D452" s="2">
        <v>0</v>
      </c>
      <c r="E452" s="2">
        <v>1</v>
      </c>
      <c r="F452" s="2">
        <v>19</v>
      </c>
      <c r="G452" s="2" t="str" cm="1">
        <f t="array" ref="G452">_xlfn.IFS(F452&lt;3,"Night",F452&lt;=6,"Early Morning",F452&lt;8,"Morning",F452&lt;10,"Late Morning",F452&lt;12,"Afternoon",F452&lt;16,"Afternoon",F452&lt;=18,"Early Evening",F452&lt;=20,"Evening",F452&lt;=22,"Late Evening",F452&lt;=23,"Night")</f>
        <v>Evening</v>
      </c>
      <c r="H452" s="2" t="b">
        <v>0</v>
      </c>
      <c r="I452" s="2">
        <v>4</v>
      </c>
      <c r="J452" s="2">
        <v>1</v>
      </c>
      <c r="K452" s="14">
        <v>0.26</v>
      </c>
      <c r="L452" s="4">
        <v>0.2273</v>
      </c>
      <c r="M452" s="4">
        <v>0.56000000000000005</v>
      </c>
      <c r="N452" s="4">
        <v>0.32840000000000003</v>
      </c>
      <c r="O452" s="4">
        <v>6</v>
      </c>
      <c r="P452" s="4">
        <v>146</v>
      </c>
      <c r="Q452" s="8">
        <v>152</v>
      </c>
    </row>
    <row r="453" spans="1:17" x14ac:dyDescent="0.25">
      <c r="A453" s="7">
        <v>452</v>
      </c>
      <c r="B453" s="3">
        <v>40563</v>
      </c>
      <c r="C453" s="2">
        <v>1</v>
      </c>
      <c r="D453" s="2">
        <v>0</v>
      </c>
      <c r="E453" s="2">
        <v>1</v>
      </c>
      <c r="F453" s="2">
        <v>20</v>
      </c>
      <c r="G453" s="2" t="str" cm="1">
        <f t="array" ref="G453">_xlfn.IFS(F453&lt;3,"Night",F453&lt;=6,"Early Morning",F453&lt;8,"Morning",F453&lt;10,"Late Morning",F453&lt;12,"Afternoon",F453&lt;16,"Afternoon",F453&lt;=18,"Early Evening",F453&lt;=20,"Evening",F453&lt;=22,"Late Evening",F453&lt;=23,"Night")</f>
        <v>Evening</v>
      </c>
      <c r="H453" s="2" t="b">
        <v>0</v>
      </c>
      <c r="I453" s="2">
        <v>4</v>
      </c>
      <c r="J453" s="2">
        <v>2</v>
      </c>
      <c r="K453" s="14">
        <v>0.26</v>
      </c>
      <c r="L453" s="4">
        <v>0.2424</v>
      </c>
      <c r="M453" s="4">
        <v>0.6</v>
      </c>
      <c r="N453" s="4">
        <v>0.28360000000000002</v>
      </c>
      <c r="O453" s="4">
        <v>2</v>
      </c>
      <c r="P453" s="4">
        <v>124</v>
      </c>
      <c r="Q453" s="8">
        <v>126</v>
      </c>
    </row>
    <row r="454" spans="1:17" x14ac:dyDescent="0.25">
      <c r="A454" s="7">
        <v>453</v>
      </c>
      <c r="B454" s="3">
        <v>40563</v>
      </c>
      <c r="C454" s="2">
        <v>1</v>
      </c>
      <c r="D454" s="2">
        <v>0</v>
      </c>
      <c r="E454" s="2">
        <v>1</v>
      </c>
      <c r="F454" s="2">
        <v>21</v>
      </c>
      <c r="G454" s="2" t="str" cm="1">
        <f t="array" ref="G454">_xlfn.IFS(F454&lt;3,"Night",F454&lt;=6,"Early Morning",F454&lt;8,"Morning",F454&lt;10,"Late Morning",F454&lt;12,"Afternoon",F454&lt;16,"Afternoon",F454&lt;=18,"Early Evening",F454&lt;=20,"Evening",F454&lt;=22,"Late Evening",F454&lt;=23,"Night")</f>
        <v>Late Evening</v>
      </c>
      <c r="H454" s="2" t="b">
        <v>0</v>
      </c>
      <c r="I454" s="2">
        <v>4</v>
      </c>
      <c r="J454" s="2">
        <v>2</v>
      </c>
      <c r="K454" s="14">
        <v>0.24</v>
      </c>
      <c r="L454" s="4">
        <v>0.2273</v>
      </c>
      <c r="M454" s="4">
        <v>0.6</v>
      </c>
      <c r="N454" s="4">
        <v>0.25369999999999998</v>
      </c>
      <c r="O454" s="4">
        <v>3</v>
      </c>
      <c r="P454" s="4">
        <v>54</v>
      </c>
      <c r="Q454" s="8">
        <v>57</v>
      </c>
    </row>
    <row r="455" spans="1:17" x14ac:dyDescent="0.25">
      <c r="A455" s="7">
        <v>454</v>
      </c>
      <c r="B455" s="3">
        <v>40563</v>
      </c>
      <c r="C455" s="2">
        <v>1</v>
      </c>
      <c r="D455" s="2">
        <v>0</v>
      </c>
      <c r="E455" s="2">
        <v>1</v>
      </c>
      <c r="F455" s="2">
        <v>22</v>
      </c>
      <c r="G455" s="2" t="str" cm="1">
        <f t="array" ref="G455">_xlfn.IFS(F455&lt;3,"Night",F455&lt;=6,"Early Morning",F455&lt;8,"Morning",F455&lt;10,"Late Morning",F455&lt;12,"Afternoon",F455&lt;16,"Afternoon",F455&lt;=18,"Early Evening",F455&lt;=20,"Evening",F455&lt;=22,"Late Evening",F455&lt;=23,"Night")</f>
        <v>Late Evening</v>
      </c>
      <c r="H455" s="2" t="b">
        <v>0</v>
      </c>
      <c r="I455" s="2">
        <v>4</v>
      </c>
      <c r="J455" s="2">
        <v>2</v>
      </c>
      <c r="K455" s="14">
        <v>0.24</v>
      </c>
      <c r="L455" s="4">
        <v>0.21210000000000001</v>
      </c>
      <c r="M455" s="4">
        <v>0.65</v>
      </c>
      <c r="N455" s="4">
        <v>0.28360000000000002</v>
      </c>
      <c r="O455" s="4">
        <v>0</v>
      </c>
      <c r="P455" s="4">
        <v>56</v>
      </c>
      <c r="Q455" s="8">
        <v>56</v>
      </c>
    </row>
    <row r="456" spans="1:17" x14ac:dyDescent="0.25">
      <c r="A456" s="7">
        <v>455</v>
      </c>
      <c r="B456" s="3">
        <v>40563</v>
      </c>
      <c r="C456" s="2">
        <v>1</v>
      </c>
      <c r="D456" s="2">
        <v>0</v>
      </c>
      <c r="E456" s="2">
        <v>1</v>
      </c>
      <c r="F456" s="2">
        <v>23</v>
      </c>
      <c r="G456" s="2" t="str" cm="1">
        <f t="array" ref="G456">_xlfn.IFS(F456&lt;3,"Night",F456&lt;=6,"Early Morning",F456&lt;8,"Morning",F456&lt;10,"Late Morning",F456&lt;12,"Afternoon",F456&lt;16,"Afternoon",F456&lt;=18,"Early Evening",F456&lt;=20,"Evening",F456&lt;=22,"Late Evening",F456&lt;=23,"Night")</f>
        <v>Night</v>
      </c>
      <c r="H456" s="2" t="b">
        <v>0</v>
      </c>
      <c r="I456" s="2">
        <v>4</v>
      </c>
      <c r="J456" s="2">
        <v>2</v>
      </c>
      <c r="K456" s="14">
        <v>0.24</v>
      </c>
      <c r="L456" s="4">
        <v>0.21210000000000001</v>
      </c>
      <c r="M456" s="4">
        <v>0.65</v>
      </c>
      <c r="N456" s="4">
        <v>0.32840000000000003</v>
      </c>
      <c r="O456" s="4">
        <v>3</v>
      </c>
      <c r="P456" s="4">
        <v>28</v>
      </c>
      <c r="Q456" s="8">
        <v>31</v>
      </c>
    </row>
    <row r="457" spans="1:17" x14ac:dyDescent="0.25">
      <c r="A457" s="7">
        <v>456</v>
      </c>
      <c r="B457" s="3">
        <v>40564</v>
      </c>
      <c r="C457" s="2">
        <v>1</v>
      </c>
      <c r="D457" s="2">
        <v>0</v>
      </c>
      <c r="E457" s="2">
        <v>1</v>
      </c>
      <c r="F457" s="2">
        <v>0</v>
      </c>
      <c r="G457" s="2" t="str" cm="1">
        <f t="array" ref="G457">_xlfn.IFS(F457&lt;3,"Night",F457&lt;=6,"Early Morning",F457&lt;8,"Morning",F457&lt;10,"Late Morning",F457&lt;12,"Afternoon",F457&lt;16,"Afternoon",F457&lt;=18,"Early Evening",F457&lt;=20,"Evening",F457&lt;=22,"Late Evening",F457&lt;=23,"Night")</f>
        <v>Night</v>
      </c>
      <c r="H457" s="2" t="b">
        <v>0</v>
      </c>
      <c r="I457" s="2">
        <v>5</v>
      </c>
      <c r="J457" s="2">
        <v>2</v>
      </c>
      <c r="K457" s="14">
        <v>0.24</v>
      </c>
      <c r="L457" s="4">
        <v>0.2273</v>
      </c>
      <c r="M457" s="4">
        <v>0.7</v>
      </c>
      <c r="N457" s="4">
        <v>0.25369999999999998</v>
      </c>
      <c r="O457" s="4">
        <v>1</v>
      </c>
      <c r="P457" s="4">
        <v>20</v>
      </c>
      <c r="Q457" s="8">
        <v>21</v>
      </c>
    </row>
    <row r="458" spans="1:17" x14ac:dyDescent="0.25">
      <c r="A458" s="7">
        <v>457</v>
      </c>
      <c r="B458" s="3">
        <v>40564</v>
      </c>
      <c r="C458" s="2">
        <v>1</v>
      </c>
      <c r="D458" s="2">
        <v>0</v>
      </c>
      <c r="E458" s="2">
        <v>1</v>
      </c>
      <c r="F458" s="2">
        <v>1</v>
      </c>
      <c r="G458" s="2" t="str" cm="1">
        <f t="array" ref="G458">_xlfn.IFS(F458&lt;3,"Night",F458&lt;=6,"Early Morning",F458&lt;8,"Morning",F458&lt;10,"Late Morning",F458&lt;12,"Afternoon",F458&lt;16,"Afternoon",F458&lt;=18,"Early Evening",F458&lt;=20,"Evening",F458&lt;=22,"Late Evening",F458&lt;=23,"Night")</f>
        <v>Night</v>
      </c>
      <c r="H458" s="2" t="b">
        <v>0</v>
      </c>
      <c r="I458" s="2">
        <v>5</v>
      </c>
      <c r="J458" s="2">
        <v>2</v>
      </c>
      <c r="K458" s="14">
        <v>0.24</v>
      </c>
      <c r="L458" s="4">
        <v>0.2273</v>
      </c>
      <c r="M458" s="4">
        <v>0.7</v>
      </c>
      <c r="N458" s="4">
        <v>0.25369999999999998</v>
      </c>
      <c r="O458" s="4">
        <v>0</v>
      </c>
      <c r="P458" s="4">
        <v>6</v>
      </c>
      <c r="Q458" s="8">
        <v>6</v>
      </c>
    </row>
    <row r="459" spans="1:17" x14ac:dyDescent="0.25">
      <c r="A459" s="7">
        <v>458</v>
      </c>
      <c r="B459" s="3">
        <v>40564</v>
      </c>
      <c r="C459" s="2">
        <v>1</v>
      </c>
      <c r="D459" s="2">
        <v>0</v>
      </c>
      <c r="E459" s="2">
        <v>1</v>
      </c>
      <c r="F459" s="2">
        <v>2</v>
      </c>
      <c r="G459" s="2" t="str" cm="1">
        <f t="array" ref="G459">_xlfn.IFS(F459&lt;3,"Night",F459&lt;=6,"Early Morning",F459&lt;8,"Morning",F459&lt;10,"Late Morning",F459&lt;12,"Afternoon",F459&lt;16,"Afternoon",F459&lt;=18,"Early Evening",F459&lt;=20,"Evening",F459&lt;=22,"Late Evening",F459&lt;=23,"Night")</f>
        <v>Night</v>
      </c>
      <c r="H459" s="2" t="b">
        <v>0</v>
      </c>
      <c r="I459" s="2">
        <v>5</v>
      </c>
      <c r="J459" s="2">
        <v>3</v>
      </c>
      <c r="K459" s="14">
        <v>0.24</v>
      </c>
      <c r="L459" s="4">
        <v>0.2424</v>
      </c>
      <c r="M459" s="4">
        <v>0.75</v>
      </c>
      <c r="N459" s="4">
        <v>0.16420000000000001</v>
      </c>
      <c r="O459" s="4">
        <v>0</v>
      </c>
      <c r="P459" s="4">
        <v>2</v>
      </c>
      <c r="Q459" s="8">
        <v>2</v>
      </c>
    </row>
    <row r="460" spans="1:17" x14ac:dyDescent="0.25">
      <c r="A460" s="7">
        <v>459</v>
      </c>
      <c r="B460" s="3">
        <v>40564</v>
      </c>
      <c r="C460" s="2">
        <v>1</v>
      </c>
      <c r="D460" s="2">
        <v>0</v>
      </c>
      <c r="E460" s="2">
        <v>1</v>
      </c>
      <c r="F460" s="2">
        <v>3</v>
      </c>
      <c r="G460" s="2" t="str" cm="1">
        <f t="array" ref="G460">_xlfn.IFS(F460&lt;3,"Night",F460&lt;=6,"Early Morning",F460&lt;8,"Morning",F460&lt;10,"Late Morning",F460&lt;12,"Afternoon",F460&lt;16,"Afternoon",F460&lt;=18,"Early Evening",F460&lt;=20,"Evening",F460&lt;=22,"Late Evening",F460&lt;=23,"Night")</f>
        <v>Early Morning</v>
      </c>
      <c r="H460" s="2" t="b">
        <v>0</v>
      </c>
      <c r="I460" s="2">
        <v>5</v>
      </c>
      <c r="J460" s="2">
        <v>3</v>
      </c>
      <c r="K460" s="14">
        <v>0.22</v>
      </c>
      <c r="L460" s="4">
        <v>0.21210000000000001</v>
      </c>
      <c r="M460" s="4">
        <v>0.8</v>
      </c>
      <c r="N460" s="4">
        <v>0.29849999999999999</v>
      </c>
      <c r="O460" s="4">
        <v>0</v>
      </c>
      <c r="P460" s="4">
        <v>1</v>
      </c>
      <c r="Q460" s="8">
        <v>1</v>
      </c>
    </row>
    <row r="461" spans="1:17" x14ac:dyDescent="0.25">
      <c r="A461" s="7">
        <v>460</v>
      </c>
      <c r="B461" s="3">
        <v>40564</v>
      </c>
      <c r="C461" s="2">
        <v>1</v>
      </c>
      <c r="D461" s="2">
        <v>0</v>
      </c>
      <c r="E461" s="2">
        <v>1</v>
      </c>
      <c r="F461" s="2">
        <v>4</v>
      </c>
      <c r="G461" s="2" t="str" cm="1">
        <f t="array" ref="G461">_xlfn.IFS(F461&lt;3,"Night",F461&lt;=6,"Early Morning",F461&lt;8,"Morning",F461&lt;10,"Late Morning",F461&lt;12,"Afternoon",F461&lt;16,"Afternoon",F461&lt;=18,"Early Evening",F461&lt;=20,"Evening",F461&lt;=22,"Late Evening",F461&lt;=23,"Night")</f>
        <v>Early Morning</v>
      </c>
      <c r="H461" s="2" t="b">
        <v>0</v>
      </c>
      <c r="I461" s="2">
        <v>5</v>
      </c>
      <c r="J461" s="2">
        <v>2</v>
      </c>
      <c r="K461" s="14">
        <v>0.22</v>
      </c>
      <c r="L461" s="4">
        <v>0.2576</v>
      </c>
      <c r="M461" s="4">
        <v>0.87</v>
      </c>
      <c r="N461" s="4">
        <v>8.9599999999999999E-2</v>
      </c>
      <c r="O461" s="4">
        <v>0</v>
      </c>
      <c r="P461" s="4">
        <v>1</v>
      </c>
      <c r="Q461" s="8">
        <v>1</v>
      </c>
    </row>
    <row r="462" spans="1:17" x14ac:dyDescent="0.25">
      <c r="A462" s="7">
        <v>461</v>
      </c>
      <c r="B462" s="3">
        <v>40564</v>
      </c>
      <c r="C462" s="2">
        <v>1</v>
      </c>
      <c r="D462" s="2">
        <v>0</v>
      </c>
      <c r="E462" s="2">
        <v>1</v>
      </c>
      <c r="F462" s="2">
        <v>5</v>
      </c>
      <c r="G462" s="2" t="str" cm="1">
        <f t="array" ref="G462">_xlfn.IFS(F462&lt;3,"Night",F462&lt;=6,"Early Morning",F462&lt;8,"Morning",F462&lt;10,"Late Morning",F462&lt;12,"Afternoon",F462&lt;16,"Afternoon",F462&lt;=18,"Early Evening",F462&lt;=20,"Evening",F462&lt;=22,"Late Evening",F462&lt;=23,"Night")</f>
        <v>Early Morning</v>
      </c>
      <c r="H462" s="2" t="b">
        <v>0</v>
      </c>
      <c r="I462" s="2">
        <v>5</v>
      </c>
      <c r="J462" s="2">
        <v>1</v>
      </c>
      <c r="K462" s="14">
        <v>0.24</v>
      </c>
      <c r="L462" s="4">
        <v>0.19700000000000001</v>
      </c>
      <c r="M462" s="4">
        <v>0.6</v>
      </c>
      <c r="N462" s="4">
        <v>0.41789999999999999</v>
      </c>
      <c r="O462" s="4">
        <v>1</v>
      </c>
      <c r="P462" s="4">
        <v>4</v>
      </c>
      <c r="Q462" s="8">
        <v>5</v>
      </c>
    </row>
    <row r="463" spans="1:17" x14ac:dyDescent="0.25">
      <c r="A463" s="7">
        <v>462</v>
      </c>
      <c r="B463" s="3">
        <v>40564</v>
      </c>
      <c r="C463" s="2">
        <v>1</v>
      </c>
      <c r="D463" s="2">
        <v>0</v>
      </c>
      <c r="E463" s="2">
        <v>1</v>
      </c>
      <c r="F463" s="2">
        <v>6</v>
      </c>
      <c r="G463" s="2" t="str" cm="1">
        <f t="array" ref="G463">_xlfn.IFS(F463&lt;3,"Night",F463&lt;=6,"Early Morning",F463&lt;8,"Morning",F463&lt;10,"Late Morning",F463&lt;12,"Afternoon",F463&lt;16,"Afternoon",F463&lt;=18,"Early Evening",F463&lt;=20,"Evening",F463&lt;=22,"Late Evening",F463&lt;=23,"Night")</f>
        <v>Early Morning</v>
      </c>
      <c r="H463" s="2" t="b">
        <v>0</v>
      </c>
      <c r="I463" s="2">
        <v>5</v>
      </c>
      <c r="J463" s="2">
        <v>1</v>
      </c>
      <c r="K463" s="14">
        <v>0.22</v>
      </c>
      <c r="L463" s="4">
        <v>0.21210000000000001</v>
      </c>
      <c r="M463" s="4">
        <v>0.55000000000000004</v>
      </c>
      <c r="N463" s="4">
        <v>0.25369999999999998</v>
      </c>
      <c r="O463" s="4">
        <v>0</v>
      </c>
      <c r="P463" s="4">
        <v>27</v>
      </c>
      <c r="Q463" s="8">
        <v>27</v>
      </c>
    </row>
    <row r="464" spans="1:17" x14ac:dyDescent="0.25">
      <c r="A464" s="7">
        <v>463</v>
      </c>
      <c r="B464" s="3">
        <v>40564</v>
      </c>
      <c r="C464" s="2">
        <v>1</v>
      </c>
      <c r="D464" s="2">
        <v>0</v>
      </c>
      <c r="E464" s="2">
        <v>1</v>
      </c>
      <c r="F464" s="2">
        <v>7</v>
      </c>
      <c r="G464" s="2" t="str" cm="1">
        <f t="array" ref="G464">_xlfn.IFS(F464&lt;3,"Night",F464&lt;=6,"Early Morning",F464&lt;8,"Morning",F464&lt;10,"Late Morning",F464&lt;12,"Afternoon",F464&lt;16,"Afternoon",F464&lt;=18,"Early Evening",F464&lt;=20,"Evening",F464&lt;=22,"Late Evening",F464&lt;=23,"Night")</f>
        <v>Morning</v>
      </c>
      <c r="H464" s="2" t="b">
        <v>0</v>
      </c>
      <c r="I464" s="2">
        <v>5</v>
      </c>
      <c r="J464" s="2">
        <v>1</v>
      </c>
      <c r="K464" s="14">
        <v>0.2</v>
      </c>
      <c r="L464" s="4">
        <v>0.18179999999999999</v>
      </c>
      <c r="M464" s="4">
        <v>0.51</v>
      </c>
      <c r="N464" s="4">
        <v>0.28360000000000002</v>
      </c>
      <c r="O464" s="4">
        <v>2</v>
      </c>
      <c r="P464" s="4">
        <v>66</v>
      </c>
      <c r="Q464" s="8">
        <v>68</v>
      </c>
    </row>
    <row r="465" spans="1:17" x14ac:dyDescent="0.25">
      <c r="A465" s="7">
        <v>464</v>
      </c>
      <c r="B465" s="3">
        <v>40564</v>
      </c>
      <c r="C465" s="2">
        <v>1</v>
      </c>
      <c r="D465" s="2">
        <v>0</v>
      </c>
      <c r="E465" s="2">
        <v>1</v>
      </c>
      <c r="F465" s="2">
        <v>8</v>
      </c>
      <c r="G465" s="2" t="str" cm="1">
        <f t="array" ref="G465">_xlfn.IFS(F465&lt;3,"Night",F465&lt;=6,"Early Morning",F465&lt;8,"Morning",F465&lt;10,"Late Morning",F465&lt;12,"Afternoon",F465&lt;16,"Afternoon",F465&lt;=18,"Early Evening",F465&lt;=20,"Evening",F465&lt;=22,"Late Evening",F465&lt;=23,"Night")</f>
        <v>Late Morning</v>
      </c>
      <c r="H465" s="2" t="b">
        <v>0</v>
      </c>
      <c r="I465" s="2">
        <v>5</v>
      </c>
      <c r="J465" s="2">
        <v>1</v>
      </c>
      <c r="K465" s="14">
        <v>0.2</v>
      </c>
      <c r="L465" s="4">
        <v>0.18179999999999999</v>
      </c>
      <c r="M465" s="4">
        <v>0.47</v>
      </c>
      <c r="N465" s="4">
        <v>0.32840000000000003</v>
      </c>
      <c r="O465" s="4">
        <v>7</v>
      </c>
      <c r="P465" s="4">
        <v>210</v>
      </c>
      <c r="Q465" s="8">
        <v>217</v>
      </c>
    </row>
    <row r="466" spans="1:17" x14ac:dyDescent="0.25">
      <c r="A466" s="7">
        <v>465</v>
      </c>
      <c r="B466" s="3">
        <v>40564</v>
      </c>
      <c r="C466" s="2">
        <v>1</v>
      </c>
      <c r="D466" s="2">
        <v>0</v>
      </c>
      <c r="E466" s="2">
        <v>1</v>
      </c>
      <c r="F466" s="2">
        <v>9</v>
      </c>
      <c r="G466" s="2" t="str" cm="1">
        <f t="array" ref="G466">_xlfn.IFS(F466&lt;3,"Night",F466&lt;=6,"Early Morning",F466&lt;8,"Morning",F466&lt;10,"Late Morning",F466&lt;12,"Afternoon",F466&lt;16,"Afternoon",F466&lt;=18,"Early Evening",F466&lt;=20,"Evening",F466&lt;=22,"Late Evening",F466&lt;=23,"Night")</f>
        <v>Late Morning</v>
      </c>
      <c r="H466" s="2" t="b">
        <v>0</v>
      </c>
      <c r="I466" s="2">
        <v>5</v>
      </c>
      <c r="J466" s="2">
        <v>1</v>
      </c>
      <c r="K466" s="14">
        <v>0.2</v>
      </c>
      <c r="L466" s="4">
        <v>0.18179999999999999</v>
      </c>
      <c r="M466" s="4">
        <v>0.51</v>
      </c>
      <c r="N466" s="4">
        <v>0.35820000000000002</v>
      </c>
      <c r="O466" s="4">
        <v>7</v>
      </c>
      <c r="P466" s="4">
        <v>159</v>
      </c>
      <c r="Q466" s="8">
        <v>166</v>
      </c>
    </row>
    <row r="467" spans="1:17" x14ac:dyDescent="0.25">
      <c r="A467" s="7">
        <v>466</v>
      </c>
      <c r="B467" s="3">
        <v>40564</v>
      </c>
      <c r="C467" s="2">
        <v>1</v>
      </c>
      <c r="D467" s="2">
        <v>0</v>
      </c>
      <c r="E467" s="2">
        <v>1</v>
      </c>
      <c r="F467" s="2">
        <v>10</v>
      </c>
      <c r="G467" s="2" t="str" cm="1">
        <f t="array" ref="G467">_xlfn.IFS(F467&lt;3,"Night",F467&lt;=6,"Early Morning",F467&lt;8,"Morning",F467&lt;10,"Late Morning",F467&lt;12,"Afternoon",F467&lt;16,"Afternoon",F467&lt;=18,"Early Evening",F467&lt;=20,"Evening",F467&lt;=22,"Late Evening",F467&lt;=23,"Night")</f>
        <v>Afternoon</v>
      </c>
      <c r="H467" s="2" t="b">
        <v>0</v>
      </c>
      <c r="I467" s="2">
        <v>5</v>
      </c>
      <c r="J467" s="2">
        <v>1</v>
      </c>
      <c r="K467" s="14">
        <v>0.2</v>
      </c>
      <c r="L467" s="4">
        <v>0.16669999999999999</v>
      </c>
      <c r="M467" s="4">
        <v>0.47</v>
      </c>
      <c r="N467" s="4">
        <v>0.4627</v>
      </c>
      <c r="O467" s="4">
        <v>6</v>
      </c>
      <c r="P467" s="4">
        <v>57</v>
      </c>
      <c r="Q467" s="8">
        <v>63</v>
      </c>
    </row>
    <row r="468" spans="1:17" x14ac:dyDescent="0.25">
      <c r="A468" s="7">
        <v>467</v>
      </c>
      <c r="B468" s="3">
        <v>40564</v>
      </c>
      <c r="C468" s="2">
        <v>1</v>
      </c>
      <c r="D468" s="2">
        <v>0</v>
      </c>
      <c r="E468" s="2">
        <v>1</v>
      </c>
      <c r="F468" s="2">
        <v>11</v>
      </c>
      <c r="G468" s="2" t="str" cm="1">
        <f t="array" ref="G468">_xlfn.IFS(F468&lt;3,"Night",F468&lt;=6,"Early Morning",F468&lt;8,"Morning",F468&lt;10,"Late Morning",F468&lt;12,"Afternoon",F468&lt;16,"Afternoon",F468&lt;=18,"Early Evening",F468&lt;=20,"Evening",F468&lt;=22,"Late Evening",F468&lt;=23,"Night")</f>
        <v>Afternoon</v>
      </c>
      <c r="H468" s="2" t="b">
        <v>0</v>
      </c>
      <c r="I468" s="2">
        <v>5</v>
      </c>
      <c r="J468" s="2">
        <v>1</v>
      </c>
      <c r="K468" s="14">
        <v>0.22</v>
      </c>
      <c r="L468" s="4">
        <v>0.18179999999999999</v>
      </c>
      <c r="M468" s="4">
        <v>0.41</v>
      </c>
      <c r="N468" s="4">
        <v>0.4627</v>
      </c>
      <c r="O468" s="4">
        <v>6</v>
      </c>
      <c r="P468" s="4">
        <v>53</v>
      </c>
      <c r="Q468" s="8">
        <v>59</v>
      </c>
    </row>
    <row r="469" spans="1:17" x14ac:dyDescent="0.25">
      <c r="A469" s="7">
        <v>468</v>
      </c>
      <c r="B469" s="3">
        <v>40564</v>
      </c>
      <c r="C469" s="2">
        <v>1</v>
      </c>
      <c r="D469" s="2">
        <v>0</v>
      </c>
      <c r="E469" s="2">
        <v>1</v>
      </c>
      <c r="F469" s="2">
        <v>12</v>
      </c>
      <c r="G469" s="2" t="str" cm="1">
        <f t="array" ref="G469">_xlfn.IFS(F469&lt;3,"Night",F469&lt;=6,"Early Morning",F469&lt;8,"Morning",F469&lt;10,"Late Morning",F469&lt;12,"Afternoon",F469&lt;16,"Afternoon",F469&lt;=18,"Early Evening",F469&lt;=20,"Evening",F469&lt;=22,"Late Evening",F469&lt;=23,"Night")</f>
        <v>Afternoon</v>
      </c>
      <c r="H469" s="2" t="b">
        <v>0</v>
      </c>
      <c r="I469" s="2">
        <v>5</v>
      </c>
      <c r="J469" s="2">
        <v>1</v>
      </c>
      <c r="K469" s="14">
        <v>0.22</v>
      </c>
      <c r="L469" s="4">
        <v>0.18179999999999999</v>
      </c>
      <c r="M469" s="4">
        <v>0.27</v>
      </c>
      <c r="N469" s="4">
        <v>0.58209999999999995</v>
      </c>
      <c r="O469" s="4">
        <v>11</v>
      </c>
      <c r="P469" s="4">
        <v>67</v>
      </c>
      <c r="Q469" s="8">
        <v>78</v>
      </c>
    </row>
    <row r="470" spans="1:17" x14ac:dyDescent="0.25">
      <c r="A470" s="7">
        <v>469</v>
      </c>
      <c r="B470" s="3">
        <v>40564</v>
      </c>
      <c r="C470" s="2">
        <v>1</v>
      </c>
      <c r="D470" s="2">
        <v>0</v>
      </c>
      <c r="E470" s="2">
        <v>1</v>
      </c>
      <c r="F470" s="2">
        <v>13</v>
      </c>
      <c r="G470" s="2" t="str" cm="1">
        <f t="array" ref="G470">_xlfn.IFS(F470&lt;3,"Night",F470&lt;=6,"Early Morning",F470&lt;8,"Morning",F470&lt;10,"Late Morning",F470&lt;12,"Afternoon",F470&lt;16,"Afternoon",F470&lt;=18,"Early Evening",F470&lt;=20,"Evening",F470&lt;=22,"Late Evening",F470&lt;=23,"Night")</f>
        <v>Afternoon</v>
      </c>
      <c r="H470" s="2" t="b">
        <v>0</v>
      </c>
      <c r="I470" s="2">
        <v>5</v>
      </c>
      <c r="J470" s="2">
        <v>1</v>
      </c>
      <c r="K470" s="14">
        <v>0.2</v>
      </c>
      <c r="L470" s="4">
        <v>0.1515</v>
      </c>
      <c r="M470" s="4">
        <v>0.21</v>
      </c>
      <c r="N470" s="4">
        <v>0.58209999999999995</v>
      </c>
      <c r="O470" s="4">
        <v>8</v>
      </c>
      <c r="P470" s="4">
        <v>65</v>
      </c>
      <c r="Q470" s="8">
        <v>73</v>
      </c>
    </row>
    <row r="471" spans="1:17" x14ac:dyDescent="0.25">
      <c r="A471" s="7">
        <v>470</v>
      </c>
      <c r="B471" s="3">
        <v>40564</v>
      </c>
      <c r="C471" s="2">
        <v>1</v>
      </c>
      <c r="D471" s="2">
        <v>0</v>
      </c>
      <c r="E471" s="2">
        <v>1</v>
      </c>
      <c r="F471" s="2">
        <v>14</v>
      </c>
      <c r="G471" s="2" t="str" cm="1">
        <f t="array" ref="G471">_xlfn.IFS(F471&lt;3,"Night",F471&lt;=6,"Early Morning",F471&lt;8,"Morning",F471&lt;10,"Late Morning",F471&lt;12,"Afternoon",F471&lt;16,"Afternoon",F471&lt;=18,"Early Evening",F471&lt;=20,"Evening",F471&lt;=22,"Late Evening",F471&lt;=23,"Night")</f>
        <v>Afternoon</v>
      </c>
      <c r="H471" s="2" t="b">
        <v>0</v>
      </c>
      <c r="I471" s="2">
        <v>5</v>
      </c>
      <c r="J471" s="2">
        <v>1</v>
      </c>
      <c r="K471" s="14">
        <v>0.2</v>
      </c>
      <c r="L471" s="4">
        <v>0.1515</v>
      </c>
      <c r="M471" s="4">
        <v>0.25</v>
      </c>
      <c r="N471" s="4">
        <v>0.52239999999999998</v>
      </c>
      <c r="O471" s="4">
        <v>6</v>
      </c>
      <c r="P471" s="4">
        <v>56</v>
      </c>
      <c r="Q471" s="8">
        <v>62</v>
      </c>
    </row>
    <row r="472" spans="1:17" x14ac:dyDescent="0.25">
      <c r="A472" s="7">
        <v>471</v>
      </c>
      <c r="B472" s="3">
        <v>40564</v>
      </c>
      <c r="C472" s="2">
        <v>1</v>
      </c>
      <c r="D472" s="2">
        <v>0</v>
      </c>
      <c r="E472" s="2">
        <v>1</v>
      </c>
      <c r="F472" s="2">
        <v>15</v>
      </c>
      <c r="G472" s="2" t="str" cm="1">
        <f t="array" ref="G472">_xlfn.IFS(F472&lt;3,"Night",F472&lt;=6,"Early Morning",F472&lt;8,"Morning",F472&lt;10,"Late Morning",F472&lt;12,"Afternoon",F472&lt;16,"Afternoon",F472&lt;=18,"Early Evening",F472&lt;=20,"Evening",F472&lt;=22,"Late Evening",F472&lt;=23,"Night")</f>
        <v>Afternoon</v>
      </c>
      <c r="H472" s="2" t="b">
        <v>0</v>
      </c>
      <c r="I472" s="2">
        <v>5</v>
      </c>
      <c r="J472" s="2">
        <v>1</v>
      </c>
      <c r="K472" s="14">
        <v>0.16</v>
      </c>
      <c r="L472" s="4">
        <v>0.1212</v>
      </c>
      <c r="M472" s="4">
        <v>0.26</v>
      </c>
      <c r="N472" s="4">
        <v>0.44779999999999998</v>
      </c>
      <c r="O472" s="4">
        <v>4</v>
      </c>
      <c r="P472" s="4">
        <v>61</v>
      </c>
      <c r="Q472" s="8">
        <v>65</v>
      </c>
    </row>
    <row r="473" spans="1:17" x14ac:dyDescent="0.25">
      <c r="A473" s="7">
        <v>472</v>
      </c>
      <c r="B473" s="3">
        <v>40564</v>
      </c>
      <c r="C473" s="2">
        <v>1</v>
      </c>
      <c r="D473" s="2">
        <v>0</v>
      </c>
      <c r="E473" s="2">
        <v>1</v>
      </c>
      <c r="F473" s="2">
        <v>16</v>
      </c>
      <c r="G473" s="2" t="str" cm="1">
        <f t="array" ref="G473">_xlfn.IFS(F473&lt;3,"Night",F473&lt;=6,"Early Morning",F473&lt;8,"Morning",F473&lt;10,"Late Morning",F473&lt;12,"Afternoon",F473&lt;16,"Afternoon",F473&lt;=18,"Early Evening",F473&lt;=20,"Evening",F473&lt;=22,"Late Evening",F473&lt;=23,"Night")</f>
        <v>Early Evening</v>
      </c>
      <c r="H473" s="2" t="b">
        <v>0</v>
      </c>
      <c r="I473" s="2">
        <v>5</v>
      </c>
      <c r="J473" s="2">
        <v>1</v>
      </c>
      <c r="K473" s="14">
        <v>0.16</v>
      </c>
      <c r="L473" s="4">
        <v>0.13639999999999999</v>
      </c>
      <c r="M473" s="4">
        <v>0.26</v>
      </c>
      <c r="N473" s="4">
        <v>0.35820000000000002</v>
      </c>
      <c r="O473" s="4">
        <v>0</v>
      </c>
      <c r="P473" s="4">
        <v>97</v>
      </c>
      <c r="Q473" s="8">
        <v>97</v>
      </c>
    </row>
    <row r="474" spans="1:17" x14ac:dyDescent="0.25">
      <c r="A474" s="7">
        <v>473</v>
      </c>
      <c r="B474" s="3">
        <v>40564</v>
      </c>
      <c r="C474" s="2">
        <v>1</v>
      </c>
      <c r="D474" s="2">
        <v>0</v>
      </c>
      <c r="E474" s="2">
        <v>1</v>
      </c>
      <c r="F474" s="2">
        <v>17</v>
      </c>
      <c r="G474" s="2" t="str" cm="1">
        <f t="array" ref="G474">_xlfn.IFS(F474&lt;3,"Night",F474&lt;=6,"Early Morning",F474&lt;8,"Morning",F474&lt;10,"Late Morning",F474&lt;12,"Afternoon",F474&lt;16,"Afternoon",F474&lt;=18,"Early Evening",F474&lt;=20,"Evening",F474&lt;=22,"Late Evening",F474&lt;=23,"Night")</f>
        <v>Early Evening</v>
      </c>
      <c r="H474" s="2" t="b">
        <v>0</v>
      </c>
      <c r="I474" s="2">
        <v>5</v>
      </c>
      <c r="J474" s="2">
        <v>1</v>
      </c>
      <c r="K474" s="14">
        <v>0.14000000000000001</v>
      </c>
      <c r="L474" s="4">
        <v>0.1212</v>
      </c>
      <c r="M474" s="4">
        <v>0.28000000000000003</v>
      </c>
      <c r="N474" s="4">
        <v>0.35820000000000002</v>
      </c>
      <c r="O474" s="4">
        <v>10</v>
      </c>
      <c r="P474" s="4">
        <v>151</v>
      </c>
      <c r="Q474" s="8">
        <v>161</v>
      </c>
    </row>
    <row r="475" spans="1:17" x14ac:dyDescent="0.25">
      <c r="A475" s="7">
        <v>474</v>
      </c>
      <c r="B475" s="3">
        <v>40564</v>
      </c>
      <c r="C475" s="2">
        <v>1</v>
      </c>
      <c r="D475" s="2">
        <v>0</v>
      </c>
      <c r="E475" s="2">
        <v>1</v>
      </c>
      <c r="F475" s="2">
        <v>18</v>
      </c>
      <c r="G475" s="2" t="str" cm="1">
        <f t="array" ref="G475">_xlfn.IFS(F475&lt;3,"Night",F475&lt;=6,"Early Morning",F475&lt;8,"Morning",F475&lt;10,"Late Morning",F475&lt;12,"Afternoon",F475&lt;16,"Afternoon",F475&lt;=18,"Early Evening",F475&lt;=20,"Evening",F475&lt;=22,"Late Evening",F475&lt;=23,"Night")</f>
        <v>Early Evening</v>
      </c>
      <c r="H475" s="2" t="b">
        <v>0</v>
      </c>
      <c r="I475" s="2">
        <v>5</v>
      </c>
      <c r="J475" s="2">
        <v>1</v>
      </c>
      <c r="K475" s="14">
        <v>0.12</v>
      </c>
      <c r="L475" s="4">
        <v>0.1212</v>
      </c>
      <c r="M475" s="4">
        <v>0.3</v>
      </c>
      <c r="N475" s="4">
        <v>0.25369999999999998</v>
      </c>
      <c r="O475" s="4">
        <v>1</v>
      </c>
      <c r="P475" s="4">
        <v>119</v>
      </c>
      <c r="Q475" s="8">
        <v>120</v>
      </c>
    </row>
    <row r="476" spans="1:17" x14ac:dyDescent="0.25">
      <c r="A476" s="7">
        <v>475</v>
      </c>
      <c r="B476" s="3">
        <v>40564</v>
      </c>
      <c r="C476" s="2">
        <v>1</v>
      </c>
      <c r="D476" s="2">
        <v>0</v>
      </c>
      <c r="E476" s="2">
        <v>1</v>
      </c>
      <c r="F476" s="2">
        <v>19</v>
      </c>
      <c r="G476" s="2" t="str" cm="1">
        <f t="array" ref="G476">_xlfn.IFS(F476&lt;3,"Night",F476&lt;=6,"Early Morning",F476&lt;8,"Morning",F476&lt;10,"Late Morning",F476&lt;12,"Afternoon",F476&lt;16,"Afternoon",F476&lt;=18,"Early Evening",F476&lt;=20,"Evening",F476&lt;=22,"Late Evening",F476&lt;=23,"Night")</f>
        <v>Evening</v>
      </c>
      <c r="H476" s="2" t="b">
        <v>0</v>
      </c>
      <c r="I476" s="2">
        <v>5</v>
      </c>
      <c r="J476" s="2">
        <v>1</v>
      </c>
      <c r="K476" s="14">
        <v>0.12</v>
      </c>
      <c r="L476" s="4">
        <v>0.1061</v>
      </c>
      <c r="M476" s="4">
        <v>0.3</v>
      </c>
      <c r="N476" s="4">
        <v>0.32840000000000003</v>
      </c>
      <c r="O476" s="4">
        <v>3</v>
      </c>
      <c r="P476" s="4">
        <v>93</v>
      </c>
      <c r="Q476" s="8">
        <v>96</v>
      </c>
    </row>
    <row r="477" spans="1:17" x14ac:dyDescent="0.25">
      <c r="A477" s="7">
        <v>476</v>
      </c>
      <c r="B477" s="3">
        <v>40564</v>
      </c>
      <c r="C477" s="2">
        <v>1</v>
      </c>
      <c r="D477" s="2">
        <v>0</v>
      </c>
      <c r="E477" s="2">
        <v>1</v>
      </c>
      <c r="F477" s="2">
        <v>20</v>
      </c>
      <c r="G477" s="2" t="str" cm="1">
        <f t="array" ref="G477">_xlfn.IFS(F477&lt;3,"Night",F477&lt;=6,"Early Morning",F477&lt;8,"Morning",F477&lt;10,"Late Morning",F477&lt;12,"Afternoon",F477&lt;16,"Afternoon",F477&lt;=18,"Early Evening",F477&lt;=20,"Evening",F477&lt;=22,"Late Evening",F477&lt;=23,"Night")</f>
        <v>Evening</v>
      </c>
      <c r="H477" s="2" t="b">
        <v>0</v>
      </c>
      <c r="I477" s="2">
        <v>5</v>
      </c>
      <c r="J477" s="2">
        <v>1</v>
      </c>
      <c r="K477" s="14">
        <v>0.1</v>
      </c>
      <c r="L477" s="4">
        <v>7.5800000000000006E-2</v>
      </c>
      <c r="M477" s="4">
        <v>0.33</v>
      </c>
      <c r="N477" s="4">
        <v>0.41789999999999999</v>
      </c>
      <c r="O477" s="4">
        <v>1</v>
      </c>
      <c r="P477" s="4">
        <v>52</v>
      </c>
      <c r="Q477" s="8">
        <v>53</v>
      </c>
    </row>
    <row r="478" spans="1:17" x14ac:dyDescent="0.25">
      <c r="A478" s="7">
        <v>477</v>
      </c>
      <c r="B478" s="3">
        <v>40564</v>
      </c>
      <c r="C478" s="2">
        <v>1</v>
      </c>
      <c r="D478" s="2">
        <v>0</v>
      </c>
      <c r="E478" s="2">
        <v>1</v>
      </c>
      <c r="F478" s="2">
        <v>21</v>
      </c>
      <c r="G478" s="2" t="str" cm="1">
        <f t="array" ref="G478">_xlfn.IFS(F478&lt;3,"Night",F478&lt;=6,"Early Morning",F478&lt;8,"Morning",F478&lt;10,"Late Morning",F478&lt;12,"Afternoon",F478&lt;16,"Afternoon",F478&lt;=18,"Early Evening",F478&lt;=20,"Evening",F478&lt;=22,"Late Evening",F478&lt;=23,"Night")</f>
        <v>Late Evening</v>
      </c>
      <c r="H478" s="2" t="b">
        <v>0</v>
      </c>
      <c r="I478" s="2">
        <v>5</v>
      </c>
      <c r="J478" s="2">
        <v>1</v>
      </c>
      <c r="K478" s="14">
        <v>0.08</v>
      </c>
      <c r="L478" s="4">
        <v>7.5800000000000006E-2</v>
      </c>
      <c r="M478" s="4">
        <v>0.38</v>
      </c>
      <c r="N478" s="4">
        <v>0.28360000000000002</v>
      </c>
      <c r="O478" s="4">
        <v>0</v>
      </c>
      <c r="P478" s="4">
        <v>41</v>
      </c>
      <c r="Q478" s="8">
        <v>41</v>
      </c>
    </row>
    <row r="479" spans="1:17" x14ac:dyDescent="0.25">
      <c r="A479" s="7">
        <v>478</v>
      </c>
      <c r="B479" s="3">
        <v>40564</v>
      </c>
      <c r="C479" s="2">
        <v>1</v>
      </c>
      <c r="D479" s="2">
        <v>0</v>
      </c>
      <c r="E479" s="2">
        <v>1</v>
      </c>
      <c r="F479" s="2">
        <v>22</v>
      </c>
      <c r="G479" s="2" t="str" cm="1">
        <f t="array" ref="G479">_xlfn.IFS(F479&lt;3,"Night",F479&lt;=6,"Early Morning",F479&lt;8,"Morning",F479&lt;10,"Late Morning",F479&lt;12,"Afternoon",F479&lt;16,"Afternoon",F479&lt;=18,"Early Evening",F479&lt;=20,"Evening",F479&lt;=22,"Late Evening",F479&lt;=23,"Night")</f>
        <v>Late Evening</v>
      </c>
      <c r="H479" s="2" t="b">
        <v>0</v>
      </c>
      <c r="I479" s="2">
        <v>5</v>
      </c>
      <c r="J479" s="2">
        <v>1</v>
      </c>
      <c r="K479" s="14">
        <v>0.06</v>
      </c>
      <c r="L479" s="4">
        <v>3.0300000000000001E-2</v>
      </c>
      <c r="M479" s="4">
        <v>0.41</v>
      </c>
      <c r="N479" s="4">
        <v>0.3881</v>
      </c>
      <c r="O479" s="4">
        <v>1</v>
      </c>
      <c r="P479" s="4">
        <v>33</v>
      </c>
      <c r="Q479" s="8">
        <v>34</v>
      </c>
    </row>
    <row r="480" spans="1:17" x14ac:dyDescent="0.25">
      <c r="A480" s="7">
        <v>479</v>
      </c>
      <c r="B480" s="3">
        <v>40564</v>
      </c>
      <c r="C480" s="2">
        <v>1</v>
      </c>
      <c r="D480" s="2">
        <v>0</v>
      </c>
      <c r="E480" s="2">
        <v>1</v>
      </c>
      <c r="F480" s="2">
        <v>23</v>
      </c>
      <c r="G480" s="2" t="str" cm="1">
        <f t="array" ref="G480">_xlfn.IFS(F480&lt;3,"Night",F480&lt;=6,"Early Morning",F480&lt;8,"Morning",F480&lt;10,"Late Morning",F480&lt;12,"Afternoon",F480&lt;16,"Afternoon",F480&lt;=18,"Early Evening",F480&lt;=20,"Evening",F480&lt;=22,"Late Evening",F480&lt;=23,"Night")</f>
        <v>Night</v>
      </c>
      <c r="H480" s="2" t="b">
        <v>0</v>
      </c>
      <c r="I480" s="2">
        <v>5</v>
      </c>
      <c r="J480" s="2">
        <v>1</v>
      </c>
      <c r="K480" s="14">
        <v>0.06</v>
      </c>
      <c r="L480" s="4">
        <v>4.5499999999999999E-2</v>
      </c>
      <c r="M480" s="4">
        <v>0.38</v>
      </c>
      <c r="N480" s="4">
        <v>0.32840000000000003</v>
      </c>
      <c r="O480" s="4">
        <v>0</v>
      </c>
      <c r="P480" s="4">
        <v>27</v>
      </c>
      <c r="Q480" s="8">
        <v>27</v>
      </c>
    </row>
    <row r="481" spans="1:17" x14ac:dyDescent="0.25">
      <c r="A481" s="7">
        <v>480</v>
      </c>
      <c r="B481" s="3">
        <v>40565</v>
      </c>
      <c r="C481" s="2">
        <v>1</v>
      </c>
      <c r="D481" s="2">
        <v>0</v>
      </c>
      <c r="E481" s="2">
        <v>1</v>
      </c>
      <c r="F481" s="2">
        <v>0</v>
      </c>
      <c r="G481" s="2" t="str" cm="1">
        <f t="array" ref="G481">_xlfn.IFS(F481&lt;3,"Night",F481&lt;=6,"Early Morning",F481&lt;8,"Morning",F481&lt;10,"Late Morning",F481&lt;12,"Afternoon",F481&lt;16,"Afternoon",F481&lt;=18,"Early Evening",F481&lt;=20,"Evening",F481&lt;=22,"Late Evening",F481&lt;=23,"Night")</f>
        <v>Night</v>
      </c>
      <c r="H481" s="2" t="b">
        <v>0</v>
      </c>
      <c r="I481" s="2">
        <v>6</v>
      </c>
      <c r="J481" s="2">
        <v>1</v>
      </c>
      <c r="K481" s="14">
        <v>0.04</v>
      </c>
      <c r="L481" s="4">
        <v>3.0300000000000001E-2</v>
      </c>
      <c r="M481" s="4">
        <v>0.45</v>
      </c>
      <c r="N481" s="4">
        <v>0.25369999999999998</v>
      </c>
      <c r="O481" s="4">
        <v>0</v>
      </c>
      <c r="P481" s="4">
        <v>13</v>
      </c>
      <c r="Q481" s="8">
        <v>13</v>
      </c>
    </row>
    <row r="482" spans="1:17" x14ac:dyDescent="0.25">
      <c r="A482" s="7">
        <v>481</v>
      </c>
      <c r="B482" s="3">
        <v>40565</v>
      </c>
      <c r="C482" s="2">
        <v>1</v>
      </c>
      <c r="D482" s="2">
        <v>0</v>
      </c>
      <c r="E482" s="2">
        <v>1</v>
      </c>
      <c r="F482" s="2">
        <v>1</v>
      </c>
      <c r="G482" s="2" t="str" cm="1">
        <f t="array" ref="G482">_xlfn.IFS(F482&lt;3,"Night",F482&lt;=6,"Early Morning",F482&lt;8,"Morning",F482&lt;10,"Late Morning",F482&lt;12,"Afternoon",F482&lt;16,"Afternoon",F482&lt;=18,"Early Evening",F482&lt;=20,"Evening",F482&lt;=22,"Late Evening",F482&lt;=23,"Night")</f>
        <v>Night</v>
      </c>
      <c r="H482" s="2" t="b">
        <v>0</v>
      </c>
      <c r="I482" s="2">
        <v>6</v>
      </c>
      <c r="J482" s="2">
        <v>2</v>
      </c>
      <c r="K482" s="14">
        <v>0.04</v>
      </c>
      <c r="L482" s="4">
        <v>0</v>
      </c>
      <c r="M482" s="4">
        <v>0.41</v>
      </c>
      <c r="N482" s="4">
        <v>0.3881</v>
      </c>
      <c r="O482" s="4">
        <v>3</v>
      </c>
      <c r="P482" s="4">
        <v>9</v>
      </c>
      <c r="Q482" s="8">
        <v>12</v>
      </c>
    </row>
    <row r="483" spans="1:17" x14ac:dyDescent="0.25">
      <c r="A483" s="7">
        <v>482</v>
      </c>
      <c r="B483" s="3">
        <v>40565</v>
      </c>
      <c r="C483" s="2">
        <v>1</v>
      </c>
      <c r="D483" s="2">
        <v>0</v>
      </c>
      <c r="E483" s="2">
        <v>1</v>
      </c>
      <c r="F483" s="2">
        <v>2</v>
      </c>
      <c r="G483" s="2" t="str" cm="1">
        <f t="array" ref="G483">_xlfn.IFS(F483&lt;3,"Night",F483&lt;=6,"Early Morning",F483&lt;8,"Morning",F483&lt;10,"Late Morning",F483&lt;12,"Afternoon",F483&lt;16,"Afternoon",F483&lt;=18,"Early Evening",F483&lt;=20,"Evening",F483&lt;=22,"Late Evening",F483&lt;=23,"Night")</f>
        <v>Night</v>
      </c>
      <c r="H483" s="2" t="b">
        <v>0</v>
      </c>
      <c r="I483" s="2">
        <v>6</v>
      </c>
      <c r="J483" s="2">
        <v>2</v>
      </c>
      <c r="K483" s="14">
        <v>0.04</v>
      </c>
      <c r="L483" s="4">
        <v>3.0300000000000001E-2</v>
      </c>
      <c r="M483" s="4">
        <v>0.41</v>
      </c>
      <c r="N483" s="4">
        <v>0.25369999999999998</v>
      </c>
      <c r="O483" s="4">
        <v>0</v>
      </c>
      <c r="P483" s="4">
        <v>11</v>
      </c>
      <c r="Q483" s="8">
        <v>11</v>
      </c>
    </row>
    <row r="484" spans="1:17" x14ac:dyDescent="0.25">
      <c r="A484" s="7">
        <v>483</v>
      </c>
      <c r="B484" s="3">
        <v>40565</v>
      </c>
      <c r="C484" s="2">
        <v>1</v>
      </c>
      <c r="D484" s="2">
        <v>0</v>
      </c>
      <c r="E484" s="2">
        <v>1</v>
      </c>
      <c r="F484" s="2">
        <v>3</v>
      </c>
      <c r="G484" s="2" t="str" cm="1">
        <f t="array" ref="G484">_xlfn.IFS(F484&lt;3,"Night",F484&lt;=6,"Early Morning",F484&lt;8,"Morning",F484&lt;10,"Late Morning",F484&lt;12,"Afternoon",F484&lt;16,"Afternoon",F484&lt;=18,"Early Evening",F484&lt;=20,"Evening",F484&lt;=22,"Late Evening",F484&lt;=23,"Night")</f>
        <v>Early Morning</v>
      </c>
      <c r="H484" s="2" t="b">
        <v>0</v>
      </c>
      <c r="I484" s="2">
        <v>6</v>
      </c>
      <c r="J484" s="2">
        <v>2</v>
      </c>
      <c r="K484" s="14">
        <v>0.04</v>
      </c>
      <c r="L484" s="4">
        <v>3.0300000000000001E-2</v>
      </c>
      <c r="M484" s="4">
        <v>0.41</v>
      </c>
      <c r="N484" s="4">
        <v>0.28360000000000002</v>
      </c>
      <c r="O484" s="4">
        <v>1</v>
      </c>
      <c r="P484" s="4">
        <v>6</v>
      </c>
      <c r="Q484" s="8">
        <v>7</v>
      </c>
    </row>
    <row r="485" spans="1:17" x14ac:dyDescent="0.25">
      <c r="A485" s="7">
        <v>484</v>
      </c>
      <c r="B485" s="3">
        <v>40565</v>
      </c>
      <c r="C485" s="2">
        <v>1</v>
      </c>
      <c r="D485" s="2">
        <v>0</v>
      </c>
      <c r="E485" s="2">
        <v>1</v>
      </c>
      <c r="F485" s="2">
        <v>4</v>
      </c>
      <c r="G485" s="2" t="str" cm="1">
        <f t="array" ref="G485">_xlfn.IFS(F485&lt;3,"Night",F485&lt;=6,"Early Morning",F485&lt;8,"Morning",F485&lt;10,"Late Morning",F485&lt;12,"Afternoon",F485&lt;16,"Afternoon",F485&lt;=18,"Early Evening",F485&lt;=20,"Evening",F485&lt;=22,"Late Evening",F485&lt;=23,"Night")</f>
        <v>Early Morning</v>
      </c>
      <c r="H485" s="2" t="b">
        <v>0</v>
      </c>
      <c r="I485" s="2">
        <v>6</v>
      </c>
      <c r="J485" s="2">
        <v>2</v>
      </c>
      <c r="K485" s="14">
        <v>0.02</v>
      </c>
      <c r="L485" s="4">
        <v>1.52E-2</v>
      </c>
      <c r="M485" s="4">
        <v>0.48</v>
      </c>
      <c r="N485" s="4">
        <v>0.29849999999999999</v>
      </c>
      <c r="O485" s="4">
        <v>0</v>
      </c>
      <c r="P485" s="4">
        <v>3</v>
      </c>
      <c r="Q485" s="8">
        <v>3</v>
      </c>
    </row>
    <row r="486" spans="1:17" x14ac:dyDescent="0.25">
      <c r="A486" s="7">
        <v>485</v>
      </c>
      <c r="B486" s="3">
        <v>40565</v>
      </c>
      <c r="C486" s="2">
        <v>1</v>
      </c>
      <c r="D486" s="2">
        <v>0</v>
      </c>
      <c r="E486" s="2">
        <v>1</v>
      </c>
      <c r="F486" s="2">
        <v>6</v>
      </c>
      <c r="G486" s="2" t="str" cm="1">
        <f t="array" ref="G486">_xlfn.IFS(F486&lt;3,"Night",F486&lt;=6,"Early Morning",F486&lt;8,"Morning",F486&lt;10,"Late Morning",F486&lt;12,"Afternoon",F486&lt;16,"Afternoon",F486&lt;=18,"Early Evening",F486&lt;=20,"Evening",F486&lt;=22,"Late Evening",F486&lt;=23,"Night")</f>
        <v>Early Morning</v>
      </c>
      <c r="H486" s="2" t="b">
        <v>0</v>
      </c>
      <c r="I486" s="2">
        <v>6</v>
      </c>
      <c r="J486" s="2">
        <v>2</v>
      </c>
      <c r="K486" s="14">
        <v>0.02</v>
      </c>
      <c r="L486" s="4">
        <v>3.0300000000000001E-2</v>
      </c>
      <c r="M486" s="4">
        <v>0.44</v>
      </c>
      <c r="N486" s="4">
        <v>0.22389999999999999</v>
      </c>
      <c r="O486" s="4">
        <v>0</v>
      </c>
      <c r="P486" s="4">
        <v>2</v>
      </c>
      <c r="Q486" s="8">
        <v>2</v>
      </c>
    </row>
    <row r="487" spans="1:17" x14ac:dyDescent="0.25">
      <c r="A487" s="7">
        <v>486</v>
      </c>
      <c r="B487" s="3">
        <v>40565</v>
      </c>
      <c r="C487" s="2">
        <v>1</v>
      </c>
      <c r="D487" s="2">
        <v>0</v>
      </c>
      <c r="E487" s="2">
        <v>1</v>
      </c>
      <c r="F487" s="2">
        <v>7</v>
      </c>
      <c r="G487" s="2" t="str" cm="1">
        <f t="array" ref="G487">_xlfn.IFS(F487&lt;3,"Night",F487&lt;=6,"Early Morning",F487&lt;8,"Morning",F487&lt;10,"Late Morning",F487&lt;12,"Afternoon",F487&lt;16,"Afternoon",F487&lt;=18,"Early Evening",F487&lt;=20,"Evening",F487&lt;=22,"Late Evening",F487&lt;=23,"Night")</f>
        <v>Morning</v>
      </c>
      <c r="H487" s="2" t="b">
        <v>0</v>
      </c>
      <c r="I487" s="2">
        <v>6</v>
      </c>
      <c r="J487" s="2">
        <v>1</v>
      </c>
      <c r="K487" s="14">
        <v>0.02</v>
      </c>
      <c r="L487" s="4">
        <v>1.52E-2</v>
      </c>
      <c r="M487" s="4">
        <v>0.44</v>
      </c>
      <c r="N487" s="4">
        <v>0.28360000000000002</v>
      </c>
      <c r="O487" s="4">
        <v>0</v>
      </c>
      <c r="P487" s="4">
        <v>8</v>
      </c>
      <c r="Q487" s="8">
        <v>8</v>
      </c>
    </row>
    <row r="488" spans="1:17" x14ac:dyDescent="0.25">
      <c r="A488" s="7">
        <v>487</v>
      </c>
      <c r="B488" s="3">
        <v>40565</v>
      </c>
      <c r="C488" s="2">
        <v>1</v>
      </c>
      <c r="D488" s="2">
        <v>0</v>
      </c>
      <c r="E488" s="2">
        <v>1</v>
      </c>
      <c r="F488" s="2">
        <v>8</v>
      </c>
      <c r="G488" s="2" t="str" cm="1">
        <f t="array" ref="G488">_xlfn.IFS(F488&lt;3,"Night",F488&lt;=6,"Early Morning",F488&lt;8,"Morning",F488&lt;10,"Late Morning",F488&lt;12,"Afternoon",F488&lt;16,"Afternoon",F488&lt;=18,"Early Evening",F488&lt;=20,"Evening",F488&lt;=22,"Late Evening",F488&lt;=23,"Night")</f>
        <v>Late Morning</v>
      </c>
      <c r="H488" s="2" t="b">
        <v>0</v>
      </c>
      <c r="I488" s="2">
        <v>6</v>
      </c>
      <c r="J488" s="2">
        <v>1</v>
      </c>
      <c r="K488" s="14">
        <v>0.02</v>
      </c>
      <c r="L488" s="4">
        <v>0</v>
      </c>
      <c r="M488" s="4">
        <v>0.44</v>
      </c>
      <c r="N488" s="4">
        <v>0.32840000000000003</v>
      </c>
      <c r="O488" s="4">
        <v>1</v>
      </c>
      <c r="P488" s="4">
        <v>26</v>
      </c>
      <c r="Q488" s="8">
        <v>27</v>
      </c>
    </row>
    <row r="489" spans="1:17" x14ac:dyDescent="0.25">
      <c r="A489" s="7">
        <v>488</v>
      </c>
      <c r="B489" s="3">
        <v>40565</v>
      </c>
      <c r="C489" s="2">
        <v>1</v>
      </c>
      <c r="D489" s="2">
        <v>0</v>
      </c>
      <c r="E489" s="2">
        <v>1</v>
      </c>
      <c r="F489" s="2">
        <v>9</v>
      </c>
      <c r="G489" s="2" t="str" cm="1">
        <f t="array" ref="G489">_xlfn.IFS(F489&lt;3,"Night",F489&lt;=6,"Early Morning",F489&lt;8,"Morning",F489&lt;10,"Late Morning",F489&lt;12,"Afternoon",F489&lt;16,"Afternoon",F489&lt;=18,"Early Evening",F489&lt;=20,"Evening",F489&lt;=22,"Late Evening",F489&lt;=23,"Night")</f>
        <v>Late Morning</v>
      </c>
      <c r="H489" s="2" t="b">
        <v>0</v>
      </c>
      <c r="I489" s="2">
        <v>6</v>
      </c>
      <c r="J489" s="2">
        <v>1</v>
      </c>
      <c r="K489" s="14">
        <v>0.04</v>
      </c>
      <c r="L489" s="4">
        <v>3.0300000000000001E-2</v>
      </c>
      <c r="M489" s="4">
        <v>0.41</v>
      </c>
      <c r="N489" s="4">
        <v>0.25369999999999998</v>
      </c>
      <c r="O489" s="4">
        <v>3</v>
      </c>
      <c r="P489" s="4">
        <v>37</v>
      </c>
      <c r="Q489" s="8">
        <v>40</v>
      </c>
    </row>
    <row r="490" spans="1:17" x14ac:dyDescent="0.25">
      <c r="A490" s="7">
        <v>489</v>
      </c>
      <c r="B490" s="3">
        <v>40565</v>
      </c>
      <c r="C490" s="2">
        <v>1</v>
      </c>
      <c r="D490" s="2">
        <v>0</v>
      </c>
      <c r="E490" s="2">
        <v>1</v>
      </c>
      <c r="F490" s="2">
        <v>10</v>
      </c>
      <c r="G490" s="2" t="str" cm="1">
        <f t="array" ref="G490">_xlfn.IFS(F490&lt;3,"Night",F490&lt;=6,"Early Morning",F490&lt;8,"Morning",F490&lt;10,"Late Morning",F490&lt;12,"Afternoon",F490&lt;16,"Afternoon",F490&lt;=18,"Early Evening",F490&lt;=20,"Evening",F490&lt;=22,"Late Evening",F490&lt;=23,"Night")</f>
        <v>Afternoon</v>
      </c>
      <c r="H490" s="2" t="b">
        <v>0</v>
      </c>
      <c r="I490" s="2">
        <v>6</v>
      </c>
      <c r="J490" s="2">
        <v>2</v>
      </c>
      <c r="K490" s="14">
        <v>0.04</v>
      </c>
      <c r="L490" s="4">
        <v>6.0600000000000001E-2</v>
      </c>
      <c r="M490" s="4">
        <v>0.41</v>
      </c>
      <c r="N490" s="4">
        <v>0.16420000000000001</v>
      </c>
      <c r="O490" s="4">
        <v>3</v>
      </c>
      <c r="P490" s="4">
        <v>50</v>
      </c>
      <c r="Q490" s="8">
        <v>53</v>
      </c>
    </row>
    <row r="491" spans="1:17" x14ac:dyDescent="0.25">
      <c r="A491" s="7">
        <v>490</v>
      </c>
      <c r="B491" s="3">
        <v>40565</v>
      </c>
      <c r="C491" s="2">
        <v>1</v>
      </c>
      <c r="D491" s="2">
        <v>0</v>
      </c>
      <c r="E491" s="2">
        <v>1</v>
      </c>
      <c r="F491" s="2">
        <v>11</v>
      </c>
      <c r="G491" s="2" t="str" cm="1">
        <f t="array" ref="G491">_xlfn.IFS(F491&lt;3,"Night",F491&lt;=6,"Early Morning",F491&lt;8,"Morning",F491&lt;10,"Late Morning",F491&lt;12,"Afternoon",F491&lt;16,"Afternoon",F491&lt;=18,"Early Evening",F491&lt;=20,"Evening",F491&lt;=22,"Late Evening",F491&lt;=23,"Night")</f>
        <v>Afternoon</v>
      </c>
      <c r="H491" s="2" t="b">
        <v>0</v>
      </c>
      <c r="I491" s="2">
        <v>6</v>
      </c>
      <c r="J491" s="2">
        <v>2</v>
      </c>
      <c r="K491" s="14">
        <v>0.06</v>
      </c>
      <c r="L491" s="4">
        <v>7.5800000000000006E-2</v>
      </c>
      <c r="M491" s="4">
        <v>0.38</v>
      </c>
      <c r="N491" s="4">
        <v>0.1343</v>
      </c>
      <c r="O491" s="4">
        <v>4</v>
      </c>
      <c r="P491" s="4">
        <v>59</v>
      </c>
      <c r="Q491" s="8">
        <v>63</v>
      </c>
    </row>
    <row r="492" spans="1:17" x14ac:dyDescent="0.25">
      <c r="A492" s="7">
        <v>491</v>
      </c>
      <c r="B492" s="3">
        <v>40565</v>
      </c>
      <c r="C492" s="2">
        <v>1</v>
      </c>
      <c r="D492" s="2">
        <v>0</v>
      </c>
      <c r="E492" s="2">
        <v>1</v>
      </c>
      <c r="F492" s="2">
        <v>12</v>
      </c>
      <c r="G492" s="2" t="str" cm="1">
        <f t="array" ref="G492">_xlfn.IFS(F492&lt;3,"Night",F492&lt;=6,"Early Morning",F492&lt;8,"Morning",F492&lt;10,"Late Morning",F492&lt;12,"Afternoon",F492&lt;16,"Afternoon",F492&lt;=18,"Early Evening",F492&lt;=20,"Evening",F492&lt;=22,"Late Evening",F492&lt;=23,"Night")</f>
        <v>Afternoon</v>
      </c>
      <c r="H492" s="2" t="b">
        <v>0</v>
      </c>
      <c r="I492" s="2">
        <v>6</v>
      </c>
      <c r="J492" s="2">
        <v>2</v>
      </c>
      <c r="K492" s="14">
        <v>0.06</v>
      </c>
      <c r="L492" s="4">
        <v>0.1061</v>
      </c>
      <c r="M492" s="4">
        <v>0.38</v>
      </c>
      <c r="N492" s="4">
        <v>0.1045</v>
      </c>
      <c r="O492" s="4">
        <v>10</v>
      </c>
      <c r="P492" s="4">
        <v>60</v>
      </c>
      <c r="Q492" s="8">
        <v>70</v>
      </c>
    </row>
    <row r="493" spans="1:17" x14ac:dyDescent="0.25">
      <c r="A493" s="7">
        <v>492</v>
      </c>
      <c r="B493" s="3">
        <v>40565</v>
      </c>
      <c r="C493" s="2">
        <v>1</v>
      </c>
      <c r="D493" s="2">
        <v>0</v>
      </c>
      <c r="E493" s="2">
        <v>1</v>
      </c>
      <c r="F493" s="2">
        <v>13</v>
      </c>
      <c r="G493" s="2" t="str" cm="1">
        <f t="array" ref="G493">_xlfn.IFS(F493&lt;3,"Night",F493&lt;=6,"Early Morning",F493&lt;8,"Morning",F493&lt;10,"Late Morning",F493&lt;12,"Afternoon",F493&lt;16,"Afternoon",F493&lt;=18,"Early Evening",F493&lt;=20,"Evening",F493&lt;=22,"Late Evening",F493&lt;=23,"Night")</f>
        <v>Afternoon</v>
      </c>
      <c r="H493" s="2" t="b">
        <v>0</v>
      </c>
      <c r="I493" s="2">
        <v>6</v>
      </c>
      <c r="J493" s="2">
        <v>1</v>
      </c>
      <c r="K493" s="14">
        <v>0.08</v>
      </c>
      <c r="L493" s="4">
        <v>0.16669999999999999</v>
      </c>
      <c r="M493" s="4">
        <v>0.35</v>
      </c>
      <c r="N493" s="4">
        <v>0</v>
      </c>
      <c r="O493" s="4">
        <v>12</v>
      </c>
      <c r="P493" s="4">
        <v>72</v>
      </c>
      <c r="Q493" s="8">
        <v>84</v>
      </c>
    </row>
    <row r="494" spans="1:17" x14ac:dyDescent="0.25">
      <c r="A494" s="7">
        <v>493</v>
      </c>
      <c r="B494" s="3">
        <v>40565</v>
      </c>
      <c r="C494" s="2">
        <v>1</v>
      </c>
      <c r="D494" s="2">
        <v>0</v>
      </c>
      <c r="E494" s="2">
        <v>1</v>
      </c>
      <c r="F494" s="2">
        <v>14</v>
      </c>
      <c r="G494" s="2" t="str" cm="1">
        <f t="array" ref="G494">_xlfn.IFS(F494&lt;3,"Night",F494&lt;=6,"Early Morning",F494&lt;8,"Morning",F494&lt;10,"Late Morning",F494&lt;12,"Afternoon",F494&lt;16,"Afternoon",F494&lt;=18,"Early Evening",F494&lt;=20,"Evening",F494&lt;=22,"Late Evening",F494&lt;=23,"Night")</f>
        <v>Afternoon</v>
      </c>
      <c r="H494" s="2" t="b">
        <v>0</v>
      </c>
      <c r="I494" s="2">
        <v>6</v>
      </c>
      <c r="J494" s="2">
        <v>1</v>
      </c>
      <c r="K494" s="14">
        <v>0.1</v>
      </c>
      <c r="L494" s="4">
        <v>0.13639999999999999</v>
      </c>
      <c r="M494" s="4">
        <v>0.33</v>
      </c>
      <c r="N494" s="4">
        <v>0.1045</v>
      </c>
      <c r="O494" s="4">
        <v>11</v>
      </c>
      <c r="P494" s="4">
        <v>64</v>
      </c>
      <c r="Q494" s="8">
        <v>75</v>
      </c>
    </row>
    <row r="495" spans="1:17" x14ac:dyDescent="0.25">
      <c r="A495" s="7">
        <v>494</v>
      </c>
      <c r="B495" s="3">
        <v>40565</v>
      </c>
      <c r="C495" s="2">
        <v>1</v>
      </c>
      <c r="D495" s="2">
        <v>0</v>
      </c>
      <c r="E495" s="2">
        <v>1</v>
      </c>
      <c r="F495" s="2">
        <v>15</v>
      </c>
      <c r="G495" s="2" t="str" cm="1">
        <f t="array" ref="G495">_xlfn.IFS(F495&lt;3,"Night",F495&lt;=6,"Early Morning",F495&lt;8,"Morning",F495&lt;10,"Late Morning",F495&lt;12,"Afternoon",F495&lt;16,"Afternoon",F495&lt;=18,"Early Evening",F495&lt;=20,"Evening",F495&lt;=22,"Late Evening",F495&lt;=23,"Night")</f>
        <v>Afternoon</v>
      </c>
      <c r="H495" s="2" t="b">
        <v>0</v>
      </c>
      <c r="I495" s="2">
        <v>6</v>
      </c>
      <c r="J495" s="2">
        <v>1</v>
      </c>
      <c r="K495" s="14">
        <v>0.12</v>
      </c>
      <c r="L495" s="4">
        <v>0.1515</v>
      </c>
      <c r="M495" s="4">
        <v>0.28000000000000003</v>
      </c>
      <c r="N495" s="4">
        <v>0</v>
      </c>
      <c r="O495" s="4">
        <v>10</v>
      </c>
      <c r="P495" s="4">
        <v>93</v>
      </c>
      <c r="Q495" s="8">
        <v>103</v>
      </c>
    </row>
    <row r="496" spans="1:17" x14ac:dyDescent="0.25">
      <c r="A496" s="7">
        <v>495</v>
      </c>
      <c r="B496" s="3">
        <v>40565</v>
      </c>
      <c r="C496" s="2">
        <v>1</v>
      </c>
      <c r="D496" s="2">
        <v>0</v>
      </c>
      <c r="E496" s="2">
        <v>1</v>
      </c>
      <c r="F496" s="2">
        <v>16</v>
      </c>
      <c r="G496" s="2" t="str" cm="1">
        <f t="array" ref="G496">_xlfn.IFS(F496&lt;3,"Night",F496&lt;=6,"Early Morning",F496&lt;8,"Morning",F496&lt;10,"Late Morning",F496&lt;12,"Afternoon",F496&lt;16,"Afternoon",F496&lt;=18,"Early Evening",F496&lt;=20,"Evening",F496&lt;=22,"Late Evening",F496&lt;=23,"Night")</f>
        <v>Early Evening</v>
      </c>
      <c r="H496" s="2" t="b">
        <v>0</v>
      </c>
      <c r="I496" s="2">
        <v>6</v>
      </c>
      <c r="J496" s="2">
        <v>1</v>
      </c>
      <c r="K496" s="14">
        <v>0.12</v>
      </c>
      <c r="L496" s="4">
        <v>0.13639999999999999</v>
      </c>
      <c r="M496" s="4">
        <v>0.28000000000000003</v>
      </c>
      <c r="N496" s="4">
        <v>0.19400000000000001</v>
      </c>
      <c r="O496" s="4">
        <v>11</v>
      </c>
      <c r="P496" s="4">
        <v>72</v>
      </c>
      <c r="Q496" s="8">
        <v>83</v>
      </c>
    </row>
    <row r="497" spans="1:17" x14ac:dyDescent="0.25">
      <c r="A497" s="7">
        <v>496</v>
      </c>
      <c r="B497" s="3">
        <v>40565</v>
      </c>
      <c r="C497" s="2">
        <v>1</v>
      </c>
      <c r="D497" s="2">
        <v>0</v>
      </c>
      <c r="E497" s="2">
        <v>1</v>
      </c>
      <c r="F497" s="2">
        <v>17</v>
      </c>
      <c r="G497" s="2" t="str" cm="1">
        <f t="array" ref="G497">_xlfn.IFS(F497&lt;3,"Night",F497&lt;=6,"Early Morning",F497&lt;8,"Morning",F497&lt;10,"Late Morning",F497&lt;12,"Afternoon",F497&lt;16,"Afternoon",F497&lt;=18,"Early Evening",F497&lt;=20,"Evening",F497&lt;=22,"Late Evening",F497&lt;=23,"Night")</f>
        <v>Early Evening</v>
      </c>
      <c r="H497" s="2" t="b">
        <v>0</v>
      </c>
      <c r="I497" s="2">
        <v>6</v>
      </c>
      <c r="J497" s="2">
        <v>1</v>
      </c>
      <c r="K497" s="14">
        <v>0.12</v>
      </c>
      <c r="L497" s="4">
        <v>0.19700000000000001</v>
      </c>
      <c r="M497" s="4">
        <v>0.28000000000000003</v>
      </c>
      <c r="N497" s="4">
        <v>0</v>
      </c>
      <c r="O497" s="4">
        <v>8</v>
      </c>
      <c r="P497" s="4">
        <v>59</v>
      </c>
      <c r="Q497" s="8">
        <v>67</v>
      </c>
    </row>
    <row r="498" spans="1:17" x14ac:dyDescent="0.25">
      <c r="A498" s="7">
        <v>497</v>
      </c>
      <c r="B498" s="3">
        <v>40565</v>
      </c>
      <c r="C498" s="2">
        <v>1</v>
      </c>
      <c r="D498" s="2">
        <v>0</v>
      </c>
      <c r="E498" s="2">
        <v>1</v>
      </c>
      <c r="F498" s="2">
        <v>18</v>
      </c>
      <c r="G498" s="2" t="str" cm="1">
        <f t="array" ref="G498">_xlfn.IFS(F498&lt;3,"Night",F498&lt;=6,"Early Morning",F498&lt;8,"Morning",F498&lt;10,"Late Morning",F498&lt;12,"Afternoon",F498&lt;16,"Afternoon",F498&lt;=18,"Early Evening",F498&lt;=20,"Evening",F498&lt;=22,"Late Evening",F498&lt;=23,"Night")</f>
        <v>Early Evening</v>
      </c>
      <c r="H498" s="2" t="b">
        <v>0</v>
      </c>
      <c r="I498" s="2">
        <v>6</v>
      </c>
      <c r="J498" s="2">
        <v>1</v>
      </c>
      <c r="K498" s="14">
        <v>0.08</v>
      </c>
      <c r="L498" s="4">
        <v>9.0899999999999995E-2</v>
      </c>
      <c r="M498" s="4">
        <v>0.35</v>
      </c>
      <c r="N498" s="4">
        <v>0.19400000000000001</v>
      </c>
      <c r="O498" s="4">
        <v>0</v>
      </c>
      <c r="P498" s="4">
        <v>54</v>
      </c>
      <c r="Q498" s="8">
        <v>54</v>
      </c>
    </row>
    <row r="499" spans="1:17" x14ac:dyDescent="0.25">
      <c r="A499" s="7">
        <v>498</v>
      </c>
      <c r="B499" s="3">
        <v>40565</v>
      </c>
      <c r="C499" s="2">
        <v>1</v>
      </c>
      <c r="D499" s="2">
        <v>0</v>
      </c>
      <c r="E499" s="2">
        <v>1</v>
      </c>
      <c r="F499" s="2">
        <v>19</v>
      </c>
      <c r="G499" s="2" t="str" cm="1">
        <f t="array" ref="G499">_xlfn.IFS(F499&lt;3,"Night",F499&lt;=6,"Early Morning",F499&lt;8,"Morning",F499&lt;10,"Late Morning",F499&lt;12,"Afternoon",F499&lt;16,"Afternoon",F499&lt;=18,"Early Evening",F499&lt;=20,"Evening",F499&lt;=22,"Late Evening",F499&lt;=23,"Night")</f>
        <v>Evening</v>
      </c>
      <c r="H499" s="2" t="b">
        <v>0</v>
      </c>
      <c r="I499" s="2">
        <v>6</v>
      </c>
      <c r="J499" s="2">
        <v>1</v>
      </c>
      <c r="K499" s="14">
        <v>0.08</v>
      </c>
      <c r="L499" s="4">
        <v>0.1061</v>
      </c>
      <c r="M499" s="4">
        <v>0.35</v>
      </c>
      <c r="N499" s="4">
        <v>0.1343</v>
      </c>
      <c r="O499" s="4">
        <v>6</v>
      </c>
      <c r="P499" s="4">
        <v>53</v>
      </c>
      <c r="Q499" s="8">
        <v>59</v>
      </c>
    </row>
    <row r="500" spans="1:17" x14ac:dyDescent="0.25">
      <c r="A500" s="7">
        <v>499</v>
      </c>
      <c r="B500" s="3">
        <v>40565</v>
      </c>
      <c r="C500" s="2">
        <v>1</v>
      </c>
      <c r="D500" s="2">
        <v>0</v>
      </c>
      <c r="E500" s="2">
        <v>1</v>
      </c>
      <c r="F500" s="2">
        <v>20</v>
      </c>
      <c r="G500" s="2" t="str" cm="1">
        <f t="array" ref="G500">_xlfn.IFS(F500&lt;3,"Night",F500&lt;=6,"Early Morning",F500&lt;8,"Morning",F500&lt;10,"Late Morning",F500&lt;12,"Afternoon",F500&lt;16,"Afternoon",F500&lt;=18,"Early Evening",F500&lt;=20,"Evening",F500&lt;=22,"Late Evening",F500&lt;=23,"Night")</f>
        <v>Evening</v>
      </c>
      <c r="H500" s="2" t="b">
        <v>0</v>
      </c>
      <c r="I500" s="2">
        <v>6</v>
      </c>
      <c r="J500" s="2">
        <v>1</v>
      </c>
      <c r="K500" s="14">
        <v>0.06</v>
      </c>
      <c r="L500" s="4">
        <v>7.5800000000000006E-2</v>
      </c>
      <c r="M500" s="4">
        <v>0.45</v>
      </c>
      <c r="N500" s="4">
        <v>0.16420000000000001</v>
      </c>
      <c r="O500" s="4">
        <v>1</v>
      </c>
      <c r="P500" s="4">
        <v>44</v>
      </c>
      <c r="Q500" s="8">
        <v>45</v>
      </c>
    </row>
    <row r="501" spans="1:17" x14ac:dyDescent="0.25">
      <c r="A501" s="7">
        <v>500</v>
      </c>
      <c r="B501" s="3">
        <v>40565</v>
      </c>
      <c r="C501" s="2">
        <v>1</v>
      </c>
      <c r="D501" s="2">
        <v>0</v>
      </c>
      <c r="E501" s="2">
        <v>1</v>
      </c>
      <c r="F501" s="2">
        <v>21</v>
      </c>
      <c r="G501" s="2" t="str" cm="1">
        <f t="array" ref="G501">_xlfn.IFS(F501&lt;3,"Night",F501&lt;=6,"Early Morning",F501&lt;8,"Morning",F501&lt;10,"Late Morning",F501&lt;12,"Afternoon",F501&lt;16,"Afternoon",F501&lt;=18,"Early Evening",F501&lt;=20,"Evening",F501&lt;=22,"Late Evening",F501&lt;=23,"Night")</f>
        <v>Late Evening</v>
      </c>
      <c r="H501" s="2" t="b">
        <v>0</v>
      </c>
      <c r="I501" s="2">
        <v>6</v>
      </c>
      <c r="J501" s="2">
        <v>1</v>
      </c>
      <c r="K501" s="14">
        <v>0.06</v>
      </c>
      <c r="L501" s="4">
        <v>0.1061</v>
      </c>
      <c r="M501" s="4">
        <v>0.41</v>
      </c>
      <c r="N501" s="4">
        <v>8.9599999999999999E-2</v>
      </c>
      <c r="O501" s="4">
        <v>0</v>
      </c>
      <c r="P501" s="4">
        <v>39</v>
      </c>
      <c r="Q501" s="8">
        <v>39</v>
      </c>
    </row>
    <row r="502" spans="1:17" x14ac:dyDescent="0.25">
      <c r="A502" s="7">
        <v>501</v>
      </c>
      <c r="B502" s="3">
        <v>40565</v>
      </c>
      <c r="C502" s="2">
        <v>1</v>
      </c>
      <c r="D502" s="2">
        <v>0</v>
      </c>
      <c r="E502" s="2">
        <v>1</v>
      </c>
      <c r="F502" s="2">
        <v>22</v>
      </c>
      <c r="G502" s="2" t="str" cm="1">
        <f t="array" ref="G502">_xlfn.IFS(F502&lt;3,"Night",F502&lt;=6,"Early Morning",F502&lt;8,"Morning",F502&lt;10,"Late Morning",F502&lt;12,"Afternoon",F502&lt;16,"Afternoon",F502&lt;=18,"Early Evening",F502&lt;=20,"Evening",F502&lt;=22,"Late Evening",F502&lt;=23,"Night")</f>
        <v>Late Evening</v>
      </c>
      <c r="H502" s="2" t="b">
        <v>0</v>
      </c>
      <c r="I502" s="2">
        <v>6</v>
      </c>
      <c r="J502" s="2">
        <v>1</v>
      </c>
      <c r="K502" s="14">
        <v>0.06</v>
      </c>
      <c r="L502" s="4">
        <v>0.1515</v>
      </c>
      <c r="M502" s="4">
        <v>0.49</v>
      </c>
      <c r="N502" s="4">
        <v>0</v>
      </c>
      <c r="O502" s="4">
        <v>7</v>
      </c>
      <c r="P502" s="4">
        <v>23</v>
      </c>
      <c r="Q502" s="8">
        <v>30</v>
      </c>
    </row>
    <row r="503" spans="1:17" x14ac:dyDescent="0.25">
      <c r="A503" s="7">
        <v>502</v>
      </c>
      <c r="B503" s="3">
        <v>40565</v>
      </c>
      <c r="C503" s="2">
        <v>1</v>
      </c>
      <c r="D503" s="2">
        <v>0</v>
      </c>
      <c r="E503" s="2">
        <v>1</v>
      </c>
      <c r="F503" s="2">
        <v>23</v>
      </c>
      <c r="G503" s="2" t="str" cm="1">
        <f t="array" ref="G503">_xlfn.IFS(F503&lt;3,"Night",F503&lt;=6,"Early Morning",F503&lt;8,"Morning",F503&lt;10,"Late Morning",F503&lt;12,"Afternoon",F503&lt;16,"Afternoon",F503&lt;=18,"Early Evening",F503&lt;=20,"Evening",F503&lt;=22,"Late Evening",F503&lt;=23,"Night")</f>
        <v>Night</v>
      </c>
      <c r="H503" s="2" t="b">
        <v>0</v>
      </c>
      <c r="I503" s="2">
        <v>6</v>
      </c>
      <c r="J503" s="2">
        <v>1</v>
      </c>
      <c r="K503" s="14">
        <v>0.04</v>
      </c>
      <c r="L503" s="4">
        <v>7.5800000000000006E-2</v>
      </c>
      <c r="M503" s="4">
        <v>0.56999999999999995</v>
      </c>
      <c r="N503" s="4">
        <v>0.1045</v>
      </c>
      <c r="O503" s="4">
        <v>2</v>
      </c>
      <c r="P503" s="4">
        <v>31</v>
      </c>
      <c r="Q503" s="8">
        <v>33</v>
      </c>
    </row>
    <row r="504" spans="1:17" x14ac:dyDescent="0.25">
      <c r="A504" s="7">
        <v>503</v>
      </c>
      <c r="B504" s="3">
        <v>40566</v>
      </c>
      <c r="C504" s="2">
        <v>1</v>
      </c>
      <c r="D504" s="2">
        <v>0</v>
      </c>
      <c r="E504" s="2">
        <v>1</v>
      </c>
      <c r="F504" s="2">
        <v>0</v>
      </c>
      <c r="G504" s="2" t="str" cm="1">
        <f t="array" ref="G504">_xlfn.IFS(F504&lt;3,"Night",F504&lt;=6,"Early Morning",F504&lt;8,"Morning",F504&lt;10,"Late Morning",F504&lt;12,"Afternoon",F504&lt;16,"Afternoon",F504&lt;=18,"Early Evening",F504&lt;=20,"Evening",F504&lt;=22,"Late Evening",F504&lt;=23,"Night")</f>
        <v>Night</v>
      </c>
      <c r="H504" s="2" t="b">
        <v>0</v>
      </c>
      <c r="I504" s="2">
        <v>0</v>
      </c>
      <c r="J504" s="2">
        <v>1</v>
      </c>
      <c r="K504" s="14">
        <v>0.04</v>
      </c>
      <c r="L504" s="4">
        <v>7.5800000000000006E-2</v>
      </c>
      <c r="M504" s="4">
        <v>0.56999999999999995</v>
      </c>
      <c r="N504" s="4">
        <v>0.1045</v>
      </c>
      <c r="O504" s="4">
        <v>2</v>
      </c>
      <c r="P504" s="4">
        <v>20</v>
      </c>
      <c r="Q504" s="8">
        <v>22</v>
      </c>
    </row>
    <row r="505" spans="1:17" x14ac:dyDescent="0.25">
      <c r="A505" s="7">
        <v>504</v>
      </c>
      <c r="B505" s="3">
        <v>40566</v>
      </c>
      <c r="C505" s="2">
        <v>1</v>
      </c>
      <c r="D505" s="2">
        <v>0</v>
      </c>
      <c r="E505" s="2">
        <v>1</v>
      </c>
      <c r="F505" s="2">
        <v>1</v>
      </c>
      <c r="G505" s="2" t="str" cm="1">
        <f t="array" ref="G505">_xlfn.IFS(F505&lt;3,"Night",F505&lt;=6,"Early Morning",F505&lt;8,"Morning",F505&lt;10,"Late Morning",F505&lt;12,"Afternoon",F505&lt;16,"Afternoon",F505&lt;=18,"Early Evening",F505&lt;=20,"Evening",F505&lt;=22,"Late Evening",F505&lt;=23,"Night")</f>
        <v>Night</v>
      </c>
      <c r="H505" s="2" t="b">
        <v>0</v>
      </c>
      <c r="I505" s="2">
        <v>0</v>
      </c>
      <c r="J505" s="2">
        <v>1</v>
      </c>
      <c r="K505" s="14">
        <v>0.04</v>
      </c>
      <c r="L505" s="4">
        <v>7.5800000000000006E-2</v>
      </c>
      <c r="M505" s="4">
        <v>0.56999999999999995</v>
      </c>
      <c r="N505" s="4">
        <v>0.1045</v>
      </c>
      <c r="O505" s="4">
        <v>1</v>
      </c>
      <c r="P505" s="4">
        <v>12</v>
      </c>
      <c r="Q505" s="8">
        <v>13</v>
      </c>
    </row>
    <row r="506" spans="1:17" x14ac:dyDescent="0.25">
      <c r="A506" s="7">
        <v>505</v>
      </c>
      <c r="B506" s="3">
        <v>40566</v>
      </c>
      <c r="C506" s="2">
        <v>1</v>
      </c>
      <c r="D506" s="2">
        <v>0</v>
      </c>
      <c r="E506" s="2">
        <v>1</v>
      </c>
      <c r="F506" s="2">
        <v>2</v>
      </c>
      <c r="G506" s="2" t="str" cm="1">
        <f t="array" ref="G506">_xlfn.IFS(F506&lt;3,"Night",F506&lt;=6,"Early Morning",F506&lt;8,"Morning",F506&lt;10,"Late Morning",F506&lt;12,"Afternoon",F506&lt;16,"Afternoon",F506&lt;=18,"Early Evening",F506&lt;=20,"Evening",F506&lt;=22,"Late Evening",F506&lt;=23,"Night")</f>
        <v>Night</v>
      </c>
      <c r="H506" s="2" t="b">
        <v>0</v>
      </c>
      <c r="I506" s="2">
        <v>0</v>
      </c>
      <c r="J506" s="2">
        <v>1</v>
      </c>
      <c r="K506" s="14">
        <v>0.02</v>
      </c>
      <c r="L506" s="4">
        <v>6.0600000000000001E-2</v>
      </c>
      <c r="M506" s="4">
        <v>0.62</v>
      </c>
      <c r="N506" s="4">
        <v>0.1343</v>
      </c>
      <c r="O506" s="4">
        <v>3</v>
      </c>
      <c r="P506" s="4">
        <v>15</v>
      </c>
      <c r="Q506" s="8">
        <v>18</v>
      </c>
    </row>
    <row r="507" spans="1:17" x14ac:dyDescent="0.25">
      <c r="A507" s="7">
        <v>506</v>
      </c>
      <c r="B507" s="3">
        <v>40566</v>
      </c>
      <c r="C507" s="2">
        <v>1</v>
      </c>
      <c r="D507" s="2">
        <v>0</v>
      </c>
      <c r="E507" s="2">
        <v>1</v>
      </c>
      <c r="F507" s="2">
        <v>3</v>
      </c>
      <c r="G507" s="2" t="str" cm="1">
        <f t="array" ref="G507">_xlfn.IFS(F507&lt;3,"Night",F507&lt;=6,"Early Morning",F507&lt;8,"Morning",F507&lt;10,"Late Morning",F507&lt;12,"Afternoon",F507&lt;16,"Afternoon",F507&lt;=18,"Early Evening",F507&lt;=20,"Evening",F507&lt;=22,"Late Evening",F507&lt;=23,"Night")</f>
        <v>Early Morning</v>
      </c>
      <c r="H507" s="2" t="b">
        <v>0</v>
      </c>
      <c r="I507" s="2">
        <v>0</v>
      </c>
      <c r="J507" s="2">
        <v>1</v>
      </c>
      <c r="K507" s="14">
        <v>0.02</v>
      </c>
      <c r="L507" s="4">
        <v>6.0600000000000001E-2</v>
      </c>
      <c r="M507" s="4">
        <v>0.62</v>
      </c>
      <c r="N507" s="4">
        <v>0.1343</v>
      </c>
      <c r="O507" s="4">
        <v>1</v>
      </c>
      <c r="P507" s="4">
        <v>4</v>
      </c>
      <c r="Q507" s="8">
        <v>5</v>
      </c>
    </row>
    <row r="508" spans="1:17" x14ac:dyDescent="0.25">
      <c r="A508" s="7">
        <v>507</v>
      </c>
      <c r="B508" s="3">
        <v>40566</v>
      </c>
      <c r="C508" s="2">
        <v>1</v>
      </c>
      <c r="D508" s="2">
        <v>0</v>
      </c>
      <c r="E508" s="2">
        <v>1</v>
      </c>
      <c r="F508" s="2">
        <v>5</v>
      </c>
      <c r="G508" s="2" t="str" cm="1">
        <f t="array" ref="G508">_xlfn.IFS(F508&lt;3,"Night",F508&lt;=6,"Early Morning",F508&lt;8,"Morning",F508&lt;10,"Late Morning",F508&lt;12,"Afternoon",F508&lt;16,"Afternoon",F508&lt;=18,"Early Evening",F508&lt;=20,"Evening",F508&lt;=22,"Late Evening",F508&lt;=23,"Night")</f>
        <v>Early Morning</v>
      </c>
      <c r="H508" s="2" t="b">
        <v>0</v>
      </c>
      <c r="I508" s="2">
        <v>0</v>
      </c>
      <c r="J508" s="2">
        <v>2</v>
      </c>
      <c r="K508" s="14">
        <v>0.04</v>
      </c>
      <c r="L508" s="4">
        <v>7.5800000000000006E-2</v>
      </c>
      <c r="M508" s="4">
        <v>0.56999999999999995</v>
      </c>
      <c r="N508" s="4">
        <v>0.1045</v>
      </c>
      <c r="O508" s="4">
        <v>0</v>
      </c>
      <c r="P508" s="4">
        <v>3</v>
      </c>
      <c r="Q508" s="8">
        <v>3</v>
      </c>
    </row>
    <row r="509" spans="1:17" x14ac:dyDescent="0.25">
      <c r="A509" s="7">
        <v>508</v>
      </c>
      <c r="B509" s="3">
        <v>40566</v>
      </c>
      <c r="C509" s="2">
        <v>1</v>
      </c>
      <c r="D509" s="2">
        <v>0</v>
      </c>
      <c r="E509" s="2">
        <v>1</v>
      </c>
      <c r="F509" s="2">
        <v>6</v>
      </c>
      <c r="G509" s="2" t="str" cm="1">
        <f t="array" ref="G509">_xlfn.IFS(F509&lt;3,"Night",F509&lt;=6,"Early Morning",F509&lt;8,"Morning",F509&lt;10,"Late Morning",F509&lt;12,"Afternoon",F509&lt;16,"Afternoon",F509&lt;=18,"Early Evening",F509&lt;=20,"Evening",F509&lt;=22,"Late Evening",F509&lt;=23,"Night")</f>
        <v>Early Morning</v>
      </c>
      <c r="H509" s="2" t="b">
        <v>0</v>
      </c>
      <c r="I509" s="2">
        <v>0</v>
      </c>
      <c r="J509" s="2">
        <v>2</v>
      </c>
      <c r="K509" s="14">
        <v>0.04</v>
      </c>
      <c r="L509" s="4">
        <v>7.5800000000000006E-2</v>
      </c>
      <c r="M509" s="4">
        <v>0.56999999999999995</v>
      </c>
      <c r="N509" s="4">
        <v>0.1045</v>
      </c>
      <c r="O509" s="4">
        <v>0</v>
      </c>
      <c r="P509" s="4">
        <v>1</v>
      </c>
      <c r="Q509" s="8">
        <v>1</v>
      </c>
    </row>
    <row r="510" spans="1:17" x14ac:dyDescent="0.25">
      <c r="A510" s="7">
        <v>509</v>
      </c>
      <c r="B510" s="3">
        <v>40566</v>
      </c>
      <c r="C510" s="2">
        <v>1</v>
      </c>
      <c r="D510" s="2">
        <v>0</v>
      </c>
      <c r="E510" s="2">
        <v>1</v>
      </c>
      <c r="F510" s="2">
        <v>7</v>
      </c>
      <c r="G510" s="2" t="str" cm="1">
        <f t="array" ref="G510">_xlfn.IFS(F510&lt;3,"Night",F510&lt;=6,"Early Morning",F510&lt;8,"Morning",F510&lt;10,"Late Morning",F510&lt;12,"Afternoon",F510&lt;16,"Afternoon",F510&lt;=18,"Early Evening",F510&lt;=20,"Evening",F510&lt;=22,"Late Evening",F510&lt;=23,"Night")</f>
        <v>Morning</v>
      </c>
      <c r="H510" s="2" t="b">
        <v>0</v>
      </c>
      <c r="I510" s="2">
        <v>0</v>
      </c>
      <c r="J510" s="2">
        <v>1</v>
      </c>
      <c r="K510" s="14">
        <v>0.08</v>
      </c>
      <c r="L510" s="4">
        <v>0.1061</v>
      </c>
      <c r="M510" s="4">
        <v>0.57999999999999996</v>
      </c>
      <c r="N510" s="4">
        <v>0.16420000000000001</v>
      </c>
      <c r="O510" s="4">
        <v>1</v>
      </c>
      <c r="P510" s="4">
        <v>1</v>
      </c>
      <c r="Q510" s="8">
        <v>2</v>
      </c>
    </row>
    <row r="511" spans="1:17" x14ac:dyDescent="0.25">
      <c r="A511" s="7">
        <v>510</v>
      </c>
      <c r="B511" s="3">
        <v>40566</v>
      </c>
      <c r="C511" s="2">
        <v>1</v>
      </c>
      <c r="D511" s="2">
        <v>0</v>
      </c>
      <c r="E511" s="2">
        <v>1</v>
      </c>
      <c r="F511" s="2">
        <v>8</v>
      </c>
      <c r="G511" s="2" t="str" cm="1">
        <f t="array" ref="G511">_xlfn.IFS(F511&lt;3,"Night",F511&lt;=6,"Early Morning",F511&lt;8,"Morning",F511&lt;10,"Late Morning",F511&lt;12,"Afternoon",F511&lt;16,"Afternoon",F511&lt;=18,"Early Evening",F511&lt;=20,"Evening",F511&lt;=22,"Late Evening",F511&lt;=23,"Night")</f>
        <v>Late Morning</v>
      </c>
      <c r="H511" s="2" t="b">
        <v>0</v>
      </c>
      <c r="I511" s="2">
        <v>0</v>
      </c>
      <c r="J511" s="2">
        <v>1</v>
      </c>
      <c r="K511" s="14">
        <v>0.06</v>
      </c>
      <c r="L511" s="4">
        <v>7.5800000000000006E-2</v>
      </c>
      <c r="M511" s="4">
        <v>0.62</v>
      </c>
      <c r="N511" s="4">
        <v>0.16420000000000001</v>
      </c>
      <c r="O511" s="4">
        <v>2</v>
      </c>
      <c r="P511" s="4">
        <v>17</v>
      </c>
      <c r="Q511" s="8">
        <v>19</v>
      </c>
    </row>
    <row r="512" spans="1:17" x14ac:dyDescent="0.25">
      <c r="A512" s="7">
        <v>511</v>
      </c>
      <c r="B512" s="3">
        <v>40566</v>
      </c>
      <c r="C512" s="2">
        <v>1</v>
      </c>
      <c r="D512" s="2">
        <v>0</v>
      </c>
      <c r="E512" s="2">
        <v>1</v>
      </c>
      <c r="F512" s="2">
        <v>9</v>
      </c>
      <c r="G512" s="2" t="str" cm="1">
        <f t="array" ref="G512">_xlfn.IFS(F512&lt;3,"Night",F512&lt;=6,"Early Morning",F512&lt;8,"Morning",F512&lt;10,"Late Morning",F512&lt;12,"Afternoon",F512&lt;16,"Afternoon",F512&lt;=18,"Early Evening",F512&lt;=20,"Evening",F512&lt;=22,"Late Evening",F512&lt;=23,"Night")</f>
        <v>Late Morning</v>
      </c>
      <c r="H512" s="2" t="b">
        <v>0</v>
      </c>
      <c r="I512" s="2">
        <v>0</v>
      </c>
      <c r="J512" s="2">
        <v>1</v>
      </c>
      <c r="K512" s="14">
        <v>0.1</v>
      </c>
      <c r="L512" s="4">
        <v>7.5800000000000006E-2</v>
      </c>
      <c r="M512" s="4">
        <v>0.54</v>
      </c>
      <c r="N512" s="4">
        <v>0.35820000000000002</v>
      </c>
      <c r="O512" s="4">
        <v>3</v>
      </c>
      <c r="P512" s="4">
        <v>25</v>
      </c>
      <c r="Q512" s="8">
        <v>28</v>
      </c>
    </row>
    <row r="513" spans="1:17" x14ac:dyDescent="0.25">
      <c r="A513" s="7">
        <v>512</v>
      </c>
      <c r="B513" s="3">
        <v>40566</v>
      </c>
      <c r="C513" s="2">
        <v>1</v>
      </c>
      <c r="D513" s="2">
        <v>0</v>
      </c>
      <c r="E513" s="2">
        <v>1</v>
      </c>
      <c r="F513" s="2">
        <v>10</v>
      </c>
      <c r="G513" s="2" t="str" cm="1">
        <f t="array" ref="G513">_xlfn.IFS(F513&lt;3,"Night",F513&lt;=6,"Early Morning",F513&lt;8,"Morning",F513&lt;10,"Late Morning",F513&lt;12,"Afternoon",F513&lt;16,"Afternoon",F513&lt;=18,"Early Evening",F513&lt;=20,"Evening",F513&lt;=22,"Late Evening",F513&lt;=23,"Night")</f>
        <v>Afternoon</v>
      </c>
      <c r="H513" s="2" t="b">
        <v>0</v>
      </c>
      <c r="I513" s="2">
        <v>0</v>
      </c>
      <c r="J513" s="2">
        <v>1</v>
      </c>
      <c r="K513" s="14">
        <v>0.14000000000000001</v>
      </c>
      <c r="L513" s="4">
        <v>0.1061</v>
      </c>
      <c r="M513" s="4">
        <v>0.46</v>
      </c>
      <c r="N513" s="4">
        <v>0.3881</v>
      </c>
      <c r="O513" s="4">
        <v>7</v>
      </c>
      <c r="P513" s="4">
        <v>51</v>
      </c>
      <c r="Q513" s="8">
        <v>58</v>
      </c>
    </row>
    <row r="514" spans="1:17" x14ac:dyDescent="0.25">
      <c r="A514" s="7">
        <v>513</v>
      </c>
      <c r="B514" s="3">
        <v>40566</v>
      </c>
      <c r="C514" s="2">
        <v>1</v>
      </c>
      <c r="D514" s="2">
        <v>0</v>
      </c>
      <c r="E514" s="2">
        <v>1</v>
      </c>
      <c r="F514" s="2">
        <v>11</v>
      </c>
      <c r="G514" s="2" t="str" cm="1">
        <f t="array" ref="G514">_xlfn.IFS(F514&lt;3,"Night",F514&lt;=6,"Early Morning",F514&lt;8,"Morning",F514&lt;10,"Late Morning",F514&lt;12,"Afternoon",F514&lt;16,"Afternoon",F514&lt;=18,"Early Evening",F514&lt;=20,"Evening",F514&lt;=22,"Late Evening",F514&lt;=23,"Night")</f>
        <v>Afternoon</v>
      </c>
      <c r="H514" s="2" t="b">
        <v>0</v>
      </c>
      <c r="I514" s="2">
        <v>0</v>
      </c>
      <c r="J514" s="2">
        <v>1</v>
      </c>
      <c r="K514" s="14">
        <v>0.14000000000000001</v>
      </c>
      <c r="L514" s="4">
        <v>0.13639999999999999</v>
      </c>
      <c r="M514" s="4">
        <v>0.43</v>
      </c>
      <c r="N514" s="4">
        <v>0.22389999999999999</v>
      </c>
      <c r="O514" s="4">
        <v>22</v>
      </c>
      <c r="P514" s="4">
        <v>77</v>
      </c>
      <c r="Q514" s="8">
        <v>99</v>
      </c>
    </row>
    <row r="515" spans="1:17" x14ac:dyDescent="0.25">
      <c r="A515" s="7">
        <v>514</v>
      </c>
      <c r="B515" s="3">
        <v>40566</v>
      </c>
      <c r="C515" s="2">
        <v>1</v>
      </c>
      <c r="D515" s="2">
        <v>0</v>
      </c>
      <c r="E515" s="2">
        <v>1</v>
      </c>
      <c r="F515" s="2">
        <v>12</v>
      </c>
      <c r="G515" s="2" t="str" cm="1">
        <f t="array" ref="G515">_xlfn.IFS(F515&lt;3,"Night",F515&lt;=6,"Early Morning",F515&lt;8,"Morning",F515&lt;10,"Late Morning",F515&lt;12,"Afternoon",F515&lt;16,"Afternoon",F515&lt;=18,"Early Evening",F515&lt;=20,"Evening",F515&lt;=22,"Late Evening",F515&lt;=23,"Night")</f>
        <v>Afternoon</v>
      </c>
      <c r="H515" s="2" t="b">
        <v>0</v>
      </c>
      <c r="I515" s="2">
        <v>0</v>
      </c>
      <c r="J515" s="2">
        <v>1</v>
      </c>
      <c r="K515" s="14">
        <v>0.16</v>
      </c>
      <c r="L515" s="4">
        <v>0.1212</v>
      </c>
      <c r="M515" s="4">
        <v>0.37</v>
      </c>
      <c r="N515" s="4">
        <v>0.4627</v>
      </c>
      <c r="O515" s="4">
        <v>24</v>
      </c>
      <c r="P515" s="4">
        <v>92</v>
      </c>
      <c r="Q515" s="8">
        <v>116</v>
      </c>
    </row>
    <row r="516" spans="1:17" x14ac:dyDescent="0.25">
      <c r="A516" s="7">
        <v>515</v>
      </c>
      <c r="B516" s="3">
        <v>40566</v>
      </c>
      <c r="C516" s="2">
        <v>1</v>
      </c>
      <c r="D516" s="2">
        <v>0</v>
      </c>
      <c r="E516" s="2">
        <v>1</v>
      </c>
      <c r="F516" s="2">
        <v>13</v>
      </c>
      <c r="G516" s="2" t="str" cm="1">
        <f t="array" ref="G516">_xlfn.IFS(F516&lt;3,"Night",F516&lt;=6,"Early Morning",F516&lt;8,"Morning",F516&lt;10,"Late Morning",F516&lt;12,"Afternoon",F516&lt;16,"Afternoon",F516&lt;=18,"Early Evening",F516&lt;=20,"Evening",F516&lt;=22,"Late Evening",F516&lt;=23,"Night")</f>
        <v>Afternoon</v>
      </c>
      <c r="H516" s="2" t="b">
        <v>0</v>
      </c>
      <c r="I516" s="2">
        <v>0</v>
      </c>
      <c r="J516" s="2">
        <v>1</v>
      </c>
      <c r="K516" s="14">
        <v>0.14000000000000001</v>
      </c>
      <c r="L516" s="4">
        <v>0.1061</v>
      </c>
      <c r="M516" s="4">
        <v>0.33</v>
      </c>
      <c r="N516" s="4">
        <v>0.3881</v>
      </c>
      <c r="O516" s="4">
        <v>12</v>
      </c>
      <c r="P516" s="4">
        <v>75</v>
      </c>
      <c r="Q516" s="8">
        <v>87</v>
      </c>
    </row>
    <row r="517" spans="1:17" x14ac:dyDescent="0.25">
      <c r="A517" s="7">
        <v>516</v>
      </c>
      <c r="B517" s="3">
        <v>40566</v>
      </c>
      <c r="C517" s="2">
        <v>1</v>
      </c>
      <c r="D517" s="2">
        <v>0</v>
      </c>
      <c r="E517" s="2">
        <v>1</v>
      </c>
      <c r="F517" s="2">
        <v>14</v>
      </c>
      <c r="G517" s="2" t="str" cm="1">
        <f t="array" ref="G517">_xlfn.IFS(F517&lt;3,"Night",F517&lt;=6,"Early Morning",F517&lt;8,"Morning",F517&lt;10,"Late Morning",F517&lt;12,"Afternoon",F517&lt;16,"Afternoon",F517&lt;=18,"Early Evening",F517&lt;=20,"Evening",F517&lt;=22,"Late Evening",F517&lt;=23,"Night")</f>
        <v>Afternoon</v>
      </c>
      <c r="H517" s="2" t="b">
        <v>0</v>
      </c>
      <c r="I517" s="2">
        <v>0</v>
      </c>
      <c r="J517" s="2">
        <v>1</v>
      </c>
      <c r="K517" s="14">
        <v>0.16</v>
      </c>
      <c r="L517" s="4">
        <v>0.13639999999999999</v>
      </c>
      <c r="M517" s="4">
        <v>0.28000000000000003</v>
      </c>
      <c r="N517" s="4">
        <v>0.35820000000000002</v>
      </c>
      <c r="O517" s="4">
        <v>17</v>
      </c>
      <c r="P517" s="4">
        <v>93</v>
      </c>
      <c r="Q517" s="8">
        <v>110</v>
      </c>
    </row>
    <row r="518" spans="1:17" x14ac:dyDescent="0.25">
      <c r="A518" s="7">
        <v>517</v>
      </c>
      <c r="B518" s="3">
        <v>40566</v>
      </c>
      <c r="C518" s="2">
        <v>1</v>
      </c>
      <c r="D518" s="2">
        <v>0</v>
      </c>
      <c r="E518" s="2">
        <v>1</v>
      </c>
      <c r="F518" s="2">
        <v>15</v>
      </c>
      <c r="G518" s="2" t="str" cm="1">
        <f t="array" ref="G518">_xlfn.IFS(F518&lt;3,"Night",F518&lt;=6,"Early Morning",F518&lt;8,"Morning",F518&lt;10,"Late Morning",F518&lt;12,"Afternoon",F518&lt;16,"Afternoon",F518&lt;=18,"Early Evening",F518&lt;=20,"Evening",F518&lt;=22,"Late Evening",F518&lt;=23,"Night")</f>
        <v>Afternoon</v>
      </c>
      <c r="H518" s="2" t="b">
        <v>0</v>
      </c>
      <c r="I518" s="2">
        <v>0</v>
      </c>
      <c r="J518" s="2">
        <v>1</v>
      </c>
      <c r="K518" s="14">
        <v>0.16</v>
      </c>
      <c r="L518" s="4">
        <v>0.13639999999999999</v>
      </c>
      <c r="M518" s="4">
        <v>0.28000000000000003</v>
      </c>
      <c r="N518" s="4">
        <v>0.35820000000000002</v>
      </c>
      <c r="O518" s="4">
        <v>13</v>
      </c>
      <c r="P518" s="4">
        <v>64</v>
      </c>
      <c r="Q518" s="8">
        <v>77</v>
      </c>
    </row>
    <row r="519" spans="1:17" x14ac:dyDescent="0.25">
      <c r="A519" s="7">
        <v>518</v>
      </c>
      <c r="B519" s="3">
        <v>40566</v>
      </c>
      <c r="C519" s="2">
        <v>1</v>
      </c>
      <c r="D519" s="2">
        <v>0</v>
      </c>
      <c r="E519" s="2">
        <v>1</v>
      </c>
      <c r="F519" s="2">
        <v>16</v>
      </c>
      <c r="G519" s="2" t="str" cm="1">
        <f t="array" ref="G519">_xlfn.IFS(F519&lt;3,"Night",F519&lt;=6,"Early Morning",F519&lt;8,"Morning",F519&lt;10,"Late Morning",F519&lt;12,"Afternoon",F519&lt;16,"Afternoon",F519&lt;=18,"Early Evening",F519&lt;=20,"Evening",F519&lt;=22,"Late Evening",F519&lt;=23,"Night")</f>
        <v>Early Evening</v>
      </c>
      <c r="H519" s="2" t="b">
        <v>0</v>
      </c>
      <c r="I519" s="2">
        <v>0</v>
      </c>
      <c r="J519" s="2">
        <v>1</v>
      </c>
      <c r="K519" s="14">
        <v>0.16</v>
      </c>
      <c r="L519" s="4">
        <v>0.13639999999999999</v>
      </c>
      <c r="M519" s="4">
        <v>0.26</v>
      </c>
      <c r="N519" s="4">
        <v>0.32840000000000003</v>
      </c>
      <c r="O519" s="4">
        <v>9</v>
      </c>
      <c r="P519" s="4">
        <v>56</v>
      </c>
      <c r="Q519" s="8">
        <v>65</v>
      </c>
    </row>
    <row r="520" spans="1:17" x14ac:dyDescent="0.25">
      <c r="A520" s="7">
        <v>519</v>
      </c>
      <c r="B520" s="3">
        <v>40566</v>
      </c>
      <c r="C520" s="2">
        <v>1</v>
      </c>
      <c r="D520" s="2">
        <v>0</v>
      </c>
      <c r="E520" s="2">
        <v>1</v>
      </c>
      <c r="F520" s="2">
        <v>17</v>
      </c>
      <c r="G520" s="2" t="str" cm="1">
        <f t="array" ref="G520">_xlfn.IFS(F520&lt;3,"Night",F520&lt;=6,"Early Morning",F520&lt;8,"Morning",F520&lt;10,"Late Morning",F520&lt;12,"Afternoon",F520&lt;16,"Afternoon",F520&lt;=18,"Early Evening",F520&lt;=20,"Evening",F520&lt;=22,"Late Evening",F520&lt;=23,"Night")</f>
        <v>Early Evening</v>
      </c>
      <c r="H520" s="2" t="b">
        <v>0</v>
      </c>
      <c r="I520" s="2">
        <v>0</v>
      </c>
      <c r="J520" s="2">
        <v>1</v>
      </c>
      <c r="K520" s="14">
        <v>0.14000000000000001</v>
      </c>
      <c r="L520" s="4">
        <v>0.1061</v>
      </c>
      <c r="M520" s="4">
        <v>0.26</v>
      </c>
      <c r="N520" s="4">
        <v>0.3881</v>
      </c>
      <c r="O520" s="4">
        <v>5</v>
      </c>
      <c r="P520" s="4">
        <v>50</v>
      </c>
      <c r="Q520" s="8">
        <v>55</v>
      </c>
    </row>
    <row r="521" spans="1:17" x14ac:dyDescent="0.25">
      <c r="A521" s="7">
        <v>520</v>
      </c>
      <c r="B521" s="3">
        <v>40566</v>
      </c>
      <c r="C521" s="2">
        <v>1</v>
      </c>
      <c r="D521" s="2">
        <v>0</v>
      </c>
      <c r="E521" s="2">
        <v>1</v>
      </c>
      <c r="F521" s="2">
        <v>18</v>
      </c>
      <c r="G521" s="2" t="str" cm="1">
        <f t="array" ref="G521">_xlfn.IFS(F521&lt;3,"Night",F521&lt;=6,"Early Morning",F521&lt;8,"Morning",F521&lt;10,"Late Morning",F521&lt;12,"Afternoon",F521&lt;16,"Afternoon",F521&lt;=18,"Early Evening",F521&lt;=20,"Evening",F521&lt;=22,"Late Evening",F521&lt;=23,"Night")</f>
        <v>Early Evening</v>
      </c>
      <c r="H521" s="2" t="b">
        <v>0</v>
      </c>
      <c r="I521" s="2">
        <v>0</v>
      </c>
      <c r="J521" s="2">
        <v>1</v>
      </c>
      <c r="K521" s="14">
        <v>0.12</v>
      </c>
      <c r="L521" s="4">
        <v>0.1212</v>
      </c>
      <c r="M521" s="4">
        <v>0.3</v>
      </c>
      <c r="N521" s="4">
        <v>0.25369999999999998</v>
      </c>
      <c r="O521" s="4">
        <v>5</v>
      </c>
      <c r="P521" s="4">
        <v>44</v>
      </c>
      <c r="Q521" s="8">
        <v>49</v>
      </c>
    </row>
    <row r="522" spans="1:17" x14ac:dyDescent="0.25">
      <c r="A522" s="7">
        <v>521</v>
      </c>
      <c r="B522" s="3">
        <v>40566</v>
      </c>
      <c r="C522" s="2">
        <v>1</v>
      </c>
      <c r="D522" s="2">
        <v>0</v>
      </c>
      <c r="E522" s="2">
        <v>1</v>
      </c>
      <c r="F522" s="2">
        <v>19</v>
      </c>
      <c r="G522" s="2" t="str" cm="1">
        <f t="array" ref="G522">_xlfn.IFS(F522&lt;3,"Night",F522&lt;=6,"Early Morning",F522&lt;8,"Morning",F522&lt;10,"Late Morning",F522&lt;12,"Afternoon",F522&lt;16,"Afternoon",F522&lt;=18,"Early Evening",F522&lt;=20,"Evening",F522&lt;=22,"Late Evening",F522&lt;=23,"Night")</f>
        <v>Evening</v>
      </c>
      <c r="H522" s="2" t="b">
        <v>0</v>
      </c>
      <c r="I522" s="2">
        <v>0</v>
      </c>
      <c r="J522" s="2">
        <v>1</v>
      </c>
      <c r="K522" s="14">
        <v>0.12</v>
      </c>
      <c r="L522" s="4">
        <v>0.1212</v>
      </c>
      <c r="M522" s="4">
        <v>0.3</v>
      </c>
      <c r="N522" s="4">
        <v>0.28360000000000002</v>
      </c>
      <c r="O522" s="4">
        <v>5</v>
      </c>
      <c r="P522" s="4">
        <v>45</v>
      </c>
      <c r="Q522" s="8">
        <v>50</v>
      </c>
    </row>
    <row r="523" spans="1:17" x14ac:dyDescent="0.25">
      <c r="A523" s="7">
        <v>522</v>
      </c>
      <c r="B523" s="3">
        <v>40566</v>
      </c>
      <c r="C523" s="2">
        <v>1</v>
      </c>
      <c r="D523" s="2">
        <v>0</v>
      </c>
      <c r="E523" s="2">
        <v>1</v>
      </c>
      <c r="F523" s="2">
        <v>20</v>
      </c>
      <c r="G523" s="2" t="str" cm="1">
        <f t="array" ref="G523">_xlfn.IFS(F523&lt;3,"Night",F523&lt;=6,"Early Morning",F523&lt;8,"Morning",F523&lt;10,"Late Morning",F523&lt;12,"Afternoon",F523&lt;16,"Afternoon",F523&lt;=18,"Early Evening",F523&lt;=20,"Evening",F523&lt;=22,"Late Evening",F523&lt;=23,"Night")</f>
        <v>Evening</v>
      </c>
      <c r="H523" s="2" t="b">
        <v>0</v>
      </c>
      <c r="I523" s="2">
        <v>0</v>
      </c>
      <c r="J523" s="2">
        <v>1</v>
      </c>
      <c r="K523" s="14">
        <v>0.1</v>
      </c>
      <c r="L523" s="4">
        <v>0.1061</v>
      </c>
      <c r="M523" s="4">
        <v>0.36</v>
      </c>
      <c r="N523" s="4">
        <v>0.25369999999999998</v>
      </c>
      <c r="O523" s="4">
        <v>4</v>
      </c>
      <c r="P523" s="4">
        <v>31</v>
      </c>
      <c r="Q523" s="8">
        <v>35</v>
      </c>
    </row>
    <row r="524" spans="1:17" x14ac:dyDescent="0.25">
      <c r="A524" s="7">
        <v>523</v>
      </c>
      <c r="B524" s="3">
        <v>40566</v>
      </c>
      <c r="C524" s="2">
        <v>1</v>
      </c>
      <c r="D524" s="2">
        <v>0</v>
      </c>
      <c r="E524" s="2">
        <v>1</v>
      </c>
      <c r="F524" s="2">
        <v>21</v>
      </c>
      <c r="G524" s="2" t="str" cm="1">
        <f t="array" ref="G524">_xlfn.IFS(F524&lt;3,"Night",F524&lt;=6,"Early Morning",F524&lt;8,"Morning",F524&lt;10,"Late Morning",F524&lt;12,"Afternoon",F524&lt;16,"Afternoon",F524&lt;=18,"Early Evening",F524&lt;=20,"Evening",F524&lt;=22,"Late Evening",F524&lt;=23,"Night")</f>
        <v>Late Evening</v>
      </c>
      <c r="H524" s="2" t="b">
        <v>0</v>
      </c>
      <c r="I524" s="2">
        <v>0</v>
      </c>
      <c r="J524" s="2">
        <v>1</v>
      </c>
      <c r="K524" s="14">
        <v>0.1</v>
      </c>
      <c r="L524" s="4">
        <v>0.1061</v>
      </c>
      <c r="M524" s="4">
        <v>0.36</v>
      </c>
      <c r="N524" s="4">
        <v>0.19400000000000001</v>
      </c>
      <c r="O524" s="4">
        <v>5</v>
      </c>
      <c r="P524" s="4">
        <v>20</v>
      </c>
      <c r="Q524" s="8">
        <v>25</v>
      </c>
    </row>
    <row r="525" spans="1:17" x14ac:dyDescent="0.25">
      <c r="A525" s="7">
        <v>524</v>
      </c>
      <c r="B525" s="3">
        <v>40566</v>
      </c>
      <c r="C525" s="2">
        <v>1</v>
      </c>
      <c r="D525" s="2">
        <v>0</v>
      </c>
      <c r="E525" s="2">
        <v>1</v>
      </c>
      <c r="F525" s="2">
        <v>22</v>
      </c>
      <c r="G525" s="2" t="str" cm="1">
        <f t="array" ref="G525">_xlfn.IFS(F525&lt;3,"Night",F525&lt;=6,"Early Morning",F525&lt;8,"Morning",F525&lt;10,"Late Morning",F525&lt;12,"Afternoon",F525&lt;16,"Afternoon",F525&lt;=18,"Early Evening",F525&lt;=20,"Evening",F525&lt;=22,"Late Evening",F525&lt;=23,"Night")</f>
        <v>Late Evening</v>
      </c>
      <c r="H525" s="2" t="b">
        <v>0</v>
      </c>
      <c r="I525" s="2">
        <v>0</v>
      </c>
      <c r="J525" s="2">
        <v>1</v>
      </c>
      <c r="K525" s="14">
        <v>0.08</v>
      </c>
      <c r="L525" s="4">
        <v>9.0899999999999995E-2</v>
      </c>
      <c r="M525" s="4">
        <v>0.38</v>
      </c>
      <c r="N525" s="4">
        <v>0.19400000000000001</v>
      </c>
      <c r="O525" s="4">
        <v>5</v>
      </c>
      <c r="P525" s="4">
        <v>23</v>
      </c>
      <c r="Q525" s="8">
        <v>28</v>
      </c>
    </row>
    <row r="526" spans="1:17" x14ac:dyDescent="0.25">
      <c r="A526" s="7">
        <v>525</v>
      </c>
      <c r="B526" s="3">
        <v>40566</v>
      </c>
      <c r="C526" s="2">
        <v>1</v>
      </c>
      <c r="D526" s="2">
        <v>0</v>
      </c>
      <c r="E526" s="2">
        <v>1</v>
      </c>
      <c r="F526" s="2">
        <v>23</v>
      </c>
      <c r="G526" s="2" t="str" cm="1">
        <f t="array" ref="G526">_xlfn.IFS(F526&lt;3,"Night",F526&lt;=6,"Early Morning",F526&lt;8,"Morning",F526&lt;10,"Late Morning",F526&lt;12,"Afternoon",F526&lt;16,"Afternoon",F526&lt;=18,"Early Evening",F526&lt;=20,"Evening",F526&lt;=22,"Late Evening",F526&lt;=23,"Night")</f>
        <v>Night</v>
      </c>
      <c r="H526" s="2" t="b">
        <v>0</v>
      </c>
      <c r="I526" s="2">
        <v>0</v>
      </c>
      <c r="J526" s="2">
        <v>1</v>
      </c>
      <c r="K526" s="14">
        <v>0.06</v>
      </c>
      <c r="L526" s="4">
        <v>6.0600000000000001E-2</v>
      </c>
      <c r="M526" s="4">
        <v>0.41</v>
      </c>
      <c r="N526" s="4">
        <v>0.22389999999999999</v>
      </c>
      <c r="O526" s="4">
        <v>4</v>
      </c>
      <c r="P526" s="4">
        <v>17</v>
      </c>
      <c r="Q526" s="8">
        <v>21</v>
      </c>
    </row>
    <row r="527" spans="1:17" x14ac:dyDescent="0.25">
      <c r="A527" s="7">
        <v>526</v>
      </c>
      <c r="B527" s="3">
        <v>40567</v>
      </c>
      <c r="C527" s="2">
        <v>1</v>
      </c>
      <c r="D527" s="2">
        <v>0</v>
      </c>
      <c r="E527" s="2">
        <v>1</v>
      </c>
      <c r="F527" s="2">
        <v>0</v>
      </c>
      <c r="G527" s="2" t="str" cm="1">
        <f t="array" ref="G527">_xlfn.IFS(F527&lt;3,"Night",F527&lt;=6,"Early Morning",F527&lt;8,"Morning",F527&lt;10,"Late Morning",F527&lt;12,"Afternoon",F527&lt;16,"Afternoon",F527&lt;=18,"Early Evening",F527&lt;=20,"Evening",F527&lt;=22,"Late Evening",F527&lt;=23,"Night")</f>
        <v>Night</v>
      </c>
      <c r="H527" s="2" t="b">
        <v>0</v>
      </c>
      <c r="I527" s="2">
        <v>1</v>
      </c>
      <c r="J527" s="2">
        <v>1</v>
      </c>
      <c r="K527" s="14">
        <v>0.06</v>
      </c>
      <c r="L527" s="4">
        <v>6.0600000000000001E-2</v>
      </c>
      <c r="M527" s="4">
        <v>0.41</v>
      </c>
      <c r="N527" s="4">
        <v>0.19400000000000001</v>
      </c>
      <c r="O527" s="4">
        <v>0</v>
      </c>
      <c r="P527" s="4">
        <v>7</v>
      </c>
      <c r="Q527" s="8">
        <v>7</v>
      </c>
    </row>
    <row r="528" spans="1:17" x14ac:dyDescent="0.25">
      <c r="A528" s="7">
        <v>527</v>
      </c>
      <c r="B528" s="3">
        <v>40567</v>
      </c>
      <c r="C528" s="2">
        <v>1</v>
      </c>
      <c r="D528" s="2">
        <v>0</v>
      </c>
      <c r="E528" s="2">
        <v>1</v>
      </c>
      <c r="F528" s="2">
        <v>1</v>
      </c>
      <c r="G528" s="2" t="str" cm="1">
        <f t="array" ref="G528">_xlfn.IFS(F528&lt;3,"Night",F528&lt;=6,"Early Morning",F528&lt;8,"Morning",F528&lt;10,"Late Morning",F528&lt;12,"Afternoon",F528&lt;16,"Afternoon",F528&lt;=18,"Early Evening",F528&lt;=20,"Evening",F528&lt;=22,"Late Evening",F528&lt;=23,"Night")</f>
        <v>Night</v>
      </c>
      <c r="H528" s="2" t="b">
        <v>0</v>
      </c>
      <c r="I528" s="2">
        <v>1</v>
      </c>
      <c r="J528" s="2">
        <v>1</v>
      </c>
      <c r="K528" s="14">
        <v>0.04</v>
      </c>
      <c r="L528" s="4">
        <v>4.5499999999999999E-2</v>
      </c>
      <c r="M528" s="4">
        <v>0.45</v>
      </c>
      <c r="N528" s="4">
        <v>0.19400000000000001</v>
      </c>
      <c r="O528" s="4">
        <v>0</v>
      </c>
      <c r="P528" s="4">
        <v>1</v>
      </c>
      <c r="Q528" s="8">
        <v>1</v>
      </c>
    </row>
    <row r="529" spans="1:17" x14ac:dyDescent="0.25">
      <c r="A529" s="7">
        <v>528</v>
      </c>
      <c r="B529" s="3">
        <v>40567</v>
      </c>
      <c r="C529" s="2">
        <v>1</v>
      </c>
      <c r="D529" s="2">
        <v>0</v>
      </c>
      <c r="E529" s="2">
        <v>1</v>
      </c>
      <c r="F529" s="2">
        <v>3</v>
      </c>
      <c r="G529" s="2" t="str" cm="1">
        <f t="array" ref="G529">_xlfn.IFS(F529&lt;3,"Night",F529&lt;=6,"Early Morning",F529&lt;8,"Morning",F529&lt;10,"Late Morning",F529&lt;12,"Afternoon",F529&lt;16,"Afternoon",F529&lt;=18,"Early Evening",F529&lt;=20,"Evening",F529&lt;=22,"Late Evening",F529&lt;=23,"Night")</f>
        <v>Early Morning</v>
      </c>
      <c r="H529" s="2" t="b">
        <v>0</v>
      </c>
      <c r="I529" s="2">
        <v>1</v>
      </c>
      <c r="J529" s="2">
        <v>1</v>
      </c>
      <c r="K529" s="14">
        <v>0.04</v>
      </c>
      <c r="L529" s="4">
        <v>3.0300000000000001E-2</v>
      </c>
      <c r="M529" s="4">
        <v>0.45</v>
      </c>
      <c r="N529" s="4">
        <v>0.25369999999999998</v>
      </c>
      <c r="O529" s="4">
        <v>0</v>
      </c>
      <c r="P529" s="4">
        <v>1</v>
      </c>
      <c r="Q529" s="8">
        <v>1</v>
      </c>
    </row>
    <row r="530" spans="1:17" x14ac:dyDescent="0.25">
      <c r="A530" s="7">
        <v>529</v>
      </c>
      <c r="B530" s="3">
        <v>40567</v>
      </c>
      <c r="C530" s="2">
        <v>1</v>
      </c>
      <c r="D530" s="2">
        <v>0</v>
      </c>
      <c r="E530" s="2">
        <v>1</v>
      </c>
      <c r="F530" s="2">
        <v>4</v>
      </c>
      <c r="G530" s="2" t="str" cm="1">
        <f t="array" ref="G530">_xlfn.IFS(F530&lt;3,"Night",F530&lt;=6,"Early Morning",F530&lt;8,"Morning",F530&lt;10,"Late Morning",F530&lt;12,"Afternoon",F530&lt;16,"Afternoon",F530&lt;=18,"Early Evening",F530&lt;=20,"Evening",F530&lt;=22,"Late Evening",F530&lt;=23,"Night")</f>
        <v>Early Morning</v>
      </c>
      <c r="H530" s="2" t="b">
        <v>0</v>
      </c>
      <c r="I530" s="2">
        <v>1</v>
      </c>
      <c r="J530" s="2">
        <v>1</v>
      </c>
      <c r="K530" s="14">
        <v>0.02</v>
      </c>
      <c r="L530" s="4">
        <v>6.0600000000000001E-2</v>
      </c>
      <c r="M530" s="4">
        <v>0.48</v>
      </c>
      <c r="N530" s="4">
        <v>0.1343</v>
      </c>
      <c r="O530" s="4">
        <v>0</v>
      </c>
      <c r="P530" s="4">
        <v>1</v>
      </c>
      <c r="Q530" s="8">
        <v>1</v>
      </c>
    </row>
    <row r="531" spans="1:17" x14ac:dyDescent="0.25">
      <c r="A531" s="7">
        <v>530</v>
      </c>
      <c r="B531" s="3">
        <v>40567</v>
      </c>
      <c r="C531" s="2">
        <v>1</v>
      </c>
      <c r="D531" s="2">
        <v>0</v>
      </c>
      <c r="E531" s="2">
        <v>1</v>
      </c>
      <c r="F531" s="2">
        <v>5</v>
      </c>
      <c r="G531" s="2" t="str" cm="1">
        <f t="array" ref="G531">_xlfn.IFS(F531&lt;3,"Night",F531&lt;=6,"Early Morning",F531&lt;8,"Morning",F531&lt;10,"Late Morning",F531&lt;12,"Afternoon",F531&lt;16,"Afternoon",F531&lt;=18,"Early Evening",F531&lt;=20,"Evening",F531&lt;=22,"Late Evening",F531&lt;=23,"Night")</f>
        <v>Early Morning</v>
      </c>
      <c r="H531" s="2" t="b">
        <v>0</v>
      </c>
      <c r="I531" s="2">
        <v>1</v>
      </c>
      <c r="J531" s="2">
        <v>1</v>
      </c>
      <c r="K531" s="14">
        <v>0.02</v>
      </c>
      <c r="L531" s="4">
        <v>6.0600000000000001E-2</v>
      </c>
      <c r="M531" s="4">
        <v>0.48</v>
      </c>
      <c r="N531" s="4">
        <v>0.1343</v>
      </c>
      <c r="O531" s="4">
        <v>0</v>
      </c>
      <c r="P531" s="4">
        <v>5</v>
      </c>
      <c r="Q531" s="8">
        <v>5</v>
      </c>
    </row>
    <row r="532" spans="1:17" x14ac:dyDescent="0.25">
      <c r="A532" s="7">
        <v>531</v>
      </c>
      <c r="B532" s="3">
        <v>40567</v>
      </c>
      <c r="C532" s="2">
        <v>1</v>
      </c>
      <c r="D532" s="2">
        <v>0</v>
      </c>
      <c r="E532" s="2">
        <v>1</v>
      </c>
      <c r="F532" s="2">
        <v>6</v>
      </c>
      <c r="G532" s="2" t="str" cm="1">
        <f t="array" ref="G532">_xlfn.IFS(F532&lt;3,"Night",F532&lt;=6,"Early Morning",F532&lt;8,"Morning",F532&lt;10,"Late Morning",F532&lt;12,"Afternoon",F532&lt;16,"Afternoon",F532&lt;=18,"Early Evening",F532&lt;=20,"Evening",F532&lt;=22,"Late Evening",F532&lt;=23,"Night")</f>
        <v>Early Morning</v>
      </c>
      <c r="H532" s="2" t="b">
        <v>0</v>
      </c>
      <c r="I532" s="2">
        <v>1</v>
      </c>
      <c r="J532" s="2">
        <v>1</v>
      </c>
      <c r="K532" s="14">
        <v>0.02</v>
      </c>
      <c r="L532" s="4">
        <v>7.5800000000000006E-2</v>
      </c>
      <c r="M532" s="4">
        <v>0.48</v>
      </c>
      <c r="N532" s="4">
        <v>8.9599999999999999E-2</v>
      </c>
      <c r="O532" s="4">
        <v>0</v>
      </c>
      <c r="P532" s="4">
        <v>15</v>
      </c>
      <c r="Q532" s="8">
        <v>15</v>
      </c>
    </row>
    <row r="533" spans="1:17" x14ac:dyDescent="0.25">
      <c r="A533" s="7">
        <v>532</v>
      </c>
      <c r="B533" s="3">
        <v>40567</v>
      </c>
      <c r="C533" s="2">
        <v>1</v>
      </c>
      <c r="D533" s="2">
        <v>0</v>
      </c>
      <c r="E533" s="2">
        <v>1</v>
      </c>
      <c r="F533" s="2">
        <v>7</v>
      </c>
      <c r="G533" s="2" t="str" cm="1">
        <f t="array" ref="G533">_xlfn.IFS(F533&lt;3,"Night",F533&lt;=6,"Early Morning",F533&lt;8,"Morning",F533&lt;10,"Late Morning",F533&lt;12,"Afternoon",F533&lt;16,"Afternoon",F533&lt;=18,"Early Evening",F533&lt;=20,"Evening",F533&lt;=22,"Late Evening",F533&lt;=23,"Night")</f>
        <v>Morning</v>
      </c>
      <c r="H533" s="2" t="b">
        <v>0</v>
      </c>
      <c r="I533" s="2">
        <v>1</v>
      </c>
      <c r="J533" s="2">
        <v>1</v>
      </c>
      <c r="K533" s="14">
        <v>0.02</v>
      </c>
      <c r="L533" s="4">
        <v>0.1212</v>
      </c>
      <c r="M533" s="4">
        <v>0.48</v>
      </c>
      <c r="N533" s="4">
        <v>0</v>
      </c>
      <c r="O533" s="4">
        <v>5</v>
      </c>
      <c r="P533" s="4">
        <v>79</v>
      </c>
      <c r="Q533" s="8">
        <v>84</v>
      </c>
    </row>
    <row r="534" spans="1:17" x14ac:dyDescent="0.25">
      <c r="A534" s="7">
        <v>533</v>
      </c>
      <c r="B534" s="3">
        <v>40567</v>
      </c>
      <c r="C534" s="2">
        <v>1</v>
      </c>
      <c r="D534" s="2">
        <v>0</v>
      </c>
      <c r="E534" s="2">
        <v>1</v>
      </c>
      <c r="F534" s="2">
        <v>8</v>
      </c>
      <c r="G534" s="2" t="str" cm="1">
        <f t="array" ref="G534">_xlfn.IFS(F534&lt;3,"Night",F534&lt;=6,"Early Morning",F534&lt;8,"Morning",F534&lt;10,"Late Morning",F534&lt;12,"Afternoon",F534&lt;16,"Afternoon",F534&lt;=18,"Early Evening",F534&lt;=20,"Evening",F534&lt;=22,"Late Evening",F534&lt;=23,"Night")</f>
        <v>Late Morning</v>
      </c>
      <c r="H534" s="2" t="b">
        <v>0</v>
      </c>
      <c r="I534" s="2">
        <v>1</v>
      </c>
      <c r="J534" s="2">
        <v>1</v>
      </c>
      <c r="K534" s="14">
        <v>0.04</v>
      </c>
      <c r="L534" s="4">
        <v>0.13639999999999999</v>
      </c>
      <c r="M534" s="4">
        <v>0.49</v>
      </c>
      <c r="N534" s="4">
        <v>0</v>
      </c>
      <c r="O534" s="4">
        <v>6</v>
      </c>
      <c r="P534" s="4">
        <v>171</v>
      </c>
      <c r="Q534" s="8">
        <v>177</v>
      </c>
    </row>
    <row r="535" spans="1:17" x14ac:dyDescent="0.25">
      <c r="A535" s="7">
        <v>534</v>
      </c>
      <c r="B535" s="3">
        <v>40567</v>
      </c>
      <c r="C535" s="2">
        <v>1</v>
      </c>
      <c r="D535" s="2">
        <v>0</v>
      </c>
      <c r="E535" s="2">
        <v>1</v>
      </c>
      <c r="F535" s="2">
        <v>9</v>
      </c>
      <c r="G535" s="2" t="str" cm="1">
        <f t="array" ref="G535">_xlfn.IFS(F535&lt;3,"Night",F535&lt;=6,"Early Morning",F535&lt;8,"Morning",F535&lt;10,"Late Morning",F535&lt;12,"Afternoon",F535&lt;16,"Afternoon",F535&lt;=18,"Early Evening",F535&lt;=20,"Evening",F535&lt;=22,"Late Evening",F535&lt;=23,"Night")</f>
        <v>Late Morning</v>
      </c>
      <c r="H535" s="2" t="b">
        <v>0</v>
      </c>
      <c r="I535" s="2">
        <v>1</v>
      </c>
      <c r="J535" s="2">
        <v>1</v>
      </c>
      <c r="K535" s="14">
        <v>0.06</v>
      </c>
      <c r="L535" s="4">
        <v>0.1515</v>
      </c>
      <c r="M535" s="4">
        <v>0.41</v>
      </c>
      <c r="N535" s="4">
        <v>0</v>
      </c>
      <c r="O535" s="4">
        <v>4</v>
      </c>
      <c r="P535" s="4">
        <v>98</v>
      </c>
      <c r="Q535" s="8">
        <v>102</v>
      </c>
    </row>
    <row r="536" spans="1:17" x14ac:dyDescent="0.25">
      <c r="A536" s="7">
        <v>535</v>
      </c>
      <c r="B536" s="3">
        <v>40567</v>
      </c>
      <c r="C536" s="2">
        <v>1</v>
      </c>
      <c r="D536" s="2">
        <v>0</v>
      </c>
      <c r="E536" s="2">
        <v>1</v>
      </c>
      <c r="F536" s="2">
        <v>10</v>
      </c>
      <c r="G536" s="2" t="str" cm="1">
        <f t="array" ref="G536">_xlfn.IFS(F536&lt;3,"Night",F536&lt;=6,"Early Morning",F536&lt;8,"Morning",F536&lt;10,"Late Morning",F536&lt;12,"Afternoon",F536&lt;16,"Afternoon",F536&lt;=18,"Early Evening",F536&lt;=20,"Evening",F536&lt;=22,"Late Evening",F536&lt;=23,"Night")</f>
        <v>Afternoon</v>
      </c>
      <c r="H536" s="2" t="b">
        <v>0</v>
      </c>
      <c r="I536" s="2">
        <v>1</v>
      </c>
      <c r="J536" s="2">
        <v>1</v>
      </c>
      <c r="K536" s="14">
        <v>0.1</v>
      </c>
      <c r="L536" s="4">
        <v>0.13639999999999999</v>
      </c>
      <c r="M536" s="4">
        <v>0.42</v>
      </c>
      <c r="N536" s="4">
        <v>0</v>
      </c>
      <c r="O536" s="4">
        <v>6</v>
      </c>
      <c r="P536" s="4">
        <v>34</v>
      </c>
      <c r="Q536" s="8">
        <v>40</v>
      </c>
    </row>
    <row r="537" spans="1:17" x14ac:dyDescent="0.25">
      <c r="A537" s="7">
        <v>536</v>
      </c>
      <c r="B537" s="3">
        <v>40567</v>
      </c>
      <c r="C537" s="2">
        <v>1</v>
      </c>
      <c r="D537" s="2">
        <v>0</v>
      </c>
      <c r="E537" s="2">
        <v>1</v>
      </c>
      <c r="F537" s="2">
        <v>11</v>
      </c>
      <c r="G537" s="2" t="str" cm="1">
        <f t="array" ref="G537">_xlfn.IFS(F537&lt;3,"Night",F537&lt;=6,"Early Morning",F537&lt;8,"Morning",F537&lt;10,"Late Morning",F537&lt;12,"Afternoon",F537&lt;16,"Afternoon",F537&lt;=18,"Early Evening",F537&lt;=20,"Evening",F537&lt;=22,"Late Evening",F537&lt;=23,"Night")</f>
        <v>Afternoon</v>
      </c>
      <c r="H537" s="2" t="b">
        <v>0</v>
      </c>
      <c r="I537" s="2">
        <v>1</v>
      </c>
      <c r="J537" s="2">
        <v>1</v>
      </c>
      <c r="K537" s="14">
        <v>0.1</v>
      </c>
      <c r="L537" s="4">
        <v>0.1212</v>
      </c>
      <c r="M537" s="4">
        <v>0.46</v>
      </c>
      <c r="N537" s="4">
        <v>0.1343</v>
      </c>
      <c r="O537" s="4">
        <v>3</v>
      </c>
      <c r="P537" s="4">
        <v>43</v>
      </c>
      <c r="Q537" s="8">
        <v>46</v>
      </c>
    </row>
    <row r="538" spans="1:17" x14ac:dyDescent="0.25">
      <c r="A538" s="7">
        <v>537</v>
      </c>
      <c r="B538" s="3">
        <v>40567</v>
      </c>
      <c r="C538" s="2">
        <v>1</v>
      </c>
      <c r="D538" s="2">
        <v>0</v>
      </c>
      <c r="E538" s="2">
        <v>1</v>
      </c>
      <c r="F538" s="2">
        <v>12</v>
      </c>
      <c r="G538" s="2" t="str" cm="1">
        <f t="array" ref="G538">_xlfn.IFS(F538&lt;3,"Night",F538&lt;=6,"Early Morning",F538&lt;8,"Morning",F538&lt;10,"Late Morning",F538&lt;12,"Afternoon",F538&lt;16,"Afternoon",F538&lt;=18,"Early Evening",F538&lt;=20,"Evening",F538&lt;=22,"Late Evening",F538&lt;=23,"Night")</f>
        <v>Afternoon</v>
      </c>
      <c r="H538" s="2" t="b">
        <v>0</v>
      </c>
      <c r="I538" s="2">
        <v>1</v>
      </c>
      <c r="J538" s="2">
        <v>2</v>
      </c>
      <c r="K538" s="14">
        <v>0.12</v>
      </c>
      <c r="L538" s="4">
        <v>0.13639999999999999</v>
      </c>
      <c r="M538" s="4">
        <v>0.42</v>
      </c>
      <c r="N538" s="4">
        <v>0.19400000000000001</v>
      </c>
      <c r="O538" s="4">
        <v>11</v>
      </c>
      <c r="P538" s="4">
        <v>52</v>
      </c>
      <c r="Q538" s="8">
        <v>63</v>
      </c>
    </row>
    <row r="539" spans="1:17" x14ac:dyDescent="0.25">
      <c r="A539" s="7">
        <v>538</v>
      </c>
      <c r="B539" s="3">
        <v>40567</v>
      </c>
      <c r="C539" s="2">
        <v>1</v>
      </c>
      <c r="D539" s="2">
        <v>0</v>
      </c>
      <c r="E539" s="2">
        <v>1</v>
      </c>
      <c r="F539" s="2">
        <v>13</v>
      </c>
      <c r="G539" s="2" t="str" cm="1">
        <f t="array" ref="G539">_xlfn.IFS(F539&lt;3,"Night",F539&lt;=6,"Early Morning",F539&lt;8,"Morning",F539&lt;10,"Late Morning",F539&lt;12,"Afternoon",F539&lt;16,"Afternoon",F539&lt;=18,"Early Evening",F539&lt;=20,"Evening",F539&lt;=22,"Late Evening",F539&lt;=23,"Night")</f>
        <v>Afternoon</v>
      </c>
      <c r="H539" s="2" t="b">
        <v>0</v>
      </c>
      <c r="I539" s="2">
        <v>1</v>
      </c>
      <c r="J539" s="2">
        <v>2</v>
      </c>
      <c r="K539" s="14">
        <v>0.14000000000000001</v>
      </c>
      <c r="L539" s="4">
        <v>0.13639999999999999</v>
      </c>
      <c r="M539" s="4">
        <v>0.43</v>
      </c>
      <c r="N539" s="4">
        <v>0.22389999999999999</v>
      </c>
      <c r="O539" s="4">
        <v>6</v>
      </c>
      <c r="P539" s="4">
        <v>54</v>
      </c>
      <c r="Q539" s="8">
        <v>60</v>
      </c>
    </row>
    <row r="540" spans="1:17" x14ac:dyDescent="0.25">
      <c r="A540" s="7">
        <v>539</v>
      </c>
      <c r="B540" s="3">
        <v>40567</v>
      </c>
      <c r="C540" s="2">
        <v>1</v>
      </c>
      <c r="D540" s="2">
        <v>0</v>
      </c>
      <c r="E540" s="2">
        <v>1</v>
      </c>
      <c r="F540" s="2">
        <v>14</v>
      </c>
      <c r="G540" s="2" t="str" cm="1">
        <f t="array" ref="G540">_xlfn.IFS(F540&lt;3,"Night",F540&lt;=6,"Early Morning",F540&lt;8,"Morning",F540&lt;10,"Late Morning",F540&lt;12,"Afternoon",F540&lt;16,"Afternoon",F540&lt;=18,"Early Evening",F540&lt;=20,"Evening",F540&lt;=22,"Late Evening",F540&lt;=23,"Night")</f>
        <v>Afternoon</v>
      </c>
      <c r="H540" s="2" t="b">
        <v>0</v>
      </c>
      <c r="I540" s="2">
        <v>1</v>
      </c>
      <c r="J540" s="2">
        <v>2</v>
      </c>
      <c r="K540" s="14">
        <v>0.14000000000000001</v>
      </c>
      <c r="L540" s="4">
        <v>0.13639999999999999</v>
      </c>
      <c r="M540" s="4">
        <v>0.46</v>
      </c>
      <c r="N540" s="4">
        <v>0.22389999999999999</v>
      </c>
      <c r="O540" s="4">
        <v>2</v>
      </c>
      <c r="P540" s="4">
        <v>43</v>
      </c>
      <c r="Q540" s="8">
        <v>45</v>
      </c>
    </row>
    <row r="541" spans="1:17" x14ac:dyDescent="0.25">
      <c r="A541" s="7">
        <v>540</v>
      </c>
      <c r="B541" s="3">
        <v>40567</v>
      </c>
      <c r="C541" s="2">
        <v>1</v>
      </c>
      <c r="D541" s="2">
        <v>0</v>
      </c>
      <c r="E541" s="2">
        <v>1</v>
      </c>
      <c r="F541" s="2">
        <v>15</v>
      </c>
      <c r="G541" s="2" t="str" cm="1">
        <f t="array" ref="G541">_xlfn.IFS(F541&lt;3,"Night",F541&lt;=6,"Early Morning",F541&lt;8,"Morning",F541&lt;10,"Late Morning",F541&lt;12,"Afternoon",F541&lt;16,"Afternoon",F541&lt;=18,"Early Evening",F541&lt;=20,"Evening",F541&lt;=22,"Late Evening",F541&lt;=23,"Night")</f>
        <v>Afternoon</v>
      </c>
      <c r="H541" s="2" t="b">
        <v>0</v>
      </c>
      <c r="I541" s="2">
        <v>1</v>
      </c>
      <c r="J541" s="2">
        <v>1</v>
      </c>
      <c r="K541" s="14">
        <v>0.16</v>
      </c>
      <c r="L541" s="4">
        <v>0.16669999999999999</v>
      </c>
      <c r="M541" s="4">
        <v>0.4</v>
      </c>
      <c r="N541" s="4">
        <v>0.16420000000000001</v>
      </c>
      <c r="O541" s="4">
        <v>7</v>
      </c>
      <c r="P541" s="4">
        <v>50</v>
      </c>
      <c r="Q541" s="8">
        <v>57</v>
      </c>
    </row>
    <row r="542" spans="1:17" x14ac:dyDescent="0.25">
      <c r="A542" s="7">
        <v>541</v>
      </c>
      <c r="B542" s="3">
        <v>40567</v>
      </c>
      <c r="C542" s="2">
        <v>1</v>
      </c>
      <c r="D542" s="2">
        <v>0</v>
      </c>
      <c r="E542" s="2">
        <v>1</v>
      </c>
      <c r="F542" s="2">
        <v>16</v>
      </c>
      <c r="G542" s="2" t="str" cm="1">
        <f t="array" ref="G542">_xlfn.IFS(F542&lt;3,"Night",F542&lt;=6,"Early Morning",F542&lt;8,"Morning",F542&lt;10,"Late Morning",F542&lt;12,"Afternoon",F542&lt;16,"Afternoon",F542&lt;=18,"Early Evening",F542&lt;=20,"Evening",F542&lt;=22,"Late Evening",F542&lt;=23,"Night")</f>
        <v>Early Evening</v>
      </c>
      <c r="H542" s="2" t="b">
        <v>0</v>
      </c>
      <c r="I542" s="2">
        <v>1</v>
      </c>
      <c r="J542" s="2">
        <v>1</v>
      </c>
      <c r="K542" s="14">
        <v>0.16</v>
      </c>
      <c r="L542" s="4">
        <v>0.1515</v>
      </c>
      <c r="M542" s="4">
        <v>0.47</v>
      </c>
      <c r="N542" s="4">
        <v>0.25369999999999998</v>
      </c>
      <c r="O542" s="4">
        <v>4</v>
      </c>
      <c r="P542" s="4">
        <v>66</v>
      </c>
      <c r="Q542" s="8">
        <v>70</v>
      </c>
    </row>
    <row r="543" spans="1:17" x14ac:dyDescent="0.25">
      <c r="A543" s="7">
        <v>542</v>
      </c>
      <c r="B543" s="3">
        <v>40567</v>
      </c>
      <c r="C543" s="2">
        <v>1</v>
      </c>
      <c r="D543" s="2">
        <v>0</v>
      </c>
      <c r="E543" s="2">
        <v>1</v>
      </c>
      <c r="F543" s="2">
        <v>17</v>
      </c>
      <c r="G543" s="2" t="str" cm="1">
        <f t="array" ref="G543">_xlfn.IFS(F543&lt;3,"Night",F543&lt;=6,"Early Morning",F543&lt;8,"Morning",F543&lt;10,"Late Morning",F543&lt;12,"Afternoon",F543&lt;16,"Afternoon",F543&lt;=18,"Early Evening",F543&lt;=20,"Evening",F543&lt;=22,"Late Evening",F543&lt;=23,"Night")</f>
        <v>Early Evening</v>
      </c>
      <c r="H543" s="2" t="b">
        <v>0</v>
      </c>
      <c r="I543" s="2">
        <v>1</v>
      </c>
      <c r="J543" s="2">
        <v>1</v>
      </c>
      <c r="K543" s="14">
        <v>0.14000000000000001</v>
      </c>
      <c r="L543" s="4">
        <v>0.1212</v>
      </c>
      <c r="M543" s="4">
        <v>0.5</v>
      </c>
      <c r="N543" s="4">
        <v>0.25369999999999998</v>
      </c>
      <c r="O543" s="4">
        <v>6</v>
      </c>
      <c r="P543" s="4">
        <v>178</v>
      </c>
      <c r="Q543" s="8">
        <v>184</v>
      </c>
    </row>
    <row r="544" spans="1:17" x14ac:dyDescent="0.25">
      <c r="A544" s="7">
        <v>543</v>
      </c>
      <c r="B544" s="3">
        <v>40567</v>
      </c>
      <c r="C544" s="2">
        <v>1</v>
      </c>
      <c r="D544" s="2">
        <v>0</v>
      </c>
      <c r="E544" s="2">
        <v>1</v>
      </c>
      <c r="F544" s="2">
        <v>18</v>
      </c>
      <c r="G544" s="2" t="str" cm="1">
        <f t="array" ref="G544">_xlfn.IFS(F544&lt;3,"Night",F544&lt;=6,"Early Morning",F544&lt;8,"Morning",F544&lt;10,"Late Morning",F544&lt;12,"Afternoon",F544&lt;16,"Afternoon",F544&lt;=18,"Early Evening",F544&lt;=20,"Evening",F544&lt;=22,"Late Evening",F544&lt;=23,"Night")</f>
        <v>Early Evening</v>
      </c>
      <c r="H544" s="2" t="b">
        <v>0</v>
      </c>
      <c r="I544" s="2">
        <v>1</v>
      </c>
      <c r="J544" s="2">
        <v>1</v>
      </c>
      <c r="K544" s="14">
        <v>0.14000000000000001</v>
      </c>
      <c r="L544" s="4">
        <v>0.13639999999999999</v>
      </c>
      <c r="M544" s="4">
        <v>0.59</v>
      </c>
      <c r="N544" s="4">
        <v>0.19400000000000001</v>
      </c>
      <c r="O544" s="4">
        <v>8</v>
      </c>
      <c r="P544" s="4">
        <v>145</v>
      </c>
      <c r="Q544" s="8">
        <v>153</v>
      </c>
    </row>
    <row r="545" spans="1:17" x14ac:dyDescent="0.25">
      <c r="A545" s="7">
        <v>544</v>
      </c>
      <c r="B545" s="3">
        <v>40567</v>
      </c>
      <c r="C545" s="2">
        <v>1</v>
      </c>
      <c r="D545" s="2">
        <v>0</v>
      </c>
      <c r="E545" s="2">
        <v>1</v>
      </c>
      <c r="F545" s="2">
        <v>19</v>
      </c>
      <c r="G545" s="2" t="str" cm="1">
        <f t="array" ref="G545">_xlfn.IFS(F545&lt;3,"Night",F545&lt;=6,"Early Morning",F545&lt;8,"Morning",F545&lt;10,"Late Morning",F545&lt;12,"Afternoon",F545&lt;16,"Afternoon",F545&lt;=18,"Early Evening",F545&lt;=20,"Evening",F545&lt;=22,"Late Evening",F545&lt;=23,"Night")</f>
        <v>Evening</v>
      </c>
      <c r="H545" s="2" t="b">
        <v>0</v>
      </c>
      <c r="I545" s="2">
        <v>1</v>
      </c>
      <c r="J545" s="2">
        <v>1</v>
      </c>
      <c r="K545" s="14">
        <v>0.14000000000000001</v>
      </c>
      <c r="L545" s="4">
        <v>0.1515</v>
      </c>
      <c r="M545" s="4">
        <v>0.54</v>
      </c>
      <c r="N545" s="4">
        <v>0.16420000000000001</v>
      </c>
      <c r="O545" s="4">
        <v>5</v>
      </c>
      <c r="P545" s="4">
        <v>101</v>
      </c>
      <c r="Q545" s="8">
        <v>106</v>
      </c>
    </row>
    <row r="546" spans="1:17" x14ac:dyDescent="0.25">
      <c r="A546" s="7">
        <v>545</v>
      </c>
      <c r="B546" s="3">
        <v>40567</v>
      </c>
      <c r="C546" s="2">
        <v>1</v>
      </c>
      <c r="D546" s="2">
        <v>0</v>
      </c>
      <c r="E546" s="2">
        <v>1</v>
      </c>
      <c r="F546" s="2">
        <v>20</v>
      </c>
      <c r="G546" s="2" t="str" cm="1">
        <f t="array" ref="G546">_xlfn.IFS(F546&lt;3,"Night",F546&lt;=6,"Early Morning",F546&lt;8,"Morning",F546&lt;10,"Late Morning",F546&lt;12,"Afternoon",F546&lt;16,"Afternoon",F546&lt;=18,"Early Evening",F546&lt;=20,"Evening",F546&lt;=22,"Late Evening",F546&lt;=23,"Night")</f>
        <v>Evening</v>
      </c>
      <c r="H546" s="2" t="b">
        <v>0</v>
      </c>
      <c r="I546" s="2">
        <v>1</v>
      </c>
      <c r="J546" s="2">
        <v>1</v>
      </c>
      <c r="K546" s="14">
        <v>0.14000000000000001</v>
      </c>
      <c r="L546" s="4">
        <v>0.13639999999999999</v>
      </c>
      <c r="M546" s="4">
        <v>0.59</v>
      </c>
      <c r="N546" s="4">
        <v>0.19400000000000001</v>
      </c>
      <c r="O546" s="4">
        <v>1</v>
      </c>
      <c r="P546" s="4">
        <v>80</v>
      </c>
      <c r="Q546" s="8">
        <v>81</v>
      </c>
    </row>
    <row r="547" spans="1:17" x14ac:dyDescent="0.25">
      <c r="A547" s="7">
        <v>546</v>
      </c>
      <c r="B547" s="3">
        <v>40567</v>
      </c>
      <c r="C547" s="2">
        <v>1</v>
      </c>
      <c r="D547" s="2">
        <v>0</v>
      </c>
      <c r="E547" s="2">
        <v>1</v>
      </c>
      <c r="F547" s="2">
        <v>21</v>
      </c>
      <c r="G547" s="2" t="str" cm="1">
        <f t="array" ref="G547">_xlfn.IFS(F547&lt;3,"Night",F547&lt;=6,"Early Morning",F547&lt;8,"Morning",F547&lt;10,"Late Morning",F547&lt;12,"Afternoon",F547&lt;16,"Afternoon",F547&lt;=18,"Early Evening",F547&lt;=20,"Evening",F547&lt;=22,"Late Evening",F547&lt;=23,"Night")</f>
        <v>Late Evening</v>
      </c>
      <c r="H547" s="2" t="b">
        <v>0</v>
      </c>
      <c r="I547" s="2">
        <v>1</v>
      </c>
      <c r="J547" s="2">
        <v>1</v>
      </c>
      <c r="K547" s="14">
        <v>0.14000000000000001</v>
      </c>
      <c r="L547" s="4">
        <v>0.1515</v>
      </c>
      <c r="M547" s="4">
        <v>0.63</v>
      </c>
      <c r="N547" s="4">
        <v>0.16420000000000001</v>
      </c>
      <c r="O547" s="4">
        <v>6</v>
      </c>
      <c r="P547" s="4">
        <v>53</v>
      </c>
      <c r="Q547" s="8">
        <v>59</v>
      </c>
    </row>
    <row r="548" spans="1:17" x14ac:dyDescent="0.25">
      <c r="A548" s="7">
        <v>547</v>
      </c>
      <c r="B548" s="3">
        <v>40567</v>
      </c>
      <c r="C548" s="2">
        <v>1</v>
      </c>
      <c r="D548" s="2">
        <v>0</v>
      </c>
      <c r="E548" s="2">
        <v>1</v>
      </c>
      <c r="F548" s="2">
        <v>22</v>
      </c>
      <c r="G548" s="2" t="str" cm="1">
        <f t="array" ref="G548">_xlfn.IFS(F548&lt;3,"Night",F548&lt;=6,"Early Morning",F548&lt;8,"Morning",F548&lt;10,"Late Morning",F548&lt;12,"Afternoon",F548&lt;16,"Afternoon",F548&lt;=18,"Early Evening",F548&lt;=20,"Evening",F548&lt;=22,"Late Evening",F548&lt;=23,"Night")</f>
        <v>Late Evening</v>
      </c>
      <c r="H548" s="2" t="b">
        <v>0</v>
      </c>
      <c r="I548" s="2">
        <v>1</v>
      </c>
      <c r="J548" s="2">
        <v>2</v>
      </c>
      <c r="K548" s="14">
        <v>0.14000000000000001</v>
      </c>
      <c r="L548" s="4">
        <v>0.13639999999999999</v>
      </c>
      <c r="M548" s="4">
        <v>0.63</v>
      </c>
      <c r="N548" s="4">
        <v>0.22389999999999999</v>
      </c>
      <c r="O548" s="4">
        <v>3</v>
      </c>
      <c r="P548" s="4">
        <v>32</v>
      </c>
      <c r="Q548" s="8">
        <v>35</v>
      </c>
    </row>
    <row r="549" spans="1:17" x14ac:dyDescent="0.25">
      <c r="A549" s="7">
        <v>548</v>
      </c>
      <c r="B549" s="3">
        <v>40567</v>
      </c>
      <c r="C549" s="2">
        <v>1</v>
      </c>
      <c r="D549" s="2">
        <v>0</v>
      </c>
      <c r="E549" s="2">
        <v>1</v>
      </c>
      <c r="F549" s="2">
        <v>23</v>
      </c>
      <c r="G549" s="2" t="str" cm="1">
        <f t="array" ref="G549">_xlfn.IFS(F549&lt;3,"Night",F549&lt;=6,"Early Morning",F549&lt;8,"Morning",F549&lt;10,"Late Morning",F549&lt;12,"Afternoon",F549&lt;16,"Afternoon",F549&lt;=18,"Early Evening",F549&lt;=20,"Evening",F549&lt;=22,"Late Evening",F549&lt;=23,"Night")</f>
        <v>Night</v>
      </c>
      <c r="H549" s="2" t="b">
        <v>0</v>
      </c>
      <c r="I549" s="2">
        <v>1</v>
      </c>
      <c r="J549" s="2">
        <v>2</v>
      </c>
      <c r="K549" s="14">
        <v>0.16</v>
      </c>
      <c r="L549" s="4">
        <v>0.1515</v>
      </c>
      <c r="M549" s="4">
        <v>0.64</v>
      </c>
      <c r="N549" s="4">
        <v>0.25369999999999998</v>
      </c>
      <c r="O549" s="4">
        <v>3</v>
      </c>
      <c r="P549" s="4">
        <v>21</v>
      </c>
      <c r="Q549" s="8">
        <v>24</v>
      </c>
    </row>
    <row r="550" spans="1:17" x14ac:dyDescent="0.25">
      <c r="A550" s="7">
        <v>549</v>
      </c>
      <c r="B550" s="3">
        <v>40568</v>
      </c>
      <c r="C550" s="2">
        <v>1</v>
      </c>
      <c r="D550" s="2">
        <v>0</v>
      </c>
      <c r="E550" s="2">
        <v>1</v>
      </c>
      <c r="F550" s="2">
        <v>0</v>
      </c>
      <c r="G550" s="2" t="str" cm="1">
        <f t="array" ref="G550">_xlfn.IFS(F550&lt;3,"Night",F550&lt;=6,"Early Morning",F550&lt;8,"Morning",F550&lt;10,"Late Morning",F550&lt;12,"Afternoon",F550&lt;16,"Afternoon",F550&lt;=18,"Early Evening",F550&lt;=20,"Evening",F550&lt;=22,"Late Evening",F550&lt;=23,"Night")</f>
        <v>Night</v>
      </c>
      <c r="H550" s="2" t="b">
        <v>0</v>
      </c>
      <c r="I550" s="2">
        <v>2</v>
      </c>
      <c r="J550" s="2">
        <v>2</v>
      </c>
      <c r="K550" s="14">
        <v>0.16</v>
      </c>
      <c r="L550" s="4">
        <v>0.13639999999999999</v>
      </c>
      <c r="M550" s="4">
        <v>0.69</v>
      </c>
      <c r="N550" s="4">
        <v>0.28360000000000002</v>
      </c>
      <c r="O550" s="4">
        <v>3</v>
      </c>
      <c r="P550" s="4">
        <v>6</v>
      </c>
      <c r="Q550" s="8">
        <v>9</v>
      </c>
    </row>
    <row r="551" spans="1:17" x14ac:dyDescent="0.25">
      <c r="A551" s="7">
        <v>550</v>
      </c>
      <c r="B551" s="3">
        <v>40568</v>
      </c>
      <c r="C551" s="2">
        <v>1</v>
      </c>
      <c r="D551" s="2">
        <v>0</v>
      </c>
      <c r="E551" s="2">
        <v>1</v>
      </c>
      <c r="F551" s="2">
        <v>1</v>
      </c>
      <c r="G551" s="2" t="str" cm="1">
        <f t="array" ref="G551">_xlfn.IFS(F551&lt;3,"Night",F551&lt;=6,"Early Morning",F551&lt;8,"Morning",F551&lt;10,"Late Morning",F551&lt;12,"Afternoon",F551&lt;16,"Afternoon",F551&lt;=18,"Early Evening",F551&lt;=20,"Evening",F551&lt;=22,"Late Evening",F551&lt;=23,"Night")</f>
        <v>Night</v>
      </c>
      <c r="H551" s="2" t="b">
        <v>0</v>
      </c>
      <c r="I551" s="2">
        <v>2</v>
      </c>
      <c r="J551" s="2">
        <v>2</v>
      </c>
      <c r="K551" s="14">
        <v>0.16</v>
      </c>
      <c r="L551" s="4">
        <v>0.16669999999999999</v>
      </c>
      <c r="M551" s="4">
        <v>0.69</v>
      </c>
      <c r="N551" s="4">
        <v>0.16420000000000001</v>
      </c>
      <c r="O551" s="4">
        <v>0</v>
      </c>
      <c r="P551" s="4">
        <v>5</v>
      </c>
      <c r="Q551" s="8">
        <v>5</v>
      </c>
    </row>
    <row r="552" spans="1:17" x14ac:dyDescent="0.25">
      <c r="A552" s="7">
        <v>551</v>
      </c>
      <c r="B552" s="3">
        <v>40568</v>
      </c>
      <c r="C552" s="2">
        <v>1</v>
      </c>
      <c r="D552" s="2">
        <v>0</v>
      </c>
      <c r="E552" s="2">
        <v>1</v>
      </c>
      <c r="F552" s="2">
        <v>2</v>
      </c>
      <c r="G552" s="2" t="str" cm="1">
        <f t="array" ref="G552">_xlfn.IFS(F552&lt;3,"Night",F552&lt;=6,"Early Morning",F552&lt;8,"Morning",F552&lt;10,"Late Morning",F552&lt;12,"Afternoon",F552&lt;16,"Afternoon",F552&lt;=18,"Early Evening",F552&lt;=20,"Evening",F552&lt;=22,"Late Evening",F552&lt;=23,"Night")</f>
        <v>Night</v>
      </c>
      <c r="H552" s="2" t="b">
        <v>0</v>
      </c>
      <c r="I552" s="2">
        <v>2</v>
      </c>
      <c r="J552" s="2">
        <v>1</v>
      </c>
      <c r="K552" s="14">
        <v>0.16</v>
      </c>
      <c r="L552" s="4">
        <v>0.1515</v>
      </c>
      <c r="M552" s="4">
        <v>0.69</v>
      </c>
      <c r="N552" s="4">
        <v>0.22389999999999999</v>
      </c>
      <c r="O552" s="4">
        <v>0</v>
      </c>
      <c r="P552" s="4">
        <v>2</v>
      </c>
      <c r="Q552" s="8">
        <v>2</v>
      </c>
    </row>
    <row r="553" spans="1:17" x14ac:dyDescent="0.25">
      <c r="A553" s="7">
        <v>552</v>
      </c>
      <c r="B553" s="3">
        <v>40568</v>
      </c>
      <c r="C553" s="2">
        <v>1</v>
      </c>
      <c r="D553" s="2">
        <v>0</v>
      </c>
      <c r="E553" s="2">
        <v>1</v>
      </c>
      <c r="F553" s="2">
        <v>4</v>
      </c>
      <c r="G553" s="2" t="str" cm="1">
        <f t="array" ref="G553">_xlfn.IFS(F553&lt;3,"Night",F553&lt;=6,"Early Morning",F553&lt;8,"Morning",F553&lt;10,"Late Morning",F553&lt;12,"Afternoon",F553&lt;16,"Afternoon",F553&lt;=18,"Early Evening",F553&lt;=20,"Evening",F553&lt;=22,"Late Evening",F553&lt;=23,"Night")</f>
        <v>Early Morning</v>
      </c>
      <c r="H553" s="2" t="b">
        <v>0</v>
      </c>
      <c r="I553" s="2">
        <v>2</v>
      </c>
      <c r="J553" s="2">
        <v>1</v>
      </c>
      <c r="K553" s="14">
        <v>0.14000000000000001</v>
      </c>
      <c r="L553" s="4">
        <v>0.16669999999999999</v>
      </c>
      <c r="M553" s="4">
        <v>0.74</v>
      </c>
      <c r="N553" s="4">
        <v>0.1045</v>
      </c>
      <c r="O553" s="4">
        <v>0</v>
      </c>
      <c r="P553" s="4">
        <v>1</v>
      </c>
      <c r="Q553" s="8">
        <v>1</v>
      </c>
    </row>
    <row r="554" spans="1:17" x14ac:dyDescent="0.25">
      <c r="A554" s="7">
        <v>553</v>
      </c>
      <c r="B554" s="3">
        <v>40568</v>
      </c>
      <c r="C554" s="2">
        <v>1</v>
      </c>
      <c r="D554" s="2">
        <v>0</v>
      </c>
      <c r="E554" s="2">
        <v>1</v>
      </c>
      <c r="F554" s="2">
        <v>5</v>
      </c>
      <c r="G554" s="2" t="str" cm="1">
        <f t="array" ref="G554">_xlfn.IFS(F554&lt;3,"Night",F554&lt;=6,"Early Morning",F554&lt;8,"Morning",F554&lt;10,"Late Morning",F554&lt;12,"Afternoon",F554&lt;16,"Afternoon",F554&lt;=18,"Early Evening",F554&lt;=20,"Evening",F554&lt;=22,"Late Evening",F554&lt;=23,"Night")</f>
        <v>Early Morning</v>
      </c>
      <c r="H554" s="2" t="b">
        <v>0</v>
      </c>
      <c r="I554" s="2">
        <v>2</v>
      </c>
      <c r="J554" s="2">
        <v>1</v>
      </c>
      <c r="K554" s="14">
        <v>0.14000000000000001</v>
      </c>
      <c r="L554" s="4">
        <v>0.13639999999999999</v>
      </c>
      <c r="M554" s="4">
        <v>0.74</v>
      </c>
      <c r="N554" s="4">
        <v>0.22389999999999999</v>
      </c>
      <c r="O554" s="4">
        <v>0</v>
      </c>
      <c r="P554" s="4">
        <v>9</v>
      </c>
      <c r="Q554" s="8">
        <v>9</v>
      </c>
    </row>
    <row r="555" spans="1:17" x14ac:dyDescent="0.25">
      <c r="A555" s="7">
        <v>554</v>
      </c>
      <c r="B555" s="3">
        <v>40568</v>
      </c>
      <c r="C555" s="2">
        <v>1</v>
      </c>
      <c r="D555" s="2">
        <v>0</v>
      </c>
      <c r="E555" s="2">
        <v>1</v>
      </c>
      <c r="F555" s="2">
        <v>6</v>
      </c>
      <c r="G555" s="2" t="str" cm="1">
        <f t="array" ref="G555">_xlfn.IFS(F555&lt;3,"Night",F555&lt;=6,"Early Morning",F555&lt;8,"Morning",F555&lt;10,"Late Morning",F555&lt;12,"Afternoon",F555&lt;16,"Afternoon",F555&lt;=18,"Early Evening",F555&lt;=20,"Evening",F555&lt;=22,"Late Evening",F555&lt;=23,"Night")</f>
        <v>Early Morning</v>
      </c>
      <c r="H555" s="2" t="b">
        <v>0</v>
      </c>
      <c r="I555" s="2">
        <v>2</v>
      </c>
      <c r="J555" s="2">
        <v>1</v>
      </c>
      <c r="K555" s="14">
        <v>0.16</v>
      </c>
      <c r="L555" s="4">
        <v>0.18179999999999999</v>
      </c>
      <c r="M555" s="4">
        <v>0.74</v>
      </c>
      <c r="N555" s="4">
        <v>0.1045</v>
      </c>
      <c r="O555" s="4">
        <v>1</v>
      </c>
      <c r="P555" s="4">
        <v>35</v>
      </c>
      <c r="Q555" s="8">
        <v>36</v>
      </c>
    </row>
    <row r="556" spans="1:17" x14ac:dyDescent="0.25">
      <c r="A556" s="7">
        <v>555</v>
      </c>
      <c r="B556" s="3">
        <v>40568</v>
      </c>
      <c r="C556" s="2">
        <v>1</v>
      </c>
      <c r="D556" s="2">
        <v>0</v>
      </c>
      <c r="E556" s="2">
        <v>1</v>
      </c>
      <c r="F556" s="2">
        <v>7</v>
      </c>
      <c r="G556" s="2" t="str" cm="1">
        <f t="array" ref="G556">_xlfn.IFS(F556&lt;3,"Night",F556&lt;=6,"Early Morning",F556&lt;8,"Morning",F556&lt;10,"Late Morning",F556&lt;12,"Afternoon",F556&lt;16,"Afternoon",F556&lt;=18,"Early Evening",F556&lt;=20,"Evening",F556&lt;=22,"Late Evening",F556&lt;=23,"Night")</f>
        <v>Morning</v>
      </c>
      <c r="H556" s="2" t="b">
        <v>0</v>
      </c>
      <c r="I556" s="2">
        <v>2</v>
      </c>
      <c r="J556" s="2">
        <v>1</v>
      </c>
      <c r="K556" s="14">
        <v>0.16</v>
      </c>
      <c r="L556" s="4">
        <v>0.1515</v>
      </c>
      <c r="M556" s="4">
        <v>0.74</v>
      </c>
      <c r="N556" s="4">
        <v>0.22389999999999999</v>
      </c>
      <c r="O556" s="4">
        <v>5</v>
      </c>
      <c r="P556" s="4">
        <v>103</v>
      </c>
      <c r="Q556" s="8">
        <v>108</v>
      </c>
    </row>
    <row r="557" spans="1:17" x14ac:dyDescent="0.25">
      <c r="A557" s="7">
        <v>556</v>
      </c>
      <c r="B557" s="3">
        <v>40568</v>
      </c>
      <c r="C557" s="2">
        <v>1</v>
      </c>
      <c r="D557" s="2">
        <v>0</v>
      </c>
      <c r="E557" s="2">
        <v>1</v>
      </c>
      <c r="F557" s="2">
        <v>8</v>
      </c>
      <c r="G557" s="2" t="str" cm="1">
        <f t="array" ref="G557">_xlfn.IFS(F557&lt;3,"Night",F557&lt;=6,"Early Morning",F557&lt;8,"Morning",F557&lt;10,"Late Morning",F557&lt;12,"Afternoon",F557&lt;16,"Afternoon",F557&lt;=18,"Early Evening",F557&lt;=20,"Evening",F557&lt;=22,"Late Evening",F557&lt;=23,"Night")</f>
        <v>Late Morning</v>
      </c>
      <c r="H557" s="2" t="b">
        <v>0</v>
      </c>
      <c r="I557" s="2">
        <v>2</v>
      </c>
      <c r="J557" s="2">
        <v>2</v>
      </c>
      <c r="K557" s="14">
        <v>0.16</v>
      </c>
      <c r="L557" s="4">
        <v>0.18179999999999999</v>
      </c>
      <c r="M557" s="4">
        <v>0.74</v>
      </c>
      <c r="N557" s="4">
        <v>0.1343</v>
      </c>
      <c r="O557" s="4">
        <v>5</v>
      </c>
      <c r="P557" s="4">
        <v>233</v>
      </c>
      <c r="Q557" s="8">
        <v>238</v>
      </c>
    </row>
    <row r="558" spans="1:17" x14ac:dyDescent="0.25">
      <c r="A558" s="7">
        <v>557</v>
      </c>
      <c r="B558" s="3">
        <v>40568</v>
      </c>
      <c r="C558" s="2">
        <v>1</v>
      </c>
      <c r="D558" s="2">
        <v>0</v>
      </c>
      <c r="E558" s="2">
        <v>1</v>
      </c>
      <c r="F558" s="2">
        <v>9</v>
      </c>
      <c r="G558" s="2" t="str" cm="1">
        <f t="array" ref="G558">_xlfn.IFS(F558&lt;3,"Night",F558&lt;=6,"Early Morning",F558&lt;8,"Morning",F558&lt;10,"Late Morning",F558&lt;12,"Afternoon",F558&lt;16,"Afternoon",F558&lt;=18,"Early Evening",F558&lt;=20,"Evening",F558&lt;=22,"Late Evening",F558&lt;=23,"Night")</f>
        <v>Late Morning</v>
      </c>
      <c r="H558" s="2" t="b">
        <v>0</v>
      </c>
      <c r="I558" s="2">
        <v>2</v>
      </c>
      <c r="J558" s="2">
        <v>2</v>
      </c>
      <c r="K558" s="14">
        <v>0.2</v>
      </c>
      <c r="L558" s="4">
        <v>0.2273</v>
      </c>
      <c r="M558" s="4">
        <v>0.64</v>
      </c>
      <c r="N558" s="4">
        <v>8.9599999999999999E-2</v>
      </c>
      <c r="O558" s="4">
        <v>10</v>
      </c>
      <c r="P558" s="4">
        <v>134</v>
      </c>
      <c r="Q558" s="8">
        <v>144</v>
      </c>
    </row>
    <row r="559" spans="1:17" x14ac:dyDescent="0.25">
      <c r="A559" s="7">
        <v>558</v>
      </c>
      <c r="B559" s="3">
        <v>40568</v>
      </c>
      <c r="C559" s="2">
        <v>1</v>
      </c>
      <c r="D559" s="2">
        <v>0</v>
      </c>
      <c r="E559" s="2">
        <v>1</v>
      </c>
      <c r="F559" s="2">
        <v>10</v>
      </c>
      <c r="G559" s="2" t="str" cm="1">
        <f t="array" ref="G559">_xlfn.IFS(F559&lt;3,"Night",F559&lt;=6,"Early Morning",F559&lt;8,"Morning",F559&lt;10,"Late Morning",F559&lt;12,"Afternoon",F559&lt;16,"Afternoon",F559&lt;=18,"Early Evening",F559&lt;=20,"Evening",F559&lt;=22,"Late Evening",F559&lt;=23,"Night")</f>
        <v>Afternoon</v>
      </c>
      <c r="H559" s="2" t="b">
        <v>0</v>
      </c>
      <c r="I559" s="2">
        <v>2</v>
      </c>
      <c r="J559" s="2">
        <v>2</v>
      </c>
      <c r="K559" s="14">
        <v>0.22</v>
      </c>
      <c r="L559" s="4">
        <v>0.2424</v>
      </c>
      <c r="M559" s="4">
        <v>0.6</v>
      </c>
      <c r="N559" s="4">
        <v>0.1045</v>
      </c>
      <c r="O559" s="4">
        <v>6</v>
      </c>
      <c r="P559" s="4">
        <v>49</v>
      </c>
      <c r="Q559" s="8">
        <v>55</v>
      </c>
    </row>
    <row r="560" spans="1:17" x14ac:dyDescent="0.25">
      <c r="A560" s="7">
        <v>559</v>
      </c>
      <c r="B560" s="3">
        <v>40568</v>
      </c>
      <c r="C560" s="2">
        <v>1</v>
      </c>
      <c r="D560" s="2">
        <v>0</v>
      </c>
      <c r="E560" s="2">
        <v>1</v>
      </c>
      <c r="F560" s="2">
        <v>11</v>
      </c>
      <c r="G560" s="2" t="str" cm="1">
        <f t="array" ref="G560">_xlfn.IFS(F560&lt;3,"Night",F560&lt;=6,"Early Morning",F560&lt;8,"Morning",F560&lt;10,"Late Morning",F560&lt;12,"Afternoon",F560&lt;16,"Afternoon",F560&lt;=18,"Early Evening",F560&lt;=20,"Evening",F560&lt;=22,"Late Evening",F560&lt;=23,"Night")</f>
        <v>Afternoon</v>
      </c>
      <c r="H560" s="2" t="b">
        <v>0</v>
      </c>
      <c r="I560" s="2">
        <v>2</v>
      </c>
      <c r="J560" s="2">
        <v>2</v>
      </c>
      <c r="K560" s="14">
        <v>0.24</v>
      </c>
      <c r="L560" s="4">
        <v>0.2424</v>
      </c>
      <c r="M560" s="4">
        <v>0.6</v>
      </c>
      <c r="N560" s="4">
        <v>0.1343</v>
      </c>
      <c r="O560" s="4">
        <v>6</v>
      </c>
      <c r="P560" s="4">
        <v>55</v>
      </c>
      <c r="Q560" s="8">
        <v>61</v>
      </c>
    </row>
    <row r="561" spans="1:17" x14ac:dyDescent="0.25">
      <c r="A561" s="7">
        <v>560</v>
      </c>
      <c r="B561" s="3">
        <v>40568</v>
      </c>
      <c r="C561" s="2">
        <v>1</v>
      </c>
      <c r="D561" s="2">
        <v>0</v>
      </c>
      <c r="E561" s="2">
        <v>1</v>
      </c>
      <c r="F561" s="2">
        <v>12</v>
      </c>
      <c r="G561" s="2" t="str" cm="1">
        <f t="array" ref="G561">_xlfn.IFS(F561&lt;3,"Night",F561&lt;=6,"Early Morning",F561&lt;8,"Morning",F561&lt;10,"Late Morning",F561&lt;12,"Afternoon",F561&lt;16,"Afternoon",F561&lt;=18,"Early Evening",F561&lt;=20,"Evening",F561&lt;=22,"Late Evening",F561&lt;=23,"Night")</f>
        <v>Afternoon</v>
      </c>
      <c r="H561" s="2" t="b">
        <v>0</v>
      </c>
      <c r="I561" s="2">
        <v>2</v>
      </c>
      <c r="J561" s="2">
        <v>2</v>
      </c>
      <c r="K561" s="14">
        <v>0.26</v>
      </c>
      <c r="L561" s="4">
        <v>0.28789999999999999</v>
      </c>
      <c r="M561" s="4">
        <v>0.56000000000000005</v>
      </c>
      <c r="N561" s="4">
        <v>8.9599999999999999E-2</v>
      </c>
      <c r="O561" s="4">
        <v>21</v>
      </c>
      <c r="P561" s="4">
        <v>85</v>
      </c>
      <c r="Q561" s="8">
        <v>106</v>
      </c>
    </row>
    <row r="562" spans="1:17" x14ac:dyDescent="0.25">
      <c r="A562" s="7">
        <v>561</v>
      </c>
      <c r="B562" s="3">
        <v>40568</v>
      </c>
      <c r="C562" s="2">
        <v>1</v>
      </c>
      <c r="D562" s="2">
        <v>0</v>
      </c>
      <c r="E562" s="2">
        <v>1</v>
      </c>
      <c r="F562" s="2">
        <v>13</v>
      </c>
      <c r="G562" s="2" t="str" cm="1">
        <f t="array" ref="G562">_xlfn.IFS(F562&lt;3,"Night",F562&lt;=6,"Early Morning",F562&lt;8,"Morning",F562&lt;10,"Late Morning",F562&lt;12,"Afternoon",F562&lt;16,"Afternoon",F562&lt;=18,"Early Evening",F562&lt;=20,"Evening",F562&lt;=22,"Late Evening",F562&lt;=23,"Night")</f>
        <v>Afternoon</v>
      </c>
      <c r="H562" s="2" t="b">
        <v>0</v>
      </c>
      <c r="I562" s="2">
        <v>2</v>
      </c>
      <c r="J562" s="2">
        <v>2</v>
      </c>
      <c r="K562" s="14">
        <v>0.26</v>
      </c>
      <c r="L562" s="4">
        <v>0.2727</v>
      </c>
      <c r="M562" s="4">
        <v>0.56000000000000005</v>
      </c>
      <c r="N562" s="4">
        <v>0.1343</v>
      </c>
      <c r="O562" s="4">
        <v>21</v>
      </c>
      <c r="P562" s="4">
        <v>72</v>
      </c>
      <c r="Q562" s="8">
        <v>93</v>
      </c>
    </row>
    <row r="563" spans="1:17" x14ac:dyDescent="0.25">
      <c r="A563" s="7">
        <v>562</v>
      </c>
      <c r="B563" s="3">
        <v>40568</v>
      </c>
      <c r="C563" s="2">
        <v>1</v>
      </c>
      <c r="D563" s="2">
        <v>0</v>
      </c>
      <c r="E563" s="2">
        <v>1</v>
      </c>
      <c r="F563" s="2">
        <v>14</v>
      </c>
      <c r="G563" s="2" t="str" cm="1">
        <f t="array" ref="G563">_xlfn.IFS(F563&lt;3,"Night",F563&lt;=6,"Early Morning",F563&lt;8,"Morning",F563&lt;10,"Late Morning",F563&lt;12,"Afternoon",F563&lt;16,"Afternoon",F563&lt;=18,"Early Evening",F563&lt;=20,"Evening",F563&lt;=22,"Late Evening",F563&lt;=23,"Night")</f>
        <v>Afternoon</v>
      </c>
      <c r="H563" s="2" t="b">
        <v>0</v>
      </c>
      <c r="I563" s="2">
        <v>2</v>
      </c>
      <c r="J563" s="2">
        <v>2</v>
      </c>
      <c r="K563" s="14">
        <v>0.3</v>
      </c>
      <c r="L563" s="4">
        <v>0.33329999999999999</v>
      </c>
      <c r="M563" s="4">
        <v>0.45</v>
      </c>
      <c r="N563" s="4">
        <v>0</v>
      </c>
      <c r="O563" s="4">
        <v>11</v>
      </c>
      <c r="P563" s="4">
        <v>57</v>
      </c>
      <c r="Q563" s="8">
        <v>68</v>
      </c>
    </row>
    <row r="564" spans="1:17" x14ac:dyDescent="0.25">
      <c r="A564" s="7">
        <v>563</v>
      </c>
      <c r="B564" s="3">
        <v>40568</v>
      </c>
      <c r="C564" s="2">
        <v>1</v>
      </c>
      <c r="D564" s="2">
        <v>0</v>
      </c>
      <c r="E564" s="2">
        <v>1</v>
      </c>
      <c r="F564" s="2">
        <v>15</v>
      </c>
      <c r="G564" s="2" t="str" cm="1">
        <f t="array" ref="G564">_xlfn.IFS(F564&lt;3,"Night",F564&lt;=6,"Early Morning",F564&lt;8,"Morning",F564&lt;10,"Late Morning",F564&lt;12,"Afternoon",F564&lt;16,"Afternoon",F564&lt;=18,"Early Evening",F564&lt;=20,"Evening",F564&lt;=22,"Late Evening",F564&lt;=23,"Night")</f>
        <v>Afternoon</v>
      </c>
      <c r="H564" s="2" t="b">
        <v>0</v>
      </c>
      <c r="I564" s="2">
        <v>2</v>
      </c>
      <c r="J564" s="2">
        <v>2</v>
      </c>
      <c r="K564" s="14">
        <v>0.32</v>
      </c>
      <c r="L564" s="4">
        <v>0.34849999999999998</v>
      </c>
      <c r="M564" s="4">
        <v>0.42</v>
      </c>
      <c r="N564" s="4">
        <v>0</v>
      </c>
      <c r="O564" s="4">
        <v>21</v>
      </c>
      <c r="P564" s="4">
        <v>63</v>
      </c>
      <c r="Q564" s="8">
        <v>84</v>
      </c>
    </row>
    <row r="565" spans="1:17" x14ac:dyDescent="0.25">
      <c r="A565" s="7">
        <v>564</v>
      </c>
      <c r="B565" s="3">
        <v>40568</v>
      </c>
      <c r="C565" s="2">
        <v>1</v>
      </c>
      <c r="D565" s="2">
        <v>0</v>
      </c>
      <c r="E565" s="2">
        <v>1</v>
      </c>
      <c r="F565" s="2">
        <v>16</v>
      </c>
      <c r="G565" s="2" t="str" cm="1">
        <f t="array" ref="G565">_xlfn.IFS(F565&lt;3,"Night",F565&lt;=6,"Early Morning",F565&lt;8,"Morning",F565&lt;10,"Late Morning",F565&lt;12,"Afternoon",F565&lt;16,"Afternoon",F565&lt;=18,"Early Evening",F565&lt;=20,"Evening",F565&lt;=22,"Late Evening",F565&lt;=23,"Night")</f>
        <v>Early Evening</v>
      </c>
      <c r="H565" s="2" t="b">
        <v>0</v>
      </c>
      <c r="I565" s="2">
        <v>2</v>
      </c>
      <c r="J565" s="2">
        <v>2</v>
      </c>
      <c r="K565" s="14">
        <v>0.32</v>
      </c>
      <c r="L565" s="4">
        <v>0.34849999999999998</v>
      </c>
      <c r="M565" s="4">
        <v>0.42</v>
      </c>
      <c r="N565" s="4">
        <v>0</v>
      </c>
      <c r="O565" s="4">
        <v>14</v>
      </c>
      <c r="P565" s="4">
        <v>102</v>
      </c>
      <c r="Q565" s="8">
        <v>116</v>
      </c>
    </row>
    <row r="566" spans="1:17" x14ac:dyDescent="0.25">
      <c r="A566" s="7">
        <v>565</v>
      </c>
      <c r="B566" s="3">
        <v>40568</v>
      </c>
      <c r="C566" s="2">
        <v>1</v>
      </c>
      <c r="D566" s="2">
        <v>0</v>
      </c>
      <c r="E566" s="2">
        <v>1</v>
      </c>
      <c r="F566" s="2">
        <v>17</v>
      </c>
      <c r="G566" s="2" t="str" cm="1">
        <f t="array" ref="G566">_xlfn.IFS(F566&lt;3,"Night",F566&lt;=6,"Early Morning",F566&lt;8,"Morning",F566&lt;10,"Late Morning",F566&lt;12,"Afternoon",F566&lt;16,"Afternoon",F566&lt;=18,"Early Evening",F566&lt;=20,"Evening",F566&lt;=22,"Late Evening",F566&lt;=23,"Night")</f>
        <v>Early Evening</v>
      </c>
      <c r="H566" s="2" t="b">
        <v>0</v>
      </c>
      <c r="I566" s="2">
        <v>2</v>
      </c>
      <c r="J566" s="2">
        <v>1</v>
      </c>
      <c r="K566" s="14">
        <v>0.3</v>
      </c>
      <c r="L566" s="4">
        <v>0.33329999999999999</v>
      </c>
      <c r="M566" s="4">
        <v>0.45</v>
      </c>
      <c r="N566" s="4">
        <v>0</v>
      </c>
      <c r="O566" s="4">
        <v>14</v>
      </c>
      <c r="P566" s="4">
        <v>208</v>
      </c>
      <c r="Q566" s="8">
        <v>222</v>
      </c>
    </row>
    <row r="567" spans="1:17" x14ac:dyDescent="0.25">
      <c r="A567" s="7">
        <v>566</v>
      </c>
      <c r="B567" s="3">
        <v>40568</v>
      </c>
      <c r="C567" s="2">
        <v>1</v>
      </c>
      <c r="D567" s="2">
        <v>0</v>
      </c>
      <c r="E567" s="2">
        <v>1</v>
      </c>
      <c r="F567" s="2">
        <v>18</v>
      </c>
      <c r="G567" s="2" t="str" cm="1">
        <f t="array" ref="G567">_xlfn.IFS(F567&lt;3,"Night",F567&lt;=6,"Early Morning",F567&lt;8,"Morning",F567&lt;10,"Late Morning",F567&lt;12,"Afternoon",F567&lt;16,"Afternoon",F567&lt;=18,"Early Evening",F567&lt;=20,"Evening",F567&lt;=22,"Late Evening",F567&lt;=23,"Night")</f>
        <v>Early Evening</v>
      </c>
      <c r="H567" s="2" t="b">
        <v>0</v>
      </c>
      <c r="I567" s="2">
        <v>2</v>
      </c>
      <c r="J567" s="2">
        <v>2</v>
      </c>
      <c r="K567" s="14">
        <v>0.3</v>
      </c>
      <c r="L567" s="4">
        <v>0.31819999999999998</v>
      </c>
      <c r="M567" s="4">
        <v>0.49</v>
      </c>
      <c r="N567" s="4">
        <v>8.9599999999999999E-2</v>
      </c>
      <c r="O567" s="4">
        <v>7</v>
      </c>
      <c r="P567" s="4">
        <v>218</v>
      </c>
      <c r="Q567" s="8">
        <v>225</v>
      </c>
    </row>
    <row r="568" spans="1:17" x14ac:dyDescent="0.25">
      <c r="A568" s="7">
        <v>567</v>
      </c>
      <c r="B568" s="3">
        <v>40568</v>
      </c>
      <c r="C568" s="2">
        <v>1</v>
      </c>
      <c r="D568" s="2">
        <v>0</v>
      </c>
      <c r="E568" s="2">
        <v>1</v>
      </c>
      <c r="F568" s="2">
        <v>19</v>
      </c>
      <c r="G568" s="2" t="str" cm="1">
        <f t="array" ref="G568">_xlfn.IFS(F568&lt;3,"Night",F568&lt;=6,"Early Morning",F568&lt;8,"Morning",F568&lt;10,"Late Morning",F568&lt;12,"Afternoon",F568&lt;16,"Afternoon",F568&lt;=18,"Early Evening",F568&lt;=20,"Evening",F568&lt;=22,"Late Evening",F568&lt;=23,"Night")</f>
        <v>Evening</v>
      </c>
      <c r="H568" s="2" t="b">
        <v>0</v>
      </c>
      <c r="I568" s="2">
        <v>2</v>
      </c>
      <c r="J568" s="2">
        <v>2</v>
      </c>
      <c r="K568" s="14">
        <v>0.26</v>
      </c>
      <c r="L568" s="4">
        <v>0.2576</v>
      </c>
      <c r="M568" s="4">
        <v>0.65</v>
      </c>
      <c r="N568" s="4">
        <v>0.16420000000000001</v>
      </c>
      <c r="O568" s="4">
        <v>13</v>
      </c>
      <c r="P568" s="4">
        <v>133</v>
      </c>
      <c r="Q568" s="8">
        <v>146</v>
      </c>
    </row>
    <row r="569" spans="1:17" x14ac:dyDescent="0.25">
      <c r="A569" s="7">
        <v>568</v>
      </c>
      <c r="B569" s="3">
        <v>40568</v>
      </c>
      <c r="C569" s="2">
        <v>1</v>
      </c>
      <c r="D569" s="2">
        <v>0</v>
      </c>
      <c r="E569" s="2">
        <v>1</v>
      </c>
      <c r="F569" s="2">
        <v>20</v>
      </c>
      <c r="G569" s="2" t="str" cm="1">
        <f t="array" ref="G569">_xlfn.IFS(F569&lt;3,"Night",F569&lt;=6,"Early Morning",F569&lt;8,"Morning",F569&lt;10,"Late Morning",F569&lt;12,"Afternoon",F569&lt;16,"Afternoon",F569&lt;=18,"Early Evening",F569&lt;=20,"Evening",F569&lt;=22,"Late Evening",F569&lt;=23,"Night")</f>
        <v>Evening</v>
      </c>
      <c r="H569" s="2" t="b">
        <v>0</v>
      </c>
      <c r="I569" s="2">
        <v>2</v>
      </c>
      <c r="J569" s="2">
        <v>1</v>
      </c>
      <c r="K569" s="14">
        <v>0.24</v>
      </c>
      <c r="L569" s="4">
        <v>0.2273</v>
      </c>
      <c r="M569" s="4">
        <v>0.65</v>
      </c>
      <c r="N569" s="4">
        <v>0.19400000000000001</v>
      </c>
      <c r="O569" s="4">
        <v>16</v>
      </c>
      <c r="P569" s="4">
        <v>103</v>
      </c>
      <c r="Q569" s="8">
        <v>119</v>
      </c>
    </row>
    <row r="570" spans="1:17" x14ac:dyDescent="0.25">
      <c r="A570" s="7">
        <v>569</v>
      </c>
      <c r="B570" s="3">
        <v>40568</v>
      </c>
      <c r="C570" s="2">
        <v>1</v>
      </c>
      <c r="D570" s="2">
        <v>0</v>
      </c>
      <c r="E570" s="2">
        <v>1</v>
      </c>
      <c r="F570" s="2">
        <v>21</v>
      </c>
      <c r="G570" s="2" t="str" cm="1">
        <f t="array" ref="G570">_xlfn.IFS(F570&lt;3,"Night",F570&lt;=6,"Early Morning",F570&lt;8,"Morning",F570&lt;10,"Late Morning",F570&lt;12,"Afternoon",F570&lt;16,"Afternoon",F570&lt;=18,"Early Evening",F570&lt;=20,"Evening",F570&lt;=22,"Late Evening",F570&lt;=23,"Night")</f>
        <v>Late Evening</v>
      </c>
      <c r="H570" s="2" t="b">
        <v>0</v>
      </c>
      <c r="I570" s="2">
        <v>2</v>
      </c>
      <c r="J570" s="2">
        <v>1</v>
      </c>
      <c r="K570" s="14">
        <v>0.24</v>
      </c>
      <c r="L570" s="4">
        <v>0.2273</v>
      </c>
      <c r="M570" s="4">
        <v>0.65</v>
      </c>
      <c r="N570" s="4">
        <v>0.19400000000000001</v>
      </c>
      <c r="O570" s="4">
        <v>5</v>
      </c>
      <c r="P570" s="4">
        <v>40</v>
      </c>
      <c r="Q570" s="8">
        <v>45</v>
      </c>
    </row>
    <row r="571" spans="1:17" x14ac:dyDescent="0.25">
      <c r="A571" s="7">
        <v>570</v>
      </c>
      <c r="B571" s="3">
        <v>40568</v>
      </c>
      <c r="C571" s="2">
        <v>1</v>
      </c>
      <c r="D571" s="2">
        <v>0</v>
      </c>
      <c r="E571" s="2">
        <v>1</v>
      </c>
      <c r="F571" s="2">
        <v>22</v>
      </c>
      <c r="G571" s="2" t="str" cm="1">
        <f t="array" ref="G571">_xlfn.IFS(F571&lt;3,"Night",F571&lt;=6,"Early Morning",F571&lt;8,"Morning",F571&lt;10,"Late Morning",F571&lt;12,"Afternoon",F571&lt;16,"Afternoon",F571&lt;=18,"Early Evening",F571&lt;=20,"Evening",F571&lt;=22,"Late Evening",F571&lt;=23,"Night")</f>
        <v>Late Evening</v>
      </c>
      <c r="H571" s="2" t="b">
        <v>0</v>
      </c>
      <c r="I571" s="2">
        <v>2</v>
      </c>
      <c r="J571" s="2">
        <v>1</v>
      </c>
      <c r="K571" s="14">
        <v>0.22</v>
      </c>
      <c r="L571" s="4">
        <v>0.2273</v>
      </c>
      <c r="M571" s="4">
        <v>0.64</v>
      </c>
      <c r="N571" s="4">
        <v>0.16420000000000001</v>
      </c>
      <c r="O571" s="4">
        <v>4</v>
      </c>
      <c r="P571" s="4">
        <v>49</v>
      </c>
      <c r="Q571" s="8">
        <v>53</v>
      </c>
    </row>
    <row r="572" spans="1:17" x14ac:dyDescent="0.25">
      <c r="A572" s="7">
        <v>571</v>
      </c>
      <c r="B572" s="3">
        <v>40568</v>
      </c>
      <c r="C572" s="2">
        <v>1</v>
      </c>
      <c r="D572" s="2">
        <v>0</v>
      </c>
      <c r="E572" s="2">
        <v>1</v>
      </c>
      <c r="F572" s="2">
        <v>23</v>
      </c>
      <c r="G572" s="2" t="str" cm="1">
        <f t="array" ref="G572">_xlfn.IFS(F572&lt;3,"Night",F572&lt;=6,"Early Morning",F572&lt;8,"Morning",F572&lt;10,"Late Morning",F572&lt;12,"Afternoon",F572&lt;16,"Afternoon",F572&lt;=18,"Early Evening",F572&lt;=20,"Evening",F572&lt;=22,"Late Evening",F572&lt;=23,"Night")</f>
        <v>Night</v>
      </c>
      <c r="H572" s="2" t="b">
        <v>0</v>
      </c>
      <c r="I572" s="2">
        <v>2</v>
      </c>
      <c r="J572" s="2">
        <v>2</v>
      </c>
      <c r="K572" s="14">
        <v>0.22</v>
      </c>
      <c r="L572" s="4">
        <v>0.2273</v>
      </c>
      <c r="M572" s="4">
        <v>0.64</v>
      </c>
      <c r="N572" s="4">
        <v>0.16420000000000001</v>
      </c>
      <c r="O572" s="4">
        <v>3</v>
      </c>
      <c r="P572" s="4">
        <v>37</v>
      </c>
      <c r="Q572" s="8">
        <v>40</v>
      </c>
    </row>
    <row r="573" spans="1:17" x14ac:dyDescent="0.25">
      <c r="A573" s="7">
        <v>572</v>
      </c>
      <c r="B573" s="3">
        <v>40569</v>
      </c>
      <c r="C573" s="2">
        <v>1</v>
      </c>
      <c r="D573" s="2">
        <v>0</v>
      </c>
      <c r="E573" s="2">
        <v>1</v>
      </c>
      <c r="F573" s="2">
        <v>0</v>
      </c>
      <c r="G573" s="2" t="str" cm="1">
        <f t="array" ref="G573">_xlfn.IFS(F573&lt;3,"Night",F573&lt;=6,"Early Morning",F573&lt;8,"Morning",F573&lt;10,"Late Morning",F573&lt;12,"Afternoon",F573&lt;16,"Afternoon",F573&lt;=18,"Early Evening",F573&lt;=20,"Evening",F573&lt;=22,"Late Evening",F573&lt;=23,"Night")</f>
        <v>Night</v>
      </c>
      <c r="H573" s="2" t="b">
        <v>0</v>
      </c>
      <c r="I573" s="2">
        <v>3</v>
      </c>
      <c r="J573" s="2">
        <v>2</v>
      </c>
      <c r="K573" s="14">
        <v>0.22</v>
      </c>
      <c r="L573" s="4">
        <v>0.2273</v>
      </c>
      <c r="M573" s="4">
        <v>0.69</v>
      </c>
      <c r="N573" s="4">
        <v>0.1343</v>
      </c>
      <c r="O573" s="4">
        <v>3</v>
      </c>
      <c r="P573" s="4">
        <v>14</v>
      </c>
      <c r="Q573" s="8">
        <v>17</v>
      </c>
    </row>
    <row r="574" spans="1:17" x14ac:dyDescent="0.25">
      <c r="A574" s="7">
        <v>573</v>
      </c>
      <c r="B574" s="3">
        <v>40569</v>
      </c>
      <c r="C574" s="2">
        <v>1</v>
      </c>
      <c r="D574" s="2">
        <v>0</v>
      </c>
      <c r="E574" s="2">
        <v>1</v>
      </c>
      <c r="F574" s="2">
        <v>1</v>
      </c>
      <c r="G574" s="2" t="str" cm="1">
        <f t="array" ref="G574">_xlfn.IFS(F574&lt;3,"Night",F574&lt;=6,"Early Morning",F574&lt;8,"Morning",F574&lt;10,"Late Morning",F574&lt;12,"Afternoon",F574&lt;16,"Afternoon",F574&lt;=18,"Early Evening",F574&lt;=20,"Evening",F574&lt;=22,"Late Evening",F574&lt;=23,"Night")</f>
        <v>Night</v>
      </c>
      <c r="H574" s="2" t="b">
        <v>0</v>
      </c>
      <c r="I574" s="2">
        <v>3</v>
      </c>
      <c r="J574" s="2">
        <v>2</v>
      </c>
      <c r="K574" s="14">
        <v>0.24</v>
      </c>
      <c r="L574" s="4">
        <v>0.2424</v>
      </c>
      <c r="M574" s="4">
        <v>0.65</v>
      </c>
      <c r="N574" s="4">
        <v>0.1343</v>
      </c>
      <c r="O574" s="4">
        <v>0</v>
      </c>
      <c r="P574" s="4">
        <v>5</v>
      </c>
      <c r="Q574" s="8">
        <v>5</v>
      </c>
    </row>
    <row r="575" spans="1:17" x14ac:dyDescent="0.25">
      <c r="A575" s="7">
        <v>574</v>
      </c>
      <c r="B575" s="3">
        <v>40569</v>
      </c>
      <c r="C575" s="2">
        <v>1</v>
      </c>
      <c r="D575" s="2">
        <v>0</v>
      </c>
      <c r="E575" s="2">
        <v>1</v>
      </c>
      <c r="F575" s="2">
        <v>2</v>
      </c>
      <c r="G575" s="2" t="str" cm="1">
        <f t="array" ref="G575">_xlfn.IFS(F575&lt;3,"Night",F575&lt;=6,"Early Morning",F575&lt;8,"Morning",F575&lt;10,"Late Morning",F575&lt;12,"Afternoon",F575&lt;16,"Afternoon",F575&lt;=18,"Early Evening",F575&lt;=20,"Evening",F575&lt;=22,"Late Evening",F575&lt;=23,"Night")</f>
        <v>Night</v>
      </c>
      <c r="H575" s="2" t="b">
        <v>0</v>
      </c>
      <c r="I575" s="2">
        <v>3</v>
      </c>
      <c r="J575" s="2">
        <v>3</v>
      </c>
      <c r="K575" s="14">
        <v>0.22</v>
      </c>
      <c r="L575" s="4">
        <v>0.2273</v>
      </c>
      <c r="M575" s="4">
        <v>0.69</v>
      </c>
      <c r="N575" s="4">
        <v>0.19400000000000001</v>
      </c>
      <c r="O575" s="4">
        <v>3</v>
      </c>
      <c r="P575" s="4">
        <v>7</v>
      </c>
      <c r="Q575" s="8">
        <v>10</v>
      </c>
    </row>
    <row r="576" spans="1:17" x14ac:dyDescent="0.25">
      <c r="A576" s="7">
        <v>575</v>
      </c>
      <c r="B576" s="3">
        <v>40569</v>
      </c>
      <c r="C576" s="2">
        <v>1</v>
      </c>
      <c r="D576" s="2">
        <v>0</v>
      </c>
      <c r="E576" s="2">
        <v>1</v>
      </c>
      <c r="F576" s="2">
        <v>5</v>
      </c>
      <c r="G576" s="2" t="str" cm="1">
        <f t="array" ref="G576">_xlfn.IFS(F576&lt;3,"Night",F576&lt;=6,"Early Morning",F576&lt;8,"Morning",F576&lt;10,"Late Morning",F576&lt;12,"Afternoon",F576&lt;16,"Afternoon",F576&lt;=18,"Early Evening",F576&lt;=20,"Evening",F576&lt;=22,"Late Evening",F576&lt;=23,"Night")</f>
        <v>Early Morning</v>
      </c>
      <c r="H576" s="2" t="b">
        <v>0</v>
      </c>
      <c r="I576" s="2">
        <v>3</v>
      </c>
      <c r="J576" s="2">
        <v>3</v>
      </c>
      <c r="K576" s="14">
        <v>0.2</v>
      </c>
      <c r="L576" s="4">
        <v>0.18179999999999999</v>
      </c>
      <c r="M576" s="4">
        <v>0.86</v>
      </c>
      <c r="N576" s="4">
        <v>0.28360000000000002</v>
      </c>
      <c r="O576" s="4">
        <v>0</v>
      </c>
      <c r="P576" s="4">
        <v>1</v>
      </c>
      <c r="Q576" s="8">
        <v>1</v>
      </c>
    </row>
    <row r="577" spans="1:17" x14ac:dyDescent="0.25">
      <c r="A577" s="7">
        <v>576</v>
      </c>
      <c r="B577" s="3">
        <v>40569</v>
      </c>
      <c r="C577" s="2">
        <v>1</v>
      </c>
      <c r="D577" s="2">
        <v>0</v>
      </c>
      <c r="E577" s="2">
        <v>1</v>
      </c>
      <c r="F577" s="2">
        <v>6</v>
      </c>
      <c r="G577" s="2" t="str" cm="1">
        <f t="array" ref="G577">_xlfn.IFS(F577&lt;3,"Night",F577&lt;=6,"Early Morning",F577&lt;8,"Morning",F577&lt;10,"Late Morning",F577&lt;12,"Afternoon",F577&lt;16,"Afternoon",F577&lt;=18,"Early Evening",F577&lt;=20,"Evening",F577&lt;=22,"Late Evening",F577&lt;=23,"Night")</f>
        <v>Early Morning</v>
      </c>
      <c r="H577" s="2" t="b">
        <v>0</v>
      </c>
      <c r="I577" s="2">
        <v>3</v>
      </c>
      <c r="J577" s="2">
        <v>3</v>
      </c>
      <c r="K577" s="14">
        <v>0.2</v>
      </c>
      <c r="L577" s="4">
        <v>0.18179999999999999</v>
      </c>
      <c r="M577" s="4">
        <v>0.86</v>
      </c>
      <c r="N577" s="4">
        <v>0.28360000000000002</v>
      </c>
      <c r="O577" s="4">
        <v>0</v>
      </c>
      <c r="P577" s="4">
        <v>8</v>
      </c>
      <c r="Q577" s="8">
        <v>8</v>
      </c>
    </row>
    <row r="578" spans="1:17" x14ac:dyDescent="0.25">
      <c r="A578" s="7">
        <v>577</v>
      </c>
      <c r="B578" s="3">
        <v>40569</v>
      </c>
      <c r="C578" s="2">
        <v>1</v>
      </c>
      <c r="D578" s="2">
        <v>0</v>
      </c>
      <c r="E578" s="2">
        <v>1</v>
      </c>
      <c r="F578" s="2">
        <v>7</v>
      </c>
      <c r="G578" s="2" t="str" cm="1">
        <f t="array" ref="G578">_xlfn.IFS(F578&lt;3,"Night",F578&lt;=6,"Early Morning",F578&lt;8,"Morning",F578&lt;10,"Late Morning",F578&lt;12,"Afternoon",F578&lt;16,"Afternoon",F578&lt;=18,"Early Evening",F578&lt;=20,"Evening",F578&lt;=22,"Late Evening",F578&lt;=23,"Night")</f>
        <v>Morning</v>
      </c>
      <c r="H578" s="2" t="b">
        <v>0</v>
      </c>
      <c r="I578" s="2">
        <v>3</v>
      </c>
      <c r="J578" s="2">
        <v>3</v>
      </c>
      <c r="K578" s="14">
        <v>0.22</v>
      </c>
      <c r="L578" s="4">
        <v>0.21210000000000001</v>
      </c>
      <c r="M578" s="4">
        <v>0.87</v>
      </c>
      <c r="N578" s="4">
        <v>0.29849999999999999</v>
      </c>
      <c r="O578" s="4">
        <v>1</v>
      </c>
      <c r="P578" s="4">
        <v>29</v>
      </c>
      <c r="Q578" s="8">
        <v>30</v>
      </c>
    </row>
    <row r="579" spans="1:17" x14ac:dyDescent="0.25">
      <c r="A579" s="7">
        <v>578</v>
      </c>
      <c r="B579" s="3">
        <v>40569</v>
      </c>
      <c r="C579" s="2">
        <v>1</v>
      </c>
      <c r="D579" s="2">
        <v>0</v>
      </c>
      <c r="E579" s="2">
        <v>1</v>
      </c>
      <c r="F579" s="2">
        <v>8</v>
      </c>
      <c r="G579" s="2" t="str" cm="1">
        <f t="array" ref="G579">_xlfn.IFS(F579&lt;3,"Night",F579&lt;=6,"Early Morning",F579&lt;8,"Morning",F579&lt;10,"Late Morning",F579&lt;12,"Afternoon",F579&lt;16,"Afternoon",F579&lt;=18,"Early Evening",F579&lt;=20,"Evening",F579&lt;=22,"Late Evening",F579&lt;=23,"Night")</f>
        <v>Late Morning</v>
      </c>
      <c r="H579" s="2" t="b">
        <v>0</v>
      </c>
      <c r="I579" s="2">
        <v>3</v>
      </c>
      <c r="J579" s="2">
        <v>3</v>
      </c>
      <c r="K579" s="14">
        <v>0.22</v>
      </c>
      <c r="L579" s="4">
        <v>0.21210000000000001</v>
      </c>
      <c r="M579" s="4">
        <v>0.87</v>
      </c>
      <c r="N579" s="4">
        <v>0.29849999999999999</v>
      </c>
      <c r="O579" s="4">
        <v>3</v>
      </c>
      <c r="P579" s="4">
        <v>69</v>
      </c>
      <c r="Q579" s="8">
        <v>72</v>
      </c>
    </row>
    <row r="580" spans="1:17" x14ac:dyDescent="0.25">
      <c r="A580" s="7">
        <v>579</v>
      </c>
      <c r="B580" s="3">
        <v>40569</v>
      </c>
      <c r="C580" s="2">
        <v>1</v>
      </c>
      <c r="D580" s="2">
        <v>0</v>
      </c>
      <c r="E580" s="2">
        <v>1</v>
      </c>
      <c r="F580" s="2">
        <v>9</v>
      </c>
      <c r="G580" s="2" t="str" cm="1">
        <f t="array" ref="G580">_xlfn.IFS(F580&lt;3,"Night",F580&lt;=6,"Early Morning",F580&lt;8,"Morning",F580&lt;10,"Late Morning",F580&lt;12,"Afternoon",F580&lt;16,"Afternoon",F580&lt;=18,"Early Evening",F580&lt;=20,"Evening",F580&lt;=22,"Late Evening",F580&lt;=23,"Night")</f>
        <v>Late Morning</v>
      </c>
      <c r="H580" s="2" t="b">
        <v>0</v>
      </c>
      <c r="I580" s="2">
        <v>3</v>
      </c>
      <c r="J580" s="2">
        <v>3</v>
      </c>
      <c r="K580" s="14">
        <v>0.22</v>
      </c>
      <c r="L580" s="4">
        <v>0.21210000000000001</v>
      </c>
      <c r="M580" s="4">
        <v>0.87</v>
      </c>
      <c r="N580" s="4">
        <v>0.29849999999999999</v>
      </c>
      <c r="O580" s="4">
        <v>3</v>
      </c>
      <c r="P580" s="4">
        <v>55</v>
      </c>
      <c r="Q580" s="8">
        <v>58</v>
      </c>
    </row>
    <row r="581" spans="1:17" x14ac:dyDescent="0.25">
      <c r="A581" s="7">
        <v>580</v>
      </c>
      <c r="B581" s="3">
        <v>40569</v>
      </c>
      <c r="C581" s="2">
        <v>1</v>
      </c>
      <c r="D581" s="2">
        <v>0</v>
      </c>
      <c r="E581" s="2">
        <v>1</v>
      </c>
      <c r="F581" s="2">
        <v>10</v>
      </c>
      <c r="G581" s="2" t="str" cm="1">
        <f t="array" ref="G581">_xlfn.IFS(F581&lt;3,"Night",F581&lt;=6,"Early Morning",F581&lt;8,"Morning",F581&lt;10,"Late Morning",F581&lt;12,"Afternoon",F581&lt;16,"Afternoon",F581&lt;=18,"Early Evening",F581&lt;=20,"Evening",F581&lt;=22,"Late Evening",F581&lt;=23,"Night")</f>
        <v>Afternoon</v>
      </c>
      <c r="H581" s="2" t="b">
        <v>0</v>
      </c>
      <c r="I581" s="2">
        <v>3</v>
      </c>
      <c r="J581" s="2">
        <v>3</v>
      </c>
      <c r="K581" s="14">
        <v>0.22</v>
      </c>
      <c r="L581" s="4">
        <v>0.21210000000000001</v>
      </c>
      <c r="M581" s="4">
        <v>0.93</v>
      </c>
      <c r="N581" s="4">
        <v>0.28360000000000002</v>
      </c>
      <c r="O581" s="4">
        <v>2</v>
      </c>
      <c r="P581" s="4">
        <v>26</v>
      </c>
      <c r="Q581" s="8">
        <v>28</v>
      </c>
    </row>
    <row r="582" spans="1:17" x14ac:dyDescent="0.25">
      <c r="A582" s="7">
        <v>581</v>
      </c>
      <c r="B582" s="3">
        <v>40569</v>
      </c>
      <c r="C582" s="2">
        <v>1</v>
      </c>
      <c r="D582" s="2">
        <v>0</v>
      </c>
      <c r="E582" s="2">
        <v>1</v>
      </c>
      <c r="F582" s="2">
        <v>11</v>
      </c>
      <c r="G582" s="2" t="str" cm="1">
        <f t="array" ref="G582">_xlfn.IFS(F582&lt;3,"Night",F582&lt;=6,"Early Morning",F582&lt;8,"Morning",F582&lt;10,"Late Morning",F582&lt;12,"Afternoon",F582&lt;16,"Afternoon",F582&lt;=18,"Early Evening",F582&lt;=20,"Evening",F582&lt;=22,"Late Evening",F582&lt;=23,"Night")</f>
        <v>Afternoon</v>
      </c>
      <c r="H582" s="2" t="b">
        <v>0</v>
      </c>
      <c r="I582" s="2">
        <v>3</v>
      </c>
      <c r="J582" s="2">
        <v>3</v>
      </c>
      <c r="K582" s="14">
        <v>0.22</v>
      </c>
      <c r="L582" s="4">
        <v>0.19700000000000001</v>
      </c>
      <c r="M582" s="4">
        <v>0.93</v>
      </c>
      <c r="N582" s="4">
        <v>0.32840000000000003</v>
      </c>
      <c r="O582" s="4">
        <v>6</v>
      </c>
      <c r="P582" s="4">
        <v>35</v>
      </c>
      <c r="Q582" s="8">
        <v>41</v>
      </c>
    </row>
    <row r="583" spans="1:17" x14ac:dyDescent="0.25">
      <c r="A583" s="7">
        <v>582</v>
      </c>
      <c r="B583" s="3">
        <v>40569</v>
      </c>
      <c r="C583" s="2">
        <v>1</v>
      </c>
      <c r="D583" s="2">
        <v>0</v>
      </c>
      <c r="E583" s="2">
        <v>1</v>
      </c>
      <c r="F583" s="2">
        <v>12</v>
      </c>
      <c r="G583" s="2" t="str" cm="1">
        <f t="array" ref="G583">_xlfn.IFS(F583&lt;3,"Night",F583&lt;=6,"Early Morning",F583&lt;8,"Morning",F583&lt;10,"Late Morning",F583&lt;12,"Afternoon",F583&lt;16,"Afternoon",F583&lt;=18,"Early Evening",F583&lt;=20,"Evening",F583&lt;=22,"Late Evening",F583&lt;=23,"Night")</f>
        <v>Afternoon</v>
      </c>
      <c r="H583" s="2" t="b">
        <v>0</v>
      </c>
      <c r="I583" s="2">
        <v>3</v>
      </c>
      <c r="J583" s="2">
        <v>3</v>
      </c>
      <c r="K583" s="14">
        <v>0.22</v>
      </c>
      <c r="L583" s="4">
        <v>0.19700000000000001</v>
      </c>
      <c r="M583" s="4">
        <v>0.93</v>
      </c>
      <c r="N583" s="4">
        <v>0.32840000000000003</v>
      </c>
      <c r="O583" s="4">
        <v>7</v>
      </c>
      <c r="P583" s="4">
        <v>41</v>
      </c>
      <c r="Q583" s="8">
        <v>48</v>
      </c>
    </row>
    <row r="584" spans="1:17" x14ac:dyDescent="0.25">
      <c r="A584" s="7">
        <v>583</v>
      </c>
      <c r="B584" s="3">
        <v>40569</v>
      </c>
      <c r="C584" s="2">
        <v>1</v>
      </c>
      <c r="D584" s="2">
        <v>0</v>
      </c>
      <c r="E584" s="2">
        <v>1</v>
      </c>
      <c r="F584" s="2">
        <v>13</v>
      </c>
      <c r="G584" s="2" t="str" cm="1">
        <f t="array" ref="G584">_xlfn.IFS(F584&lt;3,"Night",F584&lt;=6,"Early Morning",F584&lt;8,"Morning",F584&lt;10,"Late Morning",F584&lt;12,"Afternoon",F584&lt;16,"Afternoon",F584&lt;=18,"Early Evening",F584&lt;=20,"Evening",F584&lt;=22,"Late Evening",F584&lt;=23,"Night")</f>
        <v>Afternoon</v>
      </c>
      <c r="H584" s="2" t="b">
        <v>0</v>
      </c>
      <c r="I584" s="2">
        <v>3</v>
      </c>
      <c r="J584" s="2">
        <v>3</v>
      </c>
      <c r="K584" s="14">
        <v>0.22</v>
      </c>
      <c r="L584" s="4">
        <v>0.19700000000000001</v>
      </c>
      <c r="M584" s="4">
        <v>0.93</v>
      </c>
      <c r="N584" s="4">
        <v>0.32840000000000003</v>
      </c>
      <c r="O584" s="4">
        <v>4</v>
      </c>
      <c r="P584" s="4">
        <v>43</v>
      </c>
      <c r="Q584" s="8">
        <v>47</v>
      </c>
    </row>
    <row r="585" spans="1:17" x14ac:dyDescent="0.25">
      <c r="A585" s="7">
        <v>584</v>
      </c>
      <c r="B585" s="3">
        <v>40569</v>
      </c>
      <c r="C585" s="2">
        <v>1</v>
      </c>
      <c r="D585" s="2">
        <v>0</v>
      </c>
      <c r="E585" s="2">
        <v>1</v>
      </c>
      <c r="F585" s="2">
        <v>14</v>
      </c>
      <c r="G585" s="2" t="str" cm="1">
        <f t="array" ref="G585">_xlfn.IFS(F585&lt;3,"Night",F585&lt;=6,"Early Morning",F585&lt;8,"Morning",F585&lt;10,"Late Morning",F585&lt;12,"Afternoon",F585&lt;16,"Afternoon",F585&lt;=18,"Early Evening",F585&lt;=20,"Evening",F585&lt;=22,"Late Evening",F585&lt;=23,"Night")</f>
        <v>Afternoon</v>
      </c>
      <c r="H585" s="2" t="b">
        <v>0</v>
      </c>
      <c r="I585" s="2">
        <v>3</v>
      </c>
      <c r="J585" s="2">
        <v>3</v>
      </c>
      <c r="K585" s="14">
        <v>0.22</v>
      </c>
      <c r="L585" s="4">
        <v>0.19700000000000001</v>
      </c>
      <c r="M585" s="4">
        <v>0.93</v>
      </c>
      <c r="N585" s="4">
        <v>0.35820000000000002</v>
      </c>
      <c r="O585" s="4">
        <v>0</v>
      </c>
      <c r="P585" s="4">
        <v>36</v>
      </c>
      <c r="Q585" s="8">
        <v>36</v>
      </c>
    </row>
    <row r="586" spans="1:17" x14ac:dyDescent="0.25">
      <c r="A586" s="7">
        <v>585</v>
      </c>
      <c r="B586" s="3">
        <v>40569</v>
      </c>
      <c r="C586" s="2">
        <v>1</v>
      </c>
      <c r="D586" s="2">
        <v>0</v>
      </c>
      <c r="E586" s="2">
        <v>1</v>
      </c>
      <c r="F586" s="2">
        <v>15</v>
      </c>
      <c r="G586" s="2" t="str" cm="1">
        <f t="array" ref="G586">_xlfn.IFS(F586&lt;3,"Night",F586&lt;=6,"Early Morning",F586&lt;8,"Morning",F586&lt;10,"Late Morning",F586&lt;12,"Afternoon",F586&lt;16,"Afternoon",F586&lt;=18,"Early Evening",F586&lt;=20,"Evening",F586&lt;=22,"Late Evening",F586&lt;=23,"Night")</f>
        <v>Afternoon</v>
      </c>
      <c r="H586" s="2" t="b">
        <v>0</v>
      </c>
      <c r="I586" s="2">
        <v>3</v>
      </c>
      <c r="J586" s="2">
        <v>3</v>
      </c>
      <c r="K586" s="14">
        <v>0.22</v>
      </c>
      <c r="L586" s="4">
        <v>0.18179999999999999</v>
      </c>
      <c r="M586" s="4">
        <v>0.93</v>
      </c>
      <c r="N586" s="4">
        <v>0.4627</v>
      </c>
      <c r="O586" s="4">
        <v>1</v>
      </c>
      <c r="P586" s="4">
        <v>42</v>
      </c>
      <c r="Q586" s="8">
        <v>43</v>
      </c>
    </row>
    <row r="587" spans="1:17" x14ac:dyDescent="0.25">
      <c r="A587" s="7">
        <v>586</v>
      </c>
      <c r="B587" s="3">
        <v>40569</v>
      </c>
      <c r="C587" s="2">
        <v>1</v>
      </c>
      <c r="D587" s="2">
        <v>0</v>
      </c>
      <c r="E587" s="2">
        <v>1</v>
      </c>
      <c r="F587" s="2">
        <v>16</v>
      </c>
      <c r="G587" s="2" t="str" cm="1">
        <f t="array" ref="G587">_xlfn.IFS(F587&lt;3,"Night",F587&lt;=6,"Early Morning",F587&lt;8,"Morning",F587&lt;10,"Late Morning",F587&lt;12,"Afternoon",F587&lt;16,"Afternoon",F587&lt;=18,"Early Evening",F587&lt;=20,"Evening",F587&lt;=22,"Late Evening",F587&lt;=23,"Night")</f>
        <v>Early Evening</v>
      </c>
      <c r="H587" s="2" t="b">
        <v>0</v>
      </c>
      <c r="I587" s="2">
        <v>3</v>
      </c>
      <c r="J587" s="2">
        <v>4</v>
      </c>
      <c r="K587" s="14">
        <v>0.22</v>
      </c>
      <c r="L587" s="4">
        <v>0.19700000000000001</v>
      </c>
      <c r="M587" s="4">
        <v>0.93</v>
      </c>
      <c r="N587" s="4">
        <v>0.32840000000000003</v>
      </c>
      <c r="O587" s="4">
        <v>1</v>
      </c>
      <c r="P587" s="4">
        <v>35</v>
      </c>
      <c r="Q587" s="8">
        <v>36</v>
      </c>
    </row>
    <row r="588" spans="1:17" x14ac:dyDescent="0.25">
      <c r="A588" s="7">
        <v>587</v>
      </c>
      <c r="B588" s="3">
        <v>40569</v>
      </c>
      <c r="C588" s="2">
        <v>1</v>
      </c>
      <c r="D588" s="2">
        <v>0</v>
      </c>
      <c r="E588" s="2">
        <v>1</v>
      </c>
      <c r="F588" s="2">
        <v>17</v>
      </c>
      <c r="G588" s="2" t="str" cm="1">
        <f t="array" ref="G588">_xlfn.IFS(F588&lt;3,"Night",F588&lt;=6,"Early Morning",F588&lt;8,"Morning",F588&lt;10,"Late Morning",F588&lt;12,"Afternoon",F588&lt;16,"Afternoon",F588&lt;=18,"Early Evening",F588&lt;=20,"Evening",F588&lt;=22,"Late Evening",F588&lt;=23,"Night")</f>
        <v>Early Evening</v>
      </c>
      <c r="H588" s="2" t="b">
        <v>0</v>
      </c>
      <c r="I588" s="2">
        <v>3</v>
      </c>
      <c r="J588" s="2">
        <v>3</v>
      </c>
      <c r="K588" s="14">
        <v>0.2</v>
      </c>
      <c r="L588" s="4">
        <v>0.18179999999999999</v>
      </c>
      <c r="M588" s="4">
        <v>0.93</v>
      </c>
      <c r="N588" s="4">
        <v>0.35820000000000002</v>
      </c>
      <c r="O588" s="4">
        <v>0</v>
      </c>
      <c r="P588" s="4">
        <v>26</v>
      </c>
      <c r="Q588" s="8">
        <v>26</v>
      </c>
    </row>
    <row r="589" spans="1:17" x14ac:dyDescent="0.25">
      <c r="A589" s="7">
        <v>588</v>
      </c>
      <c r="B589" s="3">
        <v>40570</v>
      </c>
      <c r="C589" s="2">
        <v>1</v>
      </c>
      <c r="D589" s="2">
        <v>0</v>
      </c>
      <c r="E589" s="2">
        <v>1</v>
      </c>
      <c r="F589" s="2">
        <v>16</v>
      </c>
      <c r="G589" s="2" t="str" cm="1">
        <f t="array" ref="G589">_xlfn.IFS(F589&lt;3,"Night",F589&lt;=6,"Early Morning",F589&lt;8,"Morning",F589&lt;10,"Late Morning",F589&lt;12,"Afternoon",F589&lt;16,"Afternoon",F589&lt;=18,"Early Evening",F589&lt;=20,"Evening",F589&lt;=22,"Late Evening",F589&lt;=23,"Night")</f>
        <v>Early Evening</v>
      </c>
      <c r="H589" s="2" t="b">
        <v>0</v>
      </c>
      <c r="I589" s="2">
        <v>4</v>
      </c>
      <c r="J589" s="2">
        <v>1</v>
      </c>
      <c r="K589" s="14">
        <v>0.22</v>
      </c>
      <c r="L589" s="4">
        <v>0.2273</v>
      </c>
      <c r="M589" s="4">
        <v>0.55000000000000004</v>
      </c>
      <c r="N589" s="4">
        <v>0.19400000000000001</v>
      </c>
      <c r="O589" s="4">
        <v>1</v>
      </c>
      <c r="P589" s="4">
        <v>23</v>
      </c>
      <c r="Q589" s="8">
        <v>24</v>
      </c>
    </row>
    <row r="590" spans="1:17" x14ac:dyDescent="0.25">
      <c r="A590" s="7">
        <v>589</v>
      </c>
      <c r="B590" s="3">
        <v>40570</v>
      </c>
      <c r="C590" s="2">
        <v>1</v>
      </c>
      <c r="D590" s="2">
        <v>0</v>
      </c>
      <c r="E590" s="2">
        <v>1</v>
      </c>
      <c r="F590" s="2">
        <v>17</v>
      </c>
      <c r="G590" s="2" t="str" cm="1">
        <f t="array" ref="G590">_xlfn.IFS(F590&lt;3,"Night",F590&lt;=6,"Early Morning",F590&lt;8,"Morning",F590&lt;10,"Late Morning",F590&lt;12,"Afternoon",F590&lt;16,"Afternoon",F590&lt;=18,"Early Evening",F590&lt;=20,"Evening",F590&lt;=22,"Late Evening",F590&lt;=23,"Night")</f>
        <v>Early Evening</v>
      </c>
      <c r="H590" s="2" t="b">
        <v>0</v>
      </c>
      <c r="I590" s="2">
        <v>4</v>
      </c>
      <c r="J590" s="2">
        <v>1</v>
      </c>
      <c r="K590" s="14">
        <v>0.22</v>
      </c>
      <c r="L590" s="4">
        <v>0.2424</v>
      </c>
      <c r="M590" s="4">
        <v>0.55000000000000004</v>
      </c>
      <c r="N590" s="4">
        <v>0.1045</v>
      </c>
      <c r="O590" s="4">
        <v>2</v>
      </c>
      <c r="P590" s="4">
        <v>82</v>
      </c>
      <c r="Q590" s="8">
        <v>84</v>
      </c>
    </row>
    <row r="591" spans="1:17" x14ac:dyDescent="0.25">
      <c r="A591" s="7">
        <v>590</v>
      </c>
      <c r="B591" s="3">
        <v>40570</v>
      </c>
      <c r="C591" s="2">
        <v>1</v>
      </c>
      <c r="D591" s="2">
        <v>0</v>
      </c>
      <c r="E591" s="2">
        <v>1</v>
      </c>
      <c r="F591" s="2">
        <v>18</v>
      </c>
      <c r="G591" s="2" t="str" cm="1">
        <f t="array" ref="G591">_xlfn.IFS(F591&lt;3,"Night",F591&lt;=6,"Early Morning",F591&lt;8,"Morning",F591&lt;10,"Late Morning",F591&lt;12,"Afternoon",F591&lt;16,"Afternoon",F591&lt;=18,"Early Evening",F591&lt;=20,"Evening",F591&lt;=22,"Late Evening",F591&lt;=23,"Night")</f>
        <v>Early Evening</v>
      </c>
      <c r="H591" s="2" t="b">
        <v>0</v>
      </c>
      <c r="I591" s="2">
        <v>4</v>
      </c>
      <c r="J591" s="2">
        <v>1</v>
      </c>
      <c r="K591" s="14">
        <v>0.2</v>
      </c>
      <c r="L591" s="4">
        <v>0.2273</v>
      </c>
      <c r="M591" s="4">
        <v>0.69</v>
      </c>
      <c r="N591" s="4">
        <v>8.9599999999999999E-2</v>
      </c>
      <c r="O591" s="4">
        <v>3</v>
      </c>
      <c r="P591" s="4">
        <v>101</v>
      </c>
      <c r="Q591" s="8">
        <v>104</v>
      </c>
    </row>
    <row r="592" spans="1:17" x14ac:dyDescent="0.25">
      <c r="A592" s="7">
        <v>591</v>
      </c>
      <c r="B592" s="3">
        <v>40570</v>
      </c>
      <c r="C592" s="2">
        <v>1</v>
      </c>
      <c r="D592" s="2">
        <v>0</v>
      </c>
      <c r="E592" s="2">
        <v>1</v>
      </c>
      <c r="F592" s="2">
        <v>19</v>
      </c>
      <c r="G592" s="2" t="str" cm="1">
        <f t="array" ref="G592">_xlfn.IFS(F592&lt;3,"Night",F592&lt;=6,"Early Morning",F592&lt;8,"Morning",F592&lt;10,"Late Morning",F592&lt;12,"Afternoon",F592&lt;16,"Afternoon",F592&lt;=18,"Early Evening",F592&lt;=20,"Evening",F592&lt;=22,"Late Evening",F592&lt;=23,"Night")</f>
        <v>Evening</v>
      </c>
      <c r="H592" s="2" t="b">
        <v>0</v>
      </c>
      <c r="I592" s="2">
        <v>4</v>
      </c>
      <c r="J592" s="2">
        <v>1</v>
      </c>
      <c r="K592" s="14">
        <v>0.2</v>
      </c>
      <c r="L592" s="4">
        <v>0.2273</v>
      </c>
      <c r="M592" s="4">
        <v>0.69</v>
      </c>
      <c r="N592" s="4">
        <v>8.9599999999999999E-2</v>
      </c>
      <c r="O592" s="4">
        <v>3</v>
      </c>
      <c r="P592" s="4">
        <v>76</v>
      </c>
      <c r="Q592" s="8">
        <v>79</v>
      </c>
    </row>
    <row r="593" spans="1:17" x14ac:dyDescent="0.25">
      <c r="A593" s="7">
        <v>592</v>
      </c>
      <c r="B593" s="3">
        <v>40570</v>
      </c>
      <c r="C593" s="2">
        <v>1</v>
      </c>
      <c r="D593" s="2">
        <v>0</v>
      </c>
      <c r="E593" s="2">
        <v>1</v>
      </c>
      <c r="F593" s="2">
        <v>20</v>
      </c>
      <c r="G593" s="2" t="str" cm="1">
        <f t="array" ref="G593">_xlfn.IFS(F593&lt;3,"Night",F593&lt;=6,"Early Morning",F593&lt;8,"Morning",F593&lt;10,"Late Morning",F593&lt;12,"Afternoon",F593&lt;16,"Afternoon",F593&lt;=18,"Early Evening",F593&lt;=20,"Evening",F593&lt;=22,"Late Evening",F593&lt;=23,"Night")</f>
        <v>Evening</v>
      </c>
      <c r="H593" s="2" t="b">
        <v>0</v>
      </c>
      <c r="I593" s="2">
        <v>4</v>
      </c>
      <c r="J593" s="2">
        <v>1</v>
      </c>
      <c r="K593" s="14">
        <v>0.18</v>
      </c>
      <c r="L593" s="4">
        <v>0.21210000000000001</v>
      </c>
      <c r="M593" s="4">
        <v>0.74</v>
      </c>
      <c r="N593" s="4">
        <v>8.9599999999999999E-2</v>
      </c>
      <c r="O593" s="4">
        <v>4</v>
      </c>
      <c r="P593" s="4">
        <v>55</v>
      </c>
      <c r="Q593" s="8">
        <v>59</v>
      </c>
    </row>
    <row r="594" spans="1:17" x14ac:dyDescent="0.25">
      <c r="A594" s="7">
        <v>593</v>
      </c>
      <c r="B594" s="3">
        <v>40570</v>
      </c>
      <c r="C594" s="2">
        <v>1</v>
      </c>
      <c r="D594" s="2">
        <v>0</v>
      </c>
      <c r="E594" s="2">
        <v>1</v>
      </c>
      <c r="F594" s="2">
        <v>21</v>
      </c>
      <c r="G594" s="2" t="str" cm="1">
        <f t="array" ref="G594">_xlfn.IFS(F594&lt;3,"Night",F594&lt;=6,"Early Morning",F594&lt;8,"Morning",F594&lt;10,"Late Morning",F594&lt;12,"Afternoon",F594&lt;16,"Afternoon",F594&lt;=18,"Early Evening",F594&lt;=20,"Evening",F594&lt;=22,"Late Evening",F594&lt;=23,"Night")</f>
        <v>Late Evening</v>
      </c>
      <c r="H594" s="2" t="b">
        <v>0</v>
      </c>
      <c r="I594" s="2">
        <v>4</v>
      </c>
      <c r="J594" s="2">
        <v>1</v>
      </c>
      <c r="K594" s="14">
        <v>0.18</v>
      </c>
      <c r="L594" s="4">
        <v>0.21210000000000001</v>
      </c>
      <c r="M594" s="4">
        <v>0.74</v>
      </c>
      <c r="N594" s="4">
        <v>8.9599999999999999E-2</v>
      </c>
      <c r="O594" s="4">
        <v>2</v>
      </c>
      <c r="P594" s="4">
        <v>36</v>
      </c>
      <c r="Q594" s="8">
        <v>38</v>
      </c>
    </row>
    <row r="595" spans="1:17" x14ac:dyDescent="0.25">
      <c r="A595" s="7">
        <v>594</v>
      </c>
      <c r="B595" s="3">
        <v>40570</v>
      </c>
      <c r="C595" s="2">
        <v>1</v>
      </c>
      <c r="D595" s="2">
        <v>0</v>
      </c>
      <c r="E595" s="2">
        <v>1</v>
      </c>
      <c r="F595" s="2">
        <v>22</v>
      </c>
      <c r="G595" s="2" t="str" cm="1">
        <f t="array" ref="G595">_xlfn.IFS(F595&lt;3,"Night",F595&lt;=6,"Early Morning",F595&lt;8,"Morning",F595&lt;10,"Late Morning",F595&lt;12,"Afternoon",F595&lt;16,"Afternoon",F595&lt;=18,"Early Evening",F595&lt;=20,"Evening",F595&lt;=22,"Late Evening",F595&lt;=23,"Night")</f>
        <v>Late Evening</v>
      </c>
      <c r="H595" s="2" t="b">
        <v>0</v>
      </c>
      <c r="I595" s="2">
        <v>4</v>
      </c>
      <c r="J595" s="2">
        <v>1</v>
      </c>
      <c r="K595" s="14">
        <v>0.18</v>
      </c>
      <c r="L595" s="4">
        <v>0.21210000000000001</v>
      </c>
      <c r="M595" s="4">
        <v>0.74</v>
      </c>
      <c r="N595" s="4">
        <v>8.9599999999999999E-2</v>
      </c>
      <c r="O595" s="4">
        <v>0</v>
      </c>
      <c r="P595" s="4">
        <v>27</v>
      </c>
      <c r="Q595" s="8">
        <v>27</v>
      </c>
    </row>
    <row r="596" spans="1:17" x14ac:dyDescent="0.25">
      <c r="A596" s="7">
        <v>595</v>
      </c>
      <c r="B596" s="3">
        <v>40570</v>
      </c>
      <c r="C596" s="2">
        <v>1</v>
      </c>
      <c r="D596" s="2">
        <v>0</v>
      </c>
      <c r="E596" s="2">
        <v>1</v>
      </c>
      <c r="F596" s="2">
        <v>23</v>
      </c>
      <c r="G596" s="2" t="str" cm="1">
        <f t="array" ref="G596">_xlfn.IFS(F596&lt;3,"Night",F596&lt;=6,"Early Morning",F596&lt;8,"Morning",F596&lt;10,"Late Morning",F596&lt;12,"Afternoon",F596&lt;16,"Afternoon",F596&lt;=18,"Early Evening",F596&lt;=20,"Evening",F596&lt;=22,"Late Evening",F596&lt;=23,"Night")</f>
        <v>Night</v>
      </c>
      <c r="H596" s="2" t="b">
        <v>0</v>
      </c>
      <c r="I596" s="2">
        <v>4</v>
      </c>
      <c r="J596" s="2">
        <v>1</v>
      </c>
      <c r="K596" s="14">
        <v>0.18</v>
      </c>
      <c r="L596" s="4">
        <v>0.19700000000000001</v>
      </c>
      <c r="M596" s="4">
        <v>0.8</v>
      </c>
      <c r="N596" s="4">
        <v>0.16420000000000001</v>
      </c>
      <c r="O596" s="4">
        <v>0</v>
      </c>
      <c r="P596" s="4">
        <v>16</v>
      </c>
      <c r="Q596" s="8">
        <v>16</v>
      </c>
    </row>
    <row r="597" spans="1:17" x14ac:dyDescent="0.25">
      <c r="A597" s="7">
        <v>596</v>
      </c>
      <c r="B597" s="3">
        <v>40571</v>
      </c>
      <c r="C597" s="2">
        <v>1</v>
      </c>
      <c r="D597" s="2">
        <v>0</v>
      </c>
      <c r="E597" s="2">
        <v>1</v>
      </c>
      <c r="F597" s="2">
        <v>0</v>
      </c>
      <c r="G597" s="2" t="str" cm="1">
        <f t="array" ref="G597">_xlfn.IFS(F597&lt;3,"Night",F597&lt;=6,"Early Morning",F597&lt;8,"Morning",F597&lt;10,"Late Morning",F597&lt;12,"Afternoon",F597&lt;16,"Afternoon",F597&lt;=18,"Early Evening",F597&lt;=20,"Evening",F597&lt;=22,"Late Evening",F597&lt;=23,"Night")</f>
        <v>Night</v>
      </c>
      <c r="H597" s="2" t="b">
        <v>0</v>
      </c>
      <c r="I597" s="2">
        <v>5</v>
      </c>
      <c r="J597" s="2">
        <v>2</v>
      </c>
      <c r="K597" s="14">
        <v>0.2</v>
      </c>
      <c r="L597" s="4">
        <v>0.21210000000000001</v>
      </c>
      <c r="M597" s="4">
        <v>0.75</v>
      </c>
      <c r="N597" s="4">
        <v>0.1343</v>
      </c>
      <c r="O597" s="4">
        <v>0</v>
      </c>
      <c r="P597" s="4">
        <v>9</v>
      </c>
      <c r="Q597" s="8">
        <v>9</v>
      </c>
    </row>
    <row r="598" spans="1:17" x14ac:dyDescent="0.25">
      <c r="A598" s="7">
        <v>597</v>
      </c>
      <c r="B598" s="3">
        <v>40571</v>
      </c>
      <c r="C598" s="2">
        <v>1</v>
      </c>
      <c r="D598" s="2">
        <v>0</v>
      </c>
      <c r="E598" s="2">
        <v>1</v>
      </c>
      <c r="F598" s="2">
        <v>1</v>
      </c>
      <c r="G598" s="2" t="str" cm="1">
        <f t="array" ref="G598">_xlfn.IFS(F598&lt;3,"Night",F598&lt;=6,"Early Morning",F598&lt;8,"Morning",F598&lt;10,"Late Morning",F598&lt;12,"Afternoon",F598&lt;16,"Afternoon",F598&lt;=18,"Early Evening",F598&lt;=20,"Evening",F598&lt;=22,"Late Evening",F598&lt;=23,"Night")</f>
        <v>Night</v>
      </c>
      <c r="H598" s="2" t="b">
        <v>0</v>
      </c>
      <c r="I598" s="2">
        <v>5</v>
      </c>
      <c r="J598" s="2">
        <v>2</v>
      </c>
      <c r="K598" s="14">
        <v>0.2</v>
      </c>
      <c r="L598" s="4">
        <v>0.21210000000000001</v>
      </c>
      <c r="M598" s="4">
        <v>0.75</v>
      </c>
      <c r="N598" s="4">
        <v>0.1343</v>
      </c>
      <c r="O598" s="4">
        <v>1</v>
      </c>
      <c r="P598" s="4">
        <v>2</v>
      </c>
      <c r="Q598" s="8">
        <v>3</v>
      </c>
    </row>
    <row r="599" spans="1:17" x14ac:dyDescent="0.25">
      <c r="A599" s="7">
        <v>598</v>
      </c>
      <c r="B599" s="3">
        <v>40571</v>
      </c>
      <c r="C599" s="2">
        <v>1</v>
      </c>
      <c r="D599" s="2">
        <v>0</v>
      </c>
      <c r="E599" s="2">
        <v>1</v>
      </c>
      <c r="F599" s="2">
        <v>2</v>
      </c>
      <c r="G599" s="2" t="str" cm="1">
        <f t="array" ref="G599">_xlfn.IFS(F599&lt;3,"Night",F599&lt;=6,"Early Morning",F599&lt;8,"Morning",F599&lt;10,"Late Morning",F599&lt;12,"Afternoon",F599&lt;16,"Afternoon",F599&lt;=18,"Early Evening",F599&lt;=20,"Evening",F599&lt;=22,"Late Evening",F599&lt;=23,"Night")</f>
        <v>Night</v>
      </c>
      <c r="H599" s="2" t="b">
        <v>0</v>
      </c>
      <c r="I599" s="2">
        <v>5</v>
      </c>
      <c r="J599" s="2">
        <v>2</v>
      </c>
      <c r="K599" s="14">
        <v>0.2</v>
      </c>
      <c r="L599" s="4">
        <v>0.21210000000000001</v>
      </c>
      <c r="M599" s="4">
        <v>0.75</v>
      </c>
      <c r="N599" s="4">
        <v>0.16420000000000001</v>
      </c>
      <c r="O599" s="4">
        <v>0</v>
      </c>
      <c r="P599" s="4">
        <v>2</v>
      </c>
      <c r="Q599" s="8">
        <v>2</v>
      </c>
    </row>
    <row r="600" spans="1:17" x14ac:dyDescent="0.25">
      <c r="A600" s="7">
        <v>599</v>
      </c>
      <c r="B600" s="3">
        <v>40571</v>
      </c>
      <c r="C600" s="2">
        <v>1</v>
      </c>
      <c r="D600" s="2">
        <v>0</v>
      </c>
      <c r="E600" s="2">
        <v>1</v>
      </c>
      <c r="F600" s="2">
        <v>3</v>
      </c>
      <c r="G600" s="2" t="str" cm="1">
        <f t="array" ref="G600">_xlfn.IFS(F600&lt;3,"Night",F600&lt;=6,"Early Morning",F600&lt;8,"Morning",F600&lt;10,"Late Morning",F600&lt;12,"Afternoon",F600&lt;16,"Afternoon",F600&lt;=18,"Early Evening",F600&lt;=20,"Evening",F600&lt;=22,"Late Evening",F600&lt;=23,"Night")</f>
        <v>Early Morning</v>
      </c>
      <c r="H600" s="2" t="b">
        <v>0</v>
      </c>
      <c r="I600" s="2">
        <v>5</v>
      </c>
      <c r="J600" s="2">
        <v>2</v>
      </c>
      <c r="K600" s="14">
        <v>0.2</v>
      </c>
      <c r="L600" s="4">
        <v>0.2273</v>
      </c>
      <c r="M600" s="4">
        <v>0.75</v>
      </c>
      <c r="N600" s="4">
        <v>0.1045</v>
      </c>
      <c r="O600" s="4">
        <v>1</v>
      </c>
      <c r="P600" s="4">
        <v>0</v>
      </c>
      <c r="Q600" s="8">
        <v>1</v>
      </c>
    </row>
    <row r="601" spans="1:17" x14ac:dyDescent="0.25">
      <c r="A601" s="7">
        <v>600</v>
      </c>
      <c r="B601" s="3">
        <v>40571</v>
      </c>
      <c r="C601" s="2">
        <v>1</v>
      </c>
      <c r="D601" s="2">
        <v>0</v>
      </c>
      <c r="E601" s="2">
        <v>1</v>
      </c>
      <c r="F601" s="2">
        <v>5</v>
      </c>
      <c r="G601" s="2" t="str" cm="1">
        <f t="array" ref="G601">_xlfn.IFS(F601&lt;3,"Night",F601&lt;=6,"Early Morning",F601&lt;8,"Morning",F601&lt;10,"Late Morning",F601&lt;12,"Afternoon",F601&lt;16,"Afternoon",F601&lt;=18,"Early Evening",F601&lt;=20,"Evening",F601&lt;=22,"Late Evening",F601&lt;=23,"Night")</f>
        <v>Early Morning</v>
      </c>
      <c r="H601" s="2" t="b">
        <v>0</v>
      </c>
      <c r="I601" s="2">
        <v>5</v>
      </c>
      <c r="J601" s="2">
        <v>2</v>
      </c>
      <c r="K601" s="14">
        <v>0.18</v>
      </c>
      <c r="L601" s="4">
        <v>0.21210000000000001</v>
      </c>
      <c r="M601" s="4">
        <v>0.8</v>
      </c>
      <c r="N601" s="4">
        <v>0.1045</v>
      </c>
      <c r="O601" s="4">
        <v>0</v>
      </c>
      <c r="P601" s="4">
        <v>4</v>
      </c>
      <c r="Q601" s="8">
        <v>4</v>
      </c>
    </row>
    <row r="602" spans="1:17" x14ac:dyDescent="0.25">
      <c r="A602" s="7">
        <v>601</v>
      </c>
      <c r="B602" s="3">
        <v>40571</v>
      </c>
      <c r="C602" s="2">
        <v>1</v>
      </c>
      <c r="D602" s="2">
        <v>0</v>
      </c>
      <c r="E602" s="2">
        <v>1</v>
      </c>
      <c r="F602" s="2">
        <v>6</v>
      </c>
      <c r="G602" s="2" t="str" cm="1">
        <f t="array" ref="G602">_xlfn.IFS(F602&lt;3,"Night",F602&lt;=6,"Early Morning",F602&lt;8,"Morning",F602&lt;10,"Late Morning",F602&lt;12,"Afternoon",F602&lt;16,"Afternoon",F602&lt;=18,"Early Evening",F602&lt;=20,"Evening",F602&lt;=22,"Late Evening",F602&lt;=23,"Night")</f>
        <v>Early Morning</v>
      </c>
      <c r="H602" s="2" t="b">
        <v>0</v>
      </c>
      <c r="I602" s="2">
        <v>5</v>
      </c>
      <c r="J602" s="2">
        <v>2</v>
      </c>
      <c r="K602" s="14">
        <v>0.18</v>
      </c>
      <c r="L602" s="4">
        <v>0.19700000000000001</v>
      </c>
      <c r="M602" s="4">
        <v>0.8</v>
      </c>
      <c r="N602" s="4">
        <v>0.1343</v>
      </c>
      <c r="O602" s="4">
        <v>0</v>
      </c>
      <c r="P602" s="4">
        <v>16</v>
      </c>
      <c r="Q602" s="8">
        <v>16</v>
      </c>
    </row>
    <row r="603" spans="1:17" x14ac:dyDescent="0.25">
      <c r="A603" s="7">
        <v>602</v>
      </c>
      <c r="B603" s="3">
        <v>40571</v>
      </c>
      <c r="C603" s="2">
        <v>1</v>
      </c>
      <c r="D603" s="2">
        <v>0</v>
      </c>
      <c r="E603" s="2">
        <v>1</v>
      </c>
      <c r="F603" s="2">
        <v>7</v>
      </c>
      <c r="G603" s="2" t="str" cm="1">
        <f t="array" ref="G603">_xlfn.IFS(F603&lt;3,"Night",F603&lt;=6,"Early Morning",F603&lt;8,"Morning",F603&lt;10,"Late Morning",F603&lt;12,"Afternoon",F603&lt;16,"Afternoon",F603&lt;=18,"Early Evening",F603&lt;=20,"Evening",F603&lt;=22,"Late Evening",F603&lt;=23,"Night")</f>
        <v>Morning</v>
      </c>
      <c r="H603" s="2" t="b">
        <v>0</v>
      </c>
      <c r="I603" s="2">
        <v>5</v>
      </c>
      <c r="J603" s="2">
        <v>2</v>
      </c>
      <c r="K603" s="14">
        <v>0.16</v>
      </c>
      <c r="L603" s="4">
        <v>0.19700000000000001</v>
      </c>
      <c r="M603" s="4">
        <v>0.86</v>
      </c>
      <c r="N603" s="4">
        <v>8.9599999999999999E-2</v>
      </c>
      <c r="O603" s="4">
        <v>2</v>
      </c>
      <c r="P603" s="4">
        <v>58</v>
      </c>
      <c r="Q603" s="8">
        <v>60</v>
      </c>
    </row>
    <row r="604" spans="1:17" x14ac:dyDescent="0.25">
      <c r="A604" s="7">
        <v>603</v>
      </c>
      <c r="B604" s="3">
        <v>40571</v>
      </c>
      <c r="C604" s="2">
        <v>1</v>
      </c>
      <c r="D604" s="2">
        <v>0</v>
      </c>
      <c r="E604" s="2">
        <v>1</v>
      </c>
      <c r="F604" s="2">
        <v>8</v>
      </c>
      <c r="G604" s="2" t="str" cm="1">
        <f t="array" ref="G604">_xlfn.IFS(F604&lt;3,"Night",F604&lt;=6,"Early Morning",F604&lt;8,"Morning",F604&lt;10,"Late Morning",F604&lt;12,"Afternoon",F604&lt;16,"Afternoon",F604&lt;=18,"Early Evening",F604&lt;=20,"Evening",F604&lt;=22,"Late Evening",F604&lt;=23,"Night")</f>
        <v>Late Morning</v>
      </c>
      <c r="H604" s="2" t="b">
        <v>0</v>
      </c>
      <c r="I604" s="2">
        <v>5</v>
      </c>
      <c r="J604" s="2">
        <v>2</v>
      </c>
      <c r="K604" s="14">
        <v>0.16</v>
      </c>
      <c r="L604" s="4">
        <v>0.19700000000000001</v>
      </c>
      <c r="M604" s="4">
        <v>0.86</v>
      </c>
      <c r="N604" s="4">
        <v>8.9599999999999999E-2</v>
      </c>
      <c r="O604" s="4">
        <v>2</v>
      </c>
      <c r="P604" s="4">
        <v>155</v>
      </c>
      <c r="Q604" s="8">
        <v>157</v>
      </c>
    </row>
    <row r="605" spans="1:17" x14ac:dyDescent="0.25">
      <c r="A605" s="7">
        <v>604</v>
      </c>
      <c r="B605" s="3">
        <v>40571</v>
      </c>
      <c r="C605" s="2">
        <v>1</v>
      </c>
      <c r="D605" s="2">
        <v>0</v>
      </c>
      <c r="E605" s="2">
        <v>1</v>
      </c>
      <c r="F605" s="2">
        <v>9</v>
      </c>
      <c r="G605" s="2" t="str" cm="1">
        <f t="array" ref="G605">_xlfn.IFS(F605&lt;3,"Night",F605&lt;=6,"Early Morning",F605&lt;8,"Morning",F605&lt;10,"Late Morning",F605&lt;12,"Afternoon",F605&lt;16,"Afternoon",F605&lt;=18,"Early Evening",F605&lt;=20,"Evening",F605&lt;=22,"Late Evening",F605&lt;=23,"Night")</f>
        <v>Late Morning</v>
      </c>
      <c r="H605" s="2" t="b">
        <v>0</v>
      </c>
      <c r="I605" s="2">
        <v>5</v>
      </c>
      <c r="J605" s="2">
        <v>3</v>
      </c>
      <c r="K605" s="14">
        <v>0.18</v>
      </c>
      <c r="L605" s="4">
        <v>0.21210000000000001</v>
      </c>
      <c r="M605" s="4">
        <v>0.86</v>
      </c>
      <c r="N605" s="4">
        <v>8.9599999999999999E-2</v>
      </c>
      <c r="O605" s="4">
        <v>6</v>
      </c>
      <c r="P605" s="4">
        <v>95</v>
      </c>
      <c r="Q605" s="8">
        <v>101</v>
      </c>
    </row>
    <row r="606" spans="1:17" x14ac:dyDescent="0.25">
      <c r="A606" s="7">
        <v>605</v>
      </c>
      <c r="B606" s="3">
        <v>40571</v>
      </c>
      <c r="C606" s="2">
        <v>1</v>
      </c>
      <c r="D606" s="2">
        <v>0</v>
      </c>
      <c r="E606" s="2">
        <v>1</v>
      </c>
      <c r="F606" s="2">
        <v>10</v>
      </c>
      <c r="G606" s="2" t="str" cm="1">
        <f t="array" ref="G606">_xlfn.IFS(F606&lt;3,"Night",F606&lt;=6,"Early Morning",F606&lt;8,"Morning",F606&lt;10,"Late Morning",F606&lt;12,"Afternoon",F606&lt;16,"Afternoon",F606&lt;=18,"Early Evening",F606&lt;=20,"Evening",F606&lt;=22,"Late Evening",F606&lt;=23,"Night")</f>
        <v>Afternoon</v>
      </c>
      <c r="H606" s="2" t="b">
        <v>0</v>
      </c>
      <c r="I606" s="2">
        <v>5</v>
      </c>
      <c r="J606" s="2">
        <v>3</v>
      </c>
      <c r="K606" s="14">
        <v>0.18</v>
      </c>
      <c r="L606" s="4">
        <v>0.21210000000000001</v>
      </c>
      <c r="M606" s="4">
        <v>0.86</v>
      </c>
      <c r="N606" s="4">
        <v>0.1045</v>
      </c>
      <c r="O606" s="4">
        <v>0</v>
      </c>
      <c r="P606" s="4">
        <v>49</v>
      </c>
      <c r="Q606" s="8">
        <v>49</v>
      </c>
    </row>
    <row r="607" spans="1:17" x14ac:dyDescent="0.25">
      <c r="A607" s="7">
        <v>606</v>
      </c>
      <c r="B607" s="3">
        <v>40571</v>
      </c>
      <c r="C607" s="2">
        <v>1</v>
      </c>
      <c r="D607" s="2">
        <v>0</v>
      </c>
      <c r="E607" s="2">
        <v>1</v>
      </c>
      <c r="F607" s="2">
        <v>11</v>
      </c>
      <c r="G607" s="2" t="str" cm="1">
        <f t="array" ref="G607">_xlfn.IFS(F607&lt;3,"Night",F607&lt;=6,"Early Morning",F607&lt;8,"Morning",F607&lt;10,"Late Morning",F607&lt;12,"Afternoon",F607&lt;16,"Afternoon",F607&lt;=18,"Early Evening",F607&lt;=20,"Evening",F607&lt;=22,"Late Evening",F607&lt;=23,"Night")</f>
        <v>Afternoon</v>
      </c>
      <c r="H607" s="2" t="b">
        <v>0</v>
      </c>
      <c r="I607" s="2">
        <v>5</v>
      </c>
      <c r="J607" s="2">
        <v>3</v>
      </c>
      <c r="K607" s="14">
        <v>0.18</v>
      </c>
      <c r="L607" s="4">
        <v>0.21210000000000001</v>
      </c>
      <c r="M607" s="4">
        <v>0.93</v>
      </c>
      <c r="N607" s="4">
        <v>0.1045</v>
      </c>
      <c r="O607" s="4">
        <v>0</v>
      </c>
      <c r="P607" s="4">
        <v>30</v>
      </c>
      <c r="Q607" s="8">
        <v>30</v>
      </c>
    </row>
    <row r="608" spans="1:17" x14ac:dyDescent="0.25">
      <c r="A608" s="7">
        <v>607</v>
      </c>
      <c r="B608" s="3">
        <v>40571</v>
      </c>
      <c r="C608" s="2">
        <v>1</v>
      </c>
      <c r="D608" s="2">
        <v>0</v>
      </c>
      <c r="E608" s="2">
        <v>1</v>
      </c>
      <c r="F608" s="2">
        <v>12</v>
      </c>
      <c r="G608" s="2" t="str" cm="1">
        <f t="array" ref="G608">_xlfn.IFS(F608&lt;3,"Night",F608&lt;=6,"Early Morning",F608&lt;8,"Morning",F608&lt;10,"Late Morning",F608&lt;12,"Afternoon",F608&lt;16,"Afternoon",F608&lt;=18,"Early Evening",F608&lt;=20,"Evening",F608&lt;=22,"Late Evening",F608&lt;=23,"Night")</f>
        <v>Afternoon</v>
      </c>
      <c r="H608" s="2" t="b">
        <v>0</v>
      </c>
      <c r="I608" s="2">
        <v>5</v>
      </c>
      <c r="J608" s="2">
        <v>3</v>
      </c>
      <c r="K608" s="14">
        <v>0.18</v>
      </c>
      <c r="L608" s="4">
        <v>0.21210000000000001</v>
      </c>
      <c r="M608" s="4">
        <v>0.93</v>
      </c>
      <c r="N608" s="4">
        <v>0.1045</v>
      </c>
      <c r="O608" s="4">
        <v>1</v>
      </c>
      <c r="P608" s="4">
        <v>28</v>
      </c>
      <c r="Q608" s="8">
        <v>29</v>
      </c>
    </row>
    <row r="609" spans="1:17" x14ac:dyDescent="0.25">
      <c r="A609" s="7">
        <v>608</v>
      </c>
      <c r="B609" s="3">
        <v>40571</v>
      </c>
      <c r="C609" s="2">
        <v>1</v>
      </c>
      <c r="D609" s="2">
        <v>0</v>
      </c>
      <c r="E609" s="2">
        <v>1</v>
      </c>
      <c r="F609" s="2">
        <v>13</v>
      </c>
      <c r="G609" s="2" t="str" cm="1">
        <f t="array" ref="G609">_xlfn.IFS(F609&lt;3,"Night",F609&lt;=6,"Early Morning",F609&lt;8,"Morning",F609&lt;10,"Late Morning",F609&lt;12,"Afternoon",F609&lt;16,"Afternoon",F609&lt;=18,"Early Evening",F609&lt;=20,"Evening",F609&lt;=22,"Late Evening",F609&lt;=23,"Night")</f>
        <v>Afternoon</v>
      </c>
      <c r="H609" s="2" t="b">
        <v>0</v>
      </c>
      <c r="I609" s="2">
        <v>5</v>
      </c>
      <c r="J609" s="2">
        <v>3</v>
      </c>
      <c r="K609" s="14">
        <v>0.18</v>
      </c>
      <c r="L609" s="4">
        <v>0.21210000000000001</v>
      </c>
      <c r="M609" s="4">
        <v>0.93</v>
      </c>
      <c r="N609" s="4">
        <v>0.1045</v>
      </c>
      <c r="O609" s="4">
        <v>0</v>
      </c>
      <c r="P609" s="4">
        <v>31</v>
      </c>
      <c r="Q609" s="8">
        <v>31</v>
      </c>
    </row>
    <row r="610" spans="1:17" x14ac:dyDescent="0.25">
      <c r="A610" s="7">
        <v>609</v>
      </c>
      <c r="B610" s="3">
        <v>40571</v>
      </c>
      <c r="C610" s="2">
        <v>1</v>
      </c>
      <c r="D610" s="2">
        <v>0</v>
      </c>
      <c r="E610" s="2">
        <v>1</v>
      </c>
      <c r="F610" s="2">
        <v>14</v>
      </c>
      <c r="G610" s="2" t="str" cm="1">
        <f t="array" ref="G610">_xlfn.IFS(F610&lt;3,"Night",F610&lt;=6,"Early Morning",F610&lt;8,"Morning",F610&lt;10,"Late Morning",F610&lt;12,"Afternoon",F610&lt;16,"Afternoon",F610&lt;=18,"Early Evening",F610&lt;=20,"Evening",F610&lt;=22,"Late Evening",F610&lt;=23,"Night")</f>
        <v>Afternoon</v>
      </c>
      <c r="H610" s="2" t="b">
        <v>0</v>
      </c>
      <c r="I610" s="2">
        <v>5</v>
      </c>
      <c r="J610" s="2">
        <v>3</v>
      </c>
      <c r="K610" s="14">
        <v>0.22</v>
      </c>
      <c r="L610" s="4">
        <v>0.2727</v>
      </c>
      <c r="M610" s="4">
        <v>0.8</v>
      </c>
      <c r="N610" s="4">
        <v>0</v>
      </c>
      <c r="O610" s="4">
        <v>2</v>
      </c>
      <c r="P610" s="4">
        <v>36</v>
      </c>
      <c r="Q610" s="8">
        <v>38</v>
      </c>
    </row>
    <row r="611" spans="1:17" x14ac:dyDescent="0.25">
      <c r="A611" s="9">
        <v>610</v>
      </c>
      <c r="B611" s="10">
        <v>40571</v>
      </c>
      <c r="C611" s="11">
        <v>1</v>
      </c>
      <c r="D611" s="11">
        <v>0</v>
      </c>
      <c r="E611" s="11">
        <v>1</v>
      </c>
      <c r="F611" s="11">
        <v>15</v>
      </c>
      <c r="G611" s="11" t="str" cm="1">
        <f t="array" ref="G611">_xlfn.IFS(F611&lt;3,"Night",F611&lt;=6,"Early Morning",F611&lt;8,"Morning",F611&lt;10,"Late Morning",F611&lt;12,"Afternoon",F611&lt;16,"Afternoon",F611&lt;=18,"Early Evening",F611&lt;=20,"Evening",F611&lt;=22,"Late Evening",F611&lt;=23,"Night")</f>
        <v>Afternoon</v>
      </c>
      <c r="H611" s="11" t="b">
        <v>0</v>
      </c>
      <c r="I611" s="11">
        <v>5</v>
      </c>
      <c r="J611" s="11">
        <v>2</v>
      </c>
      <c r="K611" s="19">
        <v>0.2</v>
      </c>
      <c r="L611" s="12">
        <v>0.2576</v>
      </c>
      <c r="M611" s="12">
        <v>0.86</v>
      </c>
      <c r="N611" s="12">
        <v>0</v>
      </c>
      <c r="O611" s="12">
        <v>1</v>
      </c>
      <c r="P611" s="12">
        <v>40</v>
      </c>
      <c r="Q611" s="13">
        <v>41</v>
      </c>
    </row>
  </sheetData>
  <conditionalFormatting sqref="K1">
    <cfRule type="colorScale" priority="1">
      <colorScale>
        <cfvo type="min"/>
        <cfvo type="percentile" val="30"/>
        <cfvo type="max"/>
        <color rgb="FFF8696B"/>
        <color rgb="FFFFEB84"/>
        <color rgb="FF63BE7B"/>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9BD8B-DCF2-4981-99D0-4FADD02AF5D9}">
  <dimension ref="A6:C16"/>
  <sheetViews>
    <sheetView workbookViewId="0">
      <selection activeCell="C22" sqref="C22"/>
    </sheetView>
  </sheetViews>
  <sheetFormatPr defaultRowHeight="13.2" x14ac:dyDescent="0.25"/>
  <cols>
    <col min="1" max="1" width="11.33203125" bestFit="1" customWidth="1"/>
    <col min="2" max="2" width="17.21875" bestFit="1" customWidth="1"/>
    <col min="3" max="3" width="20.77734375" bestFit="1" customWidth="1"/>
  </cols>
  <sheetData>
    <row r="6" spans="1:3" x14ac:dyDescent="0.25">
      <c r="A6" s="73" t="s">
        <v>53</v>
      </c>
      <c r="B6" s="73"/>
      <c r="C6" s="73"/>
    </row>
    <row r="7" spans="1:3" x14ac:dyDescent="0.25">
      <c r="A7" s="73"/>
      <c r="B7" s="73"/>
      <c r="C7" s="73"/>
    </row>
    <row r="8" spans="1:3" x14ac:dyDescent="0.25">
      <c r="A8" s="5" t="s">
        <v>42</v>
      </c>
      <c r="B8" s="6" t="s">
        <v>43</v>
      </c>
      <c r="C8" s="6" t="s">
        <v>44</v>
      </c>
    </row>
    <row r="9" spans="1:3" x14ac:dyDescent="0.25">
      <c r="A9" s="6">
        <v>0</v>
      </c>
      <c r="B9" s="6">
        <v>94</v>
      </c>
      <c r="C9" s="6">
        <v>94</v>
      </c>
    </row>
    <row r="10" spans="1:3" x14ac:dyDescent="0.25">
      <c r="A10" s="6">
        <v>1</v>
      </c>
      <c r="B10" s="6">
        <v>93</v>
      </c>
      <c r="C10" s="6">
        <v>93</v>
      </c>
    </row>
    <row r="11" spans="1:3" x14ac:dyDescent="0.25">
      <c r="A11" s="6">
        <v>2</v>
      </c>
      <c r="B11" s="6">
        <v>80</v>
      </c>
      <c r="C11" s="6">
        <v>80</v>
      </c>
    </row>
    <row r="12" spans="1:3" x14ac:dyDescent="0.25">
      <c r="A12" s="6">
        <v>3</v>
      </c>
      <c r="B12" s="6">
        <v>84</v>
      </c>
      <c r="C12" s="6">
        <v>84</v>
      </c>
    </row>
    <row r="13" spans="1:3" x14ac:dyDescent="0.25">
      <c r="A13" s="6">
        <v>4</v>
      </c>
      <c r="B13" s="6">
        <v>79</v>
      </c>
      <c r="C13" s="6">
        <v>79</v>
      </c>
    </row>
    <row r="14" spans="1:3" x14ac:dyDescent="0.25">
      <c r="A14" s="6">
        <v>5</v>
      </c>
      <c r="B14" s="6">
        <v>85</v>
      </c>
      <c r="C14" s="6">
        <v>85</v>
      </c>
    </row>
    <row r="15" spans="1:3" x14ac:dyDescent="0.25">
      <c r="A15" s="6">
        <v>6</v>
      </c>
      <c r="B15" s="6">
        <v>95</v>
      </c>
      <c r="C15" s="6">
        <v>95</v>
      </c>
    </row>
    <row r="16" spans="1:3" x14ac:dyDescent="0.25">
      <c r="A16" s="6" t="s">
        <v>15</v>
      </c>
      <c r="B16" s="6">
        <v>610</v>
      </c>
      <c r="C16" s="6">
        <v>610</v>
      </c>
    </row>
  </sheetData>
  <mergeCells count="1">
    <mergeCell ref="A6:C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5154-5B29-46A3-A326-8587B98CA1CD}">
  <dimension ref="A1:M11"/>
  <sheetViews>
    <sheetView workbookViewId="0">
      <selection activeCell="A4" sqref="A4:E9"/>
    </sheetView>
  </sheetViews>
  <sheetFormatPr defaultColWidth="16.33203125" defaultRowHeight="13.2" x14ac:dyDescent="0.25"/>
  <sheetData>
    <row r="1" spans="1:13" ht="25.2" thickBot="1" x14ac:dyDescent="0.3">
      <c r="A1" s="80" t="s">
        <v>62</v>
      </c>
      <c r="B1" s="81"/>
      <c r="C1" s="81" t="s">
        <v>63</v>
      </c>
      <c r="D1" s="81"/>
      <c r="E1" s="81" t="s">
        <v>64</v>
      </c>
      <c r="F1" s="81"/>
      <c r="G1" s="82" t="s">
        <v>65</v>
      </c>
      <c r="H1" s="82"/>
      <c r="I1" s="81" t="s">
        <v>66</v>
      </c>
      <c r="J1" s="81"/>
      <c r="K1" s="81" t="s">
        <v>67</v>
      </c>
      <c r="L1" s="81"/>
      <c r="M1" s="83"/>
    </row>
    <row r="2" spans="1:13" ht="25.2" thickBot="1" x14ac:dyDescent="0.3">
      <c r="A2" s="77">
        <f>+SUM('Combined Dataset'!T2:T1001)</f>
        <v>58304</v>
      </c>
      <c r="B2" s="78"/>
      <c r="C2" s="78">
        <f>ROUNDUP(AVERAGE('Combined Dataset'!T2:T1001),0)</f>
        <v>59</v>
      </c>
      <c r="D2" s="78"/>
      <c r="E2" s="78">
        <f>MAX('Combined Dataset'!T:T)</f>
        <v>249</v>
      </c>
      <c r="F2" s="78"/>
      <c r="G2" s="78">
        <f>MEDIAN('Combined Dataset'!T1:T1001)</f>
        <v>49</v>
      </c>
      <c r="H2" s="78"/>
      <c r="I2" s="78">
        <f>SUM('Combined Dataset'!S2:S1001)</f>
        <v>53383</v>
      </c>
      <c r="J2" s="78"/>
      <c r="K2" s="78">
        <f>SUM('Combined Dataset'!R2:R1001)</f>
        <v>4921</v>
      </c>
      <c r="L2" s="78"/>
      <c r="M2" s="79"/>
    </row>
    <row r="3" spans="1:13" ht="13.8" thickBot="1" x14ac:dyDescent="0.3"/>
    <row r="4" spans="1:13" ht="23.4" thickBot="1" x14ac:dyDescent="0.3">
      <c r="A4" s="74" t="s">
        <v>68</v>
      </c>
      <c r="B4" s="75"/>
      <c r="C4" s="75"/>
      <c r="D4" s="75"/>
      <c r="E4" s="76"/>
    </row>
    <row r="5" spans="1:13" ht="17.399999999999999" x14ac:dyDescent="0.25">
      <c r="A5" s="56" t="s">
        <v>69</v>
      </c>
      <c r="B5" s="57" t="s">
        <v>70</v>
      </c>
      <c r="C5" s="57" t="s">
        <v>71</v>
      </c>
      <c r="D5" s="57" t="s">
        <v>72</v>
      </c>
      <c r="E5" s="58" t="s">
        <v>73</v>
      </c>
    </row>
    <row r="6" spans="1:13" ht="15.6" x14ac:dyDescent="0.25">
      <c r="A6" s="59">
        <v>1</v>
      </c>
      <c r="B6" s="6">
        <f>ROUNDUP(SUMIF(Table4[Weather_Situation],"=1",(Table4[cnt])),0)</f>
        <v>37373</v>
      </c>
      <c r="C6" s="6" t="str">
        <f>ROUNDUP(B6/SUM($B$6:$B$9)*100,0)&amp;"%"</f>
        <v>65%</v>
      </c>
      <c r="D6" s="6">
        <f>ROUNDUP(AVERAGEIF(Table4[Weather_Situation],"=1",(Table4[cnt])),0)</f>
        <v>62</v>
      </c>
      <c r="E6" s="6">
        <f>ROUNDUP(_xlfn.MAXIFS(Table4[cnt],Table4[Weather_Situation],"=1"),0)</f>
        <v>249</v>
      </c>
    </row>
    <row r="7" spans="1:13" ht="15.6" x14ac:dyDescent="0.25">
      <c r="A7" s="59">
        <v>2</v>
      </c>
      <c r="B7" s="6">
        <f>ROUNDUP(SUMIF(Table4[Weather_Situation],"=2",(Table4[cnt])),0)</f>
        <v>18106</v>
      </c>
      <c r="C7" s="6" t="str">
        <f t="shared" ref="C7:C9" si="0">ROUNDUP(B7/SUM($B$6:$B$9)*100,0)&amp;"%"</f>
        <v>32%</v>
      </c>
      <c r="D7" s="6">
        <f>ROUNDUP(AVERAGEIF(Table4[Weather_Situation],"=2",(Table4[cnt])),0)</f>
        <v>59</v>
      </c>
      <c r="E7" s="6">
        <f>ROUNDUP(_xlfn.MAXIFS(Table4[cnt],Table4[Weather_Situation],"=2"),0)</f>
        <v>238</v>
      </c>
    </row>
    <row r="8" spans="1:13" ht="15.6" x14ac:dyDescent="0.25">
      <c r="A8" s="59">
        <v>3</v>
      </c>
      <c r="B8" s="6">
        <f>ROUNDUP(SUMIF(Table4[Weather_Situation],"=3",(Table4[cnt])),0)</f>
        <v>2789</v>
      </c>
      <c r="C8" s="6" t="str">
        <f t="shared" si="0"/>
        <v>5%</v>
      </c>
      <c r="D8" s="6">
        <f>ROUNDUP(AVERAGEIF(Table4[Weather_Situation],"=3",(Table4[cnt])),0)</f>
        <v>34</v>
      </c>
      <c r="E8" s="6">
        <f>ROUNDUP(_xlfn.MAXIFS(Table4[cnt],Table4[Weather_Situation],"=3"),0)</f>
        <v>155</v>
      </c>
    </row>
    <row r="9" spans="1:13" ht="16.2" thickBot="1" x14ac:dyDescent="0.3">
      <c r="A9" s="60">
        <v>4</v>
      </c>
      <c r="B9" s="6">
        <f>ROUNDUP(SUMIF(Table4[Weather_Situation],"=4",(Table4[cnt])),0)</f>
        <v>36</v>
      </c>
      <c r="C9" s="6" t="str">
        <f t="shared" si="0"/>
        <v>1%</v>
      </c>
      <c r="D9" s="6">
        <f>ROUNDUP(AVERAGEIF(Table4[Weather_Situation],"=4",(Table4[cnt])),0)</f>
        <v>36</v>
      </c>
      <c r="E9" s="6">
        <f>ROUNDUP(_xlfn.MAXIFS(Table4[cnt],Table4[Weather_Situation],"=4"),0)</f>
        <v>36</v>
      </c>
    </row>
    <row r="11" spans="1:13" ht="13.2" customHeight="1" thickBot="1" x14ac:dyDescent="0.3">
      <c r="G11" s="54"/>
      <c r="H11" s="55"/>
    </row>
  </sheetData>
  <mergeCells count="13">
    <mergeCell ref="I2:J2"/>
    <mergeCell ref="K2:M2"/>
    <mergeCell ref="A1:B1"/>
    <mergeCell ref="C1:D1"/>
    <mergeCell ref="E1:F1"/>
    <mergeCell ref="G1:H1"/>
    <mergeCell ref="I1:J1"/>
    <mergeCell ref="K1:M1"/>
    <mergeCell ref="A4:E4"/>
    <mergeCell ref="A2:B2"/>
    <mergeCell ref="C2:D2"/>
    <mergeCell ref="E2:F2"/>
    <mergeCell ref="G2:H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61A36-550E-4F49-851B-D1F7FBBFC31A}">
  <sheetPr>
    <tabColor theme="2"/>
  </sheetPr>
  <dimension ref="A1:U1001"/>
  <sheetViews>
    <sheetView tabSelected="1" workbookViewId="0"/>
  </sheetViews>
  <sheetFormatPr defaultRowHeight="13.2" x14ac:dyDescent="0.25"/>
  <cols>
    <col min="1" max="1" width="9.88671875" style="49" customWidth="1"/>
    <col min="2" max="2" width="10.33203125" style="49" bestFit="1" customWidth="1"/>
    <col min="3" max="3" width="9.33203125" style="49" customWidth="1"/>
    <col min="4" max="6" width="8.88671875" style="49"/>
    <col min="7" max="7" width="14.21875" style="49" customWidth="1"/>
    <col min="8" max="8" width="9.109375" style="49" customWidth="1"/>
    <col min="9" max="9" width="10.44140625" style="49" customWidth="1"/>
    <col min="10" max="10" width="19.109375" style="49" customWidth="1"/>
    <col min="11" max="12" width="14" style="49" customWidth="1"/>
    <col min="13" max="15" width="8.88671875" style="49"/>
    <col min="16" max="17" width="12.21875" style="49" customWidth="1"/>
    <col min="18" max="18" width="17.88671875" style="49" customWidth="1"/>
    <col min="19" max="19" width="20.88671875" style="49" customWidth="1"/>
    <col min="20" max="16384" width="8.88671875" style="49"/>
  </cols>
  <sheetData>
    <row r="1" spans="1:21" x14ac:dyDescent="0.25">
      <c r="A1" s="61" t="s">
        <v>9</v>
      </c>
      <c r="B1" s="62" t="s">
        <v>10</v>
      </c>
      <c r="C1" s="62" t="s">
        <v>11</v>
      </c>
      <c r="D1" s="62" t="s">
        <v>80</v>
      </c>
      <c r="E1" s="62" t="s">
        <v>81</v>
      </c>
      <c r="F1" s="62" t="s">
        <v>82</v>
      </c>
      <c r="G1" s="38" t="s">
        <v>48</v>
      </c>
      <c r="H1" s="62" t="s">
        <v>83</v>
      </c>
      <c r="I1" s="62" t="s">
        <v>84</v>
      </c>
      <c r="J1" s="62" t="s">
        <v>12</v>
      </c>
      <c r="K1" s="62" t="s">
        <v>13</v>
      </c>
      <c r="L1" s="38" t="s">
        <v>49</v>
      </c>
      <c r="M1" s="62" t="s">
        <v>85</v>
      </c>
      <c r="N1" s="62" t="s">
        <v>79</v>
      </c>
      <c r="O1" s="38" t="s">
        <v>51</v>
      </c>
      <c r="P1" s="62" t="s">
        <v>86</v>
      </c>
      <c r="Q1" s="38" t="s">
        <v>52</v>
      </c>
      <c r="R1" s="62" t="s">
        <v>7</v>
      </c>
      <c r="S1" s="62" t="s">
        <v>6</v>
      </c>
      <c r="T1" s="62" t="s">
        <v>31</v>
      </c>
      <c r="U1" s="62" t="s">
        <v>50</v>
      </c>
    </row>
    <row r="2" spans="1:21" x14ac:dyDescent="0.25">
      <c r="A2" s="33">
        <v>1</v>
      </c>
      <c r="B2" s="34">
        <v>40544</v>
      </c>
      <c r="C2" s="35">
        <v>1</v>
      </c>
      <c r="D2" s="35">
        <v>0</v>
      </c>
      <c r="E2" s="35">
        <v>1</v>
      </c>
      <c r="F2" s="35">
        <v>0</v>
      </c>
      <c r="G2" s="35" t="str" cm="1">
        <f t="array" ref="G2">_xlfn.IFS(F2&lt;4,"Night",F2&lt;=6,"Early Morning",F2&lt;11,"Morning",F2&lt;12,"Afternoon",F2&lt;=16,"Afternoon",F2&lt;=20,"Evening",F2&gt;=21,"Night")</f>
        <v>Night</v>
      </c>
      <c r="H2" s="35" t="b">
        <v>0</v>
      </c>
      <c r="I2" s="35">
        <v>6</v>
      </c>
      <c r="J2" s="35">
        <v>1</v>
      </c>
      <c r="K2" s="31">
        <v>0.24</v>
      </c>
      <c r="L2" s="31" t="str" cm="1">
        <f t="array" ref="L2">_xlfn.IFS(K2&lt;0.15,"Cold",K2&lt;0.25,"Mild",K2&lt;=0.32,"Warm",K2&gt;=0.33,"Hot")</f>
        <v>Mild</v>
      </c>
      <c r="M2" s="36">
        <v>0.28789999999999999</v>
      </c>
      <c r="N2" s="36">
        <v>0.81</v>
      </c>
      <c r="O2" s="36" t="str" cm="1">
        <f t="array" ref="O2">_xlfn.IFS(N2&gt;0.61, "High Humidity", N2&gt;=0.6, "Humid", N2&gt;0.4, "Less Humidity", TRUE, "Dry")</f>
        <v>High Humidity</v>
      </c>
      <c r="P2" s="36">
        <v>0</v>
      </c>
      <c r="Q2" s="36" t="str" cm="1">
        <f t="array" ref="Q2">_xlfn.IFS(P2&lt;=0.2,"Low Windspeed",P2&lt;0.4,"Medium Windspeed",P2&gt;=0.41,"High Windspeed")</f>
        <v>Low Windspeed</v>
      </c>
      <c r="R2" s="36">
        <v>3</v>
      </c>
      <c r="S2" s="36">
        <v>13</v>
      </c>
      <c r="T2" s="37">
        <v>16</v>
      </c>
      <c r="U2" s="38" t="str" cm="1">
        <f t="array" ref="U2">_xlfn.IFS(T2&lt;=70,"Low",T2&lt;=160,"Medium",T2&gt;=161,"High")</f>
        <v>Low</v>
      </c>
    </row>
    <row r="3" spans="1:21" x14ac:dyDescent="0.25">
      <c r="A3" s="33">
        <v>2</v>
      </c>
      <c r="B3" s="34">
        <v>40544</v>
      </c>
      <c r="C3" s="35">
        <v>1</v>
      </c>
      <c r="D3" s="35">
        <v>0</v>
      </c>
      <c r="E3" s="35">
        <v>1</v>
      </c>
      <c r="F3" s="35">
        <v>1</v>
      </c>
      <c r="G3" s="35" t="str" cm="1">
        <f t="array" ref="G3">_xlfn.IFS(F3&lt;4,"Night",F3&lt;=6,"Early Morning",F3&lt;11,"Morning",F3&lt;12,"Afternoon",F3&lt;=16,"Afternoon",F3&lt;=20,"Evening",F3&gt;=21,"Night")</f>
        <v>Night</v>
      </c>
      <c r="H3" s="35" t="b">
        <v>0</v>
      </c>
      <c r="I3" s="35">
        <v>6</v>
      </c>
      <c r="J3" s="35">
        <v>1</v>
      </c>
      <c r="K3" s="31">
        <v>0.22</v>
      </c>
      <c r="L3" s="31" t="str" cm="1">
        <f t="array" ref="L3">_xlfn.IFS(K3&lt;0.15,"Cold",K3&lt;0.25,"Mild",K3&lt;=0.32,"Warm",K3&gt;=0.33,"Hot")</f>
        <v>Mild</v>
      </c>
      <c r="M3" s="36">
        <v>0.2727</v>
      </c>
      <c r="N3" s="36">
        <v>0.8</v>
      </c>
      <c r="O3" s="36" t="str" cm="1">
        <f t="array" ref="O3">_xlfn.IFS(N3&gt;0.61, "High Humidity", N3&gt;=0.6, "Humid", N3&gt;0.4, "Less Humidity", TRUE, "Dry")</f>
        <v>High Humidity</v>
      </c>
      <c r="P3" s="36">
        <v>0</v>
      </c>
      <c r="Q3" s="36" t="str" cm="1">
        <f t="array" ref="Q3">_xlfn.IFS(P3&lt;=0.2,"Low Windspeed",P3&lt;0.4,"Medium Windspeed",P3&gt;=0.41,"High Windspeed")</f>
        <v>Low Windspeed</v>
      </c>
      <c r="R3" s="36">
        <v>8</v>
      </c>
      <c r="S3" s="36">
        <v>32</v>
      </c>
      <c r="T3" s="37">
        <v>40</v>
      </c>
      <c r="U3" s="39" t="str" cm="1">
        <f t="array" ref="U3">_xlfn.IFS(T3&lt;=70,"Low",T3&lt;=160,"Medium",T3&gt;=161,"High")</f>
        <v>Low</v>
      </c>
    </row>
    <row r="4" spans="1:21" x14ac:dyDescent="0.25">
      <c r="A4" s="33">
        <v>3</v>
      </c>
      <c r="B4" s="34">
        <v>40544</v>
      </c>
      <c r="C4" s="35">
        <v>1</v>
      </c>
      <c r="D4" s="35">
        <v>0</v>
      </c>
      <c r="E4" s="35">
        <v>1</v>
      </c>
      <c r="F4" s="35">
        <v>2</v>
      </c>
      <c r="G4" s="35" t="str" cm="1">
        <f t="array" ref="G4">_xlfn.IFS(F4&lt;4,"Night",F4&lt;=6,"Early Morning",F4&lt;11,"Morning",F4&lt;12,"Afternoon",F4&lt;=16,"Afternoon",F4&lt;=20,"Evening",F4&gt;=21,"Night")</f>
        <v>Night</v>
      </c>
      <c r="H4" s="35" t="b">
        <v>0</v>
      </c>
      <c r="I4" s="35">
        <v>6</v>
      </c>
      <c r="J4" s="35">
        <v>1</v>
      </c>
      <c r="K4" s="31">
        <v>0.22</v>
      </c>
      <c r="L4" s="31" t="str" cm="1">
        <f t="array" ref="L4">_xlfn.IFS(K4&lt;0.15,"Cold",K4&lt;0.25,"Mild",K4&lt;=0.32,"Warm",K4&gt;=0.33,"Hot")</f>
        <v>Mild</v>
      </c>
      <c r="M4" s="36">
        <v>0.2727</v>
      </c>
      <c r="N4" s="36">
        <v>0.8</v>
      </c>
      <c r="O4" s="36" t="str" cm="1">
        <f t="array" ref="O4">_xlfn.IFS(N4&gt;0.61, "High Humidity", N4&gt;=0.6, "Humid", N4&gt;0.4, "Less Humidity", TRUE, "Dry")</f>
        <v>High Humidity</v>
      </c>
      <c r="P4" s="36">
        <v>0</v>
      </c>
      <c r="Q4" s="36" t="str" cm="1">
        <f t="array" ref="Q4">_xlfn.IFS(P4&lt;=0.2,"Low Windspeed",P4&lt;0.4,"Medium Windspeed",P4&gt;=0.41,"High Windspeed")</f>
        <v>Low Windspeed</v>
      </c>
      <c r="R4" s="36">
        <v>5</v>
      </c>
      <c r="S4" s="36">
        <v>27</v>
      </c>
      <c r="T4" s="37">
        <v>32</v>
      </c>
      <c r="U4" s="39" t="str" cm="1">
        <f t="array" ref="U4">_xlfn.IFS(T4&lt;=70,"Low",T4&lt;=160,"Medium",T4&gt;=161,"High")</f>
        <v>Low</v>
      </c>
    </row>
    <row r="5" spans="1:21" x14ac:dyDescent="0.25">
      <c r="A5" s="33">
        <v>4</v>
      </c>
      <c r="B5" s="34">
        <v>40544</v>
      </c>
      <c r="C5" s="35">
        <v>1</v>
      </c>
      <c r="D5" s="35">
        <v>0</v>
      </c>
      <c r="E5" s="35">
        <v>1</v>
      </c>
      <c r="F5" s="35">
        <v>3</v>
      </c>
      <c r="G5" s="35" t="str" cm="1">
        <f t="array" ref="G5">_xlfn.IFS(F5&lt;4,"Night",F5&lt;=6,"Early Morning",F5&lt;11,"Morning",F5&lt;12,"Afternoon",F5&lt;=16,"Afternoon",F5&lt;=20,"Evening",F5&gt;=21,"Night")</f>
        <v>Night</v>
      </c>
      <c r="H5" s="35" t="b">
        <v>0</v>
      </c>
      <c r="I5" s="35">
        <v>6</v>
      </c>
      <c r="J5" s="35">
        <v>1</v>
      </c>
      <c r="K5" s="31">
        <v>0.24</v>
      </c>
      <c r="L5" s="31" t="str" cm="1">
        <f t="array" ref="L5">_xlfn.IFS(K5&lt;0.15,"Cold",K5&lt;0.25,"Mild",K5&lt;=0.32,"Warm",K5&gt;=0.33,"Hot")</f>
        <v>Mild</v>
      </c>
      <c r="M5" s="36">
        <v>0.28789999999999999</v>
      </c>
      <c r="N5" s="36">
        <v>0.75</v>
      </c>
      <c r="O5" s="36" t="str" cm="1">
        <f t="array" ref="O5">_xlfn.IFS(N5&gt;0.61, "High Humidity", N5&gt;=0.6, "Humid", N5&gt;0.4, "Less Humidity", TRUE, "Dry")</f>
        <v>High Humidity</v>
      </c>
      <c r="P5" s="36">
        <v>0</v>
      </c>
      <c r="Q5" s="36" t="str" cm="1">
        <f t="array" ref="Q5">_xlfn.IFS(P5&lt;=0.2,"Low Windspeed",P5&lt;0.4,"Medium Windspeed",P5&gt;=0.41,"High Windspeed")</f>
        <v>Low Windspeed</v>
      </c>
      <c r="R5" s="36">
        <v>3</v>
      </c>
      <c r="S5" s="36">
        <v>10</v>
      </c>
      <c r="T5" s="37">
        <v>13</v>
      </c>
      <c r="U5" s="39" t="str" cm="1">
        <f t="array" ref="U5">_xlfn.IFS(T5&lt;=70,"Low",T5&lt;=160,"Medium",T5&gt;=161,"High")</f>
        <v>Low</v>
      </c>
    </row>
    <row r="6" spans="1:21" x14ac:dyDescent="0.25">
      <c r="A6" s="33">
        <v>5</v>
      </c>
      <c r="B6" s="34">
        <v>40544</v>
      </c>
      <c r="C6" s="35">
        <v>1</v>
      </c>
      <c r="D6" s="35">
        <v>0</v>
      </c>
      <c r="E6" s="35">
        <v>1</v>
      </c>
      <c r="F6" s="35">
        <v>4</v>
      </c>
      <c r="G6" s="35" t="str" cm="1">
        <f t="array" ref="G6">_xlfn.IFS(F6&lt;4,"Night",F6&lt;=6,"Early Morning",F6&lt;11,"Morning",F6&lt;12,"Afternoon",F6&lt;=16,"Afternoon",F6&lt;=20,"Evening",F6&gt;=21,"Night")</f>
        <v>Early Morning</v>
      </c>
      <c r="H6" s="35" t="b">
        <v>0</v>
      </c>
      <c r="I6" s="35">
        <v>6</v>
      </c>
      <c r="J6" s="35">
        <v>1</v>
      </c>
      <c r="K6" s="31">
        <v>0.24</v>
      </c>
      <c r="L6" s="31" t="str" cm="1">
        <f t="array" ref="L6">_xlfn.IFS(K6&lt;0.15,"Cold",K6&lt;0.25,"Mild",K6&lt;=0.32,"Warm",K6&gt;=0.33,"Hot")</f>
        <v>Mild</v>
      </c>
      <c r="M6" s="36">
        <v>0.28789999999999999</v>
      </c>
      <c r="N6" s="36">
        <v>0.75</v>
      </c>
      <c r="O6" s="36" t="str" cm="1">
        <f t="array" ref="O6">_xlfn.IFS(N6&gt;0.61, "High Humidity", N6&gt;=0.6, "Humid", N6&gt;0.4, "Less Humidity", TRUE, "Dry")</f>
        <v>High Humidity</v>
      </c>
      <c r="P6" s="36">
        <v>0</v>
      </c>
      <c r="Q6" s="36" t="str" cm="1">
        <f t="array" ref="Q6">_xlfn.IFS(P6&lt;=0.2,"Low Windspeed",P6&lt;0.4,"Medium Windspeed",P6&gt;=0.41,"High Windspeed")</f>
        <v>Low Windspeed</v>
      </c>
      <c r="R6" s="36">
        <v>0</v>
      </c>
      <c r="S6" s="36">
        <v>1</v>
      </c>
      <c r="T6" s="37">
        <v>1</v>
      </c>
      <c r="U6" s="39" t="str" cm="1">
        <f t="array" ref="U6">_xlfn.IFS(T6&lt;=70,"Low",T6&lt;=160,"Medium",T6&gt;=161,"High")</f>
        <v>Low</v>
      </c>
    </row>
    <row r="7" spans="1:21" x14ac:dyDescent="0.25">
      <c r="A7" s="33">
        <v>6</v>
      </c>
      <c r="B7" s="34">
        <v>40544</v>
      </c>
      <c r="C7" s="35">
        <v>1</v>
      </c>
      <c r="D7" s="35">
        <v>0</v>
      </c>
      <c r="E7" s="35">
        <v>1</v>
      </c>
      <c r="F7" s="35">
        <v>5</v>
      </c>
      <c r="G7" s="35" t="str" cm="1">
        <f t="array" ref="G7">_xlfn.IFS(F7&lt;4,"Night",F7&lt;=6,"Early Morning",F7&lt;11,"Morning",F7&lt;12,"Afternoon",F7&lt;=16,"Afternoon",F7&lt;=20,"Evening",F7&gt;=21,"Night")</f>
        <v>Early Morning</v>
      </c>
      <c r="H7" s="35" t="b">
        <v>0</v>
      </c>
      <c r="I7" s="35">
        <v>6</v>
      </c>
      <c r="J7" s="35">
        <v>2</v>
      </c>
      <c r="K7" s="31">
        <v>0.24</v>
      </c>
      <c r="L7" s="31" t="str" cm="1">
        <f t="array" ref="L7">_xlfn.IFS(K7&lt;0.15,"Cold",K7&lt;0.25,"Mild",K7&lt;=0.32,"Warm",K7&gt;=0.33,"Hot")</f>
        <v>Mild</v>
      </c>
      <c r="M7" s="36">
        <v>0.2576</v>
      </c>
      <c r="N7" s="36">
        <v>0.75</v>
      </c>
      <c r="O7" s="36" t="str" cm="1">
        <f t="array" ref="O7">_xlfn.IFS(N7&gt;0.61, "High Humidity", N7&gt;=0.6, "Humid", N7&gt;0.4, "Less Humidity", TRUE, "Dry")</f>
        <v>High Humidity</v>
      </c>
      <c r="P7" s="36">
        <v>8.9599999999999999E-2</v>
      </c>
      <c r="Q7" s="36" t="str" cm="1">
        <f t="array" ref="Q7">_xlfn.IFS(P7&lt;=0.2,"Low Windspeed",P7&lt;0.4,"Medium Windspeed",P7&gt;=0.41,"High Windspeed")</f>
        <v>Low Windspeed</v>
      </c>
      <c r="R7" s="36">
        <v>0</v>
      </c>
      <c r="S7" s="36">
        <v>1</v>
      </c>
      <c r="T7" s="37">
        <v>1</v>
      </c>
      <c r="U7" s="39" t="str" cm="1">
        <f t="array" ref="U7">_xlfn.IFS(T7&lt;=70,"Low",T7&lt;=160,"Medium",T7&gt;=161,"High")</f>
        <v>Low</v>
      </c>
    </row>
    <row r="8" spans="1:21" x14ac:dyDescent="0.25">
      <c r="A8" s="33">
        <v>7</v>
      </c>
      <c r="B8" s="34">
        <v>40544</v>
      </c>
      <c r="C8" s="35">
        <v>1</v>
      </c>
      <c r="D8" s="35">
        <v>0</v>
      </c>
      <c r="E8" s="35">
        <v>1</v>
      </c>
      <c r="F8" s="35">
        <v>6</v>
      </c>
      <c r="G8" s="35" t="str" cm="1">
        <f t="array" ref="G8">_xlfn.IFS(F8&lt;4,"Night",F8&lt;=6,"Early Morning",F8&lt;11,"Morning",F8&lt;12,"Afternoon",F8&lt;=16,"Afternoon",F8&lt;=20,"Evening",F8&gt;=21,"Night")</f>
        <v>Early Morning</v>
      </c>
      <c r="H8" s="35" t="b">
        <v>0</v>
      </c>
      <c r="I8" s="35">
        <v>6</v>
      </c>
      <c r="J8" s="35">
        <v>1</v>
      </c>
      <c r="K8" s="31">
        <v>0.22</v>
      </c>
      <c r="L8" s="31" t="str" cm="1">
        <f t="array" ref="L8">_xlfn.IFS(K8&lt;0.15,"Cold",K8&lt;0.25,"Mild",K8&lt;=0.32,"Warm",K8&gt;=0.33,"Hot")</f>
        <v>Mild</v>
      </c>
      <c r="M8" s="36">
        <v>0.2727</v>
      </c>
      <c r="N8" s="36">
        <v>0.8</v>
      </c>
      <c r="O8" s="36" t="str" cm="1">
        <f t="array" ref="O8">_xlfn.IFS(N8&gt;0.61, "High Humidity", N8&gt;=0.6, "Humid", N8&gt;0.4, "Less Humidity", TRUE, "Dry")</f>
        <v>High Humidity</v>
      </c>
      <c r="P8" s="36">
        <v>0</v>
      </c>
      <c r="Q8" s="36" t="str" cm="1">
        <f t="array" ref="Q8">_xlfn.IFS(P8&lt;=0.2,"Low Windspeed",P8&lt;0.4,"Medium Windspeed",P8&gt;=0.41,"High Windspeed")</f>
        <v>Low Windspeed</v>
      </c>
      <c r="R8" s="36">
        <v>2</v>
      </c>
      <c r="S8" s="36">
        <v>0</v>
      </c>
      <c r="T8" s="37">
        <v>2</v>
      </c>
      <c r="U8" s="39" t="str" cm="1">
        <f t="array" ref="U8">_xlfn.IFS(T8&lt;=70,"Low",T8&lt;=160,"Medium",T8&gt;=161,"High")</f>
        <v>Low</v>
      </c>
    </row>
    <row r="9" spans="1:21" x14ac:dyDescent="0.25">
      <c r="A9" s="33">
        <v>8</v>
      </c>
      <c r="B9" s="34">
        <v>40544</v>
      </c>
      <c r="C9" s="35">
        <v>1</v>
      </c>
      <c r="D9" s="35">
        <v>0</v>
      </c>
      <c r="E9" s="35">
        <v>1</v>
      </c>
      <c r="F9" s="35">
        <v>7</v>
      </c>
      <c r="G9" s="35" t="str" cm="1">
        <f t="array" ref="G9">_xlfn.IFS(F9&lt;4,"Night",F9&lt;=6,"Early Morning",F9&lt;11,"Morning",F9&lt;12,"Afternoon",F9&lt;=16,"Afternoon",F9&lt;=20,"Evening",F9&gt;=21,"Night")</f>
        <v>Morning</v>
      </c>
      <c r="H9" s="35" t="b">
        <v>0</v>
      </c>
      <c r="I9" s="35">
        <v>6</v>
      </c>
      <c r="J9" s="35">
        <v>1</v>
      </c>
      <c r="K9" s="31">
        <v>0.2</v>
      </c>
      <c r="L9" s="31" t="str" cm="1">
        <f t="array" ref="L9">_xlfn.IFS(K9&lt;0.15,"Cold",K9&lt;0.25,"Mild",K9&lt;=0.32,"Warm",K9&gt;=0.33,"Hot")</f>
        <v>Mild</v>
      </c>
      <c r="M9" s="36">
        <v>0.2576</v>
      </c>
      <c r="N9" s="36">
        <v>0.86</v>
      </c>
      <c r="O9" s="36" t="str" cm="1">
        <f t="array" ref="O9">_xlfn.IFS(N9&gt;0.61, "High Humidity", N9&gt;=0.6, "Humid", N9&gt;0.4, "Less Humidity", TRUE, "Dry")</f>
        <v>High Humidity</v>
      </c>
      <c r="P9" s="36">
        <v>0</v>
      </c>
      <c r="Q9" s="36" t="str" cm="1">
        <f t="array" ref="Q9">_xlfn.IFS(P9&lt;=0.2,"Low Windspeed",P9&lt;0.4,"Medium Windspeed",P9&gt;=0.41,"High Windspeed")</f>
        <v>Low Windspeed</v>
      </c>
      <c r="R9" s="36">
        <v>1</v>
      </c>
      <c r="S9" s="36">
        <v>2</v>
      </c>
      <c r="T9" s="37">
        <v>3</v>
      </c>
      <c r="U9" s="39" t="str" cm="1">
        <f t="array" ref="U9">_xlfn.IFS(T9&lt;=70,"Low",T9&lt;=160,"Medium",T9&gt;=161,"High")</f>
        <v>Low</v>
      </c>
    </row>
    <row r="10" spans="1:21" x14ac:dyDescent="0.25">
      <c r="A10" s="33">
        <v>9</v>
      </c>
      <c r="B10" s="34">
        <v>40544</v>
      </c>
      <c r="C10" s="35">
        <v>1</v>
      </c>
      <c r="D10" s="35">
        <v>0</v>
      </c>
      <c r="E10" s="35">
        <v>1</v>
      </c>
      <c r="F10" s="35">
        <v>8</v>
      </c>
      <c r="G10" s="35" t="str" cm="1">
        <f t="array" ref="G10">_xlfn.IFS(F10&lt;4,"Night",F10&lt;=6,"Early Morning",F10&lt;11,"Morning",F10&lt;12,"Afternoon",F10&lt;=16,"Afternoon",F10&lt;=20,"Evening",F10&gt;=21,"Night")</f>
        <v>Morning</v>
      </c>
      <c r="H10" s="35" t="b">
        <v>0</v>
      </c>
      <c r="I10" s="35">
        <v>6</v>
      </c>
      <c r="J10" s="35">
        <v>1</v>
      </c>
      <c r="K10" s="31">
        <v>0.24</v>
      </c>
      <c r="L10" s="31" t="str" cm="1">
        <f t="array" ref="L10">_xlfn.IFS(K10&lt;0.15,"Cold",K10&lt;0.25,"Mild",K10&lt;=0.32,"Warm",K10&gt;=0.33,"Hot")</f>
        <v>Mild</v>
      </c>
      <c r="M10" s="36">
        <v>0.19989999999999999</v>
      </c>
      <c r="N10" s="36">
        <v>0.75</v>
      </c>
      <c r="O10" s="36" t="str" cm="1">
        <f t="array" ref="O10">_xlfn.IFS(N10&gt;0.61, "High Humidity", N10&gt;=0.6, "Humid", N10&gt;0.4, "Less Humidity", TRUE, "Dry")</f>
        <v>High Humidity</v>
      </c>
      <c r="P10" s="36">
        <v>0</v>
      </c>
      <c r="Q10" s="36" t="str" cm="1">
        <f t="array" ref="Q10">_xlfn.IFS(P10&lt;=0.2,"Low Windspeed",P10&lt;0.4,"Medium Windspeed",P10&gt;=0.41,"High Windspeed")</f>
        <v>Low Windspeed</v>
      </c>
      <c r="R10" s="36">
        <v>1</v>
      </c>
      <c r="S10" s="36">
        <v>7</v>
      </c>
      <c r="T10" s="37">
        <v>8</v>
      </c>
      <c r="U10" s="39" t="str" cm="1">
        <f t="array" ref="U10">_xlfn.IFS(T10&lt;=70,"Low",T10&lt;=160,"Medium",T10&gt;=161,"High")</f>
        <v>Low</v>
      </c>
    </row>
    <row r="11" spans="1:21" x14ac:dyDescent="0.25">
      <c r="A11" s="33">
        <v>10</v>
      </c>
      <c r="B11" s="34">
        <v>40544</v>
      </c>
      <c r="C11" s="35">
        <v>1</v>
      </c>
      <c r="D11" s="35">
        <v>0</v>
      </c>
      <c r="E11" s="35">
        <v>1</v>
      </c>
      <c r="F11" s="35">
        <v>9</v>
      </c>
      <c r="G11" s="35" t="str" cm="1">
        <f t="array" ref="G11">_xlfn.IFS(F11&lt;4,"Night",F11&lt;=6,"Early Morning",F11&lt;11,"Morning",F11&lt;12,"Afternoon",F11&lt;=16,"Afternoon",F11&lt;=20,"Evening",F11&gt;=21,"Night")</f>
        <v>Morning</v>
      </c>
      <c r="H11" s="35" t="b">
        <v>0</v>
      </c>
      <c r="I11" s="35">
        <v>6</v>
      </c>
      <c r="J11" s="35">
        <v>1</v>
      </c>
      <c r="K11" s="31">
        <v>0.32</v>
      </c>
      <c r="L11" s="31" t="str" cm="1">
        <f t="array" ref="L11">_xlfn.IFS(K11&lt;0.15,"Cold",K11&lt;0.25,"Mild",K11&lt;=0.32,"Warm",K11&gt;=0.33,"Hot")</f>
        <v>Warm</v>
      </c>
      <c r="M11" s="36">
        <v>0.34849999999999998</v>
      </c>
      <c r="N11" s="36">
        <v>0.76</v>
      </c>
      <c r="O11" s="36" t="str" cm="1">
        <f t="array" ref="O11">_xlfn.IFS(N11&gt;0.61, "High Humidity", N11&gt;=0.6, "Humid", N11&gt;0.4, "Less Humidity", TRUE, "Dry")</f>
        <v>High Humidity</v>
      </c>
      <c r="P11" s="36">
        <v>0</v>
      </c>
      <c r="Q11" s="36" t="str" cm="1">
        <f t="array" ref="Q11">_xlfn.IFS(P11&lt;=0.2,"Low Windspeed",P11&lt;0.4,"Medium Windspeed",P11&gt;=0.41,"High Windspeed")</f>
        <v>Low Windspeed</v>
      </c>
      <c r="R11" s="36">
        <v>8</v>
      </c>
      <c r="S11" s="36">
        <v>6</v>
      </c>
      <c r="T11" s="37">
        <v>14</v>
      </c>
      <c r="U11" s="39" t="str" cm="1">
        <f t="array" ref="U11">_xlfn.IFS(T11&lt;=70,"Low",T11&lt;=160,"Medium",T11&gt;=161,"High")</f>
        <v>Low</v>
      </c>
    </row>
    <row r="12" spans="1:21" x14ac:dyDescent="0.25">
      <c r="A12" s="33">
        <v>11</v>
      </c>
      <c r="B12" s="34">
        <v>40544</v>
      </c>
      <c r="C12" s="35">
        <v>1</v>
      </c>
      <c r="D12" s="35">
        <v>0</v>
      </c>
      <c r="E12" s="35">
        <v>1</v>
      </c>
      <c r="F12" s="35">
        <v>10</v>
      </c>
      <c r="G12" s="35" t="str" cm="1">
        <f t="array" ref="G12">_xlfn.IFS(F12&lt;4,"Night",F12&lt;=6,"Early Morning",F12&lt;11,"Morning",F12&lt;12,"Afternoon",F12&lt;=16,"Afternoon",F12&lt;=20,"Evening",F12&gt;=21,"Night")</f>
        <v>Morning</v>
      </c>
      <c r="H12" s="35" t="b">
        <v>0</v>
      </c>
      <c r="I12" s="35">
        <v>6</v>
      </c>
      <c r="J12" s="35">
        <v>1</v>
      </c>
      <c r="K12" s="31">
        <v>0.38</v>
      </c>
      <c r="L12" s="31" t="str" cm="1">
        <f t="array" ref="L12">_xlfn.IFS(K12&lt;0.15,"Cold",K12&lt;0.25,"Mild",K12&lt;=0.32,"Warm",K12&gt;=0.33,"Hot")</f>
        <v>Hot</v>
      </c>
      <c r="M12" s="36">
        <v>0.39389999999999997</v>
      </c>
      <c r="N12" s="36">
        <v>0.76</v>
      </c>
      <c r="O12" s="36" t="str" cm="1">
        <f t="array" ref="O12">_xlfn.IFS(N12&gt;0.61, "High Humidity", N12&gt;=0.6, "Humid", N12&gt;0.4, "Less Humidity", TRUE, "Dry")</f>
        <v>High Humidity</v>
      </c>
      <c r="P12" s="36">
        <v>0.25369999999999998</v>
      </c>
      <c r="Q12" s="36" t="str" cm="1">
        <f t="array" ref="Q12">_xlfn.IFS(P12&lt;=0.2,"Low Windspeed",P12&lt;0.4,"Medium Windspeed",P12&gt;=0.41,"High Windspeed")</f>
        <v>Medium Windspeed</v>
      </c>
      <c r="R12" s="36">
        <v>12</v>
      </c>
      <c r="S12" s="36">
        <v>24</v>
      </c>
      <c r="T12" s="37">
        <v>36</v>
      </c>
      <c r="U12" s="39" t="str" cm="1">
        <f t="array" ref="U12">_xlfn.IFS(T12&lt;=70,"Low",T12&lt;=160,"Medium",T12&gt;=161,"High")</f>
        <v>Low</v>
      </c>
    </row>
    <row r="13" spans="1:21" x14ac:dyDescent="0.25">
      <c r="A13" s="33">
        <v>12</v>
      </c>
      <c r="B13" s="34">
        <v>40544</v>
      </c>
      <c r="C13" s="35">
        <v>1</v>
      </c>
      <c r="D13" s="35">
        <v>0</v>
      </c>
      <c r="E13" s="35">
        <v>1</v>
      </c>
      <c r="F13" s="35">
        <v>11</v>
      </c>
      <c r="G13" s="35" t="str" cm="1">
        <f t="array" ref="G13">_xlfn.IFS(F13&lt;4,"Night",F13&lt;=6,"Early Morning",F13&lt;11,"Morning",F13&lt;12,"Afternoon",F13&lt;=16,"Afternoon",F13&lt;=20,"Evening",F13&gt;=21,"Night")</f>
        <v>Afternoon</v>
      </c>
      <c r="H13" s="35" t="b">
        <v>0</v>
      </c>
      <c r="I13" s="35">
        <v>6</v>
      </c>
      <c r="J13" s="35">
        <v>1</v>
      </c>
      <c r="K13" s="31">
        <v>0.36</v>
      </c>
      <c r="L13" s="31" t="str" cm="1">
        <f t="array" ref="L13">_xlfn.IFS(K13&lt;0.15,"Cold",K13&lt;0.25,"Mild",K13&lt;=0.32,"Warm",K13&gt;=0.33,"Hot")</f>
        <v>Hot</v>
      </c>
      <c r="M13" s="36">
        <v>0.33329999999999999</v>
      </c>
      <c r="N13" s="36">
        <v>0.81</v>
      </c>
      <c r="O13" s="36" t="str" cm="1">
        <f t="array" ref="O13">_xlfn.IFS(N13&gt;0.61, "High Humidity", N13&gt;=0.6, "Humid", N13&gt;0.4, "Less Humidity", TRUE, "Dry")</f>
        <v>High Humidity</v>
      </c>
      <c r="P13" s="36">
        <v>0.28360000000000002</v>
      </c>
      <c r="Q13" s="36" t="str" cm="1">
        <f t="array" ref="Q13">_xlfn.IFS(P13&lt;=0.2,"Low Windspeed",P13&lt;0.4,"Medium Windspeed",P13&gt;=0.41,"High Windspeed")</f>
        <v>Medium Windspeed</v>
      </c>
      <c r="R13" s="36">
        <v>26</v>
      </c>
      <c r="S13" s="36">
        <v>30</v>
      </c>
      <c r="T13" s="37">
        <v>56</v>
      </c>
      <c r="U13" s="39" t="str" cm="1">
        <f t="array" ref="U13">_xlfn.IFS(T13&lt;=70,"Low",T13&lt;=160,"Medium",T13&gt;=161,"High")</f>
        <v>Low</v>
      </c>
    </row>
    <row r="14" spans="1:21" x14ac:dyDescent="0.25">
      <c r="A14" s="33">
        <v>13</v>
      </c>
      <c r="B14" s="34">
        <v>40544</v>
      </c>
      <c r="C14" s="35">
        <v>1</v>
      </c>
      <c r="D14" s="35">
        <v>0</v>
      </c>
      <c r="E14" s="35">
        <v>1</v>
      </c>
      <c r="F14" s="35">
        <v>12</v>
      </c>
      <c r="G14" s="35" t="str" cm="1">
        <f t="array" ref="G14">_xlfn.IFS(F14&lt;4,"Night",F14&lt;=6,"Early Morning",F14&lt;11,"Morning",F14&lt;12,"Afternoon",F14&lt;=16,"Afternoon",F14&lt;=20,"Evening",F14&gt;=21,"Night")</f>
        <v>Afternoon</v>
      </c>
      <c r="H14" s="35" t="b">
        <v>0</v>
      </c>
      <c r="I14" s="35">
        <v>6</v>
      </c>
      <c r="J14" s="35">
        <v>1</v>
      </c>
      <c r="K14" s="31">
        <v>0.42</v>
      </c>
      <c r="L14" s="31" t="str" cm="1">
        <f t="array" ref="L14">_xlfn.IFS(K14&lt;0.15,"Cold",K14&lt;0.25,"Mild",K14&lt;=0.32,"Warm",K14&gt;=0.33,"Hot")</f>
        <v>Hot</v>
      </c>
      <c r="M14" s="36">
        <v>0.42420000000000002</v>
      </c>
      <c r="N14" s="36">
        <v>0.77</v>
      </c>
      <c r="O14" s="36" t="str" cm="1">
        <f t="array" ref="O14">_xlfn.IFS(N14&gt;0.61, "High Humidity", N14&gt;=0.6, "Humid", N14&gt;0.4, "Less Humidity", TRUE, "Dry")</f>
        <v>High Humidity</v>
      </c>
      <c r="P14" s="36">
        <v>0.28360000000000002</v>
      </c>
      <c r="Q14" s="36" t="str" cm="1">
        <f t="array" ref="Q14">_xlfn.IFS(P14&lt;=0.2,"Low Windspeed",P14&lt;0.4,"Medium Windspeed",P14&gt;=0.41,"High Windspeed")</f>
        <v>Medium Windspeed</v>
      </c>
      <c r="R14" s="36">
        <v>29</v>
      </c>
      <c r="S14" s="36">
        <v>55</v>
      </c>
      <c r="T14" s="37">
        <v>84</v>
      </c>
      <c r="U14" s="39" t="str" cm="1">
        <f t="array" ref="U14">_xlfn.IFS(T14&lt;=70,"Low",T14&lt;=160,"Medium",T14&gt;=161,"High")</f>
        <v>Medium</v>
      </c>
    </row>
    <row r="15" spans="1:21" x14ac:dyDescent="0.25">
      <c r="A15" s="33">
        <v>14</v>
      </c>
      <c r="B15" s="34">
        <v>40544</v>
      </c>
      <c r="C15" s="35">
        <v>1</v>
      </c>
      <c r="D15" s="35">
        <v>0</v>
      </c>
      <c r="E15" s="35">
        <v>1</v>
      </c>
      <c r="F15" s="35">
        <v>13</v>
      </c>
      <c r="G15" s="35" t="str" cm="1">
        <f t="array" ref="G15">_xlfn.IFS(F15&lt;4,"Night",F15&lt;=6,"Early Morning",F15&lt;11,"Morning",F15&lt;12,"Afternoon",F15&lt;=16,"Afternoon",F15&lt;=20,"Evening",F15&gt;=21,"Night")</f>
        <v>Afternoon</v>
      </c>
      <c r="H15" s="35" t="b">
        <v>0</v>
      </c>
      <c r="I15" s="35">
        <v>6</v>
      </c>
      <c r="J15" s="35">
        <v>2</v>
      </c>
      <c r="K15" s="31">
        <v>0.46</v>
      </c>
      <c r="L15" s="31" t="str" cm="1">
        <f t="array" ref="L15">_xlfn.IFS(K15&lt;0.15,"Cold",K15&lt;0.25,"Mild",K15&lt;=0.32,"Warm",K15&gt;=0.33,"Hot")</f>
        <v>Hot</v>
      </c>
      <c r="M15" s="36">
        <v>0.45450000000000002</v>
      </c>
      <c r="N15" s="36">
        <v>0.72</v>
      </c>
      <c r="O15" s="36" t="str" cm="1">
        <f t="array" ref="O15">_xlfn.IFS(N15&gt;0.61, "High Humidity", N15&gt;=0.6, "Humid", N15&gt;0.4, "Less Humidity", TRUE, "Dry")</f>
        <v>High Humidity</v>
      </c>
      <c r="P15" s="36">
        <v>0.29849999999999999</v>
      </c>
      <c r="Q15" s="36" t="str" cm="1">
        <f t="array" ref="Q15">_xlfn.IFS(P15&lt;=0.2,"Low Windspeed",P15&lt;0.4,"Medium Windspeed",P15&gt;=0.41,"High Windspeed")</f>
        <v>Medium Windspeed</v>
      </c>
      <c r="R15" s="36">
        <v>47</v>
      </c>
      <c r="S15" s="36">
        <v>47</v>
      </c>
      <c r="T15" s="37">
        <v>94</v>
      </c>
      <c r="U15" s="39" t="str" cm="1">
        <f t="array" ref="U15">_xlfn.IFS(T15&lt;=70,"Low",T15&lt;=160,"Medium",T15&gt;=161,"High")</f>
        <v>Medium</v>
      </c>
    </row>
    <row r="16" spans="1:21" x14ac:dyDescent="0.25">
      <c r="A16" s="33">
        <v>15</v>
      </c>
      <c r="B16" s="34">
        <v>40544</v>
      </c>
      <c r="C16" s="35">
        <v>1</v>
      </c>
      <c r="D16" s="35">
        <v>0</v>
      </c>
      <c r="E16" s="35">
        <v>1</v>
      </c>
      <c r="F16" s="35">
        <v>14</v>
      </c>
      <c r="G16" s="35" t="str" cm="1">
        <f t="array" ref="G16">_xlfn.IFS(F16&lt;4,"Night",F16&lt;=6,"Early Morning",F16&lt;11,"Morning",F16&lt;12,"Afternoon",F16&lt;=16,"Afternoon",F16&lt;=20,"Evening",F16&gt;=21,"Night")</f>
        <v>Afternoon</v>
      </c>
      <c r="H16" s="35" t="b">
        <v>0</v>
      </c>
      <c r="I16" s="35">
        <v>6</v>
      </c>
      <c r="J16" s="35">
        <v>2</v>
      </c>
      <c r="K16" s="31">
        <v>0.46</v>
      </c>
      <c r="L16" s="31" t="str" cm="1">
        <f t="array" ref="L16">_xlfn.IFS(K16&lt;0.15,"Cold",K16&lt;0.25,"Mild",K16&lt;=0.32,"Warm",K16&gt;=0.33,"Hot")</f>
        <v>Hot</v>
      </c>
      <c r="M16" s="36">
        <v>0.45450000000000002</v>
      </c>
      <c r="N16" s="36">
        <v>0.72</v>
      </c>
      <c r="O16" s="36" t="str" cm="1">
        <f t="array" ref="O16">_xlfn.IFS(N16&gt;0.61, "High Humidity", N16&gt;=0.6, "Humid", N16&gt;0.4, "Less Humidity", TRUE, "Dry")</f>
        <v>High Humidity</v>
      </c>
      <c r="P16" s="36">
        <v>0.28360000000000002</v>
      </c>
      <c r="Q16" s="36" t="str" cm="1">
        <f t="array" ref="Q16">_xlfn.IFS(P16&lt;=0.2,"Low Windspeed",P16&lt;0.4,"Medium Windspeed",P16&gt;=0.41,"High Windspeed")</f>
        <v>Medium Windspeed</v>
      </c>
      <c r="R16" s="36">
        <v>35</v>
      </c>
      <c r="S16" s="36">
        <v>71</v>
      </c>
      <c r="T16" s="37">
        <v>106</v>
      </c>
      <c r="U16" s="39" t="str" cm="1">
        <f t="array" ref="U16">_xlfn.IFS(T16&lt;=70,"Low",T16&lt;=160,"Medium",T16&gt;=161,"High")</f>
        <v>Medium</v>
      </c>
    </row>
    <row r="17" spans="1:21" x14ac:dyDescent="0.25">
      <c r="A17" s="33">
        <v>16</v>
      </c>
      <c r="B17" s="34">
        <v>40544</v>
      </c>
      <c r="C17" s="35">
        <v>1</v>
      </c>
      <c r="D17" s="35">
        <v>0</v>
      </c>
      <c r="E17" s="35">
        <v>1</v>
      </c>
      <c r="F17" s="35">
        <v>15</v>
      </c>
      <c r="G17" s="35" t="str" cm="1">
        <f t="array" ref="G17">_xlfn.IFS(F17&lt;4,"Night",F17&lt;=6,"Early Morning",F17&lt;11,"Morning",F17&lt;12,"Afternoon",F17&lt;=16,"Afternoon",F17&lt;=20,"Evening",F17&gt;=21,"Night")</f>
        <v>Afternoon</v>
      </c>
      <c r="H17" s="35" t="b">
        <v>0</v>
      </c>
      <c r="I17" s="35">
        <v>6</v>
      </c>
      <c r="J17" s="35">
        <v>2</v>
      </c>
      <c r="K17" s="31">
        <v>0.44</v>
      </c>
      <c r="L17" s="31" t="str" cm="1">
        <f t="array" ref="L17">_xlfn.IFS(K17&lt;0.15,"Cold",K17&lt;0.25,"Mild",K17&lt;=0.32,"Warm",K17&gt;=0.33,"Hot")</f>
        <v>Hot</v>
      </c>
      <c r="M17" s="36">
        <v>0.43940000000000001</v>
      </c>
      <c r="N17" s="36">
        <v>0.77</v>
      </c>
      <c r="O17" s="36" t="str" cm="1">
        <f t="array" ref="O17">_xlfn.IFS(N17&gt;0.61, "High Humidity", N17&gt;=0.6, "Humid", N17&gt;0.4, "Less Humidity", TRUE, "Dry")</f>
        <v>High Humidity</v>
      </c>
      <c r="P17" s="36">
        <v>0.29849999999999999</v>
      </c>
      <c r="Q17" s="36" t="str" cm="1">
        <f t="array" ref="Q17">_xlfn.IFS(P17&lt;=0.2,"Low Windspeed",P17&lt;0.4,"Medium Windspeed",P17&gt;=0.41,"High Windspeed")</f>
        <v>Medium Windspeed</v>
      </c>
      <c r="R17" s="36">
        <v>40</v>
      </c>
      <c r="S17" s="36">
        <v>70</v>
      </c>
      <c r="T17" s="37">
        <v>110</v>
      </c>
      <c r="U17" s="39" t="str" cm="1">
        <f t="array" ref="U17">_xlfn.IFS(T17&lt;=70,"Low",T17&lt;=160,"Medium",T17&gt;=161,"High")</f>
        <v>Medium</v>
      </c>
    </row>
    <row r="18" spans="1:21" x14ac:dyDescent="0.25">
      <c r="A18" s="33">
        <v>17</v>
      </c>
      <c r="B18" s="34">
        <v>40544</v>
      </c>
      <c r="C18" s="35">
        <v>1</v>
      </c>
      <c r="D18" s="35">
        <v>0</v>
      </c>
      <c r="E18" s="35">
        <v>1</v>
      </c>
      <c r="F18" s="35">
        <v>16</v>
      </c>
      <c r="G18" s="35" t="str" cm="1">
        <f t="array" ref="G18">_xlfn.IFS(F18&lt;4,"Night",F18&lt;=6,"Early Morning",F18&lt;11,"Morning",F18&lt;12,"Afternoon",F18&lt;=16,"Afternoon",F18&lt;=20,"Evening",F18&gt;=21,"Night")</f>
        <v>Afternoon</v>
      </c>
      <c r="H18" s="35" t="b">
        <v>0</v>
      </c>
      <c r="I18" s="35">
        <v>6</v>
      </c>
      <c r="J18" s="35">
        <v>2</v>
      </c>
      <c r="K18" s="31">
        <v>0.42</v>
      </c>
      <c r="L18" s="31" t="str" cm="1">
        <f t="array" ref="L18">_xlfn.IFS(K18&lt;0.15,"Cold",K18&lt;0.25,"Mild",K18&lt;=0.32,"Warm",K18&gt;=0.33,"Hot")</f>
        <v>Hot</v>
      </c>
      <c r="M18" s="36">
        <v>0.42420000000000002</v>
      </c>
      <c r="N18" s="36">
        <v>0.82</v>
      </c>
      <c r="O18" s="36" t="str" cm="1">
        <f t="array" ref="O18">_xlfn.IFS(N18&gt;0.61, "High Humidity", N18&gt;=0.6, "Humid", N18&gt;0.4, "Less Humidity", TRUE, "Dry")</f>
        <v>High Humidity</v>
      </c>
      <c r="P18" s="36">
        <v>0.29849999999999999</v>
      </c>
      <c r="Q18" s="36" t="str" cm="1">
        <f t="array" ref="Q18">_xlfn.IFS(P18&lt;=0.2,"Low Windspeed",P18&lt;0.4,"Medium Windspeed",P18&gt;=0.41,"High Windspeed")</f>
        <v>Medium Windspeed</v>
      </c>
      <c r="R18" s="36">
        <v>41</v>
      </c>
      <c r="S18" s="36">
        <v>52</v>
      </c>
      <c r="T18" s="37">
        <v>93</v>
      </c>
      <c r="U18" s="39" t="str" cm="1">
        <f t="array" ref="U18">_xlfn.IFS(T18&lt;=70,"Low",T18&lt;=160,"Medium",T18&gt;=161,"High")</f>
        <v>Medium</v>
      </c>
    </row>
    <row r="19" spans="1:21" x14ac:dyDescent="0.25">
      <c r="A19" s="33">
        <v>18</v>
      </c>
      <c r="B19" s="34">
        <v>40544</v>
      </c>
      <c r="C19" s="35">
        <v>1</v>
      </c>
      <c r="D19" s="35">
        <v>0</v>
      </c>
      <c r="E19" s="35">
        <v>1</v>
      </c>
      <c r="F19" s="35">
        <v>17</v>
      </c>
      <c r="G19" s="35" t="str" cm="1">
        <f t="array" ref="G19">_xlfn.IFS(F19&lt;4,"Night",F19&lt;=6,"Early Morning",F19&lt;11,"Morning",F19&lt;12,"Afternoon",F19&lt;=16,"Afternoon",F19&lt;=20,"Evening",F19&gt;=21,"Night")</f>
        <v>Evening</v>
      </c>
      <c r="H19" s="35" t="b">
        <v>0</v>
      </c>
      <c r="I19" s="35">
        <v>6</v>
      </c>
      <c r="J19" s="35">
        <v>2</v>
      </c>
      <c r="K19" s="31">
        <v>0.44</v>
      </c>
      <c r="L19" s="31" t="str" cm="1">
        <f t="array" ref="L19">_xlfn.IFS(K19&lt;0.15,"Cold",K19&lt;0.25,"Mild",K19&lt;=0.32,"Warm",K19&gt;=0.33,"Hot")</f>
        <v>Hot</v>
      </c>
      <c r="M19" s="36">
        <v>0.19989999999999999</v>
      </c>
      <c r="N19" s="36">
        <v>0.82</v>
      </c>
      <c r="O19" s="36" t="str" cm="1">
        <f t="array" ref="O19">_xlfn.IFS(N19&gt;0.61, "High Humidity", N19&gt;=0.6, "Humid", N19&gt;0.4, "Less Humidity", TRUE, "Dry")</f>
        <v>High Humidity</v>
      </c>
      <c r="P19" s="36">
        <v>0.28360000000000002</v>
      </c>
      <c r="Q19" s="36" t="str" cm="1">
        <f t="array" ref="Q19">_xlfn.IFS(P19&lt;=0.2,"Low Windspeed",P19&lt;0.4,"Medium Windspeed",P19&gt;=0.41,"High Windspeed")</f>
        <v>Medium Windspeed</v>
      </c>
      <c r="R19" s="36">
        <v>15</v>
      </c>
      <c r="S19" s="36">
        <v>52</v>
      </c>
      <c r="T19" s="37">
        <v>67</v>
      </c>
      <c r="U19" s="39" t="str" cm="1">
        <f t="array" ref="U19">_xlfn.IFS(T19&lt;=70,"Low",T19&lt;=160,"Medium",T19&gt;=161,"High")</f>
        <v>Low</v>
      </c>
    </row>
    <row r="20" spans="1:21" x14ac:dyDescent="0.25">
      <c r="A20" s="33">
        <v>19</v>
      </c>
      <c r="B20" s="34">
        <v>40544</v>
      </c>
      <c r="C20" s="35">
        <v>1</v>
      </c>
      <c r="D20" s="35">
        <v>0</v>
      </c>
      <c r="E20" s="35">
        <v>1</v>
      </c>
      <c r="F20" s="35">
        <v>18</v>
      </c>
      <c r="G20" s="35" t="str" cm="1">
        <f t="array" ref="G20">_xlfn.IFS(F20&lt;4,"Night",F20&lt;=6,"Early Morning",F20&lt;11,"Morning",F20&lt;12,"Afternoon",F20&lt;=16,"Afternoon",F20&lt;=20,"Evening",F20&gt;=21,"Night")</f>
        <v>Evening</v>
      </c>
      <c r="H20" s="35" t="b">
        <v>0</v>
      </c>
      <c r="I20" s="35">
        <v>6</v>
      </c>
      <c r="J20" s="35">
        <v>3</v>
      </c>
      <c r="K20" s="31">
        <v>0.42</v>
      </c>
      <c r="L20" s="31" t="str" cm="1">
        <f t="array" ref="L20">_xlfn.IFS(K20&lt;0.15,"Cold",K20&lt;0.25,"Mild",K20&lt;=0.32,"Warm",K20&gt;=0.33,"Hot")</f>
        <v>Hot</v>
      </c>
      <c r="M20" s="36">
        <v>0.42420000000000002</v>
      </c>
      <c r="N20" s="36">
        <v>0.88</v>
      </c>
      <c r="O20" s="36" t="str" cm="1">
        <f t="array" ref="O20">_xlfn.IFS(N20&gt;0.61, "High Humidity", N20&gt;=0.6, "Humid", N20&gt;0.4, "Less Humidity", TRUE, "Dry")</f>
        <v>High Humidity</v>
      </c>
      <c r="P20" s="36">
        <v>0.25369999999999998</v>
      </c>
      <c r="Q20" s="36" t="str" cm="1">
        <f t="array" ref="Q20">_xlfn.IFS(P20&lt;=0.2,"Low Windspeed",P20&lt;0.4,"Medium Windspeed",P20&gt;=0.41,"High Windspeed")</f>
        <v>Medium Windspeed</v>
      </c>
      <c r="R20" s="36">
        <v>9</v>
      </c>
      <c r="S20" s="36">
        <v>26</v>
      </c>
      <c r="T20" s="37">
        <v>35</v>
      </c>
      <c r="U20" s="39" t="str" cm="1">
        <f t="array" ref="U20">_xlfn.IFS(T20&lt;=70,"Low",T20&lt;=160,"Medium",T20&gt;=161,"High")</f>
        <v>Low</v>
      </c>
    </row>
    <row r="21" spans="1:21" x14ac:dyDescent="0.25">
      <c r="A21" s="33">
        <v>20</v>
      </c>
      <c r="B21" s="34">
        <v>40544</v>
      </c>
      <c r="C21" s="35">
        <v>1</v>
      </c>
      <c r="D21" s="35">
        <v>0</v>
      </c>
      <c r="E21" s="35">
        <v>1</v>
      </c>
      <c r="F21" s="35">
        <v>19</v>
      </c>
      <c r="G21" s="35" t="str" cm="1">
        <f t="array" ref="G21">_xlfn.IFS(F21&lt;4,"Night",F21&lt;=6,"Early Morning",F21&lt;11,"Morning",F21&lt;12,"Afternoon",F21&lt;=16,"Afternoon",F21&lt;=20,"Evening",F21&gt;=21,"Night")</f>
        <v>Evening</v>
      </c>
      <c r="H21" s="35" t="b">
        <v>0</v>
      </c>
      <c r="I21" s="35">
        <v>6</v>
      </c>
      <c r="J21" s="35">
        <v>3</v>
      </c>
      <c r="K21" s="31">
        <v>0.42</v>
      </c>
      <c r="L21" s="31" t="str" cm="1">
        <f t="array" ref="L21">_xlfn.IFS(K21&lt;0.15,"Cold",K21&lt;0.25,"Mild",K21&lt;=0.32,"Warm",K21&gt;=0.33,"Hot")</f>
        <v>Hot</v>
      </c>
      <c r="M21" s="36">
        <v>0.42420000000000002</v>
      </c>
      <c r="N21" s="36">
        <v>0.88</v>
      </c>
      <c r="O21" s="36" t="str" cm="1">
        <f t="array" ref="O21">_xlfn.IFS(N21&gt;0.61, "High Humidity", N21&gt;=0.6, "Humid", N21&gt;0.4, "Less Humidity", TRUE, "Dry")</f>
        <v>High Humidity</v>
      </c>
      <c r="P21" s="36">
        <v>0.25369999999999998</v>
      </c>
      <c r="Q21" s="36" t="str" cm="1">
        <f t="array" ref="Q21">_xlfn.IFS(P21&lt;=0.2,"Low Windspeed",P21&lt;0.4,"Medium Windspeed",P21&gt;=0.41,"High Windspeed")</f>
        <v>Medium Windspeed</v>
      </c>
      <c r="R21" s="36">
        <v>6</v>
      </c>
      <c r="S21" s="36">
        <v>31</v>
      </c>
      <c r="T21" s="37">
        <v>37</v>
      </c>
      <c r="U21" s="39" t="str" cm="1">
        <f t="array" ref="U21">_xlfn.IFS(T21&lt;=70,"Low",T21&lt;=160,"Medium",T21&gt;=161,"High")</f>
        <v>Low</v>
      </c>
    </row>
    <row r="22" spans="1:21" x14ac:dyDescent="0.25">
      <c r="A22" s="33">
        <v>21</v>
      </c>
      <c r="B22" s="34">
        <v>40544</v>
      </c>
      <c r="C22" s="35">
        <v>1</v>
      </c>
      <c r="D22" s="35">
        <v>0</v>
      </c>
      <c r="E22" s="35">
        <v>1</v>
      </c>
      <c r="F22" s="35">
        <v>20</v>
      </c>
      <c r="G22" s="35" t="str" cm="1">
        <f t="array" ref="G22">_xlfn.IFS(F22&lt;4,"Night",F22&lt;=6,"Early Morning",F22&lt;11,"Morning",F22&lt;12,"Afternoon",F22&lt;=16,"Afternoon",F22&lt;=20,"Evening",F22&gt;=21,"Night")</f>
        <v>Evening</v>
      </c>
      <c r="H22" s="35" t="b">
        <v>0</v>
      </c>
      <c r="I22" s="35">
        <v>6</v>
      </c>
      <c r="J22" s="35">
        <v>2</v>
      </c>
      <c r="K22" s="31">
        <v>0.4</v>
      </c>
      <c r="L22" s="31" t="str" cm="1">
        <f t="array" ref="L22">_xlfn.IFS(K22&lt;0.15,"Cold",K22&lt;0.25,"Mild",K22&lt;=0.32,"Warm",K22&gt;=0.33,"Hot")</f>
        <v>Hot</v>
      </c>
      <c r="M22" s="36">
        <v>0.40910000000000002</v>
      </c>
      <c r="N22" s="36">
        <v>0.87</v>
      </c>
      <c r="O22" s="36" t="str" cm="1">
        <f t="array" ref="O22">_xlfn.IFS(N22&gt;0.61, "High Humidity", N22&gt;=0.6, "Humid", N22&gt;0.4, "Less Humidity", TRUE, "Dry")</f>
        <v>High Humidity</v>
      </c>
      <c r="P22" s="36">
        <v>0.25369999999999998</v>
      </c>
      <c r="Q22" s="36" t="str" cm="1">
        <f t="array" ref="Q22">_xlfn.IFS(P22&lt;=0.2,"Low Windspeed",P22&lt;0.4,"Medium Windspeed",P22&gt;=0.41,"High Windspeed")</f>
        <v>Medium Windspeed</v>
      </c>
      <c r="R22" s="36">
        <v>11</v>
      </c>
      <c r="S22" s="36">
        <v>25</v>
      </c>
      <c r="T22" s="37">
        <v>36</v>
      </c>
      <c r="U22" s="39" t="str" cm="1">
        <f t="array" ref="U22">_xlfn.IFS(T22&lt;=70,"Low",T22&lt;=160,"Medium",T22&gt;=161,"High")</f>
        <v>Low</v>
      </c>
    </row>
    <row r="23" spans="1:21" x14ac:dyDescent="0.25">
      <c r="A23" s="33">
        <v>22</v>
      </c>
      <c r="B23" s="34">
        <v>40544</v>
      </c>
      <c r="C23" s="35">
        <v>1</v>
      </c>
      <c r="D23" s="35">
        <v>0</v>
      </c>
      <c r="E23" s="35">
        <v>1</v>
      </c>
      <c r="F23" s="35">
        <v>21</v>
      </c>
      <c r="G23" s="35" t="str" cm="1">
        <f t="array" ref="G23">_xlfn.IFS(F23&lt;4,"Night",F23&lt;=6,"Early Morning",F23&lt;11,"Morning",F23&lt;12,"Afternoon",F23&lt;=16,"Afternoon",F23&lt;=20,"Evening",F23&gt;=21,"Night")</f>
        <v>Night</v>
      </c>
      <c r="H23" s="35" t="b">
        <v>0</v>
      </c>
      <c r="I23" s="35">
        <v>6</v>
      </c>
      <c r="J23" s="35">
        <v>2</v>
      </c>
      <c r="K23" s="31">
        <v>0.4</v>
      </c>
      <c r="L23" s="31" t="str" cm="1">
        <f t="array" ref="L23">_xlfn.IFS(K23&lt;0.15,"Cold",K23&lt;0.25,"Mild",K23&lt;=0.32,"Warm",K23&gt;=0.33,"Hot")</f>
        <v>Hot</v>
      </c>
      <c r="M23" s="36">
        <v>0.40910000000000002</v>
      </c>
      <c r="N23" s="36">
        <v>0.87</v>
      </c>
      <c r="O23" s="36" t="str" cm="1">
        <f t="array" ref="O23">_xlfn.IFS(N23&gt;0.61, "High Humidity", N23&gt;=0.6, "Humid", N23&gt;0.4, "Less Humidity", TRUE, "Dry")</f>
        <v>High Humidity</v>
      </c>
      <c r="P23" s="36">
        <v>0.19400000000000001</v>
      </c>
      <c r="Q23" s="36" t="str" cm="1">
        <f t="array" ref="Q23">_xlfn.IFS(P23&lt;=0.2,"Low Windspeed",P23&lt;0.4,"Medium Windspeed",P23&gt;=0.41,"High Windspeed")</f>
        <v>Low Windspeed</v>
      </c>
      <c r="R23" s="36">
        <v>3</v>
      </c>
      <c r="S23" s="36">
        <v>31</v>
      </c>
      <c r="T23" s="37">
        <v>34</v>
      </c>
      <c r="U23" s="39" t="str" cm="1">
        <f t="array" ref="U23">_xlfn.IFS(T23&lt;=70,"Low",T23&lt;=160,"Medium",T23&gt;=161,"High")</f>
        <v>Low</v>
      </c>
    </row>
    <row r="24" spans="1:21" x14ac:dyDescent="0.25">
      <c r="A24" s="33">
        <v>23</v>
      </c>
      <c r="B24" s="34">
        <v>40544</v>
      </c>
      <c r="C24" s="35">
        <v>1</v>
      </c>
      <c r="D24" s="35">
        <v>0</v>
      </c>
      <c r="E24" s="35">
        <v>1</v>
      </c>
      <c r="F24" s="35">
        <v>22</v>
      </c>
      <c r="G24" s="35" t="str" cm="1">
        <f t="array" ref="G24">_xlfn.IFS(F24&lt;4,"Night",F24&lt;=6,"Early Morning",F24&lt;11,"Morning",F24&lt;12,"Afternoon",F24&lt;=16,"Afternoon",F24&lt;=20,"Evening",F24&gt;=21,"Night")</f>
        <v>Night</v>
      </c>
      <c r="H24" s="35" t="b">
        <v>0</v>
      </c>
      <c r="I24" s="35">
        <v>6</v>
      </c>
      <c r="J24" s="35">
        <v>2</v>
      </c>
      <c r="K24" s="31">
        <v>0.4</v>
      </c>
      <c r="L24" s="31" t="str" cm="1">
        <f t="array" ref="L24">_xlfn.IFS(K24&lt;0.15,"Cold",K24&lt;0.25,"Mild",K24&lt;=0.32,"Warm",K24&gt;=0.33,"Hot")</f>
        <v>Hot</v>
      </c>
      <c r="M24" s="36">
        <v>0.40910000000000002</v>
      </c>
      <c r="N24" s="36">
        <v>0.94</v>
      </c>
      <c r="O24" s="36" t="str" cm="1">
        <f t="array" ref="O24">_xlfn.IFS(N24&gt;0.61, "High Humidity", N24&gt;=0.6, "Humid", N24&gt;0.4, "Less Humidity", TRUE, "Dry")</f>
        <v>High Humidity</v>
      </c>
      <c r="P24" s="36">
        <v>0.22389999999999999</v>
      </c>
      <c r="Q24" s="36" t="str" cm="1">
        <f t="array" ref="Q24">_xlfn.IFS(P24&lt;=0.2,"Low Windspeed",P24&lt;0.4,"Medium Windspeed",P24&gt;=0.41,"High Windspeed")</f>
        <v>Medium Windspeed</v>
      </c>
      <c r="R24" s="36">
        <v>11</v>
      </c>
      <c r="S24" s="36">
        <v>17</v>
      </c>
      <c r="T24" s="37">
        <v>28</v>
      </c>
      <c r="U24" s="39" t="str" cm="1">
        <f t="array" ref="U24">_xlfn.IFS(T24&lt;=70,"Low",T24&lt;=160,"Medium",T24&gt;=161,"High")</f>
        <v>Low</v>
      </c>
    </row>
    <row r="25" spans="1:21" x14ac:dyDescent="0.25">
      <c r="A25" s="33">
        <v>24</v>
      </c>
      <c r="B25" s="34">
        <v>40544</v>
      </c>
      <c r="C25" s="35">
        <v>1</v>
      </c>
      <c r="D25" s="35">
        <v>0</v>
      </c>
      <c r="E25" s="35">
        <v>1</v>
      </c>
      <c r="F25" s="35">
        <v>23</v>
      </c>
      <c r="G25" s="35" t="str" cm="1">
        <f t="array" ref="G25">_xlfn.IFS(F25&lt;4,"Night",F25&lt;=6,"Early Morning",F25&lt;11,"Morning",F25&lt;12,"Afternoon",F25&lt;=16,"Afternoon",F25&lt;=20,"Evening",F25&gt;=21,"Night")</f>
        <v>Night</v>
      </c>
      <c r="H25" s="35" t="b">
        <v>0</v>
      </c>
      <c r="I25" s="35">
        <v>6</v>
      </c>
      <c r="J25" s="35">
        <v>2</v>
      </c>
      <c r="K25" s="31">
        <v>0.46</v>
      </c>
      <c r="L25" s="31" t="str" cm="1">
        <f t="array" ref="L25">_xlfn.IFS(K25&lt;0.15,"Cold",K25&lt;0.25,"Mild",K25&lt;=0.32,"Warm",K25&gt;=0.33,"Hot")</f>
        <v>Hot</v>
      </c>
      <c r="M25" s="36">
        <v>0.19989999999999999</v>
      </c>
      <c r="N25" s="36">
        <v>0.88</v>
      </c>
      <c r="O25" s="36" t="str" cm="1">
        <f t="array" ref="O25">_xlfn.IFS(N25&gt;0.61, "High Humidity", N25&gt;=0.6, "Humid", N25&gt;0.4, "Less Humidity", TRUE, "Dry")</f>
        <v>High Humidity</v>
      </c>
      <c r="P25" s="36">
        <v>0.29849999999999999</v>
      </c>
      <c r="Q25" s="36" t="str" cm="1">
        <f t="array" ref="Q25">_xlfn.IFS(P25&lt;=0.2,"Low Windspeed",P25&lt;0.4,"Medium Windspeed",P25&gt;=0.41,"High Windspeed")</f>
        <v>Medium Windspeed</v>
      </c>
      <c r="R25" s="36">
        <v>15</v>
      </c>
      <c r="S25" s="36">
        <v>24</v>
      </c>
      <c r="T25" s="37">
        <v>39</v>
      </c>
      <c r="U25" s="39" t="str" cm="1">
        <f t="array" ref="U25">_xlfn.IFS(T25&lt;=70,"Low",T25&lt;=160,"Medium",T25&gt;=161,"High")</f>
        <v>Low</v>
      </c>
    </row>
    <row r="26" spans="1:21" x14ac:dyDescent="0.25">
      <c r="A26" s="33">
        <v>25</v>
      </c>
      <c r="B26" s="34">
        <v>40545</v>
      </c>
      <c r="C26" s="35">
        <v>1</v>
      </c>
      <c r="D26" s="35">
        <v>0</v>
      </c>
      <c r="E26" s="35">
        <v>1</v>
      </c>
      <c r="F26" s="35">
        <v>0</v>
      </c>
      <c r="G26" s="35" t="str" cm="1">
        <f t="array" ref="G26">_xlfn.IFS(F26&lt;4,"Night",F26&lt;=6,"Early Morning",F26&lt;11,"Morning",F26&lt;12,"Afternoon",F26&lt;=16,"Afternoon",F26&lt;=20,"Evening",F26&gt;=21,"Night")</f>
        <v>Night</v>
      </c>
      <c r="H26" s="35" t="b">
        <v>0</v>
      </c>
      <c r="I26" s="35">
        <v>0</v>
      </c>
      <c r="J26" s="35">
        <v>2</v>
      </c>
      <c r="K26" s="31">
        <v>0.46</v>
      </c>
      <c r="L26" s="31" t="str" cm="1">
        <f t="array" ref="L26">_xlfn.IFS(K26&lt;0.15,"Cold",K26&lt;0.25,"Mild",K26&lt;=0.32,"Warm",K26&gt;=0.33,"Hot")</f>
        <v>Hot</v>
      </c>
      <c r="M26" s="36">
        <v>0.45450000000000002</v>
      </c>
      <c r="N26" s="36">
        <v>0.88</v>
      </c>
      <c r="O26" s="36" t="str" cm="1">
        <f t="array" ref="O26">_xlfn.IFS(N26&gt;0.61, "High Humidity", N26&gt;=0.6, "Humid", N26&gt;0.4, "Less Humidity", TRUE, "Dry")</f>
        <v>High Humidity</v>
      </c>
      <c r="P26" s="36">
        <v>0.29849999999999999</v>
      </c>
      <c r="Q26" s="36" t="str" cm="1">
        <f t="array" ref="Q26">_xlfn.IFS(P26&lt;=0.2,"Low Windspeed",P26&lt;0.4,"Medium Windspeed",P26&gt;=0.41,"High Windspeed")</f>
        <v>Medium Windspeed</v>
      </c>
      <c r="R26" s="36">
        <v>4</v>
      </c>
      <c r="S26" s="36">
        <v>13</v>
      </c>
      <c r="T26" s="37">
        <v>17</v>
      </c>
      <c r="U26" s="39" t="str" cm="1">
        <f t="array" ref="U26">_xlfn.IFS(T26&lt;=70,"Low",T26&lt;=160,"Medium",T26&gt;=161,"High")</f>
        <v>Low</v>
      </c>
    </row>
    <row r="27" spans="1:21" x14ac:dyDescent="0.25">
      <c r="A27" s="33">
        <v>26</v>
      </c>
      <c r="B27" s="34">
        <v>40545</v>
      </c>
      <c r="C27" s="35">
        <v>1</v>
      </c>
      <c r="D27" s="35">
        <v>0</v>
      </c>
      <c r="E27" s="35">
        <v>1</v>
      </c>
      <c r="F27" s="35">
        <v>1</v>
      </c>
      <c r="G27" s="35" t="str" cm="1">
        <f t="array" ref="G27">_xlfn.IFS(F27&lt;4,"Night",F27&lt;=6,"Early Morning",F27&lt;11,"Morning",F27&lt;12,"Afternoon",F27&lt;=16,"Afternoon",F27&lt;=20,"Evening",F27&gt;=21,"Night")</f>
        <v>Night</v>
      </c>
      <c r="H27" s="35" t="b">
        <v>0</v>
      </c>
      <c r="I27" s="35">
        <v>0</v>
      </c>
      <c r="J27" s="35">
        <v>2</v>
      </c>
      <c r="K27" s="31">
        <v>0.44</v>
      </c>
      <c r="L27" s="31" t="str" cm="1">
        <f t="array" ref="L27">_xlfn.IFS(K27&lt;0.15,"Cold",K27&lt;0.25,"Mild",K27&lt;=0.32,"Warm",K27&gt;=0.33,"Hot")</f>
        <v>Hot</v>
      </c>
      <c r="M27" s="36">
        <v>0.43940000000000001</v>
      </c>
      <c r="N27" s="36">
        <v>0.94</v>
      </c>
      <c r="O27" s="36" t="str" cm="1">
        <f t="array" ref="O27">_xlfn.IFS(N27&gt;0.61, "High Humidity", N27&gt;=0.6, "Humid", N27&gt;0.4, "Less Humidity", TRUE, "Dry")</f>
        <v>High Humidity</v>
      </c>
      <c r="P27" s="36">
        <v>0.25369999999999998</v>
      </c>
      <c r="Q27" s="36" t="str" cm="1">
        <f t="array" ref="Q27">_xlfn.IFS(P27&lt;=0.2,"Low Windspeed",P27&lt;0.4,"Medium Windspeed",P27&gt;=0.41,"High Windspeed")</f>
        <v>Medium Windspeed</v>
      </c>
      <c r="R27" s="36">
        <v>1</v>
      </c>
      <c r="S27" s="36">
        <v>16</v>
      </c>
      <c r="T27" s="37">
        <v>17</v>
      </c>
      <c r="U27" s="39" t="str" cm="1">
        <f t="array" ref="U27">_xlfn.IFS(T27&lt;=70,"Low",T27&lt;=160,"Medium",T27&gt;=161,"High")</f>
        <v>Low</v>
      </c>
    </row>
    <row r="28" spans="1:21" x14ac:dyDescent="0.25">
      <c r="A28" s="33">
        <v>27</v>
      </c>
      <c r="B28" s="34">
        <v>40545</v>
      </c>
      <c r="C28" s="35">
        <v>1</v>
      </c>
      <c r="D28" s="35">
        <v>0</v>
      </c>
      <c r="E28" s="35">
        <v>1</v>
      </c>
      <c r="F28" s="35">
        <v>2</v>
      </c>
      <c r="G28" s="35" t="str" cm="1">
        <f t="array" ref="G28">_xlfn.IFS(F28&lt;4,"Night",F28&lt;=6,"Early Morning",F28&lt;11,"Morning",F28&lt;12,"Afternoon",F28&lt;=16,"Afternoon",F28&lt;=20,"Evening",F28&gt;=21,"Night")</f>
        <v>Night</v>
      </c>
      <c r="H28" s="35" t="b">
        <v>0</v>
      </c>
      <c r="I28" s="35">
        <v>0</v>
      </c>
      <c r="J28" s="35">
        <v>2</v>
      </c>
      <c r="K28" s="31">
        <v>0.42</v>
      </c>
      <c r="L28" s="31" t="str" cm="1">
        <f t="array" ref="L28">_xlfn.IFS(K28&lt;0.15,"Cold",K28&lt;0.25,"Mild",K28&lt;=0.32,"Warm",K28&gt;=0.33,"Hot")</f>
        <v>Hot</v>
      </c>
      <c r="M28" s="36">
        <v>0.42420000000000002</v>
      </c>
      <c r="N28" s="36">
        <v>1</v>
      </c>
      <c r="O28" s="36" t="str" cm="1">
        <f t="array" ref="O28">_xlfn.IFS(N28&gt;0.61, "High Humidity", N28&gt;=0.6, "Humid", N28&gt;0.4, "Less Humidity", TRUE, "Dry")</f>
        <v>High Humidity</v>
      </c>
      <c r="P28" s="36">
        <v>0.28360000000000002</v>
      </c>
      <c r="Q28" s="36" t="str" cm="1">
        <f t="array" ref="Q28">_xlfn.IFS(P28&lt;=0.2,"Low Windspeed",P28&lt;0.4,"Medium Windspeed",P28&gt;=0.41,"High Windspeed")</f>
        <v>Medium Windspeed</v>
      </c>
      <c r="R28" s="36">
        <v>1</v>
      </c>
      <c r="S28" s="36">
        <v>8</v>
      </c>
      <c r="T28" s="37">
        <v>9</v>
      </c>
      <c r="U28" s="39" t="str" cm="1">
        <f t="array" ref="U28">_xlfn.IFS(T28&lt;=70,"Low",T28&lt;=160,"Medium",T28&gt;=161,"High")</f>
        <v>Low</v>
      </c>
    </row>
    <row r="29" spans="1:21" x14ac:dyDescent="0.25">
      <c r="A29" s="33">
        <v>28</v>
      </c>
      <c r="B29" s="34">
        <v>40545</v>
      </c>
      <c r="C29" s="35">
        <v>1</v>
      </c>
      <c r="D29" s="35">
        <v>0</v>
      </c>
      <c r="E29" s="35">
        <v>1</v>
      </c>
      <c r="F29" s="35">
        <v>3</v>
      </c>
      <c r="G29" s="35" t="str" cm="1">
        <f t="array" ref="G29">_xlfn.IFS(F29&lt;4,"Night",F29&lt;=6,"Early Morning",F29&lt;11,"Morning",F29&lt;12,"Afternoon",F29&lt;=16,"Afternoon",F29&lt;=20,"Evening",F29&gt;=21,"Night")</f>
        <v>Night</v>
      </c>
      <c r="H29" s="35" t="b">
        <v>0</v>
      </c>
      <c r="I29" s="35">
        <v>0</v>
      </c>
      <c r="J29" s="35">
        <v>2</v>
      </c>
      <c r="K29" s="31">
        <v>0.46</v>
      </c>
      <c r="L29" s="31" t="str" cm="1">
        <f t="array" ref="L29">_xlfn.IFS(K29&lt;0.15,"Cold",K29&lt;0.25,"Mild",K29&lt;=0.32,"Warm",K29&gt;=0.33,"Hot")</f>
        <v>Hot</v>
      </c>
      <c r="M29" s="36">
        <v>0.45450000000000002</v>
      </c>
      <c r="N29" s="36">
        <v>0.94</v>
      </c>
      <c r="O29" s="36" t="str" cm="1">
        <f t="array" ref="O29">_xlfn.IFS(N29&gt;0.61, "High Humidity", N29&gt;=0.6, "Humid", N29&gt;0.4, "Less Humidity", TRUE, "Dry")</f>
        <v>High Humidity</v>
      </c>
      <c r="P29" s="36">
        <v>0.19400000000000001</v>
      </c>
      <c r="Q29" s="36" t="str" cm="1">
        <f t="array" ref="Q29">_xlfn.IFS(P29&lt;=0.2,"Low Windspeed",P29&lt;0.4,"Medium Windspeed",P29&gt;=0.41,"High Windspeed")</f>
        <v>Low Windspeed</v>
      </c>
      <c r="R29" s="36">
        <v>2</v>
      </c>
      <c r="S29" s="36">
        <v>4</v>
      </c>
      <c r="T29" s="37">
        <v>6</v>
      </c>
      <c r="U29" s="39" t="str" cm="1">
        <f t="array" ref="U29">_xlfn.IFS(T29&lt;=70,"Low",T29&lt;=160,"Medium",T29&gt;=161,"High")</f>
        <v>Low</v>
      </c>
    </row>
    <row r="30" spans="1:21" x14ac:dyDescent="0.25">
      <c r="A30" s="33">
        <v>29</v>
      </c>
      <c r="B30" s="34">
        <v>40545</v>
      </c>
      <c r="C30" s="35">
        <v>1</v>
      </c>
      <c r="D30" s="35">
        <v>0</v>
      </c>
      <c r="E30" s="35">
        <v>1</v>
      </c>
      <c r="F30" s="35">
        <v>4</v>
      </c>
      <c r="G30" s="35" t="str" cm="1">
        <f t="array" ref="G30">_xlfn.IFS(F30&lt;4,"Night",F30&lt;=6,"Early Morning",F30&lt;11,"Morning",F30&lt;12,"Afternoon",F30&lt;=16,"Afternoon",F30&lt;=20,"Evening",F30&gt;=21,"Night")</f>
        <v>Early Morning</v>
      </c>
      <c r="H30" s="35" t="b">
        <v>0</v>
      </c>
      <c r="I30" s="35">
        <v>0</v>
      </c>
      <c r="J30" s="35">
        <v>2</v>
      </c>
      <c r="K30" s="31">
        <v>0.46</v>
      </c>
      <c r="L30" s="31" t="str" cm="1">
        <f t="array" ref="L30">_xlfn.IFS(K30&lt;0.15,"Cold",K30&lt;0.25,"Mild",K30&lt;=0.32,"Warm",K30&gt;=0.33,"Hot")</f>
        <v>Hot</v>
      </c>
      <c r="M30" s="36">
        <v>0.19989999999999999</v>
      </c>
      <c r="N30" s="36">
        <v>0.94</v>
      </c>
      <c r="O30" s="36" t="str" cm="1">
        <f t="array" ref="O30">_xlfn.IFS(N30&gt;0.61, "High Humidity", N30&gt;=0.6, "Humid", N30&gt;0.4, "Less Humidity", TRUE, "Dry")</f>
        <v>High Humidity</v>
      </c>
      <c r="P30" s="36">
        <v>0.19400000000000001</v>
      </c>
      <c r="Q30" s="36" t="str" cm="1">
        <f t="array" ref="Q30">_xlfn.IFS(P30&lt;=0.2,"Low Windspeed",P30&lt;0.4,"Medium Windspeed",P30&gt;=0.41,"High Windspeed")</f>
        <v>Low Windspeed</v>
      </c>
      <c r="R30" s="36">
        <v>2</v>
      </c>
      <c r="S30" s="36">
        <v>1</v>
      </c>
      <c r="T30" s="37">
        <v>3</v>
      </c>
      <c r="U30" s="39" t="str" cm="1">
        <f t="array" ref="U30">_xlfn.IFS(T30&lt;=70,"Low",T30&lt;=160,"Medium",T30&gt;=161,"High")</f>
        <v>Low</v>
      </c>
    </row>
    <row r="31" spans="1:21" x14ac:dyDescent="0.25">
      <c r="A31" s="33">
        <v>30</v>
      </c>
      <c r="B31" s="34">
        <v>40545</v>
      </c>
      <c r="C31" s="35">
        <v>1</v>
      </c>
      <c r="D31" s="35">
        <v>0</v>
      </c>
      <c r="E31" s="35">
        <v>1</v>
      </c>
      <c r="F31" s="35">
        <v>6</v>
      </c>
      <c r="G31" s="35" t="str" cm="1">
        <f t="array" ref="G31">_xlfn.IFS(F31&lt;4,"Night",F31&lt;=6,"Early Morning",F31&lt;11,"Morning",F31&lt;12,"Afternoon",F31&lt;=16,"Afternoon",F31&lt;=20,"Evening",F31&gt;=21,"Night")</f>
        <v>Early Morning</v>
      </c>
      <c r="H31" s="35" t="b">
        <v>0</v>
      </c>
      <c r="I31" s="35">
        <v>0</v>
      </c>
      <c r="J31" s="35">
        <v>3</v>
      </c>
      <c r="K31" s="31">
        <v>0.42</v>
      </c>
      <c r="L31" s="31" t="str" cm="1">
        <f t="array" ref="L31">_xlfn.IFS(K31&lt;0.15,"Cold",K31&lt;0.25,"Mild",K31&lt;=0.32,"Warm",K31&gt;=0.33,"Hot")</f>
        <v>Hot</v>
      </c>
      <c r="M31" s="36">
        <v>0.42420000000000002</v>
      </c>
      <c r="N31" s="36">
        <v>0.77</v>
      </c>
      <c r="O31" s="36" t="str" cm="1">
        <f t="array" ref="O31">_xlfn.IFS(N31&gt;0.61, "High Humidity", N31&gt;=0.6, "Humid", N31&gt;0.4, "Less Humidity", TRUE, "Dry")</f>
        <v>High Humidity</v>
      </c>
      <c r="P31" s="36">
        <v>0.29849999999999999</v>
      </c>
      <c r="Q31" s="36" t="str" cm="1">
        <f t="array" ref="Q31">_xlfn.IFS(P31&lt;=0.2,"Low Windspeed",P31&lt;0.4,"Medium Windspeed",P31&gt;=0.41,"High Windspeed")</f>
        <v>Medium Windspeed</v>
      </c>
      <c r="R31" s="36">
        <v>0</v>
      </c>
      <c r="S31" s="36">
        <v>2</v>
      </c>
      <c r="T31" s="37">
        <v>2</v>
      </c>
      <c r="U31" s="39" t="str" cm="1">
        <f t="array" ref="U31">_xlfn.IFS(T31&lt;=70,"Low",T31&lt;=160,"Medium",T31&gt;=161,"High")</f>
        <v>Low</v>
      </c>
    </row>
    <row r="32" spans="1:21" x14ac:dyDescent="0.25">
      <c r="A32" s="33">
        <v>31</v>
      </c>
      <c r="B32" s="34">
        <v>40545</v>
      </c>
      <c r="C32" s="35">
        <v>1</v>
      </c>
      <c r="D32" s="35">
        <v>0</v>
      </c>
      <c r="E32" s="35">
        <v>1</v>
      </c>
      <c r="F32" s="35">
        <v>7</v>
      </c>
      <c r="G32" s="35" t="str" cm="1">
        <f t="array" ref="G32">_xlfn.IFS(F32&lt;4,"Night",F32&lt;=6,"Early Morning",F32&lt;11,"Morning",F32&lt;12,"Afternoon",F32&lt;=16,"Afternoon",F32&lt;=20,"Evening",F32&gt;=21,"Night")</f>
        <v>Morning</v>
      </c>
      <c r="H32" s="35" t="b">
        <v>0</v>
      </c>
      <c r="I32" s="35">
        <v>0</v>
      </c>
      <c r="J32" s="35">
        <v>2</v>
      </c>
      <c r="K32" s="31">
        <v>0.4</v>
      </c>
      <c r="L32" s="31" t="str" cm="1">
        <f t="array" ref="L32">_xlfn.IFS(K32&lt;0.15,"Cold",K32&lt;0.25,"Mild",K32&lt;=0.32,"Warm",K32&gt;=0.33,"Hot")</f>
        <v>Hot</v>
      </c>
      <c r="M32" s="36">
        <v>0.40910000000000002</v>
      </c>
      <c r="N32" s="36">
        <v>0.76</v>
      </c>
      <c r="O32" s="36" t="str" cm="1">
        <f t="array" ref="O32">_xlfn.IFS(N32&gt;0.61, "High Humidity", N32&gt;=0.6, "Humid", N32&gt;0.4, "Less Humidity", TRUE, "Dry")</f>
        <v>High Humidity</v>
      </c>
      <c r="P32" s="36">
        <v>0.19400000000000001</v>
      </c>
      <c r="Q32" s="36" t="str" cm="1">
        <f t="array" ref="Q32">_xlfn.IFS(P32&lt;=0.2,"Low Windspeed",P32&lt;0.4,"Medium Windspeed",P32&gt;=0.41,"High Windspeed")</f>
        <v>Low Windspeed</v>
      </c>
      <c r="R32" s="36">
        <v>0</v>
      </c>
      <c r="S32" s="36">
        <v>1</v>
      </c>
      <c r="T32" s="37">
        <v>1</v>
      </c>
      <c r="U32" s="39" t="str" cm="1">
        <f t="array" ref="U32">_xlfn.IFS(T32&lt;=70,"Low",T32&lt;=160,"Medium",T32&gt;=161,"High")</f>
        <v>Low</v>
      </c>
    </row>
    <row r="33" spans="1:21" x14ac:dyDescent="0.25">
      <c r="A33" s="33">
        <v>32</v>
      </c>
      <c r="B33" s="34">
        <v>40545</v>
      </c>
      <c r="C33" s="35">
        <v>1</v>
      </c>
      <c r="D33" s="35">
        <v>0</v>
      </c>
      <c r="E33" s="35">
        <v>1</v>
      </c>
      <c r="F33" s="35">
        <v>8</v>
      </c>
      <c r="G33" s="35" t="str" cm="1">
        <f t="array" ref="G33">_xlfn.IFS(F33&lt;4,"Night",F33&lt;=6,"Early Morning",F33&lt;11,"Morning",F33&lt;12,"Afternoon",F33&lt;=16,"Afternoon",F33&lt;=20,"Evening",F33&gt;=21,"Night")</f>
        <v>Morning</v>
      </c>
      <c r="H33" s="35" t="b">
        <v>0</v>
      </c>
      <c r="I33" s="35">
        <v>0</v>
      </c>
      <c r="J33" s="35">
        <v>3</v>
      </c>
      <c r="K33" s="31">
        <v>0.4</v>
      </c>
      <c r="L33" s="31" t="str" cm="1">
        <f t="array" ref="L33">_xlfn.IFS(K33&lt;0.15,"Cold",K33&lt;0.25,"Mild",K33&lt;=0.32,"Warm",K33&gt;=0.33,"Hot")</f>
        <v>Hot</v>
      </c>
      <c r="M33" s="36">
        <v>0.40910000000000002</v>
      </c>
      <c r="N33" s="36">
        <v>0.71</v>
      </c>
      <c r="O33" s="36" t="str" cm="1">
        <f t="array" ref="O33">_xlfn.IFS(N33&gt;0.61, "High Humidity", N33&gt;=0.6, "Humid", N33&gt;0.4, "Less Humidity", TRUE, "Dry")</f>
        <v>High Humidity</v>
      </c>
      <c r="P33" s="36">
        <v>0.22389999999999999</v>
      </c>
      <c r="Q33" s="36" t="str" cm="1">
        <f t="array" ref="Q33">_xlfn.IFS(P33&lt;=0.2,"Low Windspeed",P33&lt;0.4,"Medium Windspeed",P33&gt;=0.41,"High Windspeed")</f>
        <v>Medium Windspeed</v>
      </c>
      <c r="R33" s="36">
        <v>0</v>
      </c>
      <c r="S33" s="36">
        <v>8</v>
      </c>
      <c r="T33" s="37">
        <v>8</v>
      </c>
      <c r="U33" s="39" t="str" cm="1">
        <f t="array" ref="U33">_xlfn.IFS(T33&lt;=70,"Low",T33&lt;=160,"Medium",T33&gt;=161,"High")</f>
        <v>Low</v>
      </c>
    </row>
    <row r="34" spans="1:21" x14ac:dyDescent="0.25">
      <c r="A34" s="33">
        <v>33</v>
      </c>
      <c r="B34" s="34">
        <v>40545</v>
      </c>
      <c r="C34" s="35">
        <v>1</v>
      </c>
      <c r="D34" s="35">
        <v>0</v>
      </c>
      <c r="E34" s="35">
        <v>1</v>
      </c>
      <c r="F34" s="35">
        <v>9</v>
      </c>
      <c r="G34" s="35" t="str" cm="1">
        <f t="array" ref="G34">_xlfn.IFS(F34&lt;4,"Night",F34&lt;=6,"Early Morning",F34&lt;11,"Morning",F34&lt;12,"Afternoon",F34&lt;=16,"Afternoon",F34&lt;=20,"Evening",F34&gt;=21,"Night")</f>
        <v>Morning</v>
      </c>
      <c r="H34" s="35" t="b">
        <v>0</v>
      </c>
      <c r="I34" s="35">
        <v>0</v>
      </c>
      <c r="J34" s="35">
        <v>2</v>
      </c>
      <c r="K34" s="31">
        <v>0.38</v>
      </c>
      <c r="L34" s="31" t="str" cm="1">
        <f t="array" ref="L34">_xlfn.IFS(K34&lt;0.15,"Cold",K34&lt;0.25,"Mild",K34&lt;=0.32,"Warm",K34&gt;=0.33,"Hot")</f>
        <v>Hot</v>
      </c>
      <c r="M34" s="36">
        <v>0.19989999999999999</v>
      </c>
      <c r="N34" s="36">
        <v>0.76</v>
      </c>
      <c r="O34" s="36" t="str" cm="1">
        <f t="array" ref="O34">_xlfn.IFS(N34&gt;0.61, "High Humidity", N34&gt;=0.6, "Humid", N34&gt;0.4, "Less Humidity", TRUE, "Dry")</f>
        <v>High Humidity</v>
      </c>
      <c r="P34" s="36">
        <v>0.22389999999999999</v>
      </c>
      <c r="Q34" s="36" t="str" cm="1">
        <f t="array" ref="Q34">_xlfn.IFS(P34&lt;=0.2,"Low Windspeed",P34&lt;0.4,"Medium Windspeed",P34&gt;=0.41,"High Windspeed")</f>
        <v>Medium Windspeed</v>
      </c>
      <c r="R34" s="36">
        <v>1</v>
      </c>
      <c r="S34" s="36">
        <v>19</v>
      </c>
      <c r="T34" s="37">
        <v>20</v>
      </c>
      <c r="U34" s="39" t="str" cm="1">
        <f t="array" ref="U34">_xlfn.IFS(T34&lt;=70,"Low",T34&lt;=160,"Medium",T34&gt;=161,"High")</f>
        <v>Low</v>
      </c>
    </row>
    <row r="35" spans="1:21" x14ac:dyDescent="0.25">
      <c r="A35" s="33">
        <v>34</v>
      </c>
      <c r="B35" s="34">
        <v>40545</v>
      </c>
      <c r="C35" s="35">
        <v>1</v>
      </c>
      <c r="D35" s="35">
        <v>0</v>
      </c>
      <c r="E35" s="35">
        <v>1</v>
      </c>
      <c r="F35" s="35">
        <v>10</v>
      </c>
      <c r="G35" s="35" t="str" cm="1">
        <f t="array" ref="G35">_xlfn.IFS(F35&lt;4,"Night",F35&lt;=6,"Early Morning",F35&lt;11,"Morning",F35&lt;12,"Afternoon",F35&lt;=16,"Afternoon",F35&lt;=20,"Evening",F35&gt;=21,"Night")</f>
        <v>Morning</v>
      </c>
      <c r="H35" s="35" t="b">
        <v>0</v>
      </c>
      <c r="I35" s="35">
        <v>0</v>
      </c>
      <c r="J35" s="35">
        <v>2</v>
      </c>
      <c r="K35" s="31">
        <v>0.36</v>
      </c>
      <c r="L35" s="31" t="str" cm="1">
        <f t="array" ref="L35">_xlfn.IFS(K35&lt;0.15,"Cold",K35&lt;0.25,"Mild",K35&lt;=0.32,"Warm",K35&gt;=0.33,"Hot")</f>
        <v>Hot</v>
      </c>
      <c r="M35" s="36">
        <v>0.34849999999999998</v>
      </c>
      <c r="N35" s="36">
        <v>0.81</v>
      </c>
      <c r="O35" s="36" t="str" cm="1">
        <f t="array" ref="O35">_xlfn.IFS(N35&gt;0.61, "High Humidity", N35&gt;=0.6, "Humid", N35&gt;0.4, "Less Humidity", TRUE, "Dry")</f>
        <v>High Humidity</v>
      </c>
      <c r="P35" s="36">
        <v>0.22389999999999999</v>
      </c>
      <c r="Q35" s="36" t="str" cm="1">
        <f t="array" ref="Q35">_xlfn.IFS(P35&lt;=0.2,"Low Windspeed",P35&lt;0.4,"Medium Windspeed",P35&gt;=0.41,"High Windspeed")</f>
        <v>Medium Windspeed</v>
      </c>
      <c r="R35" s="36">
        <v>7</v>
      </c>
      <c r="S35" s="36">
        <v>46</v>
      </c>
      <c r="T35" s="37">
        <v>53</v>
      </c>
      <c r="U35" s="39" t="str" cm="1">
        <f t="array" ref="U35">_xlfn.IFS(T35&lt;=70,"Low",T35&lt;=160,"Medium",T35&gt;=161,"High")</f>
        <v>Low</v>
      </c>
    </row>
    <row r="36" spans="1:21" x14ac:dyDescent="0.25">
      <c r="A36" s="33">
        <v>35</v>
      </c>
      <c r="B36" s="34">
        <v>40545</v>
      </c>
      <c r="C36" s="35">
        <v>1</v>
      </c>
      <c r="D36" s="35">
        <v>0</v>
      </c>
      <c r="E36" s="35">
        <v>1</v>
      </c>
      <c r="F36" s="35">
        <v>11</v>
      </c>
      <c r="G36" s="35" t="str" cm="1">
        <f t="array" ref="G36">_xlfn.IFS(F36&lt;4,"Night",F36&lt;=6,"Early Morning",F36&lt;11,"Morning",F36&lt;12,"Afternoon",F36&lt;=16,"Afternoon",F36&lt;=20,"Evening",F36&gt;=21,"Night")</f>
        <v>Afternoon</v>
      </c>
      <c r="H36" s="35" t="b">
        <v>0</v>
      </c>
      <c r="I36" s="35">
        <v>0</v>
      </c>
      <c r="J36" s="35">
        <v>2</v>
      </c>
      <c r="K36" s="31">
        <v>0.36</v>
      </c>
      <c r="L36" s="31" t="str" cm="1">
        <f t="array" ref="L36">_xlfn.IFS(K36&lt;0.15,"Cold",K36&lt;0.25,"Mild",K36&lt;=0.32,"Warm",K36&gt;=0.33,"Hot")</f>
        <v>Hot</v>
      </c>
      <c r="M36" s="36">
        <v>0.33329999999999999</v>
      </c>
      <c r="N36" s="36">
        <v>0.71</v>
      </c>
      <c r="O36" s="36" t="str" cm="1">
        <f t="array" ref="O36">_xlfn.IFS(N36&gt;0.61, "High Humidity", N36&gt;=0.6, "Humid", N36&gt;0.4, "Less Humidity", TRUE, "Dry")</f>
        <v>High Humidity</v>
      </c>
      <c r="P36" s="36">
        <v>0.25369999999999998</v>
      </c>
      <c r="Q36" s="36" t="str" cm="1">
        <f t="array" ref="Q36">_xlfn.IFS(P36&lt;=0.2,"Low Windspeed",P36&lt;0.4,"Medium Windspeed",P36&gt;=0.41,"High Windspeed")</f>
        <v>Medium Windspeed</v>
      </c>
      <c r="R36" s="36">
        <v>16</v>
      </c>
      <c r="S36" s="36">
        <v>54</v>
      </c>
      <c r="T36" s="37">
        <v>70</v>
      </c>
      <c r="U36" s="39" t="str" cm="1">
        <f t="array" ref="U36">_xlfn.IFS(T36&lt;=70,"Low",T36&lt;=160,"Medium",T36&gt;=161,"High")</f>
        <v>Low</v>
      </c>
    </row>
    <row r="37" spans="1:21" x14ac:dyDescent="0.25">
      <c r="A37" s="33">
        <v>36</v>
      </c>
      <c r="B37" s="34">
        <v>40545</v>
      </c>
      <c r="C37" s="35">
        <v>1</v>
      </c>
      <c r="D37" s="35">
        <v>0</v>
      </c>
      <c r="E37" s="35">
        <v>1</v>
      </c>
      <c r="F37" s="35">
        <v>12</v>
      </c>
      <c r="G37" s="35" t="str" cm="1">
        <f t="array" ref="G37">_xlfn.IFS(F37&lt;4,"Night",F37&lt;=6,"Early Morning",F37&lt;11,"Morning",F37&lt;12,"Afternoon",F37&lt;=16,"Afternoon",F37&lt;=20,"Evening",F37&gt;=21,"Night")</f>
        <v>Afternoon</v>
      </c>
      <c r="H37" s="35" t="b">
        <v>0</v>
      </c>
      <c r="I37" s="35">
        <v>0</v>
      </c>
      <c r="J37" s="35">
        <v>2</v>
      </c>
      <c r="K37" s="31">
        <v>0.36</v>
      </c>
      <c r="L37" s="31" t="str" cm="1">
        <f t="array" ref="L37">_xlfn.IFS(K37&lt;0.15,"Cold",K37&lt;0.25,"Mild",K37&lt;=0.32,"Warm",K37&gt;=0.33,"Hot")</f>
        <v>Hot</v>
      </c>
      <c r="M37" s="36">
        <v>0.33329999999999999</v>
      </c>
      <c r="N37" s="36">
        <v>0.66</v>
      </c>
      <c r="O37" s="36" t="str" cm="1">
        <f t="array" ref="O37">_xlfn.IFS(N37&gt;0.61, "High Humidity", N37&gt;=0.6, "Humid", N37&gt;0.4, "Less Humidity", TRUE, "Dry")</f>
        <v>High Humidity</v>
      </c>
      <c r="P37" s="36">
        <v>0.29849999999999999</v>
      </c>
      <c r="Q37" s="36" t="str" cm="1">
        <f t="array" ref="Q37">_xlfn.IFS(P37&lt;=0.2,"Low Windspeed",P37&lt;0.4,"Medium Windspeed",P37&gt;=0.41,"High Windspeed")</f>
        <v>Medium Windspeed</v>
      </c>
      <c r="R37" s="36">
        <v>20</v>
      </c>
      <c r="S37" s="36">
        <v>73</v>
      </c>
      <c r="T37" s="37">
        <v>93</v>
      </c>
      <c r="U37" s="39" t="str" cm="1">
        <f t="array" ref="U37">_xlfn.IFS(T37&lt;=70,"Low",T37&lt;=160,"Medium",T37&gt;=161,"High")</f>
        <v>Medium</v>
      </c>
    </row>
    <row r="38" spans="1:21" x14ac:dyDescent="0.25">
      <c r="A38" s="33">
        <v>37</v>
      </c>
      <c r="B38" s="34">
        <v>40545</v>
      </c>
      <c r="C38" s="35">
        <v>1</v>
      </c>
      <c r="D38" s="35">
        <v>0</v>
      </c>
      <c r="E38" s="35">
        <v>1</v>
      </c>
      <c r="F38" s="35">
        <v>13</v>
      </c>
      <c r="G38" s="35" t="str" cm="1">
        <f t="array" ref="G38">_xlfn.IFS(F38&lt;4,"Night",F38&lt;=6,"Early Morning",F38&lt;11,"Morning",F38&lt;12,"Afternoon",F38&lt;=16,"Afternoon",F38&lt;=20,"Evening",F38&gt;=21,"Night")</f>
        <v>Afternoon</v>
      </c>
      <c r="H38" s="35" t="b">
        <v>0</v>
      </c>
      <c r="I38" s="35">
        <v>0</v>
      </c>
      <c r="J38" s="35">
        <v>2</v>
      </c>
      <c r="K38" s="31">
        <v>0.36</v>
      </c>
      <c r="L38" s="31" t="str" cm="1">
        <f t="array" ref="L38">_xlfn.IFS(K38&lt;0.15,"Cold",K38&lt;0.25,"Mild",K38&lt;=0.32,"Warm",K38&gt;=0.33,"Hot")</f>
        <v>Hot</v>
      </c>
      <c r="M38" s="36">
        <v>0.34849999999999998</v>
      </c>
      <c r="N38" s="36">
        <v>0.66</v>
      </c>
      <c r="O38" s="36" t="str" cm="1">
        <f t="array" ref="O38">_xlfn.IFS(N38&gt;0.61, "High Humidity", N38&gt;=0.6, "Humid", N38&gt;0.4, "Less Humidity", TRUE, "Dry")</f>
        <v>High Humidity</v>
      </c>
      <c r="P38" s="36">
        <v>0.1343</v>
      </c>
      <c r="Q38" s="36" t="str" cm="1">
        <f t="array" ref="Q38">_xlfn.IFS(P38&lt;=0.2,"Low Windspeed",P38&lt;0.4,"Medium Windspeed",P38&gt;=0.41,"High Windspeed")</f>
        <v>Low Windspeed</v>
      </c>
      <c r="R38" s="36">
        <v>11</v>
      </c>
      <c r="S38" s="36">
        <v>64</v>
      </c>
      <c r="T38" s="37">
        <v>75</v>
      </c>
      <c r="U38" s="39" t="str" cm="1">
        <f t="array" ref="U38">_xlfn.IFS(T38&lt;=70,"Low",T38&lt;=160,"Medium",T38&gt;=161,"High")</f>
        <v>Medium</v>
      </c>
    </row>
    <row r="39" spans="1:21" x14ac:dyDescent="0.25">
      <c r="A39" s="33">
        <v>38</v>
      </c>
      <c r="B39" s="34">
        <v>40545</v>
      </c>
      <c r="C39" s="35">
        <v>1</v>
      </c>
      <c r="D39" s="35">
        <v>0</v>
      </c>
      <c r="E39" s="35">
        <v>1</v>
      </c>
      <c r="F39" s="35">
        <v>14</v>
      </c>
      <c r="G39" s="35" t="str" cm="1">
        <f t="array" ref="G39">_xlfn.IFS(F39&lt;4,"Night",F39&lt;=6,"Early Morning",F39&lt;11,"Morning",F39&lt;12,"Afternoon",F39&lt;=16,"Afternoon",F39&lt;=20,"Evening",F39&gt;=21,"Night")</f>
        <v>Afternoon</v>
      </c>
      <c r="H39" s="35" t="b">
        <v>0</v>
      </c>
      <c r="I39" s="35">
        <v>0</v>
      </c>
      <c r="J39" s="35">
        <v>3</v>
      </c>
      <c r="K39" s="31">
        <v>0.36</v>
      </c>
      <c r="L39" s="31" t="str" cm="1">
        <f t="array" ref="L39">_xlfn.IFS(K39&lt;0.15,"Cold",K39&lt;0.25,"Mild",K39&lt;=0.32,"Warm",K39&gt;=0.33,"Hot")</f>
        <v>Hot</v>
      </c>
      <c r="M39" s="36">
        <v>0.19989999999999999</v>
      </c>
      <c r="N39" s="36">
        <v>0.76</v>
      </c>
      <c r="O39" s="36" t="str" cm="1">
        <f t="array" ref="O39">_xlfn.IFS(N39&gt;0.61, "High Humidity", N39&gt;=0.6, "Humid", N39&gt;0.4, "Less Humidity", TRUE, "Dry")</f>
        <v>High Humidity</v>
      </c>
      <c r="P39" s="36">
        <v>0.19400000000000001</v>
      </c>
      <c r="Q39" s="36" t="str" cm="1">
        <f t="array" ref="Q39">_xlfn.IFS(P39&lt;=0.2,"Low Windspeed",P39&lt;0.4,"Medium Windspeed",P39&gt;=0.41,"High Windspeed")</f>
        <v>Low Windspeed</v>
      </c>
      <c r="R39" s="36">
        <v>4</v>
      </c>
      <c r="S39" s="36">
        <v>55</v>
      </c>
      <c r="T39" s="37">
        <v>59</v>
      </c>
      <c r="U39" s="39" t="str" cm="1">
        <f t="array" ref="U39">_xlfn.IFS(T39&lt;=70,"Low",T39&lt;=160,"Medium",T39&gt;=161,"High")</f>
        <v>Low</v>
      </c>
    </row>
    <row r="40" spans="1:21" x14ac:dyDescent="0.25">
      <c r="A40" s="33">
        <v>39</v>
      </c>
      <c r="B40" s="34">
        <v>40545</v>
      </c>
      <c r="C40" s="35">
        <v>1</v>
      </c>
      <c r="D40" s="35">
        <v>0</v>
      </c>
      <c r="E40" s="35">
        <v>1</v>
      </c>
      <c r="F40" s="35">
        <v>15</v>
      </c>
      <c r="G40" s="35" t="str" cm="1">
        <f t="array" ref="G40">_xlfn.IFS(F40&lt;4,"Night",F40&lt;=6,"Early Morning",F40&lt;11,"Morning",F40&lt;12,"Afternoon",F40&lt;=16,"Afternoon",F40&lt;=20,"Evening",F40&gt;=21,"Night")</f>
        <v>Afternoon</v>
      </c>
      <c r="H40" s="35" t="b">
        <v>0</v>
      </c>
      <c r="I40" s="35">
        <v>0</v>
      </c>
      <c r="J40" s="35">
        <v>3</v>
      </c>
      <c r="K40" s="31">
        <v>0.34</v>
      </c>
      <c r="L40" s="31" t="str" cm="1">
        <f t="array" ref="L40">_xlfn.IFS(K40&lt;0.15,"Cold",K40&lt;0.25,"Mild",K40&lt;=0.32,"Warm",K40&gt;=0.33,"Hot")</f>
        <v>Hot</v>
      </c>
      <c r="M40" s="36">
        <v>0.33329999999999999</v>
      </c>
      <c r="N40" s="36">
        <v>0.81</v>
      </c>
      <c r="O40" s="36" t="str" cm="1">
        <f t="array" ref="O40">_xlfn.IFS(N40&gt;0.61, "High Humidity", N40&gt;=0.6, "Humid", N40&gt;0.4, "Less Humidity", TRUE, "Dry")</f>
        <v>High Humidity</v>
      </c>
      <c r="P40" s="36">
        <v>0.16420000000000001</v>
      </c>
      <c r="Q40" s="36" t="str" cm="1">
        <f t="array" ref="Q40">_xlfn.IFS(P40&lt;=0.2,"Low Windspeed",P40&lt;0.4,"Medium Windspeed",P40&gt;=0.41,"High Windspeed")</f>
        <v>Low Windspeed</v>
      </c>
      <c r="R40" s="36">
        <v>19</v>
      </c>
      <c r="S40" s="36">
        <v>55</v>
      </c>
      <c r="T40" s="37">
        <v>74</v>
      </c>
      <c r="U40" s="39" t="str" cm="1">
        <f t="array" ref="U40">_xlfn.IFS(T40&lt;=70,"Low",T40&lt;=160,"Medium",T40&gt;=161,"High")</f>
        <v>Medium</v>
      </c>
    </row>
    <row r="41" spans="1:21" x14ac:dyDescent="0.25">
      <c r="A41" s="33">
        <v>40</v>
      </c>
      <c r="B41" s="34">
        <v>40545</v>
      </c>
      <c r="C41" s="35">
        <v>1</v>
      </c>
      <c r="D41" s="35">
        <v>0</v>
      </c>
      <c r="E41" s="35">
        <v>1</v>
      </c>
      <c r="F41" s="35">
        <v>16</v>
      </c>
      <c r="G41" s="35" t="str" cm="1">
        <f t="array" ref="G41">_xlfn.IFS(F41&lt;4,"Night",F41&lt;=6,"Early Morning",F41&lt;11,"Morning",F41&lt;12,"Afternoon",F41&lt;=16,"Afternoon",F41&lt;=20,"Evening",F41&gt;=21,"Night")</f>
        <v>Afternoon</v>
      </c>
      <c r="H41" s="35" t="b">
        <v>0</v>
      </c>
      <c r="I41" s="35">
        <v>0</v>
      </c>
      <c r="J41" s="35">
        <v>3</v>
      </c>
      <c r="K41" s="31">
        <v>0.34</v>
      </c>
      <c r="L41" s="31" t="str" cm="1">
        <f t="array" ref="L41">_xlfn.IFS(K41&lt;0.15,"Cold",K41&lt;0.25,"Mild",K41&lt;=0.32,"Warm",K41&gt;=0.33,"Hot")</f>
        <v>Hot</v>
      </c>
      <c r="M41" s="36">
        <v>0.33329999999999999</v>
      </c>
      <c r="N41" s="36">
        <v>0.71</v>
      </c>
      <c r="O41" s="36" t="str" cm="1">
        <f t="array" ref="O41">_xlfn.IFS(N41&gt;0.61, "High Humidity", N41&gt;=0.6, "Humid", N41&gt;0.4, "Less Humidity", TRUE, "Dry")</f>
        <v>High Humidity</v>
      </c>
      <c r="P41" s="36">
        <v>0.16420000000000001</v>
      </c>
      <c r="Q41" s="36" t="str" cm="1">
        <f t="array" ref="Q41">_xlfn.IFS(P41&lt;=0.2,"Low Windspeed",P41&lt;0.4,"Medium Windspeed",P41&gt;=0.41,"High Windspeed")</f>
        <v>Low Windspeed</v>
      </c>
      <c r="R41" s="36">
        <v>9</v>
      </c>
      <c r="S41" s="36">
        <v>67</v>
      </c>
      <c r="T41" s="37">
        <v>76</v>
      </c>
      <c r="U41" s="39" t="str" cm="1">
        <f t="array" ref="U41">_xlfn.IFS(T41&lt;=70,"Low",T41&lt;=160,"Medium",T41&gt;=161,"High")</f>
        <v>Medium</v>
      </c>
    </row>
    <row r="42" spans="1:21" x14ac:dyDescent="0.25">
      <c r="A42" s="33">
        <v>41</v>
      </c>
      <c r="B42" s="34">
        <v>40545</v>
      </c>
      <c r="C42" s="35">
        <v>1</v>
      </c>
      <c r="D42" s="35">
        <v>0</v>
      </c>
      <c r="E42" s="35">
        <v>1</v>
      </c>
      <c r="F42" s="35">
        <v>17</v>
      </c>
      <c r="G42" s="35" t="str" cm="1">
        <f t="array" ref="G42">_xlfn.IFS(F42&lt;4,"Night",F42&lt;=6,"Early Morning",F42&lt;11,"Morning",F42&lt;12,"Afternoon",F42&lt;=16,"Afternoon",F42&lt;=20,"Evening",F42&gt;=21,"Night")</f>
        <v>Evening</v>
      </c>
      <c r="H42" s="35" t="b">
        <v>0</v>
      </c>
      <c r="I42" s="35">
        <v>0</v>
      </c>
      <c r="J42" s="35">
        <v>1</v>
      </c>
      <c r="K42" s="31">
        <v>0.34</v>
      </c>
      <c r="L42" s="31" t="str" cm="1">
        <f t="array" ref="L42">_xlfn.IFS(K42&lt;0.15,"Cold",K42&lt;0.25,"Mild",K42&lt;=0.32,"Warm",K42&gt;=0.33,"Hot")</f>
        <v>Hot</v>
      </c>
      <c r="M42" s="36">
        <v>0.33329999999999999</v>
      </c>
      <c r="N42" s="36">
        <v>0.56999999999999995</v>
      </c>
      <c r="O42" s="36" t="str" cm="1">
        <f t="array" ref="O42">_xlfn.IFS(N42&gt;0.61, "High Humidity", N42&gt;=0.6, "Humid", N42&gt;0.4, "Less Humidity", TRUE, "Dry")</f>
        <v>Less Humidity</v>
      </c>
      <c r="P42" s="36">
        <v>0.19400000000000001</v>
      </c>
      <c r="Q42" s="36" t="str" cm="1">
        <f t="array" ref="Q42">_xlfn.IFS(P42&lt;=0.2,"Low Windspeed",P42&lt;0.4,"Medium Windspeed",P42&gt;=0.41,"High Windspeed")</f>
        <v>Low Windspeed</v>
      </c>
      <c r="R42" s="36">
        <v>7</v>
      </c>
      <c r="S42" s="36">
        <v>58</v>
      </c>
      <c r="T42" s="37">
        <v>65</v>
      </c>
      <c r="U42" s="39" t="str" cm="1">
        <f t="array" ref="U42">_xlfn.IFS(T42&lt;=70,"Low",T42&lt;=160,"Medium",T42&gt;=161,"High")</f>
        <v>Low</v>
      </c>
    </row>
    <row r="43" spans="1:21" x14ac:dyDescent="0.25">
      <c r="A43" s="33">
        <v>42</v>
      </c>
      <c r="B43" s="34">
        <v>40545</v>
      </c>
      <c r="C43" s="35">
        <v>1</v>
      </c>
      <c r="D43" s="35">
        <v>0</v>
      </c>
      <c r="E43" s="35">
        <v>1</v>
      </c>
      <c r="F43" s="35">
        <v>18</v>
      </c>
      <c r="G43" s="35" t="str" cm="1">
        <f t="array" ref="G43">_xlfn.IFS(F43&lt;4,"Night",F43&lt;=6,"Early Morning",F43&lt;11,"Morning",F43&lt;12,"Afternoon",F43&lt;=16,"Afternoon",F43&lt;=20,"Evening",F43&gt;=21,"Night")</f>
        <v>Evening</v>
      </c>
      <c r="H43" s="35" t="b">
        <v>0</v>
      </c>
      <c r="I43" s="35">
        <v>0</v>
      </c>
      <c r="J43" s="35">
        <v>2</v>
      </c>
      <c r="K43" s="31">
        <v>0.36</v>
      </c>
      <c r="L43" s="31" t="str" cm="1">
        <f t="array" ref="L43">_xlfn.IFS(K43&lt;0.15,"Cold",K43&lt;0.25,"Mild",K43&lt;=0.32,"Warm",K43&gt;=0.33,"Hot")</f>
        <v>Hot</v>
      </c>
      <c r="M43" s="36">
        <v>0.33329999999999999</v>
      </c>
      <c r="N43" s="36">
        <v>0.46</v>
      </c>
      <c r="O43" s="36" t="str" cm="1">
        <f t="array" ref="O43">_xlfn.IFS(N43&gt;0.61, "High Humidity", N43&gt;=0.6, "Humid", N43&gt;0.4, "Less Humidity", TRUE, "Dry")</f>
        <v>Less Humidity</v>
      </c>
      <c r="P43" s="36">
        <v>0.32840000000000003</v>
      </c>
      <c r="Q43" s="36" t="str" cm="1">
        <f t="array" ref="Q43">_xlfn.IFS(P43&lt;=0.2,"Low Windspeed",P43&lt;0.4,"Medium Windspeed",P43&gt;=0.41,"High Windspeed")</f>
        <v>Medium Windspeed</v>
      </c>
      <c r="R43" s="36">
        <v>10</v>
      </c>
      <c r="S43" s="36">
        <v>43</v>
      </c>
      <c r="T43" s="37">
        <v>53</v>
      </c>
      <c r="U43" s="39" t="str" cm="1">
        <f t="array" ref="U43">_xlfn.IFS(T43&lt;=70,"Low",T43&lt;=160,"Medium",T43&gt;=161,"High")</f>
        <v>Low</v>
      </c>
    </row>
    <row r="44" spans="1:21" x14ac:dyDescent="0.25">
      <c r="A44" s="33">
        <v>43</v>
      </c>
      <c r="B44" s="34">
        <v>40545</v>
      </c>
      <c r="C44" s="35">
        <v>1</v>
      </c>
      <c r="D44" s="35">
        <v>0</v>
      </c>
      <c r="E44" s="35">
        <v>1</v>
      </c>
      <c r="F44" s="35">
        <v>19</v>
      </c>
      <c r="G44" s="35" t="str" cm="1">
        <f t="array" ref="G44">_xlfn.IFS(F44&lt;4,"Night",F44&lt;=6,"Early Morning",F44&lt;11,"Morning",F44&lt;12,"Afternoon",F44&lt;=16,"Afternoon",F44&lt;=20,"Evening",F44&gt;=21,"Night")</f>
        <v>Evening</v>
      </c>
      <c r="H44" s="35" t="b">
        <v>0</v>
      </c>
      <c r="I44" s="35">
        <v>0</v>
      </c>
      <c r="J44" s="35">
        <v>1</v>
      </c>
      <c r="K44" s="31">
        <v>0.32</v>
      </c>
      <c r="L44" s="31" t="str" cm="1">
        <f t="array" ref="L44">_xlfn.IFS(K44&lt;0.15,"Cold",K44&lt;0.25,"Mild",K44&lt;=0.32,"Warm",K44&gt;=0.33,"Hot")</f>
        <v>Warm</v>
      </c>
      <c r="M44" s="36">
        <v>0.28789999999999999</v>
      </c>
      <c r="N44" s="36">
        <v>0.42</v>
      </c>
      <c r="O44" s="36" t="str" cm="1">
        <f t="array" ref="O44">_xlfn.IFS(N44&gt;0.61, "High Humidity", N44&gt;=0.6, "Humid", N44&gt;0.4, "Less Humidity", TRUE, "Dry")</f>
        <v>Less Humidity</v>
      </c>
      <c r="P44" s="36">
        <v>0.44779999999999998</v>
      </c>
      <c r="Q44" s="36" t="str" cm="1">
        <f t="array" ref="Q44">_xlfn.IFS(P44&lt;=0.2,"Low Windspeed",P44&lt;0.4,"Medium Windspeed",P44&gt;=0.41,"High Windspeed")</f>
        <v>High Windspeed</v>
      </c>
      <c r="R44" s="36">
        <v>1</v>
      </c>
      <c r="S44" s="36">
        <v>29</v>
      </c>
      <c r="T44" s="37">
        <v>30</v>
      </c>
      <c r="U44" s="39" t="str" cm="1">
        <f t="array" ref="U44">_xlfn.IFS(T44&lt;=70,"Low",T44&lt;=160,"Medium",T44&gt;=161,"High")</f>
        <v>Low</v>
      </c>
    </row>
    <row r="45" spans="1:21" x14ac:dyDescent="0.25">
      <c r="A45" s="33">
        <v>44</v>
      </c>
      <c r="B45" s="34">
        <v>40545</v>
      </c>
      <c r="C45" s="35">
        <v>1</v>
      </c>
      <c r="D45" s="35">
        <v>0</v>
      </c>
      <c r="E45" s="35">
        <v>1</v>
      </c>
      <c r="F45" s="35">
        <v>20</v>
      </c>
      <c r="G45" s="35" t="str" cm="1">
        <f t="array" ref="G45">_xlfn.IFS(F45&lt;4,"Night",F45&lt;=6,"Early Morning",F45&lt;11,"Morning",F45&lt;12,"Afternoon",F45&lt;=16,"Afternoon",F45&lt;=20,"Evening",F45&gt;=21,"Night")</f>
        <v>Evening</v>
      </c>
      <c r="H45" s="35" t="b">
        <v>0</v>
      </c>
      <c r="I45" s="35">
        <v>0</v>
      </c>
      <c r="J45" s="35">
        <v>1</v>
      </c>
      <c r="K45" s="31">
        <v>0.3</v>
      </c>
      <c r="L45" s="31" t="str" cm="1">
        <f t="array" ref="L45">_xlfn.IFS(K45&lt;0.15,"Cold",K45&lt;0.25,"Mild",K45&lt;=0.32,"Warm",K45&gt;=0.33,"Hot")</f>
        <v>Warm</v>
      </c>
      <c r="M45" s="36">
        <v>0.19989999999999999</v>
      </c>
      <c r="N45" s="36">
        <v>0.39</v>
      </c>
      <c r="O45" s="36" t="str" cm="1">
        <f t="array" ref="O45">_xlfn.IFS(N45&gt;0.61, "High Humidity", N45&gt;=0.6, "Humid", N45&gt;0.4, "Less Humidity", TRUE, "Dry")</f>
        <v>Dry</v>
      </c>
      <c r="P45" s="36">
        <v>0.35820000000000002</v>
      </c>
      <c r="Q45" s="36" t="str" cm="1">
        <f t="array" ref="Q45">_xlfn.IFS(P45&lt;=0.2,"Low Windspeed",P45&lt;0.4,"Medium Windspeed",P45&gt;=0.41,"High Windspeed")</f>
        <v>Medium Windspeed</v>
      </c>
      <c r="R45" s="36">
        <v>5</v>
      </c>
      <c r="S45" s="36">
        <v>17</v>
      </c>
      <c r="T45" s="37">
        <v>22</v>
      </c>
      <c r="U45" s="39" t="str" cm="1">
        <f t="array" ref="U45">_xlfn.IFS(T45&lt;=70,"Low",T45&lt;=160,"Medium",T45&gt;=161,"High")</f>
        <v>Low</v>
      </c>
    </row>
    <row r="46" spans="1:21" x14ac:dyDescent="0.25">
      <c r="A46" s="33">
        <v>45</v>
      </c>
      <c r="B46" s="34">
        <v>40545</v>
      </c>
      <c r="C46" s="35">
        <v>1</v>
      </c>
      <c r="D46" s="35">
        <v>0</v>
      </c>
      <c r="E46" s="35">
        <v>1</v>
      </c>
      <c r="F46" s="35">
        <v>21</v>
      </c>
      <c r="G46" s="35" t="str" cm="1">
        <f t="array" ref="G46">_xlfn.IFS(F46&lt;4,"Night",F46&lt;=6,"Early Morning",F46&lt;11,"Morning",F46&lt;12,"Afternoon",F46&lt;=16,"Afternoon",F46&lt;=20,"Evening",F46&gt;=21,"Night")</f>
        <v>Night</v>
      </c>
      <c r="H46" s="35" t="b">
        <v>0</v>
      </c>
      <c r="I46" s="35">
        <v>0</v>
      </c>
      <c r="J46" s="35">
        <v>1</v>
      </c>
      <c r="K46" s="31">
        <v>0.26</v>
      </c>
      <c r="L46" s="31" t="str" cm="1">
        <f t="array" ref="L46">_xlfn.IFS(K46&lt;0.15,"Cold",K46&lt;0.25,"Mild",K46&lt;=0.32,"Warm",K46&gt;=0.33,"Hot")</f>
        <v>Warm</v>
      </c>
      <c r="M46" s="36">
        <v>0.2273</v>
      </c>
      <c r="N46" s="36">
        <v>0.44</v>
      </c>
      <c r="O46" s="36" t="str" cm="1">
        <f t="array" ref="O46">_xlfn.IFS(N46&gt;0.61, "High Humidity", N46&gt;=0.6, "Humid", N46&gt;0.4, "Less Humidity", TRUE, "Dry")</f>
        <v>Less Humidity</v>
      </c>
      <c r="P46" s="36">
        <v>0.32840000000000003</v>
      </c>
      <c r="Q46" s="36" t="str" cm="1">
        <f t="array" ref="Q46">_xlfn.IFS(P46&lt;=0.2,"Low Windspeed",P46&lt;0.4,"Medium Windspeed",P46&gt;=0.41,"High Windspeed")</f>
        <v>Medium Windspeed</v>
      </c>
      <c r="R46" s="36">
        <v>11</v>
      </c>
      <c r="S46" s="36">
        <v>20</v>
      </c>
      <c r="T46" s="37">
        <v>31</v>
      </c>
      <c r="U46" s="39" t="str" cm="1">
        <f t="array" ref="U46">_xlfn.IFS(T46&lt;=70,"Low",T46&lt;=160,"Medium",T46&gt;=161,"High")</f>
        <v>Low</v>
      </c>
    </row>
    <row r="47" spans="1:21" x14ac:dyDescent="0.25">
      <c r="A47" s="33">
        <v>46</v>
      </c>
      <c r="B47" s="34">
        <v>40545</v>
      </c>
      <c r="C47" s="35">
        <v>1</v>
      </c>
      <c r="D47" s="35">
        <v>0</v>
      </c>
      <c r="E47" s="35">
        <v>1</v>
      </c>
      <c r="F47" s="35">
        <v>22</v>
      </c>
      <c r="G47" s="35" t="str" cm="1">
        <f t="array" ref="G47">_xlfn.IFS(F47&lt;4,"Night",F47&lt;=6,"Early Morning",F47&lt;11,"Morning",F47&lt;12,"Afternoon",F47&lt;=16,"Afternoon",F47&lt;=20,"Evening",F47&gt;=21,"Night")</f>
        <v>Night</v>
      </c>
      <c r="H47" s="35" t="b">
        <v>0</v>
      </c>
      <c r="I47" s="35">
        <v>0</v>
      </c>
      <c r="J47" s="35">
        <v>1</v>
      </c>
      <c r="K47" s="31">
        <v>0.24</v>
      </c>
      <c r="L47" s="31" t="str" cm="1">
        <f t="array" ref="L47">_xlfn.IFS(K47&lt;0.15,"Cold",K47&lt;0.25,"Mild",K47&lt;=0.32,"Warm",K47&gt;=0.33,"Hot")</f>
        <v>Mild</v>
      </c>
      <c r="M47" s="36">
        <v>0.21210000000000001</v>
      </c>
      <c r="N47" s="36">
        <v>0.44</v>
      </c>
      <c r="O47" s="36" t="str" cm="1">
        <f t="array" ref="O47">_xlfn.IFS(N47&gt;0.61, "High Humidity", N47&gt;=0.6, "Humid", N47&gt;0.4, "Less Humidity", TRUE, "Dry")</f>
        <v>Less Humidity</v>
      </c>
      <c r="P47" s="36">
        <v>0.29849999999999999</v>
      </c>
      <c r="Q47" s="36" t="str" cm="1">
        <f t="array" ref="Q47">_xlfn.IFS(P47&lt;=0.2,"Low Windspeed",P47&lt;0.4,"Medium Windspeed",P47&gt;=0.41,"High Windspeed")</f>
        <v>Medium Windspeed</v>
      </c>
      <c r="R47" s="36">
        <v>0</v>
      </c>
      <c r="S47" s="36">
        <v>9</v>
      </c>
      <c r="T47" s="37">
        <v>9</v>
      </c>
      <c r="U47" s="39" t="str" cm="1">
        <f t="array" ref="U47">_xlfn.IFS(T47&lt;=70,"Low",T47&lt;=160,"Medium",T47&gt;=161,"High")</f>
        <v>Low</v>
      </c>
    </row>
    <row r="48" spans="1:21" x14ac:dyDescent="0.25">
      <c r="A48" s="33">
        <v>47</v>
      </c>
      <c r="B48" s="34">
        <v>40545</v>
      </c>
      <c r="C48" s="35">
        <v>1</v>
      </c>
      <c r="D48" s="35">
        <v>0</v>
      </c>
      <c r="E48" s="35">
        <v>1</v>
      </c>
      <c r="F48" s="35">
        <v>23</v>
      </c>
      <c r="G48" s="35" t="str" cm="1">
        <f t="array" ref="G48">_xlfn.IFS(F48&lt;4,"Night",F48&lt;=6,"Early Morning",F48&lt;11,"Morning",F48&lt;12,"Afternoon",F48&lt;=16,"Afternoon",F48&lt;=20,"Evening",F48&gt;=21,"Night")</f>
        <v>Night</v>
      </c>
      <c r="H48" s="35" t="b">
        <v>0</v>
      </c>
      <c r="I48" s="35">
        <v>0</v>
      </c>
      <c r="J48" s="35">
        <v>1</v>
      </c>
      <c r="K48" s="31">
        <v>0.22</v>
      </c>
      <c r="L48" s="31" t="str" cm="1">
        <f t="array" ref="L48">_xlfn.IFS(K48&lt;0.15,"Cold",K48&lt;0.25,"Mild",K48&lt;=0.32,"Warm",K48&gt;=0.33,"Hot")</f>
        <v>Mild</v>
      </c>
      <c r="M48" s="36">
        <v>0.2273</v>
      </c>
      <c r="N48" s="36">
        <v>0.47</v>
      </c>
      <c r="O48" s="36" t="str" cm="1">
        <f t="array" ref="O48">_xlfn.IFS(N48&gt;0.61, "High Humidity", N48&gt;=0.6, "Humid", N48&gt;0.4, "Less Humidity", TRUE, "Dry")</f>
        <v>Less Humidity</v>
      </c>
      <c r="P48" s="36">
        <v>0.16420000000000001</v>
      </c>
      <c r="Q48" s="36" t="str" cm="1">
        <f t="array" ref="Q48">_xlfn.IFS(P48&lt;=0.2,"Low Windspeed",P48&lt;0.4,"Medium Windspeed",P48&gt;=0.41,"High Windspeed")</f>
        <v>Low Windspeed</v>
      </c>
      <c r="R48" s="36">
        <v>0</v>
      </c>
      <c r="S48" s="36">
        <v>8</v>
      </c>
      <c r="T48" s="37">
        <v>8</v>
      </c>
      <c r="U48" s="39" t="str" cm="1">
        <f t="array" ref="U48">_xlfn.IFS(T48&lt;=70,"Low",T48&lt;=160,"Medium",T48&gt;=161,"High")</f>
        <v>Low</v>
      </c>
    </row>
    <row r="49" spans="1:21" x14ac:dyDescent="0.25">
      <c r="A49" s="33">
        <v>48</v>
      </c>
      <c r="B49" s="34">
        <v>40546</v>
      </c>
      <c r="C49" s="35">
        <v>1</v>
      </c>
      <c r="D49" s="35">
        <v>0</v>
      </c>
      <c r="E49" s="35">
        <v>1</v>
      </c>
      <c r="F49" s="35">
        <v>0</v>
      </c>
      <c r="G49" s="35" t="str" cm="1">
        <f t="array" ref="G49">_xlfn.IFS(F49&lt;4,"Night",F49&lt;=6,"Early Morning",F49&lt;11,"Morning",F49&lt;12,"Afternoon",F49&lt;=16,"Afternoon",F49&lt;=20,"Evening",F49&gt;=21,"Night")</f>
        <v>Night</v>
      </c>
      <c r="H49" s="35" t="b">
        <v>0</v>
      </c>
      <c r="I49" s="35">
        <v>1</v>
      </c>
      <c r="J49" s="35">
        <v>1</v>
      </c>
      <c r="K49" s="31">
        <v>0.22</v>
      </c>
      <c r="L49" s="31" t="str" cm="1">
        <f t="array" ref="L49">_xlfn.IFS(K49&lt;0.15,"Cold",K49&lt;0.25,"Mild",K49&lt;=0.32,"Warm",K49&gt;=0.33,"Hot")</f>
        <v>Mild</v>
      </c>
      <c r="M49" s="36">
        <v>0.19700000000000001</v>
      </c>
      <c r="N49" s="36">
        <v>0.44</v>
      </c>
      <c r="O49" s="36" t="str" cm="1">
        <f t="array" ref="O49">_xlfn.IFS(N49&gt;0.61, "High Humidity", N49&gt;=0.6, "Humid", N49&gt;0.4, "Less Humidity", TRUE, "Dry")</f>
        <v>Less Humidity</v>
      </c>
      <c r="P49" s="36">
        <v>0.35820000000000002</v>
      </c>
      <c r="Q49" s="36" t="str" cm="1">
        <f t="array" ref="Q49">_xlfn.IFS(P49&lt;=0.2,"Low Windspeed",P49&lt;0.4,"Medium Windspeed",P49&gt;=0.41,"High Windspeed")</f>
        <v>Medium Windspeed</v>
      </c>
      <c r="R49" s="36">
        <v>0</v>
      </c>
      <c r="S49" s="36">
        <v>5</v>
      </c>
      <c r="T49" s="37">
        <v>5</v>
      </c>
      <c r="U49" s="39" t="str" cm="1">
        <f t="array" ref="U49">_xlfn.IFS(T49&lt;=70,"Low",T49&lt;=160,"Medium",T49&gt;=161,"High")</f>
        <v>Low</v>
      </c>
    </row>
    <row r="50" spans="1:21" x14ac:dyDescent="0.25">
      <c r="A50" s="33">
        <v>49</v>
      </c>
      <c r="B50" s="34">
        <v>40546</v>
      </c>
      <c r="C50" s="35">
        <v>1</v>
      </c>
      <c r="D50" s="35">
        <v>0</v>
      </c>
      <c r="E50" s="35">
        <v>1</v>
      </c>
      <c r="F50" s="35">
        <v>1</v>
      </c>
      <c r="G50" s="35" t="str" cm="1">
        <f t="array" ref="G50">_xlfn.IFS(F50&lt;4,"Night",F50&lt;=6,"Early Morning",F50&lt;11,"Morning",F50&lt;12,"Afternoon",F50&lt;=16,"Afternoon",F50&lt;=20,"Evening",F50&gt;=21,"Night")</f>
        <v>Night</v>
      </c>
      <c r="H50" s="35" t="b">
        <v>0</v>
      </c>
      <c r="I50" s="35">
        <v>1</v>
      </c>
      <c r="J50" s="35">
        <v>1</v>
      </c>
      <c r="K50" s="31">
        <v>0.2</v>
      </c>
      <c r="L50" s="31" t="str" cm="1">
        <f t="array" ref="L50">_xlfn.IFS(K50&lt;0.15,"Cold",K50&lt;0.25,"Mild",K50&lt;=0.32,"Warm",K50&gt;=0.33,"Hot")</f>
        <v>Mild</v>
      </c>
      <c r="M50" s="36">
        <v>0.19989999999999999</v>
      </c>
      <c r="N50" s="36">
        <v>0.44</v>
      </c>
      <c r="O50" s="36" t="str" cm="1">
        <f t="array" ref="O50">_xlfn.IFS(N50&gt;0.61, "High Humidity", N50&gt;=0.6, "Humid", N50&gt;0.4, "Less Humidity", TRUE, "Dry")</f>
        <v>Less Humidity</v>
      </c>
      <c r="P50" s="36">
        <v>0.41789999999999999</v>
      </c>
      <c r="Q50" s="36" t="str" cm="1">
        <f t="array" ref="Q50">_xlfn.IFS(P50&lt;=0.2,"Low Windspeed",P50&lt;0.4,"Medium Windspeed",P50&gt;=0.41,"High Windspeed")</f>
        <v>High Windspeed</v>
      </c>
      <c r="R50" s="36">
        <v>0</v>
      </c>
      <c r="S50" s="36">
        <v>2</v>
      </c>
      <c r="T50" s="37">
        <v>2</v>
      </c>
      <c r="U50" s="39" t="str" cm="1">
        <f t="array" ref="U50">_xlfn.IFS(T50&lt;=70,"Low",T50&lt;=160,"Medium",T50&gt;=161,"High")</f>
        <v>Low</v>
      </c>
    </row>
    <row r="51" spans="1:21" x14ac:dyDescent="0.25">
      <c r="A51" s="33">
        <v>50</v>
      </c>
      <c r="B51" s="34">
        <v>40546</v>
      </c>
      <c r="C51" s="35">
        <v>1</v>
      </c>
      <c r="D51" s="35">
        <v>0</v>
      </c>
      <c r="E51" s="35">
        <v>1</v>
      </c>
      <c r="F51" s="35">
        <v>4</v>
      </c>
      <c r="G51" s="35" t="str" cm="1">
        <f t="array" ref="G51">_xlfn.IFS(F51&lt;4,"Night",F51&lt;=6,"Early Morning",F51&lt;11,"Morning",F51&lt;12,"Afternoon",F51&lt;=16,"Afternoon",F51&lt;=20,"Evening",F51&gt;=21,"Night")</f>
        <v>Early Morning</v>
      </c>
      <c r="H51" s="35" t="b">
        <v>0</v>
      </c>
      <c r="I51" s="35">
        <v>1</v>
      </c>
      <c r="J51" s="35">
        <v>1</v>
      </c>
      <c r="K51" s="31">
        <v>0.16</v>
      </c>
      <c r="L51" s="31" t="str" cm="1">
        <f t="array" ref="L51">_xlfn.IFS(K51&lt;0.15,"Cold",K51&lt;0.25,"Mild",K51&lt;=0.32,"Warm",K51&gt;=0.33,"Hot")</f>
        <v>Mild</v>
      </c>
      <c r="M51" s="36">
        <v>0.13639999999999999</v>
      </c>
      <c r="N51" s="36">
        <v>0.47</v>
      </c>
      <c r="O51" s="36" t="str" cm="1">
        <f t="array" ref="O51">_xlfn.IFS(N51&gt;0.61, "High Humidity", N51&gt;=0.6, "Humid", N51&gt;0.4, "Less Humidity", TRUE, "Dry")</f>
        <v>Less Humidity</v>
      </c>
      <c r="P51" s="36">
        <v>0.3881</v>
      </c>
      <c r="Q51" s="36" t="str" cm="1">
        <f t="array" ref="Q51">_xlfn.IFS(P51&lt;=0.2,"Low Windspeed",P51&lt;0.4,"Medium Windspeed",P51&gt;=0.41,"High Windspeed")</f>
        <v>Medium Windspeed</v>
      </c>
      <c r="R51" s="36">
        <v>0</v>
      </c>
      <c r="S51" s="36">
        <v>1</v>
      </c>
      <c r="T51" s="37">
        <v>1</v>
      </c>
      <c r="U51" s="39" t="str" cm="1">
        <f t="array" ref="U51">_xlfn.IFS(T51&lt;=70,"Low",T51&lt;=160,"Medium",T51&gt;=161,"High")</f>
        <v>Low</v>
      </c>
    </row>
    <row r="52" spans="1:21" x14ac:dyDescent="0.25">
      <c r="A52" s="33">
        <v>51</v>
      </c>
      <c r="B52" s="34">
        <v>40546</v>
      </c>
      <c r="C52" s="35">
        <v>1</v>
      </c>
      <c r="D52" s="35">
        <v>0</v>
      </c>
      <c r="E52" s="35">
        <v>1</v>
      </c>
      <c r="F52" s="35">
        <v>5</v>
      </c>
      <c r="G52" s="35" t="str" cm="1">
        <f t="array" ref="G52">_xlfn.IFS(F52&lt;4,"Night",F52&lt;=6,"Early Morning",F52&lt;11,"Morning",F52&lt;12,"Afternoon",F52&lt;=16,"Afternoon",F52&lt;=20,"Evening",F52&gt;=21,"Night")</f>
        <v>Early Morning</v>
      </c>
      <c r="H52" s="35" t="b">
        <v>0</v>
      </c>
      <c r="I52" s="35">
        <v>1</v>
      </c>
      <c r="J52" s="35">
        <v>1</v>
      </c>
      <c r="K52" s="31">
        <v>0.16</v>
      </c>
      <c r="L52" s="31" t="str" cm="1">
        <f t="array" ref="L52">_xlfn.IFS(K52&lt;0.15,"Cold",K52&lt;0.25,"Mild",K52&lt;=0.32,"Warm",K52&gt;=0.33,"Hot")</f>
        <v>Mild</v>
      </c>
      <c r="M52" s="36">
        <v>0.13639999999999999</v>
      </c>
      <c r="N52" s="36">
        <v>0.47</v>
      </c>
      <c r="O52" s="36" t="str" cm="1">
        <f t="array" ref="O52">_xlfn.IFS(N52&gt;0.61, "High Humidity", N52&gt;=0.6, "Humid", N52&gt;0.4, "Less Humidity", TRUE, "Dry")</f>
        <v>Less Humidity</v>
      </c>
      <c r="P52" s="36">
        <v>0.28360000000000002</v>
      </c>
      <c r="Q52" s="36" t="str" cm="1">
        <f t="array" ref="Q52">_xlfn.IFS(P52&lt;=0.2,"Low Windspeed",P52&lt;0.4,"Medium Windspeed",P52&gt;=0.41,"High Windspeed")</f>
        <v>Medium Windspeed</v>
      </c>
      <c r="R52" s="36">
        <v>0</v>
      </c>
      <c r="S52" s="36">
        <v>3</v>
      </c>
      <c r="T52" s="37">
        <v>3</v>
      </c>
      <c r="U52" s="39" t="str" cm="1">
        <f t="array" ref="U52">_xlfn.IFS(T52&lt;=70,"Low",T52&lt;=160,"Medium",T52&gt;=161,"High")</f>
        <v>Low</v>
      </c>
    </row>
    <row r="53" spans="1:21" x14ac:dyDescent="0.25">
      <c r="A53" s="33">
        <v>52</v>
      </c>
      <c r="B53" s="34">
        <v>40546</v>
      </c>
      <c r="C53" s="35">
        <v>1</v>
      </c>
      <c r="D53" s="35">
        <v>0</v>
      </c>
      <c r="E53" s="35">
        <v>1</v>
      </c>
      <c r="F53" s="35">
        <v>6</v>
      </c>
      <c r="G53" s="35" t="str" cm="1">
        <f t="array" ref="G53">_xlfn.IFS(F53&lt;4,"Night",F53&lt;=6,"Early Morning",F53&lt;11,"Morning",F53&lt;12,"Afternoon",F53&lt;=16,"Afternoon",F53&lt;=20,"Evening",F53&gt;=21,"Night")</f>
        <v>Early Morning</v>
      </c>
      <c r="H53" s="35" t="b">
        <v>0</v>
      </c>
      <c r="I53" s="35">
        <v>1</v>
      </c>
      <c r="J53" s="35">
        <v>1</v>
      </c>
      <c r="K53" s="31">
        <v>0.14000000000000001</v>
      </c>
      <c r="L53" s="31" t="str" cm="1">
        <f t="array" ref="L53">_xlfn.IFS(K53&lt;0.15,"Cold",K53&lt;0.25,"Mild",K53&lt;=0.32,"Warm",K53&gt;=0.33,"Hot")</f>
        <v>Cold</v>
      </c>
      <c r="M53" s="36">
        <v>0.1061</v>
      </c>
      <c r="N53" s="36">
        <v>0.5</v>
      </c>
      <c r="O53" s="36" t="str" cm="1">
        <f t="array" ref="O53">_xlfn.IFS(N53&gt;0.61, "High Humidity", N53&gt;=0.6, "Humid", N53&gt;0.4, "Less Humidity", TRUE, "Dry")</f>
        <v>Less Humidity</v>
      </c>
      <c r="P53" s="36">
        <v>0.3881</v>
      </c>
      <c r="Q53" s="36" t="str" cm="1">
        <f t="array" ref="Q53">_xlfn.IFS(P53&lt;=0.2,"Low Windspeed",P53&lt;0.4,"Medium Windspeed",P53&gt;=0.41,"High Windspeed")</f>
        <v>Medium Windspeed</v>
      </c>
      <c r="R53" s="36">
        <v>0</v>
      </c>
      <c r="S53" s="36">
        <v>30</v>
      </c>
      <c r="T53" s="37">
        <v>30</v>
      </c>
      <c r="U53" s="39" t="str" cm="1">
        <f t="array" ref="U53">_xlfn.IFS(T53&lt;=70,"Low",T53&lt;=160,"Medium",T53&gt;=161,"High")</f>
        <v>Low</v>
      </c>
    </row>
    <row r="54" spans="1:21" x14ac:dyDescent="0.25">
      <c r="A54" s="33">
        <v>53</v>
      </c>
      <c r="B54" s="34">
        <v>40546</v>
      </c>
      <c r="C54" s="35">
        <v>1</v>
      </c>
      <c r="D54" s="35">
        <v>0</v>
      </c>
      <c r="E54" s="35">
        <v>1</v>
      </c>
      <c r="F54" s="35">
        <v>7</v>
      </c>
      <c r="G54" s="35" t="str" cm="1">
        <f t="array" ref="G54">_xlfn.IFS(F54&lt;4,"Night",F54&lt;=6,"Early Morning",F54&lt;11,"Morning",F54&lt;12,"Afternoon",F54&lt;=16,"Afternoon",F54&lt;=20,"Evening",F54&gt;=21,"Night")</f>
        <v>Morning</v>
      </c>
      <c r="H54" s="35" t="b">
        <v>0</v>
      </c>
      <c r="I54" s="35">
        <v>1</v>
      </c>
      <c r="J54" s="35">
        <v>1</v>
      </c>
      <c r="K54" s="31">
        <v>0.14000000000000001</v>
      </c>
      <c r="L54" s="31" t="str" cm="1">
        <f t="array" ref="L54">_xlfn.IFS(K54&lt;0.15,"Cold",K54&lt;0.25,"Mild",K54&lt;=0.32,"Warm",K54&gt;=0.33,"Hot")</f>
        <v>Cold</v>
      </c>
      <c r="M54" s="36">
        <v>0.13639999999999999</v>
      </c>
      <c r="N54" s="36">
        <v>0.5</v>
      </c>
      <c r="O54" s="36" t="str" cm="1">
        <f t="array" ref="O54">_xlfn.IFS(N54&gt;0.61, "High Humidity", N54&gt;=0.6, "Humid", N54&gt;0.4, "Less Humidity", TRUE, "Dry")</f>
        <v>Less Humidity</v>
      </c>
      <c r="P54" s="36">
        <v>0.19400000000000001</v>
      </c>
      <c r="Q54" s="36" t="str" cm="1">
        <f t="array" ref="Q54">_xlfn.IFS(P54&lt;=0.2,"Low Windspeed",P54&lt;0.4,"Medium Windspeed",P54&gt;=0.41,"High Windspeed")</f>
        <v>Low Windspeed</v>
      </c>
      <c r="R54" s="36">
        <v>1</v>
      </c>
      <c r="S54" s="36">
        <v>63</v>
      </c>
      <c r="T54" s="37">
        <v>64</v>
      </c>
      <c r="U54" s="39" t="str" cm="1">
        <f t="array" ref="U54">_xlfn.IFS(T54&lt;=70,"Low",T54&lt;=160,"Medium",T54&gt;=161,"High")</f>
        <v>Low</v>
      </c>
    </row>
    <row r="55" spans="1:21" x14ac:dyDescent="0.25">
      <c r="A55" s="33">
        <v>54</v>
      </c>
      <c r="B55" s="34">
        <v>40546</v>
      </c>
      <c r="C55" s="35">
        <v>1</v>
      </c>
      <c r="D55" s="35">
        <v>0</v>
      </c>
      <c r="E55" s="35">
        <v>1</v>
      </c>
      <c r="F55" s="35">
        <v>8</v>
      </c>
      <c r="G55" s="35" t="str" cm="1">
        <f t="array" ref="G55">_xlfn.IFS(F55&lt;4,"Night",F55&lt;=6,"Early Morning",F55&lt;11,"Morning",F55&lt;12,"Afternoon",F55&lt;=16,"Afternoon",F55&lt;=20,"Evening",F55&gt;=21,"Night")</f>
        <v>Morning</v>
      </c>
      <c r="H55" s="35" t="b">
        <v>0</v>
      </c>
      <c r="I55" s="35">
        <v>1</v>
      </c>
      <c r="J55" s="35">
        <v>1</v>
      </c>
      <c r="K55" s="31">
        <v>0.14000000000000001</v>
      </c>
      <c r="L55" s="31" t="str" cm="1">
        <f t="array" ref="L55">_xlfn.IFS(K55&lt;0.15,"Cold",K55&lt;0.25,"Mild",K55&lt;=0.32,"Warm",K55&gt;=0.33,"Hot")</f>
        <v>Cold</v>
      </c>
      <c r="M55" s="36">
        <v>0.1212</v>
      </c>
      <c r="N55" s="36">
        <v>0.5</v>
      </c>
      <c r="O55" s="36" t="str" cm="1">
        <f t="array" ref="O55">_xlfn.IFS(N55&gt;0.61, "High Humidity", N55&gt;=0.6, "Humid", N55&gt;0.4, "Less Humidity", TRUE, "Dry")</f>
        <v>Less Humidity</v>
      </c>
      <c r="P55" s="36">
        <v>0.28360000000000002</v>
      </c>
      <c r="Q55" s="36" t="str" cm="1">
        <f t="array" ref="Q55">_xlfn.IFS(P55&lt;=0.2,"Low Windspeed",P55&lt;0.4,"Medium Windspeed",P55&gt;=0.41,"High Windspeed")</f>
        <v>Medium Windspeed</v>
      </c>
      <c r="R55" s="36">
        <v>1</v>
      </c>
      <c r="S55" s="36">
        <v>153</v>
      </c>
      <c r="T55" s="37">
        <v>154</v>
      </c>
      <c r="U55" s="39" t="str" cm="1">
        <f t="array" ref="U55">_xlfn.IFS(T55&lt;=70,"Low",T55&lt;=160,"Medium",T55&gt;=161,"High")</f>
        <v>Medium</v>
      </c>
    </row>
    <row r="56" spans="1:21" x14ac:dyDescent="0.25">
      <c r="A56" s="33">
        <v>55</v>
      </c>
      <c r="B56" s="34">
        <v>40546</v>
      </c>
      <c r="C56" s="35">
        <v>1</v>
      </c>
      <c r="D56" s="35">
        <v>0</v>
      </c>
      <c r="E56" s="35">
        <v>1</v>
      </c>
      <c r="F56" s="35">
        <v>9</v>
      </c>
      <c r="G56" s="35" t="str" cm="1">
        <f t="array" ref="G56">_xlfn.IFS(F56&lt;4,"Night",F56&lt;=6,"Early Morning",F56&lt;11,"Morning",F56&lt;12,"Afternoon",F56&lt;=16,"Afternoon",F56&lt;=20,"Evening",F56&gt;=21,"Night")</f>
        <v>Morning</v>
      </c>
      <c r="H56" s="35" t="b">
        <v>0</v>
      </c>
      <c r="I56" s="35">
        <v>1</v>
      </c>
      <c r="J56" s="35">
        <v>1</v>
      </c>
      <c r="K56" s="31">
        <v>0.16</v>
      </c>
      <c r="L56" s="31" t="str" cm="1">
        <f t="array" ref="L56">_xlfn.IFS(K56&lt;0.15,"Cold",K56&lt;0.25,"Mild",K56&lt;=0.32,"Warm",K56&gt;=0.33,"Hot")</f>
        <v>Mild</v>
      </c>
      <c r="M56" s="36">
        <v>0.13639999999999999</v>
      </c>
      <c r="N56" s="36">
        <v>0.43</v>
      </c>
      <c r="O56" s="36" t="str" cm="1">
        <f t="array" ref="O56">_xlfn.IFS(N56&gt;0.61, "High Humidity", N56&gt;=0.6, "Humid", N56&gt;0.4, "Less Humidity", TRUE, "Dry")</f>
        <v>Less Humidity</v>
      </c>
      <c r="P56" s="36">
        <v>0.3881</v>
      </c>
      <c r="Q56" s="36" t="str" cm="1">
        <f t="array" ref="Q56">_xlfn.IFS(P56&lt;=0.2,"Low Windspeed",P56&lt;0.4,"Medium Windspeed",P56&gt;=0.41,"High Windspeed")</f>
        <v>Medium Windspeed</v>
      </c>
      <c r="R56" s="36">
        <v>7</v>
      </c>
      <c r="S56" s="36">
        <v>81</v>
      </c>
      <c r="T56" s="37">
        <v>88</v>
      </c>
      <c r="U56" s="39" t="str" cm="1">
        <f t="array" ref="U56">_xlfn.IFS(T56&lt;=70,"Low",T56&lt;=160,"Medium",T56&gt;=161,"High")</f>
        <v>Medium</v>
      </c>
    </row>
    <row r="57" spans="1:21" x14ac:dyDescent="0.25">
      <c r="A57" s="33">
        <v>56</v>
      </c>
      <c r="B57" s="34">
        <v>40546</v>
      </c>
      <c r="C57" s="35">
        <v>1</v>
      </c>
      <c r="D57" s="35">
        <v>0</v>
      </c>
      <c r="E57" s="35">
        <v>1</v>
      </c>
      <c r="F57" s="35">
        <v>10</v>
      </c>
      <c r="G57" s="35" t="str" cm="1">
        <f t="array" ref="G57">_xlfn.IFS(F57&lt;4,"Night",F57&lt;=6,"Early Morning",F57&lt;11,"Morning",F57&lt;12,"Afternoon",F57&lt;=16,"Afternoon",F57&lt;=20,"Evening",F57&gt;=21,"Night")</f>
        <v>Morning</v>
      </c>
      <c r="H57" s="35" t="b">
        <v>0</v>
      </c>
      <c r="I57" s="35">
        <v>1</v>
      </c>
      <c r="J57" s="35">
        <v>1</v>
      </c>
      <c r="K57" s="31">
        <v>0.18</v>
      </c>
      <c r="L57" s="31" t="str" cm="1">
        <f t="array" ref="L57">_xlfn.IFS(K57&lt;0.15,"Cold",K57&lt;0.25,"Mild",K57&lt;=0.32,"Warm",K57&gt;=0.33,"Hot")</f>
        <v>Mild</v>
      </c>
      <c r="M57" s="36">
        <v>0.16669999999999999</v>
      </c>
      <c r="N57" s="36">
        <v>0.43</v>
      </c>
      <c r="O57" s="36" t="str" cm="1">
        <f t="array" ref="O57">_xlfn.IFS(N57&gt;0.61, "High Humidity", N57&gt;=0.6, "Humid", N57&gt;0.4, "Less Humidity", TRUE, "Dry")</f>
        <v>Less Humidity</v>
      </c>
      <c r="P57" s="36">
        <v>0.25369999999999998</v>
      </c>
      <c r="Q57" s="36" t="str" cm="1">
        <f t="array" ref="Q57">_xlfn.IFS(P57&lt;=0.2,"Low Windspeed",P57&lt;0.4,"Medium Windspeed",P57&gt;=0.41,"High Windspeed")</f>
        <v>Medium Windspeed</v>
      </c>
      <c r="R57" s="36">
        <v>11</v>
      </c>
      <c r="S57" s="36">
        <v>33</v>
      </c>
      <c r="T57" s="37">
        <v>44</v>
      </c>
      <c r="U57" s="39" t="str" cm="1">
        <f t="array" ref="U57">_xlfn.IFS(T57&lt;=70,"Low",T57&lt;=160,"Medium",T57&gt;=161,"High")</f>
        <v>Low</v>
      </c>
    </row>
    <row r="58" spans="1:21" x14ac:dyDescent="0.25">
      <c r="A58" s="33">
        <v>57</v>
      </c>
      <c r="B58" s="34">
        <v>40546</v>
      </c>
      <c r="C58" s="35">
        <v>1</v>
      </c>
      <c r="D58" s="35">
        <v>0</v>
      </c>
      <c r="E58" s="35">
        <v>1</v>
      </c>
      <c r="F58" s="35">
        <v>11</v>
      </c>
      <c r="G58" s="35" t="str" cm="1">
        <f t="array" ref="G58">_xlfn.IFS(F58&lt;4,"Night",F58&lt;=6,"Early Morning",F58&lt;11,"Morning",F58&lt;12,"Afternoon",F58&lt;=16,"Afternoon",F58&lt;=20,"Evening",F58&gt;=21,"Night")</f>
        <v>Afternoon</v>
      </c>
      <c r="H58" s="35" t="b">
        <v>0</v>
      </c>
      <c r="I58" s="35">
        <v>1</v>
      </c>
      <c r="J58" s="35">
        <v>1</v>
      </c>
      <c r="K58" s="31">
        <v>0.2</v>
      </c>
      <c r="L58" s="31" t="str" cm="1">
        <f t="array" ref="L58">_xlfn.IFS(K58&lt;0.15,"Cold",K58&lt;0.25,"Mild",K58&lt;=0.32,"Warm",K58&gt;=0.33,"Hot")</f>
        <v>Mild</v>
      </c>
      <c r="M58" s="36">
        <v>0.18179999999999999</v>
      </c>
      <c r="N58" s="36">
        <v>0.4</v>
      </c>
      <c r="O58" s="36" t="str" cm="1">
        <f t="array" ref="O58">_xlfn.IFS(N58&gt;0.61, "High Humidity", N58&gt;=0.6, "Humid", N58&gt;0.4, "Less Humidity", TRUE, "Dry")</f>
        <v>Dry</v>
      </c>
      <c r="P58" s="36">
        <v>0.32840000000000003</v>
      </c>
      <c r="Q58" s="36" t="str" cm="1">
        <f t="array" ref="Q58">_xlfn.IFS(P58&lt;=0.2,"Low Windspeed",P58&lt;0.4,"Medium Windspeed",P58&gt;=0.41,"High Windspeed")</f>
        <v>Medium Windspeed</v>
      </c>
      <c r="R58" s="36">
        <v>10</v>
      </c>
      <c r="S58" s="36">
        <v>41</v>
      </c>
      <c r="T58" s="37">
        <v>51</v>
      </c>
      <c r="U58" s="39" t="str" cm="1">
        <f t="array" ref="U58">_xlfn.IFS(T58&lt;=70,"Low",T58&lt;=160,"Medium",T58&gt;=161,"High")</f>
        <v>Low</v>
      </c>
    </row>
    <row r="59" spans="1:21" x14ac:dyDescent="0.25">
      <c r="A59" s="33">
        <v>58</v>
      </c>
      <c r="B59" s="34">
        <v>40546</v>
      </c>
      <c r="C59" s="35">
        <v>1</v>
      </c>
      <c r="D59" s="35">
        <v>0</v>
      </c>
      <c r="E59" s="35">
        <v>1</v>
      </c>
      <c r="F59" s="35">
        <v>12</v>
      </c>
      <c r="G59" s="35" t="str" cm="1">
        <f t="array" ref="G59">_xlfn.IFS(F59&lt;4,"Night",F59&lt;=6,"Early Morning",F59&lt;11,"Morning",F59&lt;12,"Afternoon",F59&lt;=16,"Afternoon",F59&lt;=20,"Evening",F59&gt;=21,"Night")</f>
        <v>Afternoon</v>
      </c>
      <c r="H59" s="35" t="b">
        <v>0</v>
      </c>
      <c r="I59" s="35">
        <v>1</v>
      </c>
      <c r="J59" s="35">
        <v>1</v>
      </c>
      <c r="K59" s="31">
        <v>0.22</v>
      </c>
      <c r="L59" s="31" t="str" cm="1">
        <f t="array" ref="L59">_xlfn.IFS(K59&lt;0.15,"Cold",K59&lt;0.25,"Mild",K59&lt;=0.32,"Warm",K59&gt;=0.33,"Hot")</f>
        <v>Mild</v>
      </c>
      <c r="M59" s="36">
        <v>0.21210000000000001</v>
      </c>
      <c r="N59" s="36">
        <v>0.35</v>
      </c>
      <c r="O59" s="36" t="str" cm="1">
        <f t="array" ref="O59">_xlfn.IFS(N59&gt;0.61, "High Humidity", N59&gt;=0.6, "Humid", N59&gt;0.4, "Less Humidity", TRUE, "Dry")</f>
        <v>Dry</v>
      </c>
      <c r="P59" s="36">
        <v>0.29849999999999999</v>
      </c>
      <c r="Q59" s="36" t="str" cm="1">
        <f t="array" ref="Q59">_xlfn.IFS(P59&lt;=0.2,"Low Windspeed",P59&lt;0.4,"Medium Windspeed",P59&gt;=0.41,"High Windspeed")</f>
        <v>Medium Windspeed</v>
      </c>
      <c r="R59" s="36">
        <v>13</v>
      </c>
      <c r="S59" s="36">
        <v>48</v>
      </c>
      <c r="T59" s="37">
        <v>61</v>
      </c>
      <c r="U59" s="39" t="str" cm="1">
        <f t="array" ref="U59">_xlfn.IFS(T59&lt;=70,"Low",T59&lt;=160,"Medium",T59&gt;=161,"High")</f>
        <v>Low</v>
      </c>
    </row>
    <row r="60" spans="1:21" x14ac:dyDescent="0.25">
      <c r="A60" s="33">
        <v>59</v>
      </c>
      <c r="B60" s="34">
        <v>40546</v>
      </c>
      <c r="C60" s="35">
        <v>1</v>
      </c>
      <c r="D60" s="35">
        <v>0</v>
      </c>
      <c r="E60" s="35">
        <v>1</v>
      </c>
      <c r="F60" s="35">
        <v>13</v>
      </c>
      <c r="G60" s="35" t="str" cm="1">
        <f t="array" ref="G60">_xlfn.IFS(F60&lt;4,"Night",F60&lt;=6,"Early Morning",F60&lt;11,"Morning",F60&lt;12,"Afternoon",F60&lt;=16,"Afternoon",F60&lt;=20,"Evening",F60&gt;=21,"Night")</f>
        <v>Afternoon</v>
      </c>
      <c r="H60" s="35" t="b">
        <v>0</v>
      </c>
      <c r="I60" s="35">
        <v>1</v>
      </c>
      <c r="J60" s="35">
        <v>1</v>
      </c>
      <c r="K60" s="31">
        <v>0.24</v>
      </c>
      <c r="L60" s="31" t="str" cm="1">
        <f t="array" ref="L60">_xlfn.IFS(K60&lt;0.15,"Cold",K60&lt;0.25,"Mild",K60&lt;=0.32,"Warm",K60&gt;=0.33,"Hot")</f>
        <v>Mild</v>
      </c>
      <c r="M60" s="36">
        <v>0.19989999999999999</v>
      </c>
      <c r="N60" s="36">
        <v>0.35</v>
      </c>
      <c r="O60" s="36" t="str" cm="1">
        <f t="array" ref="O60">_xlfn.IFS(N60&gt;0.61, "High Humidity", N60&gt;=0.6, "Humid", N60&gt;0.4, "Less Humidity", TRUE, "Dry")</f>
        <v>Dry</v>
      </c>
      <c r="P60" s="36">
        <v>0.28360000000000002</v>
      </c>
      <c r="Q60" s="36" t="str" cm="1">
        <f t="array" ref="Q60">_xlfn.IFS(P60&lt;=0.2,"Low Windspeed",P60&lt;0.4,"Medium Windspeed",P60&gt;=0.41,"High Windspeed")</f>
        <v>Medium Windspeed</v>
      </c>
      <c r="R60" s="36">
        <v>8</v>
      </c>
      <c r="S60" s="36">
        <v>53</v>
      </c>
      <c r="T60" s="37">
        <v>61</v>
      </c>
      <c r="U60" s="39" t="str" cm="1">
        <f t="array" ref="U60">_xlfn.IFS(T60&lt;=70,"Low",T60&lt;=160,"Medium",T60&gt;=161,"High")</f>
        <v>Low</v>
      </c>
    </row>
    <row r="61" spans="1:21" x14ac:dyDescent="0.25">
      <c r="A61" s="33">
        <v>60</v>
      </c>
      <c r="B61" s="34">
        <v>40546</v>
      </c>
      <c r="C61" s="35">
        <v>1</v>
      </c>
      <c r="D61" s="35">
        <v>0</v>
      </c>
      <c r="E61" s="35">
        <v>1</v>
      </c>
      <c r="F61" s="35">
        <v>14</v>
      </c>
      <c r="G61" s="35" t="str" cm="1">
        <f t="array" ref="G61">_xlfn.IFS(F61&lt;4,"Night",F61&lt;=6,"Early Morning",F61&lt;11,"Morning",F61&lt;12,"Afternoon",F61&lt;=16,"Afternoon",F61&lt;=20,"Evening",F61&gt;=21,"Night")</f>
        <v>Afternoon</v>
      </c>
      <c r="H61" s="35" t="b">
        <v>0</v>
      </c>
      <c r="I61" s="35">
        <v>1</v>
      </c>
      <c r="J61" s="35">
        <v>1</v>
      </c>
      <c r="K61" s="31">
        <v>0.26</v>
      </c>
      <c r="L61" s="31" t="str" cm="1">
        <f t="array" ref="L61">_xlfn.IFS(K61&lt;0.15,"Cold",K61&lt;0.25,"Mild",K61&lt;=0.32,"Warm",K61&gt;=0.33,"Hot")</f>
        <v>Warm</v>
      </c>
      <c r="M61" s="36">
        <v>0.2424</v>
      </c>
      <c r="N61" s="36">
        <v>0.3</v>
      </c>
      <c r="O61" s="36" t="str" cm="1">
        <f t="array" ref="O61">_xlfn.IFS(N61&gt;0.61, "High Humidity", N61&gt;=0.6, "Humid", N61&gt;0.4, "Less Humidity", TRUE, "Dry")</f>
        <v>Dry</v>
      </c>
      <c r="P61" s="36">
        <v>0.28360000000000002</v>
      </c>
      <c r="Q61" s="36" t="str" cm="1">
        <f t="array" ref="Q61">_xlfn.IFS(P61&lt;=0.2,"Low Windspeed",P61&lt;0.4,"Medium Windspeed",P61&gt;=0.41,"High Windspeed")</f>
        <v>Medium Windspeed</v>
      </c>
      <c r="R61" s="36">
        <v>11</v>
      </c>
      <c r="S61" s="36">
        <v>66</v>
      </c>
      <c r="T61" s="37">
        <v>77</v>
      </c>
      <c r="U61" s="39" t="str" cm="1">
        <f t="array" ref="U61">_xlfn.IFS(T61&lt;=70,"Low",T61&lt;=160,"Medium",T61&gt;=161,"High")</f>
        <v>Medium</v>
      </c>
    </row>
    <row r="62" spans="1:21" x14ac:dyDescent="0.25">
      <c r="A62" s="33">
        <v>61</v>
      </c>
      <c r="B62" s="34">
        <v>40546</v>
      </c>
      <c r="C62" s="35">
        <v>1</v>
      </c>
      <c r="D62" s="35">
        <v>0</v>
      </c>
      <c r="E62" s="35">
        <v>1</v>
      </c>
      <c r="F62" s="35">
        <v>15</v>
      </c>
      <c r="G62" s="35" t="str" cm="1">
        <f t="array" ref="G62">_xlfn.IFS(F62&lt;4,"Night",F62&lt;=6,"Early Morning",F62&lt;11,"Morning",F62&lt;12,"Afternoon",F62&lt;=16,"Afternoon",F62&lt;=20,"Evening",F62&gt;=21,"Night")</f>
        <v>Afternoon</v>
      </c>
      <c r="H62" s="35" t="b">
        <v>0</v>
      </c>
      <c r="I62" s="35">
        <v>1</v>
      </c>
      <c r="J62" s="35">
        <v>1</v>
      </c>
      <c r="K62" s="31">
        <v>0.26</v>
      </c>
      <c r="L62" s="31" t="str" cm="1">
        <f t="array" ref="L62">_xlfn.IFS(K62&lt;0.15,"Cold",K62&lt;0.25,"Mild",K62&lt;=0.32,"Warm",K62&gt;=0.33,"Hot")</f>
        <v>Warm</v>
      </c>
      <c r="M62" s="36">
        <v>0.2424</v>
      </c>
      <c r="N62" s="36">
        <v>0.3</v>
      </c>
      <c r="O62" s="36" t="str" cm="1">
        <f t="array" ref="O62">_xlfn.IFS(N62&gt;0.61, "High Humidity", N62&gt;=0.6, "Humid", N62&gt;0.4, "Less Humidity", TRUE, "Dry")</f>
        <v>Dry</v>
      </c>
      <c r="P62" s="36">
        <v>0.25369999999999998</v>
      </c>
      <c r="Q62" s="36" t="str" cm="1">
        <f t="array" ref="Q62">_xlfn.IFS(P62&lt;=0.2,"Low Windspeed",P62&lt;0.4,"Medium Windspeed",P62&gt;=0.41,"High Windspeed")</f>
        <v>Medium Windspeed</v>
      </c>
      <c r="R62" s="36">
        <v>14</v>
      </c>
      <c r="S62" s="36">
        <v>58</v>
      </c>
      <c r="T62" s="37">
        <v>72</v>
      </c>
      <c r="U62" s="39" t="str" cm="1">
        <f t="array" ref="U62">_xlfn.IFS(T62&lt;=70,"Low",T62&lt;=160,"Medium",T62&gt;=161,"High")</f>
        <v>Medium</v>
      </c>
    </row>
    <row r="63" spans="1:21" x14ac:dyDescent="0.25">
      <c r="A63" s="33">
        <v>62</v>
      </c>
      <c r="B63" s="34">
        <v>40546</v>
      </c>
      <c r="C63" s="35">
        <v>1</v>
      </c>
      <c r="D63" s="35">
        <v>0</v>
      </c>
      <c r="E63" s="35">
        <v>1</v>
      </c>
      <c r="F63" s="35">
        <v>16</v>
      </c>
      <c r="G63" s="35" t="str" cm="1">
        <f t="array" ref="G63">_xlfn.IFS(F63&lt;4,"Night",F63&lt;=6,"Early Morning",F63&lt;11,"Morning",F63&lt;12,"Afternoon",F63&lt;=16,"Afternoon",F63&lt;=20,"Evening",F63&gt;=21,"Night")</f>
        <v>Afternoon</v>
      </c>
      <c r="H63" s="35" t="b">
        <v>0</v>
      </c>
      <c r="I63" s="35">
        <v>1</v>
      </c>
      <c r="J63" s="35">
        <v>1</v>
      </c>
      <c r="K63" s="31">
        <v>0.26</v>
      </c>
      <c r="L63" s="31" t="str" cm="1">
        <f t="array" ref="L63">_xlfn.IFS(K63&lt;0.15,"Cold",K63&lt;0.25,"Mild",K63&lt;=0.32,"Warm",K63&gt;=0.33,"Hot")</f>
        <v>Warm</v>
      </c>
      <c r="M63" s="36">
        <v>0.2424</v>
      </c>
      <c r="N63" s="36">
        <v>0.3</v>
      </c>
      <c r="O63" s="36" t="str" cm="1">
        <f t="array" ref="O63">_xlfn.IFS(N63&gt;0.61, "High Humidity", N63&gt;=0.6, "Humid", N63&gt;0.4, "Less Humidity", TRUE, "Dry")</f>
        <v>Dry</v>
      </c>
      <c r="P63" s="36">
        <v>0.25369999999999998</v>
      </c>
      <c r="Q63" s="36" t="str" cm="1">
        <f t="array" ref="Q63">_xlfn.IFS(P63&lt;=0.2,"Low Windspeed",P63&lt;0.4,"Medium Windspeed",P63&gt;=0.41,"High Windspeed")</f>
        <v>Medium Windspeed</v>
      </c>
      <c r="R63" s="36">
        <v>9</v>
      </c>
      <c r="S63" s="36">
        <v>67</v>
      </c>
      <c r="T63" s="37">
        <v>76</v>
      </c>
      <c r="U63" s="39" t="str" cm="1">
        <f t="array" ref="U63">_xlfn.IFS(T63&lt;=70,"Low",T63&lt;=160,"Medium",T63&gt;=161,"High")</f>
        <v>Medium</v>
      </c>
    </row>
    <row r="64" spans="1:21" x14ac:dyDescent="0.25">
      <c r="A64" s="33">
        <v>63</v>
      </c>
      <c r="B64" s="34">
        <v>40546</v>
      </c>
      <c r="C64" s="35">
        <v>1</v>
      </c>
      <c r="D64" s="35">
        <v>0</v>
      </c>
      <c r="E64" s="35">
        <v>1</v>
      </c>
      <c r="F64" s="35">
        <v>17</v>
      </c>
      <c r="G64" s="35" t="str" cm="1">
        <f t="array" ref="G64">_xlfn.IFS(F64&lt;4,"Night",F64&lt;=6,"Early Morning",F64&lt;11,"Morning",F64&lt;12,"Afternoon",F64&lt;=16,"Afternoon",F64&lt;=20,"Evening",F64&gt;=21,"Night")</f>
        <v>Evening</v>
      </c>
      <c r="H64" s="35" t="b">
        <v>0</v>
      </c>
      <c r="I64" s="35">
        <v>1</v>
      </c>
      <c r="J64" s="35">
        <v>1</v>
      </c>
      <c r="K64" s="31">
        <v>0.24</v>
      </c>
      <c r="L64" s="31" t="str" cm="1">
        <f t="array" ref="L64">_xlfn.IFS(K64&lt;0.15,"Cold",K64&lt;0.25,"Mild",K64&lt;=0.32,"Warm",K64&gt;=0.33,"Hot")</f>
        <v>Mild</v>
      </c>
      <c r="M64" s="36">
        <v>0.2273</v>
      </c>
      <c r="N64" s="36">
        <v>0.3</v>
      </c>
      <c r="O64" s="36" t="str" cm="1">
        <f t="array" ref="O64">_xlfn.IFS(N64&gt;0.61, "High Humidity", N64&gt;=0.6, "Humid", N64&gt;0.4, "Less Humidity", TRUE, "Dry")</f>
        <v>Dry</v>
      </c>
      <c r="P64" s="36">
        <v>0.22389999999999999</v>
      </c>
      <c r="Q64" s="36" t="str" cm="1">
        <f t="array" ref="Q64">_xlfn.IFS(P64&lt;=0.2,"Low Windspeed",P64&lt;0.4,"Medium Windspeed",P64&gt;=0.41,"High Windspeed")</f>
        <v>Medium Windspeed</v>
      </c>
      <c r="R64" s="36">
        <v>11</v>
      </c>
      <c r="S64" s="36">
        <v>146</v>
      </c>
      <c r="T64" s="37">
        <v>157</v>
      </c>
      <c r="U64" s="39" t="str" cm="1">
        <f t="array" ref="U64">_xlfn.IFS(T64&lt;=70,"Low",T64&lt;=160,"Medium",T64&gt;=161,"High")</f>
        <v>Medium</v>
      </c>
    </row>
    <row r="65" spans="1:21" x14ac:dyDescent="0.25">
      <c r="A65" s="33">
        <v>64</v>
      </c>
      <c r="B65" s="34">
        <v>40546</v>
      </c>
      <c r="C65" s="35">
        <v>1</v>
      </c>
      <c r="D65" s="35">
        <v>0</v>
      </c>
      <c r="E65" s="35">
        <v>1</v>
      </c>
      <c r="F65" s="35">
        <v>18</v>
      </c>
      <c r="G65" s="35" t="str" cm="1">
        <f t="array" ref="G65">_xlfn.IFS(F65&lt;4,"Night",F65&lt;=6,"Early Morning",F65&lt;11,"Morning",F65&lt;12,"Afternoon",F65&lt;=16,"Afternoon",F65&lt;=20,"Evening",F65&gt;=21,"Night")</f>
        <v>Evening</v>
      </c>
      <c r="H65" s="35" t="b">
        <v>0</v>
      </c>
      <c r="I65" s="35">
        <v>1</v>
      </c>
      <c r="J65" s="35">
        <v>1</v>
      </c>
      <c r="K65" s="31">
        <v>0.24</v>
      </c>
      <c r="L65" s="31" t="str" cm="1">
        <f t="array" ref="L65">_xlfn.IFS(K65&lt;0.15,"Cold",K65&lt;0.25,"Mild",K65&lt;=0.32,"Warm",K65&gt;=0.33,"Hot")</f>
        <v>Mild</v>
      </c>
      <c r="M65" s="36">
        <v>0.2576</v>
      </c>
      <c r="N65" s="36">
        <v>0.32</v>
      </c>
      <c r="O65" s="36" t="str" cm="1">
        <f t="array" ref="O65">_xlfn.IFS(N65&gt;0.61, "High Humidity", N65&gt;=0.6, "Humid", N65&gt;0.4, "Less Humidity", TRUE, "Dry")</f>
        <v>Dry</v>
      </c>
      <c r="P65" s="36">
        <v>0.1045</v>
      </c>
      <c r="Q65" s="36" t="str" cm="1">
        <f t="array" ref="Q65">_xlfn.IFS(P65&lt;=0.2,"Low Windspeed",P65&lt;0.4,"Medium Windspeed",P65&gt;=0.41,"High Windspeed")</f>
        <v>Low Windspeed</v>
      </c>
      <c r="R65" s="36">
        <v>9</v>
      </c>
      <c r="S65" s="36">
        <v>148</v>
      </c>
      <c r="T65" s="37">
        <v>157</v>
      </c>
      <c r="U65" s="39" t="str" cm="1">
        <f t="array" ref="U65">_xlfn.IFS(T65&lt;=70,"Low",T65&lt;=160,"Medium",T65&gt;=161,"High")</f>
        <v>Medium</v>
      </c>
    </row>
    <row r="66" spans="1:21" x14ac:dyDescent="0.25">
      <c r="A66" s="33">
        <v>65</v>
      </c>
      <c r="B66" s="34">
        <v>40546</v>
      </c>
      <c r="C66" s="35">
        <v>1</v>
      </c>
      <c r="D66" s="35">
        <v>0</v>
      </c>
      <c r="E66" s="35">
        <v>1</v>
      </c>
      <c r="F66" s="35">
        <v>19</v>
      </c>
      <c r="G66" s="35" t="str" cm="1">
        <f t="array" ref="G66">_xlfn.IFS(F66&lt;4,"Night",F66&lt;=6,"Early Morning",F66&lt;11,"Morning",F66&lt;12,"Afternoon",F66&lt;=16,"Afternoon",F66&lt;=20,"Evening",F66&gt;=21,"Night")</f>
        <v>Evening</v>
      </c>
      <c r="H66" s="35" t="b">
        <v>0</v>
      </c>
      <c r="I66" s="35">
        <v>1</v>
      </c>
      <c r="J66" s="35">
        <v>1</v>
      </c>
      <c r="K66" s="31">
        <v>0.2</v>
      </c>
      <c r="L66" s="31" t="str" cm="1">
        <f t="array" ref="L66">_xlfn.IFS(K66&lt;0.15,"Cold",K66&lt;0.25,"Mild",K66&lt;=0.32,"Warm",K66&gt;=0.33,"Hot")</f>
        <v>Mild</v>
      </c>
      <c r="M66" s="36">
        <v>0.2576</v>
      </c>
      <c r="N66" s="36">
        <v>0.47</v>
      </c>
      <c r="O66" s="36" t="str" cm="1">
        <f t="array" ref="O66">_xlfn.IFS(N66&gt;0.61, "High Humidity", N66&gt;=0.6, "Humid", N66&gt;0.4, "Less Humidity", TRUE, "Dry")</f>
        <v>Less Humidity</v>
      </c>
      <c r="P66" s="36">
        <v>0</v>
      </c>
      <c r="Q66" s="36" t="str" cm="1">
        <f t="array" ref="Q66">_xlfn.IFS(P66&lt;=0.2,"Low Windspeed",P66&lt;0.4,"Medium Windspeed",P66&gt;=0.41,"High Windspeed")</f>
        <v>Low Windspeed</v>
      </c>
      <c r="R66" s="36">
        <v>8</v>
      </c>
      <c r="S66" s="36">
        <v>102</v>
      </c>
      <c r="T66" s="37">
        <v>110</v>
      </c>
      <c r="U66" s="39" t="str" cm="1">
        <f t="array" ref="U66">_xlfn.IFS(T66&lt;=70,"Low",T66&lt;=160,"Medium",T66&gt;=161,"High")</f>
        <v>Medium</v>
      </c>
    </row>
    <row r="67" spans="1:21" x14ac:dyDescent="0.25">
      <c r="A67" s="33">
        <v>66</v>
      </c>
      <c r="B67" s="34">
        <v>40546</v>
      </c>
      <c r="C67" s="35">
        <v>1</v>
      </c>
      <c r="D67" s="35">
        <v>0</v>
      </c>
      <c r="E67" s="35">
        <v>1</v>
      </c>
      <c r="F67" s="35">
        <v>20</v>
      </c>
      <c r="G67" s="35" t="str" cm="1">
        <f t="array" ref="G67">_xlfn.IFS(F67&lt;4,"Night",F67&lt;=6,"Early Morning",F67&lt;11,"Morning",F67&lt;12,"Afternoon",F67&lt;=16,"Afternoon",F67&lt;=20,"Evening",F67&gt;=21,"Night")</f>
        <v>Evening</v>
      </c>
      <c r="H67" s="35" t="b">
        <v>0</v>
      </c>
      <c r="I67" s="35">
        <v>1</v>
      </c>
      <c r="J67" s="35">
        <v>1</v>
      </c>
      <c r="K67" s="31">
        <v>0.2</v>
      </c>
      <c r="L67" s="31" t="str" cm="1">
        <f t="array" ref="L67">_xlfn.IFS(K67&lt;0.15,"Cold",K67&lt;0.25,"Mild",K67&lt;=0.32,"Warm",K67&gt;=0.33,"Hot")</f>
        <v>Mild</v>
      </c>
      <c r="M67" s="36">
        <v>0.19989999999999999</v>
      </c>
      <c r="N67" s="36">
        <v>0.47</v>
      </c>
      <c r="O67" s="36" t="str" cm="1">
        <f t="array" ref="O67">_xlfn.IFS(N67&gt;0.61, "High Humidity", N67&gt;=0.6, "Humid", N67&gt;0.4, "Less Humidity", TRUE, "Dry")</f>
        <v>Less Humidity</v>
      </c>
      <c r="P67" s="36">
        <v>0.1045</v>
      </c>
      <c r="Q67" s="36" t="str" cm="1">
        <f t="array" ref="Q67">_xlfn.IFS(P67&lt;=0.2,"Low Windspeed",P67&lt;0.4,"Medium Windspeed",P67&gt;=0.41,"High Windspeed")</f>
        <v>Low Windspeed</v>
      </c>
      <c r="R67" s="36">
        <v>3</v>
      </c>
      <c r="S67" s="36">
        <v>49</v>
      </c>
      <c r="T67" s="37">
        <v>52</v>
      </c>
      <c r="U67" s="39" t="str" cm="1">
        <f t="array" ref="U67">_xlfn.IFS(T67&lt;=70,"Low",T67&lt;=160,"Medium",T67&gt;=161,"High")</f>
        <v>Low</v>
      </c>
    </row>
    <row r="68" spans="1:21" x14ac:dyDescent="0.25">
      <c r="A68" s="33">
        <v>67</v>
      </c>
      <c r="B68" s="34">
        <v>40546</v>
      </c>
      <c r="C68" s="35">
        <v>1</v>
      </c>
      <c r="D68" s="35">
        <v>0</v>
      </c>
      <c r="E68" s="35">
        <v>1</v>
      </c>
      <c r="F68" s="35">
        <v>21</v>
      </c>
      <c r="G68" s="35" t="str" cm="1">
        <f t="array" ref="G68">_xlfn.IFS(F68&lt;4,"Night",F68&lt;=6,"Early Morning",F68&lt;11,"Morning",F68&lt;12,"Afternoon",F68&lt;=16,"Afternoon",F68&lt;=20,"Evening",F68&gt;=21,"Night")</f>
        <v>Night</v>
      </c>
      <c r="H68" s="35" t="b">
        <v>0</v>
      </c>
      <c r="I68" s="35">
        <v>1</v>
      </c>
      <c r="J68" s="35">
        <v>1</v>
      </c>
      <c r="K68" s="31">
        <v>0.18</v>
      </c>
      <c r="L68" s="31" t="str" cm="1">
        <f t="array" ref="L68">_xlfn.IFS(K68&lt;0.15,"Cold",K68&lt;0.25,"Mild",K68&lt;=0.32,"Warm",K68&gt;=0.33,"Hot")</f>
        <v>Mild</v>
      </c>
      <c r="M68" s="36">
        <v>0.19700000000000001</v>
      </c>
      <c r="N68" s="36">
        <v>0.64</v>
      </c>
      <c r="O68" s="36" t="str" cm="1">
        <f t="array" ref="O68">_xlfn.IFS(N68&gt;0.61, "High Humidity", N68&gt;=0.6, "Humid", N68&gt;0.4, "Less Humidity", TRUE, "Dry")</f>
        <v>High Humidity</v>
      </c>
      <c r="P68" s="36">
        <v>0.1343</v>
      </c>
      <c r="Q68" s="36" t="str" cm="1">
        <f t="array" ref="Q68">_xlfn.IFS(P68&lt;=0.2,"Low Windspeed",P68&lt;0.4,"Medium Windspeed",P68&gt;=0.41,"High Windspeed")</f>
        <v>Low Windspeed</v>
      </c>
      <c r="R68" s="36">
        <v>3</v>
      </c>
      <c r="S68" s="36">
        <v>49</v>
      </c>
      <c r="T68" s="37">
        <v>52</v>
      </c>
      <c r="U68" s="39" t="str" cm="1">
        <f t="array" ref="U68">_xlfn.IFS(T68&lt;=70,"Low",T68&lt;=160,"Medium",T68&gt;=161,"High")</f>
        <v>Low</v>
      </c>
    </row>
    <row r="69" spans="1:21" x14ac:dyDescent="0.25">
      <c r="A69" s="33">
        <v>68</v>
      </c>
      <c r="B69" s="34">
        <v>40546</v>
      </c>
      <c r="C69" s="35">
        <v>1</v>
      </c>
      <c r="D69" s="35">
        <v>0</v>
      </c>
      <c r="E69" s="35">
        <v>1</v>
      </c>
      <c r="F69" s="35">
        <v>22</v>
      </c>
      <c r="G69" s="35" t="str" cm="1">
        <f t="array" ref="G69">_xlfn.IFS(F69&lt;4,"Night",F69&lt;=6,"Early Morning",F69&lt;11,"Morning",F69&lt;12,"Afternoon",F69&lt;=16,"Afternoon",F69&lt;=20,"Evening",F69&gt;=21,"Night")</f>
        <v>Night</v>
      </c>
      <c r="H69" s="35" t="b">
        <v>0</v>
      </c>
      <c r="I69" s="35">
        <v>1</v>
      </c>
      <c r="J69" s="35">
        <v>1</v>
      </c>
      <c r="K69" s="31">
        <v>0.14000000000000001</v>
      </c>
      <c r="L69" s="31" t="str" cm="1">
        <f t="array" ref="L69">_xlfn.IFS(K69&lt;0.15,"Cold",K69&lt;0.25,"Mild",K69&lt;=0.32,"Warm",K69&gt;=0.33,"Hot")</f>
        <v>Cold</v>
      </c>
      <c r="M69" s="36">
        <v>0.1515</v>
      </c>
      <c r="N69" s="36">
        <v>0.69</v>
      </c>
      <c r="O69" s="36" t="str" cm="1">
        <f t="array" ref="O69">_xlfn.IFS(N69&gt;0.61, "High Humidity", N69&gt;=0.6, "Humid", N69&gt;0.4, "Less Humidity", TRUE, "Dry")</f>
        <v>High Humidity</v>
      </c>
      <c r="P69" s="36">
        <v>0.1343</v>
      </c>
      <c r="Q69" s="36" t="str" cm="1">
        <f t="array" ref="Q69">_xlfn.IFS(P69&lt;=0.2,"Low Windspeed",P69&lt;0.4,"Medium Windspeed",P69&gt;=0.41,"High Windspeed")</f>
        <v>Low Windspeed</v>
      </c>
      <c r="R69" s="36">
        <v>0</v>
      </c>
      <c r="S69" s="36">
        <v>20</v>
      </c>
      <c r="T69" s="37">
        <v>20</v>
      </c>
      <c r="U69" s="39" t="str" cm="1">
        <f t="array" ref="U69">_xlfn.IFS(T69&lt;=70,"Low",T69&lt;=160,"Medium",T69&gt;=161,"High")</f>
        <v>Low</v>
      </c>
    </row>
    <row r="70" spans="1:21" x14ac:dyDescent="0.25">
      <c r="A70" s="33">
        <v>69</v>
      </c>
      <c r="B70" s="34">
        <v>40546</v>
      </c>
      <c r="C70" s="35">
        <v>1</v>
      </c>
      <c r="D70" s="35">
        <v>0</v>
      </c>
      <c r="E70" s="35">
        <v>1</v>
      </c>
      <c r="F70" s="35">
        <v>23</v>
      </c>
      <c r="G70" s="35" t="str" cm="1">
        <f t="array" ref="G70">_xlfn.IFS(F70&lt;4,"Night",F70&lt;=6,"Early Morning",F70&lt;11,"Morning",F70&lt;12,"Afternoon",F70&lt;=16,"Afternoon",F70&lt;=20,"Evening",F70&gt;=21,"Night")</f>
        <v>Night</v>
      </c>
      <c r="H70" s="35" t="b">
        <v>0</v>
      </c>
      <c r="I70" s="35">
        <v>1</v>
      </c>
      <c r="J70" s="35">
        <v>1</v>
      </c>
      <c r="K70" s="31">
        <v>0.18</v>
      </c>
      <c r="L70" s="31" t="str" cm="1">
        <f t="array" ref="L70">_xlfn.IFS(K70&lt;0.15,"Cold",K70&lt;0.25,"Mild",K70&lt;=0.32,"Warm",K70&gt;=0.33,"Hot")</f>
        <v>Mild</v>
      </c>
      <c r="M70" s="36">
        <v>0.21210000000000001</v>
      </c>
      <c r="N70" s="36">
        <v>0.55000000000000004</v>
      </c>
      <c r="O70" s="36" t="str" cm="1">
        <f t="array" ref="O70">_xlfn.IFS(N70&gt;0.61, "High Humidity", N70&gt;=0.6, "Humid", N70&gt;0.4, "Less Humidity", TRUE, "Dry")</f>
        <v>Less Humidity</v>
      </c>
      <c r="P70" s="36">
        <v>0.1045</v>
      </c>
      <c r="Q70" s="36" t="str" cm="1">
        <f t="array" ref="Q70">_xlfn.IFS(P70&lt;=0.2,"Low Windspeed",P70&lt;0.4,"Medium Windspeed",P70&gt;=0.41,"High Windspeed")</f>
        <v>Low Windspeed</v>
      </c>
      <c r="R70" s="36">
        <v>1</v>
      </c>
      <c r="S70" s="36">
        <v>11</v>
      </c>
      <c r="T70" s="37">
        <v>12</v>
      </c>
      <c r="U70" s="39" t="str" cm="1">
        <f t="array" ref="U70">_xlfn.IFS(T70&lt;=70,"Low",T70&lt;=160,"Medium",T70&gt;=161,"High")</f>
        <v>Low</v>
      </c>
    </row>
    <row r="71" spans="1:21" x14ac:dyDescent="0.25">
      <c r="A71" s="33">
        <v>70</v>
      </c>
      <c r="B71" s="34">
        <v>40547</v>
      </c>
      <c r="C71" s="35">
        <v>1</v>
      </c>
      <c r="D71" s="35">
        <v>0</v>
      </c>
      <c r="E71" s="35">
        <v>1</v>
      </c>
      <c r="F71" s="35">
        <v>0</v>
      </c>
      <c r="G71" s="35" t="str" cm="1">
        <f t="array" ref="G71">_xlfn.IFS(F71&lt;4,"Night",F71&lt;=6,"Early Morning",F71&lt;11,"Morning",F71&lt;12,"Afternoon",F71&lt;=16,"Afternoon",F71&lt;=20,"Evening",F71&gt;=21,"Night")</f>
        <v>Night</v>
      </c>
      <c r="H71" s="35" t="b">
        <v>0</v>
      </c>
      <c r="I71" s="35">
        <v>2</v>
      </c>
      <c r="J71" s="35">
        <v>1</v>
      </c>
      <c r="K71" s="31">
        <v>0.16</v>
      </c>
      <c r="L71" s="31" t="str" cm="1">
        <f t="array" ref="L71">_xlfn.IFS(K71&lt;0.15,"Cold",K71&lt;0.25,"Mild",K71&lt;=0.32,"Warm",K71&gt;=0.33,"Hot")</f>
        <v>Mild</v>
      </c>
      <c r="M71" s="36">
        <v>0.19989999999999999</v>
      </c>
      <c r="N71" s="36">
        <v>0.55000000000000004</v>
      </c>
      <c r="O71" s="36" t="str" cm="1">
        <f t="array" ref="O71">_xlfn.IFS(N71&gt;0.61, "High Humidity", N71&gt;=0.6, "Humid", N71&gt;0.4, "Less Humidity", TRUE, "Dry")</f>
        <v>Less Humidity</v>
      </c>
      <c r="P71" s="36">
        <v>0.1045</v>
      </c>
      <c r="Q71" s="36" t="str" cm="1">
        <f t="array" ref="Q71">_xlfn.IFS(P71&lt;=0.2,"Low Windspeed",P71&lt;0.4,"Medium Windspeed",P71&gt;=0.41,"High Windspeed")</f>
        <v>Low Windspeed</v>
      </c>
      <c r="R71" s="36">
        <v>0</v>
      </c>
      <c r="S71" s="36">
        <v>5</v>
      </c>
      <c r="T71" s="37">
        <v>5</v>
      </c>
      <c r="U71" s="39" t="str" cm="1">
        <f t="array" ref="U71">_xlfn.IFS(T71&lt;=70,"Low",T71&lt;=160,"Medium",T71&gt;=161,"High")</f>
        <v>Low</v>
      </c>
    </row>
    <row r="72" spans="1:21" x14ac:dyDescent="0.25">
      <c r="A72" s="33">
        <v>71</v>
      </c>
      <c r="B72" s="34">
        <v>40547</v>
      </c>
      <c r="C72" s="35">
        <v>1</v>
      </c>
      <c r="D72" s="35">
        <v>0</v>
      </c>
      <c r="E72" s="35">
        <v>1</v>
      </c>
      <c r="F72" s="35">
        <v>1</v>
      </c>
      <c r="G72" s="35" t="str" cm="1">
        <f t="array" ref="G72">_xlfn.IFS(F72&lt;4,"Night",F72&lt;=6,"Early Morning",F72&lt;11,"Morning",F72&lt;12,"Afternoon",F72&lt;=16,"Afternoon",F72&lt;=20,"Evening",F72&gt;=21,"Night")</f>
        <v>Night</v>
      </c>
      <c r="H72" s="35" t="b">
        <v>0</v>
      </c>
      <c r="I72" s="35">
        <v>2</v>
      </c>
      <c r="J72" s="35">
        <v>1</v>
      </c>
      <c r="K72" s="31">
        <v>0.16</v>
      </c>
      <c r="L72" s="31" t="str" cm="1">
        <f t="array" ref="L72">_xlfn.IFS(K72&lt;0.15,"Cold",K72&lt;0.25,"Mild",K72&lt;=0.32,"Warm",K72&gt;=0.33,"Hot")</f>
        <v>Mild</v>
      </c>
      <c r="M72" s="36">
        <v>0.18179999999999999</v>
      </c>
      <c r="N72" s="36">
        <v>0.59</v>
      </c>
      <c r="O72" s="36" t="str" cm="1">
        <f t="array" ref="O72">_xlfn.IFS(N72&gt;0.61, "High Humidity", N72&gt;=0.6, "Humid", N72&gt;0.4, "Less Humidity", TRUE, "Dry")</f>
        <v>Less Humidity</v>
      </c>
      <c r="P72" s="36">
        <v>0.1045</v>
      </c>
      <c r="Q72" s="36" t="str" cm="1">
        <f t="array" ref="Q72">_xlfn.IFS(P72&lt;=0.2,"Low Windspeed",P72&lt;0.4,"Medium Windspeed",P72&gt;=0.41,"High Windspeed")</f>
        <v>Low Windspeed</v>
      </c>
      <c r="R72" s="36">
        <v>0</v>
      </c>
      <c r="S72" s="36">
        <v>2</v>
      </c>
      <c r="T72" s="37">
        <v>2</v>
      </c>
      <c r="U72" s="39" t="str" cm="1">
        <f t="array" ref="U72">_xlfn.IFS(T72&lt;=70,"Low",T72&lt;=160,"Medium",T72&gt;=161,"High")</f>
        <v>Low</v>
      </c>
    </row>
    <row r="73" spans="1:21" x14ac:dyDescent="0.25">
      <c r="A73" s="33">
        <v>72</v>
      </c>
      <c r="B73" s="34">
        <v>40547</v>
      </c>
      <c r="C73" s="35">
        <v>1</v>
      </c>
      <c r="D73" s="35">
        <v>0</v>
      </c>
      <c r="E73" s="35">
        <v>1</v>
      </c>
      <c r="F73" s="35">
        <v>2</v>
      </c>
      <c r="G73" s="35" t="str" cm="1">
        <f t="array" ref="G73">_xlfn.IFS(F73&lt;4,"Night",F73&lt;=6,"Early Morning",F73&lt;11,"Morning",F73&lt;12,"Afternoon",F73&lt;=16,"Afternoon",F73&lt;=20,"Evening",F73&gt;=21,"Night")</f>
        <v>Night</v>
      </c>
      <c r="H73" s="35" t="b">
        <v>0</v>
      </c>
      <c r="I73" s="35">
        <v>2</v>
      </c>
      <c r="J73" s="35">
        <v>1</v>
      </c>
      <c r="K73" s="31">
        <v>0.14000000000000001</v>
      </c>
      <c r="L73" s="31" t="str" cm="1">
        <f t="array" ref="L73">_xlfn.IFS(K73&lt;0.15,"Cold",K73&lt;0.25,"Mild",K73&lt;=0.32,"Warm",K73&gt;=0.33,"Hot")</f>
        <v>Cold</v>
      </c>
      <c r="M73" s="36">
        <v>0.1515</v>
      </c>
      <c r="N73" s="36">
        <v>0.63</v>
      </c>
      <c r="O73" s="36" t="str" cm="1">
        <f t="array" ref="O73">_xlfn.IFS(N73&gt;0.61, "High Humidity", N73&gt;=0.6, "Humid", N73&gt;0.4, "Less Humidity", TRUE, "Dry")</f>
        <v>High Humidity</v>
      </c>
      <c r="P73" s="36">
        <v>0.1343</v>
      </c>
      <c r="Q73" s="36" t="str" cm="1">
        <f t="array" ref="Q73">_xlfn.IFS(P73&lt;=0.2,"Low Windspeed",P73&lt;0.4,"Medium Windspeed",P73&gt;=0.41,"High Windspeed")</f>
        <v>Low Windspeed</v>
      </c>
      <c r="R73" s="36">
        <v>0</v>
      </c>
      <c r="S73" s="36">
        <v>1</v>
      </c>
      <c r="T73" s="37">
        <v>1</v>
      </c>
      <c r="U73" s="39" t="str" cm="1">
        <f t="array" ref="U73">_xlfn.IFS(T73&lt;=70,"Low",T73&lt;=160,"Medium",T73&gt;=161,"High")</f>
        <v>Low</v>
      </c>
    </row>
    <row r="74" spans="1:21" x14ac:dyDescent="0.25">
      <c r="A74" s="33">
        <v>73</v>
      </c>
      <c r="B74" s="34">
        <v>40547</v>
      </c>
      <c r="C74" s="35">
        <v>1</v>
      </c>
      <c r="D74" s="35">
        <v>0</v>
      </c>
      <c r="E74" s="35">
        <v>1</v>
      </c>
      <c r="F74" s="35">
        <v>4</v>
      </c>
      <c r="G74" s="35" t="str" cm="1">
        <f t="array" ref="G74">_xlfn.IFS(F74&lt;4,"Night",F74&lt;=6,"Early Morning",F74&lt;11,"Morning",F74&lt;12,"Afternoon",F74&lt;=16,"Afternoon",F74&lt;=20,"Evening",F74&gt;=21,"Night")</f>
        <v>Early Morning</v>
      </c>
      <c r="H74" s="35" t="b">
        <v>0</v>
      </c>
      <c r="I74" s="35">
        <v>2</v>
      </c>
      <c r="J74" s="35">
        <v>1</v>
      </c>
      <c r="K74" s="31">
        <v>0.14000000000000001</v>
      </c>
      <c r="L74" s="31" t="str" cm="1">
        <f t="array" ref="L74">_xlfn.IFS(K74&lt;0.15,"Cold",K74&lt;0.25,"Mild",K74&lt;=0.32,"Warm",K74&gt;=0.33,"Hot")</f>
        <v>Cold</v>
      </c>
      <c r="M74" s="36">
        <v>0.18179999999999999</v>
      </c>
      <c r="N74" s="36">
        <v>0.63</v>
      </c>
      <c r="O74" s="36" t="str" cm="1">
        <f t="array" ref="O74">_xlfn.IFS(N74&gt;0.61, "High Humidity", N74&gt;=0.6, "Humid", N74&gt;0.4, "Less Humidity", TRUE, "Dry")</f>
        <v>High Humidity</v>
      </c>
      <c r="P74" s="36">
        <v>8.9599999999999999E-2</v>
      </c>
      <c r="Q74" s="36" t="str" cm="1">
        <f t="array" ref="Q74">_xlfn.IFS(P74&lt;=0.2,"Low Windspeed",P74&lt;0.4,"Medium Windspeed",P74&gt;=0.41,"High Windspeed")</f>
        <v>Low Windspeed</v>
      </c>
      <c r="R74" s="36">
        <v>0</v>
      </c>
      <c r="S74" s="36">
        <v>2</v>
      </c>
      <c r="T74" s="37">
        <v>2</v>
      </c>
      <c r="U74" s="39" t="str" cm="1">
        <f t="array" ref="U74">_xlfn.IFS(T74&lt;=70,"Low",T74&lt;=160,"Medium",T74&gt;=161,"High")</f>
        <v>Low</v>
      </c>
    </row>
    <row r="75" spans="1:21" x14ac:dyDescent="0.25">
      <c r="A75" s="33">
        <v>74</v>
      </c>
      <c r="B75" s="34">
        <v>40547</v>
      </c>
      <c r="C75" s="35">
        <v>1</v>
      </c>
      <c r="D75" s="35">
        <v>0</v>
      </c>
      <c r="E75" s="35">
        <v>1</v>
      </c>
      <c r="F75" s="35">
        <v>5</v>
      </c>
      <c r="G75" s="35" t="str" cm="1">
        <f t="array" ref="G75">_xlfn.IFS(F75&lt;4,"Night",F75&lt;=6,"Early Morning",F75&lt;11,"Morning",F75&lt;12,"Afternoon",F75&lt;=16,"Afternoon",F75&lt;=20,"Evening",F75&gt;=21,"Night")</f>
        <v>Early Morning</v>
      </c>
      <c r="H75" s="35" t="b">
        <v>0</v>
      </c>
      <c r="I75" s="35">
        <v>2</v>
      </c>
      <c r="J75" s="35">
        <v>1</v>
      </c>
      <c r="K75" s="31">
        <v>0.12</v>
      </c>
      <c r="L75" s="31" t="str" cm="1">
        <f t="array" ref="L75">_xlfn.IFS(K75&lt;0.15,"Cold",K75&lt;0.25,"Mild",K75&lt;=0.32,"Warm",K75&gt;=0.33,"Hot")</f>
        <v>Cold</v>
      </c>
      <c r="M75" s="36">
        <v>0.1515</v>
      </c>
      <c r="N75" s="36">
        <v>0.68</v>
      </c>
      <c r="O75" s="36" t="str" cm="1">
        <f t="array" ref="O75">_xlfn.IFS(N75&gt;0.61, "High Humidity", N75&gt;=0.6, "Humid", N75&gt;0.4, "Less Humidity", TRUE, "Dry")</f>
        <v>High Humidity</v>
      </c>
      <c r="P75" s="36">
        <v>0.1045</v>
      </c>
      <c r="Q75" s="36" t="str" cm="1">
        <f t="array" ref="Q75">_xlfn.IFS(P75&lt;=0.2,"Low Windspeed",P75&lt;0.4,"Medium Windspeed",P75&gt;=0.41,"High Windspeed")</f>
        <v>Low Windspeed</v>
      </c>
      <c r="R75" s="36">
        <v>0</v>
      </c>
      <c r="S75" s="36">
        <v>4</v>
      </c>
      <c r="T75" s="37">
        <v>4</v>
      </c>
      <c r="U75" s="39" t="str" cm="1">
        <f t="array" ref="U75">_xlfn.IFS(T75&lt;=70,"Low",T75&lt;=160,"Medium",T75&gt;=161,"High")</f>
        <v>Low</v>
      </c>
    </row>
    <row r="76" spans="1:21" x14ac:dyDescent="0.25">
      <c r="A76" s="33">
        <v>75</v>
      </c>
      <c r="B76" s="34">
        <v>40547</v>
      </c>
      <c r="C76" s="35">
        <v>1</v>
      </c>
      <c r="D76" s="35">
        <v>0</v>
      </c>
      <c r="E76" s="35">
        <v>1</v>
      </c>
      <c r="F76" s="35">
        <v>6</v>
      </c>
      <c r="G76" s="35" t="str" cm="1">
        <f t="array" ref="G76">_xlfn.IFS(F76&lt;4,"Night",F76&lt;=6,"Early Morning",F76&lt;11,"Morning",F76&lt;12,"Afternoon",F76&lt;=16,"Afternoon",F76&lt;=20,"Evening",F76&gt;=21,"Night")</f>
        <v>Early Morning</v>
      </c>
      <c r="H76" s="35" t="b">
        <v>0</v>
      </c>
      <c r="I76" s="35">
        <v>2</v>
      </c>
      <c r="J76" s="35">
        <v>1</v>
      </c>
      <c r="K76" s="31">
        <v>0.12</v>
      </c>
      <c r="L76" s="31" t="str" cm="1">
        <f t="array" ref="L76">_xlfn.IFS(K76&lt;0.15,"Cold",K76&lt;0.25,"Mild",K76&lt;=0.32,"Warm",K76&gt;=0.33,"Hot")</f>
        <v>Cold</v>
      </c>
      <c r="M76" s="36">
        <v>0.1515</v>
      </c>
      <c r="N76" s="36">
        <v>0.74</v>
      </c>
      <c r="O76" s="36" t="str" cm="1">
        <f t="array" ref="O76">_xlfn.IFS(N76&gt;0.61, "High Humidity", N76&gt;=0.6, "Humid", N76&gt;0.4, "Less Humidity", TRUE, "Dry")</f>
        <v>High Humidity</v>
      </c>
      <c r="P76" s="36">
        <v>0.1045</v>
      </c>
      <c r="Q76" s="36" t="str" cm="1">
        <f t="array" ref="Q76">_xlfn.IFS(P76&lt;=0.2,"Low Windspeed",P76&lt;0.4,"Medium Windspeed",P76&gt;=0.41,"High Windspeed")</f>
        <v>Low Windspeed</v>
      </c>
      <c r="R76" s="36">
        <v>0</v>
      </c>
      <c r="S76" s="36">
        <v>36</v>
      </c>
      <c r="T76" s="37">
        <v>36</v>
      </c>
      <c r="U76" s="39" t="str" cm="1">
        <f t="array" ref="U76">_xlfn.IFS(T76&lt;=70,"Low",T76&lt;=160,"Medium",T76&gt;=161,"High")</f>
        <v>Low</v>
      </c>
    </row>
    <row r="77" spans="1:21" x14ac:dyDescent="0.25">
      <c r="A77" s="33">
        <v>76</v>
      </c>
      <c r="B77" s="34">
        <v>40547</v>
      </c>
      <c r="C77" s="35">
        <v>1</v>
      </c>
      <c r="D77" s="35">
        <v>0</v>
      </c>
      <c r="E77" s="35">
        <v>1</v>
      </c>
      <c r="F77" s="35">
        <v>7</v>
      </c>
      <c r="G77" s="35" t="str" cm="1">
        <f t="array" ref="G77">_xlfn.IFS(F77&lt;4,"Night",F77&lt;=6,"Early Morning",F77&lt;11,"Morning",F77&lt;12,"Afternoon",F77&lt;=16,"Afternoon",F77&lt;=20,"Evening",F77&gt;=21,"Night")</f>
        <v>Morning</v>
      </c>
      <c r="H77" s="35" t="b">
        <v>0</v>
      </c>
      <c r="I77" s="35">
        <v>2</v>
      </c>
      <c r="J77" s="35">
        <v>1</v>
      </c>
      <c r="K77" s="31">
        <v>0.12</v>
      </c>
      <c r="L77" s="31" t="str" cm="1">
        <f t="array" ref="L77">_xlfn.IFS(K77&lt;0.15,"Cold",K77&lt;0.25,"Mild",K77&lt;=0.32,"Warm",K77&gt;=0.33,"Hot")</f>
        <v>Cold</v>
      </c>
      <c r="M77" s="36">
        <v>0.1515</v>
      </c>
      <c r="N77" s="36">
        <v>0.74</v>
      </c>
      <c r="O77" s="36" t="str" cm="1">
        <f t="array" ref="O77">_xlfn.IFS(N77&gt;0.61, "High Humidity", N77&gt;=0.6, "Humid", N77&gt;0.4, "Less Humidity", TRUE, "Dry")</f>
        <v>High Humidity</v>
      </c>
      <c r="P77" s="36">
        <v>0.1343</v>
      </c>
      <c r="Q77" s="36" t="str" cm="1">
        <f t="array" ref="Q77">_xlfn.IFS(P77&lt;=0.2,"Low Windspeed",P77&lt;0.4,"Medium Windspeed",P77&gt;=0.41,"High Windspeed")</f>
        <v>Low Windspeed</v>
      </c>
      <c r="R77" s="36">
        <v>2</v>
      </c>
      <c r="S77" s="36">
        <v>92</v>
      </c>
      <c r="T77" s="37">
        <v>94</v>
      </c>
      <c r="U77" s="39" t="str" cm="1">
        <f t="array" ref="U77">_xlfn.IFS(T77&lt;=70,"Low",T77&lt;=160,"Medium",T77&gt;=161,"High")</f>
        <v>Medium</v>
      </c>
    </row>
    <row r="78" spans="1:21" x14ac:dyDescent="0.25">
      <c r="A78" s="33">
        <v>77</v>
      </c>
      <c r="B78" s="34">
        <v>40547</v>
      </c>
      <c r="C78" s="35">
        <v>1</v>
      </c>
      <c r="D78" s="35">
        <v>0</v>
      </c>
      <c r="E78" s="35">
        <v>1</v>
      </c>
      <c r="F78" s="35">
        <v>8</v>
      </c>
      <c r="G78" s="35" t="str" cm="1">
        <f t="array" ref="G78">_xlfn.IFS(F78&lt;4,"Night",F78&lt;=6,"Early Morning",F78&lt;11,"Morning",F78&lt;12,"Afternoon",F78&lt;=16,"Afternoon",F78&lt;=20,"Evening",F78&gt;=21,"Night")</f>
        <v>Morning</v>
      </c>
      <c r="H78" s="35" t="b">
        <v>0</v>
      </c>
      <c r="I78" s="35">
        <v>2</v>
      </c>
      <c r="J78" s="35">
        <v>1</v>
      </c>
      <c r="K78" s="31">
        <v>0.14000000000000001</v>
      </c>
      <c r="L78" s="31" t="str" cm="1">
        <f t="array" ref="L78">_xlfn.IFS(K78&lt;0.15,"Cold",K78&lt;0.25,"Mild",K78&lt;=0.32,"Warm",K78&gt;=0.33,"Hot")</f>
        <v>Cold</v>
      </c>
      <c r="M78" s="36">
        <v>0.1515</v>
      </c>
      <c r="N78" s="36">
        <v>0.69</v>
      </c>
      <c r="O78" s="36" t="str" cm="1">
        <f t="array" ref="O78">_xlfn.IFS(N78&gt;0.61, "High Humidity", N78&gt;=0.6, "Humid", N78&gt;0.4, "Less Humidity", TRUE, "Dry")</f>
        <v>High Humidity</v>
      </c>
      <c r="P78" s="36">
        <v>0.16420000000000001</v>
      </c>
      <c r="Q78" s="36" t="str" cm="1">
        <f t="array" ref="Q78">_xlfn.IFS(P78&lt;=0.2,"Low Windspeed",P78&lt;0.4,"Medium Windspeed",P78&gt;=0.41,"High Windspeed")</f>
        <v>Low Windspeed</v>
      </c>
      <c r="R78" s="36">
        <v>2</v>
      </c>
      <c r="S78" s="36">
        <v>177</v>
      </c>
      <c r="T78" s="37">
        <v>179</v>
      </c>
      <c r="U78" s="39" t="str" cm="1">
        <f t="array" ref="U78">_xlfn.IFS(T78&lt;=70,"Low",T78&lt;=160,"Medium",T78&gt;=161,"High")</f>
        <v>High</v>
      </c>
    </row>
    <row r="79" spans="1:21" x14ac:dyDescent="0.25">
      <c r="A79" s="33">
        <v>78</v>
      </c>
      <c r="B79" s="34">
        <v>40547</v>
      </c>
      <c r="C79" s="35">
        <v>1</v>
      </c>
      <c r="D79" s="35">
        <v>0</v>
      </c>
      <c r="E79" s="35">
        <v>1</v>
      </c>
      <c r="F79" s="35">
        <v>9</v>
      </c>
      <c r="G79" s="35" t="str" cm="1">
        <f t="array" ref="G79">_xlfn.IFS(F79&lt;4,"Night",F79&lt;=6,"Early Morning",F79&lt;11,"Morning",F79&lt;12,"Afternoon",F79&lt;=16,"Afternoon",F79&lt;=20,"Evening",F79&gt;=21,"Night")</f>
        <v>Morning</v>
      </c>
      <c r="H79" s="35" t="b">
        <v>0</v>
      </c>
      <c r="I79" s="35">
        <v>2</v>
      </c>
      <c r="J79" s="35">
        <v>1</v>
      </c>
      <c r="K79" s="31">
        <v>0.16</v>
      </c>
      <c r="L79" s="31" t="str" cm="1">
        <f t="array" ref="L79">_xlfn.IFS(K79&lt;0.15,"Cold",K79&lt;0.25,"Mild",K79&lt;=0.32,"Warm",K79&gt;=0.33,"Hot")</f>
        <v>Mild</v>
      </c>
      <c r="M79" s="36">
        <v>0.1515</v>
      </c>
      <c r="N79" s="36">
        <v>0.64</v>
      </c>
      <c r="O79" s="36" t="str" cm="1">
        <f t="array" ref="O79">_xlfn.IFS(N79&gt;0.61, "High Humidity", N79&gt;=0.6, "Humid", N79&gt;0.4, "Less Humidity", TRUE, "Dry")</f>
        <v>High Humidity</v>
      </c>
      <c r="P79" s="36">
        <v>0.22389999999999999</v>
      </c>
      <c r="Q79" s="36" t="str" cm="1">
        <f t="array" ref="Q79">_xlfn.IFS(P79&lt;=0.2,"Low Windspeed",P79&lt;0.4,"Medium Windspeed",P79&gt;=0.41,"High Windspeed")</f>
        <v>Medium Windspeed</v>
      </c>
      <c r="R79" s="36">
        <v>2</v>
      </c>
      <c r="S79" s="36">
        <v>98</v>
      </c>
      <c r="T79" s="37">
        <v>100</v>
      </c>
      <c r="U79" s="39" t="str" cm="1">
        <f t="array" ref="U79">_xlfn.IFS(T79&lt;=70,"Low",T79&lt;=160,"Medium",T79&gt;=161,"High")</f>
        <v>Medium</v>
      </c>
    </row>
    <row r="80" spans="1:21" x14ac:dyDescent="0.25">
      <c r="A80" s="33">
        <v>79</v>
      </c>
      <c r="B80" s="34">
        <v>40547</v>
      </c>
      <c r="C80" s="35">
        <v>1</v>
      </c>
      <c r="D80" s="35">
        <v>0</v>
      </c>
      <c r="E80" s="35">
        <v>1</v>
      </c>
      <c r="F80" s="35">
        <v>10</v>
      </c>
      <c r="G80" s="35" t="str" cm="1">
        <f t="array" ref="G80">_xlfn.IFS(F80&lt;4,"Night",F80&lt;=6,"Early Morning",F80&lt;11,"Morning",F80&lt;12,"Afternoon",F80&lt;=16,"Afternoon",F80&lt;=20,"Evening",F80&gt;=21,"Night")</f>
        <v>Morning</v>
      </c>
      <c r="H80" s="35" t="b">
        <v>0</v>
      </c>
      <c r="I80" s="35">
        <v>2</v>
      </c>
      <c r="J80" s="35">
        <v>2</v>
      </c>
      <c r="K80" s="31">
        <v>0.16</v>
      </c>
      <c r="L80" s="31" t="str" cm="1">
        <f t="array" ref="L80">_xlfn.IFS(K80&lt;0.15,"Cold",K80&lt;0.25,"Mild",K80&lt;=0.32,"Warm",K80&gt;=0.33,"Hot")</f>
        <v>Mild</v>
      </c>
      <c r="M80" s="36">
        <v>0.13639999999999999</v>
      </c>
      <c r="N80" s="36">
        <v>0.69</v>
      </c>
      <c r="O80" s="36" t="str" cm="1">
        <f t="array" ref="O80">_xlfn.IFS(N80&gt;0.61, "High Humidity", N80&gt;=0.6, "Humid", N80&gt;0.4, "Less Humidity", TRUE, "Dry")</f>
        <v>High Humidity</v>
      </c>
      <c r="P80" s="36">
        <v>0.32840000000000003</v>
      </c>
      <c r="Q80" s="36" t="str" cm="1">
        <f t="array" ref="Q80">_xlfn.IFS(P80&lt;=0.2,"Low Windspeed",P80&lt;0.4,"Medium Windspeed",P80&gt;=0.41,"High Windspeed")</f>
        <v>Medium Windspeed</v>
      </c>
      <c r="R80" s="36">
        <v>5</v>
      </c>
      <c r="S80" s="36">
        <v>37</v>
      </c>
      <c r="T80" s="37">
        <v>42</v>
      </c>
      <c r="U80" s="39" t="str" cm="1">
        <f t="array" ref="U80">_xlfn.IFS(T80&lt;=70,"Low",T80&lt;=160,"Medium",T80&gt;=161,"High")</f>
        <v>Low</v>
      </c>
    </row>
    <row r="81" spans="1:21" x14ac:dyDescent="0.25">
      <c r="A81" s="33">
        <v>80</v>
      </c>
      <c r="B81" s="34">
        <v>40547</v>
      </c>
      <c r="C81" s="35">
        <v>1</v>
      </c>
      <c r="D81" s="35">
        <v>0</v>
      </c>
      <c r="E81" s="35">
        <v>1</v>
      </c>
      <c r="F81" s="35">
        <v>11</v>
      </c>
      <c r="G81" s="35" t="str" cm="1">
        <f t="array" ref="G81">_xlfn.IFS(F81&lt;4,"Night",F81&lt;=6,"Early Morning",F81&lt;11,"Morning",F81&lt;12,"Afternoon",F81&lt;=16,"Afternoon",F81&lt;=20,"Evening",F81&gt;=21,"Night")</f>
        <v>Afternoon</v>
      </c>
      <c r="H81" s="35" t="b">
        <v>0</v>
      </c>
      <c r="I81" s="35">
        <v>2</v>
      </c>
      <c r="J81" s="35">
        <v>1</v>
      </c>
      <c r="K81" s="31">
        <v>0.22</v>
      </c>
      <c r="L81" s="31" t="str" cm="1">
        <f t="array" ref="L81">_xlfn.IFS(K81&lt;0.15,"Cold",K81&lt;0.25,"Mild",K81&lt;=0.32,"Warm",K81&gt;=0.33,"Hot")</f>
        <v>Mild</v>
      </c>
      <c r="M81" s="36">
        <v>0.21210000000000001</v>
      </c>
      <c r="N81" s="36">
        <v>0.51</v>
      </c>
      <c r="O81" s="36" t="str" cm="1">
        <f t="array" ref="O81">_xlfn.IFS(N81&gt;0.61, "High Humidity", N81&gt;=0.6, "Humid", N81&gt;0.4, "Less Humidity", TRUE, "Dry")</f>
        <v>Less Humidity</v>
      </c>
      <c r="P81" s="36">
        <v>0.29849999999999999</v>
      </c>
      <c r="Q81" s="36" t="str" cm="1">
        <f t="array" ref="Q81">_xlfn.IFS(P81&lt;=0.2,"Low Windspeed",P81&lt;0.4,"Medium Windspeed",P81&gt;=0.41,"High Windspeed")</f>
        <v>Medium Windspeed</v>
      </c>
      <c r="R81" s="36">
        <v>7</v>
      </c>
      <c r="S81" s="36">
        <v>50</v>
      </c>
      <c r="T81" s="37">
        <v>57</v>
      </c>
      <c r="U81" s="39" t="str" cm="1">
        <f t="array" ref="U81">_xlfn.IFS(T81&lt;=70,"Low",T81&lt;=160,"Medium",T81&gt;=161,"High")</f>
        <v>Low</v>
      </c>
    </row>
    <row r="82" spans="1:21" x14ac:dyDescent="0.25">
      <c r="A82" s="33">
        <v>81</v>
      </c>
      <c r="B82" s="34">
        <v>40547</v>
      </c>
      <c r="C82" s="35">
        <v>1</v>
      </c>
      <c r="D82" s="35">
        <v>0</v>
      </c>
      <c r="E82" s="35">
        <v>1</v>
      </c>
      <c r="F82" s="35">
        <v>12</v>
      </c>
      <c r="G82" s="35" t="str" cm="1">
        <f t="array" ref="G82">_xlfn.IFS(F82&lt;4,"Night",F82&lt;=6,"Early Morning",F82&lt;11,"Morning",F82&lt;12,"Afternoon",F82&lt;=16,"Afternoon",F82&lt;=20,"Evening",F82&gt;=21,"Night")</f>
        <v>Afternoon</v>
      </c>
      <c r="H82" s="35" t="b">
        <v>0</v>
      </c>
      <c r="I82" s="35">
        <v>2</v>
      </c>
      <c r="J82" s="35">
        <v>1</v>
      </c>
      <c r="K82" s="31">
        <v>0.22</v>
      </c>
      <c r="L82" s="31" t="str" cm="1">
        <f t="array" ref="L82">_xlfn.IFS(K82&lt;0.15,"Cold",K82&lt;0.25,"Mild",K82&lt;=0.32,"Warm",K82&gt;=0.33,"Hot")</f>
        <v>Mild</v>
      </c>
      <c r="M82" s="36">
        <v>0.2273</v>
      </c>
      <c r="N82" s="36">
        <v>0.51</v>
      </c>
      <c r="O82" s="36" t="str" cm="1">
        <f t="array" ref="O82">_xlfn.IFS(N82&gt;0.61, "High Humidity", N82&gt;=0.6, "Humid", N82&gt;0.4, "Less Humidity", TRUE, "Dry")</f>
        <v>Less Humidity</v>
      </c>
      <c r="P82" s="36">
        <v>0.16420000000000001</v>
      </c>
      <c r="Q82" s="36" t="str" cm="1">
        <f t="array" ref="Q82">_xlfn.IFS(P82&lt;=0.2,"Low Windspeed",P82&lt;0.4,"Medium Windspeed",P82&gt;=0.41,"High Windspeed")</f>
        <v>Low Windspeed</v>
      </c>
      <c r="R82" s="36">
        <v>12</v>
      </c>
      <c r="S82" s="36">
        <v>66</v>
      </c>
      <c r="T82" s="37">
        <v>78</v>
      </c>
      <c r="U82" s="39" t="str" cm="1">
        <f t="array" ref="U82">_xlfn.IFS(T82&lt;=70,"Low",T82&lt;=160,"Medium",T82&gt;=161,"High")</f>
        <v>Medium</v>
      </c>
    </row>
    <row r="83" spans="1:21" x14ac:dyDescent="0.25">
      <c r="A83" s="33">
        <v>82</v>
      </c>
      <c r="B83" s="34">
        <v>40547</v>
      </c>
      <c r="C83" s="35">
        <v>1</v>
      </c>
      <c r="D83" s="35">
        <v>0</v>
      </c>
      <c r="E83" s="35">
        <v>1</v>
      </c>
      <c r="F83" s="35">
        <v>13</v>
      </c>
      <c r="G83" s="35" t="str" cm="1">
        <f t="array" ref="G83">_xlfn.IFS(F83&lt;4,"Night",F83&lt;=6,"Early Morning",F83&lt;11,"Morning",F83&lt;12,"Afternoon",F83&lt;=16,"Afternoon",F83&lt;=20,"Evening",F83&gt;=21,"Night")</f>
        <v>Afternoon</v>
      </c>
      <c r="H83" s="35" t="b">
        <v>0</v>
      </c>
      <c r="I83" s="35">
        <v>2</v>
      </c>
      <c r="J83" s="35">
        <v>1</v>
      </c>
      <c r="K83" s="31">
        <v>0.24</v>
      </c>
      <c r="L83" s="31" t="str" cm="1">
        <f t="array" ref="L83">_xlfn.IFS(K83&lt;0.15,"Cold",K83&lt;0.25,"Mild",K83&lt;=0.32,"Warm",K83&gt;=0.33,"Hot")</f>
        <v>Mild</v>
      </c>
      <c r="M83" s="36">
        <v>0.2273</v>
      </c>
      <c r="N83" s="36">
        <v>0.56000000000000005</v>
      </c>
      <c r="O83" s="36" t="str" cm="1">
        <f t="array" ref="O83">_xlfn.IFS(N83&gt;0.61, "High Humidity", N83&gt;=0.6, "Humid", N83&gt;0.4, "Less Humidity", TRUE, "Dry")</f>
        <v>Less Humidity</v>
      </c>
      <c r="P83" s="36">
        <v>0.19400000000000001</v>
      </c>
      <c r="Q83" s="36" t="str" cm="1">
        <f t="array" ref="Q83">_xlfn.IFS(P83&lt;=0.2,"Low Windspeed",P83&lt;0.4,"Medium Windspeed",P83&gt;=0.41,"High Windspeed")</f>
        <v>Low Windspeed</v>
      </c>
      <c r="R83" s="36">
        <v>18</v>
      </c>
      <c r="S83" s="36">
        <v>79</v>
      </c>
      <c r="T83" s="37">
        <v>97</v>
      </c>
      <c r="U83" s="39" t="str" cm="1">
        <f t="array" ref="U83">_xlfn.IFS(T83&lt;=70,"Low",T83&lt;=160,"Medium",T83&gt;=161,"High")</f>
        <v>Medium</v>
      </c>
    </row>
    <row r="84" spans="1:21" x14ac:dyDescent="0.25">
      <c r="A84" s="33">
        <v>83</v>
      </c>
      <c r="B84" s="34">
        <v>40547</v>
      </c>
      <c r="C84" s="35">
        <v>1</v>
      </c>
      <c r="D84" s="35">
        <v>0</v>
      </c>
      <c r="E84" s="35">
        <v>1</v>
      </c>
      <c r="F84" s="35">
        <v>14</v>
      </c>
      <c r="G84" s="35" t="str" cm="1">
        <f t="array" ref="G84">_xlfn.IFS(F84&lt;4,"Night",F84&lt;=6,"Early Morning",F84&lt;11,"Morning",F84&lt;12,"Afternoon",F84&lt;=16,"Afternoon",F84&lt;=20,"Evening",F84&gt;=21,"Night")</f>
        <v>Afternoon</v>
      </c>
      <c r="H84" s="35" t="b">
        <v>0</v>
      </c>
      <c r="I84" s="35">
        <v>2</v>
      </c>
      <c r="J84" s="35">
        <v>1</v>
      </c>
      <c r="K84" s="31">
        <v>0.26</v>
      </c>
      <c r="L84" s="31" t="str" cm="1">
        <f t="array" ref="L84">_xlfn.IFS(K84&lt;0.15,"Cold",K84&lt;0.25,"Mild",K84&lt;=0.32,"Warm",K84&gt;=0.33,"Hot")</f>
        <v>Warm</v>
      </c>
      <c r="M84" s="36">
        <v>0.2576</v>
      </c>
      <c r="N84" s="36">
        <v>0.52</v>
      </c>
      <c r="O84" s="36" t="str" cm="1">
        <f t="array" ref="O84">_xlfn.IFS(N84&gt;0.61, "High Humidity", N84&gt;=0.6, "Humid", N84&gt;0.4, "Less Humidity", TRUE, "Dry")</f>
        <v>Less Humidity</v>
      </c>
      <c r="P84" s="36">
        <v>0.22389999999999999</v>
      </c>
      <c r="Q84" s="36" t="str" cm="1">
        <f t="array" ref="Q84">_xlfn.IFS(P84&lt;=0.2,"Low Windspeed",P84&lt;0.4,"Medium Windspeed",P84&gt;=0.41,"High Windspeed")</f>
        <v>Medium Windspeed</v>
      </c>
      <c r="R84" s="36">
        <v>9</v>
      </c>
      <c r="S84" s="36">
        <v>54</v>
      </c>
      <c r="T84" s="37">
        <v>63</v>
      </c>
      <c r="U84" s="39" t="str" cm="1">
        <f t="array" ref="U84">_xlfn.IFS(T84&lt;=70,"Low",T84&lt;=160,"Medium",T84&gt;=161,"High")</f>
        <v>Low</v>
      </c>
    </row>
    <row r="85" spans="1:21" x14ac:dyDescent="0.25">
      <c r="A85" s="33">
        <v>84</v>
      </c>
      <c r="B85" s="34">
        <v>40547</v>
      </c>
      <c r="C85" s="35">
        <v>1</v>
      </c>
      <c r="D85" s="35">
        <v>0</v>
      </c>
      <c r="E85" s="35">
        <v>1</v>
      </c>
      <c r="F85" s="35">
        <v>15</v>
      </c>
      <c r="G85" s="35" t="str" cm="1">
        <f t="array" ref="G85">_xlfn.IFS(F85&lt;4,"Night",F85&lt;=6,"Early Morning",F85&lt;11,"Morning",F85&lt;12,"Afternoon",F85&lt;=16,"Afternoon",F85&lt;=20,"Evening",F85&gt;=21,"Night")</f>
        <v>Afternoon</v>
      </c>
      <c r="H85" s="35" t="b">
        <v>0</v>
      </c>
      <c r="I85" s="35">
        <v>2</v>
      </c>
      <c r="J85" s="35">
        <v>1</v>
      </c>
      <c r="K85" s="31">
        <v>0.28000000000000003</v>
      </c>
      <c r="L85" s="31" t="str" cm="1">
        <f t="array" ref="L85">_xlfn.IFS(K85&lt;0.15,"Cold",K85&lt;0.25,"Mild",K85&lt;=0.32,"Warm",K85&gt;=0.33,"Hot")</f>
        <v>Warm</v>
      </c>
      <c r="M85" s="36">
        <v>0.2727</v>
      </c>
      <c r="N85" s="36">
        <v>0.52</v>
      </c>
      <c r="O85" s="36" t="str" cm="1">
        <f t="array" ref="O85">_xlfn.IFS(N85&gt;0.61, "High Humidity", N85&gt;=0.6, "Humid", N85&gt;0.4, "Less Humidity", TRUE, "Dry")</f>
        <v>Less Humidity</v>
      </c>
      <c r="P85" s="36">
        <v>0.25369999999999998</v>
      </c>
      <c r="Q85" s="36" t="str" cm="1">
        <f t="array" ref="Q85">_xlfn.IFS(P85&lt;=0.2,"Low Windspeed",P85&lt;0.4,"Medium Windspeed",P85&gt;=0.41,"High Windspeed")</f>
        <v>Medium Windspeed</v>
      </c>
      <c r="R85" s="36">
        <v>17</v>
      </c>
      <c r="S85" s="36">
        <v>48</v>
      </c>
      <c r="T85" s="37">
        <v>65</v>
      </c>
      <c r="U85" s="39" t="str" cm="1">
        <f t="array" ref="U85">_xlfn.IFS(T85&lt;=70,"Low",T85&lt;=160,"Medium",T85&gt;=161,"High")</f>
        <v>Low</v>
      </c>
    </row>
    <row r="86" spans="1:21" x14ac:dyDescent="0.25">
      <c r="A86" s="33">
        <v>85</v>
      </c>
      <c r="B86" s="34">
        <v>40547</v>
      </c>
      <c r="C86" s="35">
        <v>1</v>
      </c>
      <c r="D86" s="35">
        <v>0</v>
      </c>
      <c r="E86" s="35">
        <v>1</v>
      </c>
      <c r="F86" s="35">
        <v>16</v>
      </c>
      <c r="G86" s="35" t="str" cm="1">
        <f t="array" ref="G86">_xlfn.IFS(F86&lt;4,"Night",F86&lt;=6,"Early Morning",F86&lt;11,"Morning",F86&lt;12,"Afternoon",F86&lt;=16,"Afternoon",F86&lt;=20,"Evening",F86&gt;=21,"Night")</f>
        <v>Afternoon</v>
      </c>
      <c r="H86" s="35" t="b">
        <v>0</v>
      </c>
      <c r="I86" s="35">
        <v>2</v>
      </c>
      <c r="J86" s="35">
        <v>1</v>
      </c>
      <c r="K86" s="31">
        <v>0.3</v>
      </c>
      <c r="L86" s="31" t="str" cm="1">
        <f t="array" ref="L86">_xlfn.IFS(K86&lt;0.15,"Cold",K86&lt;0.25,"Mild",K86&lt;=0.32,"Warm",K86&gt;=0.33,"Hot")</f>
        <v>Warm</v>
      </c>
      <c r="M86" s="36">
        <v>0.28789999999999999</v>
      </c>
      <c r="N86" s="36">
        <v>0.49</v>
      </c>
      <c r="O86" s="36" t="str" cm="1">
        <f t="array" ref="O86">_xlfn.IFS(N86&gt;0.61, "High Humidity", N86&gt;=0.6, "Humid", N86&gt;0.4, "Less Humidity", TRUE, "Dry")</f>
        <v>Less Humidity</v>
      </c>
      <c r="P86" s="36">
        <v>0.25369999999999998</v>
      </c>
      <c r="Q86" s="36" t="str" cm="1">
        <f t="array" ref="Q86">_xlfn.IFS(P86&lt;=0.2,"Low Windspeed",P86&lt;0.4,"Medium Windspeed",P86&gt;=0.41,"High Windspeed")</f>
        <v>Medium Windspeed</v>
      </c>
      <c r="R86" s="36">
        <v>15</v>
      </c>
      <c r="S86" s="36">
        <v>68</v>
      </c>
      <c r="T86" s="37">
        <v>83</v>
      </c>
      <c r="U86" s="39" t="str" cm="1">
        <f t="array" ref="U86">_xlfn.IFS(T86&lt;=70,"Low",T86&lt;=160,"Medium",T86&gt;=161,"High")</f>
        <v>Medium</v>
      </c>
    </row>
    <row r="87" spans="1:21" x14ac:dyDescent="0.25">
      <c r="A87" s="33">
        <v>86</v>
      </c>
      <c r="B87" s="34">
        <v>40547</v>
      </c>
      <c r="C87" s="35">
        <v>1</v>
      </c>
      <c r="D87" s="35">
        <v>0</v>
      </c>
      <c r="E87" s="35">
        <v>1</v>
      </c>
      <c r="F87" s="35">
        <v>17</v>
      </c>
      <c r="G87" s="35" t="str" cm="1">
        <f t="array" ref="G87">_xlfn.IFS(F87&lt;4,"Night",F87&lt;=6,"Early Morning",F87&lt;11,"Morning",F87&lt;12,"Afternoon",F87&lt;=16,"Afternoon",F87&lt;=20,"Evening",F87&gt;=21,"Night")</f>
        <v>Evening</v>
      </c>
      <c r="H87" s="35" t="b">
        <v>0</v>
      </c>
      <c r="I87" s="35">
        <v>2</v>
      </c>
      <c r="J87" s="35">
        <v>1</v>
      </c>
      <c r="K87" s="31">
        <v>0.28000000000000003</v>
      </c>
      <c r="L87" s="31" t="str" cm="1">
        <f t="array" ref="L87">_xlfn.IFS(K87&lt;0.15,"Cold",K87&lt;0.25,"Mild",K87&lt;=0.32,"Warm",K87&gt;=0.33,"Hot")</f>
        <v>Warm</v>
      </c>
      <c r="M87" s="36">
        <v>0.2727</v>
      </c>
      <c r="N87" s="36">
        <v>0.48</v>
      </c>
      <c r="O87" s="36" t="str" cm="1">
        <f t="array" ref="O87">_xlfn.IFS(N87&gt;0.61, "High Humidity", N87&gt;=0.6, "Humid", N87&gt;0.4, "Less Humidity", TRUE, "Dry")</f>
        <v>Less Humidity</v>
      </c>
      <c r="P87" s="36">
        <v>0.22389999999999999</v>
      </c>
      <c r="Q87" s="36" t="str" cm="1">
        <f t="array" ref="Q87">_xlfn.IFS(P87&lt;=0.2,"Low Windspeed",P87&lt;0.4,"Medium Windspeed",P87&gt;=0.41,"High Windspeed")</f>
        <v>Medium Windspeed</v>
      </c>
      <c r="R87" s="36">
        <v>10</v>
      </c>
      <c r="S87" s="36">
        <v>202</v>
      </c>
      <c r="T87" s="37">
        <v>212</v>
      </c>
      <c r="U87" s="39" t="str" cm="1">
        <f t="array" ref="U87">_xlfn.IFS(T87&lt;=70,"Low",T87&lt;=160,"Medium",T87&gt;=161,"High")</f>
        <v>High</v>
      </c>
    </row>
    <row r="88" spans="1:21" x14ac:dyDescent="0.25">
      <c r="A88" s="33">
        <v>87</v>
      </c>
      <c r="B88" s="34">
        <v>40547</v>
      </c>
      <c r="C88" s="35">
        <v>1</v>
      </c>
      <c r="D88" s="35">
        <v>0</v>
      </c>
      <c r="E88" s="35">
        <v>1</v>
      </c>
      <c r="F88" s="35">
        <v>18</v>
      </c>
      <c r="G88" s="35" t="str" cm="1">
        <f t="array" ref="G88">_xlfn.IFS(F88&lt;4,"Night",F88&lt;=6,"Early Morning",F88&lt;11,"Morning",F88&lt;12,"Afternoon",F88&lt;=16,"Afternoon",F88&lt;=20,"Evening",F88&gt;=21,"Night")</f>
        <v>Evening</v>
      </c>
      <c r="H88" s="35" t="b">
        <v>0</v>
      </c>
      <c r="I88" s="35">
        <v>2</v>
      </c>
      <c r="J88" s="35">
        <v>1</v>
      </c>
      <c r="K88" s="31">
        <v>0.26</v>
      </c>
      <c r="L88" s="31" t="str" cm="1">
        <f t="array" ref="L88">_xlfn.IFS(K88&lt;0.15,"Cold",K88&lt;0.25,"Mild",K88&lt;=0.32,"Warm",K88&gt;=0.33,"Hot")</f>
        <v>Warm</v>
      </c>
      <c r="M88" s="36">
        <v>0.2576</v>
      </c>
      <c r="N88" s="36">
        <v>0.48</v>
      </c>
      <c r="O88" s="36" t="str" cm="1">
        <f t="array" ref="O88">_xlfn.IFS(N88&gt;0.61, "High Humidity", N88&gt;=0.6, "Humid", N88&gt;0.4, "Less Humidity", TRUE, "Dry")</f>
        <v>Less Humidity</v>
      </c>
      <c r="P88" s="36">
        <v>0.19400000000000001</v>
      </c>
      <c r="Q88" s="36" t="str" cm="1">
        <f t="array" ref="Q88">_xlfn.IFS(P88&lt;=0.2,"Low Windspeed",P88&lt;0.4,"Medium Windspeed",P88&gt;=0.41,"High Windspeed")</f>
        <v>Low Windspeed</v>
      </c>
      <c r="R88" s="36">
        <v>3</v>
      </c>
      <c r="S88" s="36">
        <v>179</v>
      </c>
      <c r="T88" s="37">
        <v>182</v>
      </c>
      <c r="U88" s="39" t="str" cm="1">
        <f t="array" ref="U88">_xlfn.IFS(T88&lt;=70,"Low",T88&lt;=160,"Medium",T88&gt;=161,"High")</f>
        <v>High</v>
      </c>
    </row>
    <row r="89" spans="1:21" x14ac:dyDescent="0.25">
      <c r="A89" s="33">
        <v>88</v>
      </c>
      <c r="B89" s="34">
        <v>40547</v>
      </c>
      <c r="C89" s="35">
        <v>1</v>
      </c>
      <c r="D89" s="35">
        <v>0</v>
      </c>
      <c r="E89" s="35">
        <v>1</v>
      </c>
      <c r="F89" s="35">
        <v>19</v>
      </c>
      <c r="G89" s="35" t="str" cm="1">
        <f t="array" ref="G89">_xlfn.IFS(F89&lt;4,"Night",F89&lt;=6,"Early Morning",F89&lt;11,"Morning",F89&lt;12,"Afternoon",F89&lt;=16,"Afternoon",F89&lt;=20,"Evening",F89&gt;=21,"Night")</f>
        <v>Evening</v>
      </c>
      <c r="H89" s="35" t="b">
        <v>0</v>
      </c>
      <c r="I89" s="35">
        <v>2</v>
      </c>
      <c r="J89" s="35">
        <v>1</v>
      </c>
      <c r="K89" s="31">
        <v>0.24</v>
      </c>
      <c r="L89" s="31" t="str" cm="1">
        <f t="array" ref="L89">_xlfn.IFS(K89&lt;0.15,"Cold",K89&lt;0.25,"Mild",K89&lt;=0.32,"Warm",K89&gt;=0.33,"Hot")</f>
        <v>Mild</v>
      </c>
      <c r="M89" s="36">
        <v>0.2576</v>
      </c>
      <c r="N89" s="36">
        <v>0.48</v>
      </c>
      <c r="O89" s="36" t="str" cm="1">
        <f t="array" ref="O89">_xlfn.IFS(N89&gt;0.61, "High Humidity", N89&gt;=0.6, "Humid", N89&gt;0.4, "Less Humidity", TRUE, "Dry")</f>
        <v>Less Humidity</v>
      </c>
      <c r="P89" s="36">
        <v>0.1045</v>
      </c>
      <c r="Q89" s="36" t="str" cm="1">
        <f t="array" ref="Q89">_xlfn.IFS(P89&lt;=0.2,"Low Windspeed",P89&lt;0.4,"Medium Windspeed",P89&gt;=0.41,"High Windspeed")</f>
        <v>Low Windspeed</v>
      </c>
      <c r="R89" s="36">
        <v>2</v>
      </c>
      <c r="S89" s="36">
        <v>110</v>
      </c>
      <c r="T89" s="37">
        <v>112</v>
      </c>
      <c r="U89" s="39" t="str" cm="1">
        <f t="array" ref="U89">_xlfn.IFS(T89&lt;=70,"Low",T89&lt;=160,"Medium",T89&gt;=161,"High")</f>
        <v>Medium</v>
      </c>
    </row>
    <row r="90" spans="1:21" x14ac:dyDescent="0.25">
      <c r="A90" s="33">
        <v>89</v>
      </c>
      <c r="B90" s="34">
        <v>40547</v>
      </c>
      <c r="C90" s="35">
        <v>1</v>
      </c>
      <c r="D90" s="35">
        <v>0</v>
      </c>
      <c r="E90" s="35">
        <v>1</v>
      </c>
      <c r="F90" s="35">
        <v>20</v>
      </c>
      <c r="G90" s="35" t="str" cm="1">
        <f t="array" ref="G90">_xlfn.IFS(F90&lt;4,"Night",F90&lt;=6,"Early Morning",F90&lt;11,"Morning",F90&lt;12,"Afternoon",F90&lt;=16,"Afternoon",F90&lt;=20,"Evening",F90&gt;=21,"Night")</f>
        <v>Evening</v>
      </c>
      <c r="H90" s="35" t="b">
        <v>0</v>
      </c>
      <c r="I90" s="35">
        <v>2</v>
      </c>
      <c r="J90" s="35">
        <v>1</v>
      </c>
      <c r="K90" s="31">
        <v>0.24</v>
      </c>
      <c r="L90" s="31" t="str" cm="1">
        <f t="array" ref="L90">_xlfn.IFS(K90&lt;0.15,"Cold",K90&lt;0.25,"Mild",K90&lt;=0.32,"Warm",K90&gt;=0.33,"Hot")</f>
        <v>Mild</v>
      </c>
      <c r="M90" s="36">
        <v>0.2576</v>
      </c>
      <c r="N90" s="36">
        <v>0.48</v>
      </c>
      <c r="O90" s="36" t="str" cm="1">
        <f t="array" ref="O90">_xlfn.IFS(N90&gt;0.61, "High Humidity", N90&gt;=0.6, "Humid", N90&gt;0.4, "Less Humidity", TRUE, "Dry")</f>
        <v>Less Humidity</v>
      </c>
      <c r="P90" s="36">
        <v>0.1045</v>
      </c>
      <c r="Q90" s="36" t="str" cm="1">
        <f t="array" ref="Q90">_xlfn.IFS(P90&lt;=0.2,"Low Windspeed",P90&lt;0.4,"Medium Windspeed",P90&gt;=0.41,"High Windspeed")</f>
        <v>Low Windspeed</v>
      </c>
      <c r="R90" s="36">
        <v>1</v>
      </c>
      <c r="S90" s="36">
        <v>53</v>
      </c>
      <c r="T90" s="37">
        <v>54</v>
      </c>
      <c r="U90" s="39" t="str" cm="1">
        <f t="array" ref="U90">_xlfn.IFS(T90&lt;=70,"Low",T90&lt;=160,"Medium",T90&gt;=161,"High")</f>
        <v>Low</v>
      </c>
    </row>
    <row r="91" spans="1:21" x14ac:dyDescent="0.25">
      <c r="A91" s="33">
        <v>90</v>
      </c>
      <c r="B91" s="34">
        <v>40547</v>
      </c>
      <c r="C91" s="35">
        <v>1</v>
      </c>
      <c r="D91" s="35">
        <v>0</v>
      </c>
      <c r="E91" s="35">
        <v>1</v>
      </c>
      <c r="F91" s="35">
        <v>21</v>
      </c>
      <c r="G91" s="35" t="str" cm="1">
        <f t="array" ref="G91">_xlfn.IFS(F91&lt;4,"Night",F91&lt;=6,"Early Morning",F91&lt;11,"Morning",F91&lt;12,"Afternoon",F91&lt;=16,"Afternoon",F91&lt;=20,"Evening",F91&gt;=21,"Night")</f>
        <v>Night</v>
      </c>
      <c r="H91" s="35" t="b">
        <v>0</v>
      </c>
      <c r="I91" s="35">
        <v>2</v>
      </c>
      <c r="J91" s="35">
        <v>1</v>
      </c>
      <c r="K91" s="31">
        <v>0.22</v>
      </c>
      <c r="L91" s="31" t="str" cm="1">
        <f t="array" ref="L91">_xlfn.IFS(K91&lt;0.15,"Cold",K91&lt;0.25,"Mild",K91&lt;=0.32,"Warm",K91&gt;=0.33,"Hot")</f>
        <v>Mild</v>
      </c>
      <c r="M91" s="36">
        <v>0.2727</v>
      </c>
      <c r="N91" s="36">
        <v>0.64</v>
      </c>
      <c r="O91" s="36" t="str" cm="1">
        <f t="array" ref="O91">_xlfn.IFS(N91&gt;0.61, "High Humidity", N91&gt;=0.6, "Humid", N91&gt;0.4, "Less Humidity", TRUE, "Dry")</f>
        <v>High Humidity</v>
      </c>
      <c r="P91" s="36">
        <v>0</v>
      </c>
      <c r="Q91" s="36" t="str" cm="1">
        <f t="array" ref="Q91">_xlfn.IFS(P91&lt;=0.2,"Low Windspeed",P91&lt;0.4,"Medium Windspeed",P91&gt;=0.41,"High Windspeed")</f>
        <v>Low Windspeed</v>
      </c>
      <c r="R91" s="36">
        <v>0</v>
      </c>
      <c r="S91" s="36">
        <v>48</v>
      </c>
      <c r="T91" s="37">
        <v>48</v>
      </c>
      <c r="U91" s="39" t="str" cm="1">
        <f t="array" ref="U91">_xlfn.IFS(T91&lt;=70,"Low",T91&lt;=160,"Medium",T91&gt;=161,"High")</f>
        <v>Low</v>
      </c>
    </row>
    <row r="92" spans="1:21" x14ac:dyDescent="0.25">
      <c r="A92" s="33">
        <v>91</v>
      </c>
      <c r="B92" s="34">
        <v>40547</v>
      </c>
      <c r="C92" s="35">
        <v>1</v>
      </c>
      <c r="D92" s="35">
        <v>0</v>
      </c>
      <c r="E92" s="35">
        <v>1</v>
      </c>
      <c r="F92" s="35">
        <v>22</v>
      </c>
      <c r="G92" s="35" t="str" cm="1">
        <f t="array" ref="G92">_xlfn.IFS(F92&lt;4,"Night",F92&lt;=6,"Early Morning",F92&lt;11,"Morning",F92&lt;12,"Afternoon",F92&lt;=16,"Afternoon",F92&lt;=20,"Evening",F92&gt;=21,"Night")</f>
        <v>Night</v>
      </c>
      <c r="H92" s="35" t="b">
        <v>0</v>
      </c>
      <c r="I92" s="35">
        <v>2</v>
      </c>
      <c r="J92" s="35">
        <v>1</v>
      </c>
      <c r="K92" s="31">
        <v>0.22</v>
      </c>
      <c r="L92" s="31" t="str" cm="1">
        <f t="array" ref="L92">_xlfn.IFS(K92&lt;0.15,"Cold",K92&lt;0.25,"Mild",K92&lt;=0.32,"Warm",K92&gt;=0.33,"Hot")</f>
        <v>Mild</v>
      </c>
      <c r="M92" s="36">
        <v>0.2576</v>
      </c>
      <c r="N92" s="36">
        <v>0.64</v>
      </c>
      <c r="O92" s="36" t="str" cm="1">
        <f t="array" ref="O92">_xlfn.IFS(N92&gt;0.61, "High Humidity", N92&gt;=0.6, "Humid", N92&gt;0.4, "Less Humidity", TRUE, "Dry")</f>
        <v>High Humidity</v>
      </c>
      <c r="P92" s="36">
        <v>8.9599999999999999E-2</v>
      </c>
      <c r="Q92" s="36" t="str" cm="1">
        <f t="array" ref="Q92">_xlfn.IFS(P92&lt;=0.2,"Low Windspeed",P92&lt;0.4,"Medium Windspeed",P92&gt;=0.41,"High Windspeed")</f>
        <v>Low Windspeed</v>
      </c>
      <c r="R92" s="36">
        <v>1</v>
      </c>
      <c r="S92" s="36">
        <v>34</v>
      </c>
      <c r="T92" s="37">
        <v>35</v>
      </c>
      <c r="U92" s="39" t="str" cm="1">
        <f t="array" ref="U92">_xlfn.IFS(T92&lt;=70,"Low",T92&lt;=160,"Medium",T92&gt;=161,"High")</f>
        <v>Low</v>
      </c>
    </row>
    <row r="93" spans="1:21" x14ac:dyDescent="0.25">
      <c r="A93" s="33">
        <v>92</v>
      </c>
      <c r="B93" s="34">
        <v>40547</v>
      </c>
      <c r="C93" s="35">
        <v>1</v>
      </c>
      <c r="D93" s="35">
        <v>0</v>
      </c>
      <c r="E93" s="35">
        <v>1</v>
      </c>
      <c r="F93" s="35">
        <v>23</v>
      </c>
      <c r="G93" s="35" t="str" cm="1">
        <f t="array" ref="G93">_xlfn.IFS(F93&lt;4,"Night",F93&lt;=6,"Early Morning",F93&lt;11,"Morning",F93&lt;12,"Afternoon",F93&lt;=16,"Afternoon",F93&lt;=20,"Evening",F93&gt;=21,"Night")</f>
        <v>Night</v>
      </c>
      <c r="H93" s="35" t="b">
        <v>0</v>
      </c>
      <c r="I93" s="35">
        <v>2</v>
      </c>
      <c r="J93" s="35">
        <v>1</v>
      </c>
      <c r="K93" s="31">
        <v>0.2</v>
      </c>
      <c r="L93" s="31" t="str" cm="1">
        <f t="array" ref="L93">_xlfn.IFS(K93&lt;0.15,"Cold",K93&lt;0.25,"Mild",K93&lt;=0.32,"Warm",K93&gt;=0.33,"Hot")</f>
        <v>Mild</v>
      </c>
      <c r="M93" s="36">
        <v>0.2273</v>
      </c>
      <c r="N93" s="36">
        <v>0.69</v>
      </c>
      <c r="O93" s="36" t="str" cm="1">
        <f t="array" ref="O93">_xlfn.IFS(N93&gt;0.61, "High Humidity", N93&gt;=0.6, "Humid", N93&gt;0.4, "Less Humidity", TRUE, "Dry")</f>
        <v>High Humidity</v>
      </c>
      <c r="P93" s="36">
        <v>8.9599999999999999E-2</v>
      </c>
      <c r="Q93" s="36" t="str" cm="1">
        <f t="array" ref="Q93">_xlfn.IFS(P93&lt;=0.2,"Low Windspeed",P93&lt;0.4,"Medium Windspeed",P93&gt;=0.41,"High Windspeed")</f>
        <v>Low Windspeed</v>
      </c>
      <c r="R93" s="36">
        <v>2</v>
      </c>
      <c r="S93" s="36">
        <v>9</v>
      </c>
      <c r="T93" s="37">
        <v>11</v>
      </c>
      <c r="U93" s="39" t="str" cm="1">
        <f t="array" ref="U93">_xlfn.IFS(T93&lt;=70,"Low",T93&lt;=160,"Medium",T93&gt;=161,"High")</f>
        <v>Low</v>
      </c>
    </row>
    <row r="94" spans="1:21" x14ac:dyDescent="0.25">
      <c r="A94" s="33">
        <v>93</v>
      </c>
      <c r="B94" s="34">
        <v>40548</v>
      </c>
      <c r="C94" s="35">
        <v>1</v>
      </c>
      <c r="D94" s="35">
        <v>0</v>
      </c>
      <c r="E94" s="35">
        <v>1</v>
      </c>
      <c r="F94" s="35">
        <v>0</v>
      </c>
      <c r="G94" s="35" t="str" cm="1">
        <f t="array" ref="G94">_xlfn.IFS(F94&lt;4,"Night",F94&lt;=6,"Early Morning",F94&lt;11,"Morning",F94&lt;12,"Afternoon",F94&lt;=16,"Afternoon",F94&lt;=20,"Evening",F94&gt;=21,"Night")</f>
        <v>Night</v>
      </c>
      <c r="H94" s="35" t="b">
        <v>0</v>
      </c>
      <c r="I94" s="35">
        <v>3</v>
      </c>
      <c r="J94" s="35">
        <v>1</v>
      </c>
      <c r="K94" s="31">
        <v>0.2</v>
      </c>
      <c r="L94" s="31" t="str" cm="1">
        <f t="array" ref="L94">_xlfn.IFS(K94&lt;0.15,"Cold",K94&lt;0.25,"Mild",K94&lt;=0.32,"Warm",K94&gt;=0.33,"Hot")</f>
        <v>Mild</v>
      </c>
      <c r="M94" s="36">
        <v>0.2576</v>
      </c>
      <c r="N94" s="36">
        <v>0.64</v>
      </c>
      <c r="O94" s="36" t="str" cm="1">
        <f t="array" ref="O94">_xlfn.IFS(N94&gt;0.61, "High Humidity", N94&gt;=0.6, "Humid", N94&gt;0.4, "Less Humidity", TRUE, "Dry")</f>
        <v>High Humidity</v>
      </c>
      <c r="P94" s="36">
        <v>0</v>
      </c>
      <c r="Q94" s="36" t="str" cm="1">
        <f t="array" ref="Q94">_xlfn.IFS(P94&lt;=0.2,"Low Windspeed",P94&lt;0.4,"Medium Windspeed",P94&gt;=0.41,"High Windspeed")</f>
        <v>Low Windspeed</v>
      </c>
      <c r="R94" s="36">
        <v>0</v>
      </c>
      <c r="S94" s="36">
        <v>6</v>
      </c>
      <c r="T94" s="37">
        <v>6</v>
      </c>
      <c r="U94" s="39" t="str" cm="1">
        <f t="array" ref="U94">_xlfn.IFS(T94&lt;=70,"Low",T94&lt;=160,"Medium",T94&gt;=161,"High")</f>
        <v>Low</v>
      </c>
    </row>
    <row r="95" spans="1:21" x14ac:dyDescent="0.25">
      <c r="A95" s="33">
        <v>94</v>
      </c>
      <c r="B95" s="34">
        <v>40548</v>
      </c>
      <c r="C95" s="35">
        <v>1</v>
      </c>
      <c r="D95" s="35">
        <v>0</v>
      </c>
      <c r="E95" s="35">
        <v>1</v>
      </c>
      <c r="F95" s="35">
        <v>1</v>
      </c>
      <c r="G95" s="35" t="str" cm="1">
        <f t="array" ref="G95">_xlfn.IFS(F95&lt;4,"Night",F95&lt;=6,"Early Morning",F95&lt;11,"Morning",F95&lt;12,"Afternoon",F95&lt;=16,"Afternoon",F95&lt;=20,"Evening",F95&gt;=21,"Night")</f>
        <v>Night</v>
      </c>
      <c r="H95" s="35" t="b">
        <v>0</v>
      </c>
      <c r="I95" s="35">
        <v>3</v>
      </c>
      <c r="J95" s="35">
        <v>1</v>
      </c>
      <c r="K95" s="31">
        <v>0.16</v>
      </c>
      <c r="L95" s="31" t="str" cm="1">
        <f t="array" ref="L95">_xlfn.IFS(K95&lt;0.15,"Cold",K95&lt;0.25,"Mild",K95&lt;=0.32,"Warm",K95&gt;=0.33,"Hot")</f>
        <v>Mild</v>
      </c>
      <c r="M95" s="36">
        <v>0.19700000000000001</v>
      </c>
      <c r="N95" s="36">
        <v>0.74</v>
      </c>
      <c r="O95" s="36" t="str" cm="1">
        <f t="array" ref="O95">_xlfn.IFS(N95&gt;0.61, "High Humidity", N95&gt;=0.6, "Humid", N95&gt;0.4, "Less Humidity", TRUE, "Dry")</f>
        <v>High Humidity</v>
      </c>
      <c r="P95" s="36">
        <v>8.9599999999999999E-2</v>
      </c>
      <c r="Q95" s="36" t="str" cm="1">
        <f t="array" ref="Q95">_xlfn.IFS(P95&lt;=0.2,"Low Windspeed",P95&lt;0.4,"Medium Windspeed",P95&gt;=0.41,"High Windspeed")</f>
        <v>Low Windspeed</v>
      </c>
      <c r="R95" s="36">
        <v>0</v>
      </c>
      <c r="S95" s="36">
        <v>6</v>
      </c>
      <c r="T95" s="37">
        <v>6</v>
      </c>
      <c r="U95" s="39" t="str" cm="1">
        <f t="array" ref="U95">_xlfn.IFS(T95&lt;=70,"Low",T95&lt;=160,"Medium",T95&gt;=161,"High")</f>
        <v>Low</v>
      </c>
    </row>
    <row r="96" spans="1:21" x14ac:dyDescent="0.25">
      <c r="A96" s="33">
        <v>95</v>
      </c>
      <c r="B96" s="34">
        <v>40548</v>
      </c>
      <c r="C96" s="35">
        <v>1</v>
      </c>
      <c r="D96" s="35">
        <v>0</v>
      </c>
      <c r="E96" s="35">
        <v>1</v>
      </c>
      <c r="F96" s="35">
        <v>2</v>
      </c>
      <c r="G96" s="35" t="str" cm="1">
        <f t="array" ref="G96">_xlfn.IFS(F96&lt;4,"Night",F96&lt;=6,"Early Morning",F96&lt;11,"Morning",F96&lt;12,"Afternoon",F96&lt;=16,"Afternoon",F96&lt;=20,"Evening",F96&gt;=21,"Night")</f>
        <v>Night</v>
      </c>
      <c r="H96" s="35" t="b">
        <v>0</v>
      </c>
      <c r="I96" s="35">
        <v>3</v>
      </c>
      <c r="J96" s="35">
        <v>1</v>
      </c>
      <c r="K96" s="31">
        <v>0.16</v>
      </c>
      <c r="L96" s="31" t="str" cm="1">
        <f t="array" ref="L96">_xlfn.IFS(K96&lt;0.15,"Cold",K96&lt;0.25,"Mild",K96&lt;=0.32,"Warm",K96&gt;=0.33,"Hot")</f>
        <v>Mild</v>
      </c>
      <c r="M96" s="36">
        <v>0.19700000000000001</v>
      </c>
      <c r="N96" s="36">
        <v>0.74</v>
      </c>
      <c r="O96" s="36" t="str" cm="1">
        <f t="array" ref="O96">_xlfn.IFS(N96&gt;0.61, "High Humidity", N96&gt;=0.6, "Humid", N96&gt;0.4, "Less Humidity", TRUE, "Dry")</f>
        <v>High Humidity</v>
      </c>
      <c r="P96" s="36">
        <v>8.9599999999999999E-2</v>
      </c>
      <c r="Q96" s="36" t="str" cm="1">
        <f t="array" ref="Q96">_xlfn.IFS(P96&lt;=0.2,"Low Windspeed",P96&lt;0.4,"Medium Windspeed",P96&gt;=0.41,"High Windspeed")</f>
        <v>Low Windspeed</v>
      </c>
      <c r="R96" s="36">
        <v>0</v>
      </c>
      <c r="S96" s="36">
        <v>2</v>
      </c>
      <c r="T96" s="37">
        <v>2</v>
      </c>
      <c r="U96" s="39" t="str" cm="1">
        <f t="array" ref="U96">_xlfn.IFS(T96&lt;=70,"Low",T96&lt;=160,"Medium",T96&gt;=161,"High")</f>
        <v>Low</v>
      </c>
    </row>
    <row r="97" spans="1:21" x14ac:dyDescent="0.25">
      <c r="A97" s="33">
        <v>96</v>
      </c>
      <c r="B97" s="34">
        <v>40548</v>
      </c>
      <c r="C97" s="35">
        <v>1</v>
      </c>
      <c r="D97" s="35">
        <v>0</v>
      </c>
      <c r="E97" s="35">
        <v>1</v>
      </c>
      <c r="F97" s="35">
        <v>4</v>
      </c>
      <c r="G97" s="35" t="str" cm="1">
        <f t="array" ref="G97">_xlfn.IFS(F97&lt;4,"Night",F97&lt;=6,"Early Morning",F97&lt;11,"Morning",F97&lt;12,"Afternoon",F97&lt;=16,"Afternoon",F97&lt;=20,"Evening",F97&gt;=21,"Night")</f>
        <v>Early Morning</v>
      </c>
      <c r="H97" s="35" t="b">
        <v>0</v>
      </c>
      <c r="I97" s="35">
        <v>3</v>
      </c>
      <c r="J97" s="35">
        <v>1</v>
      </c>
      <c r="K97" s="31">
        <v>0.24</v>
      </c>
      <c r="L97" s="31" t="str" cm="1">
        <f t="array" ref="L97">_xlfn.IFS(K97&lt;0.15,"Cold",K97&lt;0.25,"Mild",K97&lt;=0.32,"Warm",K97&gt;=0.33,"Hot")</f>
        <v>Mild</v>
      </c>
      <c r="M97" s="36">
        <v>0.2273</v>
      </c>
      <c r="N97" s="36">
        <v>0.48</v>
      </c>
      <c r="O97" s="36" t="str" cm="1">
        <f t="array" ref="O97">_xlfn.IFS(N97&gt;0.61, "High Humidity", N97&gt;=0.6, "Humid", N97&gt;0.4, "Less Humidity", TRUE, "Dry")</f>
        <v>Less Humidity</v>
      </c>
      <c r="P97" s="36">
        <v>0.22389999999999999</v>
      </c>
      <c r="Q97" s="36" t="str" cm="1">
        <f t="array" ref="Q97">_xlfn.IFS(P97&lt;=0.2,"Low Windspeed",P97&lt;0.4,"Medium Windspeed",P97&gt;=0.41,"High Windspeed")</f>
        <v>Medium Windspeed</v>
      </c>
      <c r="R97" s="36">
        <v>0</v>
      </c>
      <c r="S97" s="36">
        <v>2</v>
      </c>
      <c r="T97" s="37">
        <v>2</v>
      </c>
      <c r="U97" s="39" t="str" cm="1">
        <f t="array" ref="U97">_xlfn.IFS(T97&lt;=70,"Low",T97&lt;=160,"Medium",T97&gt;=161,"High")</f>
        <v>Low</v>
      </c>
    </row>
    <row r="98" spans="1:21" x14ac:dyDescent="0.25">
      <c r="A98" s="33">
        <v>97</v>
      </c>
      <c r="B98" s="34">
        <v>40548</v>
      </c>
      <c r="C98" s="35">
        <v>1</v>
      </c>
      <c r="D98" s="35">
        <v>0</v>
      </c>
      <c r="E98" s="35">
        <v>1</v>
      </c>
      <c r="F98" s="35">
        <v>5</v>
      </c>
      <c r="G98" s="35" t="str" cm="1">
        <f t="array" ref="G98">_xlfn.IFS(F98&lt;4,"Night",F98&lt;=6,"Early Morning",F98&lt;11,"Morning",F98&lt;12,"Afternoon",F98&lt;=16,"Afternoon",F98&lt;=20,"Evening",F98&gt;=21,"Night")</f>
        <v>Early Morning</v>
      </c>
      <c r="H98" s="35" t="b">
        <v>0</v>
      </c>
      <c r="I98" s="35">
        <v>3</v>
      </c>
      <c r="J98" s="35">
        <v>1</v>
      </c>
      <c r="K98" s="31">
        <v>0.22</v>
      </c>
      <c r="L98" s="31" t="str" cm="1">
        <f t="array" ref="L98">_xlfn.IFS(K98&lt;0.15,"Cold",K98&lt;0.25,"Mild",K98&lt;=0.32,"Warm",K98&gt;=0.33,"Hot")</f>
        <v>Mild</v>
      </c>
      <c r="M98" s="36">
        <v>0.2273</v>
      </c>
      <c r="N98" s="36">
        <v>0.47</v>
      </c>
      <c r="O98" s="36" t="str" cm="1">
        <f t="array" ref="O98">_xlfn.IFS(N98&gt;0.61, "High Humidity", N98&gt;=0.6, "Humid", N98&gt;0.4, "Less Humidity", TRUE, "Dry")</f>
        <v>Less Humidity</v>
      </c>
      <c r="P98" s="36">
        <v>0.16420000000000001</v>
      </c>
      <c r="Q98" s="36" t="str" cm="1">
        <f t="array" ref="Q98">_xlfn.IFS(P98&lt;=0.2,"Low Windspeed",P98&lt;0.4,"Medium Windspeed",P98&gt;=0.41,"High Windspeed")</f>
        <v>Low Windspeed</v>
      </c>
      <c r="R98" s="36">
        <v>0</v>
      </c>
      <c r="S98" s="36">
        <v>3</v>
      </c>
      <c r="T98" s="37">
        <v>3</v>
      </c>
      <c r="U98" s="39" t="str" cm="1">
        <f t="array" ref="U98">_xlfn.IFS(T98&lt;=70,"Low",T98&lt;=160,"Medium",T98&gt;=161,"High")</f>
        <v>Low</v>
      </c>
    </row>
    <row r="99" spans="1:21" x14ac:dyDescent="0.25">
      <c r="A99" s="33">
        <v>98</v>
      </c>
      <c r="B99" s="34">
        <v>40548</v>
      </c>
      <c r="C99" s="35">
        <v>1</v>
      </c>
      <c r="D99" s="35">
        <v>0</v>
      </c>
      <c r="E99" s="35">
        <v>1</v>
      </c>
      <c r="F99" s="35">
        <v>6</v>
      </c>
      <c r="G99" s="35" t="str" cm="1">
        <f t="array" ref="G99">_xlfn.IFS(F99&lt;4,"Night",F99&lt;=6,"Early Morning",F99&lt;11,"Morning",F99&lt;12,"Afternoon",F99&lt;=16,"Afternoon",F99&lt;=20,"Evening",F99&gt;=21,"Night")</f>
        <v>Early Morning</v>
      </c>
      <c r="H99" s="35" t="b">
        <v>0</v>
      </c>
      <c r="I99" s="35">
        <v>3</v>
      </c>
      <c r="J99" s="35">
        <v>1</v>
      </c>
      <c r="K99" s="31">
        <v>0.2</v>
      </c>
      <c r="L99" s="31" t="str" cm="1">
        <f t="array" ref="L99">_xlfn.IFS(K99&lt;0.15,"Cold",K99&lt;0.25,"Mild",K99&lt;=0.32,"Warm",K99&gt;=0.33,"Hot")</f>
        <v>Mild</v>
      </c>
      <c r="M99" s="36">
        <v>0.19700000000000001</v>
      </c>
      <c r="N99" s="36">
        <v>0.47</v>
      </c>
      <c r="O99" s="36" t="str" cm="1">
        <f t="array" ref="O99">_xlfn.IFS(N99&gt;0.61, "High Humidity", N99&gt;=0.6, "Humid", N99&gt;0.4, "Less Humidity", TRUE, "Dry")</f>
        <v>Less Humidity</v>
      </c>
      <c r="P99" s="36">
        <v>0.22389999999999999</v>
      </c>
      <c r="Q99" s="36" t="str" cm="1">
        <f t="array" ref="Q99">_xlfn.IFS(P99&lt;=0.2,"Low Windspeed",P99&lt;0.4,"Medium Windspeed",P99&gt;=0.41,"High Windspeed")</f>
        <v>Medium Windspeed</v>
      </c>
      <c r="R99" s="36">
        <v>0</v>
      </c>
      <c r="S99" s="36">
        <v>33</v>
      </c>
      <c r="T99" s="37">
        <v>33</v>
      </c>
      <c r="U99" s="39" t="str" cm="1">
        <f t="array" ref="U99">_xlfn.IFS(T99&lt;=70,"Low",T99&lt;=160,"Medium",T99&gt;=161,"High")</f>
        <v>Low</v>
      </c>
    </row>
    <row r="100" spans="1:21" x14ac:dyDescent="0.25">
      <c r="A100" s="33">
        <v>99</v>
      </c>
      <c r="B100" s="34">
        <v>40548</v>
      </c>
      <c r="C100" s="35">
        <v>1</v>
      </c>
      <c r="D100" s="35">
        <v>0</v>
      </c>
      <c r="E100" s="35">
        <v>1</v>
      </c>
      <c r="F100" s="35">
        <v>7</v>
      </c>
      <c r="G100" s="35" t="str" cm="1">
        <f t="array" ref="G100">_xlfn.IFS(F100&lt;4,"Night",F100&lt;=6,"Early Morning",F100&lt;11,"Morning",F100&lt;12,"Afternoon",F100&lt;=16,"Afternoon",F100&lt;=20,"Evening",F100&gt;=21,"Night")</f>
        <v>Morning</v>
      </c>
      <c r="H100" s="35" t="b">
        <v>0</v>
      </c>
      <c r="I100" s="35">
        <v>3</v>
      </c>
      <c r="J100" s="35">
        <v>1</v>
      </c>
      <c r="K100" s="31">
        <v>0.18</v>
      </c>
      <c r="L100" s="31" t="str" cm="1">
        <f t="array" ref="L100">_xlfn.IFS(K100&lt;0.15,"Cold",K100&lt;0.25,"Mild",K100&lt;=0.32,"Warm",K100&gt;=0.33,"Hot")</f>
        <v>Mild</v>
      </c>
      <c r="M100" s="36">
        <v>0.18179999999999999</v>
      </c>
      <c r="N100" s="36">
        <v>0.43</v>
      </c>
      <c r="O100" s="36" t="str" cm="1">
        <f t="array" ref="O100">_xlfn.IFS(N100&gt;0.61, "High Humidity", N100&gt;=0.6, "Humid", N100&gt;0.4, "Less Humidity", TRUE, "Dry")</f>
        <v>Less Humidity</v>
      </c>
      <c r="P100" s="36">
        <v>0.19400000000000001</v>
      </c>
      <c r="Q100" s="36" t="str" cm="1">
        <f t="array" ref="Q100">_xlfn.IFS(P100&lt;=0.2,"Low Windspeed",P100&lt;0.4,"Medium Windspeed",P100&gt;=0.41,"High Windspeed")</f>
        <v>Low Windspeed</v>
      </c>
      <c r="R100" s="36">
        <v>1</v>
      </c>
      <c r="S100" s="36">
        <v>87</v>
      </c>
      <c r="T100" s="37">
        <v>88</v>
      </c>
      <c r="U100" s="39" t="str" cm="1">
        <f t="array" ref="U100">_xlfn.IFS(T100&lt;=70,"Low",T100&lt;=160,"Medium",T100&gt;=161,"High")</f>
        <v>Medium</v>
      </c>
    </row>
    <row r="101" spans="1:21" x14ac:dyDescent="0.25">
      <c r="A101" s="33">
        <v>100</v>
      </c>
      <c r="B101" s="34">
        <v>40548</v>
      </c>
      <c r="C101" s="35">
        <v>1</v>
      </c>
      <c r="D101" s="35">
        <v>0</v>
      </c>
      <c r="E101" s="35">
        <v>1</v>
      </c>
      <c r="F101" s="35">
        <v>8</v>
      </c>
      <c r="G101" s="35" t="str" cm="1">
        <f t="array" ref="G101">_xlfn.IFS(F101&lt;4,"Night",F101&lt;=6,"Early Morning",F101&lt;11,"Morning",F101&lt;12,"Afternoon",F101&lt;=16,"Afternoon",F101&lt;=20,"Evening",F101&gt;=21,"Night")</f>
        <v>Morning</v>
      </c>
      <c r="H101" s="35" t="b">
        <v>0</v>
      </c>
      <c r="I101" s="35">
        <v>3</v>
      </c>
      <c r="J101" s="35">
        <v>1</v>
      </c>
      <c r="K101" s="31">
        <v>0.2</v>
      </c>
      <c r="L101" s="31" t="str" cm="1">
        <f t="array" ref="L101">_xlfn.IFS(K101&lt;0.15,"Cold",K101&lt;0.25,"Mild",K101&lt;=0.32,"Warm",K101&gt;=0.33,"Hot")</f>
        <v>Mild</v>
      </c>
      <c r="M101" s="36">
        <v>0.18179999999999999</v>
      </c>
      <c r="N101" s="36">
        <v>0.4</v>
      </c>
      <c r="O101" s="36" t="str" cm="1">
        <f t="array" ref="O101">_xlfn.IFS(N101&gt;0.61, "High Humidity", N101&gt;=0.6, "Humid", N101&gt;0.4, "Less Humidity", TRUE, "Dry")</f>
        <v>Dry</v>
      </c>
      <c r="P101" s="36">
        <v>0.29849999999999999</v>
      </c>
      <c r="Q101" s="36" t="str" cm="1">
        <f t="array" ref="Q101">_xlfn.IFS(P101&lt;=0.2,"Low Windspeed",P101&lt;0.4,"Medium Windspeed",P101&gt;=0.41,"High Windspeed")</f>
        <v>Medium Windspeed</v>
      </c>
      <c r="R101" s="36">
        <v>3</v>
      </c>
      <c r="S101" s="36">
        <v>192</v>
      </c>
      <c r="T101" s="37">
        <v>195</v>
      </c>
      <c r="U101" s="39" t="str" cm="1">
        <f t="array" ref="U101">_xlfn.IFS(T101&lt;=70,"Low",T101&lt;=160,"Medium",T101&gt;=161,"High")</f>
        <v>High</v>
      </c>
    </row>
    <row r="102" spans="1:21" x14ac:dyDescent="0.25">
      <c r="A102" s="33">
        <v>101</v>
      </c>
      <c r="B102" s="34">
        <v>40548</v>
      </c>
      <c r="C102" s="35">
        <v>1</v>
      </c>
      <c r="D102" s="35">
        <v>0</v>
      </c>
      <c r="E102" s="35">
        <v>1</v>
      </c>
      <c r="F102" s="35">
        <v>9</v>
      </c>
      <c r="G102" s="35" t="str" cm="1">
        <f t="array" ref="G102">_xlfn.IFS(F102&lt;4,"Night",F102&lt;=6,"Early Morning",F102&lt;11,"Morning",F102&lt;12,"Afternoon",F102&lt;=16,"Afternoon",F102&lt;=20,"Evening",F102&gt;=21,"Night")</f>
        <v>Morning</v>
      </c>
      <c r="H102" s="35" t="b">
        <v>0</v>
      </c>
      <c r="I102" s="35">
        <v>3</v>
      </c>
      <c r="J102" s="35">
        <v>1</v>
      </c>
      <c r="K102" s="31">
        <v>0.22</v>
      </c>
      <c r="L102" s="31" t="str" cm="1">
        <f t="array" ref="L102">_xlfn.IFS(K102&lt;0.15,"Cold",K102&lt;0.25,"Mild",K102&lt;=0.32,"Warm",K102&gt;=0.33,"Hot")</f>
        <v>Mild</v>
      </c>
      <c r="M102" s="36">
        <v>0.19700000000000001</v>
      </c>
      <c r="N102" s="36">
        <v>0.37</v>
      </c>
      <c r="O102" s="36" t="str" cm="1">
        <f t="array" ref="O102">_xlfn.IFS(N102&gt;0.61, "High Humidity", N102&gt;=0.6, "Humid", N102&gt;0.4, "Less Humidity", TRUE, "Dry")</f>
        <v>Dry</v>
      </c>
      <c r="P102" s="36">
        <v>0.32840000000000003</v>
      </c>
      <c r="Q102" s="36" t="str" cm="1">
        <f t="array" ref="Q102">_xlfn.IFS(P102&lt;=0.2,"Low Windspeed",P102&lt;0.4,"Medium Windspeed",P102&gt;=0.41,"High Windspeed")</f>
        <v>Medium Windspeed</v>
      </c>
      <c r="R102" s="36">
        <v>6</v>
      </c>
      <c r="S102" s="36">
        <v>109</v>
      </c>
      <c r="T102" s="37">
        <v>115</v>
      </c>
      <c r="U102" s="39" t="str" cm="1">
        <f t="array" ref="U102">_xlfn.IFS(T102&lt;=70,"Low",T102&lt;=160,"Medium",T102&gt;=161,"High")</f>
        <v>Medium</v>
      </c>
    </row>
    <row r="103" spans="1:21" x14ac:dyDescent="0.25">
      <c r="A103" s="33">
        <v>102</v>
      </c>
      <c r="B103" s="34">
        <v>40548</v>
      </c>
      <c r="C103" s="35">
        <v>1</v>
      </c>
      <c r="D103" s="35">
        <v>0</v>
      </c>
      <c r="E103" s="35">
        <v>1</v>
      </c>
      <c r="F103" s="35">
        <v>10</v>
      </c>
      <c r="G103" s="35" t="str" cm="1">
        <f t="array" ref="G103">_xlfn.IFS(F103&lt;4,"Night",F103&lt;=6,"Early Morning",F103&lt;11,"Morning",F103&lt;12,"Afternoon",F103&lt;=16,"Afternoon",F103&lt;=20,"Evening",F103&gt;=21,"Night")</f>
        <v>Morning</v>
      </c>
      <c r="H103" s="35" t="b">
        <v>0</v>
      </c>
      <c r="I103" s="35">
        <v>3</v>
      </c>
      <c r="J103" s="35">
        <v>1</v>
      </c>
      <c r="K103" s="31">
        <v>0.22</v>
      </c>
      <c r="L103" s="31" t="str" cm="1">
        <f t="array" ref="L103">_xlfn.IFS(K103&lt;0.15,"Cold",K103&lt;0.25,"Mild",K103&lt;=0.32,"Warm",K103&gt;=0.33,"Hot")</f>
        <v>Mild</v>
      </c>
      <c r="M103" s="36">
        <v>0.19700000000000001</v>
      </c>
      <c r="N103" s="36">
        <v>0.37</v>
      </c>
      <c r="O103" s="36" t="str" cm="1">
        <f t="array" ref="O103">_xlfn.IFS(N103&gt;0.61, "High Humidity", N103&gt;=0.6, "Humid", N103&gt;0.4, "Less Humidity", TRUE, "Dry")</f>
        <v>Dry</v>
      </c>
      <c r="P103" s="36">
        <v>0.32840000000000003</v>
      </c>
      <c r="Q103" s="36" t="str" cm="1">
        <f t="array" ref="Q103">_xlfn.IFS(P103&lt;=0.2,"Low Windspeed",P103&lt;0.4,"Medium Windspeed",P103&gt;=0.41,"High Windspeed")</f>
        <v>Medium Windspeed</v>
      </c>
      <c r="R103" s="36">
        <v>4</v>
      </c>
      <c r="S103" s="36">
        <v>53</v>
      </c>
      <c r="T103" s="37">
        <v>57</v>
      </c>
      <c r="U103" s="39" t="str" cm="1">
        <f t="array" ref="U103">_xlfn.IFS(T103&lt;=70,"Low",T103&lt;=160,"Medium",T103&gt;=161,"High")</f>
        <v>Low</v>
      </c>
    </row>
    <row r="104" spans="1:21" x14ac:dyDescent="0.25">
      <c r="A104" s="33">
        <v>103</v>
      </c>
      <c r="B104" s="34">
        <v>40548</v>
      </c>
      <c r="C104" s="35">
        <v>1</v>
      </c>
      <c r="D104" s="35">
        <v>0</v>
      </c>
      <c r="E104" s="35">
        <v>1</v>
      </c>
      <c r="F104" s="35">
        <v>11</v>
      </c>
      <c r="G104" s="35" t="str" cm="1">
        <f t="array" ref="G104">_xlfn.IFS(F104&lt;4,"Night",F104&lt;=6,"Early Morning",F104&lt;11,"Morning",F104&lt;12,"Afternoon",F104&lt;=16,"Afternoon",F104&lt;=20,"Evening",F104&gt;=21,"Night")</f>
        <v>Afternoon</v>
      </c>
      <c r="H104" s="35" t="b">
        <v>0</v>
      </c>
      <c r="I104" s="35">
        <v>3</v>
      </c>
      <c r="J104" s="35">
        <v>1</v>
      </c>
      <c r="K104" s="31">
        <v>0.26</v>
      </c>
      <c r="L104" s="31" t="str" cm="1">
        <f t="array" ref="L104">_xlfn.IFS(K104&lt;0.15,"Cold",K104&lt;0.25,"Mild",K104&lt;=0.32,"Warm",K104&gt;=0.33,"Hot")</f>
        <v>Warm</v>
      </c>
      <c r="M104" s="36">
        <v>0.2273</v>
      </c>
      <c r="N104" s="36">
        <v>0.33</v>
      </c>
      <c r="O104" s="36" t="str" cm="1">
        <f t="array" ref="O104">_xlfn.IFS(N104&gt;0.61, "High Humidity", N104&gt;=0.6, "Humid", N104&gt;0.4, "Less Humidity", TRUE, "Dry")</f>
        <v>Dry</v>
      </c>
      <c r="P104" s="36">
        <v>0.32840000000000003</v>
      </c>
      <c r="Q104" s="36" t="str" cm="1">
        <f t="array" ref="Q104">_xlfn.IFS(P104&lt;=0.2,"Low Windspeed",P104&lt;0.4,"Medium Windspeed",P104&gt;=0.41,"High Windspeed")</f>
        <v>Medium Windspeed</v>
      </c>
      <c r="R104" s="36">
        <v>12</v>
      </c>
      <c r="S104" s="36">
        <v>34</v>
      </c>
      <c r="T104" s="37">
        <v>46</v>
      </c>
      <c r="U104" s="39" t="str" cm="1">
        <f t="array" ref="U104">_xlfn.IFS(T104&lt;=70,"Low",T104&lt;=160,"Medium",T104&gt;=161,"High")</f>
        <v>Low</v>
      </c>
    </row>
    <row r="105" spans="1:21" x14ac:dyDescent="0.25">
      <c r="A105" s="33">
        <v>104</v>
      </c>
      <c r="B105" s="34">
        <v>40548</v>
      </c>
      <c r="C105" s="35">
        <v>1</v>
      </c>
      <c r="D105" s="35">
        <v>0</v>
      </c>
      <c r="E105" s="35">
        <v>1</v>
      </c>
      <c r="F105" s="35">
        <v>12</v>
      </c>
      <c r="G105" s="35" t="str" cm="1">
        <f t="array" ref="G105">_xlfn.IFS(F105&lt;4,"Night",F105&lt;=6,"Early Morning",F105&lt;11,"Morning",F105&lt;12,"Afternoon",F105&lt;=16,"Afternoon",F105&lt;=20,"Evening",F105&gt;=21,"Night")</f>
        <v>Afternoon</v>
      </c>
      <c r="H105" s="35" t="b">
        <v>0</v>
      </c>
      <c r="I105" s="35">
        <v>3</v>
      </c>
      <c r="J105" s="35">
        <v>1</v>
      </c>
      <c r="K105" s="31">
        <v>0.26</v>
      </c>
      <c r="L105" s="31" t="str" cm="1">
        <f t="array" ref="L105">_xlfn.IFS(K105&lt;0.15,"Cold",K105&lt;0.25,"Mild",K105&lt;=0.32,"Warm",K105&gt;=0.33,"Hot")</f>
        <v>Warm</v>
      </c>
      <c r="M105" s="36">
        <v>0.2273</v>
      </c>
      <c r="N105" s="36">
        <v>0.33</v>
      </c>
      <c r="O105" s="36" t="str" cm="1">
        <f t="array" ref="O105">_xlfn.IFS(N105&gt;0.61, "High Humidity", N105&gt;=0.6, "Humid", N105&gt;0.4, "Less Humidity", TRUE, "Dry")</f>
        <v>Dry</v>
      </c>
      <c r="P105" s="36">
        <v>0.32840000000000003</v>
      </c>
      <c r="Q105" s="36" t="str" cm="1">
        <f t="array" ref="Q105">_xlfn.IFS(P105&lt;=0.2,"Low Windspeed",P105&lt;0.4,"Medium Windspeed",P105&gt;=0.41,"High Windspeed")</f>
        <v>Medium Windspeed</v>
      </c>
      <c r="R105" s="36">
        <v>5</v>
      </c>
      <c r="S105" s="36">
        <v>74</v>
      </c>
      <c r="T105" s="37">
        <v>79</v>
      </c>
      <c r="U105" s="39" t="str" cm="1">
        <f t="array" ref="U105">_xlfn.IFS(T105&lt;=70,"Low",T105&lt;=160,"Medium",T105&gt;=161,"High")</f>
        <v>Medium</v>
      </c>
    </row>
    <row r="106" spans="1:21" x14ac:dyDescent="0.25">
      <c r="A106" s="33">
        <v>105</v>
      </c>
      <c r="B106" s="34">
        <v>40548</v>
      </c>
      <c r="C106" s="35">
        <v>1</v>
      </c>
      <c r="D106" s="35">
        <v>0</v>
      </c>
      <c r="E106" s="35">
        <v>1</v>
      </c>
      <c r="F106" s="35">
        <v>13</v>
      </c>
      <c r="G106" s="35" t="str" cm="1">
        <f t="array" ref="G106">_xlfn.IFS(F106&lt;4,"Night",F106&lt;=6,"Early Morning",F106&lt;11,"Morning",F106&lt;12,"Afternoon",F106&lt;=16,"Afternoon",F106&lt;=20,"Evening",F106&gt;=21,"Night")</f>
        <v>Afternoon</v>
      </c>
      <c r="H106" s="35" t="b">
        <v>0</v>
      </c>
      <c r="I106" s="35">
        <v>3</v>
      </c>
      <c r="J106" s="35">
        <v>1</v>
      </c>
      <c r="K106" s="31">
        <v>0.28000000000000003</v>
      </c>
      <c r="L106" s="31" t="str" cm="1">
        <f t="array" ref="L106">_xlfn.IFS(K106&lt;0.15,"Cold",K106&lt;0.25,"Mild",K106&lt;=0.32,"Warm",K106&gt;=0.33,"Hot")</f>
        <v>Warm</v>
      </c>
      <c r="M106" s="36">
        <v>0.2576</v>
      </c>
      <c r="N106" s="36">
        <v>0.3</v>
      </c>
      <c r="O106" s="36" t="str" cm="1">
        <f t="array" ref="O106">_xlfn.IFS(N106&gt;0.61, "High Humidity", N106&gt;=0.6, "Humid", N106&gt;0.4, "Less Humidity", TRUE, "Dry")</f>
        <v>Dry</v>
      </c>
      <c r="P106" s="36">
        <v>0.29849999999999999</v>
      </c>
      <c r="Q106" s="36" t="str" cm="1">
        <f t="array" ref="Q106">_xlfn.IFS(P106&lt;=0.2,"Low Windspeed",P106&lt;0.4,"Medium Windspeed",P106&gt;=0.41,"High Windspeed")</f>
        <v>Medium Windspeed</v>
      </c>
      <c r="R106" s="36">
        <v>6</v>
      </c>
      <c r="S106" s="36">
        <v>65</v>
      </c>
      <c r="T106" s="37">
        <v>71</v>
      </c>
      <c r="U106" s="39" t="str" cm="1">
        <f t="array" ref="U106">_xlfn.IFS(T106&lt;=70,"Low",T106&lt;=160,"Medium",T106&gt;=161,"High")</f>
        <v>Medium</v>
      </c>
    </row>
    <row r="107" spans="1:21" x14ac:dyDescent="0.25">
      <c r="A107" s="33">
        <v>106</v>
      </c>
      <c r="B107" s="34">
        <v>40548</v>
      </c>
      <c r="C107" s="35">
        <v>1</v>
      </c>
      <c r="D107" s="35">
        <v>0</v>
      </c>
      <c r="E107" s="35">
        <v>1</v>
      </c>
      <c r="F107" s="35">
        <v>14</v>
      </c>
      <c r="G107" s="35" t="str" cm="1">
        <f t="array" ref="G107">_xlfn.IFS(F107&lt;4,"Night",F107&lt;=6,"Early Morning",F107&lt;11,"Morning",F107&lt;12,"Afternoon",F107&lt;=16,"Afternoon",F107&lt;=20,"Evening",F107&gt;=21,"Night")</f>
        <v>Afternoon</v>
      </c>
      <c r="H107" s="35" t="b">
        <v>0</v>
      </c>
      <c r="I107" s="35">
        <v>3</v>
      </c>
      <c r="J107" s="35">
        <v>1</v>
      </c>
      <c r="K107" s="31">
        <v>0.3</v>
      </c>
      <c r="L107" s="31" t="str" cm="1">
        <f t="array" ref="L107">_xlfn.IFS(K107&lt;0.15,"Cold",K107&lt;0.25,"Mild",K107&lt;=0.32,"Warm",K107&gt;=0.33,"Hot")</f>
        <v>Warm</v>
      </c>
      <c r="M107" s="36">
        <v>0.28789999999999999</v>
      </c>
      <c r="N107" s="36">
        <v>0.28000000000000003</v>
      </c>
      <c r="O107" s="36" t="str" cm="1">
        <f t="array" ref="O107">_xlfn.IFS(N107&gt;0.61, "High Humidity", N107&gt;=0.6, "Humid", N107&gt;0.4, "Less Humidity", TRUE, "Dry")</f>
        <v>Dry</v>
      </c>
      <c r="P107" s="36">
        <v>0.19400000000000001</v>
      </c>
      <c r="Q107" s="36" t="str" cm="1">
        <f t="array" ref="Q107">_xlfn.IFS(P107&lt;=0.2,"Low Windspeed",P107&lt;0.4,"Medium Windspeed",P107&gt;=0.41,"High Windspeed")</f>
        <v>Low Windspeed</v>
      </c>
      <c r="R107" s="36">
        <v>10</v>
      </c>
      <c r="S107" s="36">
        <v>52</v>
      </c>
      <c r="T107" s="37">
        <v>62</v>
      </c>
      <c r="U107" s="39" t="str" cm="1">
        <f t="array" ref="U107">_xlfn.IFS(T107&lt;=70,"Low",T107&lt;=160,"Medium",T107&gt;=161,"High")</f>
        <v>Low</v>
      </c>
    </row>
    <row r="108" spans="1:21" x14ac:dyDescent="0.25">
      <c r="A108" s="33">
        <v>107</v>
      </c>
      <c r="B108" s="34">
        <v>40548</v>
      </c>
      <c r="C108" s="35">
        <v>1</v>
      </c>
      <c r="D108" s="35">
        <v>0</v>
      </c>
      <c r="E108" s="35">
        <v>1</v>
      </c>
      <c r="F108" s="35">
        <v>15</v>
      </c>
      <c r="G108" s="35" t="str" cm="1">
        <f t="array" ref="G108">_xlfn.IFS(F108&lt;4,"Night",F108&lt;=6,"Early Morning",F108&lt;11,"Morning",F108&lt;12,"Afternoon",F108&lt;=16,"Afternoon",F108&lt;=20,"Evening",F108&gt;=21,"Night")</f>
        <v>Afternoon</v>
      </c>
      <c r="H108" s="35" t="b">
        <v>0</v>
      </c>
      <c r="I108" s="35">
        <v>3</v>
      </c>
      <c r="J108" s="35">
        <v>1</v>
      </c>
      <c r="K108" s="31">
        <v>0.3</v>
      </c>
      <c r="L108" s="31" t="str" cm="1">
        <f t="array" ref="L108">_xlfn.IFS(K108&lt;0.15,"Cold",K108&lt;0.25,"Mild",K108&lt;=0.32,"Warm",K108&gt;=0.33,"Hot")</f>
        <v>Warm</v>
      </c>
      <c r="M108" s="36">
        <v>0.28789999999999999</v>
      </c>
      <c r="N108" s="36">
        <v>0.28000000000000003</v>
      </c>
      <c r="O108" s="36" t="str" cm="1">
        <f t="array" ref="O108">_xlfn.IFS(N108&gt;0.61, "High Humidity", N108&gt;=0.6, "Humid", N108&gt;0.4, "Less Humidity", TRUE, "Dry")</f>
        <v>Dry</v>
      </c>
      <c r="P108" s="36">
        <v>0.19400000000000001</v>
      </c>
      <c r="Q108" s="36" t="str" cm="1">
        <f t="array" ref="Q108">_xlfn.IFS(P108&lt;=0.2,"Low Windspeed",P108&lt;0.4,"Medium Windspeed",P108&gt;=0.41,"High Windspeed")</f>
        <v>Low Windspeed</v>
      </c>
      <c r="R108" s="36">
        <v>7</v>
      </c>
      <c r="S108" s="36">
        <v>55</v>
      </c>
      <c r="T108" s="37">
        <v>62</v>
      </c>
      <c r="U108" s="39" t="str" cm="1">
        <f t="array" ref="U108">_xlfn.IFS(T108&lt;=70,"Low",T108&lt;=160,"Medium",T108&gt;=161,"High")</f>
        <v>Low</v>
      </c>
    </row>
    <row r="109" spans="1:21" x14ac:dyDescent="0.25">
      <c r="A109" s="33">
        <v>108</v>
      </c>
      <c r="B109" s="34">
        <v>40548</v>
      </c>
      <c r="C109" s="35">
        <v>1</v>
      </c>
      <c r="D109" s="35">
        <v>0</v>
      </c>
      <c r="E109" s="35">
        <v>1</v>
      </c>
      <c r="F109" s="35">
        <v>16</v>
      </c>
      <c r="G109" s="35" t="str" cm="1">
        <f t="array" ref="G109">_xlfn.IFS(F109&lt;4,"Night",F109&lt;=6,"Early Morning",F109&lt;11,"Morning",F109&lt;12,"Afternoon",F109&lt;=16,"Afternoon",F109&lt;=20,"Evening",F109&gt;=21,"Night")</f>
        <v>Afternoon</v>
      </c>
      <c r="H109" s="35" t="b">
        <v>0</v>
      </c>
      <c r="I109" s="35">
        <v>3</v>
      </c>
      <c r="J109" s="35">
        <v>1</v>
      </c>
      <c r="K109" s="31">
        <v>0.3</v>
      </c>
      <c r="L109" s="31" t="str" cm="1">
        <f t="array" ref="L109">_xlfn.IFS(K109&lt;0.15,"Cold",K109&lt;0.25,"Mild",K109&lt;=0.32,"Warm",K109&gt;=0.33,"Hot")</f>
        <v>Warm</v>
      </c>
      <c r="M109" s="36">
        <v>0.31819999999999998</v>
      </c>
      <c r="N109" s="36">
        <v>0.28000000000000003</v>
      </c>
      <c r="O109" s="36" t="str" cm="1">
        <f t="array" ref="O109">_xlfn.IFS(N109&gt;0.61, "High Humidity", N109&gt;=0.6, "Humid", N109&gt;0.4, "Less Humidity", TRUE, "Dry")</f>
        <v>Dry</v>
      </c>
      <c r="P109" s="36">
        <v>8.9599999999999999E-2</v>
      </c>
      <c r="Q109" s="36" t="str" cm="1">
        <f t="array" ref="Q109">_xlfn.IFS(P109&lt;=0.2,"Low Windspeed",P109&lt;0.4,"Medium Windspeed",P109&gt;=0.41,"High Windspeed")</f>
        <v>Low Windspeed</v>
      </c>
      <c r="R109" s="36">
        <v>4</v>
      </c>
      <c r="S109" s="36">
        <v>85</v>
      </c>
      <c r="T109" s="37">
        <v>89</v>
      </c>
      <c r="U109" s="39" t="str" cm="1">
        <f t="array" ref="U109">_xlfn.IFS(T109&lt;=70,"Low",T109&lt;=160,"Medium",T109&gt;=161,"High")</f>
        <v>Medium</v>
      </c>
    </row>
    <row r="110" spans="1:21" x14ac:dyDescent="0.25">
      <c r="A110" s="33">
        <v>109</v>
      </c>
      <c r="B110" s="34">
        <v>40548</v>
      </c>
      <c r="C110" s="35">
        <v>1</v>
      </c>
      <c r="D110" s="35">
        <v>0</v>
      </c>
      <c r="E110" s="35">
        <v>1</v>
      </c>
      <c r="F110" s="35">
        <v>17</v>
      </c>
      <c r="G110" s="35" t="str" cm="1">
        <f t="array" ref="G110">_xlfn.IFS(F110&lt;4,"Night",F110&lt;=6,"Early Morning",F110&lt;11,"Morning",F110&lt;12,"Afternoon",F110&lt;=16,"Afternoon",F110&lt;=20,"Evening",F110&gt;=21,"Night")</f>
        <v>Evening</v>
      </c>
      <c r="H110" s="35" t="b">
        <v>0</v>
      </c>
      <c r="I110" s="35">
        <v>3</v>
      </c>
      <c r="J110" s="35">
        <v>1</v>
      </c>
      <c r="K110" s="31">
        <v>0.24</v>
      </c>
      <c r="L110" s="31" t="str" cm="1">
        <f t="array" ref="L110">_xlfn.IFS(K110&lt;0.15,"Cold",K110&lt;0.25,"Mild",K110&lt;=0.32,"Warm",K110&gt;=0.33,"Hot")</f>
        <v>Mild</v>
      </c>
      <c r="M110" s="36">
        <v>0.2273</v>
      </c>
      <c r="N110" s="36">
        <v>0.38</v>
      </c>
      <c r="O110" s="36" t="str" cm="1">
        <f t="array" ref="O110">_xlfn.IFS(N110&gt;0.61, "High Humidity", N110&gt;=0.6, "Humid", N110&gt;0.4, "Less Humidity", TRUE, "Dry")</f>
        <v>Dry</v>
      </c>
      <c r="P110" s="36">
        <v>0.19400000000000001</v>
      </c>
      <c r="Q110" s="36" t="str" cm="1">
        <f t="array" ref="Q110">_xlfn.IFS(P110&lt;=0.2,"Low Windspeed",P110&lt;0.4,"Medium Windspeed",P110&gt;=0.41,"High Windspeed")</f>
        <v>Low Windspeed</v>
      </c>
      <c r="R110" s="36">
        <v>4</v>
      </c>
      <c r="S110" s="36">
        <v>186</v>
      </c>
      <c r="T110" s="37">
        <v>190</v>
      </c>
      <c r="U110" s="39" t="str" cm="1">
        <f t="array" ref="U110">_xlfn.IFS(T110&lt;=70,"Low",T110&lt;=160,"Medium",T110&gt;=161,"High")</f>
        <v>High</v>
      </c>
    </row>
    <row r="111" spans="1:21" x14ac:dyDescent="0.25">
      <c r="A111" s="33">
        <v>110</v>
      </c>
      <c r="B111" s="34">
        <v>40548</v>
      </c>
      <c r="C111" s="35">
        <v>1</v>
      </c>
      <c r="D111" s="35">
        <v>0</v>
      </c>
      <c r="E111" s="35">
        <v>1</v>
      </c>
      <c r="F111" s="35">
        <v>18</v>
      </c>
      <c r="G111" s="35" t="str" cm="1">
        <f t="array" ref="G111">_xlfn.IFS(F111&lt;4,"Night",F111&lt;=6,"Early Morning",F111&lt;11,"Morning",F111&lt;12,"Afternoon",F111&lt;=16,"Afternoon",F111&lt;=20,"Evening",F111&gt;=21,"Night")</f>
        <v>Evening</v>
      </c>
      <c r="H111" s="35" t="b">
        <v>0</v>
      </c>
      <c r="I111" s="35">
        <v>3</v>
      </c>
      <c r="J111" s="35">
        <v>1</v>
      </c>
      <c r="K111" s="31">
        <v>0.24</v>
      </c>
      <c r="L111" s="31" t="str" cm="1">
        <f t="array" ref="L111">_xlfn.IFS(K111&lt;0.15,"Cold",K111&lt;0.25,"Mild",K111&lt;=0.32,"Warm",K111&gt;=0.33,"Hot")</f>
        <v>Mild</v>
      </c>
      <c r="M111" s="36">
        <v>0.2424</v>
      </c>
      <c r="N111" s="36">
        <v>0.38</v>
      </c>
      <c r="O111" s="36" t="str" cm="1">
        <f t="array" ref="O111">_xlfn.IFS(N111&gt;0.61, "High Humidity", N111&gt;=0.6, "Humid", N111&gt;0.4, "Less Humidity", TRUE, "Dry")</f>
        <v>Dry</v>
      </c>
      <c r="P111" s="36">
        <v>0.1343</v>
      </c>
      <c r="Q111" s="36" t="str" cm="1">
        <f t="array" ref="Q111">_xlfn.IFS(P111&lt;=0.2,"Low Windspeed",P111&lt;0.4,"Medium Windspeed",P111&gt;=0.41,"High Windspeed")</f>
        <v>Low Windspeed</v>
      </c>
      <c r="R111" s="36">
        <v>3</v>
      </c>
      <c r="S111" s="36">
        <v>166</v>
      </c>
      <c r="T111" s="37">
        <v>169</v>
      </c>
      <c r="U111" s="39" t="str" cm="1">
        <f t="array" ref="U111">_xlfn.IFS(T111&lt;=70,"Low",T111&lt;=160,"Medium",T111&gt;=161,"High")</f>
        <v>High</v>
      </c>
    </row>
    <row r="112" spans="1:21" x14ac:dyDescent="0.25">
      <c r="A112" s="33">
        <v>111</v>
      </c>
      <c r="B112" s="34">
        <v>40548</v>
      </c>
      <c r="C112" s="35">
        <v>1</v>
      </c>
      <c r="D112" s="35">
        <v>0</v>
      </c>
      <c r="E112" s="35">
        <v>1</v>
      </c>
      <c r="F112" s="35">
        <v>19</v>
      </c>
      <c r="G112" s="35" t="str" cm="1">
        <f t="array" ref="G112">_xlfn.IFS(F112&lt;4,"Night",F112&lt;=6,"Early Morning",F112&lt;11,"Morning",F112&lt;12,"Afternoon",F112&lt;=16,"Afternoon",F112&lt;=20,"Evening",F112&gt;=21,"Night")</f>
        <v>Evening</v>
      </c>
      <c r="H112" s="35" t="b">
        <v>0</v>
      </c>
      <c r="I112" s="35">
        <v>3</v>
      </c>
      <c r="J112" s="35">
        <v>1</v>
      </c>
      <c r="K112" s="31">
        <v>0.24</v>
      </c>
      <c r="L112" s="31" t="str" cm="1">
        <f t="array" ref="L112">_xlfn.IFS(K112&lt;0.15,"Cold",K112&lt;0.25,"Mild",K112&lt;=0.32,"Warm",K112&gt;=0.33,"Hot")</f>
        <v>Mild</v>
      </c>
      <c r="M112" s="36">
        <v>0.2576</v>
      </c>
      <c r="N112" s="36">
        <v>0.38</v>
      </c>
      <c r="O112" s="36" t="str" cm="1">
        <f t="array" ref="O112">_xlfn.IFS(N112&gt;0.61, "High Humidity", N112&gt;=0.6, "Humid", N112&gt;0.4, "Less Humidity", TRUE, "Dry")</f>
        <v>Dry</v>
      </c>
      <c r="P112" s="36">
        <v>0.1045</v>
      </c>
      <c r="Q112" s="36" t="str" cm="1">
        <f t="array" ref="Q112">_xlfn.IFS(P112&lt;=0.2,"Low Windspeed",P112&lt;0.4,"Medium Windspeed",P112&gt;=0.41,"High Windspeed")</f>
        <v>Low Windspeed</v>
      </c>
      <c r="R112" s="36">
        <v>5</v>
      </c>
      <c r="S112" s="36">
        <v>127</v>
      </c>
      <c r="T112" s="37">
        <v>132</v>
      </c>
      <c r="U112" s="39" t="str" cm="1">
        <f t="array" ref="U112">_xlfn.IFS(T112&lt;=70,"Low",T112&lt;=160,"Medium",T112&gt;=161,"High")</f>
        <v>Medium</v>
      </c>
    </row>
    <row r="113" spans="1:21" x14ac:dyDescent="0.25">
      <c r="A113" s="33">
        <v>112</v>
      </c>
      <c r="B113" s="34">
        <v>40548</v>
      </c>
      <c r="C113" s="35">
        <v>1</v>
      </c>
      <c r="D113" s="35">
        <v>0</v>
      </c>
      <c r="E113" s="35">
        <v>1</v>
      </c>
      <c r="F113" s="35">
        <v>20</v>
      </c>
      <c r="G113" s="35" t="str" cm="1">
        <f t="array" ref="G113">_xlfn.IFS(F113&lt;4,"Night",F113&lt;=6,"Early Morning",F113&lt;11,"Morning",F113&lt;12,"Afternoon",F113&lt;=16,"Afternoon",F113&lt;=20,"Evening",F113&gt;=21,"Night")</f>
        <v>Evening</v>
      </c>
      <c r="H113" s="35" t="b">
        <v>0</v>
      </c>
      <c r="I113" s="35">
        <v>3</v>
      </c>
      <c r="J113" s="35">
        <v>1</v>
      </c>
      <c r="K113" s="31">
        <v>0.22</v>
      </c>
      <c r="L113" s="31" t="str" cm="1">
        <f t="array" ref="L113">_xlfn.IFS(K113&lt;0.15,"Cold",K113&lt;0.25,"Mild",K113&lt;=0.32,"Warm",K113&gt;=0.33,"Hot")</f>
        <v>Mild</v>
      </c>
      <c r="M113" s="36">
        <v>0.2273</v>
      </c>
      <c r="N113" s="36">
        <v>0.47</v>
      </c>
      <c r="O113" s="36" t="str" cm="1">
        <f t="array" ref="O113">_xlfn.IFS(N113&gt;0.61, "High Humidity", N113&gt;=0.6, "Humid", N113&gt;0.4, "Less Humidity", TRUE, "Dry")</f>
        <v>Less Humidity</v>
      </c>
      <c r="P113" s="36">
        <v>0.16420000000000001</v>
      </c>
      <c r="Q113" s="36" t="str" cm="1">
        <f t="array" ref="Q113">_xlfn.IFS(P113&lt;=0.2,"Low Windspeed",P113&lt;0.4,"Medium Windspeed",P113&gt;=0.41,"High Windspeed")</f>
        <v>Low Windspeed</v>
      </c>
      <c r="R113" s="36">
        <v>7</v>
      </c>
      <c r="S113" s="36">
        <v>82</v>
      </c>
      <c r="T113" s="37">
        <v>89</v>
      </c>
      <c r="U113" s="39" t="str" cm="1">
        <f t="array" ref="U113">_xlfn.IFS(T113&lt;=70,"Low",T113&lt;=160,"Medium",T113&gt;=161,"High")</f>
        <v>Medium</v>
      </c>
    </row>
    <row r="114" spans="1:21" x14ac:dyDescent="0.25">
      <c r="A114" s="33">
        <v>113</v>
      </c>
      <c r="B114" s="34">
        <v>40548</v>
      </c>
      <c r="C114" s="35">
        <v>1</v>
      </c>
      <c r="D114" s="35">
        <v>0</v>
      </c>
      <c r="E114" s="35">
        <v>1</v>
      </c>
      <c r="F114" s="35">
        <v>21</v>
      </c>
      <c r="G114" s="35" t="str" cm="1">
        <f t="array" ref="G114">_xlfn.IFS(F114&lt;4,"Night",F114&lt;=6,"Early Morning",F114&lt;11,"Morning",F114&lt;12,"Afternoon",F114&lt;=16,"Afternoon",F114&lt;=20,"Evening",F114&gt;=21,"Night")</f>
        <v>Night</v>
      </c>
      <c r="H114" s="35" t="b">
        <v>0</v>
      </c>
      <c r="I114" s="35">
        <v>3</v>
      </c>
      <c r="J114" s="35">
        <v>1</v>
      </c>
      <c r="K114" s="31">
        <v>0.2</v>
      </c>
      <c r="L114" s="31" t="str" cm="1">
        <f t="array" ref="L114">_xlfn.IFS(K114&lt;0.15,"Cold",K114&lt;0.25,"Mild",K114&lt;=0.32,"Warm",K114&gt;=0.33,"Hot")</f>
        <v>Mild</v>
      </c>
      <c r="M114" s="36">
        <v>0.19700000000000001</v>
      </c>
      <c r="N114" s="36">
        <v>0.51</v>
      </c>
      <c r="O114" s="36" t="str" cm="1">
        <f t="array" ref="O114">_xlfn.IFS(N114&gt;0.61, "High Humidity", N114&gt;=0.6, "Humid", N114&gt;0.4, "Less Humidity", TRUE, "Dry")</f>
        <v>Less Humidity</v>
      </c>
      <c r="P114" s="36">
        <v>0.19400000000000001</v>
      </c>
      <c r="Q114" s="36" t="str" cm="1">
        <f t="array" ref="Q114">_xlfn.IFS(P114&lt;=0.2,"Low Windspeed",P114&lt;0.4,"Medium Windspeed",P114&gt;=0.41,"High Windspeed")</f>
        <v>Low Windspeed</v>
      </c>
      <c r="R114" s="36">
        <v>3</v>
      </c>
      <c r="S114" s="36">
        <v>40</v>
      </c>
      <c r="T114" s="37">
        <v>43</v>
      </c>
      <c r="U114" s="39" t="str" cm="1">
        <f t="array" ref="U114">_xlfn.IFS(T114&lt;=70,"Low",T114&lt;=160,"Medium",T114&gt;=161,"High")</f>
        <v>Low</v>
      </c>
    </row>
    <row r="115" spans="1:21" x14ac:dyDescent="0.25">
      <c r="A115" s="33">
        <v>114</v>
      </c>
      <c r="B115" s="34">
        <v>40548</v>
      </c>
      <c r="C115" s="35">
        <v>1</v>
      </c>
      <c r="D115" s="35">
        <v>0</v>
      </c>
      <c r="E115" s="35">
        <v>1</v>
      </c>
      <c r="F115" s="35">
        <v>22</v>
      </c>
      <c r="G115" s="35" t="str" cm="1">
        <f t="array" ref="G115">_xlfn.IFS(F115&lt;4,"Night",F115&lt;=6,"Early Morning",F115&lt;11,"Morning",F115&lt;12,"Afternoon",F115&lt;=16,"Afternoon",F115&lt;=20,"Evening",F115&gt;=21,"Night")</f>
        <v>Night</v>
      </c>
      <c r="H115" s="35" t="b">
        <v>0</v>
      </c>
      <c r="I115" s="35">
        <v>3</v>
      </c>
      <c r="J115" s="35">
        <v>1</v>
      </c>
      <c r="K115" s="31">
        <v>0.18</v>
      </c>
      <c r="L115" s="31" t="str" cm="1">
        <f t="array" ref="L115">_xlfn.IFS(K115&lt;0.15,"Cold",K115&lt;0.25,"Mild",K115&lt;=0.32,"Warm",K115&gt;=0.33,"Hot")</f>
        <v>Mild</v>
      </c>
      <c r="M115" s="36">
        <v>0.19700000000000001</v>
      </c>
      <c r="N115" s="36">
        <v>0.55000000000000004</v>
      </c>
      <c r="O115" s="36" t="str" cm="1">
        <f t="array" ref="O115">_xlfn.IFS(N115&gt;0.61, "High Humidity", N115&gt;=0.6, "Humid", N115&gt;0.4, "Less Humidity", TRUE, "Dry")</f>
        <v>Less Humidity</v>
      </c>
      <c r="P115" s="36">
        <v>0.1343</v>
      </c>
      <c r="Q115" s="36" t="str" cm="1">
        <f t="array" ref="Q115">_xlfn.IFS(P115&lt;=0.2,"Low Windspeed",P115&lt;0.4,"Medium Windspeed",P115&gt;=0.41,"High Windspeed")</f>
        <v>Low Windspeed</v>
      </c>
      <c r="R115" s="36">
        <v>1</v>
      </c>
      <c r="S115" s="36">
        <v>41</v>
      </c>
      <c r="T115" s="37">
        <v>42</v>
      </c>
      <c r="U115" s="39" t="str" cm="1">
        <f t="array" ref="U115">_xlfn.IFS(T115&lt;=70,"Low",T115&lt;=160,"Medium",T115&gt;=161,"High")</f>
        <v>Low</v>
      </c>
    </row>
    <row r="116" spans="1:21" x14ac:dyDescent="0.25">
      <c r="A116" s="33">
        <v>115</v>
      </c>
      <c r="B116" s="34">
        <v>40548</v>
      </c>
      <c r="C116" s="35">
        <v>1</v>
      </c>
      <c r="D116" s="35">
        <v>0</v>
      </c>
      <c r="E116" s="35">
        <v>1</v>
      </c>
      <c r="F116" s="35">
        <v>23</v>
      </c>
      <c r="G116" s="35" t="str" cm="1">
        <f t="array" ref="G116">_xlfn.IFS(F116&lt;4,"Night",F116&lt;=6,"Early Morning",F116&lt;11,"Morning",F116&lt;12,"Afternoon",F116&lt;=16,"Afternoon",F116&lt;=20,"Evening",F116&gt;=21,"Night")</f>
        <v>Night</v>
      </c>
      <c r="H116" s="35" t="b">
        <v>0</v>
      </c>
      <c r="I116" s="35">
        <v>3</v>
      </c>
      <c r="J116" s="35">
        <v>1</v>
      </c>
      <c r="K116" s="31">
        <v>0.2</v>
      </c>
      <c r="L116" s="31" t="str" cm="1">
        <f t="array" ref="L116">_xlfn.IFS(K116&lt;0.15,"Cold",K116&lt;0.25,"Mild",K116&lt;=0.32,"Warm",K116&gt;=0.33,"Hot")</f>
        <v>Mild</v>
      </c>
      <c r="M116" s="36">
        <v>0.2576</v>
      </c>
      <c r="N116" s="36">
        <v>0.47</v>
      </c>
      <c r="O116" s="36" t="str" cm="1">
        <f t="array" ref="O116">_xlfn.IFS(N116&gt;0.61, "High Humidity", N116&gt;=0.6, "Humid", N116&gt;0.4, "Less Humidity", TRUE, "Dry")</f>
        <v>Less Humidity</v>
      </c>
      <c r="P116" s="36">
        <v>0</v>
      </c>
      <c r="Q116" s="36" t="str" cm="1">
        <f t="array" ref="Q116">_xlfn.IFS(P116&lt;=0.2,"Low Windspeed",P116&lt;0.4,"Medium Windspeed",P116&gt;=0.41,"High Windspeed")</f>
        <v>Low Windspeed</v>
      </c>
      <c r="R116" s="36">
        <v>1</v>
      </c>
      <c r="S116" s="36">
        <v>18</v>
      </c>
      <c r="T116" s="37">
        <v>19</v>
      </c>
      <c r="U116" s="39" t="str" cm="1">
        <f t="array" ref="U116">_xlfn.IFS(T116&lt;=70,"Low",T116&lt;=160,"Medium",T116&gt;=161,"High")</f>
        <v>Low</v>
      </c>
    </row>
    <row r="117" spans="1:21" x14ac:dyDescent="0.25">
      <c r="A117" s="33">
        <v>116</v>
      </c>
      <c r="B117" s="34">
        <v>40549</v>
      </c>
      <c r="C117" s="35">
        <v>1</v>
      </c>
      <c r="D117" s="35">
        <v>0</v>
      </c>
      <c r="E117" s="35">
        <v>1</v>
      </c>
      <c r="F117" s="35">
        <v>0</v>
      </c>
      <c r="G117" s="35" t="str" cm="1">
        <f t="array" ref="G117">_xlfn.IFS(F117&lt;4,"Night",F117&lt;=6,"Early Morning",F117&lt;11,"Morning",F117&lt;12,"Afternoon",F117&lt;=16,"Afternoon",F117&lt;=20,"Evening",F117&gt;=21,"Night")</f>
        <v>Night</v>
      </c>
      <c r="H117" s="35" t="b">
        <v>0</v>
      </c>
      <c r="I117" s="35">
        <v>4</v>
      </c>
      <c r="J117" s="35">
        <v>1</v>
      </c>
      <c r="K117" s="31">
        <v>0.18</v>
      </c>
      <c r="L117" s="31" t="str" cm="1">
        <f t="array" ref="L117">_xlfn.IFS(K117&lt;0.15,"Cold",K117&lt;0.25,"Mild",K117&lt;=0.32,"Warm",K117&gt;=0.33,"Hot")</f>
        <v>Mild</v>
      </c>
      <c r="M117" s="36">
        <v>0.2424</v>
      </c>
      <c r="N117" s="36">
        <v>0.55000000000000004</v>
      </c>
      <c r="O117" s="36" t="str" cm="1">
        <f t="array" ref="O117">_xlfn.IFS(N117&gt;0.61, "High Humidity", N117&gt;=0.6, "Humid", N117&gt;0.4, "Less Humidity", TRUE, "Dry")</f>
        <v>Less Humidity</v>
      </c>
      <c r="P117" s="36">
        <v>0</v>
      </c>
      <c r="Q117" s="36" t="str" cm="1">
        <f t="array" ref="Q117">_xlfn.IFS(P117&lt;=0.2,"Low Windspeed",P117&lt;0.4,"Medium Windspeed",P117&gt;=0.41,"High Windspeed")</f>
        <v>Low Windspeed</v>
      </c>
      <c r="R117" s="36">
        <v>0</v>
      </c>
      <c r="S117" s="36">
        <v>11</v>
      </c>
      <c r="T117" s="37">
        <v>11</v>
      </c>
      <c r="U117" s="39" t="str" cm="1">
        <f t="array" ref="U117">_xlfn.IFS(T117&lt;=70,"Low",T117&lt;=160,"Medium",T117&gt;=161,"High")</f>
        <v>Low</v>
      </c>
    </row>
    <row r="118" spans="1:21" x14ac:dyDescent="0.25">
      <c r="A118" s="33">
        <v>117</v>
      </c>
      <c r="B118" s="34">
        <v>40549</v>
      </c>
      <c r="C118" s="35">
        <v>1</v>
      </c>
      <c r="D118" s="35">
        <v>0</v>
      </c>
      <c r="E118" s="35">
        <v>1</v>
      </c>
      <c r="F118" s="35">
        <v>1</v>
      </c>
      <c r="G118" s="35" t="str" cm="1">
        <f t="array" ref="G118">_xlfn.IFS(F118&lt;4,"Night",F118&lt;=6,"Early Morning",F118&lt;11,"Morning",F118&lt;12,"Afternoon",F118&lt;=16,"Afternoon",F118&lt;=20,"Evening",F118&gt;=21,"Night")</f>
        <v>Night</v>
      </c>
      <c r="H118" s="35" t="b">
        <v>0</v>
      </c>
      <c r="I118" s="35">
        <v>4</v>
      </c>
      <c r="J118" s="35">
        <v>1</v>
      </c>
      <c r="K118" s="31">
        <v>0.16</v>
      </c>
      <c r="L118" s="31" t="str" cm="1">
        <f t="array" ref="L118">_xlfn.IFS(K118&lt;0.15,"Cold",K118&lt;0.25,"Mild",K118&lt;=0.32,"Warm",K118&gt;=0.33,"Hot")</f>
        <v>Mild</v>
      </c>
      <c r="M118" s="36">
        <v>0.2273</v>
      </c>
      <c r="N118" s="36">
        <v>0.64</v>
      </c>
      <c r="O118" s="36" t="str" cm="1">
        <f t="array" ref="O118">_xlfn.IFS(N118&gt;0.61, "High Humidity", N118&gt;=0.6, "Humid", N118&gt;0.4, "Less Humidity", TRUE, "Dry")</f>
        <v>High Humidity</v>
      </c>
      <c r="P118" s="36">
        <v>0</v>
      </c>
      <c r="Q118" s="36" t="str" cm="1">
        <f t="array" ref="Q118">_xlfn.IFS(P118&lt;=0.2,"Low Windspeed",P118&lt;0.4,"Medium Windspeed",P118&gt;=0.41,"High Windspeed")</f>
        <v>Low Windspeed</v>
      </c>
      <c r="R118" s="36">
        <v>0</v>
      </c>
      <c r="S118" s="36">
        <v>4</v>
      </c>
      <c r="T118" s="37">
        <v>4</v>
      </c>
      <c r="U118" s="39" t="str" cm="1">
        <f t="array" ref="U118">_xlfn.IFS(T118&lt;=70,"Low",T118&lt;=160,"Medium",T118&gt;=161,"High")</f>
        <v>Low</v>
      </c>
    </row>
    <row r="119" spans="1:21" x14ac:dyDescent="0.25">
      <c r="A119" s="33">
        <v>118</v>
      </c>
      <c r="B119" s="34">
        <v>40549</v>
      </c>
      <c r="C119" s="35">
        <v>1</v>
      </c>
      <c r="D119" s="35">
        <v>0</v>
      </c>
      <c r="E119" s="35">
        <v>1</v>
      </c>
      <c r="F119" s="35">
        <v>2</v>
      </c>
      <c r="G119" s="35" t="str" cm="1">
        <f t="array" ref="G119">_xlfn.IFS(F119&lt;4,"Night",F119&lt;=6,"Early Morning",F119&lt;11,"Morning",F119&lt;12,"Afternoon",F119&lt;=16,"Afternoon",F119&lt;=20,"Evening",F119&gt;=21,"Night")</f>
        <v>Night</v>
      </c>
      <c r="H119" s="35" t="b">
        <v>0</v>
      </c>
      <c r="I119" s="35">
        <v>4</v>
      </c>
      <c r="J119" s="35">
        <v>1</v>
      </c>
      <c r="K119" s="31">
        <v>0.16</v>
      </c>
      <c r="L119" s="31" t="str" cm="1">
        <f t="array" ref="L119">_xlfn.IFS(K119&lt;0.15,"Cold",K119&lt;0.25,"Mild",K119&lt;=0.32,"Warm",K119&gt;=0.33,"Hot")</f>
        <v>Mild</v>
      </c>
      <c r="M119" s="36">
        <v>0.2273</v>
      </c>
      <c r="N119" s="36">
        <v>0.64</v>
      </c>
      <c r="O119" s="36" t="str" cm="1">
        <f t="array" ref="O119">_xlfn.IFS(N119&gt;0.61, "High Humidity", N119&gt;=0.6, "Humid", N119&gt;0.4, "Less Humidity", TRUE, "Dry")</f>
        <v>High Humidity</v>
      </c>
      <c r="P119" s="36">
        <v>0</v>
      </c>
      <c r="Q119" s="36" t="str" cm="1">
        <f t="array" ref="Q119">_xlfn.IFS(P119&lt;=0.2,"Low Windspeed",P119&lt;0.4,"Medium Windspeed",P119&gt;=0.41,"High Windspeed")</f>
        <v>Low Windspeed</v>
      </c>
      <c r="R119" s="36">
        <v>0</v>
      </c>
      <c r="S119" s="36">
        <v>2</v>
      </c>
      <c r="T119" s="37">
        <v>2</v>
      </c>
      <c r="U119" s="39" t="str" cm="1">
        <f t="array" ref="U119">_xlfn.IFS(T119&lt;=70,"Low",T119&lt;=160,"Medium",T119&gt;=161,"High")</f>
        <v>Low</v>
      </c>
    </row>
    <row r="120" spans="1:21" x14ac:dyDescent="0.25">
      <c r="A120" s="33">
        <v>119</v>
      </c>
      <c r="B120" s="34">
        <v>40549</v>
      </c>
      <c r="C120" s="35">
        <v>1</v>
      </c>
      <c r="D120" s="35">
        <v>0</v>
      </c>
      <c r="E120" s="35">
        <v>1</v>
      </c>
      <c r="F120" s="35">
        <v>4</v>
      </c>
      <c r="G120" s="35" t="str" cm="1">
        <f t="array" ref="G120">_xlfn.IFS(F120&lt;4,"Night",F120&lt;=6,"Early Morning",F120&lt;11,"Morning",F120&lt;12,"Afternoon",F120&lt;=16,"Afternoon",F120&lt;=20,"Evening",F120&gt;=21,"Night")</f>
        <v>Early Morning</v>
      </c>
      <c r="H120" s="35" t="b">
        <v>0</v>
      </c>
      <c r="I120" s="35">
        <v>4</v>
      </c>
      <c r="J120" s="35">
        <v>2</v>
      </c>
      <c r="K120" s="31">
        <v>0.16</v>
      </c>
      <c r="L120" s="31" t="str" cm="1">
        <f t="array" ref="L120">_xlfn.IFS(K120&lt;0.15,"Cold",K120&lt;0.25,"Mild",K120&lt;=0.32,"Warm",K120&gt;=0.33,"Hot")</f>
        <v>Mild</v>
      </c>
      <c r="M120" s="36">
        <v>0.19700000000000001</v>
      </c>
      <c r="N120" s="36">
        <v>0.64</v>
      </c>
      <c r="O120" s="36" t="str" cm="1">
        <f t="array" ref="O120">_xlfn.IFS(N120&gt;0.61, "High Humidity", N120&gt;=0.6, "Humid", N120&gt;0.4, "Less Humidity", TRUE, "Dry")</f>
        <v>High Humidity</v>
      </c>
      <c r="P120" s="36">
        <v>8.9599999999999999E-2</v>
      </c>
      <c r="Q120" s="36" t="str" cm="1">
        <f t="array" ref="Q120">_xlfn.IFS(P120&lt;=0.2,"Low Windspeed",P120&lt;0.4,"Medium Windspeed",P120&gt;=0.41,"High Windspeed")</f>
        <v>Low Windspeed</v>
      </c>
      <c r="R120" s="36">
        <v>0</v>
      </c>
      <c r="S120" s="36">
        <v>1</v>
      </c>
      <c r="T120" s="37">
        <v>1</v>
      </c>
      <c r="U120" s="39" t="str" cm="1">
        <f t="array" ref="U120">_xlfn.IFS(T120&lt;=70,"Low",T120&lt;=160,"Medium",T120&gt;=161,"High")</f>
        <v>Low</v>
      </c>
    </row>
    <row r="121" spans="1:21" x14ac:dyDescent="0.25">
      <c r="A121" s="33">
        <v>120</v>
      </c>
      <c r="B121" s="34">
        <v>40549</v>
      </c>
      <c r="C121" s="35">
        <v>1</v>
      </c>
      <c r="D121" s="35">
        <v>0</v>
      </c>
      <c r="E121" s="35">
        <v>1</v>
      </c>
      <c r="F121" s="35">
        <v>5</v>
      </c>
      <c r="G121" s="35" t="str" cm="1">
        <f t="array" ref="G121">_xlfn.IFS(F121&lt;4,"Night",F121&lt;=6,"Early Morning",F121&lt;11,"Morning",F121&lt;12,"Afternoon",F121&lt;=16,"Afternoon",F121&lt;=20,"Evening",F121&gt;=21,"Night")</f>
        <v>Early Morning</v>
      </c>
      <c r="H121" s="35" t="b">
        <v>0</v>
      </c>
      <c r="I121" s="35">
        <v>4</v>
      </c>
      <c r="J121" s="35">
        <v>2</v>
      </c>
      <c r="K121" s="31">
        <v>0.14000000000000001</v>
      </c>
      <c r="L121" s="31" t="str" cm="1">
        <f t="array" ref="L121">_xlfn.IFS(K121&lt;0.15,"Cold",K121&lt;0.25,"Mild",K121&lt;=0.32,"Warm",K121&gt;=0.33,"Hot")</f>
        <v>Cold</v>
      </c>
      <c r="M121" s="36">
        <v>0.18179999999999999</v>
      </c>
      <c r="N121" s="36">
        <v>0.69</v>
      </c>
      <c r="O121" s="36" t="str" cm="1">
        <f t="array" ref="O121">_xlfn.IFS(N121&gt;0.61, "High Humidity", N121&gt;=0.6, "Humid", N121&gt;0.4, "Less Humidity", TRUE, "Dry")</f>
        <v>High Humidity</v>
      </c>
      <c r="P121" s="36">
        <v>8.9599999999999999E-2</v>
      </c>
      <c r="Q121" s="36" t="str" cm="1">
        <f t="array" ref="Q121">_xlfn.IFS(P121&lt;=0.2,"Low Windspeed",P121&lt;0.4,"Medium Windspeed",P121&gt;=0.41,"High Windspeed")</f>
        <v>Low Windspeed</v>
      </c>
      <c r="R121" s="36">
        <v>0</v>
      </c>
      <c r="S121" s="36">
        <v>4</v>
      </c>
      <c r="T121" s="37">
        <v>4</v>
      </c>
      <c r="U121" s="39" t="str" cm="1">
        <f t="array" ref="U121">_xlfn.IFS(T121&lt;=70,"Low",T121&lt;=160,"Medium",T121&gt;=161,"High")</f>
        <v>Low</v>
      </c>
    </row>
    <row r="122" spans="1:21" x14ac:dyDescent="0.25">
      <c r="A122" s="33">
        <v>121</v>
      </c>
      <c r="B122" s="34">
        <v>40549</v>
      </c>
      <c r="C122" s="35">
        <v>1</v>
      </c>
      <c r="D122" s="35">
        <v>0</v>
      </c>
      <c r="E122" s="35">
        <v>1</v>
      </c>
      <c r="F122" s="35">
        <v>6</v>
      </c>
      <c r="G122" s="35" t="str" cm="1">
        <f t="array" ref="G122">_xlfn.IFS(F122&lt;4,"Night",F122&lt;=6,"Early Morning",F122&lt;11,"Morning",F122&lt;12,"Afternoon",F122&lt;=16,"Afternoon",F122&lt;=20,"Evening",F122&gt;=21,"Night")</f>
        <v>Early Morning</v>
      </c>
      <c r="H122" s="35" t="b">
        <v>0</v>
      </c>
      <c r="I122" s="35">
        <v>4</v>
      </c>
      <c r="J122" s="35">
        <v>2</v>
      </c>
      <c r="K122" s="31">
        <v>0.14000000000000001</v>
      </c>
      <c r="L122" s="31" t="str" cm="1">
        <f t="array" ref="L122">_xlfn.IFS(K122&lt;0.15,"Cold",K122&lt;0.25,"Mild",K122&lt;=0.32,"Warm",K122&gt;=0.33,"Hot")</f>
        <v>Cold</v>
      </c>
      <c r="M122" s="36">
        <v>0.16669999999999999</v>
      </c>
      <c r="N122" s="36">
        <v>0.63</v>
      </c>
      <c r="O122" s="36" t="str" cm="1">
        <f t="array" ref="O122">_xlfn.IFS(N122&gt;0.61, "High Humidity", N122&gt;=0.6, "Humid", N122&gt;0.4, "Less Humidity", TRUE, "Dry")</f>
        <v>High Humidity</v>
      </c>
      <c r="P122" s="36">
        <v>0.1045</v>
      </c>
      <c r="Q122" s="36" t="str" cm="1">
        <f t="array" ref="Q122">_xlfn.IFS(P122&lt;=0.2,"Low Windspeed",P122&lt;0.4,"Medium Windspeed",P122&gt;=0.41,"High Windspeed")</f>
        <v>Low Windspeed</v>
      </c>
      <c r="R122" s="36">
        <v>0</v>
      </c>
      <c r="S122" s="36">
        <v>36</v>
      </c>
      <c r="T122" s="37">
        <v>36</v>
      </c>
      <c r="U122" s="39" t="str" cm="1">
        <f t="array" ref="U122">_xlfn.IFS(T122&lt;=70,"Low",T122&lt;=160,"Medium",T122&gt;=161,"High")</f>
        <v>Low</v>
      </c>
    </row>
    <row r="123" spans="1:21" x14ac:dyDescent="0.25">
      <c r="A123" s="33">
        <v>122</v>
      </c>
      <c r="B123" s="34">
        <v>40549</v>
      </c>
      <c r="C123" s="35">
        <v>1</v>
      </c>
      <c r="D123" s="35">
        <v>0</v>
      </c>
      <c r="E123" s="35">
        <v>1</v>
      </c>
      <c r="F123" s="35">
        <v>7</v>
      </c>
      <c r="G123" s="35" t="str" cm="1">
        <f t="array" ref="G123">_xlfn.IFS(F123&lt;4,"Night",F123&lt;=6,"Early Morning",F123&lt;11,"Morning",F123&lt;12,"Afternoon",F123&lt;=16,"Afternoon",F123&lt;=20,"Evening",F123&gt;=21,"Night")</f>
        <v>Morning</v>
      </c>
      <c r="H123" s="35" t="b">
        <v>0</v>
      </c>
      <c r="I123" s="35">
        <v>4</v>
      </c>
      <c r="J123" s="35">
        <v>2</v>
      </c>
      <c r="K123" s="31">
        <v>0.16</v>
      </c>
      <c r="L123" s="31" t="str" cm="1">
        <f t="array" ref="L123">_xlfn.IFS(K123&lt;0.15,"Cold",K123&lt;0.25,"Mild",K123&lt;=0.32,"Warm",K123&gt;=0.33,"Hot")</f>
        <v>Mild</v>
      </c>
      <c r="M123" s="36">
        <v>0.2273</v>
      </c>
      <c r="N123" s="36">
        <v>0.59</v>
      </c>
      <c r="O123" s="36" t="str" cm="1">
        <f t="array" ref="O123">_xlfn.IFS(N123&gt;0.61, "High Humidity", N123&gt;=0.6, "Humid", N123&gt;0.4, "Less Humidity", TRUE, "Dry")</f>
        <v>Less Humidity</v>
      </c>
      <c r="P123" s="36">
        <v>0</v>
      </c>
      <c r="Q123" s="36" t="str" cm="1">
        <f t="array" ref="Q123">_xlfn.IFS(P123&lt;=0.2,"Low Windspeed",P123&lt;0.4,"Medium Windspeed",P123&gt;=0.41,"High Windspeed")</f>
        <v>Low Windspeed</v>
      </c>
      <c r="R123" s="36">
        <v>0</v>
      </c>
      <c r="S123" s="36">
        <v>95</v>
      </c>
      <c r="T123" s="37">
        <v>95</v>
      </c>
      <c r="U123" s="39" t="str" cm="1">
        <f t="array" ref="U123">_xlfn.IFS(T123&lt;=70,"Low",T123&lt;=160,"Medium",T123&gt;=161,"High")</f>
        <v>Medium</v>
      </c>
    </row>
    <row r="124" spans="1:21" x14ac:dyDescent="0.25">
      <c r="A124" s="33">
        <v>123</v>
      </c>
      <c r="B124" s="34">
        <v>40549</v>
      </c>
      <c r="C124" s="35">
        <v>1</v>
      </c>
      <c r="D124" s="35">
        <v>0</v>
      </c>
      <c r="E124" s="35">
        <v>1</v>
      </c>
      <c r="F124" s="35">
        <v>8</v>
      </c>
      <c r="G124" s="35" t="str" cm="1">
        <f t="array" ref="G124">_xlfn.IFS(F124&lt;4,"Night",F124&lt;=6,"Early Morning",F124&lt;11,"Morning",F124&lt;12,"Afternoon",F124&lt;=16,"Afternoon",F124&lt;=20,"Evening",F124&gt;=21,"Night")</f>
        <v>Morning</v>
      </c>
      <c r="H124" s="35" t="b">
        <v>0</v>
      </c>
      <c r="I124" s="35">
        <v>4</v>
      </c>
      <c r="J124" s="35">
        <v>1</v>
      </c>
      <c r="K124" s="31">
        <v>0.16</v>
      </c>
      <c r="L124" s="31" t="str" cm="1">
        <f t="array" ref="L124">_xlfn.IFS(K124&lt;0.15,"Cold",K124&lt;0.25,"Mild",K124&lt;=0.32,"Warm",K124&gt;=0.33,"Hot")</f>
        <v>Mild</v>
      </c>
      <c r="M124" s="36">
        <v>0.2273</v>
      </c>
      <c r="N124" s="36">
        <v>0.59</v>
      </c>
      <c r="O124" s="36" t="str" cm="1">
        <f t="array" ref="O124">_xlfn.IFS(N124&gt;0.61, "High Humidity", N124&gt;=0.6, "Humid", N124&gt;0.4, "Less Humidity", TRUE, "Dry")</f>
        <v>Less Humidity</v>
      </c>
      <c r="P124" s="36">
        <v>0</v>
      </c>
      <c r="Q124" s="36" t="str" cm="1">
        <f t="array" ref="Q124">_xlfn.IFS(P124&lt;=0.2,"Low Windspeed",P124&lt;0.4,"Medium Windspeed",P124&gt;=0.41,"High Windspeed")</f>
        <v>Low Windspeed</v>
      </c>
      <c r="R124" s="36">
        <v>3</v>
      </c>
      <c r="S124" s="36">
        <v>216</v>
      </c>
      <c r="T124" s="37">
        <v>219</v>
      </c>
      <c r="U124" s="39" t="str" cm="1">
        <f t="array" ref="U124">_xlfn.IFS(T124&lt;=70,"Low",T124&lt;=160,"Medium",T124&gt;=161,"High")</f>
        <v>High</v>
      </c>
    </row>
    <row r="125" spans="1:21" x14ac:dyDescent="0.25">
      <c r="A125" s="33">
        <v>124</v>
      </c>
      <c r="B125" s="34">
        <v>40549</v>
      </c>
      <c r="C125" s="35">
        <v>1</v>
      </c>
      <c r="D125" s="35">
        <v>0</v>
      </c>
      <c r="E125" s="35">
        <v>1</v>
      </c>
      <c r="F125" s="35">
        <v>9</v>
      </c>
      <c r="G125" s="35" t="str" cm="1">
        <f t="array" ref="G125">_xlfn.IFS(F125&lt;4,"Night",F125&lt;=6,"Early Morning",F125&lt;11,"Morning",F125&lt;12,"Afternoon",F125&lt;=16,"Afternoon",F125&lt;=20,"Evening",F125&gt;=21,"Night")</f>
        <v>Morning</v>
      </c>
      <c r="H125" s="35" t="b">
        <v>0</v>
      </c>
      <c r="I125" s="35">
        <v>4</v>
      </c>
      <c r="J125" s="35">
        <v>2</v>
      </c>
      <c r="K125" s="31">
        <v>0.18</v>
      </c>
      <c r="L125" s="31" t="str" cm="1">
        <f t="array" ref="L125">_xlfn.IFS(K125&lt;0.15,"Cold",K125&lt;0.25,"Mild",K125&lt;=0.32,"Warm",K125&gt;=0.33,"Hot")</f>
        <v>Mild</v>
      </c>
      <c r="M125" s="36">
        <v>0.2424</v>
      </c>
      <c r="N125" s="36">
        <v>0.51</v>
      </c>
      <c r="O125" s="36" t="str" cm="1">
        <f t="array" ref="O125">_xlfn.IFS(N125&gt;0.61, "High Humidity", N125&gt;=0.6, "Humid", N125&gt;0.4, "Less Humidity", TRUE, "Dry")</f>
        <v>Less Humidity</v>
      </c>
      <c r="P125" s="36">
        <v>0</v>
      </c>
      <c r="Q125" s="36" t="str" cm="1">
        <f t="array" ref="Q125">_xlfn.IFS(P125&lt;=0.2,"Low Windspeed",P125&lt;0.4,"Medium Windspeed",P125&gt;=0.41,"High Windspeed")</f>
        <v>Low Windspeed</v>
      </c>
      <c r="R125" s="36">
        <v>6</v>
      </c>
      <c r="S125" s="36">
        <v>116</v>
      </c>
      <c r="T125" s="37">
        <v>122</v>
      </c>
      <c r="U125" s="39" t="str" cm="1">
        <f t="array" ref="U125">_xlfn.IFS(T125&lt;=70,"Low",T125&lt;=160,"Medium",T125&gt;=161,"High")</f>
        <v>Medium</v>
      </c>
    </row>
    <row r="126" spans="1:21" x14ac:dyDescent="0.25">
      <c r="A126" s="33">
        <v>125</v>
      </c>
      <c r="B126" s="34">
        <v>40549</v>
      </c>
      <c r="C126" s="35">
        <v>1</v>
      </c>
      <c r="D126" s="35">
        <v>0</v>
      </c>
      <c r="E126" s="35">
        <v>1</v>
      </c>
      <c r="F126" s="35">
        <v>10</v>
      </c>
      <c r="G126" s="35" t="str" cm="1">
        <f t="array" ref="G126">_xlfn.IFS(F126&lt;4,"Night",F126&lt;=6,"Early Morning",F126&lt;11,"Morning",F126&lt;12,"Afternoon",F126&lt;=16,"Afternoon",F126&lt;=20,"Evening",F126&gt;=21,"Night")</f>
        <v>Morning</v>
      </c>
      <c r="H126" s="35" t="b">
        <v>0</v>
      </c>
      <c r="I126" s="35">
        <v>4</v>
      </c>
      <c r="J126" s="35">
        <v>1</v>
      </c>
      <c r="K126" s="31">
        <v>0.2</v>
      </c>
      <c r="L126" s="31" t="str" cm="1">
        <f t="array" ref="L126">_xlfn.IFS(K126&lt;0.15,"Cold",K126&lt;0.25,"Mild",K126&lt;=0.32,"Warm",K126&gt;=0.33,"Hot")</f>
        <v>Mild</v>
      </c>
      <c r="M126" s="36">
        <v>0.2576</v>
      </c>
      <c r="N126" s="36">
        <v>0.47</v>
      </c>
      <c r="O126" s="36" t="str" cm="1">
        <f t="array" ref="O126">_xlfn.IFS(N126&gt;0.61, "High Humidity", N126&gt;=0.6, "Humid", N126&gt;0.4, "Less Humidity", TRUE, "Dry")</f>
        <v>Less Humidity</v>
      </c>
      <c r="P126" s="36">
        <v>0</v>
      </c>
      <c r="Q126" s="36" t="str" cm="1">
        <f t="array" ref="Q126">_xlfn.IFS(P126&lt;=0.2,"Low Windspeed",P126&lt;0.4,"Medium Windspeed",P126&gt;=0.41,"High Windspeed")</f>
        <v>Low Windspeed</v>
      </c>
      <c r="R126" s="36">
        <v>3</v>
      </c>
      <c r="S126" s="36">
        <v>42</v>
      </c>
      <c r="T126" s="37">
        <v>45</v>
      </c>
      <c r="U126" s="39" t="str" cm="1">
        <f t="array" ref="U126">_xlfn.IFS(T126&lt;=70,"Low",T126&lt;=160,"Medium",T126&gt;=161,"High")</f>
        <v>Low</v>
      </c>
    </row>
    <row r="127" spans="1:21" x14ac:dyDescent="0.25">
      <c r="A127" s="33">
        <v>126</v>
      </c>
      <c r="B127" s="34">
        <v>40549</v>
      </c>
      <c r="C127" s="35">
        <v>1</v>
      </c>
      <c r="D127" s="35">
        <v>0</v>
      </c>
      <c r="E127" s="35">
        <v>1</v>
      </c>
      <c r="F127" s="35">
        <v>11</v>
      </c>
      <c r="G127" s="35" t="str" cm="1">
        <f t="array" ref="G127">_xlfn.IFS(F127&lt;4,"Night",F127&lt;=6,"Early Morning",F127&lt;11,"Morning",F127&lt;12,"Afternoon",F127&lt;=16,"Afternoon",F127&lt;=20,"Evening",F127&gt;=21,"Night")</f>
        <v>Afternoon</v>
      </c>
      <c r="H127" s="35" t="b">
        <v>0</v>
      </c>
      <c r="I127" s="35">
        <v>4</v>
      </c>
      <c r="J127" s="35">
        <v>1</v>
      </c>
      <c r="K127" s="31">
        <v>0.22</v>
      </c>
      <c r="L127" s="31" t="str" cm="1">
        <f t="array" ref="L127">_xlfn.IFS(K127&lt;0.15,"Cold",K127&lt;0.25,"Mild",K127&lt;=0.32,"Warm",K127&gt;=0.33,"Hot")</f>
        <v>Mild</v>
      </c>
      <c r="M127" s="36">
        <v>0.2576</v>
      </c>
      <c r="N127" s="36">
        <v>0.44</v>
      </c>
      <c r="O127" s="36" t="str" cm="1">
        <f t="array" ref="O127">_xlfn.IFS(N127&gt;0.61, "High Humidity", N127&gt;=0.6, "Humid", N127&gt;0.4, "Less Humidity", TRUE, "Dry")</f>
        <v>Less Humidity</v>
      </c>
      <c r="P127" s="36">
        <v>8.9599999999999999E-2</v>
      </c>
      <c r="Q127" s="36" t="str" cm="1">
        <f t="array" ref="Q127">_xlfn.IFS(P127&lt;=0.2,"Low Windspeed",P127&lt;0.4,"Medium Windspeed",P127&gt;=0.41,"High Windspeed")</f>
        <v>Low Windspeed</v>
      </c>
      <c r="R127" s="36">
        <v>2</v>
      </c>
      <c r="S127" s="36">
        <v>57</v>
      </c>
      <c r="T127" s="37">
        <v>59</v>
      </c>
      <c r="U127" s="39" t="str" cm="1">
        <f t="array" ref="U127">_xlfn.IFS(T127&lt;=70,"Low",T127&lt;=160,"Medium",T127&gt;=161,"High")</f>
        <v>Low</v>
      </c>
    </row>
    <row r="128" spans="1:21" x14ac:dyDescent="0.25">
      <c r="A128" s="33">
        <v>127</v>
      </c>
      <c r="B128" s="34">
        <v>40549</v>
      </c>
      <c r="C128" s="35">
        <v>1</v>
      </c>
      <c r="D128" s="35">
        <v>0</v>
      </c>
      <c r="E128" s="35">
        <v>1</v>
      </c>
      <c r="F128" s="35">
        <v>12</v>
      </c>
      <c r="G128" s="35" t="str" cm="1">
        <f t="array" ref="G128">_xlfn.IFS(F128&lt;4,"Night",F128&lt;=6,"Early Morning",F128&lt;11,"Morning",F128&lt;12,"Afternoon",F128&lt;=16,"Afternoon",F128&lt;=20,"Evening",F128&gt;=21,"Night")</f>
        <v>Afternoon</v>
      </c>
      <c r="H128" s="35" t="b">
        <v>0</v>
      </c>
      <c r="I128" s="35">
        <v>4</v>
      </c>
      <c r="J128" s="35">
        <v>1</v>
      </c>
      <c r="K128" s="31">
        <v>0.26</v>
      </c>
      <c r="L128" s="31" t="str" cm="1">
        <f t="array" ref="L128">_xlfn.IFS(K128&lt;0.15,"Cold",K128&lt;0.25,"Mild",K128&lt;=0.32,"Warm",K128&gt;=0.33,"Hot")</f>
        <v>Warm</v>
      </c>
      <c r="M128" s="36">
        <v>0.28789999999999999</v>
      </c>
      <c r="N128" s="36">
        <v>0.35</v>
      </c>
      <c r="O128" s="36" t="str" cm="1">
        <f t="array" ref="O128">_xlfn.IFS(N128&gt;0.61, "High Humidity", N128&gt;=0.6, "Humid", N128&gt;0.4, "Less Humidity", TRUE, "Dry")</f>
        <v>Dry</v>
      </c>
      <c r="P128" s="36">
        <v>0</v>
      </c>
      <c r="Q128" s="36" t="str" cm="1">
        <f t="array" ref="Q128">_xlfn.IFS(P128&lt;=0.2,"Low Windspeed",P128&lt;0.4,"Medium Windspeed",P128&gt;=0.41,"High Windspeed")</f>
        <v>Low Windspeed</v>
      </c>
      <c r="R128" s="36">
        <v>6</v>
      </c>
      <c r="S128" s="36">
        <v>78</v>
      </c>
      <c r="T128" s="37">
        <v>84</v>
      </c>
      <c r="U128" s="39" t="str" cm="1">
        <f t="array" ref="U128">_xlfn.IFS(T128&lt;=70,"Low",T128&lt;=160,"Medium",T128&gt;=161,"High")</f>
        <v>Medium</v>
      </c>
    </row>
    <row r="129" spans="1:21" x14ac:dyDescent="0.25">
      <c r="A129" s="33">
        <v>128</v>
      </c>
      <c r="B129" s="34">
        <v>40549</v>
      </c>
      <c r="C129" s="35">
        <v>1</v>
      </c>
      <c r="D129" s="35">
        <v>0</v>
      </c>
      <c r="E129" s="35">
        <v>1</v>
      </c>
      <c r="F129" s="35">
        <v>13</v>
      </c>
      <c r="G129" s="35" t="str" cm="1">
        <f t="array" ref="G129">_xlfn.IFS(F129&lt;4,"Night",F129&lt;=6,"Early Morning",F129&lt;11,"Morning",F129&lt;12,"Afternoon",F129&lt;=16,"Afternoon",F129&lt;=20,"Evening",F129&gt;=21,"Night")</f>
        <v>Afternoon</v>
      </c>
      <c r="H129" s="35" t="b">
        <v>0</v>
      </c>
      <c r="I129" s="35">
        <v>4</v>
      </c>
      <c r="J129" s="35">
        <v>1</v>
      </c>
      <c r="K129" s="31">
        <v>0.26</v>
      </c>
      <c r="L129" s="31" t="str" cm="1">
        <f t="array" ref="L129">_xlfn.IFS(K129&lt;0.15,"Cold",K129&lt;0.25,"Mild",K129&lt;=0.32,"Warm",K129&gt;=0.33,"Hot")</f>
        <v>Warm</v>
      </c>
      <c r="M129" s="36">
        <v>0.2727</v>
      </c>
      <c r="N129" s="36">
        <v>0.35</v>
      </c>
      <c r="O129" s="36" t="str" cm="1">
        <f t="array" ref="O129">_xlfn.IFS(N129&gt;0.61, "High Humidity", N129&gt;=0.6, "Humid", N129&gt;0.4, "Less Humidity", TRUE, "Dry")</f>
        <v>Dry</v>
      </c>
      <c r="P129" s="36">
        <v>0.1045</v>
      </c>
      <c r="Q129" s="36" t="str" cm="1">
        <f t="array" ref="Q129">_xlfn.IFS(P129&lt;=0.2,"Low Windspeed",P129&lt;0.4,"Medium Windspeed",P129&gt;=0.41,"High Windspeed")</f>
        <v>Low Windspeed</v>
      </c>
      <c r="R129" s="36">
        <v>12</v>
      </c>
      <c r="S129" s="36">
        <v>55</v>
      </c>
      <c r="T129" s="37">
        <v>67</v>
      </c>
      <c r="U129" s="39" t="str" cm="1">
        <f t="array" ref="U129">_xlfn.IFS(T129&lt;=70,"Low",T129&lt;=160,"Medium",T129&gt;=161,"High")</f>
        <v>Low</v>
      </c>
    </row>
    <row r="130" spans="1:21" x14ac:dyDescent="0.25">
      <c r="A130" s="33">
        <v>129</v>
      </c>
      <c r="B130" s="34">
        <v>40549</v>
      </c>
      <c r="C130" s="35">
        <v>1</v>
      </c>
      <c r="D130" s="35">
        <v>0</v>
      </c>
      <c r="E130" s="35">
        <v>1</v>
      </c>
      <c r="F130" s="35">
        <v>14</v>
      </c>
      <c r="G130" s="35" t="str" cm="1">
        <f t="array" ref="G130">_xlfn.IFS(F130&lt;4,"Night",F130&lt;=6,"Early Morning",F130&lt;11,"Morning",F130&lt;12,"Afternoon",F130&lt;=16,"Afternoon",F130&lt;=20,"Evening",F130&gt;=21,"Night")</f>
        <v>Afternoon</v>
      </c>
      <c r="H130" s="35" t="b">
        <v>0</v>
      </c>
      <c r="I130" s="35">
        <v>4</v>
      </c>
      <c r="J130" s="35">
        <v>1</v>
      </c>
      <c r="K130" s="31">
        <v>0.28000000000000003</v>
      </c>
      <c r="L130" s="31" t="str" cm="1">
        <f t="array" ref="L130">_xlfn.IFS(K130&lt;0.15,"Cold",K130&lt;0.25,"Mild",K130&lt;=0.32,"Warm",K130&gt;=0.33,"Hot")</f>
        <v>Warm</v>
      </c>
      <c r="M130" s="36">
        <v>0.2727</v>
      </c>
      <c r="N130" s="36">
        <v>0.36</v>
      </c>
      <c r="O130" s="36" t="str" cm="1">
        <f t="array" ref="O130">_xlfn.IFS(N130&gt;0.61, "High Humidity", N130&gt;=0.6, "Humid", N130&gt;0.4, "Less Humidity", TRUE, "Dry")</f>
        <v>Dry</v>
      </c>
      <c r="P130" s="36">
        <v>0.16420000000000001</v>
      </c>
      <c r="Q130" s="36" t="str" cm="1">
        <f t="array" ref="Q130">_xlfn.IFS(P130&lt;=0.2,"Low Windspeed",P130&lt;0.4,"Medium Windspeed",P130&gt;=0.41,"High Windspeed")</f>
        <v>Low Windspeed</v>
      </c>
      <c r="R130" s="36">
        <v>11</v>
      </c>
      <c r="S130" s="36">
        <v>59</v>
      </c>
      <c r="T130" s="37">
        <v>70</v>
      </c>
      <c r="U130" s="39" t="str" cm="1">
        <f t="array" ref="U130">_xlfn.IFS(T130&lt;=70,"Low",T130&lt;=160,"Medium",T130&gt;=161,"High")</f>
        <v>Low</v>
      </c>
    </row>
    <row r="131" spans="1:21" x14ac:dyDescent="0.25">
      <c r="A131" s="33">
        <v>130</v>
      </c>
      <c r="B131" s="34">
        <v>40549</v>
      </c>
      <c r="C131" s="35">
        <v>1</v>
      </c>
      <c r="D131" s="35">
        <v>0</v>
      </c>
      <c r="E131" s="35">
        <v>1</v>
      </c>
      <c r="F131" s="35">
        <v>15</v>
      </c>
      <c r="G131" s="35" t="str" cm="1">
        <f t="array" ref="G131">_xlfn.IFS(F131&lt;4,"Night",F131&lt;=6,"Early Morning",F131&lt;11,"Morning",F131&lt;12,"Afternoon",F131&lt;=16,"Afternoon",F131&lt;=20,"Evening",F131&gt;=21,"Night")</f>
        <v>Afternoon</v>
      </c>
      <c r="H131" s="35" t="b">
        <v>0</v>
      </c>
      <c r="I131" s="35">
        <v>4</v>
      </c>
      <c r="J131" s="35">
        <v>1</v>
      </c>
      <c r="K131" s="31">
        <v>0.28000000000000003</v>
      </c>
      <c r="L131" s="31" t="str" cm="1">
        <f t="array" ref="L131">_xlfn.IFS(K131&lt;0.15,"Cold",K131&lt;0.25,"Mild",K131&lt;=0.32,"Warm",K131&gt;=0.33,"Hot")</f>
        <v>Warm</v>
      </c>
      <c r="M131" s="36">
        <v>0.2727</v>
      </c>
      <c r="N131" s="36">
        <v>0.36</v>
      </c>
      <c r="O131" s="36" t="str" cm="1">
        <f t="array" ref="O131">_xlfn.IFS(N131&gt;0.61, "High Humidity", N131&gt;=0.6, "Humid", N131&gt;0.4, "Less Humidity", TRUE, "Dry")</f>
        <v>Dry</v>
      </c>
      <c r="P131" s="36">
        <v>0</v>
      </c>
      <c r="Q131" s="36" t="str" cm="1">
        <f t="array" ref="Q131">_xlfn.IFS(P131&lt;=0.2,"Low Windspeed",P131&lt;0.4,"Medium Windspeed",P131&gt;=0.41,"High Windspeed")</f>
        <v>Low Windspeed</v>
      </c>
      <c r="R131" s="36">
        <v>8</v>
      </c>
      <c r="S131" s="36">
        <v>54</v>
      </c>
      <c r="T131" s="37">
        <v>62</v>
      </c>
      <c r="U131" s="39" t="str" cm="1">
        <f t="array" ref="U131">_xlfn.IFS(T131&lt;=70,"Low",T131&lt;=160,"Medium",T131&gt;=161,"High")</f>
        <v>Low</v>
      </c>
    </row>
    <row r="132" spans="1:21" x14ac:dyDescent="0.25">
      <c r="A132" s="33">
        <v>131</v>
      </c>
      <c r="B132" s="34">
        <v>40549</v>
      </c>
      <c r="C132" s="35">
        <v>1</v>
      </c>
      <c r="D132" s="35">
        <v>0</v>
      </c>
      <c r="E132" s="35">
        <v>1</v>
      </c>
      <c r="F132" s="35">
        <v>16</v>
      </c>
      <c r="G132" s="35" t="str" cm="1">
        <f t="array" ref="G132">_xlfn.IFS(F132&lt;4,"Night",F132&lt;=6,"Early Morning",F132&lt;11,"Morning",F132&lt;12,"Afternoon",F132&lt;=16,"Afternoon",F132&lt;=20,"Evening",F132&gt;=21,"Night")</f>
        <v>Afternoon</v>
      </c>
      <c r="H132" s="35" t="b">
        <v>0</v>
      </c>
      <c r="I132" s="35">
        <v>4</v>
      </c>
      <c r="J132" s="35">
        <v>1</v>
      </c>
      <c r="K132" s="31">
        <v>0.26</v>
      </c>
      <c r="L132" s="31" t="str" cm="1">
        <f t="array" ref="L132">_xlfn.IFS(K132&lt;0.15,"Cold",K132&lt;0.25,"Mild",K132&lt;=0.32,"Warm",K132&gt;=0.33,"Hot")</f>
        <v>Warm</v>
      </c>
      <c r="M132" s="36">
        <v>0.2576</v>
      </c>
      <c r="N132" s="36">
        <v>0.38</v>
      </c>
      <c r="O132" s="36" t="str" cm="1">
        <f t="array" ref="O132">_xlfn.IFS(N132&gt;0.61, "High Humidity", N132&gt;=0.6, "Humid", N132&gt;0.4, "Less Humidity", TRUE, "Dry")</f>
        <v>Dry</v>
      </c>
      <c r="P132" s="36">
        <v>0.16420000000000001</v>
      </c>
      <c r="Q132" s="36" t="str" cm="1">
        <f t="array" ref="Q132">_xlfn.IFS(P132&lt;=0.2,"Low Windspeed",P132&lt;0.4,"Medium Windspeed",P132&gt;=0.41,"High Windspeed")</f>
        <v>Low Windspeed</v>
      </c>
      <c r="R132" s="36">
        <v>12</v>
      </c>
      <c r="S132" s="36">
        <v>74</v>
      </c>
      <c r="T132" s="37">
        <v>86</v>
      </c>
      <c r="U132" s="39" t="str" cm="1">
        <f t="array" ref="U132">_xlfn.IFS(T132&lt;=70,"Low",T132&lt;=160,"Medium",T132&gt;=161,"High")</f>
        <v>Medium</v>
      </c>
    </row>
    <row r="133" spans="1:21" x14ac:dyDescent="0.25">
      <c r="A133" s="33">
        <v>132</v>
      </c>
      <c r="B133" s="34">
        <v>40549</v>
      </c>
      <c r="C133" s="35">
        <v>1</v>
      </c>
      <c r="D133" s="35">
        <v>0</v>
      </c>
      <c r="E133" s="35">
        <v>1</v>
      </c>
      <c r="F133" s="35">
        <v>17</v>
      </c>
      <c r="G133" s="35" t="str" cm="1">
        <f t="array" ref="G133">_xlfn.IFS(F133&lt;4,"Night",F133&lt;=6,"Early Morning",F133&lt;11,"Morning",F133&lt;12,"Afternoon",F133&lt;=16,"Afternoon",F133&lt;=20,"Evening",F133&gt;=21,"Night")</f>
        <v>Evening</v>
      </c>
      <c r="H133" s="35" t="b">
        <v>0</v>
      </c>
      <c r="I133" s="35">
        <v>4</v>
      </c>
      <c r="J133" s="35">
        <v>1</v>
      </c>
      <c r="K133" s="31">
        <v>0.22</v>
      </c>
      <c r="L133" s="31" t="str" cm="1">
        <f t="array" ref="L133">_xlfn.IFS(K133&lt;0.15,"Cold",K133&lt;0.25,"Mild",K133&lt;=0.32,"Warm",K133&gt;=0.33,"Hot")</f>
        <v>Mild</v>
      </c>
      <c r="M133" s="36">
        <v>0.2273</v>
      </c>
      <c r="N133" s="36">
        <v>0.51</v>
      </c>
      <c r="O133" s="36" t="str" cm="1">
        <f t="array" ref="O133">_xlfn.IFS(N133&gt;0.61, "High Humidity", N133&gt;=0.6, "Humid", N133&gt;0.4, "Less Humidity", TRUE, "Dry")</f>
        <v>Less Humidity</v>
      </c>
      <c r="P133" s="36">
        <v>0.16420000000000001</v>
      </c>
      <c r="Q133" s="36" t="str" cm="1">
        <f t="array" ref="Q133">_xlfn.IFS(P133&lt;=0.2,"Low Windspeed",P133&lt;0.4,"Medium Windspeed",P133&gt;=0.41,"High Windspeed")</f>
        <v>Low Windspeed</v>
      </c>
      <c r="R133" s="36">
        <v>9</v>
      </c>
      <c r="S133" s="36">
        <v>163</v>
      </c>
      <c r="T133" s="37">
        <v>172</v>
      </c>
      <c r="U133" s="39" t="str" cm="1">
        <f t="array" ref="U133">_xlfn.IFS(T133&lt;=70,"Low",T133&lt;=160,"Medium",T133&gt;=161,"High")</f>
        <v>High</v>
      </c>
    </row>
    <row r="134" spans="1:21" x14ac:dyDescent="0.25">
      <c r="A134" s="33">
        <v>133</v>
      </c>
      <c r="B134" s="34">
        <v>40549</v>
      </c>
      <c r="C134" s="35">
        <v>1</v>
      </c>
      <c r="D134" s="35">
        <v>0</v>
      </c>
      <c r="E134" s="35">
        <v>1</v>
      </c>
      <c r="F134" s="35">
        <v>18</v>
      </c>
      <c r="G134" s="35" t="str" cm="1">
        <f t="array" ref="G134">_xlfn.IFS(F134&lt;4,"Night",F134&lt;=6,"Early Morning",F134&lt;11,"Morning",F134&lt;12,"Afternoon",F134&lt;=16,"Afternoon",F134&lt;=20,"Evening",F134&gt;=21,"Night")</f>
        <v>Evening</v>
      </c>
      <c r="H134" s="35" t="b">
        <v>0</v>
      </c>
      <c r="I134" s="35">
        <v>4</v>
      </c>
      <c r="J134" s="35">
        <v>1</v>
      </c>
      <c r="K134" s="31">
        <v>0.22</v>
      </c>
      <c r="L134" s="31" t="str" cm="1">
        <f t="array" ref="L134">_xlfn.IFS(K134&lt;0.15,"Cold",K134&lt;0.25,"Mild",K134&lt;=0.32,"Warm",K134&gt;=0.33,"Hot")</f>
        <v>Mild</v>
      </c>
      <c r="M134" s="36">
        <v>0.2273</v>
      </c>
      <c r="N134" s="36">
        <v>0.51</v>
      </c>
      <c r="O134" s="36" t="str" cm="1">
        <f t="array" ref="O134">_xlfn.IFS(N134&gt;0.61, "High Humidity", N134&gt;=0.6, "Humid", N134&gt;0.4, "Less Humidity", TRUE, "Dry")</f>
        <v>Less Humidity</v>
      </c>
      <c r="P134" s="36">
        <v>0.1343</v>
      </c>
      <c r="Q134" s="36" t="str" cm="1">
        <f t="array" ref="Q134">_xlfn.IFS(P134&lt;=0.2,"Low Windspeed",P134&lt;0.4,"Medium Windspeed",P134&gt;=0.41,"High Windspeed")</f>
        <v>Low Windspeed</v>
      </c>
      <c r="R134" s="36">
        <v>5</v>
      </c>
      <c r="S134" s="36">
        <v>158</v>
      </c>
      <c r="T134" s="37">
        <v>163</v>
      </c>
      <c r="U134" s="39" t="str" cm="1">
        <f t="array" ref="U134">_xlfn.IFS(T134&lt;=70,"Low",T134&lt;=160,"Medium",T134&gt;=161,"High")</f>
        <v>High</v>
      </c>
    </row>
    <row r="135" spans="1:21" x14ac:dyDescent="0.25">
      <c r="A135" s="33">
        <v>134</v>
      </c>
      <c r="B135" s="34">
        <v>40549</v>
      </c>
      <c r="C135" s="35">
        <v>1</v>
      </c>
      <c r="D135" s="35">
        <v>0</v>
      </c>
      <c r="E135" s="35">
        <v>1</v>
      </c>
      <c r="F135" s="35">
        <v>19</v>
      </c>
      <c r="G135" s="35" t="str" cm="1">
        <f t="array" ref="G135">_xlfn.IFS(F135&lt;4,"Night",F135&lt;=6,"Early Morning",F135&lt;11,"Morning",F135&lt;12,"Afternoon",F135&lt;=16,"Afternoon",F135&lt;=20,"Evening",F135&gt;=21,"Night")</f>
        <v>Evening</v>
      </c>
      <c r="H135" s="35" t="b">
        <v>0</v>
      </c>
      <c r="I135" s="35">
        <v>4</v>
      </c>
      <c r="J135" s="35">
        <v>1</v>
      </c>
      <c r="K135" s="31">
        <v>0.22</v>
      </c>
      <c r="L135" s="31" t="str" cm="1">
        <f t="array" ref="L135">_xlfn.IFS(K135&lt;0.15,"Cold",K135&lt;0.25,"Mild",K135&lt;=0.32,"Warm",K135&gt;=0.33,"Hot")</f>
        <v>Mild</v>
      </c>
      <c r="M135" s="36">
        <v>0.2576</v>
      </c>
      <c r="N135" s="36">
        <v>0.55000000000000004</v>
      </c>
      <c r="O135" s="36" t="str" cm="1">
        <f t="array" ref="O135">_xlfn.IFS(N135&gt;0.61, "High Humidity", N135&gt;=0.6, "Humid", N135&gt;0.4, "Less Humidity", TRUE, "Dry")</f>
        <v>Less Humidity</v>
      </c>
      <c r="P135" s="36">
        <v>8.9599999999999999E-2</v>
      </c>
      <c r="Q135" s="36" t="str" cm="1">
        <f t="array" ref="Q135">_xlfn.IFS(P135&lt;=0.2,"Low Windspeed",P135&lt;0.4,"Medium Windspeed",P135&gt;=0.41,"High Windspeed")</f>
        <v>Low Windspeed</v>
      </c>
      <c r="R135" s="36">
        <v>3</v>
      </c>
      <c r="S135" s="36">
        <v>109</v>
      </c>
      <c r="T135" s="37">
        <v>112</v>
      </c>
      <c r="U135" s="39" t="str" cm="1">
        <f t="array" ref="U135">_xlfn.IFS(T135&lt;=70,"Low",T135&lt;=160,"Medium",T135&gt;=161,"High")</f>
        <v>Medium</v>
      </c>
    </row>
    <row r="136" spans="1:21" x14ac:dyDescent="0.25">
      <c r="A136" s="33">
        <v>135</v>
      </c>
      <c r="B136" s="34">
        <v>40549</v>
      </c>
      <c r="C136" s="35">
        <v>1</v>
      </c>
      <c r="D136" s="35">
        <v>0</v>
      </c>
      <c r="E136" s="35">
        <v>1</v>
      </c>
      <c r="F136" s="35">
        <v>20</v>
      </c>
      <c r="G136" s="35" t="str" cm="1">
        <f t="array" ref="G136">_xlfn.IFS(F136&lt;4,"Night",F136&lt;=6,"Early Morning",F136&lt;11,"Morning",F136&lt;12,"Afternoon",F136&lt;=16,"Afternoon",F136&lt;=20,"Evening",F136&gt;=21,"Night")</f>
        <v>Evening</v>
      </c>
      <c r="H136" s="35" t="b">
        <v>0</v>
      </c>
      <c r="I136" s="35">
        <v>4</v>
      </c>
      <c r="J136" s="35">
        <v>1</v>
      </c>
      <c r="K136" s="31">
        <v>0.2</v>
      </c>
      <c r="L136" s="31" t="str" cm="1">
        <f t="array" ref="L136">_xlfn.IFS(K136&lt;0.15,"Cold",K136&lt;0.25,"Mild",K136&lt;=0.32,"Warm",K136&gt;=0.33,"Hot")</f>
        <v>Mild</v>
      </c>
      <c r="M136" s="36">
        <v>0.21210000000000001</v>
      </c>
      <c r="N136" s="36">
        <v>0.51</v>
      </c>
      <c r="O136" s="36" t="str" cm="1">
        <f t="array" ref="O136">_xlfn.IFS(N136&gt;0.61, "High Humidity", N136&gt;=0.6, "Humid", N136&gt;0.4, "Less Humidity", TRUE, "Dry")</f>
        <v>Less Humidity</v>
      </c>
      <c r="P136" s="36">
        <v>0.16420000000000001</v>
      </c>
      <c r="Q136" s="36" t="str" cm="1">
        <f t="array" ref="Q136">_xlfn.IFS(P136&lt;=0.2,"Low Windspeed",P136&lt;0.4,"Medium Windspeed",P136&gt;=0.41,"High Windspeed")</f>
        <v>Low Windspeed</v>
      </c>
      <c r="R136" s="36">
        <v>3</v>
      </c>
      <c r="S136" s="36">
        <v>66</v>
      </c>
      <c r="T136" s="37">
        <v>69</v>
      </c>
      <c r="U136" s="39" t="str" cm="1">
        <f t="array" ref="U136">_xlfn.IFS(T136&lt;=70,"Low",T136&lt;=160,"Medium",T136&gt;=161,"High")</f>
        <v>Low</v>
      </c>
    </row>
    <row r="137" spans="1:21" x14ac:dyDescent="0.25">
      <c r="A137" s="33">
        <v>136</v>
      </c>
      <c r="B137" s="34">
        <v>40549</v>
      </c>
      <c r="C137" s="35">
        <v>1</v>
      </c>
      <c r="D137" s="35">
        <v>0</v>
      </c>
      <c r="E137" s="35">
        <v>1</v>
      </c>
      <c r="F137" s="35">
        <v>21</v>
      </c>
      <c r="G137" s="35" t="str" cm="1">
        <f t="array" ref="G137">_xlfn.IFS(F137&lt;4,"Night",F137&lt;=6,"Early Morning",F137&lt;11,"Morning",F137&lt;12,"Afternoon",F137&lt;=16,"Afternoon",F137&lt;=20,"Evening",F137&gt;=21,"Night")</f>
        <v>Night</v>
      </c>
      <c r="H137" s="35" t="b">
        <v>0</v>
      </c>
      <c r="I137" s="35">
        <v>4</v>
      </c>
      <c r="J137" s="35">
        <v>2</v>
      </c>
      <c r="K137" s="31">
        <v>0.22</v>
      </c>
      <c r="L137" s="31" t="str" cm="1">
        <f t="array" ref="L137">_xlfn.IFS(K137&lt;0.15,"Cold",K137&lt;0.25,"Mild",K137&lt;=0.32,"Warm",K137&gt;=0.33,"Hot")</f>
        <v>Mild</v>
      </c>
      <c r="M137" s="36">
        <v>0.21210000000000001</v>
      </c>
      <c r="N137" s="36">
        <v>0.55000000000000004</v>
      </c>
      <c r="O137" s="36" t="str" cm="1">
        <f t="array" ref="O137">_xlfn.IFS(N137&gt;0.61, "High Humidity", N137&gt;=0.6, "Humid", N137&gt;0.4, "Less Humidity", TRUE, "Dry")</f>
        <v>Less Humidity</v>
      </c>
      <c r="P137" s="36">
        <v>0.22389999999999999</v>
      </c>
      <c r="Q137" s="36" t="str" cm="1">
        <f t="array" ref="Q137">_xlfn.IFS(P137&lt;=0.2,"Low Windspeed",P137&lt;0.4,"Medium Windspeed",P137&gt;=0.41,"High Windspeed")</f>
        <v>Medium Windspeed</v>
      </c>
      <c r="R137" s="36">
        <v>0</v>
      </c>
      <c r="S137" s="36">
        <v>48</v>
      </c>
      <c r="T137" s="37">
        <v>48</v>
      </c>
      <c r="U137" s="39" t="str" cm="1">
        <f t="array" ref="U137">_xlfn.IFS(T137&lt;=70,"Low",T137&lt;=160,"Medium",T137&gt;=161,"High")</f>
        <v>Low</v>
      </c>
    </row>
    <row r="138" spans="1:21" x14ac:dyDescent="0.25">
      <c r="A138" s="33">
        <v>137</v>
      </c>
      <c r="B138" s="34">
        <v>40549</v>
      </c>
      <c r="C138" s="35">
        <v>1</v>
      </c>
      <c r="D138" s="35">
        <v>0</v>
      </c>
      <c r="E138" s="35">
        <v>1</v>
      </c>
      <c r="F138" s="35">
        <v>22</v>
      </c>
      <c r="G138" s="35" t="str" cm="1">
        <f t="array" ref="G138">_xlfn.IFS(F138&lt;4,"Night",F138&lt;=6,"Early Morning",F138&lt;11,"Morning",F138&lt;12,"Afternoon",F138&lt;=16,"Afternoon",F138&lt;=20,"Evening",F138&gt;=21,"Night")</f>
        <v>Night</v>
      </c>
      <c r="H138" s="35" t="b">
        <v>0</v>
      </c>
      <c r="I138" s="35">
        <v>4</v>
      </c>
      <c r="J138" s="35">
        <v>2</v>
      </c>
      <c r="K138" s="31">
        <v>0.22</v>
      </c>
      <c r="L138" s="31" t="str" cm="1">
        <f t="array" ref="L138">_xlfn.IFS(K138&lt;0.15,"Cold",K138&lt;0.25,"Mild",K138&lt;=0.32,"Warm",K138&gt;=0.33,"Hot")</f>
        <v>Mild</v>
      </c>
      <c r="M138" s="36">
        <v>0.21210000000000001</v>
      </c>
      <c r="N138" s="36">
        <v>0.51</v>
      </c>
      <c r="O138" s="36" t="str" cm="1">
        <f t="array" ref="O138">_xlfn.IFS(N138&gt;0.61, "High Humidity", N138&gt;=0.6, "Humid", N138&gt;0.4, "Less Humidity", TRUE, "Dry")</f>
        <v>Less Humidity</v>
      </c>
      <c r="P138" s="36">
        <v>0.28360000000000002</v>
      </c>
      <c r="Q138" s="36" t="str" cm="1">
        <f t="array" ref="Q138">_xlfn.IFS(P138&lt;=0.2,"Low Windspeed",P138&lt;0.4,"Medium Windspeed",P138&gt;=0.41,"High Windspeed")</f>
        <v>Medium Windspeed</v>
      </c>
      <c r="R138" s="36">
        <v>1</v>
      </c>
      <c r="S138" s="36">
        <v>51</v>
      </c>
      <c r="T138" s="37">
        <v>52</v>
      </c>
      <c r="U138" s="39" t="str" cm="1">
        <f t="array" ref="U138">_xlfn.IFS(T138&lt;=70,"Low",T138&lt;=160,"Medium",T138&gt;=161,"High")</f>
        <v>Low</v>
      </c>
    </row>
    <row r="139" spans="1:21" x14ac:dyDescent="0.25">
      <c r="A139" s="33">
        <v>138</v>
      </c>
      <c r="B139" s="34">
        <v>40549</v>
      </c>
      <c r="C139" s="35">
        <v>1</v>
      </c>
      <c r="D139" s="35">
        <v>0</v>
      </c>
      <c r="E139" s="35">
        <v>1</v>
      </c>
      <c r="F139" s="35">
        <v>23</v>
      </c>
      <c r="G139" s="35" t="str" cm="1">
        <f t="array" ref="G139">_xlfn.IFS(F139&lt;4,"Night",F139&lt;=6,"Early Morning",F139&lt;11,"Morning",F139&lt;12,"Afternoon",F139&lt;=16,"Afternoon",F139&lt;=20,"Evening",F139&gt;=21,"Night")</f>
        <v>Night</v>
      </c>
      <c r="H139" s="35" t="b">
        <v>0</v>
      </c>
      <c r="I139" s="35">
        <v>4</v>
      </c>
      <c r="J139" s="35">
        <v>2</v>
      </c>
      <c r="K139" s="31">
        <v>0.2</v>
      </c>
      <c r="L139" s="31" t="str" cm="1">
        <f t="array" ref="L139">_xlfn.IFS(K139&lt;0.15,"Cold",K139&lt;0.25,"Mild",K139&lt;=0.32,"Warm",K139&gt;=0.33,"Hot")</f>
        <v>Mild</v>
      </c>
      <c r="M139" s="36">
        <v>0.19700000000000001</v>
      </c>
      <c r="N139" s="36">
        <v>0.59</v>
      </c>
      <c r="O139" s="36" t="str" cm="1">
        <f t="array" ref="O139">_xlfn.IFS(N139&gt;0.61, "High Humidity", N139&gt;=0.6, "Humid", N139&gt;0.4, "Less Humidity", TRUE, "Dry")</f>
        <v>Less Humidity</v>
      </c>
      <c r="P139" s="36">
        <v>0.19400000000000001</v>
      </c>
      <c r="Q139" s="36" t="str" cm="1">
        <f t="array" ref="Q139">_xlfn.IFS(P139&lt;=0.2,"Low Windspeed",P139&lt;0.4,"Medium Windspeed",P139&gt;=0.41,"High Windspeed")</f>
        <v>Low Windspeed</v>
      </c>
      <c r="R139" s="36">
        <v>4</v>
      </c>
      <c r="S139" s="36">
        <v>19</v>
      </c>
      <c r="T139" s="37">
        <v>23</v>
      </c>
      <c r="U139" s="39" t="str" cm="1">
        <f t="array" ref="U139">_xlfn.IFS(T139&lt;=70,"Low",T139&lt;=160,"Medium",T139&gt;=161,"High")</f>
        <v>Low</v>
      </c>
    </row>
    <row r="140" spans="1:21" x14ac:dyDescent="0.25">
      <c r="A140" s="33">
        <v>139</v>
      </c>
      <c r="B140" s="34">
        <v>40550</v>
      </c>
      <c r="C140" s="35">
        <v>1</v>
      </c>
      <c r="D140" s="35">
        <v>0</v>
      </c>
      <c r="E140" s="35">
        <v>1</v>
      </c>
      <c r="F140" s="35">
        <v>0</v>
      </c>
      <c r="G140" s="35" t="str" cm="1">
        <f t="array" ref="G140">_xlfn.IFS(F140&lt;4,"Night",F140&lt;=6,"Early Morning",F140&lt;11,"Morning",F140&lt;12,"Afternoon",F140&lt;=16,"Afternoon",F140&lt;=20,"Evening",F140&gt;=21,"Night")</f>
        <v>Night</v>
      </c>
      <c r="H140" s="35" t="b">
        <v>0</v>
      </c>
      <c r="I140" s="35">
        <v>5</v>
      </c>
      <c r="J140" s="35">
        <v>2</v>
      </c>
      <c r="K140" s="31">
        <v>0.2</v>
      </c>
      <c r="L140" s="31" t="str" cm="1">
        <f t="array" ref="L140">_xlfn.IFS(K140&lt;0.15,"Cold",K140&lt;0.25,"Mild",K140&lt;=0.32,"Warm",K140&gt;=0.33,"Hot")</f>
        <v>Mild</v>
      </c>
      <c r="M140" s="36">
        <v>0.19700000000000001</v>
      </c>
      <c r="N140" s="36">
        <v>0.64</v>
      </c>
      <c r="O140" s="36" t="str" cm="1">
        <f t="array" ref="O140">_xlfn.IFS(N140&gt;0.61, "High Humidity", N140&gt;=0.6, "Humid", N140&gt;0.4, "Less Humidity", TRUE, "Dry")</f>
        <v>High Humidity</v>
      </c>
      <c r="P140" s="36">
        <v>0.19400000000000001</v>
      </c>
      <c r="Q140" s="36" t="str" cm="1">
        <f t="array" ref="Q140">_xlfn.IFS(P140&lt;=0.2,"Low Windspeed",P140&lt;0.4,"Medium Windspeed",P140&gt;=0.41,"High Windspeed")</f>
        <v>Low Windspeed</v>
      </c>
      <c r="R140" s="36">
        <v>4</v>
      </c>
      <c r="S140" s="36">
        <v>13</v>
      </c>
      <c r="T140" s="37">
        <v>17</v>
      </c>
      <c r="U140" s="39" t="str" cm="1">
        <f t="array" ref="U140">_xlfn.IFS(T140&lt;=70,"Low",T140&lt;=160,"Medium",T140&gt;=161,"High")</f>
        <v>Low</v>
      </c>
    </row>
    <row r="141" spans="1:21" x14ac:dyDescent="0.25">
      <c r="A141" s="33">
        <v>140</v>
      </c>
      <c r="B141" s="34">
        <v>40550</v>
      </c>
      <c r="C141" s="35">
        <v>1</v>
      </c>
      <c r="D141" s="35">
        <v>0</v>
      </c>
      <c r="E141" s="35">
        <v>1</v>
      </c>
      <c r="F141" s="35">
        <v>1</v>
      </c>
      <c r="G141" s="35" t="str" cm="1">
        <f t="array" ref="G141">_xlfn.IFS(F141&lt;4,"Night",F141&lt;=6,"Early Morning",F141&lt;11,"Morning",F141&lt;12,"Afternoon",F141&lt;=16,"Afternoon",F141&lt;=20,"Evening",F141&gt;=21,"Night")</f>
        <v>Night</v>
      </c>
      <c r="H141" s="35" t="b">
        <v>0</v>
      </c>
      <c r="I141" s="35">
        <v>5</v>
      </c>
      <c r="J141" s="35">
        <v>2</v>
      </c>
      <c r="K141" s="31">
        <v>0.2</v>
      </c>
      <c r="L141" s="31" t="str" cm="1">
        <f t="array" ref="L141">_xlfn.IFS(K141&lt;0.15,"Cold",K141&lt;0.25,"Mild",K141&lt;=0.32,"Warm",K141&gt;=0.33,"Hot")</f>
        <v>Mild</v>
      </c>
      <c r="M141" s="36">
        <v>0.19700000000000001</v>
      </c>
      <c r="N141" s="36">
        <v>0.69</v>
      </c>
      <c r="O141" s="36" t="str" cm="1">
        <f t="array" ref="O141">_xlfn.IFS(N141&gt;0.61, "High Humidity", N141&gt;=0.6, "Humid", N141&gt;0.4, "Less Humidity", TRUE, "Dry")</f>
        <v>High Humidity</v>
      </c>
      <c r="P141" s="36">
        <v>0.22389999999999999</v>
      </c>
      <c r="Q141" s="36" t="str" cm="1">
        <f t="array" ref="Q141">_xlfn.IFS(P141&lt;=0.2,"Low Windspeed",P141&lt;0.4,"Medium Windspeed",P141&gt;=0.41,"High Windspeed")</f>
        <v>Medium Windspeed</v>
      </c>
      <c r="R141" s="36">
        <v>2</v>
      </c>
      <c r="S141" s="36">
        <v>5</v>
      </c>
      <c r="T141" s="37">
        <v>7</v>
      </c>
      <c r="U141" s="39" t="str" cm="1">
        <f t="array" ref="U141">_xlfn.IFS(T141&lt;=70,"Low",T141&lt;=160,"Medium",T141&gt;=161,"High")</f>
        <v>Low</v>
      </c>
    </row>
    <row r="142" spans="1:21" x14ac:dyDescent="0.25">
      <c r="A142" s="33">
        <v>141</v>
      </c>
      <c r="B142" s="34">
        <v>40550</v>
      </c>
      <c r="C142" s="35">
        <v>1</v>
      </c>
      <c r="D142" s="35">
        <v>0</v>
      </c>
      <c r="E142" s="35">
        <v>1</v>
      </c>
      <c r="F142" s="35">
        <v>2</v>
      </c>
      <c r="G142" s="35" t="str" cm="1">
        <f t="array" ref="G142">_xlfn.IFS(F142&lt;4,"Night",F142&lt;=6,"Early Morning",F142&lt;11,"Morning",F142&lt;12,"Afternoon",F142&lt;=16,"Afternoon",F142&lt;=20,"Evening",F142&gt;=21,"Night")</f>
        <v>Night</v>
      </c>
      <c r="H142" s="35" t="b">
        <v>0</v>
      </c>
      <c r="I142" s="35">
        <v>5</v>
      </c>
      <c r="J142" s="35">
        <v>2</v>
      </c>
      <c r="K142" s="31">
        <v>0.2</v>
      </c>
      <c r="L142" s="31" t="str" cm="1">
        <f t="array" ref="L142">_xlfn.IFS(K142&lt;0.15,"Cold",K142&lt;0.25,"Mild",K142&lt;=0.32,"Warm",K142&gt;=0.33,"Hot")</f>
        <v>Mild</v>
      </c>
      <c r="M142" s="36">
        <v>0.19700000000000001</v>
      </c>
      <c r="N142" s="36">
        <v>0.69</v>
      </c>
      <c r="O142" s="36" t="str" cm="1">
        <f t="array" ref="O142">_xlfn.IFS(N142&gt;0.61, "High Humidity", N142&gt;=0.6, "Humid", N142&gt;0.4, "Less Humidity", TRUE, "Dry")</f>
        <v>High Humidity</v>
      </c>
      <c r="P142" s="36">
        <v>0.22389999999999999</v>
      </c>
      <c r="Q142" s="36" t="str" cm="1">
        <f t="array" ref="Q142">_xlfn.IFS(P142&lt;=0.2,"Low Windspeed",P142&lt;0.4,"Medium Windspeed",P142&gt;=0.41,"High Windspeed")</f>
        <v>Medium Windspeed</v>
      </c>
      <c r="R142" s="36">
        <v>0</v>
      </c>
      <c r="S142" s="36">
        <v>1</v>
      </c>
      <c r="T142" s="37">
        <v>1</v>
      </c>
      <c r="U142" s="39" t="str" cm="1">
        <f t="array" ref="U142">_xlfn.IFS(T142&lt;=70,"Low",T142&lt;=160,"Medium",T142&gt;=161,"High")</f>
        <v>Low</v>
      </c>
    </row>
    <row r="143" spans="1:21" x14ac:dyDescent="0.25">
      <c r="A143" s="33">
        <v>142</v>
      </c>
      <c r="B143" s="34">
        <v>40550</v>
      </c>
      <c r="C143" s="35">
        <v>1</v>
      </c>
      <c r="D143" s="35">
        <v>0</v>
      </c>
      <c r="E143" s="35">
        <v>1</v>
      </c>
      <c r="F143" s="35">
        <v>4</v>
      </c>
      <c r="G143" s="35" t="str" cm="1">
        <f t="array" ref="G143">_xlfn.IFS(F143&lt;4,"Night",F143&lt;=6,"Early Morning",F143&lt;11,"Morning",F143&lt;12,"Afternoon",F143&lt;=16,"Afternoon",F143&lt;=20,"Evening",F143&gt;=21,"Night")</f>
        <v>Early Morning</v>
      </c>
      <c r="H143" s="35" t="b">
        <v>0</v>
      </c>
      <c r="I143" s="35">
        <v>5</v>
      </c>
      <c r="J143" s="35">
        <v>2</v>
      </c>
      <c r="K143" s="31">
        <v>0.2</v>
      </c>
      <c r="L143" s="31" t="str" cm="1">
        <f t="array" ref="L143">_xlfn.IFS(K143&lt;0.15,"Cold",K143&lt;0.25,"Mild",K143&lt;=0.32,"Warm",K143&gt;=0.33,"Hot")</f>
        <v>Mild</v>
      </c>
      <c r="M143" s="36">
        <v>0.21210000000000001</v>
      </c>
      <c r="N143" s="36">
        <v>0.69</v>
      </c>
      <c r="O143" s="36" t="str" cm="1">
        <f t="array" ref="O143">_xlfn.IFS(N143&gt;0.61, "High Humidity", N143&gt;=0.6, "Humid", N143&gt;0.4, "Less Humidity", TRUE, "Dry")</f>
        <v>High Humidity</v>
      </c>
      <c r="P143" s="36">
        <v>0.1343</v>
      </c>
      <c r="Q143" s="36" t="str" cm="1">
        <f t="array" ref="Q143">_xlfn.IFS(P143&lt;=0.2,"Low Windspeed",P143&lt;0.4,"Medium Windspeed",P143&gt;=0.41,"High Windspeed")</f>
        <v>Low Windspeed</v>
      </c>
      <c r="R143" s="36">
        <v>0</v>
      </c>
      <c r="S143" s="36">
        <v>1</v>
      </c>
      <c r="T143" s="37">
        <v>1</v>
      </c>
      <c r="U143" s="39" t="str" cm="1">
        <f t="array" ref="U143">_xlfn.IFS(T143&lt;=70,"Low",T143&lt;=160,"Medium",T143&gt;=161,"High")</f>
        <v>Low</v>
      </c>
    </row>
    <row r="144" spans="1:21" x14ac:dyDescent="0.25">
      <c r="A144" s="33">
        <v>143</v>
      </c>
      <c r="B144" s="34">
        <v>40550</v>
      </c>
      <c r="C144" s="35">
        <v>1</v>
      </c>
      <c r="D144" s="35">
        <v>0</v>
      </c>
      <c r="E144" s="35">
        <v>1</v>
      </c>
      <c r="F144" s="35">
        <v>5</v>
      </c>
      <c r="G144" s="35" t="str" cm="1">
        <f t="array" ref="G144">_xlfn.IFS(F144&lt;4,"Night",F144&lt;=6,"Early Morning",F144&lt;11,"Morning",F144&lt;12,"Afternoon",F144&lt;=16,"Afternoon",F144&lt;=20,"Evening",F144&gt;=21,"Night")</f>
        <v>Early Morning</v>
      </c>
      <c r="H144" s="35" t="b">
        <v>0</v>
      </c>
      <c r="I144" s="35">
        <v>5</v>
      </c>
      <c r="J144" s="35">
        <v>3</v>
      </c>
      <c r="K144" s="31">
        <v>0.22</v>
      </c>
      <c r="L144" s="31" t="str" cm="1">
        <f t="array" ref="L144">_xlfn.IFS(K144&lt;0.15,"Cold",K144&lt;0.25,"Mild",K144&lt;=0.32,"Warm",K144&gt;=0.33,"Hot")</f>
        <v>Mild</v>
      </c>
      <c r="M144" s="36">
        <v>0.2727</v>
      </c>
      <c r="N144" s="36">
        <v>0.55000000000000004</v>
      </c>
      <c r="O144" s="36" t="str" cm="1">
        <f t="array" ref="O144">_xlfn.IFS(N144&gt;0.61, "High Humidity", N144&gt;=0.6, "Humid", N144&gt;0.4, "Less Humidity", TRUE, "Dry")</f>
        <v>Less Humidity</v>
      </c>
      <c r="P144" s="36">
        <v>0</v>
      </c>
      <c r="Q144" s="36" t="str" cm="1">
        <f t="array" ref="Q144">_xlfn.IFS(P144&lt;=0.2,"Low Windspeed",P144&lt;0.4,"Medium Windspeed",P144&gt;=0.41,"High Windspeed")</f>
        <v>Low Windspeed</v>
      </c>
      <c r="R144" s="36">
        <v>0</v>
      </c>
      <c r="S144" s="36">
        <v>5</v>
      </c>
      <c r="T144" s="37">
        <v>5</v>
      </c>
      <c r="U144" s="39" t="str" cm="1">
        <f t="array" ref="U144">_xlfn.IFS(T144&lt;=70,"Low",T144&lt;=160,"Medium",T144&gt;=161,"High")</f>
        <v>Low</v>
      </c>
    </row>
    <row r="145" spans="1:21" x14ac:dyDescent="0.25">
      <c r="A145" s="33">
        <v>144</v>
      </c>
      <c r="B145" s="34">
        <v>40550</v>
      </c>
      <c r="C145" s="35">
        <v>1</v>
      </c>
      <c r="D145" s="35">
        <v>0</v>
      </c>
      <c r="E145" s="35">
        <v>1</v>
      </c>
      <c r="F145" s="35">
        <v>6</v>
      </c>
      <c r="G145" s="35" t="str" cm="1">
        <f t="array" ref="G145">_xlfn.IFS(F145&lt;4,"Night",F145&lt;=6,"Early Morning",F145&lt;11,"Morning",F145&lt;12,"Afternoon",F145&lt;=16,"Afternoon",F145&lt;=20,"Evening",F145&gt;=21,"Night")</f>
        <v>Early Morning</v>
      </c>
      <c r="H145" s="35" t="b">
        <v>0</v>
      </c>
      <c r="I145" s="35">
        <v>5</v>
      </c>
      <c r="J145" s="35">
        <v>2</v>
      </c>
      <c r="K145" s="31">
        <v>0.2</v>
      </c>
      <c r="L145" s="31" t="str" cm="1">
        <f t="array" ref="L145">_xlfn.IFS(K145&lt;0.15,"Cold",K145&lt;0.25,"Mild",K145&lt;=0.32,"Warm",K145&gt;=0.33,"Hot")</f>
        <v>Mild</v>
      </c>
      <c r="M145" s="36">
        <v>0.2576</v>
      </c>
      <c r="N145" s="36">
        <v>0.69</v>
      </c>
      <c r="O145" s="36" t="str" cm="1">
        <f t="array" ref="O145">_xlfn.IFS(N145&gt;0.61, "High Humidity", N145&gt;=0.6, "Humid", N145&gt;0.4, "Less Humidity", TRUE, "Dry")</f>
        <v>High Humidity</v>
      </c>
      <c r="P145" s="36">
        <v>0</v>
      </c>
      <c r="Q145" s="36" t="str" cm="1">
        <f t="array" ref="Q145">_xlfn.IFS(P145&lt;=0.2,"Low Windspeed",P145&lt;0.4,"Medium Windspeed",P145&gt;=0.41,"High Windspeed")</f>
        <v>Low Windspeed</v>
      </c>
      <c r="R145" s="36">
        <v>8</v>
      </c>
      <c r="S145" s="36">
        <v>26</v>
      </c>
      <c r="T145" s="37">
        <v>34</v>
      </c>
      <c r="U145" s="39" t="str" cm="1">
        <f t="array" ref="U145">_xlfn.IFS(T145&lt;=70,"Low",T145&lt;=160,"Medium",T145&gt;=161,"High")</f>
        <v>Low</v>
      </c>
    </row>
    <row r="146" spans="1:21" x14ac:dyDescent="0.25">
      <c r="A146" s="33">
        <v>145</v>
      </c>
      <c r="B146" s="34">
        <v>40550</v>
      </c>
      <c r="C146" s="35">
        <v>1</v>
      </c>
      <c r="D146" s="35">
        <v>0</v>
      </c>
      <c r="E146" s="35">
        <v>1</v>
      </c>
      <c r="F146" s="35">
        <v>7</v>
      </c>
      <c r="G146" s="35" t="str" cm="1">
        <f t="array" ref="G146">_xlfn.IFS(F146&lt;4,"Night",F146&lt;=6,"Early Morning",F146&lt;11,"Morning",F146&lt;12,"Afternoon",F146&lt;=16,"Afternoon",F146&lt;=20,"Evening",F146&gt;=21,"Night")</f>
        <v>Morning</v>
      </c>
      <c r="H146" s="35" t="b">
        <v>0</v>
      </c>
      <c r="I146" s="35">
        <v>5</v>
      </c>
      <c r="J146" s="35">
        <v>1</v>
      </c>
      <c r="K146" s="31">
        <v>0.2</v>
      </c>
      <c r="L146" s="31" t="str" cm="1">
        <f t="array" ref="L146">_xlfn.IFS(K146&lt;0.15,"Cold",K146&lt;0.25,"Mild",K146&lt;=0.32,"Warm",K146&gt;=0.33,"Hot")</f>
        <v>Mild</v>
      </c>
      <c r="M146" s="36">
        <v>0.21210000000000001</v>
      </c>
      <c r="N146" s="36">
        <v>0.69</v>
      </c>
      <c r="O146" s="36" t="str" cm="1">
        <f t="array" ref="O146">_xlfn.IFS(N146&gt;0.61, "High Humidity", N146&gt;=0.6, "Humid", N146&gt;0.4, "Less Humidity", TRUE, "Dry")</f>
        <v>High Humidity</v>
      </c>
      <c r="P146" s="36">
        <v>0.1343</v>
      </c>
      <c r="Q146" s="36" t="str" cm="1">
        <f t="array" ref="Q146">_xlfn.IFS(P146&lt;=0.2,"Low Windspeed",P146&lt;0.4,"Medium Windspeed",P146&gt;=0.41,"High Windspeed")</f>
        <v>Low Windspeed</v>
      </c>
      <c r="R146" s="36">
        <v>8</v>
      </c>
      <c r="S146" s="36">
        <v>76</v>
      </c>
      <c r="T146" s="37">
        <v>84</v>
      </c>
      <c r="U146" s="39" t="str" cm="1">
        <f t="array" ref="U146">_xlfn.IFS(T146&lt;=70,"Low",T146&lt;=160,"Medium",T146&gt;=161,"High")</f>
        <v>Medium</v>
      </c>
    </row>
    <row r="147" spans="1:21" x14ac:dyDescent="0.25">
      <c r="A147" s="33">
        <v>146</v>
      </c>
      <c r="B147" s="34">
        <v>40550</v>
      </c>
      <c r="C147" s="35">
        <v>1</v>
      </c>
      <c r="D147" s="35">
        <v>0</v>
      </c>
      <c r="E147" s="35">
        <v>1</v>
      </c>
      <c r="F147" s="35">
        <v>8</v>
      </c>
      <c r="G147" s="35" t="str" cm="1">
        <f t="array" ref="G147">_xlfn.IFS(F147&lt;4,"Night",F147&lt;=6,"Early Morning",F147&lt;11,"Morning",F147&lt;12,"Afternoon",F147&lt;=16,"Afternoon",F147&lt;=20,"Evening",F147&gt;=21,"Night")</f>
        <v>Morning</v>
      </c>
      <c r="H147" s="35" t="b">
        <v>0</v>
      </c>
      <c r="I147" s="35">
        <v>5</v>
      </c>
      <c r="J147" s="35">
        <v>1</v>
      </c>
      <c r="K147" s="31">
        <v>0.2</v>
      </c>
      <c r="L147" s="31" t="str" cm="1">
        <f t="array" ref="L147">_xlfn.IFS(K147&lt;0.15,"Cold",K147&lt;0.25,"Mild",K147&lt;=0.32,"Warm",K147&gt;=0.33,"Hot")</f>
        <v>Mild</v>
      </c>
      <c r="M147" s="36">
        <v>0.19700000000000001</v>
      </c>
      <c r="N147" s="36">
        <v>0.51</v>
      </c>
      <c r="O147" s="36" t="str" cm="1">
        <f t="array" ref="O147">_xlfn.IFS(N147&gt;0.61, "High Humidity", N147&gt;=0.6, "Humid", N147&gt;0.4, "Less Humidity", TRUE, "Dry")</f>
        <v>Less Humidity</v>
      </c>
      <c r="P147" s="36">
        <v>0.25369999999999998</v>
      </c>
      <c r="Q147" s="36" t="str" cm="1">
        <f t="array" ref="Q147">_xlfn.IFS(P147&lt;=0.2,"Low Windspeed",P147&lt;0.4,"Medium Windspeed",P147&gt;=0.41,"High Windspeed")</f>
        <v>Medium Windspeed</v>
      </c>
      <c r="R147" s="36">
        <v>20</v>
      </c>
      <c r="S147" s="36">
        <v>190</v>
      </c>
      <c r="T147" s="37">
        <v>210</v>
      </c>
      <c r="U147" s="39" t="str" cm="1">
        <f t="array" ref="U147">_xlfn.IFS(T147&lt;=70,"Low",T147&lt;=160,"Medium",T147&gt;=161,"High")</f>
        <v>High</v>
      </c>
    </row>
    <row r="148" spans="1:21" x14ac:dyDescent="0.25">
      <c r="A148" s="33">
        <v>147</v>
      </c>
      <c r="B148" s="34">
        <v>40550</v>
      </c>
      <c r="C148" s="35">
        <v>1</v>
      </c>
      <c r="D148" s="35">
        <v>0</v>
      </c>
      <c r="E148" s="35">
        <v>1</v>
      </c>
      <c r="F148" s="35">
        <v>9</v>
      </c>
      <c r="G148" s="35" t="str" cm="1">
        <f t="array" ref="G148">_xlfn.IFS(F148&lt;4,"Night",F148&lt;=6,"Early Morning",F148&lt;11,"Morning",F148&lt;12,"Afternoon",F148&lt;=16,"Afternoon",F148&lt;=20,"Evening",F148&gt;=21,"Night")</f>
        <v>Morning</v>
      </c>
      <c r="H148" s="35" t="b">
        <v>0</v>
      </c>
      <c r="I148" s="35">
        <v>5</v>
      </c>
      <c r="J148" s="35">
        <v>1</v>
      </c>
      <c r="K148" s="31">
        <v>0.2</v>
      </c>
      <c r="L148" s="31" t="str" cm="1">
        <f t="array" ref="L148">_xlfn.IFS(K148&lt;0.15,"Cold",K148&lt;0.25,"Mild",K148&lt;=0.32,"Warm",K148&gt;=0.33,"Hot")</f>
        <v>Mild</v>
      </c>
      <c r="M148" s="36">
        <v>0.18179999999999999</v>
      </c>
      <c r="N148" s="36">
        <v>0.47</v>
      </c>
      <c r="O148" s="36" t="str" cm="1">
        <f t="array" ref="O148">_xlfn.IFS(N148&gt;0.61, "High Humidity", N148&gt;=0.6, "Humid", N148&gt;0.4, "Less Humidity", TRUE, "Dry")</f>
        <v>Less Humidity</v>
      </c>
      <c r="P148" s="36">
        <v>0.29849999999999999</v>
      </c>
      <c r="Q148" s="36" t="str" cm="1">
        <f t="array" ref="Q148">_xlfn.IFS(P148&lt;=0.2,"Low Windspeed",P148&lt;0.4,"Medium Windspeed",P148&gt;=0.41,"High Windspeed")</f>
        <v>Medium Windspeed</v>
      </c>
      <c r="R148" s="36">
        <v>9</v>
      </c>
      <c r="S148" s="36">
        <v>125</v>
      </c>
      <c r="T148" s="37">
        <v>134</v>
      </c>
      <c r="U148" s="39" t="str" cm="1">
        <f t="array" ref="U148">_xlfn.IFS(T148&lt;=70,"Low",T148&lt;=160,"Medium",T148&gt;=161,"High")</f>
        <v>Medium</v>
      </c>
    </row>
    <row r="149" spans="1:21" x14ac:dyDescent="0.25">
      <c r="A149" s="33">
        <v>148</v>
      </c>
      <c r="B149" s="34">
        <v>40550</v>
      </c>
      <c r="C149" s="35">
        <v>1</v>
      </c>
      <c r="D149" s="35">
        <v>0</v>
      </c>
      <c r="E149" s="35">
        <v>1</v>
      </c>
      <c r="F149" s="35">
        <v>10</v>
      </c>
      <c r="G149" s="35" t="str" cm="1">
        <f t="array" ref="G149">_xlfn.IFS(F149&lt;4,"Night",F149&lt;=6,"Early Morning",F149&lt;11,"Morning",F149&lt;12,"Afternoon",F149&lt;=16,"Afternoon",F149&lt;=20,"Evening",F149&gt;=21,"Night")</f>
        <v>Morning</v>
      </c>
      <c r="H149" s="35" t="b">
        <v>0</v>
      </c>
      <c r="I149" s="35">
        <v>5</v>
      </c>
      <c r="J149" s="35">
        <v>1</v>
      </c>
      <c r="K149" s="31">
        <v>0.22</v>
      </c>
      <c r="L149" s="31" t="str" cm="1">
        <f t="array" ref="L149">_xlfn.IFS(K149&lt;0.15,"Cold",K149&lt;0.25,"Mild",K149&lt;=0.32,"Warm",K149&gt;=0.33,"Hot")</f>
        <v>Mild</v>
      </c>
      <c r="M149" s="36">
        <v>0.19700000000000001</v>
      </c>
      <c r="N149" s="36">
        <v>0.37</v>
      </c>
      <c r="O149" s="36" t="str" cm="1">
        <f t="array" ref="O149">_xlfn.IFS(N149&gt;0.61, "High Humidity", N149&gt;=0.6, "Humid", N149&gt;0.4, "Less Humidity", TRUE, "Dry")</f>
        <v>Dry</v>
      </c>
      <c r="P149" s="36">
        <v>0.32840000000000003</v>
      </c>
      <c r="Q149" s="36" t="str" cm="1">
        <f t="array" ref="Q149">_xlfn.IFS(P149&lt;=0.2,"Low Windspeed",P149&lt;0.4,"Medium Windspeed",P149&gt;=0.41,"High Windspeed")</f>
        <v>Medium Windspeed</v>
      </c>
      <c r="R149" s="36">
        <v>16</v>
      </c>
      <c r="S149" s="36">
        <v>47</v>
      </c>
      <c r="T149" s="37">
        <v>63</v>
      </c>
      <c r="U149" s="39" t="str" cm="1">
        <f t="array" ref="U149">_xlfn.IFS(T149&lt;=70,"Low",T149&lt;=160,"Medium",T149&gt;=161,"High")</f>
        <v>Low</v>
      </c>
    </row>
    <row r="150" spans="1:21" x14ac:dyDescent="0.25">
      <c r="A150" s="33">
        <v>149</v>
      </c>
      <c r="B150" s="34">
        <v>40550</v>
      </c>
      <c r="C150" s="35">
        <v>1</v>
      </c>
      <c r="D150" s="35">
        <v>0</v>
      </c>
      <c r="E150" s="35">
        <v>1</v>
      </c>
      <c r="F150" s="35">
        <v>11</v>
      </c>
      <c r="G150" s="35" t="str" cm="1">
        <f t="array" ref="G150">_xlfn.IFS(F150&lt;4,"Night",F150&lt;=6,"Early Morning",F150&lt;11,"Morning",F150&lt;12,"Afternoon",F150&lt;=16,"Afternoon",F150&lt;=20,"Evening",F150&gt;=21,"Night")</f>
        <v>Afternoon</v>
      </c>
      <c r="H150" s="35" t="b">
        <v>0</v>
      </c>
      <c r="I150" s="35">
        <v>5</v>
      </c>
      <c r="J150" s="35">
        <v>2</v>
      </c>
      <c r="K150" s="31">
        <v>0.2</v>
      </c>
      <c r="L150" s="31" t="str" cm="1">
        <f t="array" ref="L150">_xlfn.IFS(K150&lt;0.15,"Cold",K150&lt;0.25,"Mild",K150&lt;=0.32,"Warm",K150&gt;=0.33,"Hot")</f>
        <v>Mild</v>
      </c>
      <c r="M150" s="36">
        <v>0.19700000000000001</v>
      </c>
      <c r="N150" s="36">
        <v>0.4</v>
      </c>
      <c r="O150" s="36" t="str" cm="1">
        <f t="array" ref="O150">_xlfn.IFS(N150&gt;0.61, "High Humidity", N150&gt;=0.6, "Humid", N150&gt;0.4, "Less Humidity", TRUE, "Dry")</f>
        <v>Dry</v>
      </c>
      <c r="P150" s="36">
        <v>0.22389999999999999</v>
      </c>
      <c r="Q150" s="36" t="str" cm="1">
        <f t="array" ref="Q150">_xlfn.IFS(P150&lt;=0.2,"Low Windspeed",P150&lt;0.4,"Medium Windspeed",P150&gt;=0.41,"High Windspeed")</f>
        <v>Medium Windspeed</v>
      </c>
      <c r="R150" s="36">
        <v>19</v>
      </c>
      <c r="S150" s="36">
        <v>48</v>
      </c>
      <c r="T150" s="37">
        <v>67</v>
      </c>
      <c r="U150" s="39" t="str" cm="1">
        <f t="array" ref="U150">_xlfn.IFS(T150&lt;=70,"Low",T150&lt;=160,"Medium",T150&gt;=161,"High")</f>
        <v>Low</v>
      </c>
    </row>
    <row r="151" spans="1:21" x14ac:dyDescent="0.25">
      <c r="A151" s="33">
        <v>150</v>
      </c>
      <c r="B151" s="34">
        <v>40550</v>
      </c>
      <c r="C151" s="35">
        <v>1</v>
      </c>
      <c r="D151" s="35">
        <v>0</v>
      </c>
      <c r="E151" s="35">
        <v>1</v>
      </c>
      <c r="F151" s="35">
        <v>12</v>
      </c>
      <c r="G151" s="35" t="str" cm="1">
        <f t="array" ref="G151">_xlfn.IFS(F151&lt;4,"Night",F151&lt;=6,"Early Morning",F151&lt;11,"Morning",F151&lt;12,"Afternoon",F151&lt;=16,"Afternoon",F151&lt;=20,"Evening",F151&gt;=21,"Night")</f>
        <v>Afternoon</v>
      </c>
      <c r="H151" s="35" t="b">
        <v>0</v>
      </c>
      <c r="I151" s="35">
        <v>5</v>
      </c>
      <c r="J151" s="35">
        <v>2</v>
      </c>
      <c r="K151" s="31">
        <v>0.2</v>
      </c>
      <c r="L151" s="31" t="str" cm="1">
        <f t="array" ref="L151">_xlfn.IFS(K151&lt;0.15,"Cold",K151&lt;0.25,"Mild",K151&lt;=0.32,"Warm",K151&gt;=0.33,"Hot")</f>
        <v>Mild</v>
      </c>
      <c r="M151" s="36">
        <v>0.19700000000000001</v>
      </c>
      <c r="N151" s="36">
        <v>0.37</v>
      </c>
      <c r="O151" s="36" t="str" cm="1">
        <f t="array" ref="O151">_xlfn.IFS(N151&gt;0.61, "High Humidity", N151&gt;=0.6, "Humid", N151&gt;0.4, "Less Humidity", TRUE, "Dry")</f>
        <v>Dry</v>
      </c>
      <c r="P151" s="36">
        <v>0.25369999999999998</v>
      </c>
      <c r="Q151" s="36" t="str" cm="1">
        <f t="array" ref="Q151">_xlfn.IFS(P151&lt;=0.2,"Low Windspeed",P151&lt;0.4,"Medium Windspeed",P151&gt;=0.41,"High Windspeed")</f>
        <v>Medium Windspeed</v>
      </c>
      <c r="R151" s="36">
        <v>9</v>
      </c>
      <c r="S151" s="36">
        <v>50</v>
      </c>
      <c r="T151" s="37">
        <v>59</v>
      </c>
      <c r="U151" s="39" t="str" cm="1">
        <f t="array" ref="U151">_xlfn.IFS(T151&lt;=70,"Low",T151&lt;=160,"Medium",T151&gt;=161,"High")</f>
        <v>Low</v>
      </c>
    </row>
    <row r="152" spans="1:21" x14ac:dyDescent="0.25">
      <c r="A152" s="33">
        <v>151</v>
      </c>
      <c r="B152" s="34">
        <v>40550</v>
      </c>
      <c r="C152" s="35">
        <v>1</v>
      </c>
      <c r="D152" s="35">
        <v>0</v>
      </c>
      <c r="E152" s="35">
        <v>1</v>
      </c>
      <c r="F152" s="35">
        <v>13</v>
      </c>
      <c r="G152" s="35" t="str" cm="1">
        <f t="array" ref="G152">_xlfn.IFS(F152&lt;4,"Night",F152&lt;=6,"Early Morning",F152&lt;11,"Morning",F152&lt;12,"Afternoon",F152&lt;=16,"Afternoon",F152&lt;=20,"Evening",F152&gt;=21,"Night")</f>
        <v>Afternoon</v>
      </c>
      <c r="H152" s="35" t="b">
        <v>0</v>
      </c>
      <c r="I152" s="35">
        <v>5</v>
      </c>
      <c r="J152" s="35">
        <v>2</v>
      </c>
      <c r="K152" s="31">
        <v>0.2</v>
      </c>
      <c r="L152" s="31" t="str" cm="1">
        <f t="array" ref="L152">_xlfn.IFS(K152&lt;0.15,"Cold",K152&lt;0.25,"Mild",K152&lt;=0.32,"Warm",K152&gt;=0.33,"Hot")</f>
        <v>Mild</v>
      </c>
      <c r="M152" s="36">
        <v>0.18179999999999999</v>
      </c>
      <c r="N152" s="36">
        <v>0.37</v>
      </c>
      <c r="O152" s="36" t="str" cm="1">
        <f t="array" ref="O152">_xlfn.IFS(N152&gt;0.61, "High Humidity", N152&gt;=0.6, "Humid", N152&gt;0.4, "Less Humidity", TRUE, "Dry")</f>
        <v>Dry</v>
      </c>
      <c r="P152" s="36">
        <v>0.28360000000000002</v>
      </c>
      <c r="Q152" s="36" t="str" cm="1">
        <f t="array" ref="Q152">_xlfn.IFS(P152&lt;=0.2,"Low Windspeed",P152&lt;0.4,"Medium Windspeed",P152&gt;=0.41,"High Windspeed")</f>
        <v>Medium Windspeed</v>
      </c>
      <c r="R152" s="36">
        <v>9</v>
      </c>
      <c r="S152" s="36">
        <v>64</v>
      </c>
      <c r="T152" s="37">
        <v>73</v>
      </c>
      <c r="U152" s="39" t="str" cm="1">
        <f t="array" ref="U152">_xlfn.IFS(T152&lt;=70,"Low",T152&lt;=160,"Medium",T152&gt;=161,"High")</f>
        <v>Medium</v>
      </c>
    </row>
    <row r="153" spans="1:21" x14ac:dyDescent="0.25">
      <c r="A153" s="33">
        <v>152</v>
      </c>
      <c r="B153" s="34">
        <v>40550</v>
      </c>
      <c r="C153" s="35">
        <v>1</v>
      </c>
      <c r="D153" s="35">
        <v>0</v>
      </c>
      <c r="E153" s="35">
        <v>1</v>
      </c>
      <c r="F153" s="35">
        <v>14</v>
      </c>
      <c r="G153" s="35" t="str" cm="1">
        <f t="array" ref="G153">_xlfn.IFS(F153&lt;4,"Night",F153&lt;=6,"Early Morning",F153&lt;11,"Morning",F153&lt;12,"Afternoon",F153&lt;=16,"Afternoon",F153&lt;=20,"Evening",F153&gt;=21,"Night")</f>
        <v>Afternoon</v>
      </c>
      <c r="H153" s="35" t="b">
        <v>0</v>
      </c>
      <c r="I153" s="35">
        <v>5</v>
      </c>
      <c r="J153" s="35">
        <v>2</v>
      </c>
      <c r="K153" s="31">
        <v>0.2</v>
      </c>
      <c r="L153" s="31" t="str" cm="1">
        <f t="array" ref="L153">_xlfn.IFS(K153&lt;0.15,"Cold",K153&lt;0.25,"Mild",K153&lt;=0.32,"Warm",K153&gt;=0.33,"Hot")</f>
        <v>Mild</v>
      </c>
      <c r="M153" s="36">
        <v>0.19700000000000001</v>
      </c>
      <c r="N153" s="36">
        <v>0.4</v>
      </c>
      <c r="O153" s="36" t="str" cm="1">
        <f t="array" ref="O153">_xlfn.IFS(N153&gt;0.61, "High Humidity", N153&gt;=0.6, "Humid", N153&gt;0.4, "Less Humidity", TRUE, "Dry")</f>
        <v>Dry</v>
      </c>
      <c r="P153" s="36">
        <v>0.25369999999999998</v>
      </c>
      <c r="Q153" s="36" t="str" cm="1">
        <f t="array" ref="Q153">_xlfn.IFS(P153&lt;=0.2,"Low Windspeed",P153&lt;0.4,"Medium Windspeed",P153&gt;=0.41,"High Windspeed")</f>
        <v>Medium Windspeed</v>
      </c>
      <c r="R153" s="36">
        <v>7</v>
      </c>
      <c r="S153" s="36">
        <v>43</v>
      </c>
      <c r="T153" s="37">
        <v>50</v>
      </c>
      <c r="U153" s="39" t="str" cm="1">
        <f t="array" ref="U153">_xlfn.IFS(T153&lt;=70,"Low",T153&lt;=160,"Medium",T153&gt;=161,"High")</f>
        <v>Low</v>
      </c>
    </row>
    <row r="154" spans="1:21" x14ac:dyDescent="0.25">
      <c r="A154" s="33">
        <v>153</v>
      </c>
      <c r="B154" s="34">
        <v>40550</v>
      </c>
      <c r="C154" s="35">
        <v>1</v>
      </c>
      <c r="D154" s="35">
        <v>0</v>
      </c>
      <c r="E154" s="35">
        <v>1</v>
      </c>
      <c r="F154" s="35">
        <v>15</v>
      </c>
      <c r="G154" s="35" t="str" cm="1">
        <f t="array" ref="G154">_xlfn.IFS(F154&lt;4,"Night",F154&lt;=6,"Early Morning",F154&lt;11,"Morning",F154&lt;12,"Afternoon",F154&lt;=16,"Afternoon",F154&lt;=20,"Evening",F154&gt;=21,"Night")</f>
        <v>Afternoon</v>
      </c>
      <c r="H154" s="35" t="b">
        <v>0</v>
      </c>
      <c r="I154" s="35">
        <v>5</v>
      </c>
      <c r="J154" s="35">
        <v>2</v>
      </c>
      <c r="K154" s="31">
        <v>0.2</v>
      </c>
      <c r="L154" s="31" t="str" cm="1">
        <f t="array" ref="L154">_xlfn.IFS(K154&lt;0.15,"Cold",K154&lt;0.25,"Mild",K154&lt;=0.32,"Warm",K154&gt;=0.33,"Hot")</f>
        <v>Mild</v>
      </c>
      <c r="M154" s="36">
        <v>0.21210000000000001</v>
      </c>
      <c r="N154" s="36">
        <v>0.37</v>
      </c>
      <c r="O154" s="36" t="str" cm="1">
        <f t="array" ref="O154">_xlfn.IFS(N154&gt;0.61, "High Humidity", N154&gt;=0.6, "Humid", N154&gt;0.4, "Less Humidity", TRUE, "Dry")</f>
        <v>Dry</v>
      </c>
      <c r="P154" s="36">
        <v>0.16420000000000001</v>
      </c>
      <c r="Q154" s="36" t="str" cm="1">
        <f t="array" ref="Q154">_xlfn.IFS(P154&lt;=0.2,"Low Windspeed",P154&lt;0.4,"Medium Windspeed",P154&gt;=0.41,"High Windspeed")</f>
        <v>Low Windspeed</v>
      </c>
      <c r="R154" s="36">
        <v>9</v>
      </c>
      <c r="S154" s="36">
        <v>63</v>
      </c>
      <c r="T154" s="37">
        <v>72</v>
      </c>
      <c r="U154" s="39" t="str" cm="1">
        <f t="array" ref="U154">_xlfn.IFS(T154&lt;=70,"Low",T154&lt;=160,"Medium",T154&gt;=161,"High")</f>
        <v>Medium</v>
      </c>
    </row>
    <row r="155" spans="1:21" x14ac:dyDescent="0.25">
      <c r="A155" s="33">
        <v>154</v>
      </c>
      <c r="B155" s="34">
        <v>40550</v>
      </c>
      <c r="C155" s="35">
        <v>1</v>
      </c>
      <c r="D155" s="35">
        <v>0</v>
      </c>
      <c r="E155" s="35">
        <v>1</v>
      </c>
      <c r="F155" s="35">
        <v>16</v>
      </c>
      <c r="G155" s="35" t="str" cm="1">
        <f t="array" ref="G155">_xlfn.IFS(F155&lt;4,"Night",F155&lt;=6,"Early Morning",F155&lt;11,"Morning",F155&lt;12,"Afternoon",F155&lt;=16,"Afternoon",F155&lt;=20,"Evening",F155&gt;=21,"Night")</f>
        <v>Afternoon</v>
      </c>
      <c r="H155" s="35" t="b">
        <v>0</v>
      </c>
      <c r="I155" s="35">
        <v>5</v>
      </c>
      <c r="J155" s="35">
        <v>2</v>
      </c>
      <c r="K155" s="31">
        <v>0.2</v>
      </c>
      <c r="L155" s="31" t="str" cm="1">
        <f t="array" ref="L155">_xlfn.IFS(K155&lt;0.15,"Cold",K155&lt;0.25,"Mild",K155&lt;=0.32,"Warm",K155&gt;=0.33,"Hot")</f>
        <v>Mild</v>
      </c>
      <c r="M155" s="36">
        <v>0.21210000000000001</v>
      </c>
      <c r="N155" s="36">
        <v>0.37</v>
      </c>
      <c r="O155" s="36" t="str" cm="1">
        <f t="array" ref="O155">_xlfn.IFS(N155&gt;0.61, "High Humidity", N155&gt;=0.6, "Humid", N155&gt;0.4, "Less Humidity", TRUE, "Dry")</f>
        <v>Dry</v>
      </c>
      <c r="P155" s="36">
        <v>0.16420000000000001</v>
      </c>
      <c r="Q155" s="36" t="str" cm="1">
        <f t="array" ref="Q155">_xlfn.IFS(P155&lt;=0.2,"Low Windspeed",P155&lt;0.4,"Medium Windspeed",P155&gt;=0.41,"High Windspeed")</f>
        <v>Low Windspeed</v>
      </c>
      <c r="R155" s="36">
        <v>5</v>
      </c>
      <c r="S155" s="36">
        <v>82</v>
      </c>
      <c r="T155" s="37">
        <v>87</v>
      </c>
      <c r="U155" s="39" t="str" cm="1">
        <f t="array" ref="U155">_xlfn.IFS(T155&lt;=70,"Low",T155&lt;=160,"Medium",T155&gt;=161,"High")</f>
        <v>Medium</v>
      </c>
    </row>
    <row r="156" spans="1:21" x14ac:dyDescent="0.25">
      <c r="A156" s="33">
        <v>155</v>
      </c>
      <c r="B156" s="34">
        <v>40550</v>
      </c>
      <c r="C156" s="35">
        <v>1</v>
      </c>
      <c r="D156" s="35">
        <v>0</v>
      </c>
      <c r="E156" s="35">
        <v>1</v>
      </c>
      <c r="F156" s="35">
        <v>17</v>
      </c>
      <c r="G156" s="35" t="str" cm="1">
        <f t="array" ref="G156">_xlfn.IFS(F156&lt;4,"Night",F156&lt;=6,"Early Morning",F156&lt;11,"Morning",F156&lt;12,"Afternoon",F156&lt;=16,"Afternoon",F156&lt;=20,"Evening",F156&gt;=21,"Night")</f>
        <v>Evening</v>
      </c>
      <c r="H156" s="35" t="b">
        <v>0</v>
      </c>
      <c r="I156" s="35">
        <v>5</v>
      </c>
      <c r="J156" s="35">
        <v>2</v>
      </c>
      <c r="K156" s="31">
        <v>0.2</v>
      </c>
      <c r="L156" s="31" t="str" cm="1">
        <f t="array" ref="L156">_xlfn.IFS(K156&lt;0.15,"Cold",K156&lt;0.25,"Mild",K156&lt;=0.32,"Warm",K156&gt;=0.33,"Hot")</f>
        <v>Mild</v>
      </c>
      <c r="M156" s="36">
        <v>0.2576</v>
      </c>
      <c r="N156" s="36">
        <v>0.37</v>
      </c>
      <c r="O156" s="36" t="str" cm="1">
        <f t="array" ref="O156">_xlfn.IFS(N156&gt;0.61, "High Humidity", N156&gt;=0.6, "Humid", N156&gt;0.4, "Less Humidity", TRUE, "Dry")</f>
        <v>Dry</v>
      </c>
      <c r="P156" s="36">
        <v>0</v>
      </c>
      <c r="Q156" s="36" t="str" cm="1">
        <f t="array" ref="Q156">_xlfn.IFS(P156&lt;=0.2,"Low Windspeed",P156&lt;0.4,"Medium Windspeed",P156&gt;=0.41,"High Windspeed")</f>
        <v>Low Windspeed</v>
      </c>
      <c r="R156" s="36">
        <v>9</v>
      </c>
      <c r="S156" s="36">
        <v>178</v>
      </c>
      <c r="T156" s="37">
        <v>187</v>
      </c>
      <c r="U156" s="39" t="str" cm="1">
        <f t="array" ref="U156">_xlfn.IFS(T156&lt;=70,"Low",T156&lt;=160,"Medium",T156&gt;=161,"High")</f>
        <v>High</v>
      </c>
    </row>
    <row r="157" spans="1:21" x14ac:dyDescent="0.25">
      <c r="A157" s="33">
        <v>156</v>
      </c>
      <c r="B157" s="34">
        <v>40550</v>
      </c>
      <c r="C157" s="35">
        <v>1</v>
      </c>
      <c r="D157" s="35">
        <v>0</v>
      </c>
      <c r="E157" s="35">
        <v>1</v>
      </c>
      <c r="F157" s="35">
        <v>18</v>
      </c>
      <c r="G157" s="35" t="str" cm="1">
        <f t="array" ref="G157">_xlfn.IFS(F157&lt;4,"Night",F157&lt;=6,"Early Morning",F157&lt;11,"Morning",F157&lt;12,"Afternoon",F157&lt;=16,"Afternoon",F157&lt;=20,"Evening",F157&gt;=21,"Night")</f>
        <v>Evening</v>
      </c>
      <c r="H157" s="35" t="b">
        <v>0</v>
      </c>
      <c r="I157" s="35">
        <v>5</v>
      </c>
      <c r="J157" s="35">
        <v>1</v>
      </c>
      <c r="K157" s="31">
        <v>0.2</v>
      </c>
      <c r="L157" s="31" t="str" cm="1">
        <f t="array" ref="L157">_xlfn.IFS(K157&lt;0.15,"Cold",K157&lt;0.25,"Mild",K157&lt;=0.32,"Warm",K157&gt;=0.33,"Hot")</f>
        <v>Mild</v>
      </c>
      <c r="M157" s="36">
        <v>0.2273</v>
      </c>
      <c r="N157" s="36">
        <v>0.4</v>
      </c>
      <c r="O157" s="36" t="str" cm="1">
        <f t="array" ref="O157">_xlfn.IFS(N157&gt;0.61, "High Humidity", N157&gt;=0.6, "Humid", N157&gt;0.4, "Less Humidity", TRUE, "Dry")</f>
        <v>Dry</v>
      </c>
      <c r="P157" s="36">
        <v>8.9599999999999999E-2</v>
      </c>
      <c r="Q157" s="36" t="str" cm="1">
        <f t="array" ref="Q157">_xlfn.IFS(P157&lt;=0.2,"Low Windspeed",P157&lt;0.4,"Medium Windspeed",P157&gt;=0.41,"High Windspeed")</f>
        <v>Low Windspeed</v>
      </c>
      <c r="R157" s="36">
        <v>7</v>
      </c>
      <c r="S157" s="36">
        <v>116</v>
      </c>
      <c r="T157" s="37">
        <v>123</v>
      </c>
      <c r="U157" s="39" t="str" cm="1">
        <f t="array" ref="U157">_xlfn.IFS(T157&lt;=70,"Low",T157&lt;=160,"Medium",T157&gt;=161,"High")</f>
        <v>Medium</v>
      </c>
    </row>
    <row r="158" spans="1:21" x14ac:dyDescent="0.25">
      <c r="A158" s="33">
        <v>157</v>
      </c>
      <c r="B158" s="34">
        <v>40550</v>
      </c>
      <c r="C158" s="35">
        <v>1</v>
      </c>
      <c r="D158" s="35">
        <v>0</v>
      </c>
      <c r="E158" s="35">
        <v>1</v>
      </c>
      <c r="F158" s="35">
        <v>19</v>
      </c>
      <c r="G158" s="35" t="str" cm="1">
        <f t="array" ref="G158">_xlfn.IFS(F158&lt;4,"Night",F158&lt;=6,"Early Morning",F158&lt;11,"Morning",F158&lt;12,"Afternoon",F158&lt;=16,"Afternoon",F158&lt;=20,"Evening",F158&gt;=21,"Night")</f>
        <v>Evening</v>
      </c>
      <c r="H158" s="35" t="b">
        <v>0</v>
      </c>
      <c r="I158" s="35">
        <v>5</v>
      </c>
      <c r="J158" s="35">
        <v>1</v>
      </c>
      <c r="K158" s="31">
        <v>0.16</v>
      </c>
      <c r="L158" s="31" t="str" cm="1">
        <f t="array" ref="L158">_xlfn.IFS(K158&lt;0.15,"Cold",K158&lt;0.25,"Mild",K158&lt;=0.32,"Warm",K158&gt;=0.33,"Hot")</f>
        <v>Mild</v>
      </c>
      <c r="M158" s="36">
        <v>0.19700000000000001</v>
      </c>
      <c r="N158" s="36">
        <v>0.55000000000000004</v>
      </c>
      <c r="O158" s="36" t="str" cm="1">
        <f t="array" ref="O158">_xlfn.IFS(N158&gt;0.61, "High Humidity", N158&gt;=0.6, "Humid", N158&gt;0.4, "Less Humidity", TRUE, "Dry")</f>
        <v>Less Humidity</v>
      </c>
      <c r="P158" s="36">
        <v>8.9599999999999999E-2</v>
      </c>
      <c r="Q158" s="36" t="str" cm="1">
        <f t="array" ref="Q158">_xlfn.IFS(P158&lt;=0.2,"Low Windspeed",P158&lt;0.4,"Medium Windspeed",P158&gt;=0.41,"High Windspeed")</f>
        <v>Low Windspeed</v>
      </c>
      <c r="R158" s="36">
        <v>3</v>
      </c>
      <c r="S158" s="36">
        <v>92</v>
      </c>
      <c r="T158" s="37">
        <v>95</v>
      </c>
      <c r="U158" s="39" t="str" cm="1">
        <f t="array" ref="U158">_xlfn.IFS(T158&lt;=70,"Low",T158&lt;=160,"Medium",T158&gt;=161,"High")</f>
        <v>Medium</v>
      </c>
    </row>
    <row r="159" spans="1:21" x14ac:dyDescent="0.25">
      <c r="A159" s="33">
        <v>158</v>
      </c>
      <c r="B159" s="34">
        <v>40550</v>
      </c>
      <c r="C159" s="35">
        <v>1</v>
      </c>
      <c r="D159" s="35">
        <v>0</v>
      </c>
      <c r="E159" s="35">
        <v>1</v>
      </c>
      <c r="F159" s="35">
        <v>20</v>
      </c>
      <c r="G159" s="35" t="str" cm="1">
        <f t="array" ref="G159">_xlfn.IFS(F159&lt;4,"Night",F159&lt;=6,"Early Morning",F159&lt;11,"Morning",F159&lt;12,"Afternoon",F159&lt;=16,"Afternoon",F159&lt;=20,"Evening",F159&gt;=21,"Night")</f>
        <v>Evening</v>
      </c>
      <c r="H159" s="35" t="b">
        <v>0</v>
      </c>
      <c r="I159" s="35">
        <v>5</v>
      </c>
      <c r="J159" s="35">
        <v>1</v>
      </c>
      <c r="K159" s="31">
        <v>0.18</v>
      </c>
      <c r="L159" s="31" t="str" cm="1">
        <f t="array" ref="L159">_xlfn.IFS(K159&lt;0.15,"Cold",K159&lt;0.25,"Mild",K159&lt;=0.32,"Warm",K159&gt;=0.33,"Hot")</f>
        <v>Mild</v>
      </c>
      <c r="M159" s="36">
        <v>0.21210000000000001</v>
      </c>
      <c r="N159" s="36">
        <v>0.47</v>
      </c>
      <c r="O159" s="36" t="str" cm="1">
        <f t="array" ref="O159">_xlfn.IFS(N159&gt;0.61, "High Humidity", N159&gt;=0.6, "Humid", N159&gt;0.4, "Less Humidity", TRUE, "Dry")</f>
        <v>Less Humidity</v>
      </c>
      <c r="P159" s="36">
        <v>0.1045</v>
      </c>
      <c r="Q159" s="36" t="str" cm="1">
        <f t="array" ref="Q159">_xlfn.IFS(P159&lt;=0.2,"Low Windspeed",P159&lt;0.4,"Medium Windspeed",P159&gt;=0.41,"High Windspeed")</f>
        <v>Low Windspeed</v>
      </c>
      <c r="R159" s="36">
        <v>1</v>
      </c>
      <c r="S159" s="36">
        <v>50</v>
      </c>
      <c r="T159" s="37">
        <v>51</v>
      </c>
      <c r="U159" s="39" t="str" cm="1">
        <f t="array" ref="U159">_xlfn.IFS(T159&lt;=70,"Low",T159&lt;=160,"Medium",T159&gt;=161,"High")</f>
        <v>Low</v>
      </c>
    </row>
    <row r="160" spans="1:21" x14ac:dyDescent="0.25">
      <c r="A160" s="33">
        <v>159</v>
      </c>
      <c r="B160" s="34">
        <v>40550</v>
      </c>
      <c r="C160" s="35">
        <v>1</v>
      </c>
      <c r="D160" s="35">
        <v>0</v>
      </c>
      <c r="E160" s="35">
        <v>1</v>
      </c>
      <c r="F160" s="35">
        <v>21</v>
      </c>
      <c r="G160" s="35" t="str" cm="1">
        <f t="array" ref="G160">_xlfn.IFS(F160&lt;4,"Night",F160&lt;=6,"Early Morning",F160&lt;11,"Morning",F160&lt;12,"Afternoon",F160&lt;=16,"Afternoon",F160&lt;=20,"Evening",F160&gt;=21,"Night")</f>
        <v>Night</v>
      </c>
      <c r="H160" s="35" t="b">
        <v>0</v>
      </c>
      <c r="I160" s="35">
        <v>5</v>
      </c>
      <c r="J160" s="35">
        <v>1</v>
      </c>
      <c r="K160" s="31">
        <v>0.18</v>
      </c>
      <c r="L160" s="31" t="str" cm="1">
        <f t="array" ref="L160">_xlfn.IFS(K160&lt;0.15,"Cold",K160&lt;0.25,"Mild",K160&lt;=0.32,"Warm",K160&gt;=0.33,"Hot")</f>
        <v>Mild</v>
      </c>
      <c r="M160" s="36">
        <v>0.19700000000000001</v>
      </c>
      <c r="N160" s="36">
        <v>0.47</v>
      </c>
      <c r="O160" s="36" t="str" cm="1">
        <f t="array" ref="O160">_xlfn.IFS(N160&gt;0.61, "High Humidity", N160&gt;=0.6, "Humid", N160&gt;0.4, "Less Humidity", TRUE, "Dry")</f>
        <v>Less Humidity</v>
      </c>
      <c r="P160" s="36">
        <v>0.1343</v>
      </c>
      <c r="Q160" s="36" t="str" cm="1">
        <f t="array" ref="Q160">_xlfn.IFS(P160&lt;=0.2,"Low Windspeed",P160&lt;0.4,"Medium Windspeed",P160&gt;=0.41,"High Windspeed")</f>
        <v>Low Windspeed</v>
      </c>
      <c r="R160" s="36">
        <v>0</v>
      </c>
      <c r="S160" s="36">
        <v>39</v>
      </c>
      <c r="T160" s="37">
        <v>39</v>
      </c>
      <c r="U160" s="39" t="str" cm="1">
        <f t="array" ref="U160">_xlfn.IFS(T160&lt;=70,"Low",T160&lt;=160,"Medium",T160&gt;=161,"High")</f>
        <v>Low</v>
      </c>
    </row>
    <row r="161" spans="1:21" x14ac:dyDescent="0.25">
      <c r="A161" s="33">
        <v>160</v>
      </c>
      <c r="B161" s="34">
        <v>40550</v>
      </c>
      <c r="C161" s="35">
        <v>1</v>
      </c>
      <c r="D161" s="35">
        <v>0</v>
      </c>
      <c r="E161" s="35">
        <v>1</v>
      </c>
      <c r="F161" s="35">
        <v>22</v>
      </c>
      <c r="G161" s="35" t="str" cm="1">
        <f t="array" ref="G161">_xlfn.IFS(F161&lt;4,"Night",F161&lt;=6,"Early Morning",F161&lt;11,"Morning",F161&lt;12,"Afternoon",F161&lt;=16,"Afternoon",F161&lt;=20,"Evening",F161&gt;=21,"Night")</f>
        <v>Night</v>
      </c>
      <c r="H161" s="35" t="b">
        <v>0</v>
      </c>
      <c r="I161" s="35">
        <v>5</v>
      </c>
      <c r="J161" s="35">
        <v>2</v>
      </c>
      <c r="K161" s="31">
        <v>0.18</v>
      </c>
      <c r="L161" s="31" t="str" cm="1">
        <f t="array" ref="L161">_xlfn.IFS(K161&lt;0.15,"Cold",K161&lt;0.25,"Mild",K161&lt;=0.32,"Warm",K161&gt;=0.33,"Hot")</f>
        <v>Mild</v>
      </c>
      <c r="M161" s="36">
        <v>0.19700000000000001</v>
      </c>
      <c r="N161" s="36">
        <v>0.43</v>
      </c>
      <c r="O161" s="36" t="str" cm="1">
        <f t="array" ref="O161">_xlfn.IFS(N161&gt;0.61, "High Humidity", N161&gt;=0.6, "Humid", N161&gt;0.4, "Less Humidity", TRUE, "Dry")</f>
        <v>Less Humidity</v>
      </c>
      <c r="P161" s="36">
        <v>0.16420000000000001</v>
      </c>
      <c r="Q161" s="36" t="str" cm="1">
        <f t="array" ref="Q161">_xlfn.IFS(P161&lt;=0.2,"Low Windspeed",P161&lt;0.4,"Medium Windspeed",P161&gt;=0.41,"High Windspeed")</f>
        <v>Low Windspeed</v>
      </c>
      <c r="R161" s="36">
        <v>2</v>
      </c>
      <c r="S161" s="36">
        <v>34</v>
      </c>
      <c r="T161" s="37">
        <v>36</v>
      </c>
      <c r="U161" s="39" t="str" cm="1">
        <f t="array" ref="U161">_xlfn.IFS(T161&lt;=70,"Low",T161&lt;=160,"Medium",T161&gt;=161,"High")</f>
        <v>Low</v>
      </c>
    </row>
    <row r="162" spans="1:21" x14ac:dyDescent="0.25">
      <c r="A162" s="33">
        <v>161</v>
      </c>
      <c r="B162" s="34">
        <v>40550</v>
      </c>
      <c r="C162" s="35">
        <v>1</v>
      </c>
      <c r="D162" s="35">
        <v>0</v>
      </c>
      <c r="E162" s="35">
        <v>1</v>
      </c>
      <c r="F162" s="35">
        <v>23</v>
      </c>
      <c r="G162" s="35" t="str" cm="1">
        <f t="array" ref="G162">_xlfn.IFS(F162&lt;4,"Night",F162&lt;=6,"Early Morning",F162&lt;11,"Morning",F162&lt;12,"Afternoon",F162&lt;=16,"Afternoon",F162&lt;=20,"Evening",F162&gt;=21,"Night")</f>
        <v>Night</v>
      </c>
      <c r="H162" s="35" t="b">
        <v>0</v>
      </c>
      <c r="I162" s="35">
        <v>5</v>
      </c>
      <c r="J162" s="35">
        <v>2</v>
      </c>
      <c r="K162" s="31">
        <v>0.18</v>
      </c>
      <c r="L162" s="31" t="str" cm="1">
        <f t="array" ref="L162">_xlfn.IFS(K162&lt;0.15,"Cold",K162&lt;0.25,"Mild",K162&lt;=0.32,"Warm",K162&gt;=0.33,"Hot")</f>
        <v>Mild</v>
      </c>
      <c r="M162" s="36">
        <v>0.19700000000000001</v>
      </c>
      <c r="N162" s="36">
        <v>0.51</v>
      </c>
      <c r="O162" s="36" t="str" cm="1">
        <f t="array" ref="O162">_xlfn.IFS(N162&gt;0.61, "High Humidity", N162&gt;=0.6, "Humid", N162&gt;0.4, "Less Humidity", TRUE, "Dry")</f>
        <v>Less Humidity</v>
      </c>
      <c r="P162" s="36">
        <v>0.16420000000000001</v>
      </c>
      <c r="Q162" s="36" t="str" cm="1">
        <f t="array" ref="Q162">_xlfn.IFS(P162&lt;=0.2,"Low Windspeed",P162&lt;0.4,"Medium Windspeed",P162&gt;=0.41,"High Windspeed")</f>
        <v>Low Windspeed</v>
      </c>
      <c r="R162" s="36">
        <v>1</v>
      </c>
      <c r="S162" s="36">
        <v>14</v>
      </c>
      <c r="T162" s="37">
        <v>15</v>
      </c>
      <c r="U162" s="39" t="str" cm="1">
        <f t="array" ref="U162">_xlfn.IFS(T162&lt;=70,"Low",T162&lt;=160,"Medium",T162&gt;=161,"High")</f>
        <v>Low</v>
      </c>
    </row>
    <row r="163" spans="1:21" x14ac:dyDescent="0.25">
      <c r="A163" s="33">
        <v>162</v>
      </c>
      <c r="B163" s="34">
        <v>40551</v>
      </c>
      <c r="C163" s="35">
        <v>1</v>
      </c>
      <c r="D163" s="35">
        <v>0</v>
      </c>
      <c r="E163" s="35">
        <v>1</v>
      </c>
      <c r="F163" s="35">
        <v>0</v>
      </c>
      <c r="G163" s="35" t="str" cm="1">
        <f t="array" ref="G163">_xlfn.IFS(F163&lt;4,"Night",F163&lt;=6,"Early Morning",F163&lt;11,"Morning",F163&lt;12,"Afternoon",F163&lt;=16,"Afternoon",F163&lt;=20,"Evening",F163&gt;=21,"Night")</f>
        <v>Night</v>
      </c>
      <c r="H163" s="35" t="b">
        <v>0</v>
      </c>
      <c r="I163" s="35">
        <v>6</v>
      </c>
      <c r="J163" s="35">
        <v>2</v>
      </c>
      <c r="K163" s="31">
        <v>0.18</v>
      </c>
      <c r="L163" s="31" t="str" cm="1">
        <f t="array" ref="L163">_xlfn.IFS(K163&lt;0.15,"Cold",K163&lt;0.25,"Mild",K163&lt;=0.32,"Warm",K163&gt;=0.33,"Hot")</f>
        <v>Mild</v>
      </c>
      <c r="M163" s="36">
        <v>0.19700000000000001</v>
      </c>
      <c r="N163" s="36">
        <v>0.51</v>
      </c>
      <c r="O163" s="36" t="str" cm="1">
        <f t="array" ref="O163">_xlfn.IFS(N163&gt;0.61, "High Humidity", N163&gt;=0.6, "Humid", N163&gt;0.4, "Less Humidity", TRUE, "Dry")</f>
        <v>Less Humidity</v>
      </c>
      <c r="P163" s="36">
        <v>0.16420000000000001</v>
      </c>
      <c r="Q163" s="36" t="str" cm="1">
        <f t="array" ref="Q163">_xlfn.IFS(P163&lt;=0.2,"Low Windspeed",P163&lt;0.4,"Medium Windspeed",P163&gt;=0.41,"High Windspeed")</f>
        <v>Low Windspeed</v>
      </c>
      <c r="R163" s="36">
        <v>1</v>
      </c>
      <c r="S163" s="36">
        <v>24</v>
      </c>
      <c r="T163" s="37">
        <v>25</v>
      </c>
      <c r="U163" s="39" t="str" cm="1">
        <f t="array" ref="U163">_xlfn.IFS(T163&lt;=70,"Low",T163&lt;=160,"Medium",T163&gt;=161,"High")</f>
        <v>Low</v>
      </c>
    </row>
    <row r="164" spans="1:21" x14ac:dyDescent="0.25">
      <c r="A164" s="33">
        <v>163</v>
      </c>
      <c r="B164" s="34">
        <v>40551</v>
      </c>
      <c r="C164" s="35">
        <v>1</v>
      </c>
      <c r="D164" s="35">
        <v>0</v>
      </c>
      <c r="E164" s="35">
        <v>1</v>
      </c>
      <c r="F164" s="35">
        <v>1</v>
      </c>
      <c r="G164" s="35" t="str" cm="1">
        <f t="array" ref="G164">_xlfn.IFS(F164&lt;4,"Night",F164&lt;=6,"Early Morning",F164&lt;11,"Morning",F164&lt;12,"Afternoon",F164&lt;=16,"Afternoon",F164&lt;=20,"Evening",F164&gt;=21,"Night")</f>
        <v>Night</v>
      </c>
      <c r="H164" s="35" t="b">
        <v>0</v>
      </c>
      <c r="I164" s="35">
        <v>6</v>
      </c>
      <c r="J164" s="35">
        <v>2</v>
      </c>
      <c r="K164" s="31">
        <v>0.18</v>
      </c>
      <c r="L164" s="31" t="str" cm="1">
        <f t="array" ref="L164">_xlfn.IFS(K164&lt;0.15,"Cold",K164&lt;0.25,"Mild",K164&lt;=0.32,"Warm",K164&gt;=0.33,"Hot")</f>
        <v>Mild</v>
      </c>
      <c r="M164" s="36">
        <v>0.21210000000000001</v>
      </c>
      <c r="N164" s="36">
        <v>0.55000000000000004</v>
      </c>
      <c r="O164" s="36" t="str" cm="1">
        <f t="array" ref="O164">_xlfn.IFS(N164&gt;0.61, "High Humidity", N164&gt;=0.6, "Humid", N164&gt;0.4, "Less Humidity", TRUE, "Dry")</f>
        <v>Less Humidity</v>
      </c>
      <c r="P164" s="36">
        <v>8.9599999999999999E-2</v>
      </c>
      <c r="Q164" s="36" t="str" cm="1">
        <f t="array" ref="Q164">_xlfn.IFS(P164&lt;=0.2,"Low Windspeed",P164&lt;0.4,"Medium Windspeed",P164&gt;=0.41,"High Windspeed")</f>
        <v>Low Windspeed</v>
      </c>
      <c r="R164" s="36">
        <v>1</v>
      </c>
      <c r="S164" s="36">
        <v>15</v>
      </c>
      <c r="T164" s="37">
        <v>16</v>
      </c>
      <c r="U164" s="39" t="str" cm="1">
        <f t="array" ref="U164">_xlfn.IFS(T164&lt;=70,"Low",T164&lt;=160,"Medium",T164&gt;=161,"High")</f>
        <v>Low</v>
      </c>
    </row>
    <row r="165" spans="1:21" x14ac:dyDescent="0.25">
      <c r="A165" s="33">
        <v>164</v>
      </c>
      <c r="B165" s="34">
        <v>40551</v>
      </c>
      <c r="C165" s="35">
        <v>1</v>
      </c>
      <c r="D165" s="35">
        <v>0</v>
      </c>
      <c r="E165" s="35">
        <v>1</v>
      </c>
      <c r="F165" s="35">
        <v>2</v>
      </c>
      <c r="G165" s="35" t="str" cm="1">
        <f t="array" ref="G165">_xlfn.IFS(F165&lt;4,"Night",F165&lt;=6,"Early Morning",F165&lt;11,"Morning",F165&lt;12,"Afternoon",F165&lt;=16,"Afternoon",F165&lt;=20,"Evening",F165&gt;=21,"Night")</f>
        <v>Night</v>
      </c>
      <c r="H165" s="35" t="b">
        <v>0</v>
      </c>
      <c r="I165" s="35">
        <v>6</v>
      </c>
      <c r="J165" s="35">
        <v>2</v>
      </c>
      <c r="K165" s="31">
        <v>0.18</v>
      </c>
      <c r="L165" s="31" t="str" cm="1">
        <f t="array" ref="L165">_xlfn.IFS(K165&lt;0.15,"Cold",K165&lt;0.25,"Mild",K165&lt;=0.32,"Warm",K165&gt;=0.33,"Hot")</f>
        <v>Mild</v>
      </c>
      <c r="M165" s="36">
        <v>0.2424</v>
      </c>
      <c r="N165" s="36">
        <v>0.55000000000000004</v>
      </c>
      <c r="O165" s="36" t="str" cm="1">
        <f t="array" ref="O165">_xlfn.IFS(N165&gt;0.61, "High Humidity", N165&gt;=0.6, "Humid", N165&gt;0.4, "Less Humidity", TRUE, "Dry")</f>
        <v>Less Humidity</v>
      </c>
      <c r="P165" s="36">
        <v>0</v>
      </c>
      <c r="Q165" s="36" t="str" cm="1">
        <f t="array" ref="Q165">_xlfn.IFS(P165&lt;=0.2,"Low Windspeed",P165&lt;0.4,"Medium Windspeed",P165&gt;=0.41,"High Windspeed")</f>
        <v>Low Windspeed</v>
      </c>
      <c r="R165" s="36">
        <v>3</v>
      </c>
      <c r="S165" s="36">
        <v>13</v>
      </c>
      <c r="T165" s="37">
        <v>16</v>
      </c>
      <c r="U165" s="39" t="str" cm="1">
        <f t="array" ref="U165">_xlfn.IFS(T165&lt;=70,"Low",T165&lt;=160,"Medium",T165&gt;=161,"High")</f>
        <v>Low</v>
      </c>
    </row>
    <row r="166" spans="1:21" x14ac:dyDescent="0.25">
      <c r="A166" s="33">
        <v>165</v>
      </c>
      <c r="B166" s="34">
        <v>40551</v>
      </c>
      <c r="C166" s="35">
        <v>1</v>
      </c>
      <c r="D166" s="35">
        <v>0</v>
      </c>
      <c r="E166" s="35">
        <v>1</v>
      </c>
      <c r="F166" s="35">
        <v>3</v>
      </c>
      <c r="G166" s="35" t="str" cm="1">
        <f t="array" ref="G166">_xlfn.IFS(F166&lt;4,"Night",F166&lt;=6,"Early Morning",F166&lt;11,"Morning",F166&lt;12,"Afternoon",F166&lt;=16,"Afternoon",F166&lt;=20,"Evening",F166&gt;=21,"Night")</f>
        <v>Night</v>
      </c>
      <c r="H166" s="35" t="b">
        <v>0</v>
      </c>
      <c r="I166" s="35">
        <v>6</v>
      </c>
      <c r="J166" s="35">
        <v>3</v>
      </c>
      <c r="K166" s="31">
        <v>0.18</v>
      </c>
      <c r="L166" s="31" t="str" cm="1">
        <f t="array" ref="L166">_xlfn.IFS(K166&lt;0.15,"Cold",K166&lt;0.25,"Mild",K166&lt;=0.32,"Warm",K166&gt;=0.33,"Hot")</f>
        <v>Mild</v>
      </c>
      <c r="M166" s="36">
        <v>0.19700000000000001</v>
      </c>
      <c r="N166" s="36">
        <v>0.55000000000000004</v>
      </c>
      <c r="O166" s="36" t="str" cm="1">
        <f t="array" ref="O166">_xlfn.IFS(N166&gt;0.61, "High Humidity", N166&gt;=0.6, "Humid", N166&gt;0.4, "Less Humidity", TRUE, "Dry")</f>
        <v>Less Humidity</v>
      </c>
      <c r="P166" s="36">
        <v>0.16420000000000001</v>
      </c>
      <c r="Q166" s="36" t="str" cm="1">
        <f t="array" ref="Q166">_xlfn.IFS(P166&lt;=0.2,"Low Windspeed",P166&lt;0.4,"Medium Windspeed",P166&gt;=0.41,"High Windspeed")</f>
        <v>Low Windspeed</v>
      </c>
      <c r="R166" s="36">
        <v>0</v>
      </c>
      <c r="S166" s="36">
        <v>7</v>
      </c>
      <c r="T166" s="37">
        <v>7</v>
      </c>
      <c r="U166" s="39" t="str" cm="1">
        <f t="array" ref="U166">_xlfn.IFS(T166&lt;=70,"Low",T166&lt;=160,"Medium",T166&gt;=161,"High")</f>
        <v>Low</v>
      </c>
    </row>
    <row r="167" spans="1:21" x14ac:dyDescent="0.25">
      <c r="A167" s="33">
        <v>166</v>
      </c>
      <c r="B167" s="34">
        <v>40551</v>
      </c>
      <c r="C167" s="35">
        <v>1</v>
      </c>
      <c r="D167" s="35">
        <v>0</v>
      </c>
      <c r="E167" s="35">
        <v>1</v>
      </c>
      <c r="F167" s="35">
        <v>4</v>
      </c>
      <c r="G167" s="35" t="str" cm="1">
        <f t="array" ref="G167">_xlfn.IFS(F167&lt;4,"Night",F167&lt;=6,"Early Morning",F167&lt;11,"Morning",F167&lt;12,"Afternoon",F167&lt;=16,"Afternoon",F167&lt;=20,"Evening",F167&gt;=21,"Night")</f>
        <v>Early Morning</v>
      </c>
      <c r="H167" s="35" t="b">
        <v>0</v>
      </c>
      <c r="I167" s="35">
        <v>6</v>
      </c>
      <c r="J167" s="35">
        <v>3</v>
      </c>
      <c r="K167" s="31">
        <v>0.18</v>
      </c>
      <c r="L167" s="31" t="str" cm="1">
        <f t="array" ref="L167">_xlfn.IFS(K167&lt;0.15,"Cold",K167&lt;0.25,"Mild",K167&lt;=0.32,"Warm",K167&gt;=0.33,"Hot")</f>
        <v>Mild</v>
      </c>
      <c r="M167" s="36">
        <v>0.19700000000000001</v>
      </c>
      <c r="N167" s="36">
        <v>0.55000000000000004</v>
      </c>
      <c r="O167" s="36" t="str" cm="1">
        <f t="array" ref="O167">_xlfn.IFS(N167&gt;0.61, "High Humidity", N167&gt;=0.6, "Humid", N167&gt;0.4, "Less Humidity", TRUE, "Dry")</f>
        <v>Less Humidity</v>
      </c>
      <c r="P167" s="36">
        <v>0.16420000000000001</v>
      </c>
      <c r="Q167" s="36" t="str" cm="1">
        <f t="array" ref="Q167">_xlfn.IFS(P167&lt;=0.2,"Low Windspeed",P167&lt;0.4,"Medium Windspeed",P167&gt;=0.41,"High Windspeed")</f>
        <v>Low Windspeed</v>
      </c>
      <c r="R167" s="36">
        <v>0</v>
      </c>
      <c r="S167" s="36">
        <v>1</v>
      </c>
      <c r="T167" s="37">
        <v>1</v>
      </c>
      <c r="U167" s="39" t="str" cm="1">
        <f t="array" ref="U167">_xlfn.IFS(T167&lt;=70,"Low",T167&lt;=160,"Medium",T167&gt;=161,"High")</f>
        <v>Low</v>
      </c>
    </row>
    <row r="168" spans="1:21" x14ac:dyDescent="0.25">
      <c r="A168" s="33">
        <v>167</v>
      </c>
      <c r="B168" s="34">
        <v>40551</v>
      </c>
      <c r="C168" s="35">
        <v>1</v>
      </c>
      <c r="D168" s="35">
        <v>0</v>
      </c>
      <c r="E168" s="35">
        <v>1</v>
      </c>
      <c r="F168" s="35">
        <v>5</v>
      </c>
      <c r="G168" s="35" t="str" cm="1">
        <f t="array" ref="G168">_xlfn.IFS(F168&lt;4,"Night",F168&lt;=6,"Early Morning",F168&lt;11,"Morning",F168&lt;12,"Afternoon",F168&lt;=16,"Afternoon",F168&lt;=20,"Evening",F168&gt;=21,"Night")</f>
        <v>Early Morning</v>
      </c>
      <c r="H168" s="35" t="b">
        <v>0</v>
      </c>
      <c r="I168" s="35">
        <v>6</v>
      </c>
      <c r="J168" s="35">
        <v>2</v>
      </c>
      <c r="K168" s="31">
        <v>0.16</v>
      </c>
      <c r="L168" s="31" t="str" cm="1">
        <f t="array" ref="L168">_xlfn.IFS(K168&lt;0.15,"Cold",K168&lt;0.25,"Mild",K168&lt;=0.32,"Warm",K168&gt;=0.33,"Hot")</f>
        <v>Mild</v>
      </c>
      <c r="M168" s="36">
        <v>0.16669999999999999</v>
      </c>
      <c r="N168" s="36">
        <v>0.74</v>
      </c>
      <c r="O168" s="36" t="str" cm="1">
        <f t="array" ref="O168">_xlfn.IFS(N168&gt;0.61, "High Humidity", N168&gt;=0.6, "Humid", N168&gt;0.4, "Less Humidity", TRUE, "Dry")</f>
        <v>High Humidity</v>
      </c>
      <c r="P168" s="36">
        <v>0.16420000000000001</v>
      </c>
      <c r="Q168" s="36" t="str" cm="1">
        <f t="array" ref="Q168">_xlfn.IFS(P168&lt;=0.2,"Low Windspeed",P168&lt;0.4,"Medium Windspeed",P168&gt;=0.41,"High Windspeed")</f>
        <v>Low Windspeed</v>
      </c>
      <c r="R168" s="36">
        <v>0</v>
      </c>
      <c r="S168" s="36">
        <v>5</v>
      </c>
      <c r="T168" s="37">
        <v>5</v>
      </c>
      <c r="U168" s="39" t="str" cm="1">
        <f t="array" ref="U168">_xlfn.IFS(T168&lt;=70,"Low",T168&lt;=160,"Medium",T168&gt;=161,"High")</f>
        <v>Low</v>
      </c>
    </row>
    <row r="169" spans="1:21" x14ac:dyDescent="0.25">
      <c r="A169" s="33">
        <v>168</v>
      </c>
      <c r="B169" s="34">
        <v>40551</v>
      </c>
      <c r="C169" s="35">
        <v>1</v>
      </c>
      <c r="D169" s="35">
        <v>0</v>
      </c>
      <c r="E169" s="35">
        <v>1</v>
      </c>
      <c r="F169" s="35">
        <v>6</v>
      </c>
      <c r="G169" s="35" t="str" cm="1">
        <f t="array" ref="G169">_xlfn.IFS(F169&lt;4,"Night",F169&lt;=6,"Early Morning",F169&lt;11,"Morning",F169&lt;12,"Afternoon",F169&lt;=16,"Afternoon",F169&lt;=20,"Evening",F169&gt;=21,"Night")</f>
        <v>Early Morning</v>
      </c>
      <c r="H169" s="35" t="b">
        <v>0</v>
      </c>
      <c r="I169" s="35">
        <v>6</v>
      </c>
      <c r="J169" s="35">
        <v>2</v>
      </c>
      <c r="K169" s="31">
        <v>0.16</v>
      </c>
      <c r="L169" s="31" t="str" cm="1">
        <f t="array" ref="L169">_xlfn.IFS(K169&lt;0.15,"Cold",K169&lt;0.25,"Mild",K169&lt;=0.32,"Warm",K169&gt;=0.33,"Hot")</f>
        <v>Mild</v>
      </c>
      <c r="M169" s="36">
        <v>0.16669999999999999</v>
      </c>
      <c r="N169" s="36">
        <v>0.74</v>
      </c>
      <c r="O169" s="36" t="str" cm="1">
        <f t="array" ref="O169">_xlfn.IFS(N169&gt;0.61, "High Humidity", N169&gt;=0.6, "Humid", N169&gt;0.4, "Less Humidity", TRUE, "Dry")</f>
        <v>High Humidity</v>
      </c>
      <c r="P169" s="36">
        <v>0.16420000000000001</v>
      </c>
      <c r="Q169" s="36" t="str" cm="1">
        <f t="array" ref="Q169">_xlfn.IFS(P169&lt;=0.2,"Low Windspeed",P169&lt;0.4,"Medium Windspeed",P169&gt;=0.41,"High Windspeed")</f>
        <v>Low Windspeed</v>
      </c>
      <c r="R169" s="36">
        <v>0</v>
      </c>
      <c r="S169" s="36">
        <v>2</v>
      </c>
      <c r="T169" s="37">
        <v>2</v>
      </c>
      <c r="U169" s="39" t="str" cm="1">
        <f t="array" ref="U169">_xlfn.IFS(T169&lt;=70,"Low",T169&lt;=160,"Medium",T169&gt;=161,"High")</f>
        <v>Low</v>
      </c>
    </row>
    <row r="170" spans="1:21" x14ac:dyDescent="0.25">
      <c r="A170" s="33">
        <v>169</v>
      </c>
      <c r="B170" s="34">
        <v>40551</v>
      </c>
      <c r="C170" s="35">
        <v>1</v>
      </c>
      <c r="D170" s="35">
        <v>0</v>
      </c>
      <c r="E170" s="35">
        <v>1</v>
      </c>
      <c r="F170" s="35">
        <v>7</v>
      </c>
      <c r="G170" s="35" t="str" cm="1">
        <f t="array" ref="G170">_xlfn.IFS(F170&lt;4,"Night",F170&lt;=6,"Early Morning",F170&lt;11,"Morning",F170&lt;12,"Afternoon",F170&lt;=16,"Afternoon",F170&lt;=20,"Evening",F170&gt;=21,"Night")</f>
        <v>Morning</v>
      </c>
      <c r="H170" s="35" t="b">
        <v>0</v>
      </c>
      <c r="I170" s="35">
        <v>6</v>
      </c>
      <c r="J170" s="35">
        <v>2</v>
      </c>
      <c r="K170" s="31">
        <v>0.16</v>
      </c>
      <c r="L170" s="31" t="str" cm="1">
        <f t="array" ref="L170">_xlfn.IFS(K170&lt;0.15,"Cold",K170&lt;0.25,"Mild",K170&lt;=0.32,"Warm",K170&gt;=0.33,"Hot")</f>
        <v>Mild</v>
      </c>
      <c r="M170" s="36">
        <v>0.18179999999999999</v>
      </c>
      <c r="N170" s="36">
        <v>0.74</v>
      </c>
      <c r="O170" s="36" t="str" cm="1">
        <f t="array" ref="O170">_xlfn.IFS(N170&gt;0.61, "High Humidity", N170&gt;=0.6, "Humid", N170&gt;0.4, "Less Humidity", TRUE, "Dry")</f>
        <v>High Humidity</v>
      </c>
      <c r="P170" s="36">
        <v>0.1045</v>
      </c>
      <c r="Q170" s="36" t="str" cm="1">
        <f t="array" ref="Q170">_xlfn.IFS(P170&lt;=0.2,"Low Windspeed",P170&lt;0.4,"Medium Windspeed",P170&gt;=0.41,"High Windspeed")</f>
        <v>Low Windspeed</v>
      </c>
      <c r="R170" s="36">
        <v>1</v>
      </c>
      <c r="S170" s="36">
        <v>8</v>
      </c>
      <c r="T170" s="37">
        <v>9</v>
      </c>
      <c r="U170" s="39" t="str" cm="1">
        <f t="array" ref="U170">_xlfn.IFS(T170&lt;=70,"Low",T170&lt;=160,"Medium",T170&gt;=161,"High")</f>
        <v>Low</v>
      </c>
    </row>
    <row r="171" spans="1:21" x14ac:dyDescent="0.25">
      <c r="A171" s="33">
        <v>170</v>
      </c>
      <c r="B171" s="34">
        <v>40551</v>
      </c>
      <c r="C171" s="35">
        <v>1</v>
      </c>
      <c r="D171" s="35">
        <v>0</v>
      </c>
      <c r="E171" s="35">
        <v>1</v>
      </c>
      <c r="F171" s="35">
        <v>8</v>
      </c>
      <c r="G171" s="35" t="str" cm="1">
        <f t="array" ref="G171">_xlfn.IFS(F171&lt;4,"Night",F171&lt;=6,"Early Morning",F171&lt;11,"Morning",F171&lt;12,"Afternoon",F171&lt;=16,"Afternoon",F171&lt;=20,"Evening",F171&gt;=21,"Night")</f>
        <v>Morning</v>
      </c>
      <c r="H171" s="35" t="b">
        <v>0</v>
      </c>
      <c r="I171" s="35">
        <v>6</v>
      </c>
      <c r="J171" s="35">
        <v>3</v>
      </c>
      <c r="K171" s="31">
        <v>0.16</v>
      </c>
      <c r="L171" s="31" t="str" cm="1">
        <f t="array" ref="L171">_xlfn.IFS(K171&lt;0.15,"Cold",K171&lt;0.25,"Mild",K171&lt;=0.32,"Warm",K171&gt;=0.33,"Hot")</f>
        <v>Mild</v>
      </c>
      <c r="M171" s="36">
        <v>0.18179999999999999</v>
      </c>
      <c r="N171" s="36">
        <v>0.93</v>
      </c>
      <c r="O171" s="36" t="str" cm="1">
        <f t="array" ref="O171">_xlfn.IFS(N171&gt;0.61, "High Humidity", N171&gt;=0.6, "Humid", N171&gt;0.4, "Less Humidity", TRUE, "Dry")</f>
        <v>High Humidity</v>
      </c>
      <c r="P171" s="36">
        <v>0.1045</v>
      </c>
      <c r="Q171" s="36" t="str" cm="1">
        <f t="array" ref="Q171">_xlfn.IFS(P171&lt;=0.2,"Low Windspeed",P171&lt;0.4,"Medium Windspeed",P171&gt;=0.41,"High Windspeed")</f>
        <v>Low Windspeed</v>
      </c>
      <c r="R171" s="36">
        <v>0</v>
      </c>
      <c r="S171" s="36">
        <v>15</v>
      </c>
      <c r="T171" s="37">
        <v>15</v>
      </c>
      <c r="U171" s="39" t="str" cm="1">
        <f t="array" ref="U171">_xlfn.IFS(T171&lt;=70,"Low",T171&lt;=160,"Medium",T171&gt;=161,"High")</f>
        <v>Low</v>
      </c>
    </row>
    <row r="172" spans="1:21" x14ac:dyDescent="0.25">
      <c r="A172" s="33">
        <v>171</v>
      </c>
      <c r="B172" s="34">
        <v>40551</v>
      </c>
      <c r="C172" s="35">
        <v>1</v>
      </c>
      <c r="D172" s="35">
        <v>0</v>
      </c>
      <c r="E172" s="35">
        <v>1</v>
      </c>
      <c r="F172" s="35">
        <v>9</v>
      </c>
      <c r="G172" s="35" t="str" cm="1">
        <f t="array" ref="G172">_xlfn.IFS(F172&lt;4,"Night",F172&lt;=6,"Early Morning",F172&lt;11,"Morning",F172&lt;12,"Afternoon",F172&lt;=16,"Afternoon",F172&lt;=20,"Evening",F172&gt;=21,"Night")</f>
        <v>Morning</v>
      </c>
      <c r="H172" s="35" t="b">
        <v>0</v>
      </c>
      <c r="I172" s="35">
        <v>6</v>
      </c>
      <c r="J172" s="35">
        <v>3</v>
      </c>
      <c r="K172" s="31">
        <v>0.16</v>
      </c>
      <c r="L172" s="31" t="str" cm="1">
        <f t="array" ref="L172">_xlfn.IFS(K172&lt;0.15,"Cold",K172&lt;0.25,"Mild",K172&lt;=0.32,"Warm",K172&gt;=0.33,"Hot")</f>
        <v>Mild</v>
      </c>
      <c r="M172" s="36">
        <v>0.18179999999999999</v>
      </c>
      <c r="N172" s="36">
        <v>0.93</v>
      </c>
      <c r="O172" s="36" t="str" cm="1">
        <f t="array" ref="O172">_xlfn.IFS(N172&gt;0.61, "High Humidity", N172&gt;=0.6, "Humid", N172&gt;0.4, "Less Humidity", TRUE, "Dry")</f>
        <v>High Humidity</v>
      </c>
      <c r="P172" s="36">
        <v>0.1045</v>
      </c>
      <c r="Q172" s="36" t="str" cm="1">
        <f t="array" ref="Q172">_xlfn.IFS(P172&lt;=0.2,"Low Windspeed",P172&lt;0.4,"Medium Windspeed",P172&gt;=0.41,"High Windspeed")</f>
        <v>Low Windspeed</v>
      </c>
      <c r="R172" s="36">
        <v>0</v>
      </c>
      <c r="S172" s="36">
        <v>20</v>
      </c>
      <c r="T172" s="37">
        <v>20</v>
      </c>
      <c r="U172" s="39" t="str" cm="1">
        <f t="array" ref="U172">_xlfn.IFS(T172&lt;=70,"Low",T172&lt;=160,"Medium",T172&gt;=161,"High")</f>
        <v>Low</v>
      </c>
    </row>
    <row r="173" spans="1:21" x14ac:dyDescent="0.25">
      <c r="A173" s="33">
        <v>172</v>
      </c>
      <c r="B173" s="34">
        <v>40551</v>
      </c>
      <c r="C173" s="35">
        <v>1</v>
      </c>
      <c r="D173" s="35">
        <v>0</v>
      </c>
      <c r="E173" s="35">
        <v>1</v>
      </c>
      <c r="F173" s="35">
        <v>10</v>
      </c>
      <c r="G173" s="35" t="str" cm="1">
        <f t="array" ref="G173">_xlfn.IFS(F173&lt;4,"Night",F173&lt;=6,"Early Morning",F173&lt;11,"Morning",F173&lt;12,"Afternoon",F173&lt;=16,"Afternoon",F173&lt;=20,"Evening",F173&gt;=21,"Night")</f>
        <v>Morning</v>
      </c>
      <c r="H173" s="35" t="b">
        <v>0</v>
      </c>
      <c r="I173" s="35">
        <v>6</v>
      </c>
      <c r="J173" s="35">
        <v>2</v>
      </c>
      <c r="K173" s="31">
        <v>0.18</v>
      </c>
      <c r="L173" s="31" t="str" cm="1">
        <f t="array" ref="L173">_xlfn.IFS(K173&lt;0.15,"Cold",K173&lt;0.25,"Mild",K173&lt;=0.32,"Warm",K173&gt;=0.33,"Hot")</f>
        <v>Mild</v>
      </c>
      <c r="M173" s="36">
        <v>0.19700000000000001</v>
      </c>
      <c r="N173" s="36">
        <v>0.8</v>
      </c>
      <c r="O173" s="36" t="str" cm="1">
        <f t="array" ref="O173">_xlfn.IFS(N173&gt;0.61, "High Humidity", N173&gt;=0.6, "Humid", N173&gt;0.4, "Less Humidity", TRUE, "Dry")</f>
        <v>High Humidity</v>
      </c>
      <c r="P173" s="36">
        <v>0.16420000000000001</v>
      </c>
      <c r="Q173" s="36" t="str" cm="1">
        <f t="array" ref="Q173">_xlfn.IFS(P173&lt;=0.2,"Low Windspeed",P173&lt;0.4,"Medium Windspeed",P173&gt;=0.41,"High Windspeed")</f>
        <v>Low Windspeed</v>
      </c>
      <c r="R173" s="36">
        <v>5</v>
      </c>
      <c r="S173" s="36">
        <v>56</v>
      </c>
      <c r="T173" s="37">
        <v>61</v>
      </c>
      <c r="U173" s="39" t="str" cm="1">
        <f t="array" ref="U173">_xlfn.IFS(T173&lt;=70,"Low",T173&lt;=160,"Medium",T173&gt;=161,"High")</f>
        <v>Low</v>
      </c>
    </row>
    <row r="174" spans="1:21" x14ac:dyDescent="0.25">
      <c r="A174" s="33">
        <v>173</v>
      </c>
      <c r="B174" s="34">
        <v>40551</v>
      </c>
      <c r="C174" s="35">
        <v>1</v>
      </c>
      <c r="D174" s="35">
        <v>0</v>
      </c>
      <c r="E174" s="35">
        <v>1</v>
      </c>
      <c r="F174" s="35">
        <v>11</v>
      </c>
      <c r="G174" s="35" t="str" cm="1">
        <f t="array" ref="G174">_xlfn.IFS(F174&lt;4,"Night",F174&lt;=6,"Early Morning",F174&lt;11,"Morning",F174&lt;12,"Afternoon",F174&lt;=16,"Afternoon",F174&lt;=20,"Evening",F174&gt;=21,"Night")</f>
        <v>Afternoon</v>
      </c>
      <c r="H174" s="35" t="b">
        <v>0</v>
      </c>
      <c r="I174" s="35">
        <v>6</v>
      </c>
      <c r="J174" s="35">
        <v>2</v>
      </c>
      <c r="K174" s="31">
        <v>0.2</v>
      </c>
      <c r="L174" s="31" t="str" cm="1">
        <f t="array" ref="L174">_xlfn.IFS(K174&lt;0.15,"Cold",K174&lt;0.25,"Mild",K174&lt;=0.32,"Warm",K174&gt;=0.33,"Hot")</f>
        <v>Mild</v>
      </c>
      <c r="M174" s="36">
        <v>0.18179999999999999</v>
      </c>
      <c r="N174" s="36">
        <v>0.69</v>
      </c>
      <c r="O174" s="36" t="str" cm="1">
        <f t="array" ref="O174">_xlfn.IFS(N174&gt;0.61, "High Humidity", N174&gt;=0.6, "Humid", N174&gt;0.4, "Less Humidity", TRUE, "Dry")</f>
        <v>High Humidity</v>
      </c>
      <c r="P174" s="36">
        <v>0.3881</v>
      </c>
      <c r="Q174" s="36" t="str" cm="1">
        <f t="array" ref="Q174">_xlfn.IFS(P174&lt;=0.2,"Low Windspeed",P174&lt;0.4,"Medium Windspeed",P174&gt;=0.41,"High Windspeed")</f>
        <v>Medium Windspeed</v>
      </c>
      <c r="R174" s="36">
        <v>2</v>
      </c>
      <c r="S174" s="36">
        <v>60</v>
      </c>
      <c r="T174" s="37">
        <v>62</v>
      </c>
      <c r="U174" s="39" t="str" cm="1">
        <f t="array" ref="U174">_xlfn.IFS(T174&lt;=70,"Low",T174&lt;=160,"Medium",T174&gt;=161,"High")</f>
        <v>Low</v>
      </c>
    </row>
    <row r="175" spans="1:21" x14ac:dyDescent="0.25">
      <c r="A175" s="33">
        <v>174</v>
      </c>
      <c r="B175" s="34">
        <v>40551</v>
      </c>
      <c r="C175" s="35">
        <v>1</v>
      </c>
      <c r="D175" s="35">
        <v>0</v>
      </c>
      <c r="E175" s="35">
        <v>1</v>
      </c>
      <c r="F175" s="35">
        <v>12</v>
      </c>
      <c r="G175" s="35" t="str" cm="1">
        <f t="array" ref="G175">_xlfn.IFS(F175&lt;4,"Night",F175&lt;=6,"Early Morning",F175&lt;11,"Morning",F175&lt;12,"Afternoon",F175&lt;=16,"Afternoon",F175&lt;=20,"Evening",F175&gt;=21,"Night")</f>
        <v>Afternoon</v>
      </c>
      <c r="H175" s="35" t="b">
        <v>0</v>
      </c>
      <c r="I175" s="35">
        <v>6</v>
      </c>
      <c r="J175" s="35">
        <v>2</v>
      </c>
      <c r="K175" s="31">
        <v>0.2</v>
      </c>
      <c r="L175" s="31" t="str" cm="1">
        <f t="array" ref="L175">_xlfn.IFS(K175&lt;0.15,"Cold",K175&lt;0.25,"Mild",K175&lt;=0.32,"Warm",K175&gt;=0.33,"Hot")</f>
        <v>Mild</v>
      </c>
      <c r="M175" s="36">
        <v>0.18179999999999999</v>
      </c>
      <c r="N175" s="36">
        <v>0.59</v>
      </c>
      <c r="O175" s="36" t="str" cm="1">
        <f t="array" ref="O175">_xlfn.IFS(N175&gt;0.61, "High Humidity", N175&gt;=0.6, "Humid", N175&gt;0.4, "Less Humidity", TRUE, "Dry")</f>
        <v>Less Humidity</v>
      </c>
      <c r="P175" s="36">
        <v>0.35820000000000002</v>
      </c>
      <c r="Q175" s="36" t="str" cm="1">
        <f t="array" ref="Q175">_xlfn.IFS(P175&lt;=0.2,"Low Windspeed",P175&lt;0.4,"Medium Windspeed",P175&gt;=0.41,"High Windspeed")</f>
        <v>Medium Windspeed</v>
      </c>
      <c r="R175" s="36">
        <v>8</v>
      </c>
      <c r="S175" s="36">
        <v>90</v>
      </c>
      <c r="T175" s="37">
        <v>98</v>
      </c>
      <c r="U175" s="39" t="str" cm="1">
        <f t="array" ref="U175">_xlfn.IFS(T175&lt;=70,"Low",T175&lt;=160,"Medium",T175&gt;=161,"High")</f>
        <v>Medium</v>
      </c>
    </row>
    <row r="176" spans="1:21" x14ac:dyDescent="0.25">
      <c r="A176" s="33">
        <v>175</v>
      </c>
      <c r="B176" s="34">
        <v>40551</v>
      </c>
      <c r="C176" s="35">
        <v>1</v>
      </c>
      <c r="D176" s="35">
        <v>0</v>
      </c>
      <c r="E176" s="35">
        <v>1</v>
      </c>
      <c r="F176" s="35">
        <v>13</v>
      </c>
      <c r="G176" s="35" t="str" cm="1">
        <f t="array" ref="G176">_xlfn.IFS(F176&lt;4,"Night",F176&lt;=6,"Early Morning",F176&lt;11,"Morning",F176&lt;12,"Afternoon",F176&lt;=16,"Afternoon",F176&lt;=20,"Evening",F176&gt;=21,"Night")</f>
        <v>Afternoon</v>
      </c>
      <c r="H176" s="35" t="b">
        <v>0</v>
      </c>
      <c r="I176" s="35">
        <v>6</v>
      </c>
      <c r="J176" s="35">
        <v>1</v>
      </c>
      <c r="K176" s="31">
        <v>0.2</v>
      </c>
      <c r="L176" s="31" t="str" cm="1">
        <f t="array" ref="L176">_xlfn.IFS(K176&lt;0.15,"Cold",K176&lt;0.25,"Mild",K176&lt;=0.32,"Warm",K176&gt;=0.33,"Hot")</f>
        <v>Mild</v>
      </c>
      <c r="M176" s="36">
        <v>0.18179999999999999</v>
      </c>
      <c r="N176" s="36">
        <v>0.44</v>
      </c>
      <c r="O176" s="36" t="str" cm="1">
        <f t="array" ref="O176">_xlfn.IFS(N176&gt;0.61, "High Humidity", N176&gt;=0.6, "Humid", N176&gt;0.4, "Less Humidity", TRUE, "Dry")</f>
        <v>Less Humidity</v>
      </c>
      <c r="P176" s="36">
        <v>0.32840000000000003</v>
      </c>
      <c r="Q176" s="36" t="str" cm="1">
        <f t="array" ref="Q176">_xlfn.IFS(P176&lt;=0.2,"Low Windspeed",P176&lt;0.4,"Medium Windspeed",P176&gt;=0.41,"High Windspeed")</f>
        <v>Medium Windspeed</v>
      </c>
      <c r="R176" s="36">
        <v>7</v>
      </c>
      <c r="S176" s="36">
        <v>95</v>
      </c>
      <c r="T176" s="37">
        <v>102</v>
      </c>
      <c r="U176" s="39" t="str" cm="1">
        <f t="array" ref="U176">_xlfn.IFS(T176&lt;=70,"Low",T176&lt;=160,"Medium",T176&gt;=161,"High")</f>
        <v>Medium</v>
      </c>
    </row>
    <row r="177" spans="1:21" x14ac:dyDescent="0.25">
      <c r="A177" s="33">
        <v>176</v>
      </c>
      <c r="B177" s="34">
        <v>40551</v>
      </c>
      <c r="C177" s="35">
        <v>1</v>
      </c>
      <c r="D177" s="35">
        <v>0</v>
      </c>
      <c r="E177" s="35">
        <v>1</v>
      </c>
      <c r="F177" s="35">
        <v>14</v>
      </c>
      <c r="G177" s="35" t="str" cm="1">
        <f t="array" ref="G177">_xlfn.IFS(F177&lt;4,"Night",F177&lt;=6,"Early Morning",F177&lt;11,"Morning",F177&lt;12,"Afternoon",F177&lt;=16,"Afternoon",F177&lt;=20,"Evening",F177&gt;=21,"Night")</f>
        <v>Afternoon</v>
      </c>
      <c r="H177" s="35" t="b">
        <v>0</v>
      </c>
      <c r="I177" s="35">
        <v>6</v>
      </c>
      <c r="J177" s="35">
        <v>1</v>
      </c>
      <c r="K177" s="31">
        <v>0.2</v>
      </c>
      <c r="L177" s="31" t="str" cm="1">
        <f t="array" ref="L177">_xlfn.IFS(K177&lt;0.15,"Cold",K177&lt;0.25,"Mild",K177&lt;=0.32,"Warm",K177&gt;=0.33,"Hot")</f>
        <v>Mild</v>
      </c>
      <c r="M177" s="36">
        <v>0.16669999999999999</v>
      </c>
      <c r="N177" s="36">
        <v>0.32</v>
      </c>
      <c r="O177" s="36" t="str" cm="1">
        <f t="array" ref="O177">_xlfn.IFS(N177&gt;0.61, "High Humidity", N177&gt;=0.6, "Humid", N177&gt;0.4, "Less Humidity", TRUE, "Dry")</f>
        <v>Dry</v>
      </c>
      <c r="P177" s="36">
        <v>0.49249999999999999</v>
      </c>
      <c r="Q177" s="36" t="str" cm="1">
        <f t="array" ref="Q177">_xlfn.IFS(P177&lt;=0.2,"Low Windspeed",P177&lt;0.4,"Medium Windspeed",P177&gt;=0.41,"High Windspeed")</f>
        <v>High Windspeed</v>
      </c>
      <c r="R177" s="36">
        <v>12</v>
      </c>
      <c r="S177" s="36">
        <v>83</v>
      </c>
      <c r="T177" s="37">
        <v>95</v>
      </c>
      <c r="U177" s="39" t="str" cm="1">
        <f t="array" ref="U177">_xlfn.IFS(T177&lt;=70,"Low",T177&lt;=160,"Medium",T177&gt;=161,"High")</f>
        <v>Medium</v>
      </c>
    </row>
    <row r="178" spans="1:21" x14ac:dyDescent="0.25">
      <c r="A178" s="33">
        <v>177</v>
      </c>
      <c r="B178" s="34">
        <v>40551</v>
      </c>
      <c r="C178" s="35">
        <v>1</v>
      </c>
      <c r="D178" s="35">
        <v>0</v>
      </c>
      <c r="E178" s="35">
        <v>1</v>
      </c>
      <c r="F178" s="35">
        <v>15</v>
      </c>
      <c r="G178" s="35" t="str" cm="1">
        <f t="array" ref="G178">_xlfn.IFS(F178&lt;4,"Night",F178&lt;=6,"Early Morning",F178&lt;11,"Morning",F178&lt;12,"Afternoon",F178&lt;=16,"Afternoon",F178&lt;=20,"Evening",F178&gt;=21,"Night")</f>
        <v>Afternoon</v>
      </c>
      <c r="H178" s="35" t="b">
        <v>0</v>
      </c>
      <c r="I178" s="35">
        <v>6</v>
      </c>
      <c r="J178" s="35">
        <v>1</v>
      </c>
      <c r="K178" s="31">
        <v>0.2</v>
      </c>
      <c r="L178" s="31" t="str" cm="1">
        <f t="array" ref="L178">_xlfn.IFS(K178&lt;0.15,"Cold",K178&lt;0.25,"Mild",K178&lt;=0.32,"Warm",K178&gt;=0.33,"Hot")</f>
        <v>Mild</v>
      </c>
      <c r="M178" s="36">
        <v>0.16669999999999999</v>
      </c>
      <c r="N178" s="36">
        <v>0.32</v>
      </c>
      <c r="O178" s="36" t="str" cm="1">
        <f t="array" ref="O178">_xlfn.IFS(N178&gt;0.61, "High Humidity", N178&gt;=0.6, "Humid", N178&gt;0.4, "Less Humidity", TRUE, "Dry")</f>
        <v>Dry</v>
      </c>
      <c r="P178" s="36">
        <v>0.44779999999999998</v>
      </c>
      <c r="Q178" s="36" t="str" cm="1">
        <f t="array" ref="Q178">_xlfn.IFS(P178&lt;=0.2,"Low Windspeed",P178&lt;0.4,"Medium Windspeed",P178&gt;=0.41,"High Windspeed")</f>
        <v>High Windspeed</v>
      </c>
      <c r="R178" s="36">
        <v>5</v>
      </c>
      <c r="S178" s="36">
        <v>69</v>
      </c>
      <c r="T178" s="37">
        <v>74</v>
      </c>
      <c r="U178" s="39" t="str" cm="1">
        <f t="array" ref="U178">_xlfn.IFS(T178&lt;=70,"Low",T178&lt;=160,"Medium",T178&gt;=161,"High")</f>
        <v>Medium</v>
      </c>
    </row>
    <row r="179" spans="1:21" x14ac:dyDescent="0.25">
      <c r="A179" s="33">
        <v>178</v>
      </c>
      <c r="B179" s="34">
        <v>40551</v>
      </c>
      <c r="C179" s="35">
        <v>1</v>
      </c>
      <c r="D179" s="35">
        <v>0</v>
      </c>
      <c r="E179" s="35">
        <v>1</v>
      </c>
      <c r="F179" s="35">
        <v>16</v>
      </c>
      <c r="G179" s="35" t="str" cm="1">
        <f t="array" ref="G179">_xlfn.IFS(F179&lt;4,"Night",F179&lt;=6,"Early Morning",F179&lt;11,"Morning",F179&lt;12,"Afternoon",F179&lt;=16,"Afternoon",F179&lt;=20,"Evening",F179&gt;=21,"Night")</f>
        <v>Afternoon</v>
      </c>
      <c r="H179" s="35" t="b">
        <v>0</v>
      </c>
      <c r="I179" s="35">
        <v>6</v>
      </c>
      <c r="J179" s="35">
        <v>1</v>
      </c>
      <c r="K179" s="31">
        <v>0.18</v>
      </c>
      <c r="L179" s="31" t="str" cm="1">
        <f t="array" ref="L179">_xlfn.IFS(K179&lt;0.15,"Cold",K179&lt;0.25,"Mild",K179&lt;=0.32,"Warm",K179&gt;=0.33,"Hot")</f>
        <v>Mild</v>
      </c>
      <c r="M179" s="36">
        <v>0.13639999999999999</v>
      </c>
      <c r="N179" s="36">
        <v>0.28999999999999998</v>
      </c>
      <c r="O179" s="36" t="str" cm="1">
        <f t="array" ref="O179">_xlfn.IFS(N179&gt;0.61, "High Humidity", N179&gt;=0.6, "Humid", N179&gt;0.4, "Less Humidity", TRUE, "Dry")</f>
        <v>Dry</v>
      </c>
      <c r="P179" s="36">
        <v>0.44779999999999998</v>
      </c>
      <c r="Q179" s="36" t="str" cm="1">
        <f t="array" ref="Q179">_xlfn.IFS(P179&lt;=0.2,"Low Windspeed",P179&lt;0.4,"Medium Windspeed",P179&gt;=0.41,"High Windspeed")</f>
        <v>High Windspeed</v>
      </c>
      <c r="R179" s="36">
        <v>8</v>
      </c>
      <c r="S179" s="36">
        <v>68</v>
      </c>
      <c r="T179" s="37">
        <v>76</v>
      </c>
      <c r="U179" s="39" t="str" cm="1">
        <f t="array" ref="U179">_xlfn.IFS(T179&lt;=70,"Low",T179&lt;=160,"Medium",T179&gt;=161,"High")</f>
        <v>Medium</v>
      </c>
    </row>
    <row r="180" spans="1:21" x14ac:dyDescent="0.25">
      <c r="A180" s="33">
        <v>179</v>
      </c>
      <c r="B180" s="34">
        <v>40551</v>
      </c>
      <c r="C180" s="35">
        <v>1</v>
      </c>
      <c r="D180" s="35">
        <v>0</v>
      </c>
      <c r="E180" s="35">
        <v>1</v>
      </c>
      <c r="F180" s="35">
        <v>17</v>
      </c>
      <c r="G180" s="35" t="str" cm="1">
        <f t="array" ref="G180">_xlfn.IFS(F180&lt;4,"Night",F180&lt;=6,"Early Morning",F180&lt;11,"Morning",F180&lt;12,"Afternoon",F180&lt;=16,"Afternoon",F180&lt;=20,"Evening",F180&gt;=21,"Night")</f>
        <v>Evening</v>
      </c>
      <c r="H180" s="35" t="b">
        <v>0</v>
      </c>
      <c r="I180" s="35">
        <v>6</v>
      </c>
      <c r="J180" s="35">
        <v>1</v>
      </c>
      <c r="K180" s="31">
        <v>0.16</v>
      </c>
      <c r="L180" s="31" t="str" cm="1">
        <f t="array" ref="L180">_xlfn.IFS(K180&lt;0.15,"Cold",K180&lt;0.25,"Mild",K180&lt;=0.32,"Warm",K180&gt;=0.33,"Hot")</f>
        <v>Mild</v>
      </c>
      <c r="M180" s="36">
        <v>0.1212</v>
      </c>
      <c r="N180" s="36">
        <v>0.37</v>
      </c>
      <c r="O180" s="36" t="str" cm="1">
        <f t="array" ref="O180">_xlfn.IFS(N180&gt;0.61, "High Humidity", N180&gt;=0.6, "Humid", N180&gt;0.4, "Less Humidity", TRUE, "Dry")</f>
        <v>Dry</v>
      </c>
      <c r="P180" s="36">
        <v>0.55220000000000002</v>
      </c>
      <c r="Q180" s="36" t="str" cm="1">
        <f t="array" ref="Q180">_xlfn.IFS(P180&lt;=0.2,"Low Windspeed",P180&lt;0.4,"Medium Windspeed",P180&gt;=0.41,"High Windspeed")</f>
        <v>High Windspeed</v>
      </c>
      <c r="R180" s="36">
        <v>5</v>
      </c>
      <c r="S180" s="36">
        <v>64</v>
      </c>
      <c r="T180" s="37">
        <v>69</v>
      </c>
      <c r="U180" s="39" t="str" cm="1">
        <f t="array" ref="U180">_xlfn.IFS(T180&lt;=70,"Low",T180&lt;=160,"Medium",T180&gt;=161,"High")</f>
        <v>Low</v>
      </c>
    </row>
    <row r="181" spans="1:21" x14ac:dyDescent="0.25">
      <c r="A181" s="33">
        <v>180</v>
      </c>
      <c r="B181" s="34">
        <v>40551</v>
      </c>
      <c r="C181" s="35">
        <v>1</v>
      </c>
      <c r="D181" s="35">
        <v>0</v>
      </c>
      <c r="E181" s="35">
        <v>1</v>
      </c>
      <c r="F181" s="35">
        <v>18</v>
      </c>
      <c r="G181" s="35" t="str" cm="1">
        <f t="array" ref="G181">_xlfn.IFS(F181&lt;4,"Night",F181&lt;=6,"Early Morning",F181&lt;11,"Morning",F181&lt;12,"Afternoon",F181&lt;=16,"Afternoon",F181&lt;=20,"Evening",F181&gt;=21,"Night")</f>
        <v>Evening</v>
      </c>
      <c r="H181" s="35" t="b">
        <v>0</v>
      </c>
      <c r="I181" s="35">
        <v>6</v>
      </c>
      <c r="J181" s="35">
        <v>1</v>
      </c>
      <c r="K181" s="31">
        <v>0.14000000000000001</v>
      </c>
      <c r="L181" s="31" t="str" cm="1">
        <f t="array" ref="L181">_xlfn.IFS(K181&lt;0.15,"Cold",K181&lt;0.25,"Mild",K181&lt;=0.32,"Warm",K181&gt;=0.33,"Hot")</f>
        <v>Cold</v>
      </c>
      <c r="M181" s="36">
        <v>0.1212</v>
      </c>
      <c r="N181" s="36">
        <v>0.39</v>
      </c>
      <c r="O181" s="36" t="str" cm="1">
        <f t="array" ref="O181">_xlfn.IFS(N181&gt;0.61, "High Humidity", N181&gt;=0.6, "Humid", N181&gt;0.4, "Less Humidity", TRUE, "Dry")</f>
        <v>Dry</v>
      </c>
      <c r="P181" s="36">
        <v>0.29849999999999999</v>
      </c>
      <c r="Q181" s="36" t="str" cm="1">
        <f t="array" ref="Q181">_xlfn.IFS(P181&lt;=0.2,"Low Windspeed",P181&lt;0.4,"Medium Windspeed",P181&gt;=0.41,"High Windspeed")</f>
        <v>Medium Windspeed</v>
      </c>
      <c r="R181" s="36">
        <v>3</v>
      </c>
      <c r="S181" s="36">
        <v>52</v>
      </c>
      <c r="T181" s="37">
        <v>55</v>
      </c>
      <c r="U181" s="39" t="str" cm="1">
        <f t="array" ref="U181">_xlfn.IFS(T181&lt;=70,"Low",T181&lt;=160,"Medium",T181&gt;=161,"High")</f>
        <v>Low</v>
      </c>
    </row>
    <row r="182" spans="1:21" x14ac:dyDescent="0.25">
      <c r="A182" s="33">
        <v>181</v>
      </c>
      <c r="B182" s="34">
        <v>40551</v>
      </c>
      <c r="C182" s="35">
        <v>1</v>
      </c>
      <c r="D182" s="35">
        <v>0</v>
      </c>
      <c r="E182" s="35">
        <v>1</v>
      </c>
      <c r="F182" s="35">
        <v>19</v>
      </c>
      <c r="G182" s="35" t="str" cm="1">
        <f t="array" ref="G182">_xlfn.IFS(F182&lt;4,"Night",F182&lt;=6,"Early Morning",F182&lt;11,"Morning",F182&lt;12,"Afternoon",F182&lt;=16,"Afternoon",F182&lt;=20,"Evening",F182&gt;=21,"Night")</f>
        <v>Evening</v>
      </c>
      <c r="H182" s="35" t="b">
        <v>0</v>
      </c>
      <c r="I182" s="35">
        <v>6</v>
      </c>
      <c r="J182" s="35">
        <v>1</v>
      </c>
      <c r="K182" s="31">
        <v>0.14000000000000001</v>
      </c>
      <c r="L182" s="31" t="str" cm="1">
        <f t="array" ref="L182">_xlfn.IFS(K182&lt;0.15,"Cold",K182&lt;0.25,"Mild",K182&lt;=0.32,"Warm",K182&gt;=0.33,"Hot")</f>
        <v>Cold</v>
      </c>
      <c r="M182" s="36">
        <v>0.1212</v>
      </c>
      <c r="N182" s="36">
        <v>0.36</v>
      </c>
      <c r="O182" s="36" t="str" cm="1">
        <f t="array" ref="O182">_xlfn.IFS(N182&gt;0.61, "High Humidity", N182&gt;=0.6, "Humid", N182&gt;0.4, "Less Humidity", TRUE, "Dry")</f>
        <v>Dry</v>
      </c>
      <c r="P182" s="36">
        <v>0.25369999999999998</v>
      </c>
      <c r="Q182" s="36" t="str" cm="1">
        <f t="array" ref="Q182">_xlfn.IFS(P182&lt;=0.2,"Low Windspeed",P182&lt;0.4,"Medium Windspeed",P182&gt;=0.41,"High Windspeed")</f>
        <v>Medium Windspeed</v>
      </c>
      <c r="R182" s="36">
        <v>4</v>
      </c>
      <c r="S182" s="36">
        <v>26</v>
      </c>
      <c r="T182" s="37">
        <v>30</v>
      </c>
      <c r="U182" s="39" t="str" cm="1">
        <f t="array" ref="U182">_xlfn.IFS(T182&lt;=70,"Low",T182&lt;=160,"Medium",T182&gt;=161,"High")</f>
        <v>Low</v>
      </c>
    </row>
    <row r="183" spans="1:21" x14ac:dyDescent="0.25">
      <c r="A183" s="33">
        <v>182</v>
      </c>
      <c r="B183" s="34">
        <v>40551</v>
      </c>
      <c r="C183" s="35">
        <v>1</v>
      </c>
      <c r="D183" s="35">
        <v>0</v>
      </c>
      <c r="E183" s="35">
        <v>1</v>
      </c>
      <c r="F183" s="35">
        <v>20</v>
      </c>
      <c r="G183" s="35" t="str" cm="1">
        <f t="array" ref="G183">_xlfn.IFS(F183&lt;4,"Night",F183&lt;=6,"Early Morning",F183&lt;11,"Morning",F183&lt;12,"Afternoon",F183&lt;=16,"Afternoon",F183&lt;=20,"Evening",F183&gt;=21,"Night")</f>
        <v>Evening</v>
      </c>
      <c r="H183" s="35" t="b">
        <v>0</v>
      </c>
      <c r="I183" s="35">
        <v>6</v>
      </c>
      <c r="J183" s="35">
        <v>1</v>
      </c>
      <c r="K183" s="31">
        <v>0.12</v>
      </c>
      <c r="L183" s="31" t="str" cm="1">
        <f t="array" ref="L183">_xlfn.IFS(K183&lt;0.15,"Cold",K183&lt;0.25,"Mild",K183&lt;=0.32,"Warm",K183&gt;=0.33,"Hot")</f>
        <v>Cold</v>
      </c>
      <c r="M183" s="36">
        <v>0.1212</v>
      </c>
      <c r="N183" s="36">
        <v>0.36</v>
      </c>
      <c r="O183" s="36" t="str" cm="1">
        <f t="array" ref="O183">_xlfn.IFS(N183&gt;0.61, "High Humidity", N183&gt;=0.6, "Humid", N183&gt;0.4, "Less Humidity", TRUE, "Dry")</f>
        <v>Dry</v>
      </c>
      <c r="P183" s="36">
        <v>0.25369999999999998</v>
      </c>
      <c r="Q183" s="36" t="str" cm="1">
        <f t="array" ref="Q183">_xlfn.IFS(P183&lt;=0.2,"Low Windspeed",P183&lt;0.4,"Medium Windspeed",P183&gt;=0.41,"High Windspeed")</f>
        <v>Medium Windspeed</v>
      </c>
      <c r="R183" s="36">
        <v>0</v>
      </c>
      <c r="S183" s="36">
        <v>28</v>
      </c>
      <c r="T183" s="37">
        <v>28</v>
      </c>
      <c r="U183" s="39" t="str" cm="1">
        <f t="array" ref="U183">_xlfn.IFS(T183&lt;=70,"Low",T183&lt;=160,"Medium",T183&gt;=161,"High")</f>
        <v>Low</v>
      </c>
    </row>
    <row r="184" spans="1:21" x14ac:dyDescent="0.25">
      <c r="A184" s="33">
        <v>183</v>
      </c>
      <c r="B184" s="34">
        <v>40551</v>
      </c>
      <c r="C184" s="35">
        <v>1</v>
      </c>
      <c r="D184" s="35">
        <v>0</v>
      </c>
      <c r="E184" s="35">
        <v>1</v>
      </c>
      <c r="F184" s="35">
        <v>21</v>
      </c>
      <c r="G184" s="35" t="str" cm="1">
        <f t="array" ref="G184">_xlfn.IFS(F184&lt;4,"Night",F184&lt;=6,"Early Morning",F184&lt;11,"Morning",F184&lt;12,"Afternoon",F184&lt;=16,"Afternoon",F184&lt;=20,"Evening",F184&gt;=21,"Night")</f>
        <v>Night</v>
      </c>
      <c r="H184" s="35" t="b">
        <v>0</v>
      </c>
      <c r="I184" s="35">
        <v>6</v>
      </c>
      <c r="J184" s="35">
        <v>1</v>
      </c>
      <c r="K184" s="31">
        <v>0.12</v>
      </c>
      <c r="L184" s="31" t="str" cm="1">
        <f t="array" ref="L184">_xlfn.IFS(K184&lt;0.15,"Cold",K184&lt;0.25,"Mild",K184&lt;=0.32,"Warm",K184&gt;=0.33,"Hot")</f>
        <v>Cold</v>
      </c>
      <c r="M184" s="36">
        <v>0.1061</v>
      </c>
      <c r="N184" s="36">
        <v>0.39</v>
      </c>
      <c r="O184" s="36" t="str" cm="1">
        <f t="array" ref="O184">_xlfn.IFS(N184&gt;0.61, "High Humidity", N184&gt;=0.6, "Humid", N184&gt;0.4, "Less Humidity", TRUE, "Dry")</f>
        <v>Dry</v>
      </c>
      <c r="P184" s="36">
        <v>0.35820000000000002</v>
      </c>
      <c r="Q184" s="36" t="str" cm="1">
        <f t="array" ref="Q184">_xlfn.IFS(P184&lt;=0.2,"Low Windspeed",P184&lt;0.4,"Medium Windspeed",P184&gt;=0.41,"High Windspeed")</f>
        <v>Medium Windspeed</v>
      </c>
      <c r="R184" s="36">
        <v>2</v>
      </c>
      <c r="S184" s="36">
        <v>35</v>
      </c>
      <c r="T184" s="37">
        <v>37</v>
      </c>
      <c r="U184" s="39" t="str" cm="1">
        <f t="array" ref="U184">_xlfn.IFS(T184&lt;=70,"Low",T184&lt;=160,"Medium",T184&gt;=161,"High")</f>
        <v>Low</v>
      </c>
    </row>
    <row r="185" spans="1:21" x14ac:dyDescent="0.25">
      <c r="A185" s="33">
        <v>184</v>
      </c>
      <c r="B185" s="34">
        <v>40551</v>
      </c>
      <c r="C185" s="35">
        <v>1</v>
      </c>
      <c r="D185" s="35">
        <v>0</v>
      </c>
      <c r="E185" s="35">
        <v>1</v>
      </c>
      <c r="F185" s="35">
        <v>22</v>
      </c>
      <c r="G185" s="35" t="str" cm="1">
        <f t="array" ref="G185">_xlfn.IFS(F185&lt;4,"Night",F185&lt;=6,"Early Morning",F185&lt;11,"Morning",F185&lt;12,"Afternoon",F185&lt;=16,"Afternoon",F185&lt;=20,"Evening",F185&gt;=21,"Night")</f>
        <v>Night</v>
      </c>
      <c r="H185" s="35" t="b">
        <v>0</v>
      </c>
      <c r="I185" s="35">
        <v>6</v>
      </c>
      <c r="J185" s="35">
        <v>1</v>
      </c>
      <c r="K185" s="31">
        <v>0.12</v>
      </c>
      <c r="L185" s="31" t="str" cm="1">
        <f t="array" ref="L185">_xlfn.IFS(K185&lt;0.15,"Cold",K185&lt;0.25,"Mild",K185&lt;=0.32,"Warm",K185&gt;=0.33,"Hot")</f>
        <v>Cold</v>
      </c>
      <c r="M185" s="36">
        <v>0.1061</v>
      </c>
      <c r="N185" s="36">
        <v>0.36</v>
      </c>
      <c r="O185" s="36" t="str" cm="1">
        <f t="array" ref="O185">_xlfn.IFS(N185&gt;0.61, "High Humidity", N185&gt;=0.6, "Humid", N185&gt;0.4, "Less Humidity", TRUE, "Dry")</f>
        <v>Dry</v>
      </c>
      <c r="P185" s="36">
        <v>0.3881</v>
      </c>
      <c r="Q185" s="36" t="str" cm="1">
        <f t="array" ref="Q185">_xlfn.IFS(P185&lt;=0.2,"Low Windspeed",P185&lt;0.4,"Medium Windspeed",P185&gt;=0.41,"High Windspeed")</f>
        <v>Medium Windspeed</v>
      </c>
      <c r="R185" s="36">
        <v>1</v>
      </c>
      <c r="S185" s="36">
        <v>33</v>
      </c>
      <c r="T185" s="37">
        <v>34</v>
      </c>
      <c r="U185" s="39" t="str" cm="1">
        <f t="array" ref="U185">_xlfn.IFS(T185&lt;=70,"Low",T185&lt;=160,"Medium",T185&gt;=161,"High")</f>
        <v>Low</v>
      </c>
    </row>
    <row r="186" spans="1:21" x14ac:dyDescent="0.25">
      <c r="A186" s="33">
        <v>185</v>
      </c>
      <c r="B186" s="34">
        <v>40551</v>
      </c>
      <c r="C186" s="35">
        <v>1</v>
      </c>
      <c r="D186" s="35">
        <v>0</v>
      </c>
      <c r="E186" s="35">
        <v>1</v>
      </c>
      <c r="F186" s="35">
        <v>23</v>
      </c>
      <c r="G186" s="35" t="str" cm="1">
        <f t="array" ref="G186">_xlfn.IFS(F186&lt;4,"Night",F186&lt;=6,"Early Morning",F186&lt;11,"Morning",F186&lt;12,"Afternoon",F186&lt;=16,"Afternoon",F186&lt;=20,"Evening",F186&gt;=21,"Night")</f>
        <v>Night</v>
      </c>
      <c r="H186" s="35" t="b">
        <v>0</v>
      </c>
      <c r="I186" s="35">
        <v>6</v>
      </c>
      <c r="J186" s="35">
        <v>1</v>
      </c>
      <c r="K186" s="31">
        <v>0.1</v>
      </c>
      <c r="L186" s="31" t="str" cm="1">
        <f t="array" ref="L186">_xlfn.IFS(K186&lt;0.15,"Cold",K186&lt;0.25,"Mild",K186&lt;=0.32,"Warm",K186&gt;=0.33,"Hot")</f>
        <v>Cold</v>
      </c>
      <c r="M186" s="36">
        <v>6.0600000000000001E-2</v>
      </c>
      <c r="N186" s="36">
        <v>0.39</v>
      </c>
      <c r="O186" s="36" t="str" cm="1">
        <f t="array" ref="O186">_xlfn.IFS(N186&gt;0.61, "High Humidity", N186&gt;=0.6, "Humid", N186&gt;0.4, "Less Humidity", TRUE, "Dry")</f>
        <v>Dry</v>
      </c>
      <c r="P186" s="36">
        <v>0.44779999999999998</v>
      </c>
      <c r="Q186" s="36" t="str" cm="1">
        <f t="array" ref="Q186">_xlfn.IFS(P186&lt;=0.2,"Low Windspeed",P186&lt;0.4,"Medium Windspeed",P186&gt;=0.41,"High Windspeed")</f>
        <v>High Windspeed</v>
      </c>
      <c r="R186" s="36">
        <v>0</v>
      </c>
      <c r="S186" s="36">
        <v>22</v>
      </c>
      <c r="T186" s="37">
        <v>22</v>
      </c>
      <c r="U186" s="39" t="str" cm="1">
        <f t="array" ref="U186">_xlfn.IFS(T186&lt;=70,"Low",T186&lt;=160,"Medium",T186&gt;=161,"High")</f>
        <v>Low</v>
      </c>
    </row>
    <row r="187" spans="1:21" x14ac:dyDescent="0.25">
      <c r="A187" s="33">
        <v>186</v>
      </c>
      <c r="B187" s="34">
        <v>40552</v>
      </c>
      <c r="C187" s="35">
        <v>1</v>
      </c>
      <c r="D187" s="35">
        <v>0</v>
      </c>
      <c r="E187" s="35">
        <v>1</v>
      </c>
      <c r="F187" s="35">
        <v>0</v>
      </c>
      <c r="G187" s="35" t="str" cm="1">
        <f t="array" ref="G187">_xlfn.IFS(F187&lt;4,"Night",F187&lt;=6,"Early Morning",F187&lt;11,"Morning",F187&lt;12,"Afternoon",F187&lt;=16,"Afternoon",F187&lt;=20,"Evening",F187&gt;=21,"Night")</f>
        <v>Night</v>
      </c>
      <c r="H187" s="35" t="b">
        <v>0</v>
      </c>
      <c r="I187" s="35">
        <v>0</v>
      </c>
      <c r="J187" s="35">
        <v>1</v>
      </c>
      <c r="K187" s="31">
        <v>0.1</v>
      </c>
      <c r="L187" s="31" t="str" cm="1">
        <f t="array" ref="L187">_xlfn.IFS(K187&lt;0.15,"Cold",K187&lt;0.25,"Mild",K187&lt;=0.32,"Warm",K187&gt;=0.33,"Hot")</f>
        <v>Cold</v>
      </c>
      <c r="M187" s="36">
        <v>7.5800000000000006E-2</v>
      </c>
      <c r="N187" s="36">
        <v>0.42</v>
      </c>
      <c r="O187" s="36" t="str" cm="1">
        <f t="array" ref="O187">_xlfn.IFS(N187&gt;0.61, "High Humidity", N187&gt;=0.6, "Humid", N187&gt;0.4, "Less Humidity", TRUE, "Dry")</f>
        <v>Less Humidity</v>
      </c>
      <c r="P187" s="36">
        <v>0.3881</v>
      </c>
      <c r="Q187" s="36" t="str" cm="1">
        <f t="array" ref="Q187">_xlfn.IFS(P187&lt;=0.2,"Low Windspeed",P187&lt;0.4,"Medium Windspeed",P187&gt;=0.41,"High Windspeed")</f>
        <v>Medium Windspeed</v>
      </c>
      <c r="R187" s="36">
        <v>1</v>
      </c>
      <c r="S187" s="36">
        <v>24</v>
      </c>
      <c r="T187" s="37">
        <v>25</v>
      </c>
      <c r="U187" s="39" t="str" cm="1">
        <f t="array" ref="U187">_xlfn.IFS(T187&lt;=70,"Low",T187&lt;=160,"Medium",T187&gt;=161,"High")</f>
        <v>Low</v>
      </c>
    </row>
    <row r="188" spans="1:21" x14ac:dyDescent="0.25">
      <c r="A188" s="33">
        <v>187</v>
      </c>
      <c r="B188" s="34">
        <v>40552</v>
      </c>
      <c r="C188" s="35">
        <v>1</v>
      </c>
      <c r="D188" s="35">
        <v>0</v>
      </c>
      <c r="E188" s="35">
        <v>1</v>
      </c>
      <c r="F188" s="35">
        <v>1</v>
      </c>
      <c r="G188" s="35" t="str" cm="1">
        <f t="array" ref="G188">_xlfn.IFS(F188&lt;4,"Night",F188&lt;=6,"Early Morning",F188&lt;11,"Morning",F188&lt;12,"Afternoon",F188&lt;=16,"Afternoon",F188&lt;=20,"Evening",F188&gt;=21,"Night")</f>
        <v>Night</v>
      </c>
      <c r="H188" s="35" t="b">
        <v>0</v>
      </c>
      <c r="I188" s="35">
        <v>0</v>
      </c>
      <c r="J188" s="35">
        <v>1</v>
      </c>
      <c r="K188" s="31">
        <v>0.1</v>
      </c>
      <c r="L188" s="31" t="str" cm="1">
        <f t="array" ref="L188">_xlfn.IFS(K188&lt;0.15,"Cold",K188&lt;0.25,"Mild",K188&lt;=0.32,"Warm",K188&gt;=0.33,"Hot")</f>
        <v>Cold</v>
      </c>
      <c r="M188" s="36">
        <v>6.0600000000000001E-2</v>
      </c>
      <c r="N188" s="36">
        <v>0.42</v>
      </c>
      <c r="O188" s="36" t="str" cm="1">
        <f t="array" ref="O188">_xlfn.IFS(N188&gt;0.61, "High Humidity", N188&gt;=0.6, "Humid", N188&gt;0.4, "Less Humidity", TRUE, "Dry")</f>
        <v>Less Humidity</v>
      </c>
      <c r="P188" s="36">
        <v>0.4627</v>
      </c>
      <c r="Q188" s="36" t="str" cm="1">
        <f t="array" ref="Q188">_xlfn.IFS(P188&lt;=0.2,"Low Windspeed",P188&lt;0.4,"Medium Windspeed",P188&gt;=0.41,"High Windspeed")</f>
        <v>High Windspeed</v>
      </c>
      <c r="R188" s="36">
        <v>0</v>
      </c>
      <c r="S188" s="36">
        <v>12</v>
      </c>
      <c r="T188" s="37">
        <v>12</v>
      </c>
      <c r="U188" s="39" t="str" cm="1">
        <f t="array" ref="U188">_xlfn.IFS(T188&lt;=70,"Low",T188&lt;=160,"Medium",T188&gt;=161,"High")</f>
        <v>Low</v>
      </c>
    </row>
    <row r="189" spans="1:21" x14ac:dyDescent="0.25">
      <c r="A189" s="33">
        <v>188</v>
      </c>
      <c r="B189" s="34">
        <v>40552</v>
      </c>
      <c r="C189" s="35">
        <v>1</v>
      </c>
      <c r="D189" s="35">
        <v>0</v>
      </c>
      <c r="E189" s="35">
        <v>1</v>
      </c>
      <c r="F189" s="35">
        <v>2</v>
      </c>
      <c r="G189" s="35" t="str" cm="1">
        <f t="array" ref="G189">_xlfn.IFS(F189&lt;4,"Night",F189&lt;=6,"Early Morning",F189&lt;11,"Morning",F189&lt;12,"Afternoon",F189&lt;=16,"Afternoon",F189&lt;=20,"Evening",F189&gt;=21,"Night")</f>
        <v>Night</v>
      </c>
      <c r="H189" s="35" t="b">
        <v>0</v>
      </c>
      <c r="I189" s="35">
        <v>0</v>
      </c>
      <c r="J189" s="35">
        <v>1</v>
      </c>
      <c r="K189" s="31">
        <v>0.1</v>
      </c>
      <c r="L189" s="31" t="str" cm="1">
        <f t="array" ref="L189">_xlfn.IFS(K189&lt;0.15,"Cold",K189&lt;0.25,"Mild",K189&lt;=0.32,"Warm",K189&gt;=0.33,"Hot")</f>
        <v>Cold</v>
      </c>
      <c r="M189" s="36">
        <v>6.0600000000000001E-2</v>
      </c>
      <c r="N189" s="36">
        <v>0.46</v>
      </c>
      <c r="O189" s="36" t="str" cm="1">
        <f t="array" ref="O189">_xlfn.IFS(N189&gt;0.61, "High Humidity", N189&gt;=0.6, "Humid", N189&gt;0.4, "Less Humidity", TRUE, "Dry")</f>
        <v>Less Humidity</v>
      </c>
      <c r="P189" s="36">
        <v>0.4627</v>
      </c>
      <c r="Q189" s="36" t="str" cm="1">
        <f t="array" ref="Q189">_xlfn.IFS(P189&lt;=0.2,"Low Windspeed",P189&lt;0.4,"Medium Windspeed",P189&gt;=0.41,"High Windspeed")</f>
        <v>High Windspeed</v>
      </c>
      <c r="R189" s="36">
        <v>0</v>
      </c>
      <c r="S189" s="36">
        <v>11</v>
      </c>
      <c r="T189" s="37">
        <v>11</v>
      </c>
      <c r="U189" s="39" t="str" cm="1">
        <f t="array" ref="U189">_xlfn.IFS(T189&lt;=70,"Low",T189&lt;=160,"Medium",T189&gt;=161,"High")</f>
        <v>Low</v>
      </c>
    </row>
    <row r="190" spans="1:21" x14ac:dyDescent="0.25">
      <c r="A190" s="33">
        <v>189</v>
      </c>
      <c r="B190" s="34">
        <v>40552</v>
      </c>
      <c r="C190" s="35">
        <v>1</v>
      </c>
      <c r="D190" s="35">
        <v>0</v>
      </c>
      <c r="E190" s="35">
        <v>1</v>
      </c>
      <c r="F190" s="35">
        <v>3</v>
      </c>
      <c r="G190" s="35" t="str" cm="1">
        <f t="array" ref="G190">_xlfn.IFS(F190&lt;4,"Night",F190&lt;=6,"Early Morning",F190&lt;11,"Morning",F190&lt;12,"Afternoon",F190&lt;=16,"Afternoon",F190&lt;=20,"Evening",F190&gt;=21,"Night")</f>
        <v>Night</v>
      </c>
      <c r="H190" s="35" t="b">
        <v>0</v>
      </c>
      <c r="I190" s="35">
        <v>0</v>
      </c>
      <c r="J190" s="35">
        <v>1</v>
      </c>
      <c r="K190" s="31">
        <v>0.1</v>
      </c>
      <c r="L190" s="31" t="str" cm="1">
        <f t="array" ref="L190">_xlfn.IFS(K190&lt;0.15,"Cold",K190&lt;0.25,"Mild",K190&lt;=0.32,"Warm",K190&gt;=0.33,"Hot")</f>
        <v>Cold</v>
      </c>
      <c r="M190" s="36">
        <v>7.5800000000000006E-2</v>
      </c>
      <c r="N190" s="36">
        <v>0.46</v>
      </c>
      <c r="O190" s="36" t="str" cm="1">
        <f t="array" ref="O190">_xlfn.IFS(N190&gt;0.61, "High Humidity", N190&gt;=0.6, "Humid", N190&gt;0.4, "Less Humidity", TRUE, "Dry")</f>
        <v>Less Humidity</v>
      </c>
      <c r="P190" s="36">
        <v>0.41789999999999999</v>
      </c>
      <c r="Q190" s="36" t="str" cm="1">
        <f t="array" ref="Q190">_xlfn.IFS(P190&lt;=0.2,"Low Windspeed",P190&lt;0.4,"Medium Windspeed",P190&gt;=0.41,"High Windspeed")</f>
        <v>High Windspeed</v>
      </c>
      <c r="R190" s="36">
        <v>0</v>
      </c>
      <c r="S190" s="36">
        <v>4</v>
      </c>
      <c r="T190" s="37">
        <v>4</v>
      </c>
      <c r="U190" s="39" t="str" cm="1">
        <f t="array" ref="U190">_xlfn.IFS(T190&lt;=70,"Low",T190&lt;=160,"Medium",T190&gt;=161,"High")</f>
        <v>Low</v>
      </c>
    </row>
    <row r="191" spans="1:21" x14ac:dyDescent="0.25">
      <c r="A191" s="33">
        <v>190</v>
      </c>
      <c r="B191" s="34">
        <v>40552</v>
      </c>
      <c r="C191" s="35">
        <v>1</v>
      </c>
      <c r="D191" s="35">
        <v>0</v>
      </c>
      <c r="E191" s="35">
        <v>1</v>
      </c>
      <c r="F191" s="35">
        <v>4</v>
      </c>
      <c r="G191" s="35" t="str" cm="1">
        <f t="array" ref="G191">_xlfn.IFS(F191&lt;4,"Night",F191&lt;=6,"Early Morning",F191&lt;11,"Morning",F191&lt;12,"Afternoon",F191&lt;=16,"Afternoon",F191&lt;=20,"Evening",F191&gt;=21,"Night")</f>
        <v>Early Morning</v>
      </c>
      <c r="H191" s="35" t="b">
        <v>0</v>
      </c>
      <c r="I191" s="35">
        <v>0</v>
      </c>
      <c r="J191" s="35">
        <v>1</v>
      </c>
      <c r="K191" s="31">
        <v>0.08</v>
      </c>
      <c r="L191" s="31" t="str" cm="1">
        <f t="array" ref="L191">_xlfn.IFS(K191&lt;0.15,"Cold",K191&lt;0.25,"Mild",K191&lt;=0.32,"Warm",K191&gt;=0.33,"Hot")</f>
        <v>Cold</v>
      </c>
      <c r="M191" s="36">
        <v>9.0899999999999995E-2</v>
      </c>
      <c r="N191" s="36">
        <v>0.53</v>
      </c>
      <c r="O191" s="36" t="str" cm="1">
        <f t="array" ref="O191">_xlfn.IFS(N191&gt;0.61, "High Humidity", N191&gt;=0.6, "Humid", N191&gt;0.4, "Less Humidity", TRUE, "Dry")</f>
        <v>Less Humidity</v>
      </c>
      <c r="P191" s="36">
        <v>0.19400000000000001</v>
      </c>
      <c r="Q191" s="36" t="str" cm="1">
        <f t="array" ref="Q191">_xlfn.IFS(P191&lt;=0.2,"Low Windspeed",P191&lt;0.4,"Medium Windspeed",P191&gt;=0.41,"High Windspeed")</f>
        <v>Low Windspeed</v>
      </c>
      <c r="R191" s="36">
        <v>0</v>
      </c>
      <c r="S191" s="36">
        <v>1</v>
      </c>
      <c r="T191" s="37">
        <v>1</v>
      </c>
      <c r="U191" s="39" t="str" cm="1">
        <f t="array" ref="U191">_xlfn.IFS(T191&lt;=70,"Low",T191&lt;=160,"Medium",T191&gt;=161,"High")</f>
        <v>Low</v>
      </c>
    </row>
    <row r="192" spans="1:21" x14ac:dyDescent="0.25">
      <c r="A192" s="33">
        <v>191</v>
      </c>
      <c r="B192" s="34">
        <v>40552</v>
      </c>
      <c r="C192" s="35">
        <v>1</v>
      </c>
      <c r="D192" s="35">
        <v>0</v>
      </c>
      <c r="E192" s="35">
        <v>1</v>
      </c>
      <c r="F192" s="35">
        <v>5</v>
      </c>
      <c r="G192" s="35" t="str" cm="1">
        <f t="array" ref="G192">_xlfn.IFS(F192&lt;4,"Night",F192&lt;=6,"Early Morning",F192&lt;11,"Morning",F192&lt;12,"Afternoon",F192&lt;=16,"Afternoon",F192&lt;=20,"Evening",F192&gt;=21,"Night")</f>
        <v>Early Morning</v>
      </c>
      <c r="H192" s="35" t="b">
        <v>0</v>
      </c>
      <c r="I192" s="35">
        <v>0</v>
      </c>
      <c r="J192" s="35">
        <v>1</v>
      </c>
      <c r="K192" s="31">
        <v>0.08</v>
      </c>
      <c r="L192" s="31" t="str" cm="1">
        <f t="array" ref="L192">_xlfn.IFS(K192&lt;0.15,"Cold",K192&lt;0.25,"Mild",K192&lt;=0.32,"Warm",K192&gt;=0.33,"Hot")</f>
        <v>Cold</v>
      </c>
      <c r="M192" s="36">
        <v>9.0899999999999995E-2</v>
      </c>
      <c r="N192" s="36">
        <v>0.53</v>
      </c>
      <c r="O192" s="36" t="str" cm="1">
        <f t="array" ref="O192">_xlfn.IFS(N192&gt;0.61, "High Humidity", N192&gt;=0.6, "Humid", N192&gt;0.4, "Less Humidity", TRUE, "Dry")</f>
        <v>Less Humidity</v>
      </c>
      <c r="P192" s="36">
        <v>0.19400000000000001</v>
      </c>
      <c r="Q192" s="36" t="str" cm="1">
        <f t="array" ref="Q192">_xlfn.IFS(P192&lt;=0.2,"Low Windspeed",P192&lt;0.4,"Medium Windspeed",P192&gt;=0.41,"High Windspeed")</f>
        <v>Low Windspeed</v>
      </c>
      <c r="R192" s="36">
        <v>0</v>
      </c>
      <c r="S192" s="36">
        <v>1</v>
      </c>
      <c r="T192" s="37">
        <v>1</v>
      </c>
      <c r="U192" s="39" t="str" cm="1">
        <f t="array" ref="U192">_xlfn.IFS(T192&lt;=70,"Low",T192&lt;=160,"Medium",T192&gt;=161,"High")</f>
        <v>Low</v>
      </c>
    </row>
    <row r="193" spans="1:21" x14ac:dyDescent="0.25">
      <c r="A193" s="33">
        <v>192</v>
      </c>
      <c r="B193" s="34">
        <v>40552</v>
      </c>
      <c r="C193" s="35">
        <v>1</v>
      </c>
      <c r="D193" s="35">
        <v>0</v>
      </c>
      <c r="E193" s="35">
        <v>1</v>
      </c>
      <c r="F193" s="35">
        <v>6</v>
      </c>
      <c r="G193" s="35" t="str" cm="1">
        <f t="array" ref="G193">_xlfn.IFS(F193&lt;4,"Night",F193&lt;=6,"Early Morning",F193&lt;11,"Morning",F193&lt;12,"Afternoon",F193&lt;=16,"Afternoon",F193&lt;=20,"Evening",F193&gt;=21,"Night")</f>
        <v>Early Morning</v>
      </c>
      <c r="H193" s="35" t="b">
        <v>0</v>
      </c>
      <c r="I193" s="35">
        <v>0</v>
      </c>
      <c r="J193" s="35">
        <v>1</v>
      </c>
      <c r="K193" s="31">
        <v>0.1</v>
      </c>
      <c r="L193" s="31" t="str" cm="1">
        <f t="array" ref="L193">_xlfn.IFS(K193&lt;0.15,"Cold",K193&lt;0.25,"Mild",K193&lt;=0.32,"Warm",K193&gt;=0.33,"Hot")</f>
        <v>Cold</v>
      </c>
      <c r="M193" s="36">
        <v>9.0899999999999995E-2</v>
      </c>
      <c r="N193" s="36">
        <v>0.49</v>
      </c>
      <c r="O193" s="36" t="str" cm="1">
        <f t="array" ref="O193">_xlfn.IFS(N193&gt;0.61, "High Humidity", N193&gt;=0.6, "Humid", N193&gt;0.4, "Less Humidity", TRUE, "Dry")</f>
        <v>Less Humidity</v>
      </c>
      <c r="P193" s="36">
        <v>0.28360000000000002</v>
      </c>
      <c r="Q193" s="36" t="str" cm="1">
        <f t="array" ref="Q193">_xlfn.IFS(P193&lt;=0.2,"Low Windspeed",P193&lt;0.4,"Medium Windspeed",P193&gt;=0.41,"High Windspeed")</f>
        <v>Medium Windspeed</v>
      </c>
      <c r="R193" s="36">
        <v>0</v>
      </c>
      <c r="S193" s="36">
        <v>1</v>
      </c>
      <c r="T193" s="37">
        <v>1</v>
      </c>
      <c r="U193" s="39" t="str" cm="1">
        <f t="array" ref="U193">_xlfn.IFS(T193&lt;=70,"Low",T193&lt;=160,"Medium",T193&gt;=161,"High")</f>
        <v>Low</v>
      </c>
    </row>
    <row r="194" spans="1:21" x14ac:dyDescent="0.25">
      <c r="A194" s="33">
        <v>193</v>
      </c>
      <c r="B194" s="34">
        <v>40552</v>
      </c>
      <c r="C194" s="35">
        <v>1</v>
      </c>
      <c r="D194" s="35">
        <v>0</v>
      </c>
      <c r="E194" s="35">
        <v>1</v>
      </c>
      <c r="F194" s="35">
        <v>7</v>
      </c>
      <c r="G194" s="35" t="str" cm="1">
        <f t="array" ref="G194">_xlfn.IFS(F194&lt;4,"Night",F194&lt;=6,"Early Morning",F194&lt;11,"Morning",F194&lt;12,"Afternoon",F194&lt;=16,"Afternoon",F194&lt;=20,"Evening",F194&gt;=21,"Night")</f>
        <v>Morning</v>
      </c>
      <c r="H194" s="35" t="b">
        <v>0</v>
      </c>
      <c r="I194" s="35">
        <v>0</v>
      </c>
      <c r="J194" s="35">
        <v>1</v>
      </c>
      <c r="K194" s="31">
        <v>0.08</v>
      </c>
      <c r="L194" s="31" t="str" cm="1">
        <f t="array" ref="L194">_xlfn.IFS(K194&lt;0.15,"Cold",K194&lt;0.25,"Mild",K194&lt;=0.32,"Warm",K194&gt;=0.33,"Hot")</f>
        <v>Cold</v>
      </c>
      <c r="M194" s="36">
        <v>9.0899999999999995E-2</v>
      </c>
      <c r="N194" s="36">
        <v>0.53</v>
      </c>
      <c r="O194" s="36" t="str" cm="1">
        <f t="array" ref="O194">_xlfn.IFS(N194&gt;0.61, "High Humidity", N194&gt;=0.6, "Humid", N194&gt;0.4, "Less Humidity", TRUE, "Dry")</f>
        <v>Less Humidity</v>
      </c>
      <c r="P194" s="36">
        <v>0.19400000000000001</v>
      </c>
      <c r="Q194" s="36" t="str" cm="1">
        <f t="array" ref="Q194">_xlfn.IFS(P194&lt;=0.2,"Low Windspeed",P194&lt;0.4,"Medium Windspeed",P194&gt;=0.41,"High Windspeed")</f>
        <v>Low Windspeed</v>
      </c>
      <c r="R194" s="36">
        <v>1</v>
      </c>
      <c r="S194" s="36">
        <v>5</v>
      </c>
      <c r="T194" s="37">
        <v>6</v>
      </c>
      <c r="U194" s="39" t="str" cm="1">
        <f t="array" ref="U194">_xlfn.IFS(T194&lt;=70,"Low",T194&lt;=160,"Medium",T194&gt;=161,"High")</f>
        <v>Low</v>
      </c>
    </row>
    <row r="195" spans="1:21" x14ac:dyDescent="0.25">
      <c r="A195" s="33">
        <v>194</v>
      </c>
      <c r="B195" s="34">
        <v>40552</v>
      </c>
      <c r="C195" s="35">
        <v>1</v>
      </c>
      <c r="D195" s="35">
        <v>0</v>
      </c>
      <c r="E195" s="35">
        <v>1</v>
      </c>
      <c r="F195" s="35">
        <v>8</v>
      </c>
      <c r="G195" s="35" t="str" cm="1">
        <f t="array" ref="G195">_xlfn.IFS(F195&lt;4,"Night",F195&lt;=6,"Early Morning",F195&lt;11,"Morning",F195&lt;12,"Afternoon",F195&lt;=16,"Afternoon",F195&lt;=20,"Evening",F195&gt;=21,"Night")</f>
        <v>Morning</v>
      </c>
      <c r="H195" s="35" t="b">
        <v>0</v>
      </c>
      <c r="I195" s="35">
        <v>0</v>
      </c>
      <c r="J195" s="35">
        <v>1</v>
      </c>
      <c r="K195" s="31">
        <v>0.1</v>
      </c>
      <c r="L195" s="31" t="str" cm="1">
        <f t="array" ref="L195">_xlfn.IFS(K195&lt;0.15,"Cold",K195&lt;0.25,"Mild",K195&lt;=0.32,"Warm",K195&gt;=0.33,"Hot")</f>
        <v>Cold</v>
      </c>
      <c r="M195" s="36">
        <v>9.0899999999999995E-2</v>
      </c>
      <c r="N195" s="36">
        <v>0.49</v>
      </c>
      <c r="O195" s="36" t="str" cm="1">
        <f t="array" ref="O195">_xlfn.IFS(N195&gt;0.61, "High Humidity", N195&gt;=0.6, "Humid", N195&gt;0.4, "Less Humidity", TRUE, "Dry")</f>
        <v>Less Humidity</v>
      </c>
      <c r="P195" s="36">
        <v>0.28360000000000002</v>
      </c>
      <c r="Q195" s="36" t="str" cm="1">
        <f t="array" ref="Q195">_xlfn.IFS(P195&lt;=0.2,"Low Windspeed",P195&lt;0.4,"Medium Windspeed",P195&gt;=0.41,"High Windspeed")</f>
        <v>Medium Windspeed</v>
      </c>
      <c r="R195" s="36">
        <v>0</v>
      </c>
      <c r="S195" s="36">
        <v>10</v>
      </c>
      <c r="T195" s="37">
        <v>10</v>
      </c>
      <c r="U195" s="39" t="str" cm="1">
        <f t="array" ref="U195">_xlfn.IFS(T195&lt;=70,"Low",T195&lt;=160,"Medium",T195&gt;=161,"High")</f>
        <v>Low</v>
      </c>
    </row>
    <row r="196" spans="1:21" x14ac:dyDescent="0.25">
      <c r="A196" s="33">
        <v>195</v>
      </c>
      <c r="B196" s="34">
        <v>40552</v>
      </c>
      <c r="C196" s="35">
        <v>1</v>
      </c>
      <c r="D196" s="35">
        <v>0</v>
      </c>
      <c r="E196" s="35">
        <v>1</v>
      </c>
      <c r="F196" s="35">
        <v>9</v>
      </c>
      <c r="G196" s="35" t="str" cm="1">
        <f t="array" ref="G196">_xlfn.IFS(F196&lt;4,"Night",F196&lt;=6,"Early Morning",F196&lt;11,"Morning",F196&lt;12,"Afternoon",F196&lt;=16,"Afternoon",F196&lt;=20,"Evening",F196&gt;=21,"Night")</f>
        <v>Morning</v>
      </c>
      <c r="H196" s="35" t="b">
        <v>0</v>
      </c>
      <c r="I196" s="35">
        <v>0</v>
      </c>
      <c r="J196" s="35">
        <v>1</v>
      </c>
      <c r="K196" s="31">
        <v>0.12</v>
      </c>
      <c r="L196" s="31" t="str" cm="1">
        <f t="array" ref="L196">_xlfn.IFS(K196&lt;0.15,"Cold",K196&lt;0.25,"Mild",K196&lt;=0.32,"Warm",K196&gt;=0.33,"Hot")</f>
        <v>Cold</v>
      </c>
      <c r="M196" s="36">
        <v>7.5800000000000006E-2</v>
      </c>
      <c r="N196" s="36">
        <v>0.46</v>
      </c>
      <c r="O196" s="36" t="str" cm="1">
        <f t="array" ref="O196">_xlfn.IFS(N196&gt;0.61, "High Humidity", N196&gt;=0.6, "Humid", N196&gt;0.4, "Less Humidity", TRUE, "Dry")</f>
        <v>Less Humidity</v>
      </c>
      <c r="P196" s="36">
        <v>0.52239999999999998</v>
      </c>
      <c r="Q196" s="36" t="str" cm="1">
        <f t="array" ref="Q196">_xlfn.IFS(P196&lt;=0.2,"Low Windspeed",P196&lt;0.4,"Medium Windspeed",P196&gt;=0.41,"High Windspeed")</f>
        <v>High Windspeed</v>
      </c>
      <c r="R196" s="36">
        <v>0</v>
      </c>
      <c r="S196" s="36">
        <v>19</v>
      </c>
      <c r="T196" s="37">
        <v>19</v>
      </c>
      <c r="U196" s="39" t="str" cm="1">
        <f t="array" ref="U196">_xlfn.IFS(T196&lt;=70,"Low",T196&lt;=160,"Medium",T196&gt;=161,"High")</f>
        <v>Low</v>
      </c>
    </row>
    <row r="197" spans="1:21" x14ac:dyDescent="0.25">
      <c r="A197" s="33">
        <v>196</v>
      </c>
      <c r="B197" s="34">
        <v>40552</v>
      </c>
      <c r="C197" s="35">
        <v>1</v>
      </c>
      <c r="D197" s="35">
        <v>0</v>
      </c>
      <c r="E197" s="35">
        <v>1</v>
      </c>
      <c r="F197" s="35">
        <v>10</v>
      </c>
      <c r="G197" s="35" t="str" cm="1">
        <f t="array" ref="G197">_xlfn.IFS(F197&lt;4,"Night",F197&lt;=6,"Early Morning",F197&lt;11,"Morning",F197&lt;12,"Afternoon",F197&lt;=16,"Afternoon",F197&lt;=20,"Evening",F197&gt;=21,"Night")</f>
        <v>Morning</v>
      </c>
      <c r="H197" s="35" t="b">
        <v>0</v>
      </c>
      <c r="I197" s="35">
        <v>0</v>
      </c>
      <c r="J197" s="35">
        <v>1</v>
      </c>
      <c r="K197" s="31">
        <v>0.14000000000000001</v>
      </c>
      <c r="L197" s="31" t="str" cm="1">
        <f t="array" ref="L197">_xlfn.IFS(K197&lt;0.15,"Cold",K197&lt;0.25,"Mild",K197&lt;=0.32,"Warm",K197&gt;=0.33,"Hot")</f>
        <v>Cold</v>
      </c>
      <c r="M197" s="36">
        <v>0.1061</v>
      </c>
      <c r="N197" s="36">
        <v>0.43</v>
      </c>
      <c r="O197" s="36" t="str" cm="1">
        <f t="array" ref="O197">_xlfn.IFS(N197&gt;0.61, "High Humidity", N197&gt;=0.6, "Humid", N197&gt;0.4, "Less Humidity", TRUE, "Dry")</f>
        <v>Less Humidity</v>
      </c>
      <c r="P197" s="36">
        <v>0.3881</v>
      </c>
      <c r="Q197" s="36" t="str" cm="1">
        <f t="array" ref="Q197">_xlfn.IFS(P197&lt;=0.2,"Low Windspeed",P197&lt;0.4,"Medium Windspeed",P197&gt;=0.41,"High Windspeed")</f>
        <v>Medium Windspeed</v>
      </c>
      <c r="R197" s="36">
        <v>0</v>
      </c>
      <c r="S197" s="36">
        <v>49</v>
      </c>
      <c r="T197" s="37">
        <v>49</v>
      </c>
      <c r="U197" s="39" t="str" cm="1">
        <f t="array" ref="U197">_xlfn.IFS(T197&lt;=70,"Low",T197&lt;=160,"Medium",T197&gt;=161,"High")</f>
        <v>Low</v>
      </c>
    </row>
    <row r="198" spans="1:21" x14ac:dyDescent="0.25">
      <c r="A198" s="33">
        <v>197</v>
      </c>
      <c r="B198" s="34">
        <v>40552</v>
      </c>
      <c r="C198" s="35">
        <v>1</v>
      </c>
      <c r="D198" s="35">
        <v>0</v>
      </c>
      <c r="E198" s="35">
        <v>1</v>
      </c>
      <c r="F198" s="35">
        <v>11</v>
      </c>
      <c r="G198" s="35" t="str" cm="1">
        <f t="array" ref="G198">_xlfn.IFS(F198&lt;4,"Night",F198&lt;=6,"Early Morning",F198&lt;11,"Morning",F198&lt;12,"Afternoon",F198&lt;=16,"Afternoon",F198&lt;=20,"Evening",F198&gt;=21,"Night")</f>
        <v>Afternoon</v>
      </c>
      <c r="H198" s="35" t="b">
        <v>0</v>
      </c>
      <c r="I198" s="35">
        <v>0</v>
      </c>
      <c r="J198" s="35">
        <v>1</v>
      </c>
      <c r="K198" s="31">
        <v>0.16</v>
      </c>
      <c r="L198" s="31" t="str" cm="1">
        <f t="array" ref="L198">_xlfn.IFS(K198&lt;0.15,"Cold",K198&lt;0.25,"Mild",K198&lt;=0.32,"Warm",K198&gt;=0.33,"Hot")</f>
        <v>Mild</v>
      </c>
      <c r="M198" s="36">
        <v>0.1212</v>
      </c>
      <c r="N198" s="36">
        <v>0.4</v>
      </c>
      <c r="O198" s="36" t="str" cm="1">
        <f t="array" ref="O198">_xlfn.IFS(N198&gt;0.61, "High Humidity", N198&gt;=0.6, "Humid", N198&gt;0.4, "Less Humidity", TRUE, "Dry")</f>
        <v>Dry</v>
      </c>
      <c r="P198" s="36">
        <v>0.52239999999999998</v>
      </c>
      <c r="Q198" s="36" t="str" cm="1">
        <f t="array" ref="Q198">_xlfn.IFS(P198&lt;=0.2,"Low Windspeed",P198&lt;0.4,"Medium Windspeed",P198&gt;=0.41,"High Windspeed")</f>
        <v>High Windspeed</v>
      </c>
      <c r="R198" s="36">
        <v>2</v>
      </c>
      <c r="S198" s="36">
        <v>47</v>
      </c>
      <c r="T198" s="37">
        <v>49</v>
      </c>
      <c r="U198" s="39" t="str" cm="1">
        <f t="array" ref="U198">_xlfn.IFS(T198&lt;=70,"Low",T198&lt;=160,"Medium",T198&gt;=161,"High")</f>
        <v>Low</v>
      </c>
    </row>
    <row r="199" spans="1:21" x14ac:dyDescent="0.25">
      <c r="A199" s="33">
        <v>198</v>
      </c>
      <c r="B199" s="34">
        <v>40552</v>
      </c>
      <c r="C199" s="35">
        <v>1</v>
      </c>
      <c r="D199" s="35">
        <v>0</v>
      </c>
      <c r="E199" s="35">
        <v>1</v>
      </c>
      <c r="F199" s="35">
        <v>12</v>
      </c>
      <c r="G199" s="35" t="str" cm="1">
        <f t="array" ref="G199">_xlfn.IFS(F199&lt;4,"Night",F199&lt;=6,"Early Morning",F199&lt;11,"Morning",F199&lt;12,"Afternoon",F199&lt;=16,"Afternoon",F199&lt;=20,"Evening",F199&gt;=21,"Night")</f>
        <v>Afternoon</v>
      </c>
      <c r="H199" s="35" t="b">
        <v>0</v>
      </c>
      <c r="I199" s="35">
        <v>0</v>
      </c>
      <c r="J199" s="35">
        <v>1</v>
      </c>
      <c r="K199" s="31">
        <v>0.18</v>
      </c>
      <c r="L199" s="31" t="str" cm="1">
        <f t="array" ref="L199">_xlfn.IFS(K199&lt;0.15,"Cold",K199&lt;0.25,"Mild",K199&lt;=0.32,"Warm",K199&gt;=0.33,"Hot")</f>
        <v>Mild</v>
      </c>
      <c r="M199" s="36">
        <v>0.13639999999999999</v>
      </c>
      <c r="N199" s="36">
        <v>0.37</v>
      </c>
      <c r="O199" s="36" t="str" cm="1">
        <f t="array" ref="O199">_xlfn.IFS(N199&gt;0.61, "High Humidity", N199&gt;=0.6, "Humid", N199&gt;0.4, "Less Humidity", TRUE, "Dry")</f>
        <v>Dry</v>
      </c>
      <c r="P199" s="36">
        <v>0.44779999999999998</v>
      </c>
      <c r="Q199" s="36" t="str" cm="1">
        <f t="array" ref="Q199">_xlfn.IFS(P199&lt;=0.2,"Low Windspeed",P199&lt;0.4,"Medium Windspeed",P199&gt;=0.41,"High Windspeed")</f>
        <v>High Windspeed</v>
      </c>
      <c r="R199" s="36">
        <v>4</v>
      </c>
      <c r="S199" s="36">
        <v>79</v>
      </c>
      <c r="T199" s="37">
        <v>83</v>
      </c>
      <c r="U199" s="39" t="str" cm="1">
        <f t="array" ref="U199">_xlfn.IFS(T199&lt;=70,"Low",T199&lt;=160,"Medium",T199&gt;=161,"High")</f>
        <v>Medium</v>
      </c>
    </row>
    <row r="200" spans="1:21" x14ac:dyDescent="0.25">
      <c r="A200" s="33">
        <v>199</v>
      </c>
      <c r="B200" s="34">
        <v>40552</v>
      </c>
      <c r="C200" s="35">
        <v>1</v>
      </c>
      <c r="D200" s="35">
        <v>0</v>
      </c>
      <c r="E200" s="35">
        <v>1</v>
      </c>
      <c r="F200" s="35">
        <v>13</v>
      </c>
      <c r="G200" s="35" t="str" cm="1">
        <f t="array" ref="G200">_xlfn.IFS(F200&lt;4,"Night",F200&lt;=6,"Early Morning",F200&lt;11,"Morning",F200&lt;12,"Afternoon",F200&lt;=16,"Afternoon",F200&lt;=20,"Evening",F200&gt;=21,"Night")</f>
        <v>Afternoon</v>
      </c>
      <c r="H200" s="35" t="b">
        <v>0</v>
      </c>
      <c r="I200" s="35">
        <v>0</v>
      </c>
      <c r="J200" s="35">
        <v>1</v>
      </c>
      <c r="K200" s="31">
        <v>0.2</v>
      </c>
      <c r="L200" s="31" t="str" cm="1">
        <f t="array" ref="L200">_xlfn.IFS(K200&lt;0.15,"Cold",K200&lt;0.25,"Mild",K200&lt;=0.32,"Warm",K200&gt;=0.33,"Hot")</f>
        <v>Mild</v>
      </c>
      <c r="M200" s="36">
        <v>0.16669999999999999</v>
      </c>
      <c r="N200" s="36">
        <v>0.34</v>
      </c>
      <c r="O200" s="36" t="str" cm="1">
        <f t="array" ref="O200">_xlfn.IFS(N200&gt;0.61, "High Humidity", N200&gt;=0.6, "Humid", N200&gt;0.4, "Less Humidity", TRUE, "Dry")</f>
        <v>Dry</v>
      </c>
      <c r="P200" s="36">
        <v>0.44779999999999998</v>
      </c>
      <c r="Q200" s="36" t="str" cm="1">
        <f t="array" ref="Q200">_xlfn.IFS(P200&lt;=0.2,"Low Windspeed",P200&lt;0.4,"Medium Windspeed",P200&gt;=0.41,"High Windspeed")</f>
        <v>High Windspeed</v>
      </c>
      <c r="R200" s="36">
        <v>6</v>
      </c>
      <c r="S200" s="36">
        <v>69</v>
      </c>
      <c r="T200" s="37">
        <v>75</v>
      </c>
      <c r="U200" s="39" t="str" cm="1">
        <f t="array" ref="U200">_xlfn.IFS(T200&lt;=70,"Low",T200&lt;=160,"Medium",T200&gt;=161,"High")</f>
        <v>Medium</v>
      </c>
    </row>
    <row r="201" spans="1:21" x14ac:dyDescent="0.25">
      <c r="A201" s="33">
        <v>200</v>
      </c>
      <c r="B201" s="34">
        <v>40552</v>
      </c>
      <c r="C201" s="35">
        <v>1</v>
      </c>
      <c r="D201" s="35">
        <v>0</v>
      </c>
      <c r="E201" s="35">
        <v>1</v>
      </c>
      <c r="F201" s="35">
        <v>14</v>
      </c>
      <c r="G201" s="35" t="str" cm="1">
        <f t="array" ref="G201">_xlfn.IFS(F201&lt;4,"Night",F201&lt;=6,"Early Morning",F201&lt;11,"Morning",F201&lt;12,"Afternoon",F201&lt;=16,"Afternoon",F201&lt;=20,"Evening",F201&gt;=21,"Night")</f>
        <v>Afternoon</v>
      </c>
      <c r="H201" s="35" t="b">
        <v>0</v>
      </c>
      <c r="I201" s="35">
        <v>0</v>
      </c>
      <c r="J201" s="35">
        <v>1</v>
      </c>
      <c r="K201" s="31">
        <v>0.22</v>
      </c>
      <c r="L201" s="31" t="str" cm="1">
        <f t="array" ref="L201">_xlfn.IFS(K201&lt;0.15,"Cold",K201&lt;0.25,"Mild",K201&lt;=0.32,"Warm",K201&gt;=0.33,"Hot")</f>
        <v>Mild</v>
      </c>
      <c r="M201" s="36">
        <v>0.18179999999999999</v>
      </c>
      <c r="N201" s="36">
        <v>0.32</v>
      </c>
      <c r="O201" s="36" t="str" cm="1">
        <f t="array" ref="O201">_xlfn.IFS(N201&gt;0.61, "High Humidity", N201&gt;=0.6, "Humid", N201&gt;0.4, "Less Humidity", TRUE, "Dry")</f>
        <v>Dry</v>
      </c>
      <c r="P201" s="36">
        <v>0.4627</v>
      </c>
      <c r="Q201" s="36" t="str" cm="1">
        <f t="array" ref="Q201">_xlfn.IFS(P201&lt;=0.2,"Low Windspeed",P201&lt;0.4,"Medium Windspeed",P201&gt;=0.41,"High Windspeed")</f>
        <v>High Windspeed</v>
      </c>
      <c r="R201" s="36">
        <v>8</v>
      </c>
      <c r="S201" s="36">
        <v>64</v>
      </c>
      <c r="T201" s="37">
        <v>72</v>
      </c>
      <c r="U201" s="39" t="str" cm="1">
        <f t="array" ref="U201">_xlfn.IFS(T201&lt;=70,"Low",T201&lt;=160,"Medium",T201&gt;=161,"High")</f>
        <v>Medium</v>
      </c>
    </row>
    <row r="202" spans="1:21" x14ac:dyDescent="0.25">
      <c r="A202" s="33">
        <v>201</v>
      </c>
      <c r="B202" s="34">
        <v>40552</v>
      </c>
      <c r="C202" s="35">
        <v>1</v>
      </c>
      <c r="D202" s="35">
        <v>0</v>
      </c>
      <c r="E202" s="35">
        <v>1</v>
      </c>
      <c r="F202" s="35">
        <v>15</v>
      </c>
      <c r="G202" s="35" t="str" cm="1">
        <f t="array" ref="G202">_xlfn.IFS(F202&lt;4,"Night",F202&lt;=6,"Early Morning",F202&lt;11,"Morning",F202&lt;12,"Afternoon",F202&lt;=16,"Afternoon",F202&lt;=20,"Evening",F202&gt;=21,"Night")</f>
        <v>Afternoon</v>
      </c>
      <c r="H202" s="35" t="b">
        <v>0</v>
      </c>
      <c r="I202" s="35">
        <v>0</v>
      </c>
      <c r="J202" s="35">
        <v>1</v>
      </c>
      <c r="K202" s="31">
        <v>0.22</v>
      </c>
      <c r="L202" s="31" t="str" cm="1">
        <f t="array" ref="L202">_xlfn.IFS(K202&lt;0.15,"Cold",K202&lt;0.25,"Mild",K202&lt;=0.32,"Warm",K202&gt;=0.33,"Hot")</f>
        <v>Mild</v>
      </c>
      <c r="M202" s="36">
        <v>0.19700000000000001</v>
      </c>
      <c r="N202" s="36">
        <v>0.35</v>
      </c>
      <c r="O202" s="36" t="str" cm="1">
        <f t="array" ref="O202">_xlfn.IFS(N202&gt;0.61, "High Humidity", N202&gt;=0.6, "Humid", N202&gt;0.4, "Less Humidity", TRUE, "Dry")</f>
        <v>Dry</v>
      </c>
      <c r="P202" s="36">
        <v>0.35820000000000002</v>
      </c>
      <c r="Q202" s="36" t="str" cm="1">
        <f t="array" ref="Q202">_xlfn.IFS(P202&lt;=0.2,"Low Windspeed",P202&lt;0.4,"Medium Windspeed",P202&gt;=0.41,"High Windspeed")</f>
        <v>Medium Windspeed</v>
      </c>
      <c r="R202" s="36">
        <v>5</v>
      </c>
      <c r="S202" s="36">
        <v>77</v>
      </c>
      <c r="T202" s="37">
        <v>82</v>
      </c>
      <c r="U202" s="39" t="str" cm="1">
        <f t="array" ref="U202">_xlfn.IFS(T202&lt;=70,"Low",T202&lt;=160,"Medium",T202&gt;=161,"High")</f>
        <v>Medium</v>
      </c>
    </row>
    <row r="203" spans="1:21" x14ac:dyDescent="0.25">
      <c r="A203" s="33">
        <v>202</v>
      </c>
      <c r="B203" s="34">
        <v>40552</v>
      </c>
      <c r="C203" s="35">
        <v>1</v>
      </c>
      <c r="D203" s="35">
        <v>0</v>
      </c>
      <c r="E203" s="35">
        <v>1</v>
      </c>
      <c r="F203" s="35">
        <v>16</v>
      </c>
      <c r="G203" s="35" t="str" cm="1">
        <f t="array" ref="G203">_xlfn.IFS(F203&lt;4,"Night",F203&lt;=6,"Early Morning",F203&lt;11,"Morning",F203&lt;12,"Afternoon",F203&lt;=16,"Afternoon",F203&lt;=20,"Evening",F203&gt;=21,"Night")</f>
        <v>Afternoon</v>
      </c>
      <c r="H203" s="35" t="b">
        <v>0</v>
      </c>
      <c r="I203" s="35">
        <v>0</v>
      </c>
      <c r="J203" s="35">
        <v>1</v>
      </c>
      <c r="K203" s="31">
        <v>0.2</v>
      </c>
      <c r="L203" s="31" t="str" cm="1">
        <f t="array" ref="L203">_xlfn.IFS(K203&lt;0.15,"Cold",K203&lt;0.25,"Mild",K203&lt;=0.32,"Warm",K203&gt;=0.33,"Hot")</f>
        <v>Mild</v>
      </c>
      <c r="M203" s="36">
        <v>0.16669999999999999</v>
      </c>
      <c r="N203" s="36">
        <v>0.34</v>
      </c>
      <c r="O203" s="36" t="str" cm="1">
        <f t="array" ref="O203">_xlfn.IFS(N203&gt;0.61, "High Humidity", N203&gt;=0.6, "Humid", N203&gt;0.4, "Less Humidity", TRUE, "Dry")</f>
        <v>Dry</v>
      </c>
      <c r="P203" s="36">
        <v>0.44779999999999998</v>
      </c>
      <c r="Q203" s="36" t="str" cm="1">
        <f t="array" ref="Q203">_xlfn.IFS(P203&lt;=0.2,"Low Windspeed",P203&lt;0.4,"Medium Windspeed",P203&gt;=0.41,"High Windspeed")</f>
        <v>High Windspeed</v>
      </c>
      <c r="R203" s="36">
        <v>13</v>
      </c>
      <c r="S203" s="36">
        <v>79</v>
      </c>
      <c r="T203" s="37">
        <v>92</v>
      </c>
      <c r="U203" s="39" t="str" cm="1">
        <f t="array" ref="U203">_xlfn.IFS(T203&lt;=70,"Low",T203&lt;=160,"Medium",T203&gt;=161,"High")</f>
        <v>Medium</v>
      </c>
    </row>
    <row r="204" spans="1:21" x14ac:dyDescent="0.25">
      <c r="A204" s="33">
        <v>203</v>
      </c>
      <c r="B204" s="34">
        <v>40552</v>
      </c>
      <c r="C204" s="35">
        <v>1</v>
      </c>
      <c r="D204" s="35">
        <v>0</v>
      </c>
      <c r="E204" s="35">
        <v>1</v>
      </c>
      <c r="F204" s="35">
        <v>17</v>
      </c>
      <c r="G204" s="35" t="str" cm="1">
        <f t="array" ref="G204">_xlfn.IFS(F204&lt;4,"Night",F204&lt;=6,"Early Morning",F204&lt;11,"Morning",F204&lt;12,"Afternoon",F204&lt;=16,"Afternoon",F204&lt;=20,"Evening",F204&gt;=21,"Night")</f>
        <v>Evening</v>
      </c>
      <c r="H204" s="35" t="b">
        <v>0</v>
      </c>
      <c r="I204" s="35">
        <v>0</v>
      </c>
      <c r="J204" s="35">
        <v>1</v>
      </c>
      <c r="K204" s="31">
        <v>0.18</v>
      </c>
      <c r="L204" s="31" t="str" cm="1">
        <f t="array" ref="L204">_xlfn.IFS(K204&lt;0.15,"Cold",K204&lt;0.25,"Mild",K204&lt;=0.32,"Warm",K204&gt;=0.33,"Hot")</f>
        <v>Mild</v>
      </c>
      <c r="M204" s="36">
        <v>0.1515</v>
      </c>
      <c r="N204" s="36">
        <v>0.37</v>
      </c>
      <c r="O204" s="36" t="str" cm="1">
        <f t="array" ref="O204">_xlfn.IFS(N204&gt;0.61, "High Humidity", N204&gt;=0.6, "Humid", N204&gt;0.4, "Less Humidity", TRUE, "Dry")</f>
        <v>Dry</v>
      </c>
      <c r="P204" s="36">
        <v>0.3881</v>
      </c>
      <c r="Q204" s="36" t="str" cm="1">
        <f t="array" ref="Q204">_xlfn.IFS(P204&lt;=0.2,"Low Windspeed",P204&lt;0.4,"Medium Windspeed",P204&gt;=0.41,"High Windspeed")</f>
        <v>Medium Windspeed</v>
      </c>
      <c r="R204" s="36">
        <v>3</v>
      </c>
      <c r="S204" s="36">
        <v>59</v>
      </c>
      <c r="T204" s="37">
        <v>62</v>
      </c>
      <c r="U204" s="39" t="str" cm="1">
        <f t="array" ref="U204">_xlfn.IFS(T204&lt;=70,"Low",T204&lt;=160,"Medium",T204&gt;=161,"High")</f>
        <v>Low</v>
      </c>
    </row>
    <row r="205" spans="1:21" x14ac:dyDescent="0.25">
      <c r="A205" s="33">
        <v>204</v>
      </c>
      <c r="B205" s="34">
        <v>40552</v>
      </c>
      <c r="C205" s="35">
        <v>1</v>
      </c>
      <c r="D205" s="35">
        <v>0</v>
      </c>
      <c r="E205" s="35">
        <v>1</v>
      </c>
      <c r="F205" s="35">
        <v>18</v>
      </c>
      <c r="G205" s="35" t="str" cm="1">
        <f t="array" ref="G205">_xlfn.IFS(F205&lt;4,"Night",F205&lt;=6,"Early Morning",F205&lt;11,"Morning",F205&lt;12,"Afternoon",F205&lt;=16,"Afternoon",F205&lt;=20,"Evening",F205&gt;=21,"Night")</f>
        <v>Evening</v>
      </c>
      <c r="H205" s="35" t="b">
        <v>0</v>
      </c>
      <c r="I205" s="35">
        <v>0</v>
      </c>
      <c r="J205" s="35">
        <v>1</v>
      </c>
      <c r="K205" s="31">
        <v>0.16</v>
      </c>
      <c r="L205" s="31" t="str" cm="1">
        <f t="array" ref="L205">_xlfn.IFS(K205&lt;0.15,"Cold",K205&lt;0.25,"Mild",K205&lt;=0.32,"Warm",K205&gt;=0.33,"Hot")</f>
        <v>Mild</v>
      </c>
      <c r="M205" s="36">
        <v>0.13639999999999999</v>
      </c>
      <c r="N205" s="36">
        <v>0.4</v>
      </c>
      <c r="O205" s="36" t="str" cm="1">
        <f t="array" ref="O205">_xlfn.IFS(N205&gt;0.61, "High Humidity", N205&gt;=0.6, "Humid", N205&gt;0.4, "Less Humidity", TRUE, "Dry")</f>
        <v>Dry</v>
      </c>
      <c r="P205" s="36">
        <v>0.32840000000000003</v>
      </c>
      <c r="Q205" s="36" t="str" cm="1">
        <f t="array" ref="Q205">_xlfn.IFS(P205&lt;=0.2,"Low Windspeed",P205&lt;0.4,"Medium Windspeed",P205&gt;=0.41,"High Windspeed")</f>
        <v>Medium Windspeed</v>
      </c>
      <c r="R205" s="36">
        <v>4</v>
      </c>
      <c r="S205" s="36">
        <v>44</v>
      </c>
      <c r="T205" s="37">
        <v>48</v>
      </c>
      <c r="U205" s="39" t="str" cm="1">
        <f t="array" ref="U205">_xlfn.IFS(T205&lt;=70,"Low",T205&lt;=160,"Medium",T205&gt;=161,"High")</f>
        <v>Low</v>
      </c>
    </row>
    <row r="206" spans="1:21" x14ac:dyDescent="0.25">
      <c r="A206" s="33">
        <v>205</v>
      </c>
      <c r="B206" s="34">
        <v>40552</v>
      </c>
      <c r="C206" s="35">
        <v>1</v>
      </c>
      <c r="D206" s="35">
        <v>0</v>
      </c>
      <c r="E206" s="35">
        <v>1</v>
      </c>
      <c r="F206" s="35">
        <v>19</v>
      </c>
      <c r="G206" s="35" t="str" cm="1">
        <f t="array" ref="G206">_xlfn.IFS(F206&lt;4,"Night",F206&lt;=6,"Early Morning",F206&lt;11,"Morning",F206&lt;12,"Afternoon",F206&lt;=16,"Afternoon",F206&lt;=20,"Evening",F206&gt;=21,"Night")</f>
        <v>Evening</v>
      </c>
      <c r="H206" s="35" t="b">
        <v>0</v>
      </c>
      <c r="I206" s="35">
        <v>0</v>
      </c>
      <c r="J206" s="35">
        <v>1</v>
      </c>
      <c r="K206" s="31">
        <v>0.16</v>
      </c>
      <c r="L206" s="31" t="str" cm="1">
        <f t="array" ref="L206">_xlfn.IFS(K206&lt;0.15,"Cold",K206&lt;0.25,"Mild",K206&lt;=0.32,"Warm",K206&gt;=0.33,"Hot")</f>
        <v>Mild</v>
      </c>
      <c r="M206" s="36">
        <v>0.13639999999999999</v>
      </c>
      <c r="N206" s="36">
        <v>0.43</v>
      </c>
      <c r="O206" s="36" t="str" cm="1">
        <f t="array" ref="O206">_xlfn.IFS(N206&gt;0.61, "High Humidity", N206&gt;=0.6, "Humid", N206&gt;0.4, "Less Humidity", TRUE, "Dry")</f>
        <v>Less Humidity</v>
      </c>
      <c r="P206" s="36">
        <v>0.32840000000000003</v>
      </c>
      <c r="Q206" s="36" t="str" cm="1">
        <f t="array" ref="Q206">_xlfn.IFS(P206&lt;=0.2,"Low Windspeed",P206&lt;0.4,"Medium Windspeed",P206&gt;=0.41,"High Windspeed")</f>
        <v>Medium Windspeed</v>
      </c>
      <c r="R206" s="36">
        <v>1</v>
      </c>
      <c r="S206" s="36">
        <v>40</v>
      </c>
      <c r="T206" s="37">
        <v>41</v>
      </c>
      <c r="U206" s="39" t="str" cm="1">
        <f t="array" ref="U206">_xlfn.IFS(T206&lt;=70,"Low",T206&lt;=160,"Medium",T206&gt;=161,"High")</f>
        <v>Low</v>
      </c>
    </row>
    <row r="207" spans="1:21" x14ac:dyDescent="0.25">
      <c r="A207" s="33">
        <v>206</v>
      </c>
      <c r="B207" s="34">
        <v>40552</v>
      </c>
      <c r="C207" s="35">
        <v>1</v>
      </c>
      <c r="D207" s="35">
        <v>0</v>
      </c>
      <c r="E207" s="35">
        <v>1</v>
      </c>
      <c r="F207" s="35">
        <v>20</v>
      </c>
      <c r="G207" s="35" t="str" cm="1">
        <f t="array" ref="G207">_xlfn.IFS(F207&lt;4,"Night",F207&lt;=6,"Early Morning",F207&lt;11,"Morning",F207&lt;12,"Afternoon",F207&lt;=16,"Afternoon",F207&lt;=20,"Evening",F207&gt;=21,"Night")</f>
        <v>Evening</v>
      </c>
      <c r="H207" s="35" t="b">
        <v>0</v>
      </c>
      <c r="I207" s="35">
        <v>0</v>
      </c>
      <c r="J207" s="35">
        <v>1</v>
      </c>
      <c r="K207" s="31">
        <v>0.14000000000000001</v>
      </c>
      <c r="L207" s="31" t="str" cm="1">
        <f t="array" ref="L207">_xlfn.IFS(K207&lt;0.15,"Cold",K207&lt;0.25,"Mild",K207&lt;=0.32,"Warm",K207&gt;=0.33,"Hot")</f>
        <v>Cold</v>
      </c>
      <c r="M207" s="36">
        <v>0.1212</v>
      </c>
      <c r="N207" s="36">
        <v>0.46</v>
      </c>
      <c r="O207" s="36" t="str" cm="1">
        <f t="array" ref="O207">_xlfn.IFS(N207&gt;0.61, "High Humidity", N207&gt;=0.6, "Humid", N207&gt;0.4, "Less Humidity", TRUE, "Dry")</f>
        <v>Less Humidity</v>
      </c>
      <c r="P207" s="36">
        <v>0.25369999999999998</v>
      </c>
      <c r="Q207" s="36" t="str" cm="1">
        <f t="array" ref="Q207">_xlfn.IFS(P207&lt;=0.2,"Low Windspeed",P207&lt;0.4,"Medium Windspeed",P207&gt;=0.41,"High Windspeed")</f>
        <v>Medium Windspeed</v>
      </c>
      <c r="R207" s="36">
        <v>0</v>
      </c>
      <c r="S207" s="36">
        <v>38</v>
      </c>
      <c r="T207" s="37">
        <v>38</v>
      </c>
      <c r="U207" s="39" t="str" cm="1">
        <f t="array" ref="U207">_xlfn.IFS(T207&lt;=70,"Low",T207&lt;=160,"Medium",T207&gt;=161,"High")</f>
        <v>Low</v>
      </c>
    </row>
    <row r="208" spans="1:21" x14ac:dyDescent="0.25">
      <c r="A208" s="33">
        <v>207</v>
      </c>
      <c r="B208" s="34">
        <v>40552</v>
      </c>
      <c r="C208" s="35">
        <v>1</v>
      </c>
      <c r="D208" s="35">
        <v>0</v>
      </c>
      <c r="E208" s="35">
        <v>1</v>
      </c>
      <c r="F208" s="35">
        <v>21</v>
      </c>
      <c r="G208" s="35" t="str" cm="1">
        <f t="array" ref="G208">_xlfn.IFS(F208&lt;4,"Night",F208&lt;=6,"Early Morning",F208&lt;11,"Morning",F208&lt;12,"Afternoon",F208&lt;=16,"Afternoon",F208&lt;=20,"Evening",F208&gt;=21,"Night")</f>
        <v>Night</v>
      </c>
      <c r="H208" s="35" t="b">
        <v>0</v>
      </c>
      <c r="I208" s="35">
        <v>0</v>
      </c>
      <c r="J208" s="35">
        <v>1</v>
      </c>
      <c r="K208" s="31">
        <v>0.14000000000000001</v>
      </c>
      <c r="L208" s="31" t="str" cm="1">
        <f t="array" ref="L208">_xlfn.IFS(K208&lt;0.15,"Cold",K208&lt;0.25,"Mild",K208&lt;=0.32,"Warm",K208&gt;=0.33,"Hot")</f>
        <v>Cold</v>
      </c>
      <c r="M208" s="36">
        <v>0.1061</v>
      </c>
      <c r="N208" s="36">
        <v>0.46</v>
      </c>
      <c r="O208" s="36" t="str" cm="1">
        <f t="array" ref="O208">_xlfn.IFS(N208&gt;0.61, "High Humidity", N208&gt;=0.6, "Humid", N208&gt;0.4, "Less Humidity", TRUE, "Dry")</f>
        <v>Less Humidity</v>
      </c>
      <c r="P208" s="36">
        <v>0.41789999999999999</v>
      </c>
      <c r="Q208" s="36" t="str" cm="1">
        <f t="array" ref="Q208">_xlfn.IFS(P208&lt;=0.2,"Low Windspeed",P208&lt;0.4,"Medium Windspeed",P208&gt;=0.41,"High Windspeed")</f>
        <v>High Windspeed</v>
      </c>
      <c r="R208" s="36">
        <v>1</v>
      </c>
      <c r="S208" s="36">
        <v>19</v>
      </c>
      <c r="T208" s="37">
        <v>20</v>
      </c>
      <c r="U208" s="39" t="str" cm="1">
        <f t="array" ref="U208">_xlfn.IFS(T208&lt;=70,"Low",T208&lt;=160,"Medium",T208&gt;=161,"High")</f>
        <v>Low</v>
      </c>
    </row>
    <row r="209" spans="1:21" x14ac:dyDescent="0.25">
      <c r="A209" s="33">
        <v>208</v>
      </c>
      <c r="B209" s="34">
        <v>40552</v>
      </c>
      <c r="C209" s="35">
        <v>1</v>
      </c>
      <c r="D209" s="35">
        <v>0</v>
      </c>
      <c r="E209" s="35">
        <v>1</v>
      </c>
      <c r="F209" s="35">
        <v>22</v>
      </c>
      <c r="G209" s="35" t="str" cm="1">
        <f t="array" ref="G209">_xlfn.IFS(F209&lt;4,"Night",F209&lt;=6,"Early Morning",F209&lt;11,"Morning",F209&lt;12,"Afternoon",F209&lt;=16,"Afternoon",F209&lt;=20,"Evening",F209&gt;=21,"Night")</f>
        <v>Night</v>
      </c>
      <c r="H209" s="35" t="b">
        <v>0</v>
      </c>
      <c r="I209" s="35">
        <v>0</v>
      </c>
      <c r="J209" s="35">
        <v>1</v>
      </c>
      <c r="K209" s="31">
        <v>0.14000000000000001</v>
      </c>
      <c r="L209" s="31" t="str" cm="1">
        <f t="array" ref="L209">_xlfn.IFS(K209&lt;0.15,"Cold",K209&lt;0.25,"Mild",K209&lt;=0.32,"Warm",K209&gt;=0.33,"Hot")</f>
        <v>Cold</v>
      </c>
      <c r="M209" s="36">
        <v>0.1212</v>
      </c>
      <c r="N209" s="36">
        <v>0.46</v>
      </c>
      <c r="O209" s="36" t="str" cm="1">
        <f t="array" ref="O209">_xlfn.IFS(N209&gt;0.61, "High Humidity", N209&gt;=0.6, "Humid", N209&gt;0.4, "Less Humidity", TRUE, "Dry")</f>
        <v>Less Humidity</v>
      </c>
      <c r="P209" s="36">
        <v>0.29849999999999999</v>
      </c>
      <c r="Q209" s="36" t="str" cm="1">
        <f t="array" ref="Q209">_xlfn.IFS(P209&lt;=0.2,"Low Windspeed",P209&lt;0.4,"Medium Windspeed",P209&gt;=0.41,"High Windspeed")</f>
        <v>Medium Windspeed</v>
      </c>
      <c r="R209" s="36">
        <v>5</v>
      </c>
      <c r="S209" s="36">
        <v>10</v>
      </c>
      <c r="T209" s="37">
        <v>15</v>
      </c>
      <c r="U209" s="39" t="str" cm="1">
        <f t="array" ref="U209">_xlfn.IFS(T209&lt;=70,"Low",T209&lt;=160,"Medium",T209&gt;=161,"High")</f>
        <v>Low</v>
      </c>
    </row>
    <row r="210" spans="1:21" x14ac:dyDescent="0.25">
      <c r="A210" s="33">
        <v>209</v>
      </c>
      <c r="B210" s="34">
        <v>40552</v>
      </c>
      <c r="C210" s="35">
        <v>1</v>
      </c>
      <c r="D210" s="35">
        <v>0</v>
      </c>
      <c r="E210" s="35">
        <v>1</v>
      </c>
      <c r="F210" s="35">
        <v>23</v>
      </c>
      <c r="G210" s="35" t="str" cm="1">
        <f t="array" ref="G210">_xlfn.IFS(F210&lt;4,"Night",F210&lt;=6,"Early Morning",F210&lt;11,"Morning",F210&lt;12,"Afternoon",F210&lt;=16,"Afternoon",F210&lt;=20,"Evening",F210&gt;=21,"Night")</f>
        <v>Night</v>
      </c>
      <c r="H210" s="35" t="b">
        <v>0</v>
      </c>
      <c r="I210" s="35">
        <v>0</v>
      </c>
      <c r="J210" s="35">
        <v>1</v>
      </c>
      <c r="K210" s="31">
        <v>0.12</v>
      </c>
      <c r="L210" s="31" t="str" cm="1">
        <f t="array" ref="L210">_xlfn.IFS(K210&lt;0.15,"Cold",K210&lt;0.25,"Mild",K210&lt;=0.32,"Warm",K210&gt;=0.33,"Hot")</f>
        <v>Cold</v>
      </c>
      <c r="M210" s="36">
        <v>0.13639999999999999</v>
      </c>
      <c r="N210" s="36">
        <v>0.5</v>
      </c>
      <c r="O210" s="36" t="str" cm="1">
        <f t="array" ref="O210">_xlfn.IFS(N210&gt;0.61, "High Humidity", N210&gt;=0.6, "Humid", N210&gt;0.4, "Less Humidity", TRUE, "Dry")</f>
        <v>Less Humidity</v>
      </c>
      <c r="P210" s="36">
        <v>0.19400000000000001</v>
      </c>
      <c r="Q210" s="36" t="str" cm="1">
        <f t="array" ref="Q210">_xlfn.IFS(P210&lt;=0.2,"Low Windspeed",P210&lt;0.4,"Medium Windspeed",P210&gt;=0.41,"High Windspeed")</f>
        <v>Low Windspeed</v>
      </c>
      <c r="R210" s="36">
        <v>0</v>
      </c>
      <c r="S210" s="36">
        <v>6</v>
      </c>
      <c r="T210" s="37">
        <v>6</v>
      </c>
      <c r="U210" s="39" t="str" cm="1">
        <f t="array" ref="U210">_xlfn.IFS(T210&lt;=70,"Low",T210&lt;=160,"Medium",T210&gt;=161,"High")</f>
        <v>Low</v>
      </c>
    </row>
    <row r="211" spans="1:21" x14ac:dyDescent="0.25">
      <c r="A211" s="33">
        <v>210</v>
      </c>
      <c r="B211" s="34">
        <v>40553</v>
      </c>
      <c r="C211" s="35">
        <v>1</v>
      </c>
      <c r="D211" s="35">
        <v>0</v>
      </c>
      <c r="E211" s="35">
        <v>1</v>
      </c>
      <c r="F211" s="35">
        <v>0</v>
      </c>
      <c r="G211" s="35" t="str" cm="1">
        <f t="array" ref="G211">_xlfn.IFS(F211&lt;4,"Night",F211&lt;=6,"Early Morning",F211&lt;11,"Morning",F211&lt;12,"Afternoon",F211&lt;=16,"Afternoon",F211&lt;=20,"Evening",F211&gt;=21,"Night")</f>
        <v>Night</v>
      </c>
      <c r="H211" s="35" t="b">
        <v>0</v>
      </c>
      <c r="I211" s="35">
        <v>1</v>
      </c>
      <c r="J211" s="35">
        <v>1</v>
      </c>
      <c r="K211" s="31">
        <v>0.12</v>
      </c>
      <c r="L211" s="31" t="str" cm="1">
        <f t="array" ref="L211">_xlfn.IFS(K211&lt;0.15,"Cold",K211&lt;0.25,"Mild",K211&lt;=0.32,"Warm",K211&gt;=0.33,"Hot")</f>
        <v>Cold</v>
      </c>
      <c r="M211" s="36">
        <v>0.1212</v>
      </c>
      <c r="N211" s="36">
        <v>0.5</v>
      </c>
      <c r="O211" s="36" t="str" cm="1">
        <f t="array" ref="O211">_xlfn.IFS(N211&gt;0.61, "High Humidity", N211&gt;=0.6, "Humid", N211&gt;0.4, "Less Humidity", TRUE, "Dry")</f>
        <v>Less Humidity</v>
      </c>
      <c r="P211" s="36">
        <v>0.28360000000000002</v>
      </c>
      <c r="Q211" s="36" t="str" cm="1">
        <f t="array" ref="Q211">_xlfn.IFS(P211&lt;=0.2,"Low Windspeed",P211&lt;0.4,"Medium Windspeed",P211&gt;=0.41,"High Windspeed")</f>
        <v>Medium Windspeed</v>
      </c>
      <c r="R211" s="36">
        <v>2</v>
      </c>
      <c r="S211" s="36">
        <v>3</v>
      </c>
      <c r="T211" s="37">
        <v>5</v>
      </c>
      <c r="U211" s="39" t="str" cm="1">
        <f t="array" ref="U211">_xlfn.IFS(T211&lt;=70,"Low",T211&lt;=160,"Medium",T211&gt;=161,"High")</f>
        <v>Low</v>
      </c>
    </row>
    <row r="212" spans="1:21" x14ac:dyDescent="0.25">
      <c r="A212" s="33">
        <v>211</v>
      </c>
      <c r="B212" s="34">
        <v>40553</v>
      </c>
      <c r="C212" s="35">
        <v>1</v>
      </c>
      <c r="D212" s="35">
        <v>0</v>
      </c>
      <c r="E212" s="35">
        <v>1</v>
      </c>
      <c r="F212" s="35">
        <v>1</v>
      </c>
      <c r="G212" s="35" t="str" cm="1">
        <f t="array" ref="G212">_xlfn.IFS(F212&lt;4,"Night",F212&lt;=6,"Early Morning",F212&lt;11,"Morning",F212&lt;12,"Afternoon",F212&lt;=16,"Afternoon",F212&lt;=20,"Evening",F212&gt;=21,"Night")</f>
        <v>Night</v>
      </c>
      <c r="H212" s="35" t="b">
        <v>0</v>
      </c>
      <c r="I212" s="35">
        <v>1</v>
      </c>
      <c r="J212" s="35">
        <v>1</v>
      </c>
      <c r="K212" s="31">
        <v>0.12</v>
      </c>
      <c r="L212" s="31" t="str" cm="1">
        <f t="array" ref="L212">_xlfn.IFS(K212&lt;0.15,"Cold",K212&lt;0.25,"Mild",K212&lt;=0.32,"Warm",K212&gt;=0.33,"Hot")</f>
        <v>Cold</v>
      </c>
      <c r="M212" s="36">
        <v>0.1212</v>
      </c>
      <c r="N212" s="36">
        <v>0.5</v>
      </c>
      <c r="O212" s="36" t="str" cm="1">
        <f t="array" ref="O212">_xlfn.IFS(N212&gt;0.61, "High Humidity", N212&gt;=0.6, "Humid", N212&gt;0.4, "Less Humidity", TRUE, "Dry")</f>
        <v>Less Humidity</v>
      </c>
      <c r="P212" s="36">
        <v>0.28360000000000002</v>
      </c>
      <c r="Q212" s="36" t="str" cm="1">
        <f t="array" ref="Q212">_xlfn.IFS(P212&lt;=0.2,"Low Windspeed",P212&lt;0.4,"Medium Windspeed",P212&gt;=0.41,"High Windspeed")</f>
        <v>Medium Windspeed</v>
      </c>
      <c r="R212" s="36">
        <v>1</v>
      </c>
      <c r="S212" s="36">
        <v>0</v>
      </c>
      <c r="T212" s="37">
        <v>1</v>
      </c>
      <c r="U212" s="39" t="str" cm="1">
        <f t="array" ref="U212">_xlfn.IFS(T212&lt;=70,"Low",T212&lt;=160,"Medium",T212&gt;=161,"High")</f>
        <v>Low</v>
      </c>
    </row>
    <row r="213" spans="1:21" x14ac:dyDescent="0.25">
      <c r="A213" s="33">
        <v>212</v>
      </c>
      <c r="B213" s="34">
        <v>40553</v>
      </c>
      <c r="C213" s="35">
        <v>1</v>
      </c>
      <c r="D213" s="35">
        <v>0</v>
      </c>
      <c r="E213" s="35">
        <v>1</v>
      </c>
      <c r="F213" s="35">
        <v>2</v>
      </c>
      <c r="G213" s="35" t="str" cm="1">
        <f t="array" ref="G213">_xlfn.IFS(F213&lt;4,"Night",F213&lt;=6,"Early Morning",F213&lt;11,"Morning",F213&lt;12,"Afternoon",F213&lt;=16,"Afternoon",F213&lt;=20,"Evening",F213&gt;=21,"Night")</f>
        <v>Night</v>
      </c>
      <c r="H213" s="35" t="b">
        <v>0</v>
      </c>
      <c r="I213" s="35">
        <v>1</v>
      </c>
      <c r="J213" s="35">
        <v>1</v>
      </c>
      <c r="K213" s="31">
        <v>0.12</v>
      </c>
      <c r="L213" s="31" t="str" cm="1">
        <f t="array" ref="L213">_xlfn.IFS(K213&lt;0.15,"Cold",K213&lt;0.25,"Mild",K213&lt;=0.32,"Warm",K213&gt;=0.33,"Hot")</f>
        <v>Cold</v>
      </c>
      <c r="M213" s="36">
        <v>0.1212</v>
      </c>
      <c r="N213" s="36">
        <v>0.5</v>
      </c>
      <c r="O213" s="36" t="str" cm="1">
        <f t="array" ref="O213">_xlfn.IFS(N213&gt;0.61, "High Humidity", N213&gt;=0.6, "Humid", N213&gt;0.4, "Less Humidity", TRUE, "Dry")</f>
        <v>Less Humidity</v>
      </c>
      <c r="P213" s="36">
        <v>0.22389999999999999</v>
      </c>
      <c r="Q213" s="36" t="str" cm="1">
        <f t="array" ref="Q213">_xlfn.IFS(P213&lt;=0.2,"Low Windspeed",P213&lt;0.4,"Medium Windspeed",P213&gt;=0.41,"High Windspeed")</f>
        <v>Medium Windspeed</v>
      </c>
      <c r="R213" s="36">
        <v>0</v>
      </c>
      <c r="S213" s="36">
        <v>3</v>
      </c>
      <c r="T213" s="37">
        <v>3</v>
      </c>
      <c r="U213" s="39" t="str" cm="1">
        <f t="array" ref="U213">_xlfn.IFS(T213&lt;=70,"Low",T213&lt;=160,"Medium",T213&gt;=161,"High")</f>
        <v>Low</v>
      </c>
    </row>
    <row r="214" spans="1:21" x14ac:dyDescent="0.25">
      <c r="A214" s="33">
        <v>213</v>
      </c>
      <c r="B214" s="34">
        <v>40553</v>
      </c>
      <c r="C214" s="35">
        <v>1</v>
      </c>
      <c r="D214" s="35">
        <v>0</v>
      </c>
      <c r="E214" s="35">
        <v>1</v>
      </c>
      <c r="F214" s="35">
        <v>3</v>
      </c>
      <c r="G214" s="35" t="str" cm="1">
        <f t="array" ref="G214">_xlfn.IFS(F214&lt;4,"Night",F214&lt;=6,"Early Morning",F214&lt;11,"Morning",F214&lt;12,"Afternoon",F214&lt;=16,"Afternoon",F214&lt;=20,"Evening",F214&gt;=21,"Night")</f>
        <v>Night</v>
      </c>
      <c r="H214" s="35" t="b">
        <v>0</v>
      </c>
      <c r="I214" s="35">
        <v>1</v>
      </c>
      <c r="J214" s="35">
        <v>1</v>
      </c>
      <c r="K214" s="31">
        <v>0.12</v>
      </c>
      <c r="L214" s="31" t="str" cm="1">
        <f t="array" ref="L214">_xlfn.IFS(K214&lt;0.15,"Cold",K214&lt;0.25,"Mild",K214&lt;=0.32,"Warm",K214&gt;=0.33,"Hot")</f>
        <v>Cold</v>
      </c>
      <c r="M214" s="36">
        <v>0.1212</v>
      </c>
      <c r="N214" s="36">
        <v>0.5</v>
      </c>
      <c r="O214" s="36" t="str" cm="1">
        <f t="array" ref="O214">_xlfn.IFS(N214&gt;0.61, "High Humidity", N214&gt;=0.6, "Humid", N214&gt;0.4, "Less Humidity", TRUE, "Dry")</f>
        <v>Less Humidity</v>
      </c>
      <c r="P214" s="36">
        <v>0.22389999999999999</v>
      </c>
      <c r="Q214" s="36" t="str" cm="1">
        <f t="array" ref="Q214">_xlfn.IFS(P214&lt;=0.2,"Low Windspeed",P214&lt;0.4,"Medium Windspeed",P214&gt;=0.41,"High Windspeed")</f>
        <v>Medium Windspeed</v>
      </c>
      <c r="R214" s="36">
        <v>0</v>
      </c>
      <c r="S214" s="36">
        <v>1</v>
      </c>
      <c r="T214" s="37">
        <v>1</v>
      </c>
      <c r="U214" s="39" t="str" cm="1">
        <f t="array" ref="U214">_xlfn.IFS(T214&lt;=70,"Low",T214&lt;=160,"Medium",T214&gt;=161,"High")</f>
        <v>Low</v>
      </c>
    </row>
    <row r="215" spans="1:21" x14ac:dyDescent="0.25">
      <c r="A215" s="33">
        <v>214</v>
      </c>
      <c r="B215" s="34">
        <v>40553</v>
      </c>
      <c r="C215" s="35">
        <v>1</v>
      </c>
      <c r="D215" s="35">
        <v>0</v>
      </c>
      <c r="E215" s="35">
        <v>1</v>
      </c>
      <c r="F215" s="35">
        <v>4</v>
      </c>
      <c r="G215" s="35" t="str" cm="1">
        <f t="array" ref="G215">_xlfn.IFS(F215&lt;4,"Night",F215&lt;=6,"Early Morning",F215&lt;11,"Morning",F215&lt;12,"Afternoon",F215&lt;=16,"Afternoon",F215&lt;=20,"Evening",F215&gt;=21,"Night")</f>
        <v>Early Morning</v>
      </c>
      <c r="H215" s="35" t="b">
        <v>0</v>
      </c>
      <c r="I215" s="35">
        <v>1</v>
      </c>
      <c r="J215" s="35">
        <v>1</v>
      </c>
      <c r="K215" s="31">
        <v>0.1</v>
      </c>
      <c r="L215" s="31" t="str" cm="1">
        <f t="array" ref="L215">_xlfn.IFS(K215&lt;0.15,"Cold",K215&lt;0.25,"Mild",K215&lt;=0.32,"Warm",K215&gt;=0.33,"Hot")</f>
        <v>Cold</v>
      </c>
      <c r="M215" s="36">
        <v>0.1212</v>
      </c>
      <c r="N215" s="36">
        <v>0.54</v>
      </c>
      <c r="O215" s="36" t="str" cm="1">
        <f t="array" ref="O215">_xlfn.IFS(N215&gt;0.61, "High Humidity", N215&gt;=0.6, "Humid", N215&gt;0.4, "Less Humidity", TRUE, "Dry")</f>
        <v>Less Humidity</v>
      </c>
      <c r="P215" s="36">
        <v>0.1343</v>
      </c>
      <c r="Q215" s="36" t="str" cm="1">
        <f t="array" ref="Q215">_xlfn.IFS(P215&lt;=0.2,"Low Windspeed",P215&lt;0.4,"Medium Windspeed",P215&gt;=0.41,"High Windspeed")</f>
        <v>Low Windspeed</v>
      </c>
      <c r="R215" s="36">
        <v>1</v>
      </c>
      <c r="S215" s="36">
        <v>2</v>
      </c>
      <c r="T215" s="37">
        <v>3</v>
      </c>
      <c r="U215" s="39" t="str" cm="1">
        <f t="array" ref="U215">_xlfn.IFS(T215&lt;=70,"Low",T215&lt;=160,"Medium",T215&gt;=161,"High")</f>
        <v>Low</v>
      </c>
    </row>
    <row r="216" spans="1:21" x14ac:dyDescent="0.25">
      <c r="A216" s="33">
        <v>215</v>
      </c>
      <c r="B216" s="34">
        <v>40553</v>
      </c>
      <c r="C216" s="35">
        <v>1</v>
      </c>
      <c r="D216" s="35">
        <v>0</v>
      </c>
      <c r="E216" s="35">
        <v>1</v>
      </c>
      <c r="F216" s="35">
        <v>5</v>
      </c>
      <c r="G216" s="35" t="str" cm="1">
        <f t="array" ref="G216">_xlfn.IFS(F216&lt;4,"Night",F216&lt;=6,"Early Morning",F216&lt;11,"Morning",F216&lt;12,"Afternoon",F216&lt;=16,"Afternoon",F216&lt;=20,"Evening",F216&gt;=21,"Night")</f>
        <v>Early Morning</v>
      </c>
      <c r="H216" s="35" t="b">
        <v>0</v>
      </c>
      <c r="I216" s="35">
        <v>1</v>
      </c>
      <c r="J216" s="35">
        <v>1</v>
      </c>
      <c r="K216" s="31">
        <v>0.1</v>
      </c>
      <c r="L216" s="31" t="str" cm="1">
        <f t="array" ref="L216">_xlfn.IFS(K216&lt;0.15,"Cold",K216&lt;0.25,"Mild",K216&lt;=0.32,"Warm",K216&gt;=0.33,"Hot")</f>
        <v>Cold</v>
      </c>
      <c r="M216" s="36">
        <v>0.1061</v>
      </c>
      <c r="N216" s="36">
        <v>0.54</v>
      </c>
      <c r="O216" s="36" t="str" cm="1">
        <f t="array" ref="O216">_xlfn.IFS(N216&gt;0.61, "High Humidity", N216&gt;=0.6, "Humid", N216&gt;0.4, "Less Humidity", TRUE, "Dry")</f>
        <v>Less Humidity</v>
      </c>
      <c r="P216" s="36">
        <v>0.25369999999999998</v>
      </c>
      <c r="Q216" s="36" t="str" cm="1">
        <f t="array" ref="Q216">_xlfn.IFS(P216&lt;=0.2,"Low Windspeed",P216&lt;0.4,"Medium Windspeed",P216&gt;=0.41,"High Windspeed")</f>
        <v>Medium Windspeed</v>
      </c>
      <c r="R216" s="36">
        <v>0</v>
      </c>
      <c r="S216" s="36">
        <v>3</v>
      </c>
      <c r="T216" s="37">
        <v>3</v>
      </c>
      <c r="U216" s="39" t="str" cm="1">
        <f t="array" ref="U216">_xlfn.IFS(T216&lt;=70,"Low",T216&lt;=160,"Medium",T216&gt;=161,"High")</f>
        <v>Low</v>
      </c>
    </row>
    <row r="217" spans="1:21" x14ac:dyDescent="0.25">
      <c r="A217" s="33">
        <v>216</v>
      </c>
      <c r="B217" s="34">
        <v>40553</v>
      </c>
      <c r="C217" s="35">
        <v>1</v>
      </c>
      <c r="D217" s="35">
        <v>0</v>
      </c>
      <c r="E217" s="35">
        <v>1</v>
      </c>
      <c r="F217" s="35">
        <v>6</v>
      </c>
      <c r="G217" s="35" t="str" cm="1">
        <f t="array" ref="G217">_xlfn.IFS(F217&lt;4,"Night",F217&lt;=6,"Early Morning",F217&lt;11,"Morning",F217&lt;12,"Afternoon",F217&lt;=16,"Afternoon",F217&lt;=20,"Evening",F217&gt;=21,"Night")</f>
        <v>Early Morning</v>
      </c>
      <c r="H217" s="35" t="b">
        <v>0</v>
      </c>
      <c r="I217" s="35">
        <v>1</v>
      </c>
      <c r="J217" s="35">
        <v>1</v>
      </c>
      <c r="K217" s="31">
        <v>0.12</v>
      </c>
      <c r="L217" s="31" t="str" cm="1">
        <f t="array" ref="L217">_xlfn.IFS(K217&lt;0.15,"Cold",K217&lt;0.25,"Mild",K217&lt;=0.32,"Warm",K217&gt;=0.33,"Hot")</f>
        <v>Cold</v>
      </c>
      <c r="M217" s="36">
        <v>0.1212</v>
      </c>
      <c r="N217" s="36">
        <v>0.5</v>
      </c>
      <c r="O217" s="36" t="str" cm="1">
        <f t="array" ref="O217">_xlfn.IFS(N217&gt;0.61, "High Humidity", N217&gt;=0.6, "Humid", N217&gt;0.4, "Less Humidity", TRUE, "Dry")</f>
        <v>Less Humidity</v>
      </c>
      <c r="P217" s="36">
        <v>0.28360000000000002</v>
      </c>
      <c r="Q217" s="36" t="str" cm="1">
        <f t="array" ref="Q217">_xlfn.IFS(P217&lt;=0.2,"Low Windspeed",P217&lt;0.4,"Medium Windspeed",P217&gt;=0.41,"High Windspeed")</f>
        <v>Medium Windspeed</v>
      </c>
      <c r="R217" s="36">
        <v>0</v>
      </c>
      <c r="S217" s="36">
        <v>31</v>
      </c>
      <c r="T217" s="37">
        <v>31</v>
      </c>
      <c r="U217" s="39" t="str" cm="1">
        <f t="array" ref="U217">_xlfn.IFS(T217&lt;=70,"Low",T217&lt;=160,"Medium",T217&gt;=161,"High")</f>
        <v>Low</v>
      </c>
    </row>
    <row r="218" spans="1:21" x14ac:dyDescent="0.25">
      <c r="A218" s="33">
        <v>217</v>
      </c>
      <c r="B218" s="34">
        <v>40553</v>
      </c>
      <c r="C218" s="35">
        <v>1</v>
      </c>
      <c r="D218" s="35">
        <v>0</v>
      </c>
      <c r="E218" s="35">
        <v>1</v>
      </c>
      <c r="F218" s="35">
        <v>7</v>
      </c>
      <c r="G218" s="35" t="str" cm="1">
        <f t="array" ref="G218">_xlfn.IFS(F218&lt;4,"Night",F218&lt;=6,"Early Morning",F218&lt;11,"Morning",F218&lt;12,"Afternoon",F218&lt;=16,"Afternoon",F218&lt;=20,"Evening",F218&gt;=21,"Night")</f>
        <v>Morning</v>
      </c>
      <c r="H218" s="35" t="b">
        <v>0</v>
      </c>
      <c r="I218" s="35">
        <v>1</v>
      </c>
      <c r="J218" s="35">
        <v>1</v>
      </c>
      <c r="K218" s="31">
        <v>0.12</v>
      </c>
      <c r="L218" s="31" t="str" cm="1">
        <f t="array" ref="L218">_xlfn.IFS(K218&lt;0.15,"Cold",K218&lt;0.25,"Mild",K218&lt;=0.32,"Warm",K218&gt;=0.33,"Hot")</f>
        <v>Cold</v>
      </c>
      <c r="M218" s="36">
        <v>0.1212</v>
      </c>
      <c r="N218" s="36">
        <v>0.5</v>
      </c>
      <c r="O218" s="36" t="str" cm="1">
        <f t="array" ref="O218">_xlfn.IFS(N218&gt;0.61, "High Humidity", N218&gt;=0.6, "Humid", N218&gt;0.4, "Less Humidity", TRUE, "Dry")</f>
        <v>Less Humidity</v>
      </c>
      <c r="P218" s="36">
        <v>0.22389999999999999</v>
      </c>
      <c r="Q218" s="36" t="str" cm="1">
        <f t="array" ref="Q218">_xlfn.IFS(P218&lt;=0.2,"Low Windspeed",P218&lt;0.4,"Medium Windspeed",P218&gt;=0.41,"High Windspeed")</f>
        <v>Medium Windspeed</v>
      </c>
      <c r="R218" s="36">
        <v>2</v>
      </c>
      <c r="S218" s="36">
        <v>75</v>
      </c>
      <c r="T218" s="37">
        <v>77</v>
      </c>
      <c r="U218" s="39" t="str" cm="1">
        <f t="array" ref="U218">_xlfn.IFS(T218&lt;=70,"Low",T218&lt;=160,"Medium",T218&gt;=161,"High")</f>
        <v>Medium</v>
      </c>
    </row>
    <row r="219" spans="1:21" x14ac:dyDescent="0.25">
      <c r="A219" s="33">
        <v>218</v>
      </c>
      <c r="B219" s="34">
        <v>40553</v>
      </c>
      <c r="C219" s="35">
        <v>1</v>
      </c>
      <c r="D219" s="35">
        <v>0</v>
      </c>
      <c r="E219" s="35">
        <v>1</v>
      </c>
      <c r="F219" s="35">
        <v>8</v>
      </c>
      <c r="G219" s="35" t="str" cm="1">
        <f t="array" ref="G219">_xlfn.IFS(F219&lt;4,"Night",F219&lt;=6,"Early Morning",F219&lt;11,"Morning",F219&lt;12,"Afternoon",F219&lt;=16,"Afternoon",F219&lt;=20,"Evening",F219&gt;=21,"Night")</f>
        <v>Morning</v>
      </c>
      <c r="H219" s="35" t="b">
        <v>0</v>
      </c>
      <c r="I219" s="35">
        <v>1</v>
      </c>
      <c r="J219" s="35">
        <v>2</v>
      </c>
      <c r="K219" s="31">
        <v>0.12</v>
      </c>
      <c r="L219" s="31" t="str" cm="1">
        <f t="array" ref="L219">_xlfn.IFS(K219&lt;0.15,"Cold",K219&lt;0.25,"Mild",K219&lt;=0.32,"Warm",K219&gt;=0.33,"Hot")</f>
        <v>Cold</v>
      </c>
      <c r="M219" s="36">
        <v>0.1212</v>
      </c>
      <c r="N219" s="36">
        <v>0.5</v>
      </c>
      <c r="O219" s="36" t="str" cm="1">
        <f t="array" ref="O219">_xlfn.IFS(N219&gt;0.61, "High Humidity", N219&gt;=0.6, "Humid", N219&gt;0.4, "Less Humidity", TRUE, "Dry")</f>
        <v>Less Humidity</v>
      </c>
      <c r="P219" s="36">
        <v>0.28360000000000002</v>
      </c>
      <c r="Q219" s="36" t="str" cm="1">
        <f t="array" ref="Q219">_xlfn.IFS(P219&lt;=0.2,"Low Windspeed",P219&lt;0.4,"Medium Windspeed",P219&gt;=0.41,"High Windspeed")</f>
        <v>Medium Windspeed</v>
      </c>
      <c r="R219" s="36">
        <v>4</v>
      </c>
      <c r="S219" s="36">
        <v>184</v>
      </c>
      <c r="T219" s="37">
        <v>188</v>
      </c>
      <c r="U219" s="39" t="str" cm="1">
        <f t="array" ref="U219">_xlfn.IFS(T219&lt;=70,"Low",T219&lt;=160,"Medium",T219&gt;=161,"High")</f>
        <v>High</v>
      </c>
    </row>
    <row r="220" spans="1:21" x14ac:dyDescent="0.25">
      <c r="A220" s="33">
        <v>219</v>
      </c>
      <c r="B220" s="34">
        <v>40553</v>
      </c>
      <c r="C220" s="35">
        <v>1</v>
      </c>
      <c r="D220" s="35">
        <v>0</v>
      </c>
      <c r="E220" s="35">
        <v>1</v>
      </c>
      <c r="F220" s="35">
        <v>9</v>
      </c>
      <c r="G220" s="35" t="str" cm="1">
        <f t="array" ref="G220">_xlfn.IFS(F220&lt;4,"Night",F220&lt;=6,"Early Morning",F220&lt;11,"Morning",F220&lt;12,"Afternoon",F220&lt;=16,"Afternoon",F220&lt;=20,"Evening",F220&gt;=21,"Night")</f>
        <v>Morning</v>
      </c>
      <c r="H220" s="35" t="b">
        <v>0</v>
      </c>
      <c r="I220" s="35">
        <v>1</v>
      </c>
      <c r="J220" s="35">
        <v>2</v>
      </c>
      <c r="K220" s="31">
        <v>0.14000000000000001</v>
      </c>
      <c r="L220" s="31" t="str" cm="1">
        <f t="array" ref="L220">_xlfn.IFS(K220&lt;0.15,"Cold",K220&lt;0.25,"Mild",K220&lt;=0.32,"Warm",K220&gt;=0.33,"Hot")</f>
        <v>Cold</v>
      </c>
      <c r="M220" s="36">
        <v>0.1212</v>
      </c>
      <c r="N220" s="36">
        <v>0.5</v>
      </c>
      <c r="O220" s="36" t="str" cm="1">
        <f t="array" ref="O220">_xlfn.IFS(N220&gt;0.61, "High Humidity", N220&gt;=0.6, "Humid", N220&gt;0.4, "Less Humidity", TRUE, "Dry")</f>
        <v>Less Humidity</v>
      </c>
      <c r="P220" s="36">
        <v>0.25369999999999998</v>
      </c>
      <c r="Q220" s="36" t="str" cm="1">
        <f t="array" ref="Q220">_xlfn.IFS(P220&lt;=0.2,"Low Windspeed",P220&lt;0.4,"Medium Windspeed",P220&gt;=0.41,"High Windspeed")</f>
        <v>Medium Windspeed</v>
      </c>
      <c r="R220" s="36">
        <v>2</v>
      </c>
      <c r="S220" s="36">
        <v>92</v>
      </c>
      <c r="T220" s="37">
        <v>94</v>
      </c>
      <c r="U220" s="39" t="str" cm="1">
        <f t="array" ref="U220">_xlfn.IFS(T220&lt;=70,"Low",T220&lt;=160,"Medium",T220&gt;=161,"High")</f>
        <v>Medium</v>
      </c>
    </row>
    <row r="221" spans="1:21" x14ac:dyDescent="0.25">
      <c r="A221" s="33">
        <v>220</v>
      </c>
      <c r="B221" s="34">
        <v>40553</v>
      </c>
      <c r="C221" s="35">
        <v>1</v>
      </c>
      <c r="D221" s="35">
        <v>0</v>
      </c>
      <c r="E221" s="35">
        <v>1</v>
      </c>
      <c r="F221" s="35">
        <v>10</v>
      </c>
      <c r="G221" s="35" t="str" cm="1">
        <f t="array" ref="G221">_xlfn.IFS(F221&lt;4,"Night",F221&lt;=6,"Early Morning",F221&lt;11,"Morning",F221&lt;12,"Afternoon",F221&lt;=16,"Afternoon",F221&lt;=20,"Evening",F221&gt;=21,"Night")</f>
        <v>Morning</v>
      </c>
      <c r="H221" s="35" t="b">
        <v>0</v>
      </c>
      <c r="I221" s="35">
        <v>1</v>
      </c>
      <c r="J221" s="35">
        <v>2</v>
      </c>
      <c r="K221" s="31">
        <v>0.14000000000000001</v>
      </c>
      <c r="L221" s="31" t="str" cm="1">
        <f t="array" ref="L221">_xlfn.IFS(K221&lt;0.15,"Cold",K221&lt;0.25,"Mild",K221&lt;=0.32,"Warm",K221&gt;=0.33,"Hot")</f>
        <v>Cold</v>
      </c>
      <c r="M221" s="36">
        <v>0.1212</v>
      </c>
      <c r="N221" s="36">
        <v>0.5</v>
      </c>
      <c r="O221" s="36" t="str" cm="1">
        <f t="array" ref="O221">_xlfn.IFS(N221&gt;0.61, "High Humidity", N221&gt;=0.6, "Humid", N221&gt;0.4, "Less Humidity", TRUE, "Dry")</f>
        <v>Less Humidity</v>
      </c>
      <c r="P221" s="36">
        <v>0.29849999999999999</v>
      </c>
      <c r="Q221" s="36" t="str" cm="1">
        <f t="array" ref="Q221">_xlfn.IFS(P221&lt;=0.2,"Low Windspeed",P221&lt;0.4,"Medium Windspeed",P221&gt;=0.41,"High Windspeed")</f>
        <v>Medium Windspeed</v>
      </c>
      <c r="R221" s="36">
        <v>0</v>
      </c>
      <c r="S221" s="36">
        <v>31</v>
      </c>
      <c r="T221" s="37">
        <v>31</v>
      </c>
      <c r="U221" s="39" t="str" cm="1">
        <f t="array" ref="U221">_xlfn.IFS(T221&lt;=70,"Low",T221&lt;=160,"Medium",T221&gt;=161,"High")</f>
        <v>Low</v>
      </c>
    </row>
    <row r="222" spans="1:21" x14ac:dyDescent="0.25">
      <c r="A222" s="33">
        <v>221</v>
      </c>
      <c r="B222" s="34">
        <v>40553</v>
      </c>
      <c r="C222" s="35">
        <v>1</v>
      </c>
      <c r="D222" s="35">
        <v>0</v>
      </c>
      <c r="E222" s="35">
        <v>1</v>
      </c>
      <c r="F222" s="35">
        <v>11</v>
      </c>
      <c r="G222" s="35" t="str" cm="1">
        <f t="array" ref="G222">_xlfn.IFS(F222&lt;4,"Night",F222&lt;=6,"Early Morning",F222&lt;11,"Morning",F222&lt;12,"Afternoon",F222&lt;=16,"Afternoon",F222&lt;=20,"Evening",F222&gt;=21,"Night")</f>
        <v>Afternoon</v>
      </c>
      <c r="H222" s="35" t="b">
        <v>0</v>
      </c>
      <c r="I222" s="35">
        <v>1</v>
      </c>
      <c r="J222" s="35">
        <v>2</v>
      </c>
      <c r="K222" s="31">
        <v>0.16</v>
      </c>
      <c r="L222" s="31" t="str" cm="1">
        <f t="array" ref="L222">_xlfn.IFS(K222&lt;0.15,"Cold",K222&lt;0.25,"Mild",K222&lt;=0.32,"Warm",K222&gt;=0.33,"Hot")</f>
        <v>Mild</v>
      </c>
      <c r="M222" s="36">
        <v>0.13639999999999999</v>
      </c>
      <c r="N222" s="36">
        <v>0.47</v>
      </c>
      <c r="O222" s="36" t="str" cm="1">
        <f t="array" ref="O222">_xlfn.IFS(N222&gt;0.61, "High Humidity", N222&gt;=0.6, "Humid", N222&gt;0.4, "Less Humidity", TRUE, "Dry")</f>
        <v>Less Humidity</v>
      </c>
      <c r="P222" s="36">
        <v>0.28360000000000002</v>
      </c>
      <c r="Q222" s="36" t="str" cm="1">
        <f t="array" ref="Q222">_xlfn.IFS(P222&lt;=0.2,"Low Windspeed",P222&lt;0.4,"Medium Windspeed",P222&gt;=0.41,"High Windspeed")</f>
        <v>Medium Windspeed</v>
      </c>
      <c r="R222" s="36">
        <v>2</v>
      </c>
      <c r="S222" s="36">
        <v>28</v>
      </c>
      <c r="T222" s="37">
        <v>30</v>
      </c>
      <c r="U222" s="39" t="str" cm="1">
        <f t="array" ref="U222">_xlfn.IFS(T222&lt;=70,"Low",T222&lt;=160,"Medium",T222&gt;=161,"High")</f>
        <v>Low</v>
      </c>
    </row>
    <row r="223" spans="1:21" x14ac:dyDescent="0.25">
      <c r="A223" s="33">
        <v>222</v>
      </c>
      <c r="B223" s="34">
        <v>40553</v>
      </c>
      <c r="C223" s="35">
        <v>1</v>
      </c>
      <c r="D223" s="35">
        <v>0</v>
      </c>
      <c r="E223" s="35">
        <v>1</v>
      </c>
      <c r="F223" s="35">
        <v>12</v>
      </c>
      <c r="G223" s="35" t="str" cm="1">
        <f t="array" ref="G223">_xlfn.IFS(F223&lt;4,"Night",F223&lt;=6,"Early Morning",F223&lt;11,"Morning",F223&lt;12,"Afternoon",F223&lt;=16,"Afternoon",F223&lt;=20,"Evening",F223&gt;=21,"Night")</f>
        <v>Afternoon</v>
      </c>
      <c r="H223" s="35" t="b">
        <v>0</v>
      </c>
      <c r="I223" s="35">
        <v>1</v>
      </c>
      <c r="J223" s="35">
        <v>2</v>
      </c>
      <c r="K223" s="31">
        <v>0.2</v>
      </c>
      <c r="L223" s="31" t="str" cm="1">
        <f t="array" ref="L223">_xlfn.IFS(K223&lt;0.15,"Cold",K223&lt;0.25,"Mild",K223&lt;=0.32,"Warm",K223&gt;=0.33,"Hot")</f>
        <v>Mild</v>
      </c>
      <c r="M223" s="36">
        <v>0.18179999999999999</v>
      </c>
      <c r="N223" s="36">
        <v>0.4</v>
      </c>
      <c r="O223" s="36" t="str" cm="1">
        <f t="array" ref="O223">_xlfn.IFS(N223&gt;0.61, "High Humidity", N223&gt;=0.6, "Humid", N223&gt;0.4, "Less Humidity", TRUE, "Dry")</f>
        <v>Dry</v>
      </c>
      <c r="P223" s="36">
        <v>0.28360000000000002</v>
      </c>
      <c r="Q223" s="36" t="str" cm="1">
        <f t="array" ref="Q223">_xlfn.IFS(P223&lt;=0.2,"Low Windspeed",P223&lt;0.4,"Medium Windspeed",P223&gt;=0.41,"High Windspeed")</f>
        <v>Medium Windspeed</v>
      </c>
      <c r="R223" s="36">
        <v>5</v>
      </c>
      <c r="S223" s="36">
        <v>47</v>
      </c>
      <c r="T223" s="37">
        <v>52</v>
      </c>
      <c r="U223" s="39" t="str" cm="1">
        <f t="array" ref="U223">_xlfn.IFS(T223&lt;=70,"Low",T223&lt;=160,"Medium",T223&gt;=161,"High")</f>
        <v>Low</v>
      </c>
    </row>
    <row r="224" spans="1:21" x14ac:dyDescent="0.25">
      <c r="A224" s="33">
        <v>223</v>
      </c>
      <c r="B224" s="34">
        <v>40553</v>
      </c>
      <c r="C224" s="35">
        <v>1</v>
      </c>
      <c r="D224" s="35">
        <v>0</v>
      </c>
      <c r="E224" s="35">
        <v>1</v>
      </c>
      <c r="F224" s="35">
        <v>13</v>
      </c>
      <c r="G224" s="35" t="str" cm="1">
        <f t="array" ref="G224">_xlfn.IFS(F224&lt;4,"Night",F224&lt;=6,"Early Morning",F224&lt;11,"Morning",F224&lt;12,"Afternoon",F224&lt;=16,"Afternoon",F224&lt;=20,"Evening",F224&gt;=21,"Night")</f>
        <v>Afternoon</v>
      </c>
      <c r="H224" s="35" t="b">
        <v>0</v>
      </c>
      <c r="I224" s="35">
        <v>1</v>
      </c>
      <c r="J224" s="35">
        <v>2</v>
      </c>
      <c r="K224" s="31">
        <v>0.2</v>
      </c>
      <c r="L224" s="31" t="str" cm="1">
        <f t="array" ref="L224">_xlfn.IFS(K224&lt;0.15,"Cold",K224&lt;0.25,"Mild",K224&lt;=0.32,"Warm",K224&gt;=0.33,"Hot")</f>
        <v>Mild</v>
      </c>
      <c r="M224" s="36">
        <v>0.18179999999999999</v>
      </c>
      <c r="N224" s="36">
        <v>0.4</v>
      </c>
      <c r="O224" s="36" t="str" cm="1">
        <f t="array" ref="O224">_xlfn.IFS(N224&gt;0.61, "High Humidity", N224&gt;=0.6, "Humid", N224&gt;0.4, "Less Humidity", TRUE, "Dry")</f>
        <v>Dry</v>
      </c>
      <c r="P224" s="36">
        <v>0.28360000000000002</v>
      </c>
      <c r="Q224" s="36" t="str" cm="1">
        <f t="array" ref="Q224">_xlfn.IFS(P224&lt;=0.2,"Low Windspeed",P224&lt;0.4,"Medium Windspeed",P224&gt;=0.41,"High Windspeed")</f>
        <v>Medium Windspeed</v>
      </c>
      <c r="R224" s="36">
        <v>4</v>
      </c>
      <c r="S224" s="36">
        <v>50</v>
      </c>
      <c r="T224" s="37">
        <v>54</v>
      </c>
      <c r="U224" s="39" t="str" cm="1">
        <f t="array" ref="U224">_xlfn.IFS(T224&lt;=70,"Low",T224&lt;=160,"Medium",T224&gt;=161,"High")</f>
        <v>Low</v>
      </c>
    </row>
    <row r="225" spans="1:21" x14ac:dyDescent="0.25">
      <c r="A225" s="33">
        <v>224</v>
      </c>
      <c r="B225" s="34">
        <v>40553</v>
      </c>
      <c r="C225" s="35">
        <v>1</v>
      </c>
      <c r="D225" s="35">
        <v>0</v>
      </c>
      <c r="E225" s="35">
        <v>1</v>
      </c>
      <c r="F225" s="35">
        <v>14</v>
      </c>
      <c r="G225" s="35" t="str" cm="1">
        <f t="array" ref="G225">_xlfn.IFS(F225&lt;4,"Night",F225&lt;=6,"Early Morning",F225&lt;11,"Morning",F225&lt;12,"Afternoon",F225&lt;=16,"Afternoon",F225&lt;=20,"Evening",F225&gt;=21,"Night")</f>
        <v>Afternoon</v>
      </c>
      <c r="H225" s="35" t="b">
        <v>0</v>
      </c>
      <c r="I225" s="35">
        <v>1</v>
      </c>
      <c r="J225" s="35">
        <v>2</v>
      </c>
      <c r="K225" s="31">
        <v>0.2</v>
      </c>
      <c r="L225" s="31" t="str" cm="1">
        <f t="array" ref="L225">_xlfn.IFS(K225&lt;0.15,"Cold",K225&lt;0.25,"Mild",K225&lt;=0.32,"Warm",K225&gt;=0.33,"Hot")</f>
        <v>Mild</v>
      </c>
      <c r="M225" s="36">
        <v>0.19700000000000001</v>
      </c>
      <c r="N225" s="36">
        <v>0.4</v>
      </c>
      <c r="O225" s="36" t="str" cm="1">
        <f t="array" ref="O225">_xlfn.IFS(N225&gt;0.61, "High Humidity", N225&gt;=0.6, "Humid", N225&gt;0.4, "Less Humidity", TRUE, "Dry")</f>
        <v>Dry</v>
      </c>
      <c r="P225" s="36">
        <v>0.22389999999999999</v>
      </c>
      <c r="Q225" s="36" t="str" cm="1">
        <f t="array" ref="Q225">_xlfn.IFS(P225&lt;=0.2,"Low Windspeed",P225&lt;0.4,"Medium Windspeed",P225&gt;=0.41,"High Windspeed")</f>
        <v>Medium Windspeed</v>
      </c>
      <c r="R225" s="36">
        <v>0</v>
      </c>
      <c r="S225" s="36">
        <v>47</v>
      </c>
      <c r="T225" s="37">
        <v>47</v>
      </c>
      <c r="U225" s="39" t="str" cm="1">
        <f t="array" ref="U225">_xlfn.IFS(T225&lt;=70,"Low",T225&lt;=160,"Medium",T225&gt;=161,"High")</f>
        <v>Low</v>
      </c>
    </row>
    <row r="226" spans="1:21" x14ac:dyDescent="0.25">
      <c r="A226" s="33">
        <v>225</v>
      </c>
      <c r="B226" s="34">
        <v>40553</v>
      </c>
      <c r="C226" s="35">
        <v>1</v>
      </c>
      <c r="D226" s="35">
        <v>0</v>
      </c>
      <c r="E226" s="35">
        <v>1</v>
      </c>
      <c r="F226" s="35">
        <v>15</v>
      </c>
      <c r="G226" s="35" t="str" cm="1">
        <f t="array" ref="G226">_xlfn.IFS(F226&lt;4,"Night",F226&lt;=6,"Early Morning",F226&lt;11,"Morning",F226&lt;12,"Afternoon",F226&lt;=16,"Afternoon",F226&lt;=20,"Evening",F226&gt;=21,"Night")</f>
        <v>Afternoon</v>
      </c>
      <c r="H226" s="35" t="b">
        <v>0</v>
      </c>
      <c r="I226" s="35">
        <v>1</v>
      </c>
      <c r="J226" s="35">
        <v>2</v>
      </c>
      <c r="K226" s="31">
        <v>0.2</v>
      </c>
      <c r="L226" s="31" t="str" cm="1">
        <f t="array" ref="L226">_xlfn.IFS(K226&lt;0.15,"Cold",K226&lt;0.25,"Mild",K226&lt;=0.32,"Warm",K226&gt;=0.33,"Hot")</f>
        <v>Mild</v>
      </c>
      <c r="M226" s="36">
        <v>0.19700000000000001</v>
      </c>
      <c r="N226" s="36">
        <v>0.4</v>
      </c>
      <c r="O226" s="36" t="str" cm="1">
        <f t="array" ref="O226">_xlfn.IFS(N226&gt;0.61, "High Humidity", N226&gt;=0.6, "Humid", N226&gt;0.4, "Less Humidity", TRUE, "Dry")</f>
        <v>Dry</v>
      </c>
      <c r="P226" s="36">
        <v>0.22389999999999999</v>
      </c>
      <c r="Q226" s="36" t="str" cm="1">
        <f t="array" ref="Q226">_xlfn.IFS(P226&lt;=0.2,"Low Windspeed",P226&lt;0.4,"Medium Windspeed",P226&gt;=0.41,"High Windspeed")</f>
        <v>Medium Windspeed</v>
      </c>
      <c r="R226" s="36">
        <v>2</v>
      </c>
      <c r="S226" s="36">
        <v>43</v>
      </c>
      <c r="T226" s="37">
        <v>45</v>
      </c>
      <c r="U226" s="39" t="str" cm="1">
        <f t="array" ref="U226">_xlfn.IFS(T226&lt;=70,"Low",T226&lt;=160,"Medium",T226&gt;=161,"High")</f>
        <v>Low</v>
      </c>
    </row>
    <row r="227" spans="1:21" x14ac:dyDescent="0.25">
      <c r="A227" s="33">
        <v>226</v>
      </c>
      <c r="B227" s="34">
        <v>40553</v>
      </c>
      <c r="C227" s="35">
        <v>1</v>
      </c>
      <c r="D227" s="35">
        <v>0</v>
      </c>
      <c r="E227" s="35">
        <v>1</v>
      </c>
      <c r="F227" s="35">
        <v>16</v>
      </c>
      <c r="G227" s="35" t="str" cm="1">
        <f t="array" ref="G227">_xlfn.IFS(F227&lt;4,"Night",F227&lt;=6,"Early Morning",F227&lt;11,"Morning",F227&lt;12,"Afternoon",F227&lt;=16,"Afternoon",F227&lt;=20,"Evening",F227&gt;=21,"Night")</f>
        <v>Afternoon</v>
      </c>
      <c r="H227" s="35" t="b">
        <v>0</v>
      </c>
      <c r="I227" s="35">
        <v>1</v>
      </c>
      <c r="J227" s="35">
        <v>1</v>
      </c>
      <c r="K227" s="31">
        <v>0.2</v>
      </c>
      <c r="L227" s="31" t="str" cm="1">
        <f t="array" ref="L227">_xlfn.IFS(K227&lt;0.15,"Cold",K227&lt;0.25,"Mild",K227&lt;=0.32,"Warm",K227&gt;=0.33,"Hot")</f>
        <v>Mild</v>
      </c>
      <c r="M227" s="36">
        <v>0.21210000000000001</v>
      </c>
      <c r="N227" s="36">
        <v>0.4</v>
      </c>
      <c r="O227" s="36" t="str" cm="1">
        <f t="array" ref="O227">_xlfn.IFS(N227&gt;0.61, "High Humidity", N227&gt;=0.6, "Humid", N227&gt;0.4, "Less Humidity", TRUE, "Dry")</f>
        <v>Dry</v>
      </c>
      <c r="P227" s="36">
        <v>0.1343</v>
      </c>
      <c r="Q227" s="36" t="str" cm="1">
        <f t="array" ref="Q227">_xlfn.IFS(P227&lt;=0.2,"Low Windspeed",P227&lt;0.4,"Medium Windspeed",P227&gt;=0.41,"High Windspeed")</f>
        <v>Low Windspeed</v>
      </c>
      <c r="R227" s="36">
        <v>4</v>
      </c>
      <c r="S227" s="36">
        <v>70</v>
      </c>
      <c r="T227" s="37">
        <v>74</v>
      </c>
      <c r="U227" s="39" t="str" cm="1">
        <f t="array" ref="U227">_xlfn.IFS(T227&lt;=70,"Low",T227&lt;=160,"Medium",T227&gt;=161,"High")</f>
        <v>Medium</v>
      </c>
    </row>
    <row r="228" spans="1:21" x14ac:dyDescent="0.25">
      <c r="A228" s="33">
        <v>227</v>
      </c>
      <c r="B228" s="34">
        <v>40553</v>
      </c>
      <c r="C228" s="35">
        <v>1</v>
      </c>
      <c r="D228" s="35">
        <v>0</v>
      </c>
      <c r="E228" s="35">
        <v>1</v>
      </c>
      <c r="F228" s="35">
        <v>17</v>
      </c>
      <c r="G228" s="35" t="str" cm="1">
        <f t="array" ref="G228">_xlfn.IFS(F228&lt;4,"Night",F228&lt;=6,"Early Morning",F228&lt;11,"Morning",F228&lt;12,"Afternoon",F228&lt;=16,"Afternoon",F228&lt;=20,"Evening",F228&gt;=21,"Night")</f>
        <v>Evening</v>
      </c>
      <c r="H228" s="35" t="b">
        <v>0</v>
      </c>
      <c r="I228" s="35">
        <v>1</v>
      </c>
      <c r="J228" s="35">
        <v>1</v>
      </c>
      <c r="K228" s="31">
        <v>0.2</v>
      </c>
      <c r="L228" s="31" t="str" cm="1">
        <f t="array" ref="L228">_xlfn.IFS(K228&lt;0.15,"Cold",K228&lt;0.25,"Mild",K228&lt;=0.32,"Warm",K228&gt;=0.33,"Hot")</f>
        <v>Mild</v>
      </c>
      <c r="M228" s="36">
        <v>0.2273</v>
      </c>
      <c r="N228" s="36">
        <v>0.4</v>
      </c>
      <c r="O228" s="36" t="str" cm="1">
        <f t="array" ref="O228">_xlfn.IFS(N228&gt;0.61, "High Humidity", N228&gt;=0.6, "Humid", N228&gt;0.4, "Less Humidity", TRUE, "Dry")</f>
        <v>Dry</v>
      </c>
      <c r="P228" s="36">
        <v>0.1045</v>
      </c>
      <c r="Q228" s="36" t="str" cm="1">
        <f t="array" ref="Q228">_xlfn.IFS(P228&lt;=0.2,"Low Windspeed",P228&lt;0.4,"Medium Windspeed",P228&gt;=0.41,"High Windspeed")</f>
        <v>Low Windspeed</v>
      </c>
      <c r="R228" s="36">
        <v>4</v>
      </c>
      <c r="S228" s="36">
        <v>174</v>
      </c>
      <c r="T228" s="37">
        <v>178</v>
      </c>
      <c r="U228" s="39" t="str" cm="1">
        <f t="array" ref="U228">_xlfn.IFS(T228&lt;=70,"Low",T228&lt;=160,"Medium",T228&gt;=161,"High")</f>
        <v>High</v>
      </c>
    </row>
    <row r="229" spans="1:21" x14ac:dyDescent="0.25">
      <c r="A229" s="33">
        <v>228</v>
      </c>
      <c r="B229" s="34">
        <v>40553</v>
      </c>
      <c r="C229" s="35">
        <v>1</v>
      </c>
      <c r="D229" s="35">
        <v>0</v>
      </c>
      <c r="E229" s="35">
        <v>1</v>
      </c>
      <c r="F229" s="35">
        <v>18</v>
      </c>
      <c r="G229" s="35" t="str" cm="1">
        <f t="array" ref="G229">_xlfn.IFS(F229&lt;4,"Night",F229&lt;=6,"Early Morning",F229&lt;11,"Morning",F229&lt;12,"Afternoon",F229&lt;=16,"Afternoon",F229&lt;=20,"Evening",F229&gt;=21,"Night")</f>
        <v>Evening</v>
      </c>
      <c r="H229" s="35" t="b">
        <v>0</v>
      </c>
      <c r="I229" s="35">
        <v>1</v>
      </c>
      <c r="J229" s="35">
        <v>1</v>
      </c>
      <c r="K229" s="31">
        <v>0.2</v>
      </c>
      <c r="L229" s="31" t="str" cm="1">
        <f t="array" ref="L229">_xlfn.IFS(K229&lt;0.15,"Cold",K229&lt;0.25,"Mild",K229&lt;=0.32,"Warm",K229&gt;=0.33,"Hot")</f>
        <v>Mild</v>
      </c>
      <c r="M229" s="36">
        <v>0.19700000000000001</v>
      </c>
      <c r="N229" s="36">
        <v>0.4</v>
      </c>
      <c r="O229" s="36" t="str" cm="1">
        <f t="array" ref="O229">_xlfn.IFS(N229&gt;0.61, "High Humidity", N229&gt;=0.6, "Humid", N229&gt;0.4, "Less Humidity", TRUE, "Dry")</f>
        <v>Dry</v>
      </c>
      <c r="P229" s="36">
        <v>0.22389999999999999</v>
      </c>
      <c r="Q229" s="36" t="str" cm="1">
        <f t="array" ref="Q229">_xlfn.IFS(P229&lt;=0.2,"Low Windspeed",P229&lt;0.4,"Medium Windspeed",P229&gt;=0.41,"High Windspeed")</f>
        <v>Medium Windspeed</v>
      </c>
      <c r="R229" s="36">
        <v>1</v>
      </c>
      <c r="S229" s="36">
        <v>154</v>
      </c>
      <c r="T229" s="37">
        <v>155</v>
      </c>
      <c r="U229" s="39" t="str" cm="1">
        <f t="array" ref="U229">_xlfn.IFS(T229&lt;=70,"Low",T229&lt;=160,"Medium",T229&gt;=161,"High")</f>
        <v>Medium</v>
      </c>
    </row>
    <row r="230" spans="1:21" x14ac:dyDescent="0.25">
      <c r="A230" s="33">
        <v>229</v>
      </c>
      <c r="B230" s="34">
        <v>40553</v>
      </c>
      <c r="C230" s="35">
        <v>1</v>
      </c>
      <c r="D230" s="35">
        <v>0</v>
      </c>
      <c r="E230" s="35">
        <v>1</v>
      </c>
      <c r="F230" s="35">
        <v>19</v>
      </c>
      <c r="G230" s="35" t="str" cm="1">
        <f t="array" ref="G230">_xlfn.IFS(F230&lt;4,"Night",F230&lt;=6,"Early Morning",F230&lt;11,"Morning",F230&lt;12,"Afternoon",F230&lt;=16,"Afternoon",F230&lt;=20,"Evening",F230&gt;=21,"Night")</f>
        <v>Evening</v>
      </c>
      <c r="H230" s="35" t="b">
        <v>0</v>
      </c>
      <c r="I230" s="35">
        <v>1</v>
      </c>
      <c r="J230" s="35">
        <v>1</v>
      </c>
      <c r="K230" s="31">
        <v>0.16</v>
      </c>
      <c r="L230" s="31" t="str" cm="1">
        <f t="array" ref="L230">_xlfn.IFS(K230&lt;0.15,"Cold",K230&lt;0.25,"Mild",K230&lt;=0.32,"Warm",K230&gt;=0.33,"Hot")</f>
        <v>Mild</v>
      </c>
      <c r="M230" s="36">
        <v>0.16669999999999999</v>
      </c>
      <c r="N230" s="36">
        <v>0.47</v>
      </c>
      <c r="O230" s="36" t="str" cm="1">
        <f t="array" ref="O230">_xlfn.IFS(N230&gt;0.61, "High Humidity", N230&gt;=0.6, "Humid", N230&gt;0.4, "Less Humidity", TRUE, "Dry")</f>
        <v>Less Humidity</v>
      </c>
      <c r="P230" s="36">
        <v>0.16420000000000001</v>
      </c>
      <c r="Q230" s="36" t="str" cm="1">
        <f t="array" ref="Q230">_xlfn.IFS(P230&lt;=0.2,"Low Windspeed",P230&lt;0.4,"Medium Windspeed",P230&gt;=0.41,"High Windspeed")</f>
        <v>Low Windspeed</v>
      </c>
      <c r="R230" s="36">
        <v>3</v>
      </c>
      <c r="S230" s="36">
        <v>92</v>
      </c>
      <c r="T230" s="37">
        <v>95</v>
      </c>
      <c r="U230" s="39" t="str" cm="1">
        <f t="array" ref="U230">_xlfn.IFS(T230&lt;=70,"Low",T230&lt;=160,"Medium",T230&gt;=161,"High")</f>
        <v>Medium</v>
      </c>
    </row>
    <row r="231" spans="1:21" x14ac:dyDescent="0.25">
      <c r="A231" s="33">
        <v>230</v>
      </c>
      <c r="B231" s="34">
        <v>40553</v>
      </c>
      <c r="C231" s="35">
        <v>1</v>
      </c>
      <c r="D231" s="35">
        <v>0</v>
      </c>
      <c r="E231" s="35">
        <v>1</v>
      </c>
      <c r="F231" s="35">
        <v>20</v>
      </c>
      <c r="G231" s="35" t="str" cm="1">
        <f t="array" ref="G231">_xlfn.IFS(F231&lt;4,"Night",F231&lt;=6,"Early Morning",F231&lt;11,"Morning",F231&lt;12,"Afternoon",F231&lt;=16,"Afternoon",F231&lt;=20,"Evening",F231&gt;=21,"Night")</f>
        <v>Evening</v>
      </c>
      <c r="H231" s="35" t="b">
        <v>0</v>
      </c>
      <c r="I231" s="35">
        <v>1</v>
      </c>
      <c r="J231" s="35">
        <v>1</v>
      </c>
      <c r="K231" s="31">
        <v>0.16</v>
      </c>
      <c r="L231" s="31" t="str" cm="1">
        <f t="array" ref="L231">_xlfn.IFS(K231&lt;0.15,"Cold",K231&lt;0.25,"Mild",K231&lt;=0.32,"Warm",K231&gt;=0.33,"Hot")</f>
        <v>Mild</v>
      </c>
      <c r="M231" s="36">
        <v>0.16669999999999999</v>
      </c>
      <c r="N231" s="36">
        <v>0.5</v>
      </c>
      <c r="O231" s="36" t="str" cm="1">
        <f t="array" ref="O231">_xlfn.IFS(N231&gt;0.61, "High Humidity", N231&gt;=0.6, "Humid", N231&gt;0.4, "Less Humidity", TRUE, "Dry")</f>
        <v>Less Humidity</v>
      </c>
      <c r="P231" s="36">
        <v>0.16420000000000001</v>
      </c>
      <c r="Q231" s="36" t="str" cm="1">
        <f t="array" ref="Q231">_xlfn.IFS(P231&lt;=0.2,"Low Windspeed",P231&lt;0.4,"Medium Windspeed",P231&gt;=0.41,"High Windspeed")</f>
        <v>Low Windspeed</v>
      </c>
      <c r="R231" s="36">
        <v>1</v>
      </c>
      <c r="S231" s="36">
        <v>73</v>
      </c>
      <c r="T231" s="37">
        <v>74</v>
      </c>
      <c r="U231" s="39" t="str" cm="1">
        <f t="array" ref="U231">_xlfn.IFS(T231&lt;=70,"Low",T231&lt;=160,"Medium",T231&gt;=161,"High")</f>
        <v>Medium</v>
      </c>
    </row>
    <row r="232" spans="1:21" x14ac:dyDescent="0.25">
      <c r="A232" s="33">
        <v>231</v>
      </c>
      <c r="B232" s="34">
        <v>40553</v>
      </c>
      <c r="C232" s="35">
        <v>1</v>
      </c>
      <c r="D232" s="35">
        <v>0</v>
      </c>
      <c r="E232" s="35">
        <v>1</v>
      </c>
      <c r="F232" s="35">
        <v>21</v>
      </c>
      <c r="G232" s="35" t="str" cm="1">
        <f t="array" ref="G232">_xlfn.IFS(F232&lt;4,"Night",F232&lt;=6,"Early Morning",F232&lt;11,"Morning",F232&lt;12,"Afternoon",F232&lt;=16,"Afternoon",F232&lt;=20,"Evening",F232&gt;=21,"Night")</f>
        <v>Night</v>
      </c>
      <c r="H232" s="35" t="b">
        <v>0</v>
      </c>
      <c r="I232" s="35">
        <v>1</v>
      </c>
      <c r="J232" s="35">
        <v>1</v>
      </c>
      <c r="K232" s="31">
        <v>0.14000000000000001</v>
      </c>
      <c r="L232" s="31" t="str" cm="1">
        <f t="array" ref="L232">_xlfn.IFS(K232&lt;0.15,"Cold",K232&lt;0.25,"Mild",K232&lt;=0.32,"Warm",K232&gt;=0.33,"Hot")</f>
        <v>Cold</v>
      </c>
      <c r="M232" s="36">
        <v>0.13639999999999999</v>
      </c>
      <c r="N232" s="36">
        <v>0.59</v>
      </c>
      <c r="O232" s="36" t="str" cm="1">
        <f t="array" ref="O232">_xlfn.IFS(N232&gt;0.61, "High Humidity", N232&gt;=0.6, "Humid", N232&gt;0.4, "Less Humidity", TRUE, "Dry")</f>
        <v>Less Humidity</v>
      </c>
      <c r="P232" s="36">
        <v>0.19400000000000001</v>
      </c>
      <c r="Q232" s="36" t="str" cm="1">
        <f t="array" ref="Q232">_xlfn.IFS(P232&lt;=0.2,"Low Windspeed",P232&lt;0.4,"Medium Windspeed",P232&gt;=0.41,"High Windspeed")</f>
        <v>Low Windspeed</v>
      </c>
      <c r="R232" s="36">
        <v>1</v>
      </c>
      <c r="S232" s="36">
        <v>37</v>
      </c>
      <c r="T232" s="37">
        <v>38</v>
      </c>
      <c r="U232" s="39" t="str" cm="1">
        <f t="array" ref="U232">_xlfn.IFS(T232&lt;=70,"Low",T232&lt;=160,"Medium",T232&gt;=161,"High")</f>
        <v>Low</v>
      </c>
    </row>
    <row r="233" spans="1:21" x14ac:dyDescent="0.25">
      <c r="A233" s="33">
        <v>232</v>
      </c>
      <c r="B233" s="34">
        <v>40553</v>
      </c>
      <c r="C233" s="35">
        <v>1</v>
      </c>
      <c r="D233" s="35">
        <v>0</v>
      </c>
      <c r="E233" s="35">
        <v>1</v>
      </c>
      <c r="F233" s="35">
        <v>22</v>
      </c>
      <c r="G233" s="35" t="str" cm="1">
        <f t="array" ref="G233">_xlfn.IFS(F233&lt;4,"Night",F233&lt;=6,"Early Morning",F233&lt;11,"Morning",F233&lt;12,"Afternoon",F233&lt;=16,"Afternoon",F233&lt;=20,"Evening",F233&gt;=21,"Night")</f>
        <v>Night</v>
      </c>
      <c r="H233" s="35" t="b">
        <v>0</v>
      </c>
      <c r="I233" s="35">
        <v>1</v>
      </c>
      <c r="J233" s="35">
        <v>1</v>
      </c>
      <c r="K233" s="31">
        <v>0.14000000000000001</v>
      </c>
      <c r="L233" s="31" t="str" cm="1">
        <f t="array" ref="L233">_xlfn.IFS(K233&lt;0.15,"Cold",K233&lt;0.25,"Mild",K233&lt;=0.32,"Warm",K233&gt;=0.33,"Hot")</f>
        <v>Cold</v>
      </c>
      <c r="M233" s="36">
        <v>0.1515</v>
      </c>
      <c r="N233" s="36">
        <v>0.59</v>
      </c>
      <c r="O233" s="36" t="str" cm="1">
        <f t="array" ref="O233">_xlfn.IFS(N233&gt;0.61, "High Humidity", N233&gt;=0.6, "Humid", N233&gt;0.4, "Less Humidity", TRUE, "Dry")</f>
        <v>Less Humidity</v>
      </c>
      <c r="P233" s="36">
        <v>0.16420000000000001</v>
      </c>
      <c r="Q233" s="36" t="str" cm="1">
        <f t="array" ref="Q233">_xlfn.IFS(P233&lt;=0.2,"Low Windspeed",P233&lt;0.4,"Medium Windspeed",P233&gt;=0.41,"High Windspeed")</f>
        <v>Low Windspeed</v>
      </c>
      <c r="R233" s="36">
        <v>2</v>
      </c>
      <c r="S233" s="36">
        <v>22</v>
      </c>
      <c r="T233" s="37">
        <v>24</v>
      </c>
      <c r="U233" s="39" t="str" cm="1">
        <f t="array" ref="U233">_xlfn.IFS(T233&lt;=70,"Low",T233&lt;=160,"Medium",T233&gt;=161,"High")</f>
        <v>Low</v>
      </c>
    </row>
    <row r="234" spans="1:21" x14ac:dyDescent="0.25">
      <c r="A234" s="33">
        <v>233</v>
      </c>
      <c r="B234" s="34">
        <v>40553</v>
      </c>
      <c r="C234" s="35">
        <v>1</v>
      </c>
      <c r="D234" s="35">
        <v>0</v>
      </c>
      <c r="E234" s="35">
        <v>1</v>
      </c>
      <c r="F234" s="35">
        <v>23</v>
      </c>
      <c r="G234" s="35" t="str" cm="1">
        <f t="array" ref="G234">_xlfn.IFS(F234&lt;4,"Night",F234&lt;=6,"Early Morning",F234&lt;11,"Morning",F234&lt;12,"Afternoon",F234&lt;=16,"Afternoon",F234&lt;=20,"Evening",F234&gt;=21,"Night")</f>
        <v>Night</v>
      </c>
      <c r="H234" s="35" t="b">
        <v>0</v>
      </c>
      <c r="I234" s="35">
        <v>1</v>
      </c>
      <c r="J234" s="35">
        <v>1</v>
      </c>
      <c r="K234" s="31">
        <v>0.14000000000000001</v>
      </c>
      <c r="L234" s="31" t="str" cm="1">
        <f t="array" ref="L234">_xlfn.IFS(K234&lt;0.15,"Cold",K234&lt;0.25,"Mild",K234&lt;=0.32,"Warm",K234&gt;=0.33,"Hot")</f>
        <v>Cold</v>
      </c>
      <c r="M234" s="36">
        <v>0.1515</v>
      </c>
      <c r="N234" s="36">
        <v>0.59</v>
      </c>
      <c r="O234" s="36" t="str" cm="1">
        <f t="array" ref="O234">_xlfn.IFS(N234&gt;0.61, "High Humidity", N234&gt;=0.6, "Humid", N234&gt;0.4, "Less Humidity", TRUE, "Dry")</f>
        <v>Less Humidity</v>
      </c>
      <c r="P234" s="36">
        <v>0.16420000000000001</v>
      </c>
      <c r="Q234" s="36" t="str" cm="1">
        <f t="array" ref="Q234">_xlfn.IFS(P234&lt;=0.2,"Low Windspeed",P234&lt;0.4,"Medium Windspeed",P234&gt;=0.41,"High Windspeed")</f>
        <v>Low Windspeed</v>
      </c>
      <c r="R234" s="36">
        <v>0</v>
      </c>
      <c r="S234" s="36">
        <v>18</v>
      </c>
      <c r="T234" s="37">
        <v>18</v>
      </c>
      <c r="U234" s="39" t="str" cm="1">
        <f t="array" ref="U234">_xlfn.IFS(T234&lt;=70,"Low",T234&lt;=160,"Medium",T234&gt;=161,"High")</f>
        <v>Low</v>
      </c>
    </row>
    <row r="235" spans="1:21" x14ac:dyDescent="0.25">
      <c r="A235" s="33">
        <v>234</v>
      </c>
      <c r="B235" s="34">
        <v>40554</v>
      </c>
      <c r="C235" s="35">
        <v>1</v>
      </c>
      <c r="D235" s="35">
        <v>0</v>
      </c>
      <c r="E235" s="35">
        <v>1</v>
      </c>
      <c r="F235" s="35">
        <v>0</v>
      </c>
      <c r="G235" s="35" t="str" cm="1">
        <f t="array" ref="G235">_xlfn.IFS(F235&lt;4,"Night",F235&lt;=6,"Early Morning",F235&lt;11,"Morning",F235&lt;12,"Afternoon",F235&lt;=16,"Afternoon",F235&lt;=20,"Evening",F235&gt;=21,"Night")</f>
        <v>Night</v>
      </c>
      <c r="H235" s="35" t="b">
        <v>0</v>
      </c>
      <c r="I235" s="35">
        <v>2</v>
      </c>
      <c r="J235" s="35">
        <v>1</v>
      </c>
      <c r="K235" s="31">
        <v>0.14000000000000001</v>
      </c>
      <c r="L235" s="31" t="str" cm="1">
        <f t="array" ref="L235">_xlfn.IFS(K235&lt;0.15,"Cold",K235&lt;0.25,"Mild",K235&lt;=0.32,"Warm",K235&gt;=0.33,"Hot")</f>
        <v>Cold</v>
      </c>
      <c r="M235" s="36">
        <v>0.16669999999999999</v>
      </c>
      <c r="N235" s="36">
        <v>0.59</v>
      </c>
      <c r="O235" s="36" t="str" cm="1">
        <f t="array" ref="O235">_xlfn.IFS(N235&gt;0.61, "High Humidity", N235&gt;=0.6, "Humid", N235&gt;0.4, "Less Humidity", TRUE, "Dry")</f>
        <v>Less Humidity</v>
      </c>
      <c r="P235" s="36">
        <v>0.1045</v>
      </c>
      <c r="Q235" s="36" t="str" cm="1">
        <f t="array" ref="Q235">_xlfn.IFS(P235&lt;=0.2,"Low Windspeed",P235&lt;0.4,"Medium Windspeed",P235&gt;=0.41,"High Windspeed")</f>
        <v>Low Windspeed</v>
      </c>
      <c r="R235" s="36">
        <v>2</v>
      </c>
      <c r="S235" s="36">
        <v>10</v>
      </c>
      <c r="T235" s="37">
        <v>12</v>
      </c>
      <c r="U235" s="39" t="str" cm="1">
        <f t="array" ref="U235">_xlfn.IFS(T235&lt;=70,"Low",T235&lt;=160,"Medium",T235&gt;=161,"High")</f>
        <v>Low</v>
      </c>
    </row>
    <row r="236" spans="1:21" x14ac:dyDescent="0.25">
      <c r="A236" s="33">
        <v>235</v>
      </c>
      <c r="B236" s="34">
        <v>40554</v>
      </c>
      <c r="C236" s="35">
        <v>1</v>
      </c>
      <c r="D236" s="35">
        <v>0</v>
      </c>
      <c r="E236" s="35">
        <v>1</v>
      </c>
      <c r="F236" s="35">
        <v>1</v>
      </c>
      <c r="G236" s="35" t="str" cm="1">
        <f t="array" ref="G236">_xlfn.IFS(F236&lt;4,"Night",F236&lt;=6,"Early Morning",F236&lt;11,"Morning",F236&lt;12,"Afternoon",F236&lt;=16,"Afternoon",F236&lt;=20,"Evening",F236&gt;=21,"Night")</f>
        <v>Night</v>
      </c>
      <c r="H236" s="35" t="b">
        <v>0</v>
      </c>
      <c r="I236" s="35">
        <v>2</v>
      </c>
      <c r="J236" s="35">
        <v>1</v>
      </c>
      <c r="K236" s="31">
        <v>0.14000000000000001</v>
      </c>
      <c r="L236" s="31" t="str" cm="1">
        <f t="array" ref="L236">_xlfn.IFS(K236&lt;0.15,"Cold",K236&lt;0.25,"Mild",K236&lt;=0.32,"Warm",K236&gt;=0.33,"Hot")</f>
        <v>Cold</v>
      </c>
      <c r="M236" s="36">
        <v>0.1515</v>
      </c>
      <c r="N236" s="36">
        <v>0.59</v>
      </c>
      <c r="O236" s="36" t="str" cm="1">
        <f t="array" ref="O236">_xlfn.IFS(N236&gt;0.61, "High Humidity", N236&gt;=0.6, "Humid", N236&gt;0.4, "Less Humidity", TRUE, "Dry")</f>
        <v>Less Humidity</v>
      </c>
      <c r="P236" s="36">
        <v>0.16420000000000001</v>
      </c>
      <c r="Q236" s="36" t="str" cm="1">
        <f t="array" ref="Q236">_xlfn.IFS(P236&lt;=0.2,"Low Windspeed",P236&lt;0.4,"Medium Windspeed",P236&gt;=0.41,"High Windspeed")</f>
        <v>Low Windspeed</v>
      </c>
      <c r="R236" s="36">
        <v>0</v>
      </c>
      <c r="S236" s="36">
        <v>3</v>
      </c>
      <c r="T236" s="37">
        <v>3</v>
      </c>
      <c r="U236" s="39" t="str" cm="1">
        <f t="array" ref="U236">_xlfn.IFS(T236&lt;=70,"Low",T236&lt;=160,"Medium",T236&gt;=161,"High")</f>
        <v>Low</v>
      </c>
    </row>
    <row r="237" spans="1:21" x14ac:dyDescent="0.25">
      <c r="A237" s="33">
        <v>236</v>
      </c>
      <c r="B237" s="34">
        <v>40554</v>
      </c>
      <c r="C237" s="35">
        <v>1</v>
      </c>
      <c r="D237" s="35">
        <v>0</v>
      </c>
      <c r="E237" s="35">
        <v>1</v>
      </c>
      <c r="F237" s="35">
        <v>2</v>
      </c>
      <c r="G237" s="35" t="str" cm="1">
        <f t="array" ref="G237">_xlfn.IFS(F237&lt;4,"Night",F237&lt;=6,"Early Morning",F237&lt;11,"Morning",F237&lt;12,"Afternoon",F237&lt;=16,"Afternoon",F237&lt;=20,"Evening",F237&gt;=21,"Night")</f>
        <v>Night</v>
      </c>
      <c r="H237" s="35" t="b">
        <v>0</v>
      </c>
      <c r="I237" s="35">
        <v>2</v>
      </c>
      <c r="J237" s="35">
        <v>2</v>
      </c>
      <c r="K237" s="31">
        <v>0.16</v>
      </c>
      <c r="L237" s="31" t="str" cm="1">
        <f t="array" ref="L237">_xlfn.IFS(K237&lt;0.15,"Cold",K237&lt;0.25,"Mild",K237&lt;=0.32,"Warm",K237&gt;=0.33,"Hot")</f>
        <v>Mild</v>
      </c>
      <c r="M237" s="36">
        <v>0.1515</v>
      </c>
      <c r="N237" s="36">
        <v>0.55000000000000004</v>
      </c>
      <c r="O237" s="36" t="str" cm="1">
        <f t="array" ref="O237">_xlfn.IFS(N237&gt;0.61, "High Humidity", N237&gt;=0.6, "Humid", N237&gt;0.4, "Less Humidity", TRUE, "Dry")</f>
        <v>Less Humidity</v>
      </c>
      <c r="P237" s="36">
        <v>0.19400000000000001</v>
      </c>
      <c r="Q237" s="36" t="str" cm="1">
        <f t="array" ref="Q237">_xlfn.IFS(P237&lt;=0.2,"Low Windspeed",P237&lt;0.4,"Medium Windspeed",P237&gt;=0.41,"High Windspeed")</f>
        <v>Low Windspeed</v>
      </c>
      <c r="R237" s="36">
        <v>0</v>
      </c>
      <c r="S237" s="36">
        <v>3</v>
      </c>
      <c r="T237" s="37">
        <v>3</v>
      </c>
      <c r="U237" s="39" t="str" cm="1">
        <f t="array" ref="U237">_xlfn.IFS(T237&lt;=70,"Low",T237&lt;=160,"Medium",T237&gt;=161,"High")</f>
        <v>Low</v>
      </c>
    </row>
    <row r="238" spans="1:21" x14ac:dyDescent="0.25">
      <c r="A238" s="33">
        <v>237</v>
      </c>
      <c r="B238" s="34">
        <v>40554</v>
      </c>
      <c r="C238" s="35">
        <v>1</v>
      </c>
      <c r="D238" s="35">
        <v>0</v>
      </c>
      <c r="E238" s="35">
        <v>1</v>
      </c>
      <c r="F238" s="35">
        <v>5</v>
      </c>
      <c r="G238" s="35" t="str" cm="1">
        <f t="array" ref="G238">_xlfn.IFS(F238&lt;4,"Night",F238&lt;=6,"Early Morning",F238&lt;11,"Morning",F238&lt;12,"Afternoon",F238&lt;=16,"Afternoon",F238&lt;=20,"Evening",F238&gt;=21,"Night")</f>
        <v>Early Morning</v>
      </c>
      <c r="H238" s="35" t="b">
        <v>0</v>
      </c>
      <c r="I238" s="35">
        <v>2</v>
      </c>
      <c r="J238" s="35">
        <v>2</v>
      </c>
      <c r="K238" s="31">
        <v>0.16</v>
      </c>
      <c r="L238" s="31" t="str" cm="1">
        <f t="array" ref="L238">_xlfn.IFS(K238&lt;0.15,"Cold",K238&lt;0.25,"Mild",K238&lt;=0.32,"Warm",K238&gt;=0.33,"Hot")</f>
        <v>Mild</v>
      </c>
      <c r="M238" s="36">
        <v>0.18179999999999999</v>
      </c>
      <c r="N238" s="36">
        <v>0.55000000000000004</v>
      </c>
      <c r="O238" s="36" t="str" cm="1">
        <f t="array" ref="O238">_xlfn.IFS(N238&gt;0.61, "High Humidity", N238&gt;=0.6, "Humid", N238&gt;0.4, "Less Humidity", TRUE, "Dry")</f>
        <v>Less Humidity</v>
      </c>
      <c r="P238" s="36">
        <v>0.1343</v>
      </c>
      <c r="Q238" s="36" t="str" cm="1">
        <f t="array" ref="Q238">_xlfn.IFS(P238&lt;=0.2,"Low Windspeed",P238&lt;0.4,"Medium Windspeed",P238&gt;=0.41,"High Windspeed")</f>
        <v>Low Windspeed</v>
      </c>
      <c r="R238" s="36">
        <v>0</v>
      </c>
      <c r="S238" s="36">
        <v>6</v>
      </c>
      <c r="T238" s="37">
        <v>6</v>
      </c>
      <c r="U238" s="39" t="str" cm="1">
        <f t="array" ref="U238">_xlfn.IFS(T238&lt;=70,"Low",T238&lt;=160,"Medium",T238&gt;=161,"High")</f>
        <v>Low</v>
      </c>
    </row>
    <row r="239" spans="1:21" x14ac:dyDescent="0.25">
      <c r="A239" s="33">
        <v>238</v>
      </c>
      <c r="B239" s="34">
        <v>40554</v>
      </c>
      <c r="C239" s="35">
        <v>1</v>
      </c>
      <c r="D239" s="35">
        <v>0</v>
      </c>
      <c r="E239" s="35">
        <v>1</v>
      </c>
      <c r="F239" s="35">
        <v>6</v>
      </c>
      <c r="G239" s="35" t="str" cm="1">
        <f t="array" ref="G239">_xlfn.IFS(F239&lt;4,"Night",F239&lt;=6,"Early Morning",F239&lt;11,"Morning",F239&lt;12,"Afternoon",F239&lt;=16,"Afternoon",F239&lt;=20,"Evening",F239&gt;=21,"Night")</f>
        <v>Early Morning</v>
      </c>
      <c r="H239" s="35" t="b">
        <v>0</v>
      </c>
      <c r="I239" s="35">
        <v>2</v>
      </c>
      <c r="J239" s="35">
        <v>2</v>
      </c>
      <c r="K239" s="31">
        <v>0.16</v>
      </c>
      <c r="L239" s="31" t="str" cm="1">
        <f t="array" ref="L239">_xlfn.IFS(K239&lt;0.15,"Cold",K239&lt;0.25,"Mild",K239&lt;=0.32,"Warm",K239&gt;=0.33,"Hot")</f>
        <v>Mild</v>
      </c>
      <c r="M239" s="36">
        <v>0.18179999999999999</v>
      </c>
      <c r="N239" s="36">
        <v>0.55000000000000004</v>
      </c>
      <c r="O239" s="36" t="str" cm="1">
        <f t="array" ref="O239">_xlfn.IFS(N239&gt;0.61, "High Humidity", N239&gt;=0.6, "Humid", N239&gt;0.4, "Less Humidity", TRUE, "Dry")</f>
        <v>Less Humidity</v>
      </c>
      <c r="P239" s="36">
        <v>0.1343</v>
      </c>
      <c r="Q239" s="36" t="str" cm="1">
        <f t="array" ref="Q239">_xlfn.IFS(P239&lt;=0.2,"Low Windspeed",P239&lt;0.4,"Medium Windspeed",P239&gt;=0.41,"High Windspeed")</f>
        <v>Low Windspeed</v>
      </c>
      <c r="R239" s="36">
        <v>0</v>
      </c>
      <c r="S239" s="36">
        <v>27</v>
      </c>
      <c r="T239" s="37">
        <v>27</v>
      </c>
      <c r="U239" s="39" t="str" cm="1">
        <f t="array" ref="U239">_xlfn.IFS(T239&lt;=70,"Low",T239&lt;=160,"Medium",T239&gt;=161,"High")</f>
        <v>Low</v>
      </c>
    </row>
    <row r="240" spans="1:21" x14ac:dyDescent="0.25">
      <c r="A240" s="33">
        <v>239</v>
      </c>
      <c r="B240" s="34">
        <v>40554</v>
      </c>
      <c r="C240" s="35">
        <v>1</v>
      </c>
      <c r="D240" s="35">
        <v>0</v>
      </c>
      <c r="E240" s="35">
        <v>1</v>
      </c>
      <c r="F240" s="35">
        <v>7</v>
      </c>
      <c r="G240" s="35" t="str" cm="1">
        <f t="array" ref="G240">_xlfn.IFS(F240&lt;4,"Night",F240&lt;=6,"Early Morning",F240&lt;11,"Morning",F240&lt;12,"Afternoon",F240&lt;=16,"Afternoon",F240&lt;=20,"Evening",F240&gt;=21,"Night")</f>
        <v>Morning</v>
      </c>
      <c r="H240" s="35" t="b">
        <v>0</v>
      </c>
      <c r="I240" s="35">
        <v>2</v>
      </c>
      <c r="J240" s="35">
        <v>2</v>
      </c>
      <c r="K240" s="31">
        <v>0.16</v>
      </c>
      <c r="L240" s="31" t="str" cm="1">
        <f t="array" ref="L240">_xlfn.IFS(K240&lt;0.15,"Cold",K240&lt;0.25,"Mild",K240&lt;=0.32,"Warm",K240&gt;=0.33,"Hot")</f>
        <v>Mild</v>
      </c>
      <c r="M240" s="36">
        <v>0.2273</v>
      </c>
      <c r="N240" s="36">
        <v>0.55000000000000004</v>
      </c>
      <c r="O240" s="36" t="str" cm="1">
        <f t="array" ref="O240">_xlfn.IFS(N240&gt;0.61, "High Humidity", N240&gt;=0.6, "Humid", N240&gt;0.4, "Less Humidity", TRUE, "Dry")</f>
        <v>Less Humidity</v>
      </c>
      <c r="P240" s="36">
        <v>0</v>
      </c>
      <c r="Q240" s="36" t="str" cm="1">
        <f t="array" ref="Q240">_xlfn.IFS(P240&lt;=0.2,"Low Windspeed",P240&lt;0.4,"Medium Windspeed",P240&gt;=0.41,"High Windspeed")</f>
        <v>Low Windspeed</v>
      </c>
      <c r="R240" s="36">
        <v>2</v>
      </c>
      <c r="S240" s="36">
        <v>97</v>
      </c>
      <c r="T240" s="37">
        <v>99</v>
      </c>
      <c r="U240" s="39" t="str" cm="1">
        <f t="array" ref="U240">_xlfn.IFS(T240&lt;=70,"Low",T240&lt;=160,"Medium",T240&gt;=161,"High")</f>
        <v>Medium</v>
      </c>
    </row>
    <row r="241" spans="1:21" x14ac:dyDescent="0.25">
      <c r="A241" s="33">
        <v>240</v>
      </c>
      <c r="B241" s="34">
        <v>40554</v>
      </c>
      <c r="C241" s="35">
        <v>1</v>
      </c>
      <c r="D241" s="35">
        <v>0</v>
      </c>
      <c r="E241" s="35">
        <v>1</v>
      </c>
      <c r="F241" s="35">
        <v>8</v>
      </c>
      <c r="G241" s="35" t="str" cm="1">
        <f t="array" ref="G241">_xlfn.IFS(F241&lt;4,"Night",F241&lt;=6,"Early Morning",F241&lt;11,"Morning",F241&lt;12,"Afternoon",F241&lt;=16,"Afternoon",F241&lt;=20,"Evening",F241&gt;=21,"Night")</f>
        <v>Morning</v>
      </c>
      <c r="H241" s="35" t="b">
        <v>0</v>
      </c>
      <c r="I241" s="35">
        <v>2</v>
      </c>
      <c r="J241" s="35">
        <v>2</v>
      </c>
      <c r="K241" s="31">
        <v>0.18</v>
      </c>
      <c r="L241" s="31" t="str" cm="1">
        <f t="array" ref="L241">_xlfn.IFS(K241&lt;0.15,"Cold",K241&lt;0.25,"Mild",K241&lt;=0.32,"Warm",K241&gt;=0.33,"Hot")</f>
        <v>Mild</v>
      </c>
      <c r="M241" s="36">
        <v>0.21210000000000001</v>
      </c>
      <c r="N241" s="36">
        <v>0.51</v>
      </c>
      <c r="O241" s="36" t="str" cm="1">
        <f t="array" ref="O241">_xlfn.IFS(N241&gt;0.61, "High Humidity", N241&gt;=0.6, "Humid", N241&gt;0.4, "Less Humidity", TRUE, "Dry")</f>
        <v>Less Humidity</v>
      </c>
      <c r="P241" s="36">
        <v>8.9599999999999999E-2</v>
      </c>
      <c r="Q241" s="36" t="str" cm="1">
        <f t="array" ref="Q241">_xlfn.IFS(P241&lt;=0.2,"Low Windspeed",P241&lt;0.4,"Medium Windspeed",P241&gt;=0.41,"High Windspeed")</f>
        <v>Low Windspeed</v>
      </c>
      <c r="R241" s="36">
        <v>3</v>
      </c>
      <c r="S241" s="36">
        <v>214</v>
      </c>
      <c r="T241" s="37">
        <v>217</v>
      </c>
      <c r="U241" s="39" t="str" cm="1">
        <f t="array" ref="U241">_xlfn.IFS(T241&lt;=70,"Low",T241&lt;=160,"Medium",T241&gt;=161,"High")</f>
        <v>High</v>
      </c>
    </row>
    <row r="242" spans="1:21" x14ac:dyDescent="0.25">
      <c r="A242" s="33">
        <v>241</v>
      </c>
      <c r="B242" s="34">
        <v>40554</v>
      </c>
      <c r="C242" s="35">
        <v>1</v>
      </c>
      <c r="D242" s="35">
        <v>0</v>
      </c>
      <c r="E242" s="35">
        <v>1</v>
      </c>
      <c r="F242" s="35">
        <v>9</v>
      </c>
      <c r="G242" s="35" t="str" cm="1">
        <f t="array" ref="G242">_xlfn.IFS(F242&lt;4,"Night",F242&lt;=6,"Early Morning",F242&lt;11,"Morning",F242&lt;12,"Afternoon",F242&lt;=16,"Afternoon",F242&lt;=20,"Evening",F242&gt;=21,"Night")</f>
        <v>Morning</v>
      </c>
      <c r="H242" s="35" t="b">
        <v>0</v>
      </c>
      <c r="I242" s="35">
        <v>2</v>
      </c>
      <c r="J242" s="35">
        <v>2</v>
      </c>
      <c r="K242" s="31">
        <v>0.18</v>
      </c>
      <c r="L242" s="31" t="str" cm="1">
        <f t="array" ref="L242">_xlfn.IFS(K242&lt;0.15,"Cold",K242&lt;0.25,"Mild",K242&lt;=0.32,"Warm",K242&gt;=0.33,"Hot")</f>
        <v>Mild</v>
      </c>
      <c r="M242" s="36">
        <v>0.19700000000000001</v>
      </c>
      <c r="N242" s="36">
        <v>0.51</v>
      </c>
      <c r="O242" s="36" t="str" cm="1">
        <f t="array" ref="O242">_xlfn.IFS(N242&gt;0.61, "High Humidity", N242&gt;=0.6, "Humid", N242&gt;0.4, "Less Humidity", TRUE, "Dry")</f>
        <v>Less Humidity</v>
      </c>
      <c r="P242" s="36">
        <v>0.16420000000000001</v>
      </c>
      <c r="Q242" s="36" t="str" cm="1">
        <f t="array" ref="Q242">_xlfn.IFS(P242&lt;=0.2,"Low Windspeed",P242&lt;0.4,"Medium Windspeed",P242&gt;=0.41,"High Windspeed")</f>
        <v>Low Windspeed</v>
      </c>
      <c r="R242" s="36">
        <v>3</v>
      </c>
      <c r="S242" s="36">
        <v>127</v>
      </c>
      <c r="T242" s="37">
        <v>130</v>
      </c>
      <c r="U242" s="39" t="str" cm="1">
        <f t="array" ref="U242">_xlfn.IFS(T242&lt;=70,"Low",T242&lt;=160,"Medium",T242&gt;=161,"High")</f>
        <v>Medium</v>
      </c>
    </row>
    <row r="243" spans="1:21" x14ac:dyDescent="0.25">
      <c r="A243" s="33">
        <v>242</v>
      </c>
      <c r="B243" s="34">
        <v>40554</v>
      </c>
      <c r="C243" s="35">
        <v>1</v>
      </c>
      <c r="D243" s="35">
        <v>0</v>
      </c>
      <c r="E243" s="35">
        <v>1</v>
      </c>
      <c r="F243" s="35">
        <v>10</v>
      </c>
      <c r="G243" s="35" t="str" cm="1">
        <f t="array" ref="G243">_xlfn.IFS(F243&lt;4,"Night",F243&lt;=6,"Early Morning",F243&lt;11,"Morning",F243&lt;12,"Afternoon",F243&lt;=16,"Afternoon",F243&lt;=20,"Evening",F243&gt;=21,"Night")</f>
        <v>Morning</v>
      </c>
      <c r="H243" s="35" t="b">
        <v>0</v>
      </c>
      <c r="I243" s="35">
        <v>2</v>
      </c>
      <c r="J243" s="35">
        <v>2</v>
      </c>
      <c r="K243" s="31">
        <v>0.2</v>
      </c>
      <c r="L243" s="31" t="str" cm="1">
        <f t="array" ref="L243">_xlfn.IFS(K243&lt;0.15,"Cold",K243&lt;0.25,"Mild",K243&lt;=0.32,"Warm",K243&gt;=0.33,"Hot")</f>
        <v>Mild</v>
      </c>
      <c r="M243" s="36">
        <v>0.21210000000000001</v>
      </c>
      <c r="N243" s="36">
        <v>0.51</v>
      </c>
      <c r="O243" s="36" t="str" cm="1">
        <f t="array" ref="O243">_xlfn.IFS(N243&gt;0.61, "High Humidity", N243&gt;=0.6, "Humid", N243&gt;0.4, "Less Humidity", TRUE, "Dry")</f>
        <v>Less Humidity</v>
      </c>
      <c r="P243" s="36">
        <v>0.16420000000000001</v>
      </c>
      <c r="Q243" s="36" t="str" cm="1">
        <f t="array" ref="Q243">_xlfn.IFS(P243&lt;=0.2,"Low Windspeed",P243&lt;0.4,"Medium Windspeed",P243&gt;=0.41,"High Windspeed")</f>
        <v>Low Windspeed</v>
      </c>
      <c r="R243" s="36">
        <v>3</v>
      </c>
      <c r="S243" s="36">
        <v>51</v>
      </c>
      <c r="T243" s="37">
        <v>54</v>
      </c>
      <c r="U243" s="39" t="str" cm="1">
        <f t="array" ref="U243">_xlfn.IFS(T243&lt;=70,"Low",T243&lt;=160,"Medium",T243&gt;=161,"High")</f>
        <v>Low</v>
      </c>
    </row>
    <row r="244" spans="1:21" x14ac:dyDescent="0.25">
      <c r="A244" s="33">
        <v>243</v>
      </c>
      <c r="B244" s="34">
        <v>40554</v>
      </c>
      <c r="C244" s="35">
        <v>1</v>
      </c>
      <c r="D244" s="35">
        <v>0</v>
      </c>
      <c r="E244" s="35">
        <v>1</v>
      </c>
      <c r="F244" s="35">
        <v>11</v>
      </c>
      <c r="G244" s="35" t="str" cm="1">
        <f t="array" ref="G244">_xlfn.IFS(F244&lt;4,"Night",F244&lt;=6,"Early Morning",F244&lt;11,"Morning",F244&lt;12,"Afternoon",F244&lt;=16,"Afternoon",F244&lt;=20,"Evening",F244&gt;=21,"Night")</f>
        <v>Afternoon</v>
      </c>
      <c r="H244" s="35" t="b">
        <v>0</v>
      </c>
      <c r="I244" s="35">
        <v>2</v>
      </c>
      <c r="J244" s="35">
        <v>2</v>
      </c>
      <c r="K244" s="31">
        <v>0.2</v>
      </c>
      <c r="L244" s="31" t="str" cm="1">
        <f t="array" ref="L244">_xlfn.IFS(K244&lt;0.15,"Cold",K244&lt;0.25,"Mild",K244&lt;=0.32,"Warm",K244&gt;=0.33,"Hot")</f>
        <v>Mild</v>
      </c>
      <c r="M244" s="36">
        <v>0.21210000000000001</v>
      </c>
      <c r="N244" s="36">
        <v>0.47</v>
      </c>
      <c r="O244" s="36" t="str" cm="1">
        <f t="array" ref="O244">_xlfn.IFS(N244&gt;0.61, "High Humidity", N244&gt;=0.6, "Humid", N244&gt;0.4, "Less Humidity", TRUE, "Dry")</f>
        <v>Less Humidity</v>
      </c>
      <c r="P244" s="36">
        <v>0.1343</v>
      </c>
      <c r="Q244" s="36" t="str" cm="1">
        <f t="array" ref="Q244">_xlfn.IFS(P244&lt;=0.2,"Low Windspeed",P244&lt;0.4,"Medium Windspeed",P244&gt;=0.41,"High Windspeed")</f>
        <v>Low Windspeed</v>
      </c>
      <c r="R244" s="36">
        <v>4</v>
      </c>
      <c r="S244" s="36">
        <v>31</v>
      </c>
      <c r="T244" s="37">
        <v>35</v>
      </c>
      <c r="U244" s="39" t="str" cm="1">
        <f t="array" ref="U244">_xlfn.IFS(T244&lt;=70,"Low",T244&lt;=160,"Medium",T244&gt;=161,"High")</f>
        <v>Low</v>
      </c>
    </row>
    <row r="245" spans="1:21" x14ac:dyDescent="0.25">
      <c r="A245" s="33">
        <v>244</v>
      </c>
      <c r="B245" s="34">
        <v>40554</v>
      </c>
      <c r="C245" s="35">
        <v>1</v>
      </c>
      <c r="D245" s="35">
        <v>0</v>
      </c>
      <c r="E245" s="35">
        <v>1</v>
      </c>
      <c r="F245" s="35">
        <v>12</v>
      </c>
      <c r="G245" s="35" t="str" cm="1">
        <f t="array" ref="G245">_xlfn.IFS(F245&lt;4,"Night",F245&lt;=6,"Early Morning",F245&lt;11,"Morning",F245&lt;12,"Afternoon",F245&lt;=16,"Afternoon",F245&lt;=20,"Evening",F245&gt;=21,"Night")</f>
        <v>Afternoon</v>
      </c>
      <c r="H245" s="35" t="b">
        <v>0</v>
      </c>
      <c r="I245" s="35">
        <v>2</v>
      </c>
      <c r="J245" s="35">
        <v>2</v>
      </c>
      <c r="K245" s="31">
        <v>0.2</v>
      </c>
      <c r="L245" s="31" t="str" cm="1">
        <f t="array" ref="L245">_xlfn.IFS(K245&lt;0.15,"Cold",K245&lt;0.25,"Mild",K245&lt;=0.32,"Warm",K245&gt;=0.33,"Hot")</f>
        <v>Mild</v>
      </c>
      <c r="M245" s="36">
        <v>0.2273</v>
      </c>
      <c r="N245" s="36">
        <v>0.51</v>
      </c>
      <c r="O245" s="36" t="str" cm="1">
        <f t="array" ref="O245">_xlfn.IFS(N245&gt;0.61, "High Humidity", N245&gt;=0.6, "Humid", N245&gt;0.4, "Less Humidity", TRUE, "Dry")</f>
        <v>Less Humidity</v>
      </c>
      <c r="P245" s="36">
        <v>0.1045</v>
      </c>
      <c r="Q245" s="36" t="str" cm="1">
        <f t="array" ref="Q245">_xlfn.IFS(P245&lt;=0.2,"Low Windspeed",P245&lt;0.4,"Medium Windspeed",P245&gt;=0.41,"High Windspeed")</f>
        <v>Low Windspeed</v>
      </c>
      <c r="R245" s="36">
        <v>2</v>
      </c>
      <c r="S245" s="36">
        <v>55</v>
      </c>
      <c r="T245" s="37">
        <v>57</v>
      </c>
      <c r="U245" s="39" t="str" cm="1">
        <f t="array" ref="U245">_xlfn.IFS(T245&lt;=70,"Low",T245&lt;=160,"Medium",T245&gt;=161,"High")</f>
        <v>Low</v>
      </c>
    </row>
    <row r="246" spans="1:21" x14ac:dyDescent="0.25">
      <c r="A246" s="33">
        <v>245</v>
      </c>
      <c r="B246" s="34">
        <v>40554</v>
      </c>
      <c r="C246" s="35">
        <v>1</v>
      </c>
      <c r="D246" s="35">
        <v>0</v>
      </c>
      <c r="E246" s="35">
        <v>1</v>
      </c>
      <c r="F246" s="35">
        <v>13</v>
      </c>
      <c r="G246" s="35" t="str" cm="1">
        <f t="array" ref="G246">_xlfn.IFS(F246&lt;4,"Night",F246&lt;=6,"Early Morning",F246&lt;11,"Morning",F246&lt;12,"Afternoon",F246&lt;=16,"Afternoon",F246&lt;=20,"Evening",F246&gt;=21,"Night")</f>
        <v>Afternoon</v>
      </c>
      <c r="H246" s="35" t="b">
        <v>0</v>
      </c>
      <c r="I246" s="35">
        <v>2</v>
      </c>
      <c r="J246" s="35">
        <v>2</v>
      </c>
      <c r="K246" s="31">
        <v>0.2</v>
      </c>
      <c r="L246" s="31" t="str" cm="1">
        <f t="array" ref="L246">_xlfn.IFS(K246&lt;0.15,"Cold",K246&lt;0.25,"Mild",K246&lt;=0.32,"Warm",K246&gt;=0.33,"Hot")</f>
        <v>Mild</v>
      </c>
      <c r="M246" s="36">
        <v>0.2273</v>
      </c>
      <c r="N246" s="36">
        <v>0.59</v>
      </c>
      <c r="O246" s="36" t="str" cm="1">
        <f t="array" ref="O246">_xlfn.IFS(N246&gt;0.61, "High Humidity", N246&gt;=0.6, "Humid", N246&gt;0.4, "Less Humidity", TRUE, "Dry")</f>
        <v>Less Humidity</v>
      </c>
      <c r="P246" s="36">
        <v>8.9599999999999999E-2</v>
      </c>
      <c r="Q246" s="36" t="str" cm="1">
        <f t="array" ref="Q246">_xlfn.IFS(P246&lt;=0.2,"Low Windspeed",P246&lt;0.4,"Medium Windspeed",P246&gt;=0.41,"High Windspeed")</f>
        <v>Low Windspeed</v>
      </c>
      <c r="R246" s="36">
        <v>6</v>
      </c>
      <c r="S246" s="36">
        <v>46</v>
      </c>
      <c r="T246" s="37">
        <v>52</v>
      </c>
      <c r="U246" s="39" t="str" cm="1">
        <f t="array" ref="U246">_xlfn.IFS(T246&lt;=70,"Low",T246&lt;=160,"Medium",T246&gt;=161,"High")</f>
        <v>Low</v>
      </c>
    </row>
    <row r="247" spans="1:21" x14ac:dyDescent="0.25">
      <c r="A247" s="33">
        <v>246</v>
      </c>
      <c r="B247" s="34">
        <v>40554</v>
      </c>
      <c r="C247" s="35">
        <v>1</v>
      </c>
      <c r="D247" s="35">
        <v>0</v>
      </c>
      <c r="E247" s="35">
        <v>1</v>
      </c>
      <c r="F247" s="35">
        <v>14</v>
      </c>
      <c r="G247" s="35" t="str" cm="1">
        <f t="array" ref="G247">_xlfn.IFS(F247&lt;4,"Night",F247&lt;=6,"Early Morning",F247&lt;11,"Morning",F247&lt;12,"Afternoon",F247&lt;=16,"Afternoon",F247&lt;=20,"Evening",F247&gt;=21,"Night")</f>
        <v>Afternoon</v>
      </c>
      <c r="H247" s="35" t="b">
        <v>0</v>
      </c>
      <c r="I247" s="35">
        <v>2</v>
      </c>
      <c r="J247" s="35">
        <v>2</v>
      </c>
      <c r="K247" s="31">
        <v>0.2</v>
      </c>
      <c r="L247" s="31" t="str" cm="1">
        <f t="array" ref="L247">_xlfn.IFS(K247&lt;0.15,"Cold",K247&lt;0.25,"Mild",K247&lt;=0.32,"Warm",K247&gt;=0.33,"Hot")</f>
        <v>Mild</v>
      </c>
      <c r="M247" s="36">
        <v>0.2273</v>
      </c>
      <c r="N247" s="36">
        <v>0.59</v>
      </c>
      <c r="O247" s="36" t="str" cm="1">
        <f t="array" ref="O247">_xlfn.IFS(N247&gt;0.61, "High Humidity", N247&gt;=0.6, "Humid", N247&gt;0.4, "Less Humidity", TRUE, "Dry")</f>
        <v>Less Humidity</v>
      </c>
      <c r="P247" s="36">
        <v>8.9599999999999999E-2</v>
      </c>
      <c r="Q247" s="36" t="str" cm="1">
        <f t="array" ref="Q247">_xlfn.IFS(P247&lt;=0.2,"Low Windspeed",P247&lt;0.4,"Medium Windspeed",P247&gt;=0.41,"High Windspeed")</f>
        <v>Low Windspeed</v>
      </c>
      <c r="R247" s="36">
        <v>3</v>
      </c>
      <c r="S247" s="36">
        <v>60</v>
      </c>
      <c r="T247" s="37">
        <v>63</v>
      </c>
      <c r="U247" s="39" t="str" cm="1">
        <f t="array" ref="U247">_xlfn.IFS(T247&lt;=70,"Low",T247&lt;=160,"Medium",T247&gt;=161,"High")</f>
        <v>Low</v>
      </c>
    </row>
    <row r="248" spans="1:21" x14ac:dyDescent="0.25">
      <c r="A248" s="33">
        <v>247</v>
      </c>
      <c r="B248" s="34">
        <v>40554</v>
      </c>
      <c r="C248" s="35">
        <v>1</v>
      </c>
      <c r="D248" s="35">
        <v>0</v>
      </c>
      <c r="E248" s="35">
        <v>1</v>
      </c>
      <c r="F248" s="35">
        <v>15</v>
      </c>
      <c r="G248" s="35" t="str" cm="1">
        <f t="array" ref="G248">_xlfn.IFS(F248&lt;4,"Night",F248&lt;=6,"Early Morning",F248&lt;11,"Morning",F248&lt;12,"Afternoon",F248&lt;=16,"Afternoon",F248&lt;=20,"Evening",F248&gt;=21,"Night")</f>
        <v>Afternoon</v>
      </c>
      <c r="H248" s="35" t="b">
        <v>0</v>
      </c>
      <c r="I248" s="35">
        <v>2</v>
      </c>
      <c r="J248" s="35">
        <v>2</v>
      </c>
      <c r="K248" s="31">
        <v>0.16</v>
      </c>
      <c r="L248" s="31" t="str" cm="1">
        <f t="array" ref="L248">_xlfn.IFS(K248&lt;0.15,"Cold",K248&lt;0.25,"Mild",K248&lt;=0.32,"Warm",K248&gt;=0.33,"Hot")</f>
        <v>Mild</v>
      </c>
      <c r="M248" s="36">
        <v>0.19700000000000001</v>
      </c>
      <c r="N248" s="36">
        <v>0.8</v>
      </c>
      <c r="O248" s="36" t="str" cm="1">
        <f t="array" ref="O248">_xlfn.IFS(N248&gt;0.61, "High Humidity", N248&gt;=0.6, "Humid", N248&gt;0.4, "Less Humidity", TRUE, "Dry")</f>
        <v>High Humidity</v>
      </c>
      <c r="P248" s="36">
        <v>8.9599999999999999E-2</v>
      </c>
      <c r="Q248" s="36" t="str" cm="1">
        <f t="array" ref="Q248">_xlfn.IFS(P248&lt;=0.2,"Low Windspeed",P248&lt;0.4,"Medium Windspeed",P248&gt;=0.41,"High Windspeed")</f>
        <v>Low Windspeed</v>
      </c>
      <c r="R248" s="36">
        <v>2</v>
      </c>
      <c r="S248" s="36">
        <v>45</v>
      </c>
      <c r="T248" s="37">
        <v>47</v>
      </c>
      <c r="U248" s="39" t="str" cm="1">
        <f t="array" ref="U248">_xlfn.IFS(T248&lt;=70,"Low",T248&lt;=160,"Medium",T248&gt;=161,"High")</f>
        <v>Low</v>
      </c>
    </row>
    <row r="249" spans="1:21" x14ac:dyDescent="0.25">
      <c r="A249" s="33">
        <v>248</v>
      </c>
      <c r="B249" s="34">
        <v>40554</v>
      </c>
      <c r="C249" s="35">
        <v>1</v>
      </c>
      <c r="D249" s="35">
        <v>0</v>
      </c>
      <c r="E249" s="35">
        <v>1</v>
      </c>
      <c r="F249" s="35">
        <v>16</v>
      </c>
      <c r="G249" s="35" t="str" cm="1">
        <f t="array" ref="G249">_xlfn.IFS(F249&lt;4,"Night",F249&lt;=6,"Early Morning",F249&lt;11,"Morning",F249&lt;12,"Afternoon",F249&lt;=16,"Afternoon",F249&lt;=20,"Evening",F249&gt;=21,"Night")</f>
        <v>Afternoon</v>
      </c>
      <c r="H249" s="35" t="b">
        <v>0</v>
      </c>
      <c r="I249" s="35">
        <v>2</v>
      </c>
      <c r="J249" s="35">
        <v>2</v>
      </c>
      <c r="K249" s="31">
        <v>0.16</v>
      </c>
      <c r="L249" s="31" t="str" cm="1">
        <f t="array" ref="L249">_xlfn.IFS(K249&lt;0.15,"Cold",K249&lt;0.25,"Mild",K249&lt;=0.32,"Warm",K249&gt;=0.33,"Hot")</f>
        <v>Mild</v>
      </c>
      <c r="M249" s="36">
        <v>0.1515</v>
      </c>
      <c r="N249" s="36">
        <v>0.86</v>
      </c>
      <c r="O249" s="36" t="str" cm="1">
        <f t="array" ref="O249">_xlfn.IFS(N249&gt;0.61, "High Humidity", N249&gt;=0.6, "Humid", N249&gt;0.4, "Less Humidity", TRUE, "Dry")</f>
        <v>High Humidity</v>
      </c>
      <c r="P249" s="36">
        <v>0.22389999999999999</v>
      </c>
      <c r="Q249" s="36" t="str" cm="1">
        <f t="array" ref="Q249">_xlfn.IFS(P249&lt;=0.2,"Low Windspeed",P249&lt;0.4,"Medium Windspeed",P249&gt;=0.41,"High Windspeed")</f>
        <v>Medium Windspeed</v>
      </c>
      <c r="R249" s="36">
        <v>4</v>
      </c>
      <c r="S249" s="36">
        <v>72</v>
      </c>
      <c r="T249" s="37">
        <v>76</v>
      </c>
      <c r="U249" s="39" t="str" cm="1">
        <f t="array" ref="U249">_xlfn.IFS(T249&lt;=70,"Low",T249&lt;=160,"Medium",T249&gt;=161,"High")</f>
        <v>Medium</v>
      </c>
    </row>
    <row r="250" spans="1:21" x14ac:dyDescent="0.25">
      <c r="A250" s="33">
        <v>249</v>
      </c>
      <c r="B250" s="34">
        <v>40554</v>
      </c>
      <c r="C250" s="35">
        <v>1</v>
      </c>
      <c r="D250" s="35">
        <v>0</v>
      </c>
      <c r="E250" s="35">
        <v>1</v>
      </c>
      <c r="F250" s="35">
        <v>17</v>
      </c>
      <c r="G250" s="35" t="str" cm="1">
        <f t="array" ref="G250">_xlfn.IFS(F250&lt;4,"Night",F250&lt;=6,"Early Morning",F250&lt;11,"Morning",F250&lt;12,"Afternoon",F250&lt;=16,"Afternoon",F250&lt;=20,"Evening",F250&gt;=21,"Night")</f>
        <v>Evening</v>
      </c>
      <c r="H250" s="35" t="b">
        <v>0</v>
      </c>
      <c r="I250" s="35">
        <v>2</v>
      </c>
      <c r="J250" s="35">
        <v>2</v>
      </c>
      <c r="K250" s="31">
        <v>0.16</v>
      </c>
      <c r="L250" s="31" t="str" cm="1">
        <f t="array" ref="L250">_xlfn.IFS(K250&lt;0.15,"Cold",K250&lt;0.25,"Mild",K250&lt;=0.32,"Warm",K250&gt;=0.33,"Hot")</f>
        <v>Mild</v>
      </c>
      <c r="M250" s="36">
        <v>0.1515</v>
      </c>
      <c r="N250" s="36">
        <v>0.86</v>
      </c>
      <c r="O250" s="36" t="str" cm="1">
        <f t="array" ref="O250">_xlfn.IFS(N250&gt;0.61, "High Humidity", N250&gt;=0.6, "Humid", N250&gt;0.4, "Less Humidity", TRUE, "Dry")</f>
        <v>High Humidity</v>
      </c>
      <c r="P250" s="36">
        <v>0.22389999999999999</v>
      </c>
      <c r="Q250" s="36" t="str" cm="1">
        <f t="array" ref="Q250">_xlfn.IFS(P250&lt;=0.2,"Low Windspeed",P250&lt;0.4,"Medium Windspeed",P250&gt;=0.41,"High Windspeed")</f>
        <v>Medium Windspeed</v>
      </c>
      <c r="R250" s="36">
        <v>6</v>
      </c>
      <c r="S250" s="36">
        <v>130</v>
      </c>
      <c r="T250" s="37">
        <v>136</v>
      </c>
      <c r="U250" s="39" t="str" cm="1">
        <f t="array" ref="U250">_xlfn.IFS(T250&lt;=70,"Low",T250&lt;=160,"Medium",T250&gt;=161,"High")</f>
        <v>Medium</v>
      </c>
    </row>
    <row r="251" spans="1:21" x14ac:dyDescent="0.25">
      <c r="A251" s="33">
        <v>250</v>
      </c>
      <c r="B251" s="34">
        <v>40554</v>
      </c>
      <c r="C251" s="35">
        <v>1</v>
      </c>
      <c r="D251" s="35">
        <v>0</v>
      </c>
      <c r="E251" s="35">
        <v>1</v>
      </c>
      <c r="F251" s="35">
        <v>18</v>
      </c>
      <c r="G251" s="35" t="str" cm="1">
        <f t="array" ref="G251">_xlfn.IFS(F251&lt;4,"Night",F251&lt;=6,"Early Morning",F251&lt;11,"Morning",F251&lt;12,"Afternoon",F251&lt;=16,"Afternoon",F251&lt;=20,"Evening",F251&gt;=21,"Night")</f>
        <v>Evening</v>
      </c>
      <c r="H251" s="35" t="b">
        <v>0</v>
      </c>
      <c r="I251" s="35">
        <v>2</v>
      </c>
      <c r="J251" s="35">
        <v>3</v>
      </c>
      <c r="K251" s="31">
        <v>0.16</v>
      </c>
      <c r="L251" s="31" t="str" cm="1">
        <f t="array" ref="L251">_xlfn.IFS(K251&lt;0.15,"Cold",K251&lt;0.25,"Mild",K251&lt;=0.32,"Warm",K251&gt;=0.33,"Hot")</f>
        <v>Mild</v>
      </c>
      <c r="M251" s="36">
        <v>0.18179999999999999</v>
      </c>
      <c r="N251" s="36">
        <v>0.93</v>
      </c>
      <c r="O251" s="36" t="str" cm="1">
        <f t="array" ref="O251">_xlfn.IFS(N251&gt;0.61, "High Humidity", N251&gt;=0.6, "Humid", N251&gt;0.4, "Less Humidity", TRUE, "Dry")</f>
        <v>High Humidity</v>
      </c>
      <c r="P251" s="36">
        <v>0.1045</v>
      </c>
      <c r="Q251" s="36" t="str" cm="1">
        <f t="array" ref="Q251">_xlfn.IFS(P251&lt;=0.2,"Low Windspeed",P251&lt;0.4,"Medium Windspeed",P251&gt;=0.41,"High Windspeed")</f>
        <v>Low Windspeed</v>
      </c>
      <c r="R251" s="36">
        <v>1</v>
      </c>
      <c r="S251" s="36">
        <v>94</v>
      </c>
      <c r="T251" s="37">
        <v>95</v>
      </c>
      <c r="U251" s="39" t="str" cm="1">
        <f t="array" ref="U251">_xlfn.IFS(T251&lt;=70,"Low",T251&lt;=160,"Medium",T251&gt;=161,"High")</f>
        <v>Medium</v>
      </c>
    </row>
    <row r="252" spans="1:21" x14ac:dyDescent="0.25">
      <c r="A252" s="33">
        <v>251</v>
      </c>
      <c r="B252" s="34">
        <v>40554</v>
      </c>
      <c r="C252" s="35">
        <v>1</v>
      </c>
      <c r="D252" s="35">
        <v>0</v>
      </c>
      <c r="E252" s="35">
        <v>1</v>
      </c>
      <c r="F252" s="35">
        <v>19</v>
      </c>
      <c r="G252" s="35" t="str" cm="1">
        <f t="array" ref="G252">_xlfn.IFS(F252&lt;4,"Night",F252&lt;=6,"Early Morning",F252&lt;11,"Morning",F252&lt;12,"Afternoon",F252&lt;=16,"Afternoon",F252&lt;=20,"Evening",F252&gt;=21,"Night")</f>
        <v>Evening</v>
      </c>
      <c r="H252" s="35" t="b">
        <v>0</v>
      </c>
      <c r="I252" s="35">
        <v>2</v>
      </c>
      <c r="J252" s="35">
        <v>3</v>
      </c>
      <c r="K252" s="31">
        <v>0.16</v>
      </c>
      <c r="L252" s="31" t="str" cm="1">
        <f t="array" ref="L252">_xlfn.IFS(K252&lt;0.15,"Cold",K252&lt;0.25,"Mild",K252&lt;=0.32,"Warm",K252&gt;=0.33,"Hot")</f>
        <v>Mild</v>
      </c>
      <c r="M252" s="36">
        <v>0.2273</v>
      </c>
      <c r="N252" s="36">
        <v>0.93</v>
      </c>
      <c r="O252" s="36" t="str" cm="1">
        <f t="array" ref="O252">_xlfn.IFS(N252&gt;0.61, "High Humidity", N252&gt;=0.6, "Humid", N252&gt;0.4, "Less Humidity", TRUE, "Dry")</f>
        <v>High Humidity</v>
      </c>
      <c r="P252" s="36">
        <v>0</v>
      </c>
      <c r="Q252" s="36" t="str" cm="1">
        <f t="array" ref="Q252">_xlfn.IFS(P252&lt;=0.2,"Low Windspeed",P252&lt;0.4,"Medium Windspeed",P252&gt;=0.41,"High Windspeed")</f>
        <v>Low Windspeed</v>
      </c>
      <c r="R252" s="36">
        <v>0</v>
      </c>
      <c r="S252" s="36">
        <v>51</v>
      </c>
      <c r="T252" s="37">
        <v>51</v>
      </c>
      <c r="U252" s="39" t="str" cm="1">
        <f t="array" ref="U252">_xlfn.IFS(T252&lt;=70,"Low",T252&lt;=160,"Medium",T252&gt;=161,"High")</f>
        <v>Low</v>
      </c>
    </row>
    <row r="253" spans="1:21" x14ac:dyDescent="0.25">
      <c r="A253" s="33">
        <v>252</v>
      </c>
      <c r="B253" s="34">
        <v>40554</v>
      </c>
      <c r="C253" s="35">
        <v>1</v>
      </c>
      <c r="D253" s="35">
        <v>0</v>
      </c>
      <c r="E253" s="35">
        <v>1</v>
      </c>
      <c r="F253" s="35">
        <v>20</v>
      </c>
      <c r="G253" s="35" t="str" cm="1">
        <f t="array" ref="G253">_xlfn.IFS(F253&lt;4,"Night",F253&lt;=6,"Early Morning",F253&lt;11,"Morning",F253&lt;12,"Afternoon",F253&lt;=16,"Afternoon",F253&lt;=20,"Evening",F253&gt;=21,"Night")</f>
        <v>Evening</v>
      </c>
      <c r="H253" s="35" t="b">
        <v>0</v>
      </c>
      <c r="I253" s="35">
        <v>2</v>
      </c>
      <c r="J253" s="35">
        <v>3</v>
      </c>
      <c r="K253" s="31">
        <v>0.16</v>
      </c>
      <c r="L253" s="31" t="str" cm="1">
        <f t="array" ref="L253">_xlfn.IFS(K253&lt;0.15,"Cold",K253&lt;0.25,"Mild",K253&lt;=0.32,"Warm",K253&gt;=0.33,"Hot")</f>
        <v>Mild</v>
      </c>
      <c r="M253" s="36">
        <v>0.1515</v>
      </c>
      <c r="N253" s="36">
        <v>0.93</v>
      </c>
      <c r="O253" s="36" t="str" cm="1">
        <f t="array" ref="O253">_xlfn.IFS(N253&gt;0.61, "High Humidity", N253&gt;=0.6, "Humid", N253&gt;0.4, "Less Humidity", TRUE, "Dry")</f>
        <v>High Humidity</v>
      </c>
      <c r="P253" s="36">
        <v>0.19400000000000001</v>
      </c>
      <c r="Q253" s="36" t="str" cm="1">
        <f t="array" ref="Q253">_xlfn.IFS(P253&lt;=0.2,"Low Windspeed",P253&lt;0.4,"Medium Windspeed",P253&gt;=0.41,"High Windspeed")</f>
        <v>Low Windspeed</v>
      </c>
      <c r="R253" s="36">
        <v>0</v>
      </c>
      <c r="S253" s="36">
        <v>32</v>
      </c>
      <c r="T253" s="37">
        <v>32</v>
      </c>
      <c r="U253" s="39" t="str" cm="1">
        <f t="array" ref="U253">_xlfn.IFS(T253&lt;=70,"Low",T253&lt;=160,"Medium",T253&gt;=161,"High")</f>
        <v>Low</v>
      </c>
    </row>
    <row r="254" spans="1:21" x14ac:dyDescent="0.25">
      <c r="A254" s="33">
        <v>253</v>
      </c>
      <c r="B254" s="34">
        <v>40554</v>
      </c>
      <c r="C254" s="35">
        <v>1</v>
      </c>
      <c r="D254" s="35">
        <v>0</v>
      </c>
      <c r="E254" s="35">
        <v>1</v>
      </c>
      <c r="F254" s="35">
        <v>21</v>
      </c>
      <c r="G254" s="35" t="str" cm="1">
        <f t="array" ref="G254">_xlfn.IFS(F254&lt;4,"Night",F254&lt;=6,"Early Morning",F254&lt;11,"Morning",F254&lt;12,"Afternoon",F254&lt;=16,"Afternoon",F254&lt;=20,"Evening",F254&gt;=21,"Night")</f>
        <v>Night</v>
      </c>
      <c r="H254" s="35" t="b">
        <v>0</v>
      </c>
      <c r="I254" s="35">
        <v>2</v>
      </c>
      <c r="J254" s="35">
        <v>3</v>
      </c>
      <c r="K254" s="31">
        <v>0.16</v>
      </c>
      <c r="L254" s="31" t="str" cm="1">
        <f t="array" ref="L254">_xlfn.IFS(K254&lt;0.15,"Cold",K254&lt;0.25,"Mild",K254&lt;=0.32,"Warm",K254&gt;=0.33,"Hot")</f>
        <v>Mild</v>
      </c>
      <c r="M254" s="36">
        <v>0.19700000000000001</v>
      </c>
      <c r="N254" s="36">
        <v>0.86</v>
      </c>
      <c r="O254" s="36" t="str" cm="1">
        <f t="array" ref="O254">_xlfn.IFS(N254&gt;0.61, "High Humidity", N254&gt;=0.6, "Humid", N254&gt;0.4, "Less Humidity", TRUE, "Dry")</f>
        <v>High Humidity</v>
      </c>
      <c r="P254" s="36">
        <v>8.9599999999999999E-2</v>
      </c>
      <c r="Q254" s="36" t="str" cm="1">
        <f t="array" ref="Q254">_xlfn.IFS(P254&lt;=0.2,"Low Windspeed",P254&lt;0.4,"Medium Windspeed",P254&gt;=0.41,"High Windspeed")</f>
        <v>Low Windspeed</v>
      </c>
      <c r="R254" s="36">
        <v>0</v>
      </c>
      <c r="S254" s="36">
        <v>20</v>
      </c>
      <c r="T254" s="37">
        <v>20</v>
      </c>
      <c r="U254" s="39" t="str" cm="1">
        <f t="array" ref="U254">_xlfn.IFS(T254&lt;=70,"Low",T254&lt;=160,"Medium",T254&gt;=161,"High")</f>
        <v>Low</v>
      </c>
    </row>
    <row r="255" spans="1:21" x14ac:dyDescent="0.25">
      <c r="A255" s="33">
        <v>254</v>
      </c>
      <c r="B255" s="34">
        <v>40554</v>
      </c>
      <c r="C255" s="35">
        <v>1</v>
      </c>
      <c r="D255" s="35">
        <v>0</v>
      </c>
      <c r="E255" s="35">
        <v>1</v>
      </c>
      <c r="F255" s="35">
        <v>22</v>
      </c>
      <c r="G255" s="35" t="str" cm="1">
        <f t="array" ref="G255">_xlfn.IFS(F255&lt;4,"Night",F255&lt;=6,"Early Morning",F255&lt;11,"Morning",F255&lt;12,"Afternoon",F255&lt;=16,"Afternoon",F255&lt;=20,"Evening",F255&gt;=21,"Night")</f>
        <v>Night</v>
      </c>
      <c r="H255" s="35" t="b">
        <v>0</v>
      </c>
      <c r="I255" s="35">
        <v>2</v>
      </c>
      <c r="J255" s="35">
        <v>3</v>
      </c>
      <c r="K255" s="31">
        <v>0.16</v>
      </c>
      <c r="L255" s="31" t="str" cm="1">
        <f t="array" ref="L255">_xlfn.IFS(K255&lt;0.15,"Cold",K255&lt;0.25,"Mild",K255&lt;=0.32,"Warm",K255&gt;=0.33,"Hot")</f>
        <v>Mild</v>
      </c>
      <c r="M255" s="36">
        <v>0.18179999999999999</v>
      </c>
      <c r="N255" s="36">
        <v>0.93</v>
      </c>
      <c r="O255" s="36" t="str" cm="1">
        <f t="array" ref="O255">_xlfn.IFS(N255&gt;0.61, "High Humidity", N255&gt;=0.6, "Humid", N255&gt;0.4, "Less Humidity", TRUE, "Dry")</f>
        <v>High Humidity</v>
      </c>
      <c r="P255" s="36">
        <v>0.1045</v>
      </c>
      <c r="Q255" s="36" t="str" cm="1">
        <f t="array" ref="Q255">_xlfn.IFS(P255&lt;=0.2,"Low Windspeed",P255&lt;0.4,"Medium Windspeed",P255&gt;=0.41,"High Windspeed")</f>
        <v>Low Windspeed</v>
      </c>
      <c r="R255" s="36">
        <v>1</v>
      </c>
      <c r="S255" s="36">
        <v>28</v>
      </c>
      <c r="T255" s="37">
        <v>29</v>
      </c>
      <c r="U255" s="39" t="str" cm="1">
        <f t="array" ref="U255">_xlfn.IFS(T255&lt;=70,"Low",T255&lt;=160,"Medium",T255&gt;=161,"High")</f>
        <v>Low</v>
      </c>
    </row>
    <row r="256" spans="1:21" x14ac:dyDescent="0.25">
      <c r="A256" s="33">
        <v>255</v>
      </c>
      <c r="B256" s="34">
        <v>40554</v>
      </c>
      <c r="C256" s="35">
        <v>1</v>
      </c>
      <c r="D256" s="35">
        <v>0</v>
      </c>
      <c r="E256" s="35">
        <v>1</v>
      </c>
      <c r="F256" s="35">
        <v>23</v>
      </c>
      <c r="G256" s="35" t="str" cm="1">
        <f t="array" ref="G256">_xlfn.IFS(F256&lt;4,"Night",F256&lt;=6,"Early Morning",F256&lt;11,"Morning",F256&lt;12,"Afternoon",F256&lt;=16,"Afternoon",F256&lt;=20,"Evening",F256&gt;=21,"Night")</f>
        <v>Night</v>
      </c>
      <c r="H256" s="35" t="b">
        <v>0</v>
      </c>
      <c r="I256" s="35">
        <v>2</v>
      </c>
      <c r="J256" s="35">
        <v>3</v>
      </c>
      <c r="K256" s="31">
        <v>0.16</v>
      </c>
      <c r="L256" s="31" t="str" cm="1">
        <f t="array" ref="L256">_xlfn.IFS(K256&lt;0.15,"Cold",K256&lt;0.25,"Mild",K256&lt;=0.32,"Warm",K256&gt;=0.33,"Hot")</f>
        <v>Mild</v>
      </c>
      <c r="M256" s="36">
        <v>0.19700000000000001</v>
      </c>
      <c r="N256" s="36">
        <v>0.93</v>
      </c>
      <c r="O256" s="36" t="str" cm="1">
        <f t="array" ref="O256">_xlfn.IFS(N256&gt;0.61, "High Humidity", N256&gt;=0.6, "Humid", N256&gt;0.4, "Less Humidity", TRUE, "Dry")</f>
        <v>High Humidity</v>
      </c>
      <c r="P256" s="36">
        <v>8.9599999999999999E-2</v>
      </c>
      <c r="Q256" s="36" t="str" cm="1">
        <f t="array" ref="Q256">_xlfn.IFS(P256&lt;=0.2,"Low Windspeed",P256&lt;0.4,"Medium Windspeed",P256&gt;=0.41,"High Windspeed")</f>
        <v>Low Windspeed</v>
      </c>
      <c r="R256" s="36">
        <v>1</v>
      </c>
      <c r="S256" s="36">
        <v>18</v>
      </c>
      <c r="T256" s="37">
        <v>19</v>
      </c>
      <c r="U256" s="39" t="str" cm="1">
        <f t="array" ref="U256">_xlfn.IFS(T256&lt;=70,"Low",T256&lt;=160,"Medium",T256&gt;=161,"High")</f>
        <v>Low</v>
      </c>
    </row>
    <row r="257" spans="1:21" x14ac:dyDescent="0.25">
      <c r="A257" s="33">
        <v>256</v>
      </c>
      <c r="B257" s="34">
        <v>40555</v>
      </c>
      <c r="C257" s="35">
        <v>1</v>
      </c>
      <c r="D257" s="35">
        <v>0</v>
      </c>
      <c r="E257" s="35">
        <v>1</v>
      </c>
      <c r="F257" s="35">
        <v>0</v>
      </c>
      <c r="G257" s="35" t="str" cm="1">
        <f t="array" ref="G257">_xlfn.IFS(F257&lt;4,"Night",F257&lt;=6,"Early Morning",F257&lt;11,"Morning",F257&lt;12,"Afternoon",F257&lt;=16,"Afternoon",F257&lt;=20,"Evening",F257&gt;=21,"Night")</f>
        <v>Night</v>
      </c>
      <c r="H257" s="35" t="b">
        <v>0</v>
      </c>
      <c r="I257" s="35">
        <v>3</v>
      </c>
      <c r="J257" s="35">
        <v>2</v>
      </c>
      <c r="K257" s="31">
        <v>0.16</v>
      </c>
      <c r="L257" s="31" t="str" cm="1">
        <f t="array" ref="L257">_xlfn.IFS(K257&lt;0.15,"Cold",K257&lt;0.25,"Mild",K257&lt;=0.32,"Warm",K257&gt;=0.33,"Hot")</f>
        <v>Mild</v>
      </c>
      <c r="M257" s="36">
        <v>0.19700000000000001</v>
      </c>
      <c r="N257" s="36">
        <v>0.86</v>
      </c>
      <c r="O257" s="36" t="str" cm="1">
        <f t="array" ref="O257">_xlfn.IFS(N257&gt;0.61, "High Humidity", N257&gt;=0.6, "Humid", N257&gt;0.4, "Less Humidity", TRUE, "Dry")</f>
        <v>High Humidity</v>
      </c>
      <c r="P257" s="36">
        <v>8.9599999999999999E-2</v>
      </c>
      <c r="Q257" s="36" t="str" cm="1">
        <f t="array" ref="Q257">_xlfn.IFS(P257&lt;=0.2,"Low Windspeed",P257&lt;0.4,"Medium Windspeed",P257&gt;=0.41,"High Windspeed")</f>
        <v>Low Windspeed</v>
      </c>
      <c r="R257" s="36">
        <v>0</v>
      </c>
      <c r="S257" s="36">
        <v>7</v>
      </c>
      <c r="T257" s="37">
        <v>7</v>
      </c>
      <c r="U257" s="39" t="str" cm="1">
        <f t="array" ref="U257">_xlfn.IFS(T257&lt;=70,"Low",T257&lt;=160,"Medium",T257&gt;=161,"High")</f>
        <v>Low</v>
      </c>
    </row>
    <row r="258" spans="1:21" x14ac:dyDescent="0.25">
      <c r="A258" s="33">
        <v>257</v>
      </c>
      <c r="B258" s="34">
        <v>40555</v>
      </c>
      <c r="C258" s="35">
        <v>1</v>
      </c>
      <c r="D258" s="35">
        <v>0</v>
      </c>
      <c r="E258" s="35">
        <v>1</v>
      </c>
      <c r="F258" s="35">
        <v>1</v>
      </c>
      <c r="G258" s="35" t="str" cm="1">
        <f t="array" ref="G258">_xlfn.IFS(F258&lt;4,"Night",F258&lt;=6,"Early Morning",F258&lt;11,"Morning",F258&lt;12,"Afternoon",F258&lt;=16,"Afternoon",F258&lt;=20,"Evening",F258&gt;=21,"Night")</f>
        <v>Night</v>
      </c>
      <c r="H258" s="35" t="b">
        <v>0</v>
      </c>
      <c r="I258" s="35">
        <v>3</v>
      </c>
      <c r="J258" s="35">
        <v>2</v>
      </c>
      <c r="K258" s="31">
        <v>0.16</v>
      </c>
      <c r="L258" s="31" t="str" cm="1">
        <f t="array" ref="L258">_xlfn.IFS(K258&lt;0.15,"Cold",K258&lt;0.25,"Mild",K258&lt;=0.32,"Warm",K258&gt;=0.33,"Hot")</f>
        <v>Mild</v>
      </c>
      <c r="M258" s="36">
        <v>0.18179999999999999</v>
      </c>
      <c r="N258" s="36">
        <v>0.86</v>
      </c>
      <c r="O258" s="36" t="str" cm="1">
        <f t="array" ref="O258">_xlfn.IFS(N258&gt;0.61, "High Humidity", N258&gt;=0.6, "Humid", N258&gt;0.4, "Less Humidity", TRUE, "Dry")</f>
        <v>High Humidity</v>
      </c>
      <c r="P258" s="36">
        <v>0.1045</v>
      </c>
      <c r="Q258" s="36" t="str" cm="1">
        <f t="array" ref="Q258">_xlfn.IFS(P258&lt;=0.2,"Low Windspeed",P258&lt;0.4,"Medium Windspeed",P258&gt;=0.41,"High Windspeed")</f>
        <v>Low Windspeed</v>
      </c>
      <c r="R258" s="36">
        <v>0</v>
      </c>
      <c r="S258" s="36">
        <v>6</v>
      </c>
      <c r="T258" s="37">
        <v>6</v>
      </c>
      <c r="U258" s="39" t="str" cm="1">
        <f t="array" ref="U258">_xlfn.IFS(T258&lt;=70,"Low",T258&lt;=160,"Medium",T258&gt;=161,"High")</f>
        <v>Low</v>
      </c>
    </row>
    <row r="259" spans="1:21" x14ac:dyDescent="0.25">
      <c r="A259" s="33">
        <v>258</v>
      </c>
      <c r="B259" s="34">
        <v>40555</v>
      </c>
      <c r="C259" s="35">
        <v>1</v>
      </c>
      <c r="D259" s="35">
        <v>0</v>
      </c>
      <c r="E259" s="35">
        <v>1</v>
      </c>
      <c r="F259" s="35">
        <v>2</v>
      </c>
      <c r="G259" s="35" t="str" cm="1">
        <f t="array" ref="G259">_xlfn.IFS(F259&lt;4,"Night",F259&lt;=6,"Early Morning",F259&lt;11,"Morning",F259&lt;12,"Afternoon",F259&lt;=16,"Afternoon",F259&lt;=20,"Evening",F259&gt;=21,"Night")</f>
        <v>Night</v>
      </c>
      <c r="H259" s="35" t="b">
        <v>0</v>
      </c>
      <c r="I259" s="35">
        <v>3</v>
      </c>
      <c r="J259" s="35">
        <v>1</v>
      </c>
      <c r="K259" s="31">
        <v>0.14000000000000001</v>
      </c>
      <c r="L259" s="31" t="str" cm="1">
        <f t="array" ref="L259">_xlfn.IFS(K259&lt;0.15,"Cold",K259&lt;0.25,"Mild",K259&lt;=0.32,"Warm",K259&gt;=0.33,"Hot")</f>
        <v>Cold</v>
      </c>
      <c r="M259" s="36">
        <v>0.1515</v>
      </c>
      <c r="N259" s="36">
        <v>0.86</v>
      </c>
      <c r="O259" s="36" t="str" cm="1">
        <f t="array" ref="O259">_xlfn.IFS(N259&gt;0.61, "High Humidity", N259&gt;=0.6, "Humid", N259&gt;0.4, "Less Humidity", TRUE, "Dry")</f>
        <v>High Humidity</v>
      </c>
      <c r="P259" s="36">
        <v>0.1343</v>
      </c>
      <c r="Q259" s="36" t="str" cm="1">
        <f t="array" ref="Q259">_xlfn.IFS(P259&lt;=0.2,"Low Windspeed",P259&lt;0.4,"Medium Windspeed",P259&gt;=0.41,"High Windspeed")</f>
        <v>Low Windspeed</v>
      </c>
      <c r="R259" s="36">
        <v>0</v>
      </c>
      <c r="S259" s="36">
        <v>1</v>
      </c>
      <c r="T259" s="37">
        <v>1</v>
      </c>
      <c r="U259" s="39" t="str" cm="1">
        <f t="array" ref="U259">_xlfn.IFS(T259&lt;=70,"Low",T259&lt;=160,"Medium",T259&gt;=161,"High")</f>
        <v>Low</v>
      </c>
    </row>
    <row r="260" spans="1:21" x14ac:dyDescent="0.25">
      <c r="A260" s="33">
        <v>259</v>
      </c>
      <c r="B260" s="34">
        <v>40555</v>
      </c>
      <c r="C260" s="35">
        <v>1</v>
      </c>
      <c r="D260" s="35">
        <v>0</v>
      </c>
      <c r="E260" s="35">
        <v>1</v>
      </c>
      <c r="F260" s="35">
        <v>5</v>
      </c>
      <c r="G260" s="35" t="str" cm="1">
        <f t="array" ref="G260">_xlfn.IFS(F260&lt;4,"Night",F260&lt;=6,"Early Morning",F260&lt;11,"Morning",F260&lt;12,"Afternoon",F260&lt;=16,"Afternoon",F260&lt;=20,"Evening",F260&gt;=21,"Night")</f>
        <v>Early Morning</v>
      </c>
      <c r="H260" s="35" t="b">
        <v>0</v>
      </c>
      <c r="I260" s="35">
        <v>3</v>
      </c>
      <c r="J260" s="35">
        <v>1</v>
      </c>
      <c r="K260" s="31">
        <v>0.14000000000000001</v>
      </c>
      <c r="L260" s="31" t="str" cm="1">
        <f t="array" ref="L260">_xlfn.IFS(K260&lt;0.15,"Cold",K260&lt;0.25,"Mild",K260&lt;=0.32,"Warm",K260&gt;=0.33,"Hot")</f>
        <v>Cold</v>
      </c>
      <c r="M260" s="36">
        <v>0.1515</v>
      </c>
      <c r="N260" s="36">
        <v>0.86</v>
      </c>
      <c r="O260" s="36" t="str" cm="1">
        <f t="array" ref="O260">_xlfn.IFS(N260&gt;0.61, "High Humidity", N260&gt;=0.6, "Humid", N260&gt;0.4, "Less Humidity", TRUE, "Dry")</f>
        <v>High Humidity</v>
      </c>
      <c r="P260" s="36">
        <v>0.16420000000000001</v>
      </c>
      <c r="Q260" s="36" t="str" cm="1">
        <f t="array" ref="Q260">_xlfn.IFS(P260&lt;=0.2,"Low Windspeed",P260&lt;0.4,"Medium Windspeed",P260&gt;=0.41,"High Windspeed")</f>
        <v>Low Windspeed</v>
      </c>
      <c r="R260" s="36">
        <v>0</v>
      </c>
      <c r="S260" s="36">
        <v>5</v>
      </c>
      <c r="T260" s="37">
        <v>5</v>
      </c>
      <c r="U260" s="39" t="str" cm="1">
        <f t="array" ref="U260">_xlfn.IFS(T260&lt;=70,"Low",T260&lt;=160,"Medium",T260&gt;=161,"High")</f>
        <v>Low</v>
      </c>
    </row>
    <row r="261" spans="1:21" x14ac:dyDescent="0.25">
      <c r="A261" s="33">
        <v>260</v>
      </c>
      <c r="B261" s="34">
        <v>40555</v>
      </c>
      <c r="C261" s="35">
        <v>1</v>
      </c>
      <c r="D261" s="35">
        <v>0</v>
      </c>
      <c r="E261" s="35">
        <v>1</v>
      </c>
      <c r="F261" s="35">
        <v>6</v>
      </c>
      <c r="G261" s="35" t="str" cm="1">
        <f t="array" ref="G261">_xlfn.IFS(F261&lt;4,"Night",F261&lt;=6,"Early Morning",F261&lt;11,"Morning",F261&lt;12,"Afternoon",F261&lt;=16,"Afternoon",F261&lt;=20,"Evening",F261&gt;=21,"Night")</f>
        <v>Early Morning</v>
      </c>
      <c r="H261" s="35" t="b">
        <v>0</v>
      </c>
      <c r="I261" s="35">
        <v>3</v>
      </c>
      <c r="J261" s="35">
        <v>1</v>
      </c>
      <c r="K261" s="31">
        <v>0.12</v>
      </c>
      <c r="L261" s="31" t="str" cm="1">
        <f t="array" ref="L261">_xlfn.IFS(K261&lt;0.15,"Cold",K261&lt;0.25,"Mild",K261&lt;=0.32,"Warm",K261&gt;=0.33,"Hot")</f>
        <v>Cold</v>
      </c>
      <c r="M261" s="36">
        <v>0.1515</v>
      </c>
      <c r="N261" s="36">
        <v>0.93</v>
      </c>
      <c r="O261" s="36" t="str" cm="1">
        <f t="array" ref="O261">_xlfn.IFS(N261&gt;0.61, "High Humidity", N261&gt;=0.6, "Humid", N261&gt;0.4, "Less Humidity", TRUE, "Dry")</f>
        <v>High Humidity</v>
      </c>
      <c r="P261" s="36">
        <v>0.1343</v>
      </c>
      <c r="Q261" s="36" t="str" cm="1">
        <f t="array" ref="Q261">_xlfn.IFS(P261&lt;=0.2,"Low Windspeed",P261&lt;0.4,"Medium Windspeed",P261&gt;=0.41,"High Windspeed")</f>
        <v>Low Windspeed</v>
      </c>
      <c r="R261" s="36">
        <v>0</v>
      </c>
      <c r="S261" s="36">
        <v>16</v>
      </c>
      <c r="T261" s="37">
        <v>16</v>
      </c>
      <c r="U261" s="39" t="str" cm="1">
        <f t="array" ref="U261">_xlfn.IFS(T261&lt;=70,"Low",T261&lt;=160,"Medium",T261&gt;=161,"High")</f>
        <v>Low</v>
      </c>
    </row>
    <row r="262" spans="1:21" x14ac:dyDescent="0.25">
      <c r="A262" s="33">
        <v>261</v>
      </c>
      <c r="B262" s="34">
        <v>40555</v>
      </c>
      <c r="C262" s="35">
        <v>1</v>
      </c>
      <c r="D262" s="35">
        <v>0</v>
      </c>
      <c r="E262" s="35">
        <v>1</v>
      </c>
      <c r="F262" s="35">
        <v>7</v>
      </c>
      <c r="G262" s="35" t="str" cm="1">
        <f t="array" ref="G262">_xlfn.IFS(F262&lt;4,"Night",F262&lt;=6,"Early Morning",F262&lt;11,"Morning",F262&lt;12,"Afternoon",F262&lt;=16,"Afternoon",F262&lt;=20,"Evening",F262&gt;=21,"Night")</f>
        <v>Morning</v>
      </c>
      <c r="H262" s="35" t="b">
        <v>0</v>
      </c>
      <c r="I262" s="35">
        <v>3</v>
      </c>
      <c r="J262" s="35">
        <v>1</v>
      </c>
      <c r="K262" s="31">
        <v>0.14000000000000001</v>
      </c>
      <c r="L262" s="31" t="str" cm="1">
        <f t="array" ref="L262">_xlfn.IFS(K262&lt;0.15,"Cold",K262&lt;0.25,"Mild",K262&lt;=0.32,"Warm",K262&gt;=0.33,"Hot")</f>
        <v>Cold</v>
      </c>
      <c r="M262" s="36">
        <v>0.1515</v>
      </c>
      <c r="N262" s="36">
        <v>0.69</v>
      </c>
      <c r="O262" s="36" t="str" cm="1">
        <f t="array" ref="O262">_xlfn.IFS(N262&gt;0.61, "High Humidity", N262&gt;=0.6, "Humid", N262&gt;0.4, "Less Humidity", TRUE, "Dry")</f>
        <v>High Humidity</v>
      </c>
      <c r="P262" s="36">
        <v>0.1343</v>
      </c>
      <c r="Q262" s="36" t="str" cm="1">
        <f t="array" ref="Q262">_xlfn.IFS(P262&lt;=0.2,"Low Windspeed",P262&lt;0.4,"Medium Windspeed",P262&gt;=0.41,"High Windspeed")</f>
        <v>Low Windspeed</v>
      </c>
      <c r="R262" s="36">
        <v>0</v>
      </c>
      <c r="S262" s="36">
        <v>54</v>
      </c>
      <c r="T262" s="37">
        <v>54</v>
      </c>
      <c r="U262" s="39" t="str" cm="1">
        <f t="array" ref="U262">_xlfn.IFS(T262&lt;=70,"Low",T262&lt;=160,"Medium",T262&gt;=161,"High")</f>
        <v>Low</v>
      </c>
    </row>
    <row r="263" spans="1:21" x14ac:dyDescent="0.25">
      <c r="A263" s="33">
        <v>262</v>
      </c>
      <c r="B263" s="34">
        <v>40555</v>
      </c>
      <c r="C263" s="35">
        <v>1</v>
      </c>
      <c r="D263" s="35">
        <v>0</v>
      </c>
      <c r="E263" s="35">
        <v>1</v>
      </c>
      <c r="F263" s="35">
        <v>8</v>
      </c>
      <c r="G263" s="35" t="str" cm="1">
        <f t="array" ref="G263">_xlfn.IFS(F263&lt;4,"Night",F263&lt;=6,"Early Morning",F263&lt;11,"Morning",F263&lt;12,"Afternoon",F263&lt;=16,"Afternoon",F263&lt;=20,"Evening",F263&gt;=21,"Night")</f>
        <v>Morning</v>
      </c>
      <c r="H263" s="35" t="b">
        <v>0</v>
      </c>
      <c r="I263" s="35">
        <v>3</v>
      </c>
      <c r="J263" s="35">
        <v>1</v>
      </c>
      <c r="K263" s="31">
        <v>0.16</v>
      </c>
      <c r="L263" s="31" t="str" cm="1">
        <f t="array" ref="L263">_xlfn.IFS(K263&lt;0.15,"Cold",K263&lt;0.25,"Mild",K263&lt;=0.32,"Warm",K263&gt;=0.33,"Hot")</f>
        <v>Mild</v>
      </c>
      <c r="M263" s="36">
        <v>0.16669999999999999</v>
      </c>
      <c r="N263" s="36">
        <v>0.59</v>
      </c>
      <c r="O263" s="36" t="str" cm="1">
        <f t="array" ref="O263">_xlfn.IFS(N263&gt;0.61, "High Humidity", N263&gt;=0.6, "Humid", N263&gt;0.4, "Less Humidity", TRUE, "Dry")</f>
        <v>Less Humidity</v>
      </c>
      <c r="P263" s="36">
        <v>0.16420000000000001</v>
      </c>
      <c r="Q263" s="36" t="str" cm="1">
        <f t="array" ref="Q263">_xlfn.IFS(P263&lt;=0.2,"Low Windspeed",P263&lt;0.4,"Medium Windspeed",P263&gt;=0.41,"High Windspeed")</f>
        <v>Low Windspeed</v>
      </c>
      <c r="R263" s="36">
        <v>3</v>
      </c>
      <c r="S263" s="36">
        <v>125</v>
      </c>
      <c r="T263" s="37">
        <v>128</v>
      </c>
      <c r="U263" s="39" t="str" cm="1">
        <f t="array" ref="U263">_xlfn.IFS(T263&lt;=70,"Low",T263&lt;=160,"Medium",T263&gt;=161,"High")</f>
        <v>Medium</v>
      </c>
    </row>
    <row r="264" spans="1:21" x14ac:dyDescent="0.25">
      <c r="A264" s="33">
        <v>263</v>
      </c>
      <c r="B264" s="34">
        <v>40555</v>
      </c>
      <c r="C264" s="35">
        <v>1</v>
      </c>
      <c r="D264" s="35">
        <v>0</v>
      </c>
      <c r="E264" s="35">
        <v>1</v>
      </c>
      <c r="F264" s="35">
        <v>9</v>
      </c>
      <c r="G264" s="35" t="str" cm="1">
        <f t="array" ref="G264">_xlfn.IFS(F264&lt;4,"Night",F264&lt;=6,"Early Morning",F264&lt;11,"Morning",F264&lt;12,"Afternoon",F264&lt;=16,"Afternoon",F264&lt;=20,"Evening",F264&gt;=21,"Night")</f>
        <v>Morning</v>
      </c>
      <c r="H264" s="35" t="b">
        <v>0</v>
      </c>
      <c r="I264" s="35">
        <v>3</v>
      </c>
      <c r="J264" s="35">
        <v>1</v>
      </c>
      <c r="K264" s="31">
        <v>0.16</v>
      </c>
      <c r="L264" s="31" t="str" cm="1">
        <f t="array" ref="L264">_xlfn.IFS(K264&lt;0.15,"Cold",K264&lt;0.25,"Mild",K264&lt;=0.32,"Warm",K264&gt;=0.33,"Hot")</f>
        <v>Mild</v>
      </c>
      <c r="M264" s="36">
        <v>0.13639999999999999</v>
      </c>
      <c r="N264" s="36">
        <v>0.59</v>
      </c>
      <c r="O264" s="36" t="str" cm="1">
        <f t="array" ref="O264">_xlfn.IFS(N264&gt;0.61, "High Humidity", N264&gt;=0.6, "Humid", N264&gt;0.4, "Less Humidity", TRUE, "Dry")</f>
        <v>Less Humidity</v>
      </c>
      <c r="P264" s="36">
        <v>0.32840000000000003</v>
      </c>
      <c r="Q264" s="36" t="str" cm="1">
        <f t="array" ref="Q264">_xlfn.IFS(P264&lt;=0.2,"Low Windspeed",P264&lt;0.4,"Medium Windspeed",P264&gt;=0.41,"High Windspeed")</f>
        <v>Medium Windspeed</v>
      </c>
      <c r="R264" s="36">
        <v>3</v>
      </c>
      <c r="S264" s="36">
        <v>78</v>
      </c>
      <c r="T264" s="37">
        <v>81</v>
      </c>
      <c r="U264" s="39" t="str" cm="1">
        <f t="array" ref="U264">_xlfn.IFS(T264&lt;=70,"Low",T264&lt;=160,"Medium",T264&gt;=161,"High")</f>
        <v>Medium</v>
      </c>
    </row>
    <row r="265" spans="1:21" x14ac:dyDescent="0.25">
      <c r="A265" s="33">
        <v>264</v>
      </c>
      <c r="B265" s="34">
        <v>40555</v>
      </c>
      <c r="C265" s="35">
        <v>1</v>
      </c>
      <c r="D265" s="35">
        <v>0</v>
      </c>
      <c r="E265" s="35">
        <v>1</v>
      </c>
      <c r="F265" s="35">
        <v>10</v>
      </c>
      <c r="G265" s="35" t="str" cm="1">
        <f t="array" ref="G265">_xlfn.IFS(F265&lt;4,"Night",F265&lt;=6,"Early Morning",F265&lt;11,"Morning",F265&lt;12,"Afternoon",F265&lt;=16,"Afternoon",F265&lt;=20,"Evening",F265&gt;=21,"Night")</f>
        <v>Morning</v>
      </c>
      <c r="H265" s="35" t="b">
        <v>0</v>
      </c>
      <c r="I265" s="35">
        <v>3</v>
      </c>
      <c r="J265" s="35">
        <v>1</v>
      </c>
      <c r="K265" s="31">
        <v>0.18</v>
      </c>
      <c r="L265" s="31" t="str" cm="1">
        <f t="array" ref="L265">_xlfn.IFS(K265&lt;0.15,"Cold",K265&lt;0.25,"Mild",K265&lt;=0.32,"Warm",K265&gt;=0.33,"Hot")</f>
        <v>Mild</v>
      </c>
      <c r="M265" s="36">
        <v>0.18179999999999999</v>
      </c>
      <c r="N265" s="36">
        <v>0.55000000000000004</v>
      </c>
      <c r="O265" s="36" t="str" cm="1">
        <f t="array" ref="O265">_xlfn.IFS(N265&gt;0.61, "High Humidity", N265&gt;=0.6, "Humid", N265&gt;0.4, "Less Humidity", TRUE, "Dry")</f>
        <v>Less Humidity</v>
      </c>
      <c r="P265" s="36">
        <v>0.22389999999999999</v>
      </c>
      <c r="Q265" s="36" t="str" cm="1">
        <f t="array" ref="Q265">_xlfn.IFS(P265&lt;=0.2,"Low Windspeed",P265&lt;0.4,"Medium Windspeed",P265&gt;=0.41,"High Windspeed")</f>
        <v>Medium Windspeed</v>
      </c>
      <c r="R265" s="36">
        <v>0</v>
      </c>
      <c r="S265" s="36">
        <v>39</v>
      </c>
      <c r="T265" s="37">
        <v>39</v>
      </c>
      <c r="U265" s="39" t="str" cm="1">
        <f t="array" ref="U265">_xlfn.IFS(T265&lt;=70,"Low",T265&lt;=160,"Medium",T265&gt;=161,"High")</f>
        <v>Low</v>
      </c>
    </row>
    <row r="266" spans="1:21" x14ac:dyDescent="0.25">
      <c r="A266" s="33">
        <v>265</v>
      </c>
      <c r="B266" s="34">
        <v>40555</v>
      </c>
      <c r="C266" s="35">
        <v>1</v>
      </c>
      <c r="D266" s="35">
        <v>0</v>
      </c>
      <c r="E266" s="35">
        <v>1</v>
      </c>
      <c r="F266" s="35">
        <v>11</v>
      </c>
      <c r="G266" s="35" t="str" cm="1">
        <f t="array" ref="G266">_xlfn.IFS(F266&lt;4,"Night",F266&lt;=6,"Early Morning",F266&lt;11,"Morning",F266&lt;12,"Afternoon",F266&lt;=16,"Afternoon",F266&lt;=20,"Evening",F266&gt;=21,"Night")</f>
        <v>Afternoon</v>
      </c>
      <c r="H266" s="35" t="b">
        <v>0</v>
      </c>
      <c r="I266" s="35">
        <v>3</v>
      </c>
      <c r="J266" s="35">
        <v>1</v>
      </c>
      <c r="K266" s="31">
        <v>0.2</v>
      </c>
      <c r="L266" s="31" t="str" cm="1">
        <f t="array" ref="L266">_xlfn.IFS(K266&lt;0.15,"Cold",K266&lt;0.25,"Mild",K266&lt;=0.32,"Warm",K266&gt;=0.33,"Hot")</f>
        <v>Mild</v>
      </c>
      <c r="M266" s="36">
        <v>0.18179999999999999</v>
      </c>
      <c r="N266" s="36">
        <v>0.51</v>
      </c>
      <c r="O266" s="36" t="str" cm="1">
        <f t="array" ref="O266">_xlfn.IFS(N266&gt;0.61, "High Humidity", N266&gt;=0.6, "Humid", N266&gt;0.4, "Less Humidity", TRUE, "Dry")</f>
        <v>Less Humidity</v>
      </c>
      <c r="P266" s="36">
        <v>0.3881</v>
      </c>
      <c r="Q266" s="36" t="str" cm="1">
        <f t="array" ref="Q266">_xlfn.IFS(P266&lt;=0.2,"Low Windspeed",P266&lt;0.4,"Medium Windspeed",P266&gt;=0.41,"High Windspeed")</f>
        <v>Medium Windspeed</v>
      </c>
      <c r="R266" s="36">
        <v>3</v>
      </c>
      <c r="S266" s="36">
        <v>32</v>
      </c>
      <c r="T266" s="37">
        <v>35</v>
      </c>
      <c r="U266" s="39" t="str" cm="1">
        <f t="array" ref="U266">_xlfn.IFS(T266&lt;=70,"Low",T266&lt;=160,"Medium",T266&gt;=161,"High")</f>
        <v>Low</v>
      </c>
    </row>
    <row r="267" spans="1:21" x14ac:dyDescent="0.25">
      <c r="A267" s="33">
        <v>266</v>
      </c>
      <c r="B267" s="34">
        <v>40555</v>
      </c>
      <c r="C267" s="35">
        <v>1</v>
      </c>
      <c r="D267" s="35">
        <v>0</v>
      </c>
      <c r="E267" s="35">
        <v>1</v>
      </c>
      <c r="F267" s="35">
        <v>12</v>
      </c>
      <c r="G267" s="35" t="str" cm="1">
        <f t="array" ref="G267">_xlfn.IFS(F267&lt;4,"Night",F267&lt;=6,"Early Morning",F267&lt;11,"Morning",F267&lt;12,"Afternoon",F267&lt;=16,"Afternoon",F267&lt;=20,"Evening",F267&gt;=21,"Night")</f>
        <v>Afternoon</v>
      </c>
      <c r="H267" s="35" t="b">
        <v>0</v>
      </c>
      <c r="I267" s="35">
        <v>3</v>
      </c>
      <c r="J267" s="35">
        <v>1</v>
      </c>
      <c r="K267" s="31">
        <v>0.2</v>
      </c>
      <c r="L267" s="31" t="str" cm="1">
        <f t="array" ref="L267">_xlfn.IFS(K267&lt;0.15,"Cold",K267&lt;0.25,"Mild",K267&lt;=0.32,"Warm",K267&gt;=0.33,"Hot")</f>
        <v>Mild</v>
      </c>
      <c r="M267" s="36">
        <v>0.1515</v>
      </c>
      <c r="N267" s="36">
        <v>0.47</v>
      </c>
      <c r="O267" s="36" t="str" cm="1">
        <f t="array" ref="O267">_xlfn.IFS(N267&gt;0.61, "High Humidity", N267&gt;=0.6, "Humid", N267&gt;0.4, "Less Humidity", TRUE, "Dry")</f>
        <v>Less Humidity</v>
      </c>
      <c r="P267" s="36">
        <v>0.58209999999999995</v>
      </c>
      <c r="Q267" s="36" t="str" cm="1">
        <f t="array" ref="Q267">_xlfn.IFS(P267&lt;=0.2,"Low Windspeed",P267&lt;0.4,"Medium Windspeed",P267&gt;=0.41,"High Windspeed")</f>
        <v>High Windspeed</v>
      </c>
      <c r="R267" s="36">
        <v>3</v>
      </c>
      <c r="S267" s="36">
        <v>52</v>
      </c>
      <c r="T267" s="37">
        <v>55</v>
      </c>
      <c r="U267" s="39" t="str" cm="1">
        <f t="array" ref="U267">_xlfn.IFS(T267&lt;=70,"Low",T267&lt;=160,"Medium",T267&gt;=161,"High")</f>
        <v>Low</v>
      </c>
    </row>
    <row r="268" spans="1:21" x14ac:dyDescent="0.25">
      <c r="A268" s="33">
        <v>267</v>
      </c>
      <c r="B268" s="34">
        <v>40555</v>
      </c>
      <c r="C268" s="35">
        <v>1</v>
      </c>
      <c r="D268" s="35">
        <v>0</v>
      </c>
      <c r="E268" s="35">
        <v>1</v>
      </c>
      <c r="F268" s="35">
        <v>13</v>
      </c>
      <c r="G268" s="35" t="str" cm="1">
        <f t="array" ref="G268">_xlfn.IFS(F268&lt;4,"Night",F268&lt;=6,"Early Morning",F268&lt;11,"Morning",F268&lt;12,"Afternoon",F268&lt;=16,"Afternoon",F268&lt;=20,"Evening",F268&gt;=21,"Night")</f>
        <v>Afternoon</v>
      </c>
      <c r="H268" s="35" t="b">
        <v>0</v>
      </c>
      <c r="I268" s="35">
        <v>3</v>
      </c>
      <c r="J268" s="35">
        <v>1</v>
      </c>
      <c r="K268" s="31">
        <v>0.22</v>
      </c>
      <c r="L268" s="31" t="str" cm="1">
        <f t="array" ref="L268">_xlfn.IFS(K268&lt;0.15,"Cold",K268&lt;0.25,"Mild",K268&lt;=0.32,"Warm",K268&gt;=0.33,"Hot")</f>
        <v>Mild</v>
      </c>
      <c r="M268" s="36">
        <v>0.19700000000000001</v>
      </c>
      <c r="N268" s="36">
        <v>0.44</v>
      </c>
      <c r="O268" s="36" t="str" cm="1">
        <f t="array" ref="O268">_xlfn.IFS(N268&gt;0.61, "High Humidity", N268&gt;=0.6, "Humid", N268&gt;0.4, "Less Humidity", TRUE, "Dry")</f>
        <v>Less Humidity</v>
      </c>
      <c r="P268" s="36">
        <v>0.35820000000000002</v>
      </c>
      <c r="Q268" s="36" t="str" cm="1">
        <f t="array" ref="Q268">_xlfn.IFS(P268&lt;=0.2,"Low Windspeed",P268&lt;0.4,"Medium Windspeed",P268&gt;=0.41,"High Windspeed")</f>
        <v>Medium Windspeed</v>
      </c>
      <c r="R268" s="36">
        <v>0</v>
      </c>
      <c r="S268" s="36">
        <v>49</v>
      </c>
      <c r="T268" s="37">
        <v>49</v>
      </c>
      <c r="U268" s="39" t="str" cm="1">
        <f t="array" ref="U268">_xlfn.IFS(T268&lt;=70,"Low",T268&lt;=160,"Medium",T268&gt;=161,"High")</f>
        <v>Low</v>
      </c>
    </row>
    <row r="269" spans="1:21" x14ac:dyDescent="0.25">
      <c r="A269" s="33">
        <v>268</v>
      </c>
      <c r="B269" s="34">
        <v>40555</v>
      </c>
      <c r="C269" s="35">
        <v>1</v>
      </c>
      <c r="D269" s="35">
        <v>0</v>
      </c>
      <c r="E269" s="35">
        <v>1</v>
      </c>
      <c r="F269" s="35">
        <v>14</v>
      </c>
      <c r="G269" s="35" t="str" cm="1">
        <f t="array" ref="G269">_xlfn.IFS(F269&lt;4,"Night",F269&lt;=6,"Early Morning",F269&lt;11,"Morning",F269&lt;12,"Afternoon",F269&lt;=16,"Afternoon",F269&lt;=20,"Evening",F269&gt;=21,"Night")</f>
        <v>Afternoon</v>
      </c>
      <c r="H269" s="35" t="b">
        <v>0</v>
      </c>
      <c r="I269" s="35">
        <v>3</v>
      </c>
      <c r="J269" s="35">
        <v>1</v>
      </c>
      <c r="K269" s="31">
        <v>0.2</v>
      </c>
      <c r="L269" s="31" t="str" cm="1">
        <f t="array" ref="L269">_xlfn.IFS(K269&lt;0.15,"Cold",K269&lt;0.25,"Mild",K269&lt;=0.32,"Warm",K269&gt;=0.33,"Hot")</f>
        <v>Mild</v>
      </c>
      <c r="M269" s="36">
        <v>0.18179999999999999</v>
      </c>
      <c r="N269" s="36">
        <v>0.47</v>
      </c>
      <c r="O269" s="36" t="str" cm="1">
        <f t="array" ref="O269">_xlfn.IFS(N269&gt;0.61, "High Humidity", N269&gt;=0.6, "Humid", N269&gt;0.4, "Less Humidity", TRUE, "Dry")</f>
        <v>Less Humidity</v>
      </c>
      <c r="P269" s="36">
        <v>0.32840000000000003</v>
      </c>
      <c r="Q269" s="36" t="str" cm="1">
        <f t="array" ref="Q269">_xlfn.IFS(P269&lt;=0.2,"Low Windspeed",P269&lt;0.4,"Medium Windspeed",P269&gt;=0.41,"High Windspeed")</f>
        <v>Medium Windspeed</v>
      </c>
      <c r="R269" s="36">
        <v>0</v>
      </c>
      <c r="S269" s="36">
        <v>44</v>
      </c>
      <c r="T269" s="37">
        <v>44</v>
      </c>
      <c r="U269" s="39" t="str" cm="1">
        <f t="array" ref="U269">_xlfn.IFS(T269&lt;=70,"Low",T269&lt;=160,"Medium",T269&gt;=161,"High")</f>
        <v>Low</v>
      </c>
    </row>
    <row r="270" spans="1:21" x14ac:dyDescent="0.25">
      <c r="A270" s="33">
        <v>269</v>
      </c>
      <c r="B270" s="34">
        <v>40555</v>
      </c>
      <c r="C270" s="35">
        <v>1</v>
      </c>
      <c r="D270" s="35">
        <v>0</v>
      </c>
      <c r="E270" s="35">
        <v>1</v>
      </c>
      <c r="F270" s="35">
        <v>15</v>
      </c>
      <c r="G270" s="35" t="str" cm="1">
        <f t="array" ref="G270">_xlfn.IFS(F270&lt;4,"Night",F270&lt;=6,"Early Morning",F270&lt;11,"Morning",F270&lt;12,"Afternoon",F270&lt;=16,"Afternoon",F270&lt;=20,"Evening",F270&gt;=21,"Night")</f>
        <v>Afternoon</v>
      </c>
      <c r="H270" s="35" t="b">
        <v>0</v>
      </c>
      <c r="I270" s="35">
        <v>3</v>
      </c>
      <c r="J270" s="35">
        <v>1</v>
      </c>
      <c r="K270" s="31">
        <v>0.2</v>
      </c>
      <c r="L270" s="31" t="str" cm="1">
        <f t="array" ref="L270">_xlfn.IFS(K270&lt;0.15,"Cold",K270&lt;0.25,"Mild",K270&lt;=0.32,"Warm",K270&gt;=0.33,"Hot")</f>
        <v>Mild</v>
      </c>
      <c r="M270" s="36">
        <v>0.16669999999999999</v>
      </c>
      <c r="N270" s="36">
        <v>0.47</v>
      </c>
      <c r="O270" s="36" t="str" cm="1">
        <f t="array" ref="O270">_xlfn.IFS(N270&gt;0.61, "High Humidity", N270&gt;=0.6, "Humid", N270&gt;0.4, "Less Humidity", TRUE, "Dry")</f>
        <v>Less Humidity</v>
      </c>
      <c r="P270" s="36">
        <v>0.41789999999999999</v>
      </c>
      <c r="Q270" s="36" t="str" cm="1">
        <f t="array" ref="Q270">_xlfn.IFS(P270&lt;=0.2,"Low Windspeed",P270&lt;0.4,"Medium Windspeed",P270&gt;=0.41,"High Windspeed")</f>
        <v>High Windspeed</v>
      </c>
      <c r="R270" s="36">
        <v>1</v>
      </c>
      <c r="S270" s="36">
        <v>48</v>
      </c>
      <c r="T270" s="37">
        <v>49</v>
      </c>
      <c r="U270" s="39" t="str" cm="1">
        <f t="array" ref="U270">_xlfn.IFS(T270&lt;=70,"Low",T270&lt;=160,"Medium",T270&gt;=161,"High")</f>
        <v>Low</v>
      </c>
    </row>
    <row r="271" spans="1:21" x14ac:dyDescent="0.25">
      <c r="A271" s="33">
        <v>270</v>
      </c>
      <c r="B271" s="34">
        <v>40555</v>
      </c>
      <c r="C271" s="35">
        <v>1</v>
      </c>
      <c r="D271" s="35">
        <v>0</v>
      </c>
      <c r="E271" s="35">
        <v>1</v>
      </c>
      <c r="F271" s="35">
        <v>16</v>
      </c>
      <c r="G271" s="35" t="str" cm="1">
        <f t="array" ref="G271">_xlfn.IFS(F271&lt;4,"Night",F271&lt;=6,"Early Morning",F271&lt;11,"Morning",F271&lt;12,"Afternoon",F271&lt;=16,"Afternoon",F271&lt;=20,"Evening",F271&gt;=21,"Night")</f>
        <v>Afternoon</v>
      </c>
      <c r="H271" s="35" t="b">
        <v>0</v>
      </c>
      <c r="I271" s="35">
        <v>3</v>
      </c>
      <c r="J271" s="35">
        <v>1</v>
      </c>
      <c r="K271" s="31">
        <v>0.22</v>
      </c>
      <c r="L271" s="31" t="str" cm="1">
        <f t="array" ref="L271">_xlfn.IFS(K271&lt;0.15,"Cold",K271&lt;0.25,"Mild",K271&lt;=0.32,"Warm",K271&gt;=0.33,"Hot")</f>
        <v>Mild</v>
      </c>
      <c r="M271" s="36">
        <v>0.19700000000000001</v>
      </c>
      <c r="N271" s="36">
        <v>0.44</v>
      </c>
      <c r="O271" s="36" t="str" cm="1">
        <f t="array" ref="O271">_xlfn.IFS(N271&gt;0.61, "High Humidity", N271&gt;=0.6, "Humid", N271&gt;0.4, "Less Humidity", TRUE, "Dry")</f>
        <v>Less Humidity</v>
      </c>
      <c r="P271" s="36">
        <v>0.32840000000000003</v>
      </c>
      <c r="Q271" s="36" t="str" cm="1">
        <f t="array" ref="Q271">_xlfn.IFS(P271&lt;=0.2,"Low Windspeed",P271&lt;0.4,"Medium Windspeed",P271&gt;=0.41,"High Windspeed")</f>
        <v>Medium Windspeed</v>
      </c>
      <c r="R271" s="36">
        <v>5</v>
      </c>
      <c r="S271" s="36">
        <v>63</v>
      </c>
      <c r="T271" s="37">
        <v>68</v>
      </c>
      <c r="U271" s="39" t="str" cm="1">
        <f t="array" ref="U271">_xlfn.IFS(T271&lt;=70,"Low",T271&lt;=160,"Medium",T271&gt;=161,"High")</f>
        <v>Low</v>
      </c>
    </row>
    <row r="272" spans="1:21" x14ac:dyDescent="0.25">
      <c r="A272" s="33">
        <v>271</v>
      </c>
      <c r="B272" s="34">
        <v>40555</v>
      </c>
      <c r="C272" s="35">
        <v>1</v>
      </c>
      <c r="D272" s="35">
        <v>0</v>
      </c>
      <c r="E272" s="35">
        <v>1</v>
      </c>
      <c r="F272" s="35">
        <v>17</v>
      </c>
      <c r="G272" s="35" t="str" cm="1">
        <f t="array" ref="G272">_xlfn.IFS(F272&lt;4,"Night",F272&lt;=6,"Early Morning",F272&lt;11,"Morning",F272&lt;12,"Afternoon",F272&lt;=16,"Afternoon",F272&lt;=20,"Evening",F272&gt;=21,"Night")</f>
        <v>Evening</v>
      </c>
      <c r="H272" s="35" t="b">
        <v>0</v>
      </c>
      <c r="I272" s="35">
        <v>3</v>
      </c>
      <c r="J272" s="35">
        <v>1</v>
      </c>
      <c r="K272" s="31">
        <v>0.2</v>
      </c>
      <c r="L272" s="31" t="str" cm="1">
        <f t="array" ref="L272">_xlfn.IFS(K272&lt;0.15,"Cold",K272&lt;0.25,"Mild",K272&lt;=0.32,"Warm",K272&gt;=0.33,"Hot")</f>
        <v>Mild</v>
      </c>
      <c r="M272" s="36">
        <v>0.18179999999999999</v>
      </c>
      <c r="N272" s="36">
        <v>0.47</v>
      </c>
      <c r="O272" s="36" t="str" cm="1">
        <f t="array" ref="O272">_xlfn.IFS(N272&gt;0.61, "High Humidity", N272&gt;=0.6, "Humid", N272&gt;0.4, "Less Humidity", TRUE, "Dry")</f>
        <v>Less Humidity</v>
      </c>
      <c r="P272" s="36">
        <v>0.35820000000000002</v>
      </c>
      <c r="Q272" s="36" t="str" cm="1">
        <f t="array" ref="Q272">_xlfn.IFS(P272&lt;=0.2,"Low Windspeed",P272&lt;0.4,"Medium Windspeed",P272&gt;=0.41,"High Windspeed")</f>
        <v>Medium Windspeed</v>
      </c>
      <c r="R272" s="36">
        <v>0</v>
      </c>
      <c r="S272" s="36">
        <v>139</v>
      </c>
      <c r="T272" s="37">
        <v>139</v>
      </c>
      <c r="U272" s="39" t="str" cm="1">
        <f t="array" ref="U272">_xlfn.IFS(T272&lt;=70,"Low",T272&lt;=160,"Medium",T272&gt;=161,"High")</f>
        <v>Medium</v>
      </c>
    </row>
    <row r="273" spans="1:21" x14ac:dyDescent="0.25">
      <c r="A273" s="33">
        <v>272</v>
      </c>
      <c r="B273" s="34">
        <v>40555</v>
      </c>
      <c r="C273" s="35">
        <v>1</v>
      </c>
      <c r="D273" s="35">
        <v>0</v>
      </c>
      <c r="E273" s="35">
        <v>1</v>
      </c>
      <c r="F273" s="35">
        <v>18</v>
      </c>
      <c r="G273" s="35" t="str" cm="1">
        <f t="array" ref="G273">_xlfn.IFS(F273&lt;4,"Night",F273&lt;=6,"Early Morning",F273&lt;11,"Morning",F273&lt;12,"Afternoon",F273&lt;=16,"Afternoon",F273&lt;=20,"Evening",F273&gt;=21,"Night")</f>
        <v>Evening</v>
      </c>
      <c r="H273" s="35" t="b">
        <v>0</v>
      </c>
      <c r="I273" s="35">
        <v>3</v>
      </c>
      <c r="J273" s="35">
        <v>1</v>
      </c>
      <c r="K273" s="31">
        <v>0.2</v>
      </c>
      <c r="L273" s="31" t="str" cm="1">
        <f t="array" ref="L273">_xlfn.IFS(K273&lt;0.15,"Cold",K273&lt;0.25,"Mild",K273&lt;=0.32,"Warm",K273&gt;=0.33,"Hot")</f>
        <v>Mild</v>
      </c>
      <c r="M273" s="36">
        <v>0.1515</v>
      </c>
      <c r="N273" s="36">
        <v>0.47</v>
      </c>
      <c r="O273" s="36" t="str" cm="1">
        <f t="array" ref="O273">_xlfn.IFS(N273&gt;0.61, "High Humidity", N273&gt;=0.6, "Humid", N273&gt;0.4, "Less Humidity", TRUE, "Dry")</f>
        <v>Less Humidity</v>
      </c>
      <c r="P273" s="36">
        <v>0.52239999999999998</v>
      </c>
      <c r="Q273" s="36" t="str" cm="1">
        <f t="array" ref="Q273">_xlfn.IFS(P273&lt;=0.2,"Low Windspeed",P273&lt;0.4,"Medium Windspeed",P273&gt;=0.41,"High Windspeed")</f>
        <v>High Windspeed</v>
      </c>
      <c r="R273" s="36">
        <v>2</v>
      </c>
      <c r="S273" s="36">
        <v>135</v>
      </c>
      <c r="T273" s="37">
        <v>137</v>
      </c>
      <c r="U273" s="39" t="str" cm="1">
        <f t="array" ref="U273">_xlfn.IFS(T273&lt;=70,"Low",T273&lt;=160,"Medium",T273&gt;=161,"High")</f>
        <v>Medium</v>
      </c>
    </row>
    <row r="274" spans="1:21" x14ac:dyDescent="0.25">
      <c r="A274" s="33">
        <v>273</v>
      </c>
      <c r="B274" s="34">
        <v>40555</v>
      </c>
      <c r="C274" s="35">
        <v>1</v>
      </c>
      <c r="D274" s="35">
        <v>0</v>
      </c>
      <c r="E274" s="35">
        <v>1</v>
      </c>
      <c r="F274" s="35">
        <v>19</v>
      </c>
      <c r="G274" s="35" t="str" cm="1">
        <f t="array" ref="G274">_xlfn.IFS(F274&lt;4,"Night",F274&lt;=6,"Early Morning",F274&lt;11,"Morning",F274&lt;12,"Afternoon",F274&lt;=16,"Afternoon",F274&lt;=20,"Evening",F274&gt;=21,"Night")</f>
        <v>Evening</v>
      </c>
      <c r="H274" s="35" t="b">
        <v>0</v>
      </c>
      <c r="I274" s="35">
        <v>3</v>
      </c>
      <c r="J274" s="35">
        <v>1</v>
      </c>
      <c r="K274" s="31">
        <v>0.18</v>
      </c>
      <c r="L274" s="31" t="str" cm="1">
        <f t="array" ref="L274">_xlfn.IFS(K274&lt;0.15,"Cold",K274&lt;0.25,"Mild",K274&lt;=0.32,"Warm",K274&gt;=0.33,"Hot")</f>
        <v>Mild</v>
      </c>
      <c r="M274" s="36">
        <v>0.1515</v>
      </c>
      <c r="N274" s="36">
        <v>0.47</v>
      </c>
      <c r="O274" s="36" t="str" cm="1">
        <f t="array" ref="O274">_xlfn.IFS(N274&gt;0.61, "High Humidity", N274&gt;=0.6, "Humid", N274&gt;0.4, "Less Humidity", TRUE, "Dry")</f>
        <v>Less Humidity</v>
      </c>
      <c r="P274" s="36">
        <v>0.41789999999999999</v>
      </c>
      <c r="Q274" s="36" t="str" cm="1">
        <f t="array" ref="Q274">_xlfn.IFS(P274&lt;=0.2,"Low Windspeed",P274&lt;0.4,"Medium Windspeed",P274&gt;=0.41,"High Windspeed")</f>
        <v>High Windspeed</v>
      </c>
      <c r="R274" s="36">
        <v>1</v>
      </c>
      <c r="S274" s="36">
        <v>82</v>
      </c>
      <c r="T274" s="37">
        <v>83</v>
      </c>
      <c r="U274" s="39" t="str" cm="1">
        <f t="array" ref="U274">_xlfn.IFS(T274&lt;=70,"Low",T274&lt;=160,"Medium",T274&gt;=161,"High")</f>
        <v>Medium</v>
      </c>
    </row>
    <row r="275" spans="1:21" x14ac:dyDescent="0.25">
      <c r="A275" s="33">
        <v>274</v>
      </c>
      <c r="B275" s="34">
        <v>40555</v>
      </c>
      <c r="C275" s="35">
        <v>1</v>
      </c>
      <c r="D275" s="35">
        <v>0</v>
      </c>
      <c r="E275" s="35">
        <v>1</v>
      </c>
      <c r="F275" s="35">
        <v>20</v>
      </c>
      <c r="G275" s="35" t="str" cm="1">
        <f t="array" ref="G275">_xlfn.IFS(F275&lt;4,"Night",F275&lt;=6,"Early Morning",F275&lt;11,"Morning",F275&lt;12,"Afternoon",F275&lt;=16,"Afternoon",F275&lt;=20,"Evening",F275&gt;=21,"Night")</f>
        <v>Evening</v>
      </c>
      <c r="H275" s="35" t="b">
        <v>0</v>
      </c>
      <c r="I275" s="35">
        <v>3</v>
      </c>
      <c r="J275" s="35">
        <v>1</v>
      </c>
      <c r="K275" s="31">
        <v>0.16</v>
      </c>
      <c r="L275" s="31" t="str" cm="1">
        <f t="array" ref="L275">_xlfn.IFS(K275&lt;0.15,"Cold",K275&lt;0.25,"Mild",K275&lt;=0.32,"Warm",K275&gt;=0.33,"Hot")</f>
        <v>Mild</v>
      </c>
      <c r="M275" s="36">
        <v>0.13639999999999999</v>
      </c>
      <c r="N275" s="36">
        <v>0.5</v>
      </c>
      <c r="O275" s="36" t="str" cm="1">
        <f t="array" ref="O275">_xlfn.IFS(N275&gt;0.61, "High Humidity", N275&gt;=0.6, "Humid", N275&gt;0.4, "Less Humidity", TRUE, "Dry")</f>
        <v>Less Humidity</v>
      </c>
      <c r="P275" s="36">
        <v>0.32840000000000003</v>
      </c>
      <c r="Q275" s="36" t="str" cm="1">
        <f t="array" ref="Q275">_xlfn.IFS(P275&lt;=0.2,"Low Windspeed",P275&lt;0.4,"Medium Windspeed",P275&gt;=0.41,"High Windspeed")</f>
        <v>Medium Windspeed</v>
      </c>
      <c r="R275" s="36">
        <v>2</v>
      </c>
      <c r="S275" s="36">
        <v>54</v>
      </c>
      <c r="T275" s="37">
        <v>56</v>
      </c>
      <c r="U275" s="39" t="str" cm="1">
        <f t="array" ref="U275">_xlfn.IFS(T275&lt;=70,"Low",T275&lt;=160,"Medium",T275&gt;=161,"High")</f>
        <v>Low</v>
      </c>
    </row>
    <row r="276" spans="1:21" x14ac:dyDescent="0.25">
      <c r="A276" s="33">
        <v>275</v>
      </c>
      <c r="B276" s="34">
        <v>40555</v>
      </c>
      <c r="C276" s="35">
        <v>1</v>
      </c>
      <c r="D276" s="35">
        <v>0</v>
      </c>
      <c r="E276" s="35">
        <v>1</v>
      </c>
      <c r="F276" s="35">
        <v>21</v>
      </c>
      <c r="G276" s="35" t="str" cm="1">
        <f t="array" ref="G276">_xlfn.IFS(F276&lt;4,"Night",F276&lt;=6,"Early Morning",F276&lt;11,"Morning",F276&lt;12,"Afternoon",F276&lt;=16,"Afternoon",F276&lt;=20,"Evening",F276&gt;=21,"Night")</f>
        <v>Night</v>
      </c>
      <c r="H276" s="35" t="b">
        <v>0</v>
      </c>
      <c r="I276" s="35">
        <v>3</v>
      </c>
      <c r="J276" s="35">
        <v>1</v>
      </c>
      <c r="K276" s="31">
        <v>0.16</v>
      </c>
      <c r="L276" s="31" t="str" cm="1">
        <f t="array" ref="L276">_xlfn.IFS(K276&lt;0.15,"Cold",K276&lt;0.25,"Mild",K276&lt;=0.32,"Warm",K276&gt;=0.33,"Hot")</f>
        <v>Mild</v>
      </c>
      <c r="M276" s="36">
        <v>0.13639999999999999</v>
      </c>
      <c r="N276" s="36">
        <v>0.55000000000000004</v>
      </c>
      <c r="O276" s="36" t="str" cm="1">
        <f t="array" ref="O276">_xlfn.IFS(N276&gt;0.61, "High Humidity", N276&gt;=0.6, "Humid", N276&gt;0.4, "Less Humidity", TRUE, "Dry")</f>
        <v>Less Humidity</v>
      </c>
      <c r="P276" s="36">
        <v>0.32840000000000003</v>
      </c>
      <c r="Q276" s="36" t="str" cm="1">
        <f t="array" ref="Q276">_xlfn.IFS(P276&lt;=0.2,"Low Windspeed",P276&lt;0.4,"Medium Windspeed",P276&gt;=0.41,"High Windspeed")</f>
        <v>Medium Windspeed</v>
      </c>
      <c r="R276" s="36">
        <v>0</v>
      </c>
      <c r="S276" s="36">
        <v>57</v>
      </c>
      <c r="T276" s="37">
        <v>57</v>
      </c>
      <c r="U276" s="39" t="str" cm="1">
        <f t="array" ref="U276">_xlfn.IFS(T276&lt;=70,"Low",T276&lt;=160,"Medium",T276&gt;=161,"High")</f>
        <v>Low</v>
      </c>
    </row>
    <row r="277" spans="1:21" x14ac:dyDescent="0.25">
      <c r="A277" s="33">
        <v>276</v>
      </c>
      <c r="B277" s="34">
        <v>40555</v>
      </c>
      <c r="C277" s="35">
        <v>1</v>
      </c>
      <c r="D277" s="35">
        <v>0</v>
      </c>
      <c r="E277" s="35">
        <v>1</v>
      </c>
      <c r="F277" s="35">
        <v>22</v>
      </c>
      <c r="G277" s="35" t="str" cm="1">
        <f t="array" ref="G277">_xlfn.IFS(F277&lt;4,"Night",F277&lt;=6,"Early Morning",F277&lt;11,"Morning",F277&lt;12,"Afternoon",F277&lt;=16,"Afternoon",F277&lt;=20,"Evening",F277&gt;=21,"Night")</f>
        <v>Night</v>
      </c>
      <c r="H277" s="35" t="b">
        <v>0</v>
      </c>
      <c r="I277" s="35">
        <v>3</v>
      </c>
      <c r="J277" s="35">
        <v>1</v>
      </c>
      <c r="K277" s="31">
        <v>0.16</v>
      </c>
      <c r="L277" s="31" t="str" cm="1">
        <f t="array" ref="L277">_xlfn.IFS(K277&lt;0.15,"Cold",K277&lt;0.25,"Mild",K277&lt;=0.32,"Warm",K277&gt;=0.33,"Hot")</f>
        <v>Mild</v>
      </c>
      <c r="M277" s="36">
        <v>0.1212</v>
      </c>
      <c r="N277" s="36">
        <v>0.55000000000000004</v>
      </c>
      <c r="O277" s="36" t="str" cm="1">
        <f t="array" ref="O277">_xlfn.IFS(N277&gt;0.61, "High Humidity", N277&gt;=0.6, "Humid", N277&gt;0.4, "Less Humidity", TRUE, "Dry")</f>
        <v>Less Humidity</v>
      </c>
      <c r="P277" s="36">
        <v>0.44779999999999998</v>
      </c>
      <c r="Q277" s="36" t="str" cm="1">
        <f t="array" ref="Q277">_xlfn.IFS(P277&lt;=0.2,"Low Windspeed",P277&lt;0.4,"Medium Windspeed",P277&gt;=0.41,"High Windspeed")</f>
        <v>High Windspeed</v>
      </c>
      <c r="R277" s="36">
        <v>1</v>
      </c>
      <c r="S277" s="36">
        <v>32</v>
      </c>
      <c r="T277" s="37">
        <v>33</v>
      </c>
      <c r="U277" s="39" t="str" cm="1">
        <f t="array" ref="U277">_xlfn.IFS(T277&lt;=70,"Low",T277&lt;=160,"Medium",T277&gt;=161,"High")</f>
        <v>Low</v>
      </c>
    </row>
    <row r="278" spans="1:21" x14ac:dyDescent="0.25">
      <c r="A278" s="33">
        <v>277</v>
      </c>
      <c r="B278" s="34">
        <v>40555</v>
      </c>
      <c r="C278" s="35">
        <v>1</v>
      </c>
      <c r="D278" s="35">
        <v>0</v>
      </c>
      <c r="E278" s="35">
        <v>1</v>
      </c>
      <c r="F278" s="35">
        <v>23</v>
      </c>
      <c r="G278" s="35" t="str" cm="1">
        <f t="array" ref="G278">_xlfn.IFS(F278&lt;4,"Night",F278&lt;=6,"Early Morning",F278&lt;11,"Morning",F278&lt;12,"Afternoon",F278&lt;=16,"Afternoon",F278&lt;=20,"Evening",F278&gt;=21,"Night")</f>
        <v>Night</v>
      </c>
      <c r="H278" s="35" t="b">
        <v>0</v>
      </c>
      <c r="I278" s="35">
        <v>3</v>
      </c>
      <c r="J278" s="35">
        <v>1</v>
      </c>
      <c r="K278" s="31">
        <v>0.14000000000000001</v>
      </c>
      <c r="L278" s="31" t="str" cm="1">
        <f t="array" ref="L278">_xlfn.IFS(K278&lt;0.15,"Cold",K278&lt;0.25,"Mild",K278&lt;=0.32,"Warm",K278&gt;=0.33,"Hot")</f>
        <v>Cold</v>
      </c>
      <c r="M278" s="36">
        <v>0.1061</v>
      </c>
      <c r="N278" s="36">
        <v>0.59</v>
      </c>
      <c r="O278" s="36" t="str" cm="1">
        <f t="array" ref="O278">_xlfn.IFS(N278&gt;0.61, "High Humidity", N278&gt;=0.6, "Humid", N278&gt;0.4, "Less Humidity", TRUE, "Dry")</f>
        <v>Less Humidity</v>
      </c>
      <c r="P278" s="36">
        <v>0.41789999999999999</v>
      </c>
      <c r="Q278" s="36" t="str" cm="1">
        <f t="array" ref="Q278">_xlfn.IFS(P278&lt;=0.2,"Low Windspeed",P278&lt;0.4,"Medium Windspeed",P278&gt;=0.41,"High Windspeed")</f>
        <v>High Windspeed</v>
      </c>
      <c r="R278" s="36">
        <v>1</v>
      </c>
      <c r="S278" s="36">
        <v>19</v>
      </c>
      <c r="T278" s="37">
        <v>20</v>
      </c>
      <c r="U278" s="39" t="str" cm="1">
        <f t="array" ref="U278">_xlfn.IFS(T278&lt;=70,"Low",T278&lt;=160,"Medium",T278&gt;=161,"High")</f>
        <v>Low</v>
      </c>
    </row>
    <row r="279" spans="1:21" x14ac:dyDescent="0.25">
      <c r="A279" s="33">
        <v>278</v>
      </c>
      <c r="B279" s="34">
        <v>40556</v>
      </c>
      <c r="C279" s="35">
        <v>1</v>
      </c>
      <c r="D279" s="35">
        <v>0</v>
      </c>
      <c r="E279" s="35">
        <v>1</v>
      </c>
      <c r="F279" s="35">
        <v>0</v>
      </c>
      <c r="G279" s="35" t="str" cm="1">
        <f t="array" ref="G279">_xlfn.IFS(F279&lt;4,"Night",F279&lt;=6,"Early Morning",F279&lt;11,"Morning",F279&lt;12,"Afternoon",F279&lt;=16,"Afternoon",F279&lt;=20,"Evening",F279&gt;=21,"Night")</f>
        <v>Night</v>
      </c>
      <c r="H279" s="35" t="b">
        <v>0</v>
      </c>
      <c r="I279" s="35">
        <v>4</v>
      </c>
      <c r="J279" s="35">
        <v>1</v>
      </c>
      <c r="K279" s="31">
        <v>0.14000000000000001</v>
      </c>
      <c r="L279" s="31" t="str" cm="1">
        <f t="array" ref="L279">_xlfn.IFS(K279&lt;0.15,"Cold",K279&lt;0.25,"Mild",K279&lt;=0.32,"Warm",K279&gt;=0.33,"Hot")</f>
        <v>Cold</v>
      </c>
      <c r="M279" s="36">
        <v>0.1212</v>
      </c>
      <c r="N279" s="36">
        <v>0.59</v>
      </c>
      <c r="O279" s="36" t="str" cm="1">
        <f t="array" ref="O279">_xlfn.IFS(N279&gt;0.61, "High Humidity", N279&gt;=0.6, "Humid", N279&gt;0.4, "Less Humidity", TRUE, "Dry")</f>
        <v>Less Humidity</v>
      </c>
      <c r="P279" s="36">
        <v>0.28360000000000002</v>
      </c>
      <c r="Q279" s="36" t="str" cm="1">
        <f t="array" ref="Q279">_xlfn.IFS(P279&lt;=0.2,"Low Windspeed",P279&lt;0.4,"Medium Windspeed",P279&gt;=0.41,"High Windspeed")</f>
        <v>Medium Windspeed</v>
      </c>
      <c r="R279" s="36">
        <v>1</v>
      </c>
      <c r="S279" s="36">
        <v>6</v>
      </c>
      <c r="T279" s="37">
        <v>7</v>
      </c>
      <c r="U279" s="39" t="str" cm="1">
        <f t="array" ref="U279">_xlfn.IFS(T279&lt;=70,"Low",T279&lt;=160,"Medium",T279&gt;=161,"High")</f>
        <v>Low</v>
      </c>
    </row>
    <row r="280" spans="1:21" x14ac:dyDescent="0.25">
      <c r="A280" s="33">
        <v>279</v>
      </c>
      <c r="B280" s="34">
        <v>40556</v>
      </c>
      <c r="C280" s="35">
        <v>1</v>
      </c>
      <c r="D280" s="35">
        <v>0</v>
      </c>
      <c r="E280" s="35">
        <v>1</v>
      </c>
      <c r="F280" s="35">
        <v>1</v>
      </c>
      <c r="G280" s="35" t="str" cm="1">
        <f t="array" ref="G280">_xlfn.IFS(F280&lt;4,"Night",F280&lt;=6,"Early Morning",F280&lt;11,"Morning",F280&lt;12,"Afternoon",F280&lt;=16,"Afternoon",F280&lt;=20,"Evening",F280&gt;=21,"Night")</f>
        <v>Night</v>
      </c>
      <c r="H280" s="35" t="b">
        <v>0</v>
      </c>
      <c r="I280" s="35">
        <v>4</v>
      </c>
      <c r="J280" s="35">
        <v>1</v>
      </c>
      <c r="K280" s="31">
        <v>0.14000000000000001</v>
      </c>
      <c r="L280" s="31" t="str" cm="1">
        <f t="array" ref="L280">_xlfn.IFS(K280&lt;0.15,"Cold",K280&lt;0.25,"Mild",K280&lt;=0.32,"Warm",K280&gt;=0.33,"Hot")</f>
        <v>Cold</v>
      </c>
      <c r="M280" s="36">
        <v>0.1212</v>
      </c>
      <c r="N280" s="36">
        <v>0.5</v>
      </c>
      <c r="O280" s="36" t="str" cm="1">
        <f t="array" ref="O280">_xlfn.IFS(N280&gt;0.61, "High Humidity", N280&gt;=0.6, "Humid", N280&gt;0.4, "Less Humidity", TRUE, "Dry")</f>
        <v>Less Humidity</v>
      </c>
      <c r="P280" s="36">
        <v>0.28360000000000002</v>
      </c>
      <c r="Q280" s="36" t="str" cm="1">
        <f t="array" ref="Q280">_xlfn.IFS(P280&lt;=0.2,"Low Windspeed",P280&lt;0.4,"Medium Windspeed",P280&gt;=0.41,"High Windspeed")</f>
        <v>Medium Windspeed</v>
      </c>
      <c r="R280" s="36">
        <v>0</v>
      </c>
      <c r="S280" s="36">
        <v>2</v>
      </c>
      <c r="T280" s="37">
        <v>2</v>
      </c>
      <c r="U280" s="39" t="str" cm="1">
        <f t="array" ref="U280">_xlfn.IFS(T280&lt;=70,"Low",T280&lt;=160,"Medium",T280&gt;=161,"High")</f>
        <v>Low</v>
      </c>
    </row>
    <row r="281" spans="1:21" x14ac:dyDescent="0.25">
      <c r="A281" s="33">
        <v>280</v>
      </c>
      <c r="B281" s="34">
        <v>40556</v>
      </c>
      <c r="C281" s="35">
        <v>1</v>
      </c>
      <c r="D281" s="35">
        <v>0</v>
      </c>
      <c r="E281" s="35">
        <v>1</v>
      </c>
      <c r="F281" s="35">
        <v>2</v>
      </c>
      <c r="G281" s="35" t="str" cm="1">
        <f t="array" ref="G281">_xlfn.IFS(F281&lt;4,"Night",F281&lt;=6,"Early Morning",F281&lt;11,"Morning",F281&lt;12,"Afternoon",F281&lt;=16,"Afternoon",F281&lt;=20,"Evening",F281&gt;=21,"Night")</f>
        <v>Night</v>
      </c>
      <c r="H281" s="35" t="b">
        <v>0</v>
      </c>
      <c r="I281" s="35">
        <v>4</v>
      </c>
      <c r="J281" s="35">
        <v>1</v>
      </c>
      <c r="K281" s="31">
        <v>0.14000000000000001</v>
      </c>
      <c r="L281" s="31" t="str" cm="1">
        <f t="array" ref="L281">_xlfn.IFS(K281&lt;0.15,"Cold",K281&lt;0.25,"Mild",K281&lt;=0.32,"Warm",K281&gt;=0.33,"Hot")</f>
        <v>Cold</v>
      </c>
      <c r="M281" s="36">
        <v>0.1212</v>
      </c>
      <c r="N281" s="36">
        <v>0.5</v>
      </c>
      <c r="O281" s="36" t="str" cm="1">
        <f t="array" ref="O281">_xlfn.IFS(N281&gt;0.61, "High Humidity", N281&gt;=0.6, "Humid", N281&gt;0.4, "Less Humidity", TRUE, "Dry")</f>
        <v>Less Humidity</v>
      </c>
      <c r="P281" s="36">
        <v>0.35820000000000002</v>
      </c>
      <c r="Q281" s="36" t="str" cm="1">
        <f t="array" ref="Q281">_xlfn.IFS(P281&lt;=0.2,"Low Windspeed",P281&lt;0.4,"Medium Windspeed",P281&gt;=0.41,"High Windspeed")</f>
        <v>Medium Windspeed</v>
      </c>
      <c r="R281" s="36">
        <v>0</v>
      </c>
      <c r="S281" s="36">
        <v>2</v>
      </c>
      <c r="T281" s="37">
        <v>2</v>
      </c>
      <c r="U281" s="39" t="str" cm="1">
        <f t="array" ref="U281">_xlfn.IFS(T281&lt;=70,"Low",T281&lt;=160,"Medium",T281&gt;=161,"High")</f>
        <v>Low</v>
      </c>
    </row>
    <row r="282" spans="1:21" x14ac:dyDescent="0.25">
      <c r="A282" s="33">
        <v>281</v>
      </c>
      <c r="B282" s="34">
        <v>40556</v>
      </c>
      <c r="C282" s="35">
        <v>1</v>
      </c>
      <c r="D282" s="35">
        <v>0</v>
      </c>
      <c r="E282" s="35">
        <v>1</v>
      </c>
      <c r="F282" s="35">
        <v>3</v>
      </c>
      <c r="G282" s="35" t="str" cm="1">
        <f t="array" ref="G282">_xlfn.IFS(F282&lt;4,"Night",F282&lt;=6,"Early Morning",F282&lt;11,"Morning",F282&lt;12,"Afternoon",F282&lt;=16,"Afternoon",F282&lt;=20,"Evening",F282&gt;=21,"Night")</f>
        <v>Night</v>
      </c>
      <c r="H282" s="35" t="b">
        <v>0</v>
      </c>
      <c r="I282" s="35">
        <v>4</v>
      </c>
      <c r="J282" s="35">
        <v>1</v>
      </c>
      <c r="K282" s="31">
        <v>0.14000000000000001</v>
      </c>
      <c r="L282" s="31" t="str" cm="1">
        <f t="array" ref="L282">_xlfn.IFS(K282&lt;0.15,"Cold",K282&lt;0.25,"Mild",K282&lt;=0.32,"Warm",K282&gt;=0.33,"Hot")</f>
        <v>Cold</v>
      </c>
      <c r="M282" s="36">
        <v>0.1212</v>
      </c>
      <c r="N282" s="36">
        <v>0.5</v>
      </c>
      <c r="O282" s="36" t="str" cm="1">
        <f t="array" ref="O282">_xlfn.IFS(N282&gt;0.61, "High Humidity", N282&gt;=0.6, "Humid", N282&gt;0.4, "Less Humidity", TRUE, "Dry")</f>
        <v>Less Humidity</v>
      </c>
      <c r="P282" s="36">
        <v>0.32840000000000003</v>
      </c>
      <c r="Q282" s="36" t="str" cm="1">
        <f t="array" ref="Q282">_xlfn.IFS(P282&lt;=0.2,"Low Windspeed",P282&lt;0.4,"Medium Windspeed",P282&gt;=0.41,"High Windspeed")</f>
        <v>Medium Windspeed</v>
      </c>
      <c r="R282" s="36">
        <v>0</v>
      </c>
      <c r="S282" s="36">
        <v>3</v>
      </c>
      <c r="T282" s="37">
        <v>3</v>
      </c>
      <c r="U282" s="39" t="str" cm="1">
        <f t="array" ref="U282">_xlfn.IFS(T282&lt;=70,"Low",T282&lt;=160,"Medium",T282&gt;=161,"High")</f>
        <v>Low</v>
      </c>
    </row>
    <row r="283" spans="1:21" x14ac:dyDescent="0.25">
      <c r="A283" s="33">
        <v>282</v>
      </c>
      <c r="B283" s="34">
        <v>40556</v>
      </c>
      <c r="C283" s="35">
        <v>1</v>
      </c>
      <c r="D283" s="35">
        <v>0</v>
      </c>
      <c r="E283" s="35">
        <v>1</v>
      </c>
      <c r="F283" s="35">
        <v>4</v>
      </c>
      <c r="G283" s="35" t="str" cm="1">
        <f t="array" ref="G283">_xlfn.IFS(F283&lt;4,"Night",F283&lt;=6,"Early Morning",F283&lt;11,"Morning",F283&lt;12,"Afternoon",F283&lt;=16,"Afternoon",F283&lt;=20,"Evening",F283&gt;=21,"Night")</f>
        <v>Early Morning</v>
      </c>
      <c r="H283" s="35" t="b">
        <v>0</v>
      </c>
      <c r="I283" s="35">
        <v>4</v>
      </c>
      <c r="J283" s="35">
        <v>1</v>
      </c>
      <c r="K283" s="31">
        <v>0.14000000000000001</v>
      </c>
      <c r="L283" s="31" t="str" cm="1">
        <f t="array" ref="L283">_xlfn.IFS(K283&lt;0.15,"Cold",K283&lt;0.25,"Mild",K283&lt;=0.32,"Warm",K283&gt;=0.33,"Hot")</f>
        <v>Cold</v>
      </c>
      <c r="M283" s="36">
        <v>0.1212</v>
      </c>
      <c r="N283" s="36">
        <v>0.5</v>
      </c>
      <c r="O283" s="36" t="str" cm="1">
        <f t="array" ref="O283">_xlfn.IFS(N283&gt;0.61, "High Humidity", N283&gt;=0.6, "Humid", N283&gt;0.4, "Less Humidity", TRUE, "Dry")</f>
        <v>Less Humidity</v>
      </c>
      <c r="P283" s="36">
        <v>0.25369999999999998</v>
      </c>
      <c r="Q283" s="36" t="str" cm="1">
        <f t="array" ref="Q283">_xlfn.IFS(P283&lt;=0.2,"Low Windspeed",P283&lt;0.4,"Medium Windspeed",P283&gt;=0.41,"High Windspeed")</f>
        <v>Medium Windspeed</v>
      </c>
      <c r="R283" s="36">
        <v>0</v>
      </c>
      <c r="S283" s="36">
        <v>4</v>
      </c>
      <c r="T283" s="37">
        <v>4</v>
      </c>
      <c r="U283" s="39" t="str" cm="1">
        <f t="array" ref="U283">_xlfn.IFS(T283&lt;=70,"Low",T283&lt;=160,"Medium",T283&gt;=161,"High")</f>
        <v>Low</v>
      </c>
    </row>
    <row r="284" spans="1:21" x14ac:dyDescent="0.25">
      <c r="A284" s="33">
        <v>283</v>
      </c>
      <c r="B284" s="34">
        <v>40556</v>
      </c>
      <c r="C284" s="35">
        <v>1</v>
      </c>
      <c r="D284" s="35">
        <v>0</v>
      </c>
      <c r="E284" s="35">
        <v>1</v>
      </c>
      <c r="F284" s="35">
        <v>5</v>
      </c>
      <c r="G284" s="35" t="str" cm="1">
        <f t="array" ref="G284">_xlfn.IFS(F284&lt;4,"Night",F284&lt;=6,"Early Morning",F284&lt;11,"Morning",F284&lt;12,"Afternoon",F284&lt;=16,"Afternoon",F284&lt;=20,"Evening",F284&gt;=21,"Night")</f>
        <v>Early Morning</v>
      </c>
      <c r="H284" s="35" t="b">
        <v>0</v>
      </c>
      <c r="I284" s="35">
        <v>4</v>
      </c>
      <c r="J284" s="35">
        <v>1</v>
      </c>
      <c r="K284" s="31">
        <v>0.14000000000000001</v>
      </c>
      <c r="L284" s="31" t="str" cm="1">
        <f t="array" ref="L284">_xlfn.IFS(K284&lt;0.15,"Cold",K284&lt;0.25,"Mild",K284&lt;=0.32,"Warm",K284&gt;=0.33,"Hot")</f>
        <v>Cold</v>
      </c>
      <c r="M284" s="36">
        <v>0.1212</v>
      </c>
      <c r="N284" s="36">
        <v>0.5</v>
      </c>
      <c r="O284" s="36" t="str" cm="1">
        <f t="array" ref="O284">_xlfn.IFS(N284&gt;0.61, "High Humidity", N284&gt;=0.6, "Humid", N284&gt;0.4, "Less Humidity", TRUE, "Dry")</f>
        <v>Less Humidity</v>
      </c>
      <c r="P284" s="36">
        <v>0.29849999999999999</v>
      </c>
      <c r="Q284" s="36" t="str" cm="1">
        <f t="array" ref="Q284">_xlfn.IFS(P284&lt;=0.2,"Low Windspeed",P284&lt;0.4,"Medium Windspeed",P284&gt;=0.41,"High Windspeed")</f>
        <v>Medium Windspeed</v>
      </c>
      <c r="R284" s="36">
        <v>0</v>
      </c>
      <c r="S284" s="36">
        <v>3</v>
      </c>
      <c r="T284" s="37">
        <v>3</v>
      </c>
      <c r="U284" s="39" t="str" cm="1">
        <f t="array" ref="U284">_xlfn.IFS(T284&lt;=70,"Low",T284&lt;=160,"Medium",T284&gt;=161,"High")</f>
        <v>Low</v>
      </c>
    </row>
    <row r="285" spans="1:21" x14ac:dyDescent="0.25">
      <c r="A285" s="33">
        <v>284</v>
      </c>
      <c r="B285" s="34">
        <v>40556</v>
      </c>
      <c r="C285" s="35">
        <v>1</v>
      </c>
      <c r="D285" s="35">
        <v>0</v>
      </c>
      <c r="E285" s="35">
        <v>1</v>
      </c>
      <c r="F285" s="35">
        <v>6</v>
      </c>
      <c r="G285" s="35" t="str" cm="1">
        <f t="array" ref="G285">_xlfn.IFS(F285&lt;4,"Night",F285&lt;=6,"Early Morning",F285&lt;11,"Morning",F285&lt;12,"Afternoon",F285&lt;=16,"Afternoon",F285&lt;=20,"Evening",F285&gt;=21,"Night")</f>
        <v>Early Morning</v>
      </c>
      <c r="H285" s="35" t="b">
        <v>0</v>
      </c>
      <c r="I285" s="35">
        <v>4</v>
      </c>
      <c r="J285" s="35">
        <v>1</v>
      </c>
      <c r="K285" s="31">
        <v>0.12</v>
      </c>
      <c r="L285" s="31" t="str" cm="1">
        <f t="array" ref="L285">_xlfn.IFS(K285&lt;0.15,"Cold",K285&lt;0.25,"Mild",K285&lt;=0.32,"Warm",K285&gt;=0.33,"Hot")</f>
        <v>Cold</v>
      </c>
      <c r="M285" s="36">
        <v>0.1515</v>
      </c>
      <c r="N285" s="36">
        <v>0.54</v>
      </c>
      <c r="O285" s="36" t="str" cm="1">
        <f t="array" ref="O285">_xlfn.IFS(N285&gt;0.61, "High Humidity", N285&gt;=0.6, "Humid", N285&gt;0.4, "Less Humidity", TRUE, "Dry")</f>
        <v>Less Humidity</v>
      </c>
      <c r="P285" s="36">
        <v>0.1343</v>
      </c>
      <c r="Q285" s="36" t="str" cm="1">
        <f t="array" ref="Q285">_xlfn.IFS(P285&lt;=0.2,"Low Windspeed",P285&lt;0.4,"Medium Windspeed",P285&gt;=0.41,"High Windspeed")</f>
        <v>Low Windspeed</v>
      </c>
      <c r="R285" s="36">
        <v>0</v>
      </c>
      <c r="S285" s="36">
        <v>28</v>
      </c>
      <c r="T285" s="37">
        <v>28</v>
      </c>
      <c r="U285" s="39" t="str" cm="1">
        <f t="array" ref="U285">_xlfn.IFS(T285&lt;=70,"Low",T285&lt;=160,"Medium",T285&gt;=161,"High")</f>
        <v>Low</v>
      </c>
    </row>
    <row r="286" spans="1:21" x14ac:dyDescent="0.25">
      <c r="A286" s="33">
        <v>285</v>
      </c>
      <c r="B286" s="34">
        <v>40556</v>
      </c>
      <c r="C286" s="35">
        <v>1</v>
      </c>
      <c r="D286" s="35">
        <v>0</v>
      </c>
      <c r="E286" s="35">
        <v>1</v>
      </c>
      <c r="F286" s="35">
        <v>7</v>
      </c>
      <c r="G286" s="35" t="str" cm="1">
        <f t="array" ref="G286">_xlfn.IFS(F286&lt;4,"Night",F286&lt;=6,"Early Morning",F286&lt;11,"Morning",F286&lt;12,"Afternoon",F286&lt;=16,"Afternoon",F286&lt;=20,"Evening",F286&gt;=21,"Night")</f>
        <v>Morning</v>
      </c>
      <c r="H286" s="35" t="b">
        <v>0</v>
      </c>
      <c r="I286" s="35">
        <v>4</v>
      </c>
      <c r="J286" s="35">
        <v>1</v>
      </c>
      <c r="K286" s="31">
        <v>0.12</v>
      </c>
      <c r="L286" s="31" t="str" cm="1">
        <f t="array" ref="L286">_xlfn.IFS(K286&lt;0.15,"Cold",K286&lt;0.25,"Mild",K286&lt;=0.32,"Warm",K286&gt;=0.33,"Hot")</f>
        <v>Cold</v>
      </c>
      <c r="M286" s="36">
        <v>0.1515</v>
      </c>
      <c r="N286" s="36">
        <v>0.54</v>
      </c>
      <c r="O286" s="36" t="str" cm="1">
        <f t="array" ref="O286">_xlfn.IFS(N286&gt;0.61, "High Humidity", N286&gt;=0.6, "Humid", N286&gt;0.4, "Less Humidity", TRUE, "Dry")</f>
        <v>Less Humidity</v>
      </c>
      <c r="P286" s="36">
        <v>0.1343</v>
      </c>
      <c r="Q286" s="36" t="str" cm="1">
        <f t="array" ref="Q286">_xlfn.IFS(P286&lt;=0.2,"Low Windspeed",P286&lt;0.4,"Medium Windspeed",P286&gt;=0.41,"High Windspeed")</f>
        <v>Low Windspeed</v>
      </c>
      <c r="R286" s="36">
        <v>0</v>
      </c>
      <c r="S286" s="36">
        <v>72</v>
      </c>
      <c r="T286" s="37">
        <v>72</v>
      </c>
      <c r="U286" s="39" t="str" cm="1">
        <f t="array" ref="U286">_xlfn.IFS(T286&lt;=70,"Low",T286&lt;=160,"Medium",T286&gt;=161,"High")</f>
        <v>Medium</v>
      </c>
    </row>
    <row r="287" spans="1:21" x14ac:dyDescent="0.25">
      <c r="A287" s="33">
        <v>286</v>
      </c>
      <c r="B287" s="34">
        <v>40556</v>
      </c>
      <c r="C287" s="35">
        <v>1</v>
      </c>
      <c r="D287" s="35">
        <v>0</v>
      </c>
      <c r="E287" s="35">
        <v>1</v>
      </c>
      <c r="F287" s="35">
        <v>8</v>
      </c>
      <c r="G287" s="35" t="str" cm="1">
        <f t="array" ref="G287">_xlfn.IFS(F287&lt;4,"Night",F287&lt;=6,"Early Morning",F287&lt;11,"Morning",F287&lt;12,"Afternoon",F287&lt;=16,"Afternoon",F287&lt;=20,"Evening",F287&gt;=21,"Night")</f>
        <v>Morning</v>
      </c>
      <c r="H287" s="35" t="b">
        <v>0</v>
      </c>
      <c r="I287" s="35">
        <v>4</v>
      </c>
      <c r="J287" s="35">
        <v>1</v>
      </c>
      <c r="K287" s="31">
        <v>0.14000000000000001</v>
      </c>
      <c r="L287" s="31" t="str" cm="1">
        <f t="array" ref="L287">_xlfn.IFS(K287&lt;0.15,"Cold",K287&lt;0.25,"Mild",K287&lt;=0.32,"Warm",K287&gt;=0.33,"Hot")</f>
        <v>Cold</v>
      </c>
      <c r="M287" s="36">
        <v>0.13639999999999999</v>
      </c>
      <c r="N287" s="36">
        <v>0.5</v>
      </c>
      <c r="O287" s="36" t="str" cm="1">
        <f t="array" ref="O287">_xlfn.IFS(N287&gt;0.61, "High Humidity", N287&gt;=0.6, "Humid", N287&gt;0.4, "Less Humidity", TRUE, "Dry")</f>
        <v>Less Humidity</v>
      </c>
      <c r="P287" s="36">
        <v>0.19400000000000001</v>
      </c>
      <c r="Q287" s="36" t="str" cm="1">
        <f t="array" ref="Q287">_xlfn.IFS(P287&lt;=0.2,"Low Windspeed",P287&lt;0.4,"Medium Windspeed",P287&gt;=0.41,"High Windspeed")</f>
        <v>Low Windspeed</v>
      </c>
      <c r="R287" s="36">
        <v>5</v>
      </c>
      <c r="S287" s="36">
        <v>197</v>
      </c>
      <c r="T287" s="37">
        <v>202</v>
      </c>
      <c r="U287" s="39" t="str" cm="1">
        <f t="array" ref="U287">_xlfn.IFS(T287&lt;=70,"Low",T287&lt;=160,"Medium",T287&gt;=161,"High")</f>
        <v>High</v>
      </c>
    </row>
    <row r="288" spans="1:21" x14ac:dyDescent="0.25">
      <c r="A288" s="33">
        <v>287</v>
      </c>
      <c r="B288" s="34">
        <v>40556</v>
      </c>
      <c r="C288" s="35">
        <v>1</v>
      </c>
      <c r="D288" s="35">
        <v>0</v>
      </c>
      <c r="E288" s="35">
        <v>1</v>
      </c>
      <c r="F288" s="35">
        <v>9</v>
      </c>
      <c r="G288" s="35" t="str" cm="1">
        <f t="array" ref="G288">_xlfn.IFS(F288&lt;4,"Night",F288&lt;=6,"Early Morning",F288&lt;11,"Morning",F288&lt;12,"Afternoon",F288&lt;=16,"Afternoon",F288&lt;=20,"Evening",F288&gt;=21,"Night")</f>
        <v>Morning</v>
      </c>
      <c r="H288" s="35" t="b">
        <v>0</v>
      </c>
      <c r="I288" s="35">
        <v>4</v>
      </c>
      <c r="J288" s="35">
        <v>1</v>
      </c>
      <c r="K288" s="31">
        <v>0.14000000000000001</v>
      </c>
      <c r="L288" s="31" t="str" cm="1">
        <f t="array" ref="L288">_xlfn.IFS(K288&lt;0.15,"Cold",K288&lt;0.25,"Mild",K288&lt;=0.32,"Warm",K288&gt;=0.33,"Hot")</f>
        <v>Cold</v>
      </c>
      <c r="M288" s="36">
        <v>0.1212</v>
      </c>
      <c r="N288" s="36">
        <v>0.5</v>
      </c>
      <c r="O288" s="36" t="str" cm="1">
        <f t="array" ref="O288">_xlfn.IFS(N288&gt;0.61, "High Humidity", N288&gt;=0.6, "Humid", N288&gt;0.4, "Less Humidity", TRUE, "Dry")</f>
        <v>Less Humidity</v>
      </c>
      <c r="P288" s="36">
        <v>0.32840000000000003</v>
      </c>
      <c r="Q288" s="36" t="str" cm="1">
        <f t="array" ref="Q288">_xlfn.IFS(P288&lt;=0.2,"Low Windspeed",P288&lt;0.4,"Medium Windspeed",P288&gt;=0.41,"High Windspeed")</f>
        <v>Medium Windspeed</v>
      </c>
      <c r="R288" s="36">
        <v>2</v>
      </c>
      <c r="S288" s="36">
        <v>137</v>
      </c>
      <c r="T288" s="37">
        <v>139</v>
      </c>
      <c r="U288" s="39" t="str" cm="1">
        <f t="array" ref="U288">_xlfn.IFS(T288&lt;=70,"Low",T288&lt;=160,"Medium",T288&gt;=161,"High")</f>
        <v>Medium</v>
      </c>
    </row>
    <row r="289" spans="1:21" x14ac:dyDescent="0.25">
      <c r="A289" s="33">
        <v>288</v>
      </c>
      <c r="B289" s="34">
        <v>40556</v>
      </c>
      <c r="C289" s="35">
        <v>1</v>
      </c>
      <c r="D289" s="35">
        <v>0</v>
      </c>
      <c r="E289" s="35">
        <v>1</v>
      </c>
      <c r="F289" s="35">
        <v>10</v>
      </c>
      <c r="G289" s="35" t="str" cm="1">
        <f t="array" ref="G289">_xlfn.IFS(F289&lt;4,"Night",F289&lt;=6,"Early Morning",F289&lt;11,"Morning",F289&lt;12,"Afternoon",F289&lt;=16,"Afternoon",F289&lt;=20,"Evening",F289&gt;=21,"Night")</f>
        <v>Morning</v>
      </c>
      <c r="H289" s="35" t="b">
        <v>0</v>
      </c>
      <c r="I289" s="35">
        <v>4</v>
      </c>
      <c r="J289" s="35">
        <v>2</v>
      </c>
      <c r="K289" s="31">
        <v>0.16</v>
      </c>
      <c r="L289" s="31" t="str" cm="1">
        <f t="array" ref="L289">_xlfn.IFS(K289&lt;0.15,"Cold",K289&lt;0.25,"Mild",K289&lt;=0.32,"Warm",K289&gt;=0.33,"Hot")</f>
        <v>Mild</v>
      </c>
      <c r="M289" s="36">
        <v>0.13639999999999999</v>
      </c>
      <c r="N289" s="36">
        <v>0.5</v>
      </c>
      <c r="O289" s="36" t="str" cm="1">
        <f t="array" ref="O289">_xlfn.IFS(N289&gt;0.61, "High Humidity", N289&gt;=0.6, "Humid", N289&gt;0.4, "Less Humidity", TRUE, "Dry")</f>
        <v>Less Humidity</v>
      </c>
      <c r="P289" s="36">
        <v>0.35820000000000002</v>
      </c>
      <c r="Q289" s="36" t="str" cm="1">
        <f t="array" ref="Q289">_xlfn.IFS(P289&lt;=0.2,"Low Windspeed",P289&lt;0.4,"Medium Windspeed",P289&gt;=0.41,"High Windspeed")</f>
        <v>Medium Windspeed</v>
      </c>
      <c r="R289" s="36">
        <v>2</v>
      </c>
      <c r="S289" s="36">
        <v>36</v>
      </c>
      <c r="T289" s="37">
        <v>38</v>
      </c>
      <c r="U289" s="39" t="str" cm="1">
        <f t="array" ref="U289">_xlfn.IFS(T289&lt;=70,"Low",T289&lt;=160,"Medium",T289&gt;=161,"High")</f>
        <v>Low</v>
      </c>
    </row>
    <row r="290" spans="1:21" x14ac:dyDescent="0.25">
      <c r="A290" s="33">
        <v>289</v>
      </c>
      <c r="B290" s="34">
        <v>40556</v>
      </c>
      <c r="C290" s="35">
        <v>1</v>
      </c>
      <c r="D290" s="35">
        <v>0</v>
      </c>
      <c r="E290" s="35">
        <v>1</v>
      </c>
      <c r="F290" s="35">
        <v>11</v>
      </c>
      <c r="G290" s="35" t="str" cm="1">
        <f t="array" ref="G290">_xlfn.IFS(F290&lt;4,"Night",F290&lt;=6,"Early Morning",F290&lt;11,"Morning",F290&lt;12,"Afternoon",F290&lt;=16,"Afternoon",F290&lt;=20,"Evening",F290&gt;=21,"Night")</f>
        <v>Afternoon</v>
      </c>
      <c r="H290" s="35" t="b">
        <v>0</v>
      </c>
      <c r="I290" s="35">
        <v>4</v>
      </c>
      <c r="J290" s="35">
        <v>2</v>
      </c>
      <c r="K290" s="31">
        <v>0.2</v>
      </c>
      <c r="L290" s="31" t="str" cm="1">
        <f t="array" ref="L290">_xlfn.IFS(K290&lt;0.15,"Cold",K290&lt;0.25,"Mild",K290&lt;=0.32,"Warm",K290&gt;=0.33,"Hot")</f>
        <v>Mild</v>
      </c>
      <c r="M290" s="36">
        <v>0.16669999999999999</v>
      </c>
      <c r="N290" s="36">
        <v>0.44</v>
      </c>
      <c r="O290" s="36" t="str" cm="1">
        <f t="array" ref="O290">_xlfn.IFS(N290&gt;0.61, "High Humidity", N290&gt;=0.6, "Humid", N290&gt;0.4, "Less Humidity", TRUE, "Dry")</f>
        <v>Less Humidity</v>
      </c>
      <c r="P290" s="36">
        <v>0.44779999999999998</v>
      </c>
      <c r="Q290" s="36" t="str" cm="1">
        <f t="array" ref="Q290">_xlfn.IFS(P290&lt;=0.2,"Low Windspeed",P290&lt;0.4,"Medium Windspeed",P290&gt;=0.41,"High Windspeed")</f>
        <v>High Windspeed</v>
      </c>
      <c r="R290" s="36">
        <v>4</v>
      </c>
      <c r="S290" s="36">
        <v>33</v>
      </c>
      <c r="T290" s="37">
        <v>37</v>
      </c>
      <c r="U290" s="39" t="str" cm="1">
        <f t="array" ref="U290">_xlfn.IFS(T290&lt;=70,"Low",T290&lt;=160,"Medium",T290&gt;=161,"High")</f>
        <v>Low</v>
      </c>
    </row>
    <row r="291" spans="1:21" x14ac:dyDescent="0.25">
      <c r="A291" s="33">
        <v>290</v>
      </c>
      <c r="B291" s="34">
        <v>40556</v>
      </c>
      <c r="C291" s="35">
        <v>1</v>
      </c>
      <c r="D291" s="35">
        <v>0</v>
      </c>
      <c r="E291" s="35">
        <v>1</v>
      </c>
      <c r="F291" s="35">
        <v>12</v>
      </c>
      <c r="G291" s="35" t="str" cm="1">
        <f t="array" ref="G291">_xlfn.IFS(F291&lt;4,"Night",F291&lt;=6,"Early Morning",F291&lt;11,"Morning",F291&lt;12,"Afternoon",F291&lt;=16,"Afternoon",F291&lt;=20,"Evening",F291&gt;=21,"Night")</f>
        <v>Afternoon</v>
      </c>
      <c r="H291" s="35" t="b">
        <v>0</v>
      </c>
      <c r="I291" s="35">
        <v>4</v>
      </c>
      <c r="J291" s="35">
        <v>1</v>
      </c>
      <c r="K291" s="31">
        <v>0.2</v>
      </c>
      <c r="L291" s="31" t="str" cm="1">
        <f t="array" ref="L291">_xlfn.IFS(K291&lt;0.15,"Cold",K291&lt;0.25,"Mild",K291&lt;=0.32,"Warm",K291&gt;=0.33,"Hot")</f>
        <v>Mild</v>
      </c>
      <c r="M291" s="36">
        <v>0.16669999999999999</v>
      </c>
      <c r="N291" s="36">
        <v>0.44</v>
      </c>
      <c r="O291" s="36" t="str" cm="1">
        <f t="array" ref="O291">_xlfn.IFS(N291&gt;0.61, "High Humidity", N291&gt;=0.6, "Humid", N291&gt;0.4, "Less Humidity", TRUE, "Dry")</f>
        <v>Less Humidity</v>
      </c>
      <c r="P291" s="36">
        <v>0.41789999999999999</v>
      </c>
      <c r="Q291" s="36" t="str" cm="1">
        <f t="array" ref="Q291">_xlfn.IFS(P291&lt;=0.2,"Low Windspeed",P291&lt;0.4,"Medium Windspeed",P291&gt;=0.41,"High Windspeed")</f>
        <v>High Windspeed</v>
      </c>
      <c r="R291" s="36">
        <v>3</v>
      </c>
      <c r="S291" s="36">
        <v>49</v>
      </c>
      <c r="T291" s="37">
        <v>52</v>
      </c>
      <c r="U291" s="39" t="str" cm="1">
        <f t="array" ref="U291">_xlfn.IFS(T291&lt;=70,"Low",T291&lt;=160,"Medium",T291&gt;=161,"High")</f>
        <v>Low</v>
      </c>
    </row>
    <row r="292" spans="1:21" x14ac:dyDescent="0.25">
      <c r="A292" s="33">
        <v>291</v>
      </c>
      <c r="B292" s="34">
        <v>40556</v>
      </c>
      <c r="C292" s="35">
        <v>1</v>
      </c>
      <c r="D292" s="35">
        <v>0</v>
      </c>
      <c r="E292" s="35">
        <v>1</v>
      </c>
      <c r="F292" s="35">
        <v>13</v>
      </c>
      <c r="G292" s="35" t="str" cm="1">
        <f t="array" ref="G292">_xlfn.IFS(F292&lt;4,"Night",F292&lt;=6,"Early Morning",F292&lt;11,"Morning",F292&lt;12,"Afternoon",F292&lt;=16,"Afternoon",F292&lt;=20,"Evening",F292&gt;=21,"Night")</f>
        <v>Afternoon</v>
      </c>
      <c r="H292" s="35" t="b">
        <v>0</v>
      </c>
      <c r="I292" s="35">
        <v>4</v>
      </c>
      <c r="J292" s="35">
        <v>1</v>
      </c>
      <c r="K292" s="31">
        <v>0.22</v>
      </c>
      <c r="L292" s="31" t="str" cm="1">
        <f t="array" ref="L292">_xlfn.IFS(K292&lt;0.15,"Cold",K292&lt;0.25,"Mild",K292&lt;=0.32,"Warm",K292&gt;=0.33,"Hot")</f>
        <v>Mild</v>
      </c>
      <c r="M292" s="36">
        <v>0.19700000000000001</v>
      </c>
      <c r="N292" s="36">
        <v>0.41</v>
      </c>
      <c r="O292" s="36" t="str" cm="1">
        <f t="array" ref="O292">_xlfn.IFS(N292&gt;0.61, "High Humidity", N292&gt;=0.6, "Humid", N292&gt;0.4, "Less Humidity", TRUE, "Dry")</f>
        <v>Less Humidity</v>
      </c>
      <c r="P292" s="36">
        <v>0.44779999999999998</v>
      </c>
      <c r="Q292" s="36" t="str" cm="1">
        <f t="array" ref="Q292">_xlfn.IFS(P292&lt;=0.2,"Low Windspeed",P292&lt;0.4,"Medium Windspeed",P292&gt;=0.41,"High Windspeed")</f>
        <v>High Windspeed</v>
      </c>
      <c r="R292" s="36">
        <v>2</v>
      </c>
      <c r="S292" s="36">
        <v>81</v>
      </c>
      <c r="T292" s="37">
        <v>83</v>
      </c>
      <c r="U292" s="39" t="str" cm="1">
        <f t="array" ref="U292">_xlfn.IFS(T292&lt;=70,"Low",T292&lt;=160,"Medium",T292&gt;=161,"High")</f>
        <v>Medium</v>
      </c>
    </row>
    <row r="293" spans="1:21" x14ac:dyDescent="0.25">
      <c r="A293" s="33">
        <v>292</v>
      </c>
      <c r="B293" s="34">
        <v>40556</v>
      </c>
      <c r="C293" s="35">
        <v>1</v>
      </c>
      <c r="D293" s="35">
        <v>0</v>
      </c>
      <c r="E293" s="35">
        <v>1</v>
      </c>
      <c r="F293" s="35">
        <v>14</v>
      </c>
      <c r="G293" s="35" t="str" cm="1">
        <f t="array" ref="G293">_xlfn.IFS(F293&lt;4,"Night",F293&lt;=6,"Early Morning",F293&lt;11,"Morning",F293&lt;12,"Afternoon",F293&lt;=16,"Afternoon",F293&lt;=20,"Evening",F293&gt;=21,"Night")</f>
        <v>Afternoon</v>
      </c>
      <c r="H293" s="35" t="b">
        <v>0</v>
      </c>
      <c r="I293" s="35">
        <v>4</v>
      </c>
      <c r="J293" s="35">
        <v>1</v>
      </c>
      <c r="K293" s="31">
        <v>0.22</v>
      </c>
      <c r="L293" s="31" t="str" cm="1">
        <f t="array" ref="L293">_xlfn.IFS(K293&lt;0.15,"Cold",K293&lt;0.25,"Mild",K293&lt;=0.32,"Warm",K293&gt;=0.33,"Hot")</f>
        <v>Mild</v>
      </c>
      <c r="M293" s="36">
        <v>0.19700000000000001</v>
      </c>
      <c r="N293" s="36">
        <v>0.41</v>
      </c>
      <c r="O293" s="36" t="str" cm="1">
        <f t="array" ref="O293">_xlfn.IFS(N293&gt;0.61, "High Humidity", N293&gt;=0.6, "Humid", N293&gt;0.4, "Less Humidity", TRUE, "Dry")</f>
        <v>Less Humidity</v>
      </c>
      <c r="P293" s="36">
        <v>0.3881</v>
      </c>
      <c r="Q293" s="36" t="str" cm="1">
        <f t="array" ref="Q293">_xlfn.IFS(P293&lt;=0.2,"Low Windspeed",P293&lt;0.4,"Medium Windspeed",P293&gt;=0.41,"High Windspeed")</f>
        <v>Medium Windspeed</v>
      </c>
      <c r="R293" s="36">
        <v>3</v>
      </c>
      <c r="S293" s="36">
        <v>39</v>
      </c>
      <c r="T293" s="37">
        <v>42</v>
      </c>
      <c r="U293" s="39" t="str" cm="1">
        <f t="array" ref="U293">_xlfn.IFS(T293&lt;=70,"Low",T293&lt;=160,"Medium",T293&gt;=161,"High")</f>
        <v>Low</v>
      </c>
    </row>
    <row r="294" spans="1:21" x14ac:dyDescent="0.25">
      <c r="A294" s="33">
        <v>293</v>
      </c>
      <c r="B294" s="34">
        <v>40556</v>
      </c>
      <c r="C294" s="35">
        <v>1</v>
      </c>
      <c r="D294" s="35">
        <v>0</v>
      </c>
      <c r="E294" s="35">
        <v>1</v>
      </c>
      <c r="F294" s="35">
        <v>15</v>
      </c>
      <c r="G294" s="35" t="str" cm="1">
        <f t="array" ref="G294">_xlfn.IFS(F294&lt;4,"Night",F294&lt;=6,"Early Morning",F294&lt;11,"Morning",F294&lt;12,"Afternoon",F294&lt;=16,"Afternoon",F294&lt;=20,"Evening",F294&gt;=21,"Night")</f>
        <v>Afternoon</v>
      </c>
      <c r="H294" s="35" t="b">
        <v>0</v>
      </c>
      <c r="I294" s="35">
        <v>4</v>
      </c>
      <c r="J294" s="35">
        <v>1</v>
      </c>
      <c r="K294" s="31">
        <v>0.24</v>
      </c>
      <c r="L294" s="31" t="str" cm="1">
        <f t="array" ref="L294">_xlfn.IFS(K294&lt;0.15,"Cold",K294&lt;0.25,"Mild",K294&lt;=0.32,"Warm",K294&gt;=0.33,"Hot")</f>
        <v>Mild</v>
      </c>
      <c r="M294" s="36">
        <v>0.21210000000000001</v>
      </c>
      <c r="N294" s="36">
        <v>0.38</v>
      </c>
      <c r="O294" s="36" t="str" cm="1">
        <f t="array" ref="O294">_xlfn.IFS(N294&gt;0.61, "High Humidity", N294&gt;=0.6, "Humid", N294&gt;0.4, "Less Humidity", TRUE, "Dry")</f>
        <v>Dry</v>
      </c>
      <c r="P294" s="36">
        <v>0.29849999999999999</v>
      </c>
      <c r="Q294" s="36" t="str" cm="1">
        <f t="array" ref="Q294">_xlfn.IFS(P294&lt;=0.2,"Low Windspeed",P294&lt;0.4,"Medium Windspeed",P294&gt;=0.41,"High Windspeed")</f>
        <v>Medium Windspeed</v>
      </c>
      <c r="R294" s="36">
        <v>5</v>
      </c>
      <c r="S294" s="36">
        <v>55</v>
      </c>
      <c r="T294" s="37">
        <v>60</v>
      </c>
      <c r="U294" s="39" t="str" cm="1">
        <f t="array" ref="U294">_xlfn.IFS(T294&lt;=70,"Low",T294&lt;=160,"Medium",T294&gt;=161,"High")</f>
        <v>Low</v>
      </c>
    </row>
    <row r="295" spans="1:21" x14ac:dyDescent="0.25">
      <c r="A295" s="33">
        <v>294</v>
      </c>
      <c r="B295" s="34">
        <v>40556</v>
      </c>
      <c r="C295" s="35">
        <v>1</v>
      </c>
      <c r="D295" s="35">
        <v>0</v>
      </c>
      <c r="E295" s="35">
        <v>1</v>
      </c>
      <c r="F295" s="35">
        <v>16</v>
      </c>
      <c r="G295" s="35" t="str" cm="1">
        <f t="array" ref="G295">_xlfn.IFS(F295&lt;4,"Night",F295&lt;=6,"Early Morning",F295&lt;11,"Morning",F295&lt;12,"Afternoon",F295&lt;=16,"Afternoon",F295&lt;=20,"Evening",F295&gt;=21,"Night")</f>
        <v>Afternoon</v>
      </c>
      <c r="H295" s="35" t="b">
        <v>0</v>
      </c>
      <c r="I295" s="35">
        <v>4</v>
      </c>
      <c r="J295" s="35">
        <v>1</v>
      </c>
      <c r="K295" s="31">
        <v>0.24</v>
      </c>
      <c r="L295" s="31" t="str" cm="1">
        <f t="array" ref="L295">_xlfn.IFS(K295&lt;0.15,"Cold",K295&lt;0.25,"Mild",K295&lt;=0.32,"Warm",K295&gt;=0.33,"Hot")</f>
        <v>Mild</v>
      </c>
      <c r="M295" s="36">
        <v>0.21210000000000001</v>
      </c>
      <c r="N295" s="36">
        <v>0.38</v>
      </c>
      <c r="O295" s="36" t="str" cm="1">
        <f t="array" ref="O295">_xlfn.IFS(N295&gt;0.61, "High Humidity", N295&gt;=0.6, "Humid", N295&gt;0.4, "Less Humidity", TRUE, "Dry")</f>
        <v>Dry</v>
      </c>
      <c r="P295" s="36">
        <v>0.35820000000000002</v>
      </c>
      <c r="Q295" s="36" t="str" cm="1">
        <f t="array" ref="Q295">_xlfn.IFS(P295&lt;=0.2,"Low Windspeed",P295&lt;0.4,"Medium Windspeed",P295&gt;=0.41,"High Windspeed")</f>
        <v>Medium Windspeed</v>
      </c>
      <c r="R295" s="36">
        <v>2</v>
      </c>
      <c r="S295" s="36">
        <v>76</v>
      </c>
      <c r="T295" s="37">
        <v>78</v>
      </c>
      <c r="U295" s="39" t="str" cm="1">
        <f t="array" ref="U295">_xlfn.IFS(T295&lt;=70,"Low",T295&lt;=160,"Medium",T295&gt;=161,"High")</f>
        <v>Medium</v>
      </c>
    </row>
    <row r="296" spans="1:21" x14ac:dyDescent="0.25">
      <c r="A296" s="33">
        <v>295</v>
      </c>
      <c r="B296" s="34">
        <v>40556</v>
      </c>
      <c r="C296" s="35">
        <v>1</v>
      </c>
      <c r="D296" s="35">
        <v>0</v>
      </c>
      <c r="E296" s="35">
        <v>1</v>
      </c>
      <c r="F296" s="35">
        <v>17</v>
      </c>
      <c r="G296" s="35" t="str" cm="1">
        <f t="array" ref="G296">_xlfn.IFS(F296&lt;4,"Night",F296&lt;=6,"Early Morning",F296&lt;11,"Morning",F296&lt;12,"Afternoon",F296&lt;=16,"Afternoon",F296&lt;=20,"Evening",F296&gt;=21,"Night")</f>
        <v>Evening</v>
      </c>
      <c r="H296" s="35" t="b">
        <v>0</v>
      </c>
      <c r="I296" s="35">
        <v>4</v>
      </c>
      <c r="J296" s="35">
        <v>1</v>
      </c>
      <c r="K296" s="31">
        <v>0.2</v>
      </c>
      <c r="L296" s="31" t="str" cm="1">
        <f t="array" ref="L296">_xlfn.IFS(K296&lt;0.15,"Cold",K296&lt;0.25,"Mild",K296&lt;=0.32,"Warm",K296&gt;=0.33,"Hot")</f>
        <v>Mild</v>
      </c>
      <c r="M296" s="36">
        <v>0.18179999999999999</v>
      </c>
      <c r="N296" s="36">
        <v>0.4</v>
      </c>
      <c r="O296" s="36" t="str" cm="1">
        <f t="array" ref="O296">_xlfn.IFS(N296&gt;0.61, "High Humidity", N296&gt;=0.6, "Humid", N296&gt;0.4, "Less Humidity", TRUE, "Dry")</f>
        <v>Dry</v>
      </c>
      <c r="P296" s="36">
        <v>0.28360000000000002</v>
      </c>
      <c r="Q296" s="36" t="str" cm="1">
        <f t="array" ref="Q296">_xlfn.IFS(P296&lt;=0.2,"Low Windspeed",P296&lt;0.4,"Medium Windspeed",P296&gt;=0.41,"High Windspeed")</f>
        <v>Medium Windspeed</v>
      </c>
      <c r="R296" s="36">
        <v>4</v>
      </c>
      <c r="S296" s="36">
        <v>158</v>
      </c>
      <c r="T296" s="37">
        <v>162</v>
      </c>
      <c r="U296" s="39" t="str" cm="1">
        <f t="array" ref="U296">_xlfn.IFS(T296&lt;=70,"Low",T296&lt;=160,"Medium",T296&gt;=161,"High")</f>
        <v>High</v>
      </c>
    </row>
    <row r="297" spans="1:21" x14ac:dyDescent="0.25">
      <c r="A297" s="33">
        <v>296</v>
      </c>
      <c r="B297" s="34">
        <v>40556</v>
      </c>
      <c r="C297" s="35">
        <v>1</v>
      </c>
      <c r="D297" s="35">
        <v>0</v>
      </c>
      <c r="E297" s="35">
        <v>1</v>
      </c>
      <c r="F297" s="35">
        <v>18</v>
      </c>
      <c r="G297" s="35" t="str" cm="1">
        <f t="array" ref="G297">_xlfn.IFS(F297&lt;4,"Night",F297&lt;=6,"Early Morning",F297&lt;11,"Morning",F297&lt;12,"Afternoon",F297&lt;=16,"Afternoon",F297&lt;=20,"Evening",F297&gt;=21,"Night")</f>
        <v>Evening</v>
      </c>
      <c r="H297" s="35" t="b">
        <v>0</v>
      </c>
      <c r="I297" s="35">
        <v>4</v>
      </c>
      <c r="J297" s="35">
        <v>1</v>
      </c>
      <c r="K297" s="31">
        <v>0.2</v>
      </c>
      <c r="L297" s="31" t="str" cm="1">
        <f t="array" ref="L297">_xlfn.IFS(K297&lt;0.15,"Cold",K297&lt;0.25,"Mild",K297&lt;=0.32,"Warm",K297&gt;=0.33,"Hot")</f>
        <v>Mild</v>
      </c>
      <c r="M297" s="36">
        <v>0.18179999999999999</v>
      </c>
      <c r="N297" s="36">
        <v>0.4</v>
      </c>
      <c r="O297" s="36" t="str" cm="1">
        <f t="array" ref="O297">_xlfn.IFS(N297&gt;0.61, "High Humidity", N297&gt;=0.6, "Humid", N297&gt;0.4, "Less Humidity", TRUE, "Dry")</f>
        <v>Dry</v>
      </c>
      <c r="P297" s="36">
        <v>0.32840000000000003</v>
      </c>
      <c r="Q297" s="36" t="str" cm="1">
        <f t="array" ref="Q297">_xlfn.IFS(P297&lt;=0.2,"Low Windspeed",P297&lt;0.4,"Medium Windspeed",P297&gt;=0.41,"High Windspeed")</f>
        <v>Medium Windspeed</v>
      </c>
      <c r="R297" s="36">
        <v>3</v>
      </c>
      <c r="S297" s="36">
        <v>141</v>
      </c>
      <c r="T297" s="37">
        <v>144</v>
      </c>
      <c r="U297" s="39" t="str" cm="1">
        <f t="array" ref="U297">_xlfn.IFS(T297&lt;=70,"Low",T297&lt;=160,"Medium",T297&gt;=161,"High")</f>
        <v>Medium</v>
      </c>
    </row>
    <row r="298" spans="1:21" x14ac:dyDescent="0.25">
      <c r="A298" s="33">
        <v>297</v>
      </c>
      <c r="B298" s="34">
        <v>40556</v>
      </c>
      <c r="C298" s="35">
        <v>1</v>
      </c>
      <c r="D298" s="35">
        <v>0</v>
      </c>
      <c r="E298" s="35">
        <v>1</v>
      </c>
      <c r="F298" s="35">
        <v>19</v>
      </c>
      <c r="G298" s="35" t="str" cm="1">
        <f t="array" ref="G298">_xlfn.IFS(F298&lt;4,"Night",F298&lt;=6,"Early Morning",F298&lt;11,"Morning",F298&lt;12,"Afternoon",F298&lt;=16,"Afternoon",F298&lt;=20,"Evening",F298&gt;=21,"Night")</f>
        <v>Evening</v>
      </c>
      <c r="H298" s="35" t="b">
        <v>0</v>
      </c>
      <c r="I298" s="35">
        <v>4</v>
      </c>
      <c r="J298" s="35">
        <v>1</v>
      </c>
      <c r="K298" s="31">
        <v>0.16</v>
      </c>
      <c r="L298" s="31" t="str" cm="1">
        <f t="array" ref="L298">_xlfn.IFS(K298&lt;0.15,"Cold",K298&lt;0.25,"Mild",K298&lt;=0.32,"Warm",K298&gt;=0.33,"Hot")</f>
        <v>Mild</v>
      </c>
      <c r="M298" s="36">
        <v>0.1515</v>
      </c>
      <c r="N298" s="36">
        <v>0.47</v>
      </c>
      <c r="O298" s="36" t="str" cm="1">
        <f t="array" ref="O298">_xlfn.IFS(N298&gt;0.61, "High Humidity", N298&gt;=0.6, "Humid", N298&gt;0.4, "Less Humidity", TRUE, "Dry")</f>
        <v>Less Humidity</v>
      </c>
      <c r="P298" s="36">
        <v>0.25369999999999998</v>
      </c>
      <c r="Q298" s="36" t="str" cm="1">
        <f t="array" ref="Q298">_xlfn.IFS(P298&lt;=0.2,"Low Windspeed",P298&lt;0.4,"Medium Windspeed",P298&gt;=0.41,"High Windspeed")</f>
        <v>Medium Windspeed</v>
      </c>
      <c r="R298" s="36">
        <v>1</v>
      </c>
      <c r="S298" s="36">
        <v>98</v>
      </c>
      <c r="T298" s="37">
        <v>99</v>
      </c>
      <c r="U298" s="39" t="str" cm="1">
        <f t="array" ref="U298">_xlfn.IFS(T298&lt;=70,"Low",T298&lt;=160,"Medium",T298&gt;=161,"High")</f>
        <v>Medium</v>
      </c>
    </row>
    <row r="299" spans="1:21" x14ac:dyDescent="0.25">
      <c r="A299" s="33">
        <v>298</v>
      </c>
      <c r="B299" s="34">
        <v>40556</v>
      </c>
      <c r="C299" s="35">
        <v>1</v>
      </c>
      <c r="D299" s="35">
        <v>0</v>
      </c>
      <c r="E299" s="35">
        <v>1</v>
      </c>
      <c r="F299" s="35">
        <v>20</v>
      </c>
      <c r="G299" s="35" t="str" cm="1">
        <f t="array" ref="G299">_xlfn.IFS(F299&lt;4,"Night",F299&lt;=6,"Early Morning",F299&lt;11,"Morning",F299&lt;12,"Afternoon",F299&lt;=16,"Afternoon",F299&lt;=20,"Evening",F299&gt;=21,"Night")</f>
        <v>Evening</v>
      </c>
      <c r="H299" s="35" t="b">
        <v>0</v>
      </c>
      <c r="I299" s="35">
        <v>4</v>
      </c>
      <c r="J299" s="35">
        <v>1</v>
      </c>
      <c r="K299" s="31">
        <v>0.16</v>
      </c>
      <c r="L299" s="31" t="str" cm="1">
        <f t="array" ref="L299">_xlfn.IFS(K299&lt;0.15,"Cold",K299&lt;0.25,"Mild",K299&lt;=0.32,"Warm",K299&gt;=0.33,"Hot")</f>
        <v>Mild</v>
      </c>
      <c r="M299" s="36">
        <v>0.1515</v>
      </c>
      <c r="N299" s="36">
        <v>0.47</v>
      </c>
      <c r="O299" s="36" t="str" cm="1">
        <f t="array" ref="O299">_xlfn.IFS(N299&gt;0.61, "High Humidity", N299&gt;=0.6, "Humid", N299&gt;0.4, "Less Humidity", TRUE, "Dry")</f>
        <v>Less Humidity</v>
      </c>
      <c r="P299" s="36">
        <v>0.22389999999999999</v>
      </c>
      <c r="Q299" s="36" t="str" cm="1">
        <f t="array" ref="Q299">_xlfn.IFS(P299&lt;=0.2,"Low Windspeed",P299&lt;0.4,"Medium Windspeed",P299&gt;=0.41,"High Windspeed")</f>
        <v>Medium Windspeed</v>
      </c>
      <c r="R299" s="36">
        <v>0</v>
      </c>
      <c r="S299" s="36">
        <v>64</v>
      </c>
      <c r="T299" s="37">
        <v>64</v>
      </c>
      <c r="U299" s="39" t="str" cm="1">
        <f t="array" ref="U299">_xlfn.IFS(T299&lt;=70,"Low",T299&lt;=160,"Medium",T299&gt;=161,"High")</f>
        <v>Low</v>
      </c>
    </row>
    <row r="300" spans="1:21" x14ac:dyDescent="0.25">
      <c r="A300" s="33">
        <v>299</v>
      </c>
      <c r="B300" s="34">
        <v>40556</v>
      </c>
      <c r="C300" s="35">
        <v>1</v>
      </c>
      <c r="D300" s="35">
        <v>0</v>
      </c>
      <c r="E300" s="35">
        <v>1</v>
      </c>
      <c r="F300" s="35">
        <v>21</v>
      </c>
      <c r="G300" s="35" t="str" cm="1">
        <f t="array" ref="G300">_xlfn.IFS(F300&lt;4,"Night",F300&lt;=6,"Early Morning",F300&lt;11,"Morning",F300&lt;12,"Afternoon",F300&lt;=16,"Afternoon",F300&lt;=20,"Evening",F300&gt;=21,"Night")</f>
        <v>Night</v>
      </c>
      <c r="H300" s="35" t="b">
        <v>0</v>
      </c>
      <c r="I300" s="35">
        <v>4</v>
      </c>
      <c r="J300" s="35">
        <v>1</v>
      </c>
      <c r="K300" s="31">
        <v>0.14000000000000001</v>
      </c>
      <c r="L300" s="31" t="str" cm="1">
        <f t="array" ref="L300">_xlfn.IFS(K300&lt;0.15,"Cold",K300&lt;0.25,"Mild",K300&lt;=0.32,"Warm",K300&gt;=0.33,"Hot")</f>
        <v>Cold</v>
      </c>
      <c r="M300" s="36">
        <v>0.1212</v>
      </c>
      <c r="N300" s="36">
        <v>0.46</v>
      </c>
      <c r="O300" s="36" t="str" cm="1">
        <f t="array" ref="O300">_xlfn.IFS(N300&gt;0.61, "High Humidity", N300&gt;=0.6, "Humid", N300&gt;0.4, "Less Humidity", TRUE, "Dry")</f>
        <v>Less Humidity</v>
      </c>
      <c r="P300" s="36">
        <v>0.29849999999999999</v>
      </c>
      <c r="Q300" s="36" t="str" cm="1">
        <f t="array" ref="Q300">_xlfn.IFS(P300&lt;=0.2,"Low Windspeed",P300&lt;0.4,"Medium Windspeed",P300&gt;=0.41,"High Windspeed")</f>
        <v>Medium Windspeed</v>
      </c>
      <c r="R300" s="36">
        <v>0</v>
      </c>
      <c r="S300" s="36">
        <v>40</v>
      </c>
      <c r="T300" s="37">
        <v>40</v>
      </c>
      <c r="U300" s="39" t="str" cm="1">
        <f t="array" ref="U300">_xlfn.IFS(T300&lt;=70,"Low",T300&lt;=160,"Medium",T300&gt;=161,"High")</f>
        <v>Low</v>
      </c>
    </row>
    <row r="301" spans="1:21" x14ac:dyDescent="0.25">
      <c r="A301" s="33">
        <v>300</v>
      </c>
      <c r="B301" s="34">
        <v>40556</v>
      </c>
      <c r="C301" s="35">
        <v>1</v>
      </c>
      <c r="D301" s="35">
        <v>0</v>
      </c>
      <c r="E301" s="35">
        <v>1</v>
      </c>
      <c r="F301" s="35">
        <v>22</v>
      </c>
      <c r="G301" s="35" t="str" cm="1">
        <f t="array" ref="G301">_xlfn.IFS(F301&lt;4,"Night",F301&lt;=6,"Early Morning",F301&lt;11,"Morning",F301&lt;12,"Afternoon",F301&lt;=16,"Afternoon",F301&lt;=20,"Evening",F301&gt;=21,"Night")</f>
        <v>Night</v>
      </c>
      <c r="H301" s="35" t="b">
        <v>0</v>
      </c>
      <c r="I301" s="35">
        <v>4</v>
      </c>
      <c r="J301" s="35">
        <v>1</v>
      </c>
      <c r="K301" s="31">
        <v>0.14000000000000001</v>
      </c>
      <c r="L301" s="31" t="str" cm="1">
        <f t="array" ref="L301">_xlfn.IFS(K301&lt;0.15,"Cold",K301&lt;0.25,"Mild",K301&lt;=0.32,"Warm",K301&gt;=0.33,"Hot")</f>
        <v>Cold</v>
      </c>
      <c r="M301" s="36">
        <v>0.1212</v>
      </c>
      <c r="N301" s="36">
        <v>0.46</v>
      </c>
      <c r="O301" s="36" t="str" cm="1">
        <f t="array" ref="O301">_xlfn.IFS(N301&gt;0.61, "High Humidity", N301&gt;=0.6, "Humid", N301&gt;0.4, "Less Humidity", TRUE, "Dry")</f>
        <v>Less Humidity</v>
      </c>
      <c r="P301" s="36">
        <v>0.32840000000000003</v>
      </c>
      <c r="Q301" s="36" t="str" cm="1">
        <f t="array" ref="Q301">_xlfn.IFS(P301&lt;=0.2,"Low Windspeed",P301&lt;0.4,"Medium Windspeed",P301&gt;=0.41,"High Windspeed")</f>
        <v>Medium Windspeed</v>
      </c>
      <c r="R301" s="36">
        <v>0</v>
      </c>
      <c r="S301" s="36">
        <v>30</v>
      </c>
      <c r="T301" s="37">
        <v>30</v>
      </c>
      <c r="U301" s="39" t="str" cm="1">
        <f t="array" ref="U301">_xlfn.IFS(T301&lt;=70,"Low",T301&lt;=160,"Medium",T301&gt;=161,"High")</f>
        <v>Low</v>
      </c>
    </row>
    <row r="302" spans="1:21" x14ac:dyDescent="0.25">
      <c r="A302" s="33">
        <v>301</v>
      </c>
      <c r="B302" s="34">
        <v>40556</v>
      </c>
      <c r="C302" s="35">
        <v>1</v>
      </c>
      <c r="D302" s="35">
        <v>0</v>
      </c>
      <c r="E302" s="35">
        <v>1</v>
      </c>
      <c r="F302" s="35">
        <v>23</v>
      </c>
      <c r="G302" s="35" t="str" cm="1">
        <f t="array" ref="G302">_xlfn.IFS(F302&lt;4,"Night",F302&lt;=6,"Early Morning",F302&lt;11,"Morning",F302&lt;12,"Afternoon",F302&lt;=16,"Afternoon",F302&lt;=20,"Evening",F302&gt;=21,"Night")</f>
        <v>Night</v>
      </c>
      <c r="H302" s="35" t="b">
        <v>0</v>
      </c>
      <c r="I302" s="35">
        <v>4</v>
      </c>
      <c r="J302" s="35">
        <v>1</v>
      </c>
      <c r="K302" s="31">
        <v>0.12</v>
      </c>
      <c r="L302" s="31" t="str" cm="1">
        <f t="array" ref="L302">_xlfn.IFS(K302&lt;0.15,"Cold",K302&lt;0.25,"Mild",K302&lt;=0.32,"Warm",K302&gt;=0.33,"Hot")</f>
        <v>Cold</v>
      </c>
      <c r="M302" s="36">
        <v>0.13639999999999999</v>
      </c>
      <c r="N302" s="36">
        <v>0.5</v>
      </c>
      <c r="O302" s="36" t="str" cm="1">
        <f t="array" ref="O302">_xlfn.IFS(N302&gt;0.61, "High Humidity", N302&gt;=0.6, "Humid", N302&gt;0.4, "Less Humidity", TRUE, "Dry")</f>
        <v>Less Humidity</v>
      </c>
      <c r="P302" s="36">
        <v>0.19400000000000001</v>
      </c>
      <c r="Q302" s="36" t="str" cm="1">
        <f t="array" ref="Q302">_xlfn.IFS(P302&lt;=0.2,"Low Windspeed",P302&lt;0.4,"Medium Windspeed",P302&gt;=0.41,"High Windspeed")</f>
        <v>Low Windspeed</v>
      </c>
      <c r="R302" s="36">
        <v>1</v>
      </c>
      <c r="S302" s="36">
        <v>14</v>
      </c>
      <c r="T302" s="37">
        <v>15</v>
      </c>
      <c r="U302" s="39" t="str" cm="1">
        <f t="array" ref="U302">_xlfn.IFS(T302&lt;=70,"Low",T302&lt;=160,"Medium",T302&gt;=161,"High")</f>
        <v>Low</v>
      </c>
    </row>
    <row r="303" spans="1:21" x14ac:dyDescent="0.25">
      <c r="A303" s="33">
        <v>302</v>
      </c>
      <c r="B303" s="34">
        <v>40557</v>
      </c>
      <c r="C303" s="35">
        <v>1</v>
      </c>
      <c r="D303" s="35">
        <v>0</v>
      </c>
      <c r="E303" s="35">
        <v>1</v>
      </c>
      <c r="F303" s="35">
        <v>0</v>
      </c>
      <c r="G303" s="35" t="str" cm="1">
        <f t="array" ref="G303">_xlfn.IFS(F303&lt;4,"Night",F303&lt;=6,"Early Morning",F303&lt;11,"Morning",F303&lt;12,"Afternoon",F303&lt;=16,"Afternoon",F303&lt;=20,"Evening",F303&gt;=21,"Night")</f>
        <v>Night</v>
      </c>
      <c r="H303" s="35" t="b">
        <v>0</v>
      </c>
      <c r="I303" s="35">
        <v>5</v>
      </c>
      <c r="J303" s="35">
        <v>1</v>
      </c>
      <c r="K303" s="31">
        <v>0.12</v>
      </c>
      <c r="L303" s="31" t="str" cm="1">
        <f t="array" ref="L303">_xlfn.IFS(K303&lt;0.15,"Cold",K303&lt;0.25,"Mild",K303&lt;=0.32,"Warm",K303&gt;=0.33,"Hot")</f>
        <v>Cold</v>
      </c>
      <c r="M303" s="36">
        <v>0.13639999999999999</v>
      </c>
      <c r="N303" s="36">
        <v>0.5</v>
      </c>
      <c r="O303" s="36" t="str" cm="1">
        <f t="array" ref="O303">_xlfn.IFS(N303&gt;0.61, "High Humidity", N303&gt;=0.6, "Humid", N303&gt;0.4, "Less Humidity", TRUE, "Dry")</f>
        <v>Less Humidity</v>
      </c>
      <c r="P303" s="36">
        <v>0.19400000000000001</v>
      </c>
      <c r="Q303" s="36" t="str" cm="1">
        <f t="array" ref="Q303">_xlfn.IFS(P303&lt;=0.2,"Low Windspeed",P303&lt;0.4,"Medium Windspeed",P303&gt;=0.41,"High Windspeed")</f>
        <v>Low Windspeed</v>
      </c>
      <c r="R303" s="36">
        <v>0</v>
      </c>
      <c r="S303" s="36">
        <v>14</v>
      </c>
      <c r="T303" s="37">
        <v>14</v>
      </c>
      <c r="U303" s="39" t="str" cm="1">
        <f t="array" ref="U303">_xlfn.IFS(T303&lt;=70,"Low",T303&lt;=160,"Medium",T303&gt;=161,"High")</f>
        <v>Low</v>
      </c>
    </row>
    <row r="304" spans="1:21" x14ac:dyDescent="0.25">
      <c r="A304" s="33">
        <v>303</v>
      </c>
      <c r="B304" s="34">
        <v>40557</v>
      </c>
      <c r="C304" s="35">
        <v>1</v>
      </c>
      <c r="D304" s="35">
        <v>0</v>
      </c>
      <c r="E304" s="35">
        <v>1</v>
      </c>
      <c r="F304" s="35">
        <v>1</v>
      </c>
      <c r="G304" s="35" t="str" cm="1">
        <f t="array" ref="G304">_xlfn.IFS(F304&lt;4,"Night",F304&lt;=6,"Early Morning",F304&lt;11,"Morning",F304&lt;12,"Afternoon",F304&lt;=16,"Afternoon",F304&lt;=20,"Evening",F304&gt;=21,"Night")</f>
        <v>Night</v>
      </c>
      <c r="H304" s="35" t="b">
        <v>0</v>
      </c>
      <c r="I304" s="35">
        <v>5</v>
      </c>
      <c r="J304" s="35">
        <v>1</v>
      </c>
      <c r="K304" s="31">
        <v>0.1</v>
      </c>
      <c r="L304" s="31" t="str" cm="1">
        <f t="array" ref="L304">_xlfn.IFS(K304&lt;0.15,"Cold",K304&lt;0.25,"Mild",K304&lt;=0.32,"Warm",K304&gt;=0.33,"Hot")</f>
        <v>Cold</v>
      </c>
      <c r="M304" s="36">
        <v>0.1212</v>
      </c>
      <c r="N304" s="36">
        <v>0.54</v>
      </c>
      <c r="O304" s="36" t="str" cm="1">
        <f t="array" ref="O304">_xlfn.IFS(N304&gt;0.61, "High Humidity", N304&gt;=0.6, "Humid", N304&gt;0.4, "Less Humidity", TRUE, "Dry")</f>
        <v>Less Humidity</v>
      </c>
      <c r="P304" s="36">
        <v>0.16420000000000001</v>
      </c>
      <c r="Q304" s="36" t="str" cm="1">
        <f t="array" ref="Q304">_xlfn.IFS(P304&lt;=0.2,"Low Windspeed",P304&lt;0.4,"Medium Windspeed",P304&gt;=0.41,"High Windspeed")</f>
        <v>Low Windspeed</v>
      </c>
      <c r="R304" s="36">
        <v>0</v>
      </c>
      <c r="S304" s="36">
        <v>5</v>
      </c>
      <c r="T304" s="37">
        <v>5</v>
      </c>
      <c r="U304" s="39" t="str" cm="1">
        <f t="array" ref="U304">_xlfn.IFS(T304&lt;=70,"Low",T304&lt;=160,"Medium",T304&gt;=161,"High")</f>
        <v>Low</v>
      </c>
    </row>
    <row r="305" spans="1:21" x14ac:dyDescent="0.25">
      <c r="A305" s="33">
        <v>304</v>
      </c>
      <c r="B305" s="34">
        <v>40557</v>
      </c>
      <c r="C305" s="35">
        <v>1</v>
      </c>
      <c r="D305" s="35">
        <v>0</v>
      </c>
      <c r="E305" s="35">
        <v>1</v>
      </c>
      <c r="F305" s="35">
        <v>2</v>
      </c>
      <c r="G305" s="35" t="str" cm="1">
        <f t="array" ref="G305">_xlfn.IFS(F305&lt;4,"Night",F305&lt;=6,"Early Morning",F305&lt;11,"Morning",F305&lt;12,"Afternoon",F305&lt;=16,"Afternoon",F305&lt;=20,"Evening",F305&gt;=21,"Night")</f>
        <v>Night</v>
      </c>
      <c r="H305" s="35" t="b">
        <v>0</v>
      </c>
      <c r="I305" s="35">
        <v>5</v>
      </c>
      <c r="J305" s="35">
        <v>1</v>
      </c>
      <c r="K305" s="31">
        <v>0.1</v>
      </c>
      <c r="L305" s="31" t="str" cm="1">
        <f t="array" ref="L305">_xlfn.IFS(K305&lt;0.15,"Cold",K305&lt;0.25,"Mild",K305&lt;=0.32,"Warm",K305&gt;=0.33,"Hot")</f>
        <v>Cold</v>
      </c>
      <c r="M305" s="36">
        <v>0.1212</v>
      </c>
      <c r="N305" s="36">
        <v>0.54</v>
      </c>
      <c r="O305" s="36" t="str" cm="1">
        <f t="array" ref="O305">_xlfn.IFS(N305&gt;0.61, "High Humidity", N305&gt;=0.6, "Humid", N305&gt;0.4, "Less Humidity", TRUE, "Dry")</f>
        <v>Less Humidity</v>
      </c>
      <c r="P305" s="36">
        <v>0.1343</v>
      </c>
      <c r="Q305" s="36" t="str" cm="1">
        <f t="array" ref="Q305">_xlfn.IFS(P305&lt;=0.2,"Low Windspeed",P305&lt;0.4,"Medium Windspeed",P305&gt;=0.41,"High Windspeed")</f>
        <v>Low Windspeed</v>
      </c>
      <c r="R305" s="36">
        <v>0</v>
      </c>
      <c r="S305" s="36">
        <v>1</v>
      </c>
      <c r="T305" s="37">
        <v>1</v>
      </c>
      <c r="U305" s="39" t="str" cm="1">
        <f t="array" ref="U305">_xlfn.IFS(T305&lt;=70,"Low",T305&lt;=160,"Medium",T305&gt;=161,"High")</f>
        <v>Low</v>
      </c>
    </row>
    <row r="306" spans="1:21" x14ac:dyDescent="0.25">
      <c r="A306" s="33">
        <v>305</v>
      </c>
      <c r="B306" s="34">
        <v>40557</v>
      </c>
      <c r="C306" s="35">
        <v>1</v>
      </c>
      <c r="D306" s="35">
        <v>0</v>
      </c>
      <c r="E306" s="35">
        <v>1</v>
      </c>
      <c r="F306" s="35">
        <v>3</v>
      </c>
      <c r="G306" s="35" t="str" cm="1">
        <f t="array" ref="G306">_xlfn.IFS(F306&lt;4,"Night",F306&lt;=6,"Early Morning",F306&lt;11,"Morning",F306&lt;12,"Afternoon",F306&lt;=16,"Afternoon",F306&lt;=20,"Evening",F306&gt;=21,"Night")</f>
        <v>Night</v>
      </c>
      <c r="H306" s="35" t="b">
        <v>0</v>
      </c>
      <c r="I306" s="35">
        <v>5</v>
      </c>
      <c r="J306" s="35">
        <v>1</v>
      </c>
      <c r="K306" s="31">
        <v>0.1</v>
      </c>
      <c r="L306" s="31" t="str" cm="1">
        <f t="array" ref="L306">_xlfn.IFS(K306&lt;0.15,"Cold",K306&lt;0.25,"Mild",K306&lt;=0.32,"Warm",K306&gt;=0.33,"Hot")</f>
        <v>Cold</v>
      </c>
      <c r="M306" s="36">
        <v>0.13639999999999999</v>
      </c>
      <c r="N306" s="36">
        <v>0.54</v>
      </c>
      <c r="O306" s="36" t="str" cm="1">
        <f t="array" ref="O306">_xlfn.IFS(N306&gt;0.61, "High Humidity", N306&gt;=0.6, "Humid", N306&gt;0.4, "Less Humidity", TRUE, "Dry")</f>
        <v>Less Humidity</v>
      </c>
      <c r="P306" s="36">
        <v>0.1045</v>
      </c>
      <c r="Q306" s="36" t="str" cm="1">
        <f t="array" ref="Q306">_xlfn.IFS(P306&lt;=0.2,"Low Windspeed",P306&lt;0.4,"Medium Windspeed",P306&gt;=0.41,"High Windspeed")</f>
        <v>Low Windspeed</v>
      </c>
      <c r="R306" s="36">
        <v>0</v>
      </c>
      <c r="S306" s="36">
        <v>1</v>
      </c>
      <c r="T306" s="37">
        <v>1</v>
      </c>
      <c r="U306" s="39" t="str" cm="1">
        <f t="array" ref="U306">_xlfn.IFS(T306&lt;=70,"Low",T306&lt;=160,"Medium",T306&gt;=161,"High")</f>
        <v>Low</v>
      </c>
    </row>
    <row r="307" spans="1:21" x14ac:dyDescent="0.25">
      <c r="A307" s="33">
        <v>306</v>
      </c>
      <c r="B307" s="34">
        <v>40557</v>
      </c>
      <c r="C307" s="35">
        <v>1</v>
      </c>
      <c r="D307" s="35">
        <v>0</v>
      </c>
      <c r="E307" s="35">
        <v>1</v>
      </c>
      <c r="F307" s="35">
        <v>5</v>
      </c>
      <c r="G307" s="35" t="str" cm="1">
        <f t="array" ref="G307">_xlfn.IFS(F307&lt;4,"Night",F307&lt;=6,"Early Morning",F307&lt;11,"Morning",F307&lt;12,"Afternoon",F307&lt;=16,"Afternoon",F307&lt;=20,"Evening",F307&gt;=21,"Night")</f>
        <v>Early Morning</v>
      </c>
      <c r="H307" s="35" t="b">
        <v>0</v>
      </c>
      <c r="I307" s="35">
        <v>5</v>
      </c>
      <c r="J307" s="35">
        <v>1</v>
      </c>
      <c r="K307" s="31">
        <v>0.1</v>
      </c>
      <c r="L307" s="31" t="str" cm="1">
        <f t="array" ref="L307">_xlfn.IFS(K307&lt;0.15,"Cold",K307&lt;0.25,"Mild",K307&lt;=0.32,"Warm",K307&gt;=0.33,"Hot")</f>
        <v>Cold</v>
      </c>
      <c r="M307" s="36">
        <v>0.13639999999999999</v>
      </c>
      <c r="N307" s="36">
        <v>0.54</v>
      </c>
      <c r="O307" s="36" t="str" cm="1">
        <f t="array" ref="O307">_xlfn.IFS(N307&gt;0.61, "High Humidity", N307&gt;=0.6, "Humid", N307&gt;0.4, "Less Humidity", TRUE, "Dry")</f>
        <v>Less Humidity</v>
      </c>
      <c r="P307" s="36">
        <v>8.9599999999999999E-2</v>
      </c>
      <c r="Q307" s="36" t="str" cm="1">
        <f t="array" ref="Q307">_xlfn.IFS(P307&lt;=0.2,"Low Windspeed",P307&lt;0.4,"Medium Windspeed",P307&gt;=0.41,"High Windspeed")</f>
        <v>Low Windspeed</v>
      </c>
      <c r="R307" s="36">
        <v>0</v>
      </c>
      <c r="S307" s="36">
        <v>8</v>
      </c>
      <c r="T307" s="37">
        <v>8</v>
      </c>
      <c r="U307" s="39" t="str" cm="1">
        <f t="array" ref="U307">_xlfn.IFS(T307&lt;=70,"Low",T307&lt;=160,"Medium",T307&gt;=161,"High")</f>
        <v>Low</v>
      </c>
    </row>
    <row r="308" spans="1:21" x14ac:dyDescent="0.25">
      <c r="A308" s="33">
        <v>307</v>
      </c>
      <c r="B308" s="34">
        <v>40557</v>
      </c>
      <c r="C308" s="35">
        <v>1</v>
      </c>
      <c r="D308" s="35">
        <v>0</v>
      </c>
      <c r="E308" s="35">
        <v>1</v>
      </c>
      <c r="F308" s="35">
        <v>6</v>
      </c>
      <c r="G308" s="35" t="str" cm="1">
        <f t="array" ref="G308">_xlfn.IFS(F308&lt;4,"Night",F308&lt;=6,"Early Morning",F308&lt;11,"Morning",F308&lt;12,"Afternoon",F308&lt;=16,"Afternoon",F308&lt;=20,"Evening",F308&gt;=21,"Night")</f>
        <v>Early Morning</v>
      </c>
      <c r="H308" s="35" t="b">
        <v>0</v>
      </c>
      <c r="I308" s="35">
        <v>5</v>
      </c>
      <c r="J308" s="35">
        <v>1</v>
      </c>
      <c r="K308" s="31">
        <v>0.1</v>
      </c>
      <c r="L308" s="31" t="str" cm="1">
        <f t="array" ref="L308">_xlfn.IFS(K308&lt;0.15,"Cold",K308&lt;0.25,"Mild",K308&lt;=0.32,"Warm",K308&gt;=0.33,"Hot")</f>
        <v>Cold</v>
      </c>
      <c r="M308" s="36">
        <v>0.18179999999999999</v>
      </c>
      <c r="N308" s="36">
        <v>0.54</v>
      </c>
      <c r="O308" s="36" t="str" cm="1">
        <f t="array" ref="O308">_xlfn.IFS(N308&gt;0.61, "High Humidity", N308&gt;=0.6, "Humid", N308&gt;0.4, "Less Humidity", TRUE, "Dry")</f>
        <v>Less Humidity</v>
      </c>
      <c r="P308" s="36">
        <v>0</v>
      </c>
      <c r="Q308" s="36" t="str" cm="1">
        <f t="array" ref="Q308">_xlfn.IFS(P308&lt;=0.2,"Low Windspeed",P308&lt;0.4,"Medium Windspeed",P308&gt;=0.41,"High Windspeed")</f>
        <v>Low Windspeed</v>
      </c>
      <c r="R308" s="36">
        <v>0</v>
      </c>
      <c r="S308" s="36">
        <v>17</v>
      </c>
      <c r="T308" s="37">
        <v>17</v>
      </c>
      <c r="U308" s="39" t="str" cm="1">
        <f t="array" ref="U308">_xlfn.IFS(T308&lt;=70,"Low",T308&lt;=160,"Medium",T308&gt;=161,"High")</f>
        <v>Low</v>
      </c>
    </row>
    <row r="309" spans="1:21" x14ac:dyDescent="0.25">
      <c r="A309" s="33">
        <v>308</v>
      </c>
      <c r="B309" s="34">
        <v>40557</v>
      </c>
      <c r="C309" s="35">
        <v>1</v>
      </c>
      <c r="D309" s="35">
        <v>0</v>
      </c>
      <c r="E309" s="35">
        <v>1</v>
      </c>
      <c r="F309" s="35">
        <v>7</v>
      </c>
      <c r="G309" s="35" t="str" cm="1">
        <f t="array" ref="G309">_xlfn.IFS(F309&lt;4,"Night",F309&lt;=6,"Early Morning",F309&lt;11,"Morning",F309&lt;12,"Afternoon",F309&lt;=16,"Afternoon",F309&lt;=20,"Evening",F309&gt;=21,"Night")</f>
        <v>Morning</v>
      </c>
      <c r="H309" s="35" t="b">
        <v>0</v>
      </c>
      <c r="I309" s="35">
        <v>5</v>
      </c>
      <c r="J309" s="35">
        <v>1</v>
      </c>
      <c r="K309" s="31">
        <v>0.1</v>
      </c>
      <c r="L309" s="31" t="str" cm="1">
        <f t="array" ref="L309">_xlfn.IFS(K309&lt;0.15,"Cold",K309&lt;0.25,"Mild",K309&lt;=0.32,"Warm",K309&gt;=0.33,"Hot")</f>
        <v>Cold</v>
      </c>
      <c r="M309" s="36">
        <v>0.1212</v>
      </c>
      <c r="N309" s="36">
        <v>0.74</v>
      </c>
      <c r="O309" s="36" t="str" cm="1">
        <f t="array" ref="O309">_xlfn.IFS(N309&gt;0.61, "High Humidity", N309&gt;=0.6, "Humid", N309&gt;0.4, "Less Humidity", TRUE, "Dry")</f>
        <v>High Humidity</v>
      </c>
      <c r="P309" s="36">
        <v>0.16420000000000001</v>
      </c>
      <c r="Q309" s="36" t="str" cm="1">
        <f t="array" ref="Q309">_xlfn.IFS(P309&lt;=0.2,"Low Windspeed",P309&lt;0.4,"Medium Windspeed",P309&gt;=0.41,"High Windspeed")</f>
        <v>Low Windspeed</v>
      </c>
      <c r="R309" s="36">
        <v>0</v>
      </c>
      <c r="S309" s="36">
        <v>70</v>
      </c>
      <c r="T309" s="37">
        <v>70</v>
      </c>
      <c r="U309" s="39" t="str" cm="1">
        <f t="array" ref="U309">_xlfn.IFS(T309&lt;=70,"Low",T309&lt;=160,"Medium",T309&gt;=161,"High")</f>
        <v>Low</v>
      </c>
    </row>
    <row r="310" spans="1:21" x14ac:dyDescent="0.25">
      <c r="A310" s="33">
        <v>309</v>
      </c>
      <c r="B310" s="34">
        <v>40557</v>
      </c>
      <c r="C310" s="35">
        <v>1</v>
      </c>
      <c r="D310" s="35">
        <v>0</v>
      </c>
      <c r="E310" s="35">
        <v>1</v>
      </c>
      <c r="F310" s="35">
        <v>8</v>
      </c>
      <c r="G310" s="35" t="str" cm="1">
        <f t="array" ref="G310">_xlfn.IFS(F310&lt;4,"Night",F310&lt;=6,"Early Morning",F310&lt;11,"Morning",F310&lt;12,"Afternoon",F310&lt;=16,"Afternoon",F310&lt;=20,"Evening",F310&gt;=21,"Night")</f>
        <v>Morning</v>
      </c>
      <c r="H310" s="35" t="b">
        <v>0</v>
      </c>
      <c r="I310" s="35">
        <v>5</v>
      </c>
      <c r="J310" s="35">
        <v>1</v>
      </c>
      <c r="K310" s="31">
        <v>0.12</v>
      </c>
      <c r="L310" s="31" t="str" cm="1">
        <f t="array" ref="L310">_xlfn.IFS(K310&lt;0.15,"Cold",K310&lt;0.25,"Mild",K310&lt;=0.32,"Warm",K310&gt;=0.33,"Hot")</f>
        <v>Cold</v>
      </c>
      <c r="M310" s="36">
        <v>0.16669999999999999</v>
      </c>
      <c r="N310" s="36">
        <v>0.68</v>
      </c>
      <c r="O310" s="36" t="str" cm="1">
        <f t="array" ref="O310">_xlfn.IFS(N310&gt;0.61, "High Humidity", N310&gt;=0.6, "Humid", N310&gt;0.4, "Less Humidity", TRUE, "Dry")</f>
        <v>High Humidity</v>
      </c>
      <c r="P310" s="36">
        <v>0</v>
      </c>
      <c r="Q310" s="36" t="str" cm="1">
        <f t="array" ref="Q310">_xlfn.IFS(P310&lt;=0.2,"Low Windspeed",P310&lt;0.4,"Medium Windspeed",P310&gt;=0.41,"High Windspeed")</f>
        <v>Low Windspeed</v>
      </c>
      <c r="R310" s="36">
        <v>2</v>
      </c>
      <c r="S310" s="36">
        <v>156</v>
      </c>
      <c r="T310" s="37">
        <v>158</v>
      </c>
      <c r="U310" s="39" t="str" cm="1">
        <f t="array" ref="U310">_xlfn.IFS(T310&lt;=70,"Low",T310&lt;=160,"Medium",T310&gt;=161,"High")</f>
        <v>Medium</v>
      </c>
    </row>
    <row r="311" spans="1:21" x14ac:dyDescent="0.25">
      <c r="A311" s="33">
        <v>310</v>
      </c>
      <c r="B311" s="34">
        <v>40557</v>
      </c>
      <c r="C311" s="35">
        <v>1</v>
      </c>
      <c r="D311" s="35">
        <v>0</v>
      </c>
      <c r="E311" s="35">
        <v>1</v>
      </c>
      <c r="F311" s="35">
        <v>9</v>
      </c>
      <c r="G311" s="35" t="str" cm="1">
        <f t="array" ref="G311">_xlfn.IFS(F311&lt;4,"Night",F311&lt;=6,"Early Morning",F311&lt;11,"Morning",F311&lt;12,"Afternoon",F311&lt;=16,"Afternoon",F311&lt;=20,"Evening",F311&gt;=21,"Night")</f>
        <v>Morning</v>
      </c>
      <c r="H311" s="35" t="b">
        <v>0</v>
      </c>
      <c r="I311" s="35">
        <v>5</v>
      </c>
      <c r="J311" s="35">
        <v>1</v>
      </c>
      <c r="K311" s="31">
        <v>0.14000000000000001</v>
      </c>
      <c r="L311" s="31" t="str" cm="1">
        <f t="array" ref="L311">_xlfn.IFS(K311&lt;0.15,"Cold",K311&lt;0.25,"Mild",K311&lt;=0.32,"Warm",K311&gt;=0.33,"Hot")</f>
        <v>Cold</v>
      </c>
      <c r="M311" s="36">
        <v>0.1515</v>
      </c>
      <c r="N311" s="36">
        <v>0.69</v>
      </c>
      <c r="O311" s="36" t="str" cm="1">
        <f t="array" ref="O311">_xlfn.IFS(N311&gt;0.61, "High Humidity", N311&gt;=0.6, "Humid", N311&gt;0.4, "Less Humidity", TRUE, "Dry")</f>
        <v>High Humidity</v>
      </c>
      <c r="P311" s="36">
        <v>0.1343</v>
      </c>
      <c r="Q311" s="36" t="str" cm="1">
        <f t="array" ref="Q311">_xlfn.IFS(P311&lt;=0.2,"Low Windspeed",P311&lt;0.4,"Medium Windspeed",P311&gt;=0.41,"High Windspeed")</f>
        <v>Low Windspeed</v>
      </c>
      <c r="R311" s="36">
        <v>0</v>
      </c>
      <c r="S311" s="36">
        <v>117</v>
      </c>
      <c r="T311" s="37">
        <v>117</v>
      </c>
      <c r="U311" s="39" t="str" cm="1">
        <f t="array" ref="U311">_xlfn.IFS(T311&lt;=70,"Low",T311&lt;=160,"Medium",T311&gt;=161,"High")</f>
        <v>Medium</v>
      </c>
    </row>
    <row r="312" spans="1:21" x14ac:dyDescent="0.25">
      <c r="A312" s="33">
        <v>311</v>
      </c>
      <c r="B312" s="34">
        <v>40557</v>
      </c>
      <c r="C312" s="35">
        <v>1</v>
      </c>
      <c r="D312" s="35">
        <v>0</v>
      </c>
      <c r="E312" s="35">
        <v>1</v>
      </c>
      <c r="F312" s="35">
        <v>10</v>
      </c>
      <c r="G312" s="35" t="str" cm="1">
        <f t="array" ref="G312">_xlfn.IFS(F312&lt;4,"Night",F312&lt;=6,"Early Morning",F312&lt;11,"Morning",F312&lt;12,"Afternoon",F312&lt;=16,"Afternoon",F312&lt;=20,"Evening",F312&gt;=21,"Night")</f>
        <v>Morning</v>
      </c>
      <c r="H312" s="35" t="b">
        <v>0</v>
      </c>
      <c r="I312" s="35">
        <v>5</v>
      </c>
      <c r="J312" s="35">
        <v>1</v>
      </c>
      <c r="K312" s="31">
        <v>0.18</v>
      </c>
      <c r="L312" s="31" t="str" cm="1">
        <f t="array" ref="L312">_xlfn.IFS(K312&lt;0.15,"Cold",K312&lt;0.25,"Mild",K312&lt;=0.32,"Warm",K312&gt;=0.33,"Hot")</f>
        <v>Mild</v>
      </c>
      <c r="M312" s="36">
        <v>0.18179999999999999</v>
      </c>
      <c r="N312" s="36">
        <v>0.55000000000000004</v>
      </c>
      <c r="O312" s="36" t="str" cm="1">
        <f t="array" ref="O312">_xlfn.IFS(N312&gt;0.61, "High Humidity", N312&gt;=0.6, "Humid", N312&gt;0.4, "Less Humidity", TRUE, "Dry")</f>
        <v>Less Humidity</v>
      </c>
      <c r="P312" s="36">
        <v>0.19400000000000001</v>
      </c>
      <c r="Q312" s="36" t="str" cm="1">
        <f t="array" ref="Q312">_xlfn.IFS(P312&lt;=0.2,"Low Windspeed",P312&lt;0.4,"Medium Windspeed",P312&gt;=0.41,"High Windspeed")</f>
        <v>Low Windspeed</v>
      </c>
      <c r="R312" s="36">
        <v>4</v>
      </c>
      <c r="S312" s="36">
        <v>40</v>
      </c>
      <c r="T312" s="37">
        <v>44</v>
      </c>
      <c r="U312" s="39" t="str" cm="1">
        <f t="array" ref="U312">_xlfn.IFS(T312&lt;=70,"Low",T312&lt;=160,"Medium",T312&gt;=161,"High")</f>
        <v>Low</v>
      </c>
    </row>
    <row r="313" spans="1:21" x14ac:dyDescent="0.25">
      <c r="A313" s="33">
        <v>312</v>
      </c>
      <c r="B313" s="34">
        <v>40557</v>
      </c>
      <c r="C313" s="35">
        <v>1</v>
      </c>
      <c r="D313" s="35">
        <v>0</v>
      </c>
      <c r="E313" s="35">
        <v>1</v>
      </c>
      <c r="F313" s="35">
        <v>11</v>
      </c>
      <c r="G313" s="35" t="str" cm="1">
        <f t="array" ref="G313">_xlfn.IFS(F313&lt;4,"Night",F313&lt;=6,"Early Morning",F313&lt;11,"Morning",F313&lt;12,"Afternoon",F313&lt;=16,"Afternoon",F313&lt;=20,"Evening",F313&gt;=21,"Night")</f>
        <v>Afternoon</v>
      </c>
      <c r="H313" s="35" t="b">
        <v>0</v>
      </c>
      <c r="I313" s="35">
        <v>5</v>
      </c>
      <c r="J313" s="35">
        <v>1</v>
      </c>
      <c r="K313" s="31">
        <v>0.18</v>
      </c>
      <c r="L313" s="31" t="str" cm="1">
        <f t="array" ref="L313">_xlfn.IFS(K313&lt;0.15,"Cold",K313&lt;0.25,"Mild",K313&lt;=0.32,"Warm",K313&gt;=0.33,"Hot")</f>
        <v>Mild</v>
      </c>
      <c r="M313" s="36">
        <v>0.16669999999999999</v>
      </c>
      <c r="N313" s="36">
        <v>0.51</v>
      </c>
      <c r="O313" s="36" t="str" cm="1">
        <f t="array" ref="O313">_xlfn.IFS(N313&gt;0.61, "High Humidity", N313&gt;=0.6, "Humid", N313&gt;0.4, "Less Humidity", TRUE, "Dry")</f>
        <v>Less Humidity</v>
      </c>
      <c r="P313" s="36">
        <v>0.28360000000000002</v>
      </c>
      <c r="Q313" s="36" t="str" cm="1">
        <f t="array" ref="Q313">_xlfn.IFS(P313&lt;=0.2,"Low Windspeed",P313&lt;0.4,"Medium Windspeed",P313&gt;=0.41,"High Windspeed")</f>
        <v>Medium Windspeed</v>
      </c>
      <c r="R313" s="36">
        <v>6</v>
      </c>
      <c r="S313" s="36">
        <v>47</v>
      </c>
      <c r="T313" s="37">
        <v>53</v>
      </c>
      <c r="U313" s="39" t="str" cm="1">
        <f t="array" ref="U313">_xlfn.IFS(T313&lt;=70,"Low",T313&lt;=160,"Medium",T313&gt;=161,"High")</f>
        <v>Low</v>
      </c>
    </row>
    <row r="314" spans="1:21" x14ac:dyDescent="0.25">
      <c r="A314" s="33">
        <v>313</v>
      </c>
      <c r="B314" s="34">
        <v>40557</v>
      </c>
      <c r="C314" s="35">
        <v>1</v>
      </c>
      <c r="D314" s="35">
        <v>0</v>
      </c>
      <c r="E314" s="35">
        <v>1</v>
      </c>
      <c r="F314" s="35">
        <v>12</v>
      </c>
      <c r="G314" s="35" t="str" cm="1">
        <f t="array" ref="G314">_xlfn.IFS(F314&lt;4,"Night",F314&lt;=6,"Early Morning",F314&lt;11,"Morning",F314&lt;12,"Afternoon",F314&lt;=16,"Afternoon",F314&lt;=20,"Evening",F314&gt;=21,"Night")</f>
        <v>Afternoon</v>
      </c>
      <c r="H314" s="35" t="b">
        <v>0</v>
      </c>
      <c r="I314" s="35">
        <v>5</v>
      </c>
      <c r="J314" s="35">
        <v>1</v>
      </c>
      <c r="K314" s="31">
        <v>0.2</v>
      </c>
      <c r="L314" s="31" t="str" cm="1">
        <f t="array" ref="L314">_xlfn.IFS(K314&lt;0.15,"Cold",K314&lt;0.25,"Mild",K314&lt;=0.32,"Warm",K314&gt;=0.33,"Hot")</f>
        <v>Mild</v>
      </c>
      <c r="M314" s="36">
        <v>0.19700000000000001</v>
      </c>
      <c r="N314" s="36">
        <v>0.44</v>
      </c>
      <c r="O314" s="36" t="str" cm="1">
        <f t="array" ref="O314">_xlfn.IFS(N314&gt;0.61, "High Humidity", N314&gt;=0.6, "Humid", N314&gt;0.4, "Less Humidity", TRUE, "Dry")</f>
        <v>Less Humidity</v>
      </c>
      <c r="P314" s="36">
        <v>0.25369999999999998</v>
      </c>
      <c r="Q314" s="36" t="str" cm="1">
        <f t="array" ref="Q314">_xlfn.IFS(P314&lt;=0.2,"Low Windspeed",P314&lt;0.4,"Medium Windspeed",P314&gt;=0.41,"High Windspeed")</f>
        <v>Medium Windspeed</v>
      </c>
      <c r="R314" s="36">
        <v>2</v>
      </c>
      <c r="S314" s="36">
        <v>59</v>
      </c>
      <c r="T314" s="37">
        <v>61</v>
      </c>
      <c r="U314" s="39" t="str" cm="1">
        <f t="array" ref="U314">_xlfn.IFS(T314&lt;=70,"Low",T314&lt;=160,"Medium",T314&gt;=161,"High")</f>
        <v>Low</v>
      </c>
    </row>
    <row r="315" spans="1:21" x14ac:dyDescent="0.25">
      <c r="A315" s="33">
        <v>314</v>
      </c>
      <c r="B315" s="34">
        <v>40557</v>
      </c>
      <c r="C315" s="35">
        <v>1</v>
      </c>
      <c r="D315" s="35">
        <v>0</v>
      </c>
      <c r="E315" s="35">
        <v>1</v>
      </c>
      <c r="F315" s="35">
        <v>13</v>
      </c>
      <c r="G315" s="35" t="str" cm="1">
        <f t="array" ref="G315">_xlfn.IFS(F315&lt;4,"Night",F315&lt;=6,"Early Morning",F315&lt;11,"Morning",F315&lt;12,"Afternoon",F315&lt;=16,"Afternoon",F315&lt;=20,"Evening",F315&gt;=21,"Night")</f>
        <v>Afternoon</v>
      </c>
      <c r="H315" s="35" t="b">
        <v>0</v>
      </c>
      <c r="I315" s="35">
        <v>5</v>
      </c>
      <c r="J315" s="35">
        <v>1</v>
      </c>
      <c r="K315" s="31">
        <v>0.22</v>
      </c>
      <c r="L315" s="31" t="str" cm="1">
        <f t="array" ref="L315">_xlfn.IFS(K315&lt;0.15,"Cold",K315&lt;0.25,"Mild",K315&lt;=0.32,"Warm",K315&gt;=0.33,"Hot")</f>
        <v>Mild</v>
      </c>
      <c r="M315" s="36">
        <v>0.19700000000000001</v>
      </c>
      <c r="N315" s="36">
        <v>0.37</v>
      </c>
      <c r="O315" s="36" t="str" cm="1">
        <f t="array" ref="O315">_xlfn.IFS(N315&gt;0.61, "High Humidity", N315&gt;=0.6, "Humid", N315&gt;0.4, "Less Humidity", TRUE, "Dry")</f>
        <v>Dry</v>
      </c>
      <c r="P315" s="36">
        <v>0.3881</v>
      </c>
      <c r="Q315" s="36" t="str" cm="1">
        <f t="array" ref="Q315">_xlfn.IFS(P315&lt;=0.2,"Low Windspeed",P315&lt;0.4,"Medium Windspeed",P315&gt;=0.41,"High Windspeed")</f>
        <v>Medium Windspeed</v>
      </c>
      <c r="R315" s="36">
        <v>4</v>
      </c>
      <c r="S315" s="36">
        <v>73</v>
      </c>
      <c r="T315" s="37">
        <v>77</v>
      </c>
      <c r="U315" s="39" t="str" cm="1">
        <f t="array" ref="U315">_xlfn.IFS(T315&lt;=70,"Low",T315&lt;=160,"Medium",T315&gt;=161,"High")</f>
        <v>Medium</v>
      </c>
    </row>
    <row r="316" spans="1:21" x14ac:dyDescent="0.25">
      <c r="A316" s="33">
        <v>315</v>
      </c>
      <c r="B316" s="34">
        <v>40557</v>
      </c>
      <c r="C316" s="35">
        <v>1</v>
      </c>
      <c r="D316" s="35">
        <v>0</v>
      </c>
      <c r="E316" s="35">
        <v>1</v>
      </c>
      <c r="F316" s="35">
        <v>14</v>
      </c>
      <c r="G316" s="35" t="str" cm="1">
        <f t="array" ref="G316">_xlfn.IFS(F316&lt;4,"Night",F316&lt;=6,"Early Morning",F316&lt;11,"Morning",F316&lt;12,"Afternoon",F316&lt;=16,"Afternoon",F316&lt;=20,"Evening",F316&gt;=21,"Night")</f>
        <v>Afternoon</v>
      </c>
      <c r="H316" s="35" t="b">
        <v>0</v>
      </c>
      <c r="I316" s="35">
        <v>5</v>
      </c>
      <c r="J316" s="35">
        <v>1</v>
      </c>
      <c r="K316" s="31">
        <v>0.22</v>
      </c>
      <c r="L316" s="31" t="str" cm="1">
        <f t="array" ref="L316">_xlfn.IFS(K316&lt;0.15,"Cold",K316&lt;0.25,"Mild",K316&lt;=0.32,"Warm",K316&gt;=0.33,"Hot")</f>
        <v>Mild</v>
      </c>
      <c r="M316" s="36">
        <v>0.21210000000000001</v>
      </c>
      <c r="N316" s="36">
        <v>0.41</v>
      </c>
      <c r="O316" s="36" t="str" cm="1">
        <f t="array" ref="O316">_xlfn.IFS(N316&gt;0.61, "High Humidity", N316&gt;=0.6, "Humid", N316&gt;0.4, "Less Humidity", TRUE, "Dry")</f>
        <v>Less Humidity</v>
      </c>
      <c r="P316" s="36">
        <v>0.28360000000000002</v>
      </c>
      <c r="Q316" s="36" t="str" cm="1">
        <f t="array" ref="Q316">_xlfn.IFS(P316&lt;=0.2,"Low Windspeed",P316&lt;0.4,"Medium Windspeed",P316&gt;=0.41,"High Windspeed")</f>
        <v>Medium Windspeed</v>
      </c>
      <c r="R316" s="36">
        <v>5</v>
      </c>
      <c r="S316" s="36">
        <v>59</v>
      </c>
      <c r="T316" s="37">
        <v>64</v>
      </c>
      <c r="U316" s="39" t="str" cm="1">
        <f t="array" ref="U316">_xlfn.IFS(T316&lt;=70,"Low",T316&lt;=160,"Medium",T316&gt;=161,"High")</f>
        <v>Low</v>
      </c>
    </row>
    <row r="317" spans="1:21" x14ac:dyDescent="0.25">
      <c r="A317" s="33">
        <v>316</v>
      </c>
      <c r="B317" s="34">
        <v>40557</v>
      </c>
      <c r="C317" s="35">
        <v>1</v>
      </c>
      <c r="D317" s="35">
        <v>0</v>
      </c>
      <c r="E317" s="35">
        <v>1</v>
      </c>
      <c r="F317" s="35">
        <v>15</v>
      </c>
      <c r="G317" s="35" t="str" cm="1">
        <f t="array" ref="G317">_xlfn.IFS(F317&lt;4,"Night",F317&lt;=6,"Early Morning",F317&lt;11,"Morning",F317&lt;12,"Afternoon",F317&lt;=16,"Afternoon",F317&lt;=20,"Evening",F317&gt;=21,"Night")</f>
        <v>Afternoon</v>
      </c>
      <c r="H317" s="35" t="b">
        <v>0</v>
      </c>
      <c r="I317" s="35">
        <v>5</v>
      </c>
      <c r="J317" s="35">
        <v>1</v>
      </c>
      <c r="K317" s="31">
        <v>0.24</v>
      </c>
      <c r="L317" s="31" t="str" cm="1">
        <f t="array" ref="L317">_xlfn.IFS(K317&lt;0.15,"Cold",K317&lt;0.25,"Mild",K317&lt;=0.32,"Warm",K317&gt;=0.33,"Hot")</f>
        <v>Mild</v>
      </c>
      <c r="M317" s="36">
        <v>0.2424</v>
      </c>
      <c r="N317" s="36">
        <v>0.38</v>
      </c>
      <c r="O317" s="36" t="str" cm="1">
        <f t="array" ref="O317">_xlfn.IFS(N317&gt;0.61, "High Humidity", N317&gt;=0.6, "Humid", N317&gt;0.4, "Less Humidity", TRUE, "Dry")</f>
        <v>Dry</v>
      </c>
      <c r="P317" s="36">
        <v>0.16420000000000001</v>
      </c>
      <c r="Q317" s="36" t="str" cm="1">
        <f t="array" ref="Q317">_xlfn.IFS(P317&lt;=0.2,"Low Windspeed",P317&lt;0.4,"Medium Windspeed",P317&gt;=0.41,"High Windspeed")</f>
        <v>Low Windspeed</v>
      </c>
      <c r="R317" s="36">
        <v>9</v>
      </c>
      <c r="S317" s="36">
        <v>59</v>
      </c>
      <c r="T317" s="37">
        <v>68</v>
      </c>
      <c r="U317" s="39" t="str" cm="1">
        <f t="array" ref="U317">_xlfn.IFS(T317&lt;=70,"Low",T317&lt;=160,"Medium",T317&gt;=161,"High")</f>
        <v>Low</v>
      </c>
    </row>
    <row r="318" spans="1:21" x14ac:dyDescent="0.25">
      <c r="A318" s="33">
        <v>317</v>
      </c>
      <c r="B318" s="34">
        <v>40557</v>
      </c>
      <c r="C318" s="35">
        <v>1</v>
      </c>
      <c r="D318" s="35">
        <v>0</v>
      </c>
      <c r="E318" s="35">
        <v>1</v>
      </c>
      <c r="F318" s="35">
        <v>16</v>
      </c>
      <c r="G318" s="35" t="str" cm="1">
        <f t="array" ref="G318">_xlfn.IFS(F318&lt;4,"Night",F318&lt;=6,"Early Morning",F318&lt;11,"Morning",F318&lt;12,"Afternoon",F318&lt;=16,"Afternoon",F318&lt;=20,"Evening",F318&gt;=21,"Night")</f>
        <v>Afternoon</v>
      </c>
      <c r="H318" s="35" t="b">
        <v>0</v>
      </c>
      <c r="I318" s="35">
        <v>5</v>
      </c>
      <c r="J318" s="35">
        <v>1</v>
      </c>
      <c r="K318" s="31">
        <v>0.22</v>
      </c>
      <c r="L318" s="31" t="str" cm="1">
        <f t="array" ref="L318">_xlfn.IFS(K318&lt;0.15,"Cold",K318&lt;0.25,"Mild",K318&lt;=0.32,"Warm",K318&gt;=0.33,"Hot")</f>
        <v>Mild</v>
      </c>
      <c r="M318" s="36">
        <v>0.2424</v>
      </c>
      <c r="N318" s="36">
        <v>0.41</v>
      </c>
      <c r="O318" s="36" t="str" cm="1">
        <f t="array" ref="O318">_xlfn.IFS(N318&gt;0.61, "High Humidity", N318&gt;=0.6, "Humid", N318&gt;0.4, "Less Humidity", TRUE, "Dry")</f>
        <v>Less Humidity</v>
      </c>
      <c r="P318" s="36">
        <v>0.1045</v>
      </c>
      <c r="Q318" s="36" t="str" cm="1">
        <f t="array" ref="Q318">_xlfn.IFS(P318&lt;=0.2,"Low Windspeed",P318&lt;0.4,"Medium Windspeed",P318&gt;=0.41,"High Windspeed")</f>
        <v>Low Windspeed</v>
      </c>
      <c r="R318" s="36">
        <v>3</v>
      </c>
      <c r="S318" s="36">
        <v>87</v>
      </c>
      <c r="T318" s="37">
        <v>90</v>
      </c>
      <c r="U318" s="39" t="str" cm="1">
        <f t="array" ref="U318">_xlfn.IFS(T318&lt;=70,"Low",T318&lt;=160,"Medium",T318&gt;=161,"High")</f>
        <v>Medium</v>
      </c>
    </row>
    <row r="319" spans="1:21" x14ac:dyDescent="0.25">
      <c r="A319" s="33">
        <v>318</v>
      </c>
      <c r="B319" s="34">
        <v>40557</v>
      </c>
      <c r="C319" s="35">
        <v>1</v>
      </c>
      <c r="D319" s="35">
        <v>0</v>
      </c>
      <c r="E319" s="35">
        <v>1</v>
      </c>
      <c r="F319" s="35">
        <v>17</v>
      </c>
      <c r="G319" s="35" t="str" cm="1">
        <f t="array" ref="G319">_xlfn.IFS(F319&lt;4,"Night",F319&lt;=6,"Early Morning",F319&lt;11,"Morning",F319&lt;12,"Afternoon",F319&lt;=16,"Afternoon",F319&lt;=20,"Evening",F319&gt;=21,"Night")</f>
        <v>Evening</v>
      </c>
      <c r="H319" s="35" t="b">
        <v>0</v>
      </c>
      <c r="I319" s="35">
        <v>5</v>
      </c>
      <c r="J319" s="35">
        <v>1</v>
      </c>
      <c r="K319" s="31">
        <v>0.22</v>
      </c>
      <c r="L319" s="31" t="str" cm="1">
        <f t="array" ref="L319">_xlfn.IFS(K319&lt;0.15,"Cold",K319&lt;0.25,"Mild",K319&lt;=0.32,"Warm",K319&gt;=0.33,"Hot")</f>
        <v>Mild</v>
      </c>
      <c r="M319" s="36">
        <v>0.2273</v>
      </c>
      <c r="N319" s="36">
        <v>0.41</v>
      </c>
      <c r="O319" s="36" t="str" cm="1">
        <f t="array" ref="O319">_xlfn.IFS(N319&gt;0.61, "High Humidity", N319&gt;=0.6, "Humid", N319&gt;0.4, "Less Humidity", TRUE, "Dry")</f>
        <v>Less Humidity</v>
      </c>
      <c r="P319" s="36">
        <v>0.16420000000000001</v>
      </c>
      <c r="Q319" s="36" t="str" cm="1">
        <f t="array" ref="Q319">_xlfn.IFS(P319&lt;=0.2,"Low Windspeed",P319&lt;0.4,"Medium Windspeed",P319&gt;=0.41,"High Windspeed")</f>
        <v>Low Windspeed</v>
      </c>
      <c r="R319" s="36">
        <v>4</v>
      </c>
      <c r="S319" s="36">
        <v>155</v>
      </c>
      <c r="T319" s="37">
        <v>159</v>
      </c>
      <c r="U319" s="39" t="str" cm="1">
        <f t="array" ref="U319">_xlfn.IFS(T319&lt;=70,"Low",T319&lt;=160,"Medium",T319&gt;=161,"High")</f>
        <v>Medium</v>
      </c>
    </row>
    <row r="320" spans="1:21" x14ac:dyDescent="0.25">
      <c r="A320" s="33">
        <v>319</v>
      </c>
      <c r="B320" s="34">
        <v>40557</v>
      </c>
      <c r="C320" s="35">
        <v>1</v>
      </c>
      <c r="D320" s="35">
        <v>0</v>
      </c>
      <c r="E320" s="35">
        <v>1</v>
      </c>
      <c r="F320" s="35">
        <v>18</v>
      </c>
      <c r="G320" s="35" t="str" cm="1">
        <f t="array" ref="G320">_xlfn.IFS(F320&lt;4,"Night",F320&lt;=6,"Early Morning",F320&lt;11,"Morning",F320&lt;12,"Afternoon",F320&lt;=16,"Afternoon",F320&lt;=20,"Evening",F320&gt;=21,"Night")</f>
        <v>Evening</v>
      </c>
      <c r="H320" s="35" t="b">
        <v>0</v>
      </c>
      <c r="I320" s="35">
        <v>5</v>
      </c>
      <c r="J320" s="35">
        <v>1</v>
      </c>
      <c r="K320" s="31">
        <v>0.2</v>
      </c>
      <c r="L320" s="31" t="str" cm="1">
        <f t="array" ref="L320">_xlfn.IFS(K320&lt;0.15,"Cold",K320&lt;0.25,"Mild",K320&lt;=0.32,"Warm",K320&gt;=0.33,"Hot")</f>
        <v>Mild</v>
      </c>
      <c r="M320" s="36">
        <v>0.2576</v>
      </c>
      <c r="N320" s="36">
        <v>0.47</v>
      </c>
      <c r="O320" s="36" t="str" cm="1">
        <f t="array" ref="O320">_xlfn.IFS(N320&gt;0.61, "High Humidity", N320&gt;=0.6, "Humid", N320&gt;0.4, "Less Humidity", TRUE, "Dry")</f>
        <v>Less Humidity</v>
      </c>
      <c r="P320" s="36">
        <v>0</v>
      </c>
      <c r="Q320" s="36" t="str" cm="1">
        <f t="array" ref="Q320">_xlfn.IFS(P320&lt;=0.2,"Low Windspeed",P320&lt;0.4,"Medium Windspeed",P320&gt;=0.41,"High Windspeed")</f>
        <v>Low Windspeed</v>
      </c>
      <c r="R320" s="36">
        <v>5</v>
      </c>
      <c r="S320" s="36">
        <v>134</v>
      </c>
      <c r="T320" s="37">
        <v>139</v>
      </c>
      <c r="U320" s="39" t="str" cm="1">
        <f t="array" ref="U320">_xlfn.IFS(T320&lt;=70,"Low",T320&lt;=160,"Medium",T320&gt;=161,"High")</f>
        <v>Medium</v>
      </c>
    </row>
    <row r="321" spans="1:21" x14ac:dyDescent="0.25">
      <c r="A321" s="33">
        <v>320</v>
      </c>
      <c r="B321" s="34">
        <v>40557</v>
      </c>
      <c r="C321" s="35">
        <v>1</v>
      </c>
      <c r="D321" s="35">
        <v>0</v>
      </c>
      <c r="E321" s="35">
        <v>1</v>
      </c>
      <c r="F321" s="35">
        <v>19</v>
      </c>
      <c r="G321" s="35" t="str" cm="1">
        <f t="array" ref="G321">_xlfn.IFS(F321&lt;4,"Night",F321&lt;=6,"Early Morning",F321&lt;11,"Morning",F321&lt;12,"Afternoon",F321&lt;=16,"Afternoon",F321&lt;=20,"Evening",F321&gt;=21,"Night")</f>
        <v>Evening</v>
      </c>
      <c r="H321" s="35" t="b">
        <v>0</v>
      </c>
      <c r="I321" s="35">
        <v>5</v>
      </c>
      <c r="J321" s="35">
        <v>1</v>
      </c>
      <c r="K321" s="31">
        <v>0.16</v>
      </c>
      <c r="L321" s="31" t="str" cm="1">
        <f t="array" ref="L321">_xlfn.IFS(K321&lt;0.15,"Cold",K321&lt;0.25,"Mild",K321&lt;=0.32,"Warm",K321&gt;=0.33,"Hot")</f>
        <v>Mild</v>
      </c>
      <c r="M321" s="36">
        <v>0.19700000000000001</v>
      </c>
      <c r="N321" s="36">
        <v>0.59</v>
      </c>
      <c r="O321" s="36" t="str" cm="1">
        <f t="array" ref="O321">_xlfn.IFS(N321&gt;0.61, "High Humidity", N321&gt;=0.6, "Humid", N321&gt;0.4, "Less Humidity", TRUE, "Dry")</f>
        <v>Less Humidity</v>
      </c>
      <c r="P321" s="36">
        <v>8.9599999999999999E-2</v>
      </c>
      <c r="Q321" s="36" t="str" cm="1">
        <f t="array" ref="Q321">_xlfn.IFS(P321&lt;=0.2,"Low Windspeed",P321&lt;0.4,"Medium Windspeed",P321&gt;=0.41,"High Windspeed")</f>
        <v>Low Windspeed</v>
      </c>
      <c r="R321" s="36">
        <v>3</v>
      </c>
      <c r="S321" s="36">
        <v>89</v>
      </c>
      <c r="T321" s="37">
        <v>92</v>
      </c>
      <c r="U321" s="39" t="str" cm="1">
        <f t="array" ref="U321">_xlfn.IFS(T321&lt;=70,"Low",T321&lt;=160,"Medium",T321&gt;=161,"High")</f>
        <v>Medium</v>
      </c>
    </row>
    <row r="322" spans="1:21" x14ac:dyDescent="0.25">
      <c r="A322" s="33">
        <v>321</v>
      </c>
      <c r="B322" s="34">
        <v>40557</v>
      </c>
      <c r="C322" s="35">
        <v>1</v>
      </c>
      <c r="D322" s="35">
        <v>0</v>
      </c>
      <c r="E322" s="35">
        <v>1</v>
      </c>
      <c r="F322" s="35">
        <v>20</v>
      </c>
      <c r="G322" s="35" t="str" cm="1">
        <f t="array" ref="G322">_xlfn.IFS(F322&lt;4,"Night",F322&lt;=6,"Early Morning",F322&lt;11,"Morning",F322&lt;12,"Afternoon",F322&lt;=16,"Afternoon",F322&lt;=20,"Evening",F322&gt;=21,"Night")</f>
        <v>Evening</v>
      </c>
      <c r="H322" s="35" t="b">
        <v>0</v>
      </c>
      <c r="I322" s="35">
        <v>5</v>
      </c>
      <c r="J322" s="35">
        <v>1</v>
      </c>
      <c r="K322" s="31">
        <v>0.18</v>
      </c>
      <c r="L322" s="31" t="str" cm="1">
        <f t="array" ref="L322">_xlfn.IFS(K322&lt;0.15,"Cold",K322&lt;0.25,"Mild",K322&lt;=0.32,"Warm",K322&gt;=0.33,"Hot")</f>
        <v>Mild</v>
      </c>
      <c r="M322" s="36">
        <v>0.2424</v>
      </c>
      <c r="N322" s="36">
        <v>0.59</v>
      </c>
      <c r="O322" s="36" t="str" cm="1">
        <f t="array" ref="O322">_xlfn.IFS(N322&gt;0.61, "High Humidity", N322&gt;=0.6, "Humid", N322&gt;0.4, "Less Humidity", TRUE, "Dry")</f>
        <v>Less Humidity</v>
      </c>
      <c r="P322" s="36">
        <v>0</v>
      </c>
      <c r="Q322" s="36" t="str" cm="1">
        <f t="array" ref="Q322">_xlfn.IFS(P322&lt;=0.2,"Low Windspeed",P322&lt;0.4,"Medium Windspeed",P322&gt;=0.41,"High Windspeed")</f>
        <v>Low Windspeed</v>
      </c>
      <c r="R322" s="36">
        <v>0</v>
      </c>
      <c r="S322" s="36">
        <v>68</v>
      </c>
      <c r="T322" s="37">
        <v>68</v>
      </c>
      <c r="U322" s="39" t="str" cm="1">
        <f t="array" ref="U322">_xlfn.IFS(T322&lt;=70,"Low",T322&lt;=160,"Medium",T322&gt;=161,"High")</f>
        <v>Low</v>
      </c>
    </row>
    <row r="323" spans="1:21" x14ac:dyDescent="0.25">
      <c r="A323" s="33">
        <v>322</v>
      </c>
      <c r="B323" s="34">
        <v>40557</v>
      </c>
      <c r="C323" s="35">
        <v>1</v>
      </c>
      <c r="D323" s="35">
        <v>0</v>
      </c>
      <c r="E323" s="35">
        <v>1</v>
      </c>
      <c r="F323" s="35">
        <v>21</v>
      </c>
      <c r="G323" s="35" t="str" cm="1">
        <f t="array" ref="G323">_xlfn.IFS(F323&lt;4,"Night",F323&lt;=6,"Early Morning",F323&lt;11,"Morning",F323&lt;12,"Afternoon",F323&lt;=16,"Afternoon",F323&lt;=20,"Evening",F323&gt;=21,"Night")</f>
        <v>Night</v>
      </c>
      <c r="H323" s="35" t="b">
        <v>0</v>
      </c>
      <c r="I323" s="35">
        <v>5</v>
      </c>
      <c r="J323" s="35">
        <v>1</v>
      </c>
      <c r="K323" s="31">
        <v>0.16</v>
      </c>
      <c r="L323" s="31" t="str" cm="1">
        <f t="array" ref="L323">_xlfn.IFS(K323&lt;0.15,"Cold",K323&lt;0.25,"Mild",K323&lt;=0.32,"Warm",K323&gt;=0.33,"Hot")</f>
        <v>Mild</v>
      </c>
      <c r="M323" s="36">
        <v>0.2273</v>
      </c>
      <c r="N323" s="36">
        <v>0.69</v>
      </c>
      <c r="O323" s="36" t="str" cm="1">
        <f t="array" ref="O323">_xlfn.IFS(N323&gt;0.61, "High Humidity", N323&gt;=0.6, "Humid", N323&gt;0.4, "Less Humidity", TRUE, "Dry")</f>
        <v>High Humidity</v>
      </c>
      <c r="P323" s="36">
        <v>0</v>
      </c>
      <c r="Q323" s="36" t="str" cm="1">
        <f t="array" ref="Q323">_xlfn.IFS(P323&lt;=0.2,"Low Windspeed",P323&lt;0.4,"Medium Windspeed",P323&gt;=0.41,"High Windspeed")</f>
        <v>Low Windspeed</v>
      </c>
      <c r="R323" s="36">
        <v>4</v>
      </c>
      <c r="S323" s="36">
        <v>48</v>
      </c>
      <c r="T323" s="37">
        <v>52</v>
      </c>
      <c r="U323" s="39" t="str" cm="1">
        <f t="array" ref="U323">_xlfn.IFS(T323&lt;=70,"Low",T323&lt;=160,"Medium",T323&gt;=161,"High")</f>
        <v>Low</v>
      </c>
    </row>
    <row r="324" spans="1:21" x14ac:dyDescent="0.25">
      <c r="A324" s="33">
        <v>323</v>
      </c>
      <c r="B324" s="34">
        <v>40557</v>
      </c>
      <c r="C324" s="35">
        <v>1</v>
      </c>
      <c r="D324" s="35">
        <v>0</v>
      </c>
      <c r="E324" s="35">
        <v>1</v>
      </c>
      <c r="F324" s="35">
        <v>22</v>
      </c>
      <c r="G324" s="35" t="str" cm="1">
        <f t="array" ref="G324">_xlfn.IFS(F324&lt;4,"Night",F324&lt;=6,"Early Morning",F324&lt;11,"Morning",F324&lt;12,"Afternoon",F324&lt;=16,"Afternoon",F324&lt;=20,"Evening",F324&gt;=21,"Night")</f>
        <v>Night</v>
      </c>
      <c r="H324" s="35" t="b">
        <v>0</v>
      </c>
      <c r="I324" s="35">
        <v>5</v>
      </c>
      <c r="J324" s="35">
        <v>2</v>
      </c>
      <c r="K324" s="31">
        <v>0.16</v>
      </c>
      <c r="L324" s="31" t="str" cm="1">
        <f t="array" ref="L324">_xlfn.IFS(K324&lt;0.15,"Cold",K324&lt;0.25,"Mild",K324&lt;=0.32,"Warm",K324&gt;=0.33,"Hot")</f>
        <v>Mild</v>
      </c>
      <c r="M324" s="36">
        <v>0.2273</v>
      </c>
      <c r="N324" s="36">
        <v>0.69</v>
      </c>
      <c r="O324" s="36" t="str" cm="1">
        <f t="array" ref="O324">_xlfn.IFS(N324&gt;0.61, "High Humidity", N324&gt;=0.6, "Humid", N324&gt;0.4, "Less Humidity", TRUE, "Dry")</f>
        <v>High Humidity</v>
      </c>
      <c r="P324" s="36">
        <v>0</v>
      </c>
      <c r="Q324" s="36" t="str" cm="1">
        <f t="array" ref="Q324">_xlfn.IFS(P324&lt;=0.2,"Low Windspeed",P324&lt;0.4,"Medium Windspeed",P324&gt;=0.41,"High Windspeed")</f>
        <v>Low Windspeed</v>
      </c>
      <c r="R324" s="36">
        <v>2</v>
      </c>
      <c r="S324" s="36">
        <v>34</v>
      </c>
      <c r="T324" s="37">
        <v>36</v>
      </c>
      <c r="U324" s="39" t="str" cm="1">
        <f t="array" ref="U324">_xlfn.IFS(T324&lt;=70,"Low",T324&lt;=160,"Medium",T324&gt;=161,"High")</f>
        <v>Low</v>
      </c>
    </row>
    <row r="325" spans="1:21" x14ac:dyDescent="0.25">
      <c r="A325" s="33">
        <v>324</v>
      </c>
      <c r="B325" s="34">
        <v>40557</v>
      </c>
      <c r="C325" s="35">
        <v>1</v>
      </c>
      <c r="D325" s="35">
        <v>0</v>
      </c>
      <c r="E325" s="35">
        <v>1</v>
      </c>
      <c r="F325" s="35">
        <v>23</v>
      </c>
      <c r="G325" s="35" t="str" cm="1">
        <f t="array" ref="G325">_xlfn.IFS(F325&lt;4,"Night",F325&lt;=6,"Early Morning",F325&lt;11,"Morning",F325&lt;12,"Afternoon",F325&lt;=16,"Afternoon",F325&lt;=20,"Evening",F325&gt;=21,"Night")</f>
        <v>Night</v>
      </c>
      <c r="H325" s="35" t="b">
        <v>0</v>
      </c>
      <c r="I325" s="35">
        <v>5</v>
      </c>
      <c r="J325" s="35">
        <v>2</v>
      </c>
      <c r="K325" s="31">
        <v>0.18</v>
      </c>
      <c r="L325" s="31" t="str" cm="1">
        <f t="array" ref="L325">_xlfn.IFS(K325&lt;0.15,"Cold",K325&lt;0.25,"Mild",K325&lt;=0.32,"Warm",K325&gt;=0.33,"Hot")</f>
        <v>Mild</v>
      </c>
      <c r="M325" s="36">
        <v>0.2424</v>
      </c>
      <c r="N325" s="36">
        <v>0.55000000000000004</v>
      </c>
      <c r="O325" s="36" t="str" cm="1">
        <f t="array" ref="O325">_xlfn.IFS(N325&gt;0.61, "High Humidity", N325&gt;=0.6, "Humid", N325&gt;0.4, "Less Humidity", TRUE, "Dry")</f>
        <v>Less Humidity</v>
      </c>
      <c r="P325" s="36">
        <v>0</v>
      </c>
      <c r="Q325" s="36" t="str" cm="1">
        <f t="array" ref="Q325">_xlfn.IFS(P325&lt;=0.2,"Low Windspeed",P325&lt;0.4,"Medium Windspeed",P325&gt;=0.41,"High Windspeed")</f>
        <v>Low Windspeed</v>
      </c>
      <c r="R325" s="36">
        <v>1</v>
      </c>
      <c r="S325" s="36">
        <v>26</v>
      </c>
      <c r="T325" s="37">
        <v>27</v>
      </c>
      <c r="U325" s="39" t="str" cm="1">
        <f t="array" ref="U325">_xlfn.IFS(T325&lt;=70,"Low",T325&lt;=160,"Medium",T325&gt;=161,"High")</f>
        <v>Low</v>
      </c>
    </row>
    <row r="326" spans="1:21" x14ac:dyDescent="0.25">
      <c r="A326" s="33">
        <v>325</v>
      </c>
      <c r="B326" s="34">
        <v>40558</v>
      </c>
      <c r="C326" s="35">
        <v>1</v>
      </c>
      <c r="D326" s="35">
        <v>0</v>
      </c>
      <c r="E326" s="35">
        <v>1</v>
      </c>
      <c r="F326" s="35">
        <v>0</v>
      </c>
      <c r="G326" s="35" t="str" cm="1">
        <f t="array" ref="G326">_xlfn.IFS(F326&lt;4,"Night",F326&lt;=6,"Early Morning",F326&lt;11,"Morning",F326&lt;12,"Afternoon",F326&lt;=16,"Afternoon",F326&lt;=20,"Evening",F326&gt;=21,"Night")</f>
        <v>Night</v>
      </c>
      <c r="H326" s="35" t="b">
        <v>0</v>
      </c>
      <c r="I326" s="35">
        <v>6</v>
      </c>
      <c r="J326" s="35">
        <v>1</v>
      </c>
      <c r="K326" s="31">
        <v>0.18</v>
      </c>
      <c r="L326" s="31" t="str" cm="1">
        <f t="array" ref="L326">_xlfn.IFS(K326&lt;0.15,"Cold",K326&lt;0.25,"Mild",K326&lt;=0.32,"Warm",K326&gt;=0.33,"Hot")</f>
        <v>Mild</v>
      </c>
      <c r="M326" s="36">
        <v>0.2424</v>
      </c>
      <c r="N326" s="36">
        <v>0.55000000000000004</v>
      </c>
      <c r="O326" s="36" t="str" cm="1">
        <f t="array" ref="O326">_xlfn.IFS(N326&gt;0.61, "High Humidity", N326&gt;=0.6, "Humid", N326&gt;0.4, "Less Humidity", TRUE, "Dry")</f>
        <v>Less Humidity</v>
      </c>
      <c r="P326" s="36">
        <v>0</v>
      </c>
      <c r="Q326" s="36" t="str" cm="1">
        <f t="array" ref="Q326">_xlfn.IFS(P326&lt;=0.2,"Low Windspeed",P326&lt;0.4,"Medium Windspeed",P326&gt;=0.41,"High Windspeed")</f>
        <v>Low Windspeed</v>
      </c>
      <c r="R326" s="36">
        <v>3</v>
      </c>
      <c r="S326" s="36">
        <v>25</v>
      </c>
      <c r="T326" s="37">
        <v>28</v>
      </c>
      <c r="U326" s="39" t="str" cm="1">
        <f t="array" ref="U326">_xlfn.IFS(T326&lt;=70,"Low",T326&lt;=160,"Medium",T326&gt;=161,"High")</f>
        <v>Low</v>
      </c>
    </row>
    <row r="327" spans="1:21" x14ac:dyDescent="0.25">
      <c r="A327" s="33">
        <v>326</v>
      </c>
      <c r="B327" s="34">
        <v>40558</v>
      </c>
      <c r="C327" s="35">
        <v>1</v>
      </c>
      <c r="D327" s="35">
        <v>0</v>
      </c>
      <c r="E327" s="35">
        <v>1</v>
      </c>
      <c r="F327" s="35">
        <v>1</v>
      </c>
      <c r="G327" s="35" t="str" cm="1">
        <f t="array" ref="G327">_xlfn.IFS(F327&lt;4,"Night",F327&lt;=6,"Early Morning",F327&lt;11,"Morning",F327&lt;12,"Afternoon",F327&lt;=16,"Afternoon",F327&lt;=20,"Evening",F327&gt;=21,"Night")</f>
        <v>Night</v>
      </c>
      <c r="H327" s="35" t="b">
        <v>0</v>
      </c>
      <c r="I327" s="35">
        <v>6</v>
      </c>
      <c r="J327" s="35">
        <v>2</v>
      </c>
      <c r="K327" s="31">
        <v>0.16</v>
      </c>
      <c r="L327" s="31" t="str" cm="1">
        <f t="array" ref="L327">_xlfn.IFS(K327&lt;0.15,"Cold",K327&lt;0.25,"Mild",K327&lt;=0.32,"Warm",K327&gt;=0.33,"Hot")</f>
        <v>Mild</v>
      </c>
      <c r="M327" s="36">
        <v>0.19700000000000001</v>
      </c>
      <c r="N327" s="36">
        <v>0.59</v>
      </c>
      <c r="O327" s="36" t="str" cm="1">
        <f t="array" ref="O327">_xlfn.IFS(N327&gt;0.61, "High Humidity", N327&gt;=0.6, "Humid", N327&gt;0.4, "Less Humidity", TRUE, "Dry")</f>
        <v>Less Humidity</v>
      </c>
      <c r="P327" s="36">
        <v>8.9599999999999999E-2</v>
      </c>
      <c r="Q327" s="36" t="str" cm="1">
        <f t="array" ref="Q327">_xlfn.IFS(P327&lt;=0.2,"Low Windspeed",P327&lt;0.4,"Medium Windspeed",P327&gt;=0.41,"High Windspeed")</f>
        <v>Low Windspeed</v>
      </c>
      <c r="R327" s="36">
        <v>2</v>
      </c>
      <c r="S327" s="36">
        <v>18</v>
      </c>
      <c r="T327" s="37">
        <v>20</v>
      </c>
      <c r="U327" s="39" t="str" cm="1">
        <f t="array" ref="U327">_xlfn.IFS(T327&lt;=70,"Low",T327&lt;=160,"Medium",T327&gt;=161,"High")</f>
        <v>Low</v>
      </c>
    </row>
    <row r="328" spans="1:21" x14ac:dyDescent="0.25">
      <c r="A328" s="33">
        <v>327</v>
      </c>
      <c r="B328" s="34">
        <v>40558</v>
      </c>
      <c r="C328" s="35">
        <v>1</v>
      </c>
      <c r="D328" s="35">
        <v>0</v>
      </c>
      <c r="E328" s="35">
        <v>1</v>
      </c>
      <c r="F328" s="35">
        <v>2</v>
      </c>
      <c r="G328" s="35" t="str" cm="1">
        <f t="array" ref="G328">_xlfn.IFS(F328&lt;4,"Night",F328&lt;=6,"Early Morning",F328&lt;11,"Morning",F328&lt;12,"Afternoon",F328&lt;=16,"Afternoon",F328&lt;=20,"Evening",F328&gt;=21,"Night")</f>
        <v>Night</v>
      </c>
      <c r="H328" s="35" t="b">
        <v>0</v>
      </c>
      <c r="I328" s="35">
        <v>6</v>
      </c>
      <c r="J328" s="35">
        <v>2</v>
      </c>
      <c r="K328" s="31">
        <v>0.16</v>
      </c>
      <c r="L328" s="31" t="str" cm="1">
        <f t="array" ref="L328">_xlfn.IFS(K328&lt;0.15,"Cold",K328&lt;0.25,"Mild",K328&lt;=0.32,"Warm",K328&gt;=0.33,"Hot")</f>
        <v>Mild</v>
      </c>
      <c r="M328" s="36">
        <v>0.19700000000000001</v>
      </c>
      <c r="N328" s="36">
        <v>0.59</v>
      </c>
      <c r="O328" s="36" t="str" cm="1">
        <f t="array" ref="O328">_xlfn.IFS(N328&gt;0.61, "High Humidity", N328&gt;=0.6, "Humid", N328&gt;0.4, "Less Humidity", TRUE, "Dry")</f>
        <v>Less Humidity</v>
      </c>
      <c r="P328" s="36">
        <v>8.9599999999999999E-2</v>
      </c>
      <c r="Q328" s="36" t="str" cm="1">
        <f t="array" ref="Q328">_xlfn.IFS(P328&lt;=0.2,"Low Windspeed",P328&lt;0.4,"Medium Windspeed",P328&gt;=0.41,"High Windspeed")</f>
        <v>Low Windspeed</v>
      </c>
      <c r="R328" s="36">
        <v>0</v>
      </c>
      <c r="S328" s="36">
        <v>12</v>
      </c>
      <c r="T328" s="37">
        <v>12</v>
      </c>
      <c r="U328" s="39" t="str" cm="1">
        <f t="array" ref="U328">_xlfn.IFS(T328&lt;=70,"Low",T328&lt;=160,"Medium",T328&gt;=161,"High")</f>
        <v>Low</v>
      </c>
    </row>
    <row r="329" spans="1:21" x14ac:dyDescent="0.25">
      <c r="A329" s="33">
        <v>328</v>
      </c>
      <c r="B329" s="34">
        <v>40558</v>
      </c>
      <c r="C329" s="35">
        <v>1</v>
      </c>
      <c r="D329" s="35">
        <v>0</v>
      </c>
      <c r="E329" s="35">
        <v>1</v>
      </c>
      <c r="F329" s="35">
        <v>3</v>
      </c>
      <c r="G329" s="35" t="str" cm="1">
        <f t="array" ref="G329">_xlfn.IFS(F329&lt;4,"Night",F329&lt;=6,"Early Morning",F329&lt;11,"Morning",F329&lt;12,"Afternoon",F329&lt;=16,"Afternoon",F329&lt;=20,"Evening",F329&gt;=21,"Night")</f>
        <v>Night</v>
      </c>
      <c r="H329" s="35" t="b">
        <v>0</v>
      </c>
      <c r="I329" s="35">
        <v>6</v>
      </c>
      <c r="J329" s="35">
        <v>2</v>
      </c>
      <c r="K329" s="31">
        <v>0.16</v>
      </c>
      <c r="L329" s="31" t="str" cm="1">
        <f t="array" ref="L329">_xlfn.IFS(K329&lt;0.15,"Cold",K329&lt;0.25,"Mild",K329&lt;=0.32,"Warm",K329&gt;=0.33,"Hot")</f>
        <v>Mild</v>
      </c>
      <c r="M329" s="36">
        <v>0.2273</v>
      </c>
      <c r="N329" s="36">
        <v>0.59</v>
      </c>
      <c r="O329" s="36" t="str" cm="1">
        <f t="array" ref="O329">_xlfn.IFS(N329&gt;0.61, "High Humidity", N329&gt;=0.6, "Humid", N329&gt;0.4, "Less Humidity", TRUE, "Dry")</f>
        <v>Less Humidity</v>
      </c>
      <c r="P329" s="36">
        <v>0</v>
      </c>
      <c r="Q329" s="36" t="str" cm="1">
        <f t="array" ref="Q329">_xlfn.IFS(P329&lt;=0.2,"Low Windspeed",P329&lt;0.4,"Medium Windspeed",P329&gt;=0.41,"High Windspeed")</f>
        <v>Low Windspeed</v>
      </c>
      <c r="R329" s="36">
        <v>1</v>
      </c>
      <c r="S329" s="36">
        <v>7</v>
      </c>
      <c r="T329" s="37">
        <v>8</v>
      </c>
      <c r="U329" s="39" t="str" cm="1">
        <f t="array" ref="U329">_xlfn.IFS(T329&lt;=70,"Low",T329&lt;=160,"Medium",T329&gt;=161,"High")</f>
        <v>Low</v>
      </c>
    </row>
    <row r="330" spans="1:21" x14ac:dyDescent="0.25">
      <c r="A330" s="33">
        <v>329</v>
      </c>
      <c r="B330" s="34">
        <v>40558</v>
      </c>
      <c r="C330" s="35">
        <v>1</v>
      </c>
      <c r="D330" s="35">
        <v>0</v>
      </c>
      <c r="E330" s="35">
        <v>1</v>
      </c>
      <c r="F330" s="35">
        <v>4</v>
      </c>
      <c r="G330" s="35" t="str" cm="1">
        <f t="array" ref="G330">_xlfn.IFS(F330&lt;4,"Night",F330&lt;=6,"Early Morning",F330&lt;11,"Morning",F330&lt;12,"Afternoon",F330&lt;=16,"Afternoon",F330&lt;=20,"Evening",F330&gt;=21,"Night")</f>
        <v>Early Morning</v>
      </c>
      <c r="H330" s="35" t="b">
        <v>0</v>
      </c>
      <c r="I330" s="35">
        <v>6</v>
      </c>
      <c r="J330" s="35">
        <v>2</v>
      </c>
      <c r="K330" s="31">
        <v>0.16</v>
      </c>
      <c r="L330" s="31" t="str" cm="1">
        <f t="array" ref="L330">_xlfn.IFS(K330&lt;0.15,"Cold",K330&lt;0.25,"Mild",K330&lt;=0.32,"Warm",K330&gt;=0.33,"Hot")</f>
        <v>Mild</v>
      </c>
      <c r="M330" s="36">
        <v>0.2273</v>
      </c>
      <c r="N330" s="36">
        <v>0.59</v>
      </c>
      <c r="O330" s="36" t="str" cm="1">
        <f t="array" ref="O330">_xlfn.IFS(N330&gt;0.61, "High Humidity", N330&gt;=0.6, "Humid", N330&gt;0.4, "Less Humidity", TRUE, "Dry")</f>
        <v>Less Humidity</v>
      </c>
      <c r="P330" s="36">
        <v>0</v>
      </c>
      <c r="Q330" s="36" t="str" cm="1">
        <f t="array" ref="Q330">_xlfn.IFS(P330&lt;=0.2,"Low Windspeed",P330&lt;0.4,"Medium Windspeed",P330&gt;=0.41,"High Windspeed")</f>
        <v>Low Windspeed</v>
      </c>
      <c r="R330" s="36">
        <v>0</v>
      </c>
      <c r="S330" s="36">
        <v>5</v>
      </c>
      <c r="T330" s="37">
        <v>5</v>
      </c>
      <c r="U330" s="39" t="str" cm="1">
        <f t="array" ref="U330">_xlfn.IFS(T330&lt;=70,"Low",T330&lt;=160,"Medium",T330&gt;=161,"High")</f>
        <v>Low</v>
      </c>
    </row>
    <row r="331" spans="1:21" x14ac:dyDescent="0.25">
      <c r="A331" s="33">
        <v>330</v>
      </c>
      <c r="B331" s="34">
        <v>40558</v>
      </c>
      <c r="C331" s="35">
        <v>1</v>
      </c>
      <c r="D331" s="35">
        <v>0</v>
      </c>
      <c r="E331" s="35">
        <v>1</v>
      </c>
      <c r="F331" s="35">
        <v>5</v>
      </c>
      <c r="G331" s="35" t="str" cm="1">
        <f t="array" ref="G331">_xlfn.IFS(F331&lt;4,"Night",F331&lt;=6,"Early Morning",F331&lt;11,"Morning",F331&lt;12,"Afternoon",F331&lt;=16,"Afternoon",F331&lt;=20,"Evening",F331&gt;=21,"Night")</f>
        <v>Early Morning</v>
      </c>
      <c r="H331" s="35" t="b">
        <v>0</v>
      </c>
      <c r="I331" s="35">
        <v>6</v>
      </c>
      <c r="J331" s="35">
        <v>1</v>
      </c>
      <c r="K331" s="31">
        <v>0.16</v>
      </c>
      <c r="L331" s="31" t="str" cm="1">
        <f t="array" ref="L331">_xlfn.IFS(K331&lt;0.15,"Cold",K331&lt;0.25,"Mild",K331&lt;=0.32,"Warm",K331&gt;=0.33,"Hot")</f>
        <v>Mild</v>
      </c>
      <c r="M331" s="36">
        <v>0.2273</v>
      </c>
      <c r="N331" s="36">
        <v>0.59</v>
      </c>
      <c r="O331" s="36" t="str" cm="1">
        <f t="array" ref="O331">_xlfn.IFS(N331&gt;0.61, "High Humidity", N331&gt;=0.6, "Humid", N331&gt;0.4, "Less Humidity", TRUE, "Dry")</f>
        <v>Less Humidity</v>
      </c>
      <c r="P331" s="36">
        <v>0</v>
      </c>
      <c r="Q331" s="36" t="str" cm="1">
        <f t="array" ref="Q331">_xlfn.IFS(P331&lt;=0.2,"Low Windspeed",P331&lt;0.4,"Medium Windspeed",P331&gt;=0.41,"High Windspeed")</f>
        <v>Low Windspeed</v>
      </c>
      <c r="R331" s="36">
        <v>0</v>
      </c>
      <c r="S331" s="36">
        <v>1</v>
      </c>
      <c r="T331" s="37">
        <v>1</v>
      </c>
      <c r="U331" s="39" t="str" cm="1">
        <f t="array" ref="U331">_xlfn.IFS(T331&lt;=70,"Low",T331&lt;=160,"Medium",T331&gt;=161,"High")</f>
        <v>Low</v>
      </c>
    </row>
    <row r="332" spans="1:21" x14ac:dyDescent="0.25">
      <c r="A332" s="33">
        <v>331</v>
      </c>
      <c r="B332" s="34">
        <v>40558</v>
      </c>
      <c r="C332" s="35">
        <v>1</v>
      </c>
      <c r="D332" s="35">
        <v>0</v>
      </c>
      <c r="E332" s="35">
        <v>1</v>
      </c>
      <c r="F332" s="35">
        <v>6</v>
      </c>
      <c r="G332" s="35" t="str" cm="1">
        <f t="array" ref="G332">_xlfn.IFS(F332&lt;4,"Night",F332&lt;=6,"Early Morning",F332&lt;11,"Morning",F332&lt;12,"Afternoon",F332&lt;=16,"Afternoon",F332&lt;=20,"Evening",F332&gt;=21,"Night")</f>
        <v>Early Morning</v>
      </c>
      <c r="H332" s="35" t="b">
        <v>0</v>
      </c>
      <c r="I332" s="35">
        <v>6</v>
      </c>
      <c r="J332" s="35">
        <v>1</v>
      </c>
      <c r="K332" s="31">
        <v>0.14000000000000001</v>
      </c>
      <c r="L332" s="31" t="str" cm="1">
        <f t="array" ref="L332">_xlfn.IFS(K332&lt;0.15,"Cold",K332&lt;0.25,"Mild",K332&lt;=0.32,"Warm",K332&gt;=0.33,"Hot")</f>
        <v>Cold</v>
      </c>
      <c r="M332" s="36">
        <v>0.16669999999999999</v>
      </c>
      <c r="N332" s="36">
        <v>0.63</v>
      </c>
      <c r="O332" s="36" t="str" cm="1">
        <f t="array" ref="O332">_xlfn.IFS(N332&gt;0.61, "High Humidity", N332&gt;=0.6, "Humid", N332&gt;0.4, "Less Humidity", TRUE, "Dry")</f>
        <v>High Humidity</v>
      </c>
      <c r="P332" s="36">
        <v>0.1045</v>
      </c>
      <c r="Q332" s="36" t="str" cm="1">
        <f t="array" ref="Q332">_xlfn.IFS(P332&lt;=0.2,"Low Windspeed",P332&lt;0.4,"Medium Windspeed",P332&gt;=0.41,"High Windspeed")</f>
        <v>Low Windspeed</v>
      </c>
      <c r="R332" s="36">
        <v>1</v>
      </c>
      <c r="S332" s="36">
        <v>2</v>
      </c>
      <c r="T332" s="37">
        <v>3</v>
      </c>
      <c r="U332" s="39" t="str" cm="1">
        <f t="array" ref="U332">_xlfn.IFS(T332&lt;=70,"Low",T332&lt;=160,"Medium",T332&gt;=161,"High")</f>
        <v>Low</v>
      </c>
    </row>
    <row r="333" spans="1:21" x14ac:dyDescent="0.25">
      <c r="A333" s="33">
        <v>332</v>
      </c>
      <c r="B333" s="34">
        <v>40558</v>
      </c>
      <c r="C333" s="35">
        <v>1</v>
      </c>
      <c r="D333" s="35">
        <v>0</v>
      </c>
      <c r="E333" s="35">
        <v>1</v>
      </c>
      <c r="F333" s="35">
        <v>7</v>
      </c>
      <c r="G333" s="35" t="str" cm="1">
        <f t="array" ref="G333">_xlfn.IFS(F333&lt;4,"Night",F333&lt;=6,"Early Morning",F333&lt;11,"Morning",F333&lt;12,"Afternoon",F333&lt;=16,"Afternoon",F333&lt;=20,"Evening",F333&gt;=21,"Night")</f>
        <v>Morning</v>
      </c>
      <c r="H333" s="35" t="b">
        <v>0</v>
      </c>
      <c r="I333" s="35">
        <v>6</v>
      </c>
      <c r="J333" s="35">
        <v>1</v>
      </c>
      <c r="K333" s="31">
        <v>0.14000000000000001</v>
      </c>
      <c r="L333" s="31" t="str" cm="1">
        <f t="array" ref="L333">_xlfn.IFS(K333&lt;0.15,"Cold",K333&lt;0.25,"Mild",K333&lt;=0.32,"Warm",K333&gt;=0.33,"Hot")</f>
        <v>Cold</v>
      </c>
      <c r="M333" s="36">
        <v>0.21210000000000001</v>
      </c>
      <c r="N333" s="36">
        <v>0.63</v>
      </c>
      <c r="O333" s="36" t="str" cm="1">
        <f t="array" ref="O333">_xlfn.IFS(N333&gt;0.61, "High Humidity", N333&gt;=0.6, "Humid", N333&gt;0.4, "Less Humidity", TRUE, "Dry")</f>
        <v>High Humidity</v>
      </c>
      <c r="P333" s="36">
        <v>0</v>
      </c>
      <c r="Q333" s="36" t="str" cm="1">
        <f t="array" ref="Q333">_xlfn.IFS(P333&lt;=0.2,"Low Windspeed",P333&lt;0.4,"Medium Windspeed",P333&gt;=0.41,"High Windspeed")</f>
        <v>Low Windspeed</v>
      </c>
      <c r="R333" s="36">
        <v>1</v>
      </c>
      <c r="S333" s="36">
        <v>9</v>
      </c>
      <c r="T333" s="37">
        <v>10</v>
      </c>
      <c r="U333" s="39" t="str" cm="1">
        <f t="array" ref="U333">_xlfn.IFS(T333&lt;=70,"Low",T333&lt;=160,"Medium",T333&gt;=161,"High")</f>
        <v>Low</v>
      </c>
    </row>
    <row r="334" spans="1:21" x14ac:dyDescent="0.25">
      <c r="A334" s="33">
        <v>333</v>
      </c>
      <c r="B334" s="34">
        <v>40558</v>
      </c>
      <c r="C334" s="35">
        <v>1</v>
      </c>
      <c r="D334" s="35">
        <v>0</v>
      </c>
      <c r="E334" s="35">
        <v>1</v>
      </c>
      <c r="F334" s="35">
        <v>8</v>
      </c>
      <c r="G334" s="35" t="str" cm="1">
        <f t="array" ref="G334">_xlfn.IFS(F334&lt;4,"Night",F334&lt;=6,"Early Morning",F334&lt;11,"Morning",F334&lt;12,"Afternoon",F334&lt;=16,"Afternoon",F334&lt;=20,"Evening",F334&gt;=21,"Night")</f>
        <v>Morning</v>
      </c>
      <c r="H334" s="35" t="b">
        <v>0</v>
      </c>
      <c r="I334" s="35">
        <v>6</v>
      </c>
      <c r="J334" s="35">
        <v>1</v>
      </c>
      <c r="K334" s="31">
        <v>0.14000000000000001</v>
      </c>
      <c r="L334" s="31" t="str" cm="1">
        <f t="array" ref="L334">_xlfn.IFS(K334&lt;0.15,"Cold",K334&lt;0.25,"Mild",K334&lt;=0.32,"Warm",K334&gt;=0.33,"Hot")</f>
        <v>Cold</v>
      </c>
      <c r="M334" s="36">
        <v>0.1515</v>
      </c>
      <c r="N334" s="36">
        <v>0.63</v>
      </c>
      <c r="O334" s="36" t="str" cm="1">
        <f t="array" ref="O334">_xlfn.IFS(N334&gt;0.61, "High Humidity", N334&gt;=0.6, "Humid", N334&gt;0.4, "Less Humidity", TRUE, "Dry")</f>
        <v>High Humidity</v>
      </c>
      <c r="P334" s="36">
        <v>0.1343</v>
      </c>
      <c r="Q334" s="36" t="str" cm="1">
        <f t="array" ref="Q334">_xlfn.IFS(P334&lt;=0.2,"Low Windspeed",P334&lt;0.4,"Medium Windspeed",P334&gt;=0.41,"High Windspeed")</f>
        <v>Low Windspeed</v>
      </c>
      <c r="R334" s="36">
        <v>1</v>
      </c>
      <c r="S334" s="36">
        <v>22</v>
      </c>
      <c r="T334" s="37">
        <v>23</v>
      </c>
      <c r="U334" s="39" t="str" cm="1">
        <f t="array" ref="U334">_xlfn.IFS(T334&lt;=70,"Low",T334&lt;=160,"Medium",T334&gt;=161,"High")</f>
        <v>Low</v>
      </c>
    </row>
    <row r="335" spans="1:21" x14ac:dyDescent="0.25">
      <c r="A335" s="33">
        <v>334</v>
      </c>
      <c r="B335" s="34">
        <v>40558</v>
      </c>
      <c r="C335" s="35">
        <v>1</v>
      </c>
      <c r="D335" s="35">
        <v>0</v>
      </c>
      <c r="E335" s="35">
        <v>1</v>
      </c>
      <c r="F335" s="35">
        <v>9</v>
      </c>
      <c r="G335" s="35" t="str" cm="1">
        <f t="array" ref="G335">_xlfn.IFS(F335&lt;4,"Night",F335&lt;=6,"Early Morning",F335&lt;11,"Morning",F335&lt;12,"Afternoon",F335&lt;=16,"Afternoon",F335&lt;=20,"Evening",F335&gt;=21,"Night")</f>
        <v>Morning</v>
      </c>
      <c r="H335" s="35" t="b">
        <v>0</v>
      </c>
      <c r="I335" s="35">
        <v>6</v>
      </c>
      <c r="J335" s="35">
        <v>1</v>
      </c>
      <c r="K335" s="31">
        <v>0.16</v>
      </c>
      <c r="L335" s="31" t="str" cm="1">
        <f t="array" ref="L335">_xlfn.IFS(K335&lt;0.15,"Cold",K335&lt;0.25,"Mild",K335&lt;=0.32,"Warm",K335&gt;=0.33,"Hot")</f>
        <v>Mild</v>
      </c>
      <c r="M335" s="36">
        <v>0.18179999999999999</v>
      </c>
      <c r="N335" s="36">
        <v>0.64</v>
      </c>
      <c r="O335" s="36" t="str" cm="1">
        <f t="array" ref="O335">_xlfn.IFS(N335&gt;0.61, "High Humidity", N335&gt;=0.6, "Humid", N335&gt;0.4, "Less Humidity", TRUE, "Dry")</f>
        <v>High Humidity</v>
      </c>
      <c r="P335" s="36">
        <v>0.1343</v>
      </c>
      <c r="Q335" s="36" t="str" cm="1">
        <f t="array" ref="Q335">_xlfn.IFS(P335&lt;=0.2,"Low Windspeed",P335&lt;0.4,"Medium Windspeed",P335&gt;=0.41,"High Windspeed")</f>
        <v>Low Windspeed</v>
      </c>
      <c r="R335" s="36">
        <v>2</v>
      </c>
      <c r="S335" s="36">
        <v>31</v>
      </c>
      <c r="T335" s="37">
        <v>33</v>
      </c>
      <c r="U335" s="39" t="str" cm="1">
        <f t="array" ref="U335">_xlfn.IFS(T335&lt;=70,"Low",T335&lt;=160,"Medium",T335&gt;=161,"High")</f>
        <v>Low</v>
      </c>
    </row>
    <row r="336" spans="1:21" x14ac:dyDescent="0.25">
      <c r="A336" s="33">
        <v>335</v>
      </c>
      <c r="B336" s="34">
        <v>40558</v>
      </c>
      <c r="C336" s="35">
        <v>1</v>
      </c>
      <c r="D336" s="35">
        <v>0</v>
      </c>
      <c r="E336" s="35">
        <v>1</v>
      </c>
      <c r="F336" s="35">
        <v>10</v>
      </c>
      <c r="G336" s="35" t="str" cm="1">
        <f t="array" ref="G336">_xlfn.IFS(F336&lt;4,"Night",F336&lt;=6,"Early Morning",F336&lt;11,"Morning",F336&lt;12,"Afternoon",F336&lt;=16,"Afternoon",F336&lt;=20,"Evening",F336&gt;=21,"Night")</f>
        <v>Morning</v>
      </c>
      <c r="H336" s="35" t="b">
        <v>0</v>
      </c>
      <c r="I336" s="35">
        <v>6</v>
      </c>
      <c r="J336" s="35">
        <v>1</v>
      </c>
      <c r="K336" s="31">
        <v>0.18</v>
      </c>
      <c r="L336" s="31" t="str" cm="1">
        <f t="array" ref="L336">_xlfn.IFS(K336&lt;0.15,"Cold",K336&lt;0.25,"Mild",K336&lt;=0.32,"Warm",K336&gt;=0.33,"Hot")</f>
        <v>Mild</v>
      </c>
      <c r="M336" s="36">
        <v>0.19700000000000001</v>
      </c>
      <c r="N336" s="36">
        <v>0.59</v>
      </c>
      <c r="O336" s="36" t="str" cm="1">
        <f t="array" ref="O336">_xlfn.IFS(N336&gt;0.61, "High Humidity", N336&gt;=0.6, "Humid", N336&gt;0.4, "Less Humidity", TRUE, "Dry")</f>
        <v>Less Humidity</v>
      </c>
      <c r="P336" s="36">
        <v>0.16420000000000001</v>
      </c>
      <c r="Q336" s="36" t="str" cm="1">
        <f t="array" ref="Q336">_xlfn.IFS(P336&lt;=0.2,"Low Windspeed",P336&lt;0.4,"Medium Windspeed",P336&gt;=0.41,"High Windspeed")</f>
        <v>Low Windspeed</v>
      </c>
      <c r="R336" s="36">
        <v>2</v>
      </c>
      <c r="S336" s="36">
        <v>57</v>
      </c>
      <c r="T336" s="37">
        <v>59</v>
      </c>
      <c r="U336" s="39" t="str" cm="1">
        <f t="array" ref="U336">_xlfn.IFS(T336&lt;=70,"Low",T336&lt;=160,"Medium",T336&gt;=161,"High")</f>
        <v>Low</v>
      </c>
    </row>
    <row r="337" spans="1:21" x14ac:dyDescent="0.25">
      <c r="A337" s="33">
        <v>336</v>
      </c>
      <c r="B337" s="34">
        <v>40558</v>
      </c>
      <c r="C337" s="35">
        <v>1</v>
      </c>
      <c r="D337" s="35">
        <v>0</v>
      </c>
      <c r="E337" s="35">
        <v>1</v>
      </c>
      <c r="F337" s="35">
        <v>11</v>
      </c>
      <c r="G337" s="35" t="str" cm="1">
        <f t="array" ref="G337">_xlfn.IFS(F337&lt;4,"Night",F337&lt;=6,"Early Morning",F337&lt;11,"Morning",F337&lt;12,"Afternoon",F337&lt;=16,"Afternoon",F337&lt;=20,"Evening",F337&gt;=21,"Night")</f>
        <v>Afternoon</v>
      </c>
      <c r="H337" s="35" t="b">
        <v>0</v>
      </c>
      <c r="I337" s="35">
        <v>6</v>
      </c>
      <c r="J337" s="35">
        <v>1</v>
      </c>
      <c r="K337" s="31">
        <v>0.2</v>
      </c>
      <c r="L337" s="31" t="str" cm="1">
        <f t="array" ref="L337">_xlfn.IFS(K337&lt;0.15,"Cold",K337&lt;0.25,"Mild",K337&lt;=0.32,"Warm",K337&gt;=0.33,"Hot")</f>
        <v>Mild</v>
      </c>
      <c r="M337" s="36">
        <v>0.19700000000000001</v>
      </c>
      <c r="N337" s="36">
        <v>0.55000000000000004</v>
      </c>
      <c r="O337" s="36" t="str" cm="1">
        <f t="array" ref="O337">_xlfn.IFS(N337&gt;0.61, "High Humidity", N337&gt;=0.6, "Humid", N337&gt;0.4, "Less Humidity", TRUE, "Dry")</f>
        <v>Less Humidity</v>
      </c>
      <c r="P337" s="36">
        <v>0.22389999999999999</v>
      </c>
      <c r="Q337" s="36" t="str" cm="1">
        <f t="array" ref="Q337">_xlfn.IFS(P337&lt;=0.2,"Low Windspeed",P337&lt;0.4,"Medium Windspeed",P337&gt;=0.41,"High Windspeed")</f>
        <v>Medium Windspeed</v>
      </c>
      <c r="R337" s="36">
        <v>18</v>
      </c>
      <c r="S337" s="36">
        <v>54</v>
      </c>
      <c r="T337" s="37">
        <v>72</v>
      </c>
      <c r="U337" s="39" t="str" cm="1">
        <f t="array" ref="U337">_xlfn.IFS(T337&lt;=70,"Low",T337&lt;=160,"Medium",T337&gt;=161,"High")</f>
        <v>Medium</v>
      </c>
    </row>
    <row r="338" spans="1:21" x14ac:dyDescent="0.25">
      <c r="A338" s="33">
        <v>337</v>
      </c>
      <c r="B338" s="34">
        <v>40558</v>
      </c>
      <c r="C338" s="35">
        <v>1</v>
      </c>
      <c r="D338" s="35">
        <v>0</v>
      </c>
      <c r="E338" s="35">
        <v>1</v>
      </c>
      <c r="F338" s="35">
        <v>12</v>
      </c>
      <c r="G338" s="35" t="str" cm="1">
        <f t="array" ref="G338">_xlfn.IFS(F338&lt;4,"Night",F338&lt;=6,"Early Morning",F338&lt;11,"Morning",F338&lt;12,"Afternoon",F338&lt;=16,"Afternoon",F338&lt;=20,"Evening",F338&gt;=21,"Night")</f>
        <v>Afternoon</v>
      </c>
      <c r="H338" s="35" t="b">
        <v>0</v>
      </c>
      <c r="I338" s="35">
        <v>6</v>
      </c>
      <c r="J338" s="35">
        <v>1</v>
      </c>
      <c r="K338" s="31">
        <v>0.24</v>
      </c>
      <c r="L338" s="31" t="str" cm="1">
        <f t="array" ref="L338">_xlfn.IFS(K338&lt;0.15,"Cold",K338&lt;0.25,"Mild",K338&lt;=0.32,"Warm",K338&gt;=0.33,"Hot")</f>
        <v>Mild</v>
      </c>
      <c r="M338" s="36">
        <v>0.2273</v>
      </c>
      <c r="N338" s="36">
        <v>0.48</v>
      </c>
      <c r="O338" s="36" t="str" cm="1">
        <f t="array" ref="O338">_xlfn.IFS(N338&gt;0.61, "High Humidity", N338&gt;=0.6, "Humid", N338&gt;0.4, "Less Humidity", TRUE, "Dry")</f>
        <v>Less Humidity</v>
      </c>
      <c r="P338" s="36">
        <v>0.22389999999999999</v>
      </c>
      <c r="Q338" s="36" t="str" cm="1">
        <f t="array" ref="Q338">_xlfn.IFS(P338&lt;=0.2,"Low Windspeed",P338&lt;0.4,"Medium Windspeed",P338&gt;=0.41,"High Windspeed")</f>
        <v>Medium Windspeed</v>
      </c>
      <c r="R338" s="36">
        <v>15</v>
      </c>
      <c r="S338" s="36">
        <v>74</v>
      </c>
      <c r="T338" s="37">
        <v>89</v>
      </c>
      <c r="U338" s="39" t="str" cm="1">
        <f t="array" ref="U338">_xlfn.IFS(T338&lt;=70,"Low",T338&lt;=160,"Medium",T338&gt;=161,"High")</f>
        <v>Medium</v>
      </c>
    </row>
    <row r="339" spans="1:21" x14ac:dyDescent="0.25">
      <c r="A339" s="33">
        <v>338</v>
      </c>
      <c r="B339" s="34">
        <v>40558</v>
      </c>
      <c r="C339" s="35">
        <v>1</v>
      </c>
      <c r="D339" s="35">
        <v>0</v>
      </c>
      <c r="E339" s="35">
        <v>1</v>
      </c>
      <c r="F339" s="35">
        <v>13</v>
      </c>
      <c r="G339" s="35" t="str" cm="1">
        <f t="array" ref="G339">_xlfn.IFS(F339&lt;4,"Night",F339&lt;=6,"Early Morning",F339&lt;11,"Morning",F339&lt;12,"Afternoon",F339&lt;=16,"Afternoon",F339&lt;=20,"Evening",F339&gt;=21,"Night")</f>
        <v>Afternoon</v>
      </c>
      <c r="H339" s="35" t="b">
        <v>0</v>
      </c>
      <c r="I339" s="35">
        <v>6</v>
      </c>
      <c r="J339" s="35">
        <v>1</v>
      </c>
      <c r="K339" s="31">
        <v>0.28000000000000003</v>
      </c>
      <c r="L339" s="31" t="str" cm="1">
        <f t="array" ref="L339">_xlfn.IFS(K339&lt;0.15,"Cold",K339&lt;0.25,"Mild",K339&lt;=0.32,"Warm",K339&gt;=0.33,"Hot")</f>
        <v>Warm</v>
      </c>
      <c r="M339" s="36">
        <v>0.2576</v>
      </c>
      <c r="N339" s="36">
        <v>0.38</v>
      </c>
      <c r="O339" s="36" t="str" cm="1">
        <f t="array" ref="O339">_xlfn.IFS(N339&gt;0.61, "High Humidity", N339&gt;=0.6, "Humid", N339&gt;0.4, "Less Humidity", TRUE, "Dry")</f>
        <v>Dry</v>
      </c>
      <c r="P339" s="36">
        <v>0.29849999999999999</v>
      </c>
      <c r="Q339" s="36" t="str" cm="1">
        <f t="array" ref="Q339">_xlfn.IFS(P339&lt;=0.2,"Low Windspeed",P339&lt;0.4,"Medium Windspeed",P339&gt;=0.41,"High Windspeed")</f>
        <v>Medium Windspeed</v>
      </c>
      <c r="R339" s="36">
        <v>21</v>
      </c>
      <c r="S339" s="36">
        <v>80</v>
      </c>
      <c r="T339" s="37">
        <v>101</v>
      </c>
      <c r="U339" s="39" t="str" cm="1">
        <f t="array" ref="U339">_xlfn.IFS(T339&lt;=70,"Low",T339&lt;=160,"Medium",T339&gt;=161,"High")</f>
        <v>Medium</v>
      </c>
    </row>
    <row r="340" spans="1:21" x14ac:dyDescent="0.25">
      <c r="A340" s="33">
        <v>339</v>
      </c>
      <c r="B340" s="34">
        <v>40558</v>
      </c>
      <c r="C340" s="35">
        <v>1</v>
      </c>
      <c r="D340" s="35">
        <v>0</v>
      </c>
      <c r="E340" s="35">
        <v>1</v>
      </c>
      <c r="F340" s="35">
        <v>14</v>
      </c>
      <c r="G340" s="35" t="str" cm="1">
        <f t="array" ref="G340">_xlfn.IFS(F340&lt;4,"Night",F340&lt;=6,"Early Morning",F340&lt;11,"Morning",F340&lt;12,"Afternoon",F340&lt;=16,"Afternoon",F340&lt;=20,"Evening",F340&gt;=21,"Night")</f>
        <v>Afternoon</v>
      </c>
      <c r="H340" s="35" t="b">
        <v>0</v>
      </c>
      <c r="I340" s="35">
        <v>6</v>
      </c>
      <c r="J340" s="35">
        <v>1</v>
      </c>
      <c r="K340" s="31">
        <v>0.3</v>
      </c>
      <c r="L340" s="31" t="str" cm="1">
        <f t="array" ref="L340">_xlfn.IFS(K340&lt;0.15,"Cold",K340&lt;0.25,"Mild",K340&lt;=0.32,"Warm",K340&gt;=0.33,"Hot")</f>
        <v>Warm</v>
      </c>
      <c r="M340" s="36">
        <v>0.28789999999999999</v>
      </c>
      <c r="N340" s="36">
        <v>0.39</v>
      </c>
      <c r="O340" s="36" t="str" cm="1">
        <f t="array" ref="O340">_xlfn.IFS(N340&gt;0.61, "High Humidity", N340&gt;=0.6, "Humid", N340&gt;0.4, "Less Humidity", TRUE, "Dry")</f>
        <v>Dry</v>
      </c>
      <c r="P340" s="36">
        <v>0.28360000000000002</v>
      </c>
      <c r="Q340" s="36" t="str" cm="1">
        <f t="array" ref="Q340">_xlfn.IFS(P340&lt;=0.2,"Low Windspeed",P340&lt;0.4,"Medium Windspeed",P340&gt;=0.41,"High Windspeed")</f>
        <v>Medium Windspeed</v>
      </c>
      <c r="R340" s="36">
        <v>26</v>
      </c>
      <c r="S340" s="36">
        <v>92</v>
      </c>
      <c r="T340" s="37">
        <v>118</v>
      </c>
      <c r="U340" s="39" t="str" cm="1">
        <f t="array" ref="U340">_xlfn.IFS(T340&lt;=70,"Low",T340&lt;=160,"Medium",T340&gt;=161,"High")</f>
        <v>Medium</v>
      </c>
    </row>
    <row r="341" spans="1:21" x14ac:dyDescent="0.25">
      <c r="A341" s="33">
        <v>340</v>
      </c>
      <c r="B341" s="34">
        <v>40558</v>
      </c>
      <c r="C341" s="35">
        <v>1</v>
      </c>
      <c r="D341" s="35">
        <v>0</v>
      </c>
      <c r="E341" s="35">
        <v>1</v>
      </c>
      <c r="F341" s="35">
        <v>15</v>
      </c>
      <c r="G341" s="35" t="str" cm="1">
        <f t="array" ref="G341">_xlfn.IFS(F341&lt;4,"Night",F341&lt;=6,"Early Morning",F341&lt;11,"Morning",F341&lt;12,"Afternoon",F341&lt;=16,"Afternoon",F341&lt;=20,"Evening",F341&gt;=21,"Night")</f>
        <v>Afternoon</v>
      </c>
      <c r="H341" s="35" t="b">
        <v>0</v>
      </c>
      <c r="I341" s="35">
        <v>6</v>
      </c>
      <c r="J341" s="35">
        <v>2</v>
      </c>
      <c r="K341" s="31">
        <v>0.32</v>
      </c>
      <c r="L341" s="31" t="str" cm="1">
        <f t="array" ref="L341">_xlfn.IFS(K341&lt;0.15,"Cold",K341&lt;0.25,"Mild",K341&lt;=0.32,"Warm",K341&gt;=0.33,"Hot")</f>
        <v>Warm</v>
      </c>
      <c r="M341" s="36">
        <v>0.31819999999999998</v>
      </c>
      <c r="N341" s="36">
        <v>0.36</v>
      </c>
      <c r="O341" s="36" t="str" cm="1">
        <f t="array" ref="O341">_xlfn.IFS(N341&gt;0.61, "High Humidity", N341&gt;=0.6, "Humid", N341&gt;0.4, "Less Humidity", TRUE, "Dry")</f>
        <v>Dry</v>
      </c>
      <c r="P341" s="36">
        <v>0.19400000000000001</v>
      </c>
      <c r="Q341" s="36" t="str" cm="1">
        <f t="array" ref="Q341">_xlfn.IFS(P341&lt;=0.2,"Low Windspeed",P341&lt;0.4,"Medium Windspeed",P341&gt;=0.41,"High Windspeed")</f>
        <v>Low Windspeed</v>
      </c>
      <c r="R341" s="36">
        <v>21</v>
      </c>
      <c r="S341" s="36">
        <v>108</v>
      </c>
      <c r="T341" s="37">
        <v>129</v>
      </c>
      <c r="U341" s="39" t="str" cm="1">
        <f t="array" ref="U341">_xlfn.IFS(T341&lt;=70,"Low",T341&lt;=160,"Medium",T341&gt;=161,"High")</f>
        <v>Medium</v>
      </c>
    </row>
    <row r="342" spans="1:21" x14ac:dyDescent="0.25">
      <c r="A342" s="33">
        <v>341</v>
      </c>
      <c r="B342" s="34">
        <v>40558</v>
      </c>
      <c r="C342" s="35">
        <v>1</v>
      </c>
      <c r="D342" s="35">
        <v>0</v>
      </c>
      <c r="E342" s="35">
        <v>1</v>
      </c>
      <c r="F342" s="35">
        <v>16</v>
      </c>
      <c r="G342" s="35" t="str" cm="1">
        <f t="array" ref="G342">_xlfn.IFS(F342&lt;4,"Night",F342&lt;=6,"Early Morning",F342&lt;11,"Morning",F342&lt;12,"Afternoon",F342&lt;=16,"Afternoon",F342&lt;=20,"Evening",F342&gt;=21,"Night")</f>
        <v>Afternoon</v>
      </c>
      <c r="H342" s="35" t="b">
        <v>0</v>
      </c>
      <c r="I342" s="35">
        <v>6</v>
      </c>
      <c r="J342" s="35">
        <v>2</v>
      </c>
      <c r="K342" s="31">
        <v>0.34</v>
      </c>
      <c r="L342" s="31" t="str" cm="1">
        <f t="array" ref="L342">_xlfn.IFS(K342&lt;0.15,"Cold",K342&lt;0.25,"Mild",K342&lt;=0.32,"Warm",K342&gt;=0.33,"Hot")</f>
        <v>Hot</v>
      </c>
      <c r="M342" s="36">
        <v>0.33329999999999999</v>
      </c>
      <c r="N342" s="36">
        <v>0.34</v>
      </c>
      <c r="O342" s="36" t="str" cm="1">
        <f t="array" ref="O342">_xlfn.IFS(N342&gt;0.61, "High Humidity", N342&gt;=0.6, "Humid", N342&gt;0.4, "Less Humidity", TRUE, "Dry")</f>
        <v>Dry</v>
      </c>
      <c r="P342" s="36">
        <v>0.19400000000000001</v>
      </c>
      <c r="Q342" s="36" t="str" cm="1">
        <f t="array" ref="Q342">_xlfn.IFS(P342&lt;=0.2,"Low Windspeed",P342&lt;0.4,"Medium Windspeed",P342&gt;=0.41,"High Windspeed")</f>
        <v>Low Windspeed</v>
      </c>
      <c r="R342" s="36">
        <v>33</v>
      </c>
      <c r="S342" s="36">
        <v>95</v>
      </c>
      <c r="T342" s="37">
        <v>128</v>
      </c>
      <c r="U342" s="39" t="str" cm="1">
        <f t="array" ref="U342">_xlfn.IFS(T342&lt;=70,"Low",T342&lt;=160,"Medium",T342&gt;=161,"High")</f>
        <v>Medium</v>
      </c>
    </row>
    <row r="343" spans="1:21" x14ac:dyDescent="0.25">
      <c r="A343" s="33">
        <v>342</v>
      </c>
      <c r="B343" s="34">
        <v>40558</v>
      </c>
      <c r="C343" s="35">
        <v>1</v>
      </c>
      <c r="D343" s="35">
        <v>0</v>
      </c>
      <c r="E343" s="35">
        <v>1</v>
      </c>
      <c r="F343" s="35">
        <v>17</v>
      </c>
      <c r="G343" s="35" t="str" cm="1">
        <f t="array" ref="G343">_xlfn.IFS(F343&lt;4,"Night",F343&lt;=6,"Early Morning",F343&lt;11,"Morning",F343&lt;12,"Afternoon",F343&lt;=16,"Afternoon",F343&lt;=20,"Evening",F343&gt;=21,"Night")</f>
        <v>Evening</v>
      </c>
      <c r="H343" s="35" t="b">
        <v>0</v>
      </c>
      <c r="I343" s="35">
        <v>6</v>
      </c>
      <c r="J343" s="35">
        <v>2</v>
      </c>
      <c r="K343" s="31">
        <v>0.32</v>
      </c>
      <c r="L343" s="31" t="str" cm="1">
        <f t="array" ref="L343">_xlfn.IFS(K343&lt;0.15,"Cold",K343&lt;0.25,"Mild",K343&lt;=0.32,"Warm",K343&gt;=0.33,"Hot")</f>
        <v>Warm</v>
      </c>
      <c r="M343" s="36">
        <v>0.30299999999999999</v>
      </c>
      <c r="N343" s="36">
        <v>0.36</v>
      </c>
      <c r="O343" s="36" t="str" cm="1">
        <f t="array" ref="O343">_xlfn.IFS(N343&gt;0.61, "High Humidity", N343&gt;=0.6, "Humid", N343&gt;0.4, "Less Humidity", TRUE, "Dry")</f>
        <v>Dry</v>
      </c>
      <c r="P343" s="36">
        <v>0.28360000000000002</v>
      </c>
      <c r="Q343" s="36" t="str" cm="1">
        <f t="array" ref="Q343">_xlfn.IFS(P343&lt;=0.2,"Low Windspeed",P343&lt;0.4,"Medium Windspeed",P343&gt;=0.41,"High Windspeed")</f>
        <v>Medium Windspeed</v>
      </c>
      <c r="R343" s="36">
        <v>29</v>
      </c>
      <c r="S343" s="36">
        <v>54</v>
      </c>
      <c r="T343" s="37">
        <v>83</v>
      </c>
      <c r="U343" s="39" t="str" cm="1">
        <f t="array" ref="U343">_xlfn.IFS(T343&lt;=70,"Low",T343&lt;=160,"Medium",T343&gt;=161,"High")</f>
        <v>Medium</v>
      </c>
    </row>
    <row r="344" spans="1:21" x14ac:dyDescent="0.25">
      <c r="A344" s="33">
        <v>343</v>
      </c>
      <c r="B344" s="34">
        <v>40558</v>
      </c>
      <c r="C344" s="35">
        <v>1</v>
      </c>
      <c r="D344" s="35">
        <v>0</v>
      </c>
      <c r="E344" s="35">
        <v>1</v>
      </c>
      <c r="F344" s="35">
        <v>18</v>
      </c>
      <c r="G344" s="35" t="str" cm="1">
        <f t="array" ref="G344">_xlfn.IFS(F344&lt;4,"Night",F344&lt;=6,"Early Morning",F344&lt;11,"Morning",F344&lt;12,"Afternoon",F344&lt;=16,"Afternoon",F344&lt;=20,"Evening",F344&gt;=21,"Night")</f>
        <v>Evening</v>
      </c>
      <c r="H344" s="35" t="b">
        <v>0</v>
      </c>
      <c r="I344" s="35">
        <v>6</v>
      </c>
      <c r="J344" s="35">
        <v>2</v>
      </c>
      <c r="K344" s="31">
        <v>0.3</v>
      </c>
      <c r="L344" s="31" t="str" cm="1">
        <f t="array" ref="L344">_xlfn.IFS(K344&lt;0.15,"Cold",K344&lt;0.25,"Mild",K344&lt;=0.32,"Warm",K344&gt;=0.33,"Hot")</f>
        <v>Warm</v>
      </c>
      <c r="M344" s="36">
        <v>0.28789999999999999</v>
      </c>
      <c r="N344" s="36">
        <v>0.45</v>
      </c>
      <c r="O344" s="36" t="str" cm="1">
        <f t="array" ref="O344">_xlfn.IFS(N344&gt;0.61, "High Humidity", N344&gt;=0.6, "Humid", N344&gt;0.4, "Less Humidity", TRUE, "Dry")</f>
        <v>Less Humidity</v>
      </c>
      <c r="P344" s="36">
        <v>0.25369999999999998</v>
      </c>
      <c r="Q344" s="36" t="str" cm="1">
        <f t="array" ref="Q344">_xlfn.IFS(P344&lt;=0.2,"Low Windspeed",P344&lt;0.4,"Medium Windspeed",P344&gt;=0.41,"High Windspeed")</f>
        <v>Medium Windspeed</v>
      </c>
      <c r="R344" s="36">
        <v>15</v>
      </c>
      <c r="S344" s="36">
        <v>69</v>
      </c>
      <c r="T344" s="37">
        <v>84</v>
      </c>
      <c r="U344" s="39" t="str" cm="1">
        <f t="array" ref="U344">_xlfn.IFS(T344&lt;=70,"Low",T344&lt;=160,"Medium",T344&gt;=161,"High")</f>
        <v>Medium</v>
      </c>
    </row>
    <row r="345" spans="1:21" x14ac:dyDescent="0.25">
      <c r="A345" s="33">
        <v>344</v>
      </c>
      <c r="B345" s="34">
        <v>40558</v>
      </c>
      <c r="C345" s="35">
        <v>1</v>
      </c>
      <c r="D345" s="35">
        <v>0</v>
      </c>
      <c r="E345" s="35">
        <v>1</v>
      </c>
      <c r="F345" s="35">
        <v>19</v>
      </c>
      <c r="G345" s="35" t="str" cm="1">
        <f t="array" ref="G345">_xlfn.IFS(F345&lt;4,"Night",F345&lt;=6,"Early Morning",F345&lt;11,"Morning",F345&lt;12,"Afternoon",F345&lt;=16,"Afternoon",F345&lt;=20,"Evening",F345&gt;=21,"Night")</f>
        <v>Evening</v>
      </c>
      <c r="H345" s="35" t="b">
        <v>0</v>
      </c>
      <c r="I345" s="35">
        <v>6</v>
      </c>
      <c r="J345" s="35">
        <v>2</v>
      </c>
      <c r="K345" s="31">
        <v>0.32</v>
      </c>
      <c r="L345" s="31" t="str" cm="1">
        <f t="array" ref="L345">_xlfn.IFS(K345&lt;0.15,"Cold",K345&lt;0.25,"Mild",K345&lt;=0.32,"Warm",K345&gt;=0.33,"Hot")</f>
        <v>Warm</v>
      </c>
      <c r="M345" s="36">
        <v>0.30299999999999999</v>
      </c>
      <c r="N345" s="36">
        <v>0.39</v>
      </c>
      <c r="O345" s="36" t="str" cm="1">
        <f t="array" ref="O345">_xlfn.IFS(N345&gt;0.61, "High Humidity", N345&gt;=0.6, "Humid", N345&gt;0.4, "Less Humidity", TRUE, "Dry")</f>
        <v>Dry</v>
      </c>
      <c r="P345" s="36">
        <v>0.25369999999999998</v>
      </c>
      <c r="Q345" s="36" t="str" cm="1">
        <f t="array" ref="Q345">_xlfn.IFS(P345&lt;=0.2,"Low Windspeed",P345&lt;0.4,"Medium Windspeed",P345&gt;=0.41,"High Windspeed")</f>
        <v>Medium Windspeed</v>
      </c>
      <c r="R345" s="36">
        <v>14</v>
      </c>
      <c r="S345" s="36">
        <v>60</v>
      </c>
      <c r="T345" s="37">
        <v>74</v>
      </c>
      <c r="U345" s="39" t="str" cm="1">
        <f t="array" ref="U345">_xlfn.IFS(T345&lt;=70,"Low",T345&lt;=160,"Medium",T345&gt;=161,"High")</f>
        <v>Medium</v>
      </c>
    </row>
    <row r="346" spans="1:21" x14ac:dyDescent="0.25">
      <c r="A346" s="33">
        <v>345</v>
      </c>
      <c r="B346" s="34">
        <v>40558</v>
      </c>
      <c r="C346" s="35">
        <v>1</v>
      </c>
      <c r="D346" s="35">
        <v>0</v>
      </c>
      <c r="E346" s="35">
        <v>1</v>
      </c>
      <c r="F346" s="35">
        <v>20</v>
      </c>
      <c r="G346" s="35" t="str" cm="1">
        <f t="array" ref="G346">_xlfn.IFS(F346&lt;4,"Night",F346&lt;=6,"Early Morning",F346&lt;11,"Morning",F346&lt;12,"Afternoon",F346&lt;=16,"Afternoon",F346&lt;=20,"Evening",F346&gt;=21,"Night")</f>
        <v>Evening</v>
      </c>
      <c r="H346" s="35" t="b">
        <v>0</v>
      </c>
      <c r="I346" s="35">
        <v>6</v>
      </c>
      <c r="J346" s="35">
        <v>2</v>
      </c>
      <c r="K346" s="31">
        <v>0.32</v>
      </c>
      <c r="L346" s="31" t="str" cm="1">
        <f t="array" ref="L346">_xlfn.IFS(K346&lt;0.15,"Cold",K346&lt;0.25,"Mild",K346&lt;=0.32,"Warm",K346&gt;=0.33,"Hot")</f>
        <v>Warm</v>
      </c>
      <c r="M346" s="36">
        <v>0.30299999999999999</v>
      </c>
      <c r="N346" s="36">
        <v>0.39</v>
      </c>
      <c r="O346" s="36" t="str" cm="1">
        <f t="array" ref="O346">_xlfn.IFS(N346&gt;0.61, "High Humidity", N346&gt;=0.6, "Humid", N346&gt;0.4, "Less Humidity", TRUE, "Dry")</f>
        <v>Dry</v>
      </c>
      <c r="P346" s="36">
        <v>0.25369999999999998</v>
      </c>
      <c r="Q346" s="36" t="str" cm="1">
        <f t="array" ref="Q346">_xlfn.IFS(P346&lt;=0.2,"Low Windspeed",P346&lt;0.4,"Medium Windspeed",P346&gt;=0.41,"High Windspeed")</f>
        <v>Medium Windspeed</v>
      </c>
      <c r="R346" s="36">
        <v>6</v>
      </c>
      <c r="S346" s="36">
        <v>35</v>
      </c>
      <c r="T346" s="37">
        <v>41</v>
      </c>
      <c r="U346" s="39" t="str" cm="1">
        <f t="array" ref="U346">_xlfn.IFS(T346&lt;=70,"Low",T346&lt;=160,"Medium",T346&gt;=161,"High")</f>
        <v>Low</v>
      </c>
    </row>
    <row r="347" spans="1:21" x14ac:dyDescent="0.25">
      <c r="A347" s="33">
        <v>346</v>
      </c>
      <c r="B347" s="34">
        <v>40558</v>
      </c>
      <c r="C347" s="35">
        <v>1</v>
      </c>
      <c r="D347" s="35">
        <v>0</v>
      </c>
      <c r="E347" s="35">
        <v>1</v>
      </c>
      <c r="F347" s="35">
        <v>21</v>
      </c>
      <c r="G347" s="35" t="str" cm="1">
        <f t="array" ref="G347">_xlfn.IFS(F347&lt;4,"Night",F347&lt;=6,"Early Morning",F347&lt;11,"Morning",F347&lt;12,"Afternoon",F347&lt;=16,"Afternoon",F347&lt;=20,"Evening",F347&gt;=21,"Night")</f>
        <v>Night</v>
      </c>
      <c r="H347" s="35" t="b">
        <v>0</v>
      </c>
      <c r="I347" s="35">
        <v>6</v>
      </c>
      <c r="J347" s="35">
        <v>2</v>
      </c>
      <c r="K347" s="31">
        <v>0.32</v>
      </c>
      <c r="L347" s="31" t="str" cm="1">
        <f t="array" ref="L347">_xlfn.IFS(K347&lt;0.15,"Cold",K347&lt;0.25,"Mild",K347&lt;=0.32,"Warm",K347&gt;=0.33,"Hot")</f>
        <v>Warm</v>
      </c>
      <c r="M347" s="36">
        <v>0.30299999999999999</v>
      </c>
      <c r="N347" s="36">
        <v>0.39</v>
      </c>
      <c r="O347" s="36" t="str" cm="1">
        <f t="array" ref="O347">_xlfn.IFS(N347&gt;0.61, "High Humidity", N347&gt;=0.6, "Humid", N347&gt;0.4, "Less Humidity", TRUE, "Dry")</f>
        <v>Dry</v>
      </c>
      <c r="P347" s="36">
        <v>0.22389999999999999</v>
      </c>
      <c r="Q347" s="36" t="str" cm="1">
        <f t="array" ref="Q347">_xlfn.IFS(P347&lt;=0.2,"Low Windspeed",P347&lt;0.4,"Medium Windspeed",P347&gt;=0.41,"High Windspeed")</f>
        <v>Medium Windspeed</v>
      </c>
      <c r="R347" s="36">
        <v>6</v>
      </c>
      <c r="S347" s="36">
        <v>51</v>
      </c>
      <c r="T347" s="37">
        <v>57</v>
      </c>
      <c r="U347" s="39" t="str" cm="1">
        <f t="array" ref="U347">_xlfn.IFS(T347&lt;=70,"Low",T347&lt;=160,"Medium",T347&gt;=161,"High")</f>
        <v>Low</v>
      </c>
    </row>
    <row r="348" spans="1:21" x14ac:dyDescent="0.25">
      <c r="A348" s="33">
        <v>347</v>
      </c>
      <c r="B348" s="34">
        <v>40558</v>
      </c>
      <c r="C348" s="35">
        <v>1</v>
      </c>
      <c r="D348" s="35">
        <v>0</v>
      </c>
      <c r="E348" s="35">
        <v>1</v>
      </c>
      <c r="F348" s="35">
        <v>22</v>
      </c>
      <c r="G348" s="35" t="str" cm="1">
        <f t="array" ref="G348">_xlfn.IFS(F348&lt;4,"Night",F348&lt;=6,"Early Morning",F348&lt;11,"Morning",F348&lt;12,"Afternoon",F348&lt;=16,"Afternoon",F348&lt;=20,"Evening",F348&gt;=21,"Night")</f>
        <v>Night</v>
      </c>
      <c r="H348" s="35" t="b">
        <v>0</v>
      </c>
      <c r="I348" s="35">
        <v>6</v>
      </c>
      <c r="J348" s="35">
        <v>2</v>
      </c>
      <c r="K348" s="31">
        <v>0.3</v>
      </c>
      <c r="L348" s="31" t="str" cm="1">
        <f t="array" ref="L348">_xlfn.IFS(K348&lt;0.15,"Cold",K348&lt;0.25,"Mild",K348&lt;=0.32,"Warm",K348&gt;=0.33,"Hot")</f>
        <v>Warm</v>
      </c>
      <c r="M348" s="36">
        <v>0.31819999999999998</v>
      </c>
      <c r="N348" s="36">
        <v>0.42</v>
      </c>
      <c r="O348" s="36" t="str" cm="1">
        <f t="array" ref="O348">_xlfn.IFS(N348&gt;0.61, "High Humidity", N348&gt;=0.6, "Humid", N348&gt;0.4, "Less Humidity", TRUE, "Dry")</f>
        <v>Less Humidity</v>
      </c>
      <c r="P348" s="36">
        <v>0.1045</v>
      </c>
      <c r="Q348" s="36" t="str" cm="1">
        <f t="array" ref="Q348">_xlfn.IFS(P348&lt;=0.2,"Low Windspeed",P348&lt;0.4,"Medium Windspeed",P348&gt;=0.41,"High Windspeed")</f>
        <v>Low Windspeed</v>
      </c>
      <c r="R348" s="36">
        <v>0</v>
      </c>
      <c r="S348" s="36">
        <v>26</v>
      </c>
      <c r="T348" s="37">
        <v>26</v>
      </c>
      <c r="U348" s="39" t="str" cm="1">
        <f t="array" ref="U348">_xlfn.IFS(T348&lt;=70,"Low",T348&lt;=160,"Medium",T348&gt;=161,"High")</f>
        <v>Low</v>
      </c>
    </row>
    <row r="349" spans="1:21" x14ac:dyDescent="0.25">
      <c r="A349" s="33">
        <v>348</v>
      </c>
      <c r="B349" s="34">
        <v>40558</v>
      </c>
      <c r="C349" s="35">
        <v>1</v>
      </c>
      <c r="D349" s="35">
        <v>0</v>
      </c>
      <c r="E349" s="35">
        <v>1</v>
      </c>
      <c r="F349" s="35">
        <v>23</v>
      </c>
      <c r="G349" s="35" t="str" cm="1">
        <f t="array" ref="G349">_xlfn.IFS(F349&lt;4,"Night",F349&lt;=6,"Early Morning",F349&lt;11,"Morning",F349&lt;12,"Afternoon",F349&lt;=16,"Afternoon",F349&lt;=20,"Evening",F349&gt;=21,"Night")</f>
        <v>Night</v>
      </c>
      <c r="H349" s="35" t="b">
        <v>0</v>
      </c>
      <c r="I349" s="35">
        <v>6</v>
      </c>
      <c r="J349" s="35">
        <v>1</v>
      </c>
      <c r="K349" s="31">
        <v>0.3</v>
      </c>
      <c r="L349" s="31" t="str" cm="1">
        <f t="array" ref="L349">_xlfn.IFS(K349&lt;0.15,"Cold",K349&lt;0.25,"Mild",K349&lt;=0.32,"Warm",K349&gt;=0.33,"Hot")</f>
        <v>Warm</v>
      </c>
      <c r="M349" s="36">
        <v>0.28789999999999999</v>
      </c>
      <c r="N349" s="36">
        <v>0.45</v>
      </c>
      <c r="O349" s="36" t="str" cm="1">
        <f t="array" ref="O349">_xlfn.IFS(N349&gt;0.61, "High Humidity", N349&gt;=0.6, "Humid", N349&gt;0.4, "Less Humidity", TRUE, "Dry")</f>
        <v>Less Humidity</v>
      </c>
      <c r="P349" s="36">
        <v>0.28360000000000002</v>
      </c>
      <c r="Q349" s="36" t="str" cm="1">
        <f t="array" ref="Q349">_xlfn.IFS(P349&lt;=0.2,"Low Windspeed",P349&lt;0.4,"Medium Windspeed",P349&gt;=0.41,"High Windspeed")</f>
        <v>Medium Windspeed</v>
      </c>
      <c r="R349" s="36">
        <v>5</v>
      </c>
      <c r="S349" s="36">
        <v>39</v>
      </c>
      <c r="T349" s="37">
        <v>44</v>
      </c>
      <c r="U349" s="39" t="str" cm="1">
        <f t="array" ref="U349">_xlfn.IFS(T349&lt;=70,"Low",T349&lt;=160,"Medium",T349&gt;=161,"High")</f>
        <v>Low</v>
      </c>
    </row>
    <row r="350" spans="1:21" x14ac:dyDescent="0.25">
      <c r="A350" s="33">
        <v>349</v>
      </c>
      <c r="B350" s="34">
        <v>40559</v>
      </c>
      <c r="C350" s="35">
        <v>1</v>
      </c>
      <c r="D350" s="35">
        <v>0</v>
      </c>
      <c r="E350" s="35">
        <v>1</v>
      </c>
      <c r="F350" s="35">
        <v>0</v>
      </c>
      <c r="G350" s="35" t="str" cm="1">
        <f t="array" ref="G350">_xlfn.IFS(F350&lt;4,"Night",F350&lt;=6,"Early Morning",F350&lt;11,"Morning",F350&lt;12,"Afternoon",F350&lt;=16,"Afternoon",F350&lt;=20,"Evening",F350&gt;=21,"Night")</f>
        <v>Night</v>
      </c>
      <c r="H350" s="35" t="b">
        <v>0</v>
      </c>
      <c r="I350" s="35">
        <v>0</v>
      </c>
      <c r="J350" s="35">
        <v>1</v>
      </c>
      <c r="K350" s="31">
        <v>0.26</v>
      </c>
      <c r="L350" s="31" t="str" cm="1">
        <f t="array" ref="L350">_xlfn.IFS(K350&lt;0.15,"Cold",K350&lt;0.25,"Mild",K350&lt;=0.32,"Warm",K350&gt;=0.33,"Hot")</f>
        <v>Warm</v>
      </c>
      <c r="M350" s="36">
        <v>0.30299999999999999</v>
      </c>
      <c r="N350" s="36">
        <v>0.56000000000000005</v>
      </c>
      <c r="O350" s="36" t="str" cm="1">
        <f t="array" ref="O350">_xlfn.IFS(N350&gt;0.61, "High Humidity", N350&gt;=0.6, "Humid", N350&gt;0.4, "Less Humidity", TRUE, "Dry")</f>
        <v>Less Humidity</v>
      </c>
      <c r="P350" s="36">
        <v>0</v>
      </c>
      <c r="Q350" s="36" t="str" cm="1">
        <f t="array" ref="Q350">_xlfn.IFS(P350&lt;=0.2,"Low Windspeed",P350&lt;0.4,"Medium Windspeed",P350&gt;=0.41,"High Windspeed")</f>
        <v>Low Windspeed</v>
      </c>
      <c r="R350" s="36">
        <v>6</v>
      </c>
      <c r="S350" s="36">
        <v>33</v>
      </c>
      <c r="T350" s="37">
        <v>39</v>
      </c>
      <c r="U350" s="39" t="str" cm="1">
        <f t="array" ref="U350">_xlfn.IFS(T350&lt;=70,"Low",T350&lt;=160,"Medium",T350&gt;=161,"High")</f>
        <v>Low</v>
      </c>
    </row>
    <row r="351" spans="1:21" x14ac:dyDescent="0.25">
      <c r="A351" s="33">
        <v>350</v>
      </c>
      <c r="B351" s="34">
        <v>40559</v>
      </c>
      <c r="C351" s="35">
        <v>1</v>
      </c>
      <c r="D351" s="35">
        <v>0</v>
      </c>
      <c r="E351" s="35">
        <v>1</v>
      </c>
      <c r="F351" s="35">
        <v>1</v>
      </c>
      <c r="G351" s="35" t="str" cm="1">
        <f t="array" ref="G351">_xlfn.IFS(F351&lt;4,"Night",F351&lt;=6,"Early Morning",F351&lt;11,"Morning",F351&lt;12,"Afternoon",F351&lt;=16,"Afternoon",F351&lt;=20,"Evening",F351&gt;=21,"Night")</f>
        <v>Night</v>
      </c>
      <c r="H351" s="35" t="b">
        <v>0</v>
      </c>
      <c r="I351" s="35">
        <v>0</v>
      </c>
      <c r="J351" s="35">
        <v>1</v>
      </c>
      <c r="K351" s="31">
        <v>0.26</v>
      </c>
      <c r="L351" s="31" t="str" cm="1">
        <f t="array" ref="L351">_xlfn.IFS(K351&lt;0.15,"Cold",K351&lt;0.25,"Mild",K351&lt;=0.32,"Warm",K351&gt;=0.33,"Hot")</f>
        <v>Warm</v>
      </c>
      <c r="M351" s="36">
        <v>0.2727</v>
      </c>
      <c r="N351" s="36">
        <v>0.56000000000000005</v>
      </c>
      <c r="O351" s="36" t="str" cm="1">
        <f t="array" ref="O351">_xlfn.IFS(N351&gt;0.61, "High Humidity", N351&gt;=0.6, "Humid", N351&gt;0.4, "Less Humidity", TRUE, "Dry")</f>
        <v>Less Humidity</v>
      </c>
      <c r="P351" s="36">
        <v>0.1343</v>
      </c>
      <c r="Q351" s="36" t="str" cm="1">
        <f t="array" ref="Q351">_xlfn.IFS(P351&lt;=0.2,"Low Windspeed",P351&lt;0.4,"Medium Windspeed",P351&gt;=0.41,"High Windspeed")</f>
        <v>Low Windspeed</v>
      </c>
      <c r="R351" s="36">
        <v>4</v>
      </c>
      <c r="S351" s="36">
        <v>19</v>
      </c>
      <c r="T351" s="37">
        <v>23</v>
      </c>
      <c r="U351" s="39" t="str" cm="1">
        <f t="array" ref="U351">_xlfn.IFS(T351&lt;=70,"Low",T351&lt;=160,"Medium",T351&gt;=161,"High")</f>
        <v>Low</v>
      </c>
    </row>
    <row r="352" spans="1:21" x14ac:dyDescent="0.25">
      <c r="A352" s="33">
        <v>351</v>
      </c>
      <c r="B352" s="34">
        <v>40559</v>
      </c>
      <c r="C352" s="35">
        <v>1</v>
      </c>
      <c r="D352" s="35">
        <v>0</v>
      </c>
      <c r="E352" s="35">
        <v>1</v>
      </c>
      <c r="F352" s="35">
        <v>2</v>
      </c>
      <c r="G352" s="35" t="str" cm="1">
        <f t="array" ref="G352">_xlfn.IFS(F352&lt;4,"Night",F352&lt;=6,"Early Morning",F352&lt;11,"Morning",F352&lt;12,"Afternoon",F352&lt;=16,"Afternoon",F352&lt;=20,"Evening",F352&gt;=21,"Night")</f>
        <v>Night</v>
      </c>
      <c r="H352" s="35" t="b">
        <v>0</v>
      </c>
      <c r="I352" s="35">
        <v>0</v>
      </c>
      <c r="J352" s="35">
        <v>1</v>
      </c>
      <c r="K352" s="31">
        <v>0.26</v>
      </c>
      <c r="L352" s="31" t="str" cm="1">
        <f t="array" ref="L352">_xlfn.IFS(K352&lt;0.15,"Cold",K352&lt;0.25,"Mild",K352&lt;=0.32,"Warm",K352&gt;=0.33,"Hot")</f>
        <v>Warm</v>
      </c>
      <c r="M352" s="36">
        <v>0.28789999999999999</v>
      </c>
      <c r="N352" s="36">
        <v>0.56000000000000005</v>
      </c>
      <c r="O352" s="36" t="str" cm="1">
        <f t="array" ref="O352">_xlfn.IFS(N352&gt;0.61, "High Humidity", N352&gt;=0.6, "Humid", N352&gt;0.4, "Less Humidity", TRUE, "Dry")</f>
        <v>Less Humidity</v>
      </c>
      <c r="P352" s="36">
        <v>8.9599999999999999E-2</v>
      </c>
      <c r="Q352" s="36" t="str" cm="1">
        <f t="array" ref="Q352">_xlfn.IFS(P352&lt;=0.2,"Low Windspeed",P352&lt;0.4,"Medium Windspeed",P352&gt;=0.41,"High Windspeed")</f>
        <v>Low Windspeed</v>
      </c>
      <c r="R352" s="36">
        <v>3</v>
      </c>
      <c r="S352" s="36">
        <v>13</v>
      </c>
      <c r="T352" s="37">
        <v>16</v>
      </c>
      <c r="U352" s="39" t="str" cm="1">
        <f t="array" ref="U352">_xlfn.IFS(T352&lt;=70,"Low",T352&lt;=160,"Medium",T352&gt;=161,"High")</f>
        <v>Low</v>
      </c>
    </row>
    <row r="353" spans="1:21" x14ac:dyDescent="0.25">
      <c r="A353" s="33">
        <v>352</v>
      </c>
      <c r="B353" s="34">
        <v>40559</v>
      </c>
      <c r="C353" s="35">
        <v>1</v>
      </c>
      <c r="D353" s="35">
        <v>0</v>
      </c>
      <c r="E353" s="35">
        <v>1</v>
      </c>
      <c r="F353" s="35">
        <v>3</v>
      </c>
      <c r="G353" s="35" t="str" cm="1">
        <f t="array" ref="G353">_xlfn.IFS(F353&lt;4,"Night",F353&lt;=6,"Early Morning",F353&lt;11,"Morning",F353&lt;12,"Afternoon",F353&lt;=16,"Afternoon",F353&lt;=20,"Evening",F353&gt;=21,"Night")</f>
        <v>Night</v>
      </c>
      <c r="H353" s="35" t="b">
        <v>0</v>
      </c>
      <c r="I353" s="35">
        <v>0</v>
      </c>
      <c r="J353" s="35">
        <v>1</v>
      </c>
      <c r="K353" s="31">
        <v>0.22</v>
      </c>
      <c r="L353" s="31" t="str" cm="1">
        <f t="array" ref="L353">_xlfn.IFS(K353&lt;0.15,"Cold",K353&lt;0.25,"Mild",K353&lt;=0.32,"Warm",K353&gt;=0.33,"Hot")</f>
        <v>Mild</v>
      </c>
      <c r="M353" s="36">
        <v>0.2727</v>
      </c>
      <c r="N353" s="36">
        <v>0.69</v>
      </c>
      <c r="O353" s="36" t="str" cm="1">
        <f t="array" ref="O353">_xlfn.IFS(N353&gt;0.61, "High Humidity", N353&gt;=0.6, "Humid", N353&gt;0.4, "Less Humidity", TRUE, "Dry")</f>
        <v>High Humidity</v>
      </c>
      <c r="P353" s="36">
        <v>0</v>
      </c>
      <c r="Q353" s="36" t="str" cm="1">
        <f t="array" ref="Q353">_xlfn.IFS(P353&lt;=0.2,"Low Windspeed",P353&lt;0.4,"Medium Windspeed",P353&gt;=0.41,"High Windspeed")</f>
        <v>Low Windspeed</v>
      </c>
      <c r="R353" s="36">
        <v>9</v>
      </c>
      <c r="S353" s="36">
        <v>6</v>
      </c>
      <c r="T353" s="37">
        <v>15</v>
      </c>
      <c r="U353" s="39" t="str" cm="1">
        <f t="array" ref="U353">_xlfn.IFS(T353&lt;=70,"Low",T353&lt;=160,"Medium",T353&gt;=161,"High")</f>
        <v>Low</v>
      </c>
    </row>
    <row r="354" spans="1:21" x14ac:dyDescent="0.25">
      <c r="A354" s="33">
        <v>353</v>
      </c>
      <c r="B354" s="34">
        <v>40559</v>
      </c>
      <c r="C354" s="35">
        <v>1</v>
      </c>
      <c r="D354" s="35">
        <v>0</v>
      </c>
      <c r="E354" s="35">
        <v>1</v>
      </c>
      <c r="F354" s="35">
        <v>4</v>
      </c>
      <c r="G354" s="35" t="str" cm="1">
        <f t="array" ref="G354">_xlfn.IFS(F354&lt;4,"Night",F354&lt;=6,"Early Morning",F354&lt;11,"Morning",F354&lt;12,"Afternoon",F354&lt;=16,"Afternoon",F354&lt;=20,"Evening",F354&gt;=21,"Night")</f>
        <v>Early Morning</v>
      </c>
      <c r="H354" s="35" t="b">
        <v>0</v>
      </c>
      <c r="I354" s="35">
        <v>0</v>
      </c>
      <c r="J354" s="35">
        <v>1</v>
      </c>
      <c r="K354" s="31">
        <v>0.26</v>
      </c>
      <c r="L354" s="31" t="str" cm="1">
        <f t="array" ref="L354">_xlfn.IFS(K354&lt;0.15,"Cold",K354&lt;0.25,"Mild",K354&lt;=0.32,"Warm",K354&gt;=0.33,"Hot")</f>
        <v>Warm</v>
      </c>
      <c r="M354" s="36">
        <v>0.2576</v>
      </c>
      <c r="N354" s="36">
        <v>0.56000000000000005</v>
      </c>
      <c r="O354" s="36" t="str" cm="1">
        <f t="array" ref="O354">_xlfn.IFS(N354&gt;0.61, "High Humidity", N354&gt;=0.6, "Humid", N354&gt;0.4, "Less Humidity", TRUE, "Dry")</f>
        <v>Less Humidity</v>
      </c>
      <c r="P354" s="36">
        <v>0.16420000000000001</v>
      </c>
      <c r="Q354" s="36" t="str" cm="1">
        <f t="array" ref="Q354">_xlfn.IFS(P354&lt;=0.2,"Low Windspeed",P354&lt;0.4,"Medium Windspeed",P354&gt;=0.41,"High Windspeed")</f>
        <v>Low Windspeed</v>
      </c>
      <c r="R354" s="36">
        <v>0</v>
      </c>
      <c r="S354" s="36">
        <v>1</v>
      </c>
      <c r="T354" s="37">
        <v>1</v>
      </c>
      <c r="U354" s="39" t="str" cm="1">
        <f t="array" ref="U354">_xlfn.IFS(T354&lt;=70,"Low",T354&lt;=160,"Medium",T354&gt;=161,"High")</f>
        <v>Low</v>
      </c>
    </row>
    <row r="355" spans="1:21" x14ac:dyDescent="0.25">
      <c r="A355" s="33">
        <v>354</v>
      </c>
      <c r="B355" s="34">
        <v>40559</v>
      </c>
      <c r="C355" s="35">
        <v>1</v>
      </c>
      <c r="D355" s="35">
        <v>0</v>
      </c>
      <c r="E355" s="35">
        <v>1</v>
      </c>
      <c r="F355" s="35">
        <v>5</v>
      </c>
      <c r="G355" s="35" t="str" cm="1">
        <f t="array" ref="G355">_xlfn.IFS(F355&lt;4,"Night",F355&lt;=6,"Early Morning",F355&lt;11,"Morning",F355&lt;12,"Afternoon",F355&lt;=16,"Afternoon",F355&lt;=20,"Evening",F355&gt;=21,"Night")</f>
        <v>Early Morning</v>
      </c>
      <c r="H355" s="35" t="b">
        <v>0</v>
      </c>
      <c r="I355" s="35">
        <v>0</v>
      </c>
      <c r="J355" s="35">
        <v>2</v>
      </c>
      <c r="K355" s="31">
        <v>0.26</v>
      </c>
      <c r="L355" s="31" t="str" cm="1">
        <f t="array" ref="L355">_xlfn.IFS(K355&lt;0.15,"Cold",K355&lt;0.25,"Mild",K355&lt;=0.32,"Warm",K355&gt;=0.33,"Hot")</f>
        <v>Warm</v>
      </c>
      <c r="M355" s="36">
        <v>0.2576</v>
      </c>
      <c r="N355" s="36">
        <v>0.56000000000000005</v>
      </c>
      <c r="O355" s="36" t="str" cm="1">
        <f t="array" ref="O355">_xlfn.IFS(N355&gt;0.61, "High Humidity", N355&gt;=0.6, "Humid", N355&gt;0.4, "Less Humidity", TRUE, "Dry")</f>
        <v>Less Humidity</v>
      </c>
      <c r="P355" s="36">
        <v>0.16420000000000001</v>
      </c>
      <c r="Q355" s="36" t="str" cm="1">
        <f t="array" ref="Q355">_xlfn.IFS(P355&lt;=0.2,"Low Windspeed",P355&lt;0.4,"Medium Windspeed",P355&gt;=0.41,"High Windspeed")</f>
        <v>Low Windspeed</v>
      </c>
      <c r="R355" s="36">
        <v>1</v>
      </c>
      <c r="S355" s="36">
        <v>1</v>
      </c>
      <c r="T355" s="37">
        <v>2</v>
      </c>
      <c r="U355" s="39" t="str" cm="1">
        <f t="array" ref="U355">_xlfn.IFS(T355&lt;=70,"Low",T355&lt;=160,"Medium",T355&gt;=161,"High")</f>
        <v>Low</v>
      </c>
    </row>
    <row r="356" spans="1:21" x14ac:dyDescent="0.25">
      <c r="A356" s="33">
        <v>355</v>
      </c>
      <c r="B356" s="34">
        <v>40559</v>
      </c>
      <c r="C356" s="35">
        <v>1</v>
      </c>
      <c r="D356" s="35">
        <v>0</v>
      </c>
      <c r="E356" s="35">
        <v>1</v>
      </c>
      <c r="F356" s="35">
        <v>6</v>
      </c>
      <c r="G356" s="35" t="str" cm="1">
        <f t="array" ref="G356">_xlfn.IFS(F356&lt;4,"Night",F356&lt;=6,"Early Morning",F356&lt;11,"Morning",F356&lt;12,"Afternoon",F356&lt;=16,"Afternoon",F356&lt;=20,"Evening",F356&gt;=21,"Night")</f>
        <v>Early Morning</v>
      </c>
      <c r="H356" s="35" t="b">
        <v>0</v>
      </c>
      <c r="I356" s="35">
        <v>0</v>
      </c>
      <c r="J356" s="35">
        <v>2</v>
      </c>
      <c r="K356" s="31">
        <v>0.26</v>
      </c>
      <c r="L356" s="31" t="str" cm="1">
        <f t="array" ref="L356">_xlfn.IFS(K356&lt;0.15,"Cold",K356&lt;0.25,"Mild",K356&lt;=0.32,"Warm",K356&gt;=0.33,"Hot")</f>
        <v>Warm</v>
      </c>
      <c r="M356" s="36">
        <v>0.2576</v>
      </c>
      <c r="N356" s="36">
        <v>0.56000000000000005</v>
      </c>
      <c r="O356" s="36" t="str" cm="1">
        <f t="array" ref="O356">_xlfn.IFS(N356&gt;0.61, "High Humidity", N356&gt;=0.6, "Humid", N356&gt;0.4, "Less Humidity", TRUE, "Dry")</f>
        <v>Less Humidity</v>
      </c>
      <c r="P356" s="36">
        <v>0.16420000000000001</v>
      </c>
      <c r="Q356" s="36" t="str" cm="1">
        <f t="array" ref="Q356">_xlfn.IFS(P356&lt;=0.2,"Low Windspeed",P356&lt;0.4,"Medium Windspeed",P356&gt;=0.41,"High Windspeed")</f>
        <v>Low Windspeed</v>
      </c>
      <c r="R356" s="36">
        <v>0</v>
      </c>
      <c r="S356" s="36">
        <v>1</v>
      </c>
      <c r="T356" s="37">
        <v>1</v>
      </c>
      <c r="U356" s="39" t="str" cm="1">
        <f t="array" ref="U356">_xlfn.IFS(T356&lt;=70,"Low",T356&lt;=160,"Medium",T356&gt;=161,"High")</f>
        <v>Low</v>
      </c>
    </row>
    <row r="357" spans="1:21" x14ac:dyDescent="0.25">
      <c r="A357" s="33">
        <v>356</v>
      </c>
      <c r="B357" s="34">
        <v>40559</v>
      </c>
      <c r="C357" s="35">
        <v>1</v>
      </c>
      <c r="D357" s="35">
        <v>0</v>
      </c>
      <c r="E357" s="35">
        <v>1</v>
      </c>
      <c r="F357" s="35">
        <v>7</v>
      </c>
      <c r="G357" s="35" t="str" cm="1">
        <f t="array" ref="G357">_xlfn.IFS(F357&lt;4,"Night",F357&lt;=6,"Early Morning",F357&lt;11,"Morning",F357&lt;12,"Afternoon",F357&lt;=16,"Afternoon",F357&lt;=20,"Evening",F357&gt;=21,"Night")</f>
        <v>Morning</v>
      </c>
      <c r="H357" s="35" t="b">
        <v>0</v>
      </c>
      <c r="I357" s="35">
        <v>0</v>
      </c>
      <c r="J357" s="35">
        <v>2</v>
      </c>
      <c r="K357" s="31">
        <v>0.24</v>
      </c>
      <c r="L357" s="31" t="str" cm="1">
        <f t="array" ref="L357">_xlfn.IFS(K357&lt;0.15,"Cold",K357&lt;0.25,"Mild",K357&lt;=0.32,"Warm",K357&gt;=0.33,"Hot")</f>
        <v>Mild</v>
      </c>
      <c r="M357" s="36">
        <v>0.21210000000000001</v>
      </c>
      <c r="N357" s="36">
        <v>0.56000000000000005</v>
      </c>
      <c r="O357" s="36" t="str" cm="1">
        <f t="array" ref="O357">_xlfn.IFS(N357&gt;0.61, "High Humidity", N357&gt;=0.6, "Humid", N357&gt;0.4, "Less Humidity", TRUE, "Dry")</f>
        <v>Less Humidity</v>
      </c>
      <c r="P357" s="36">
        <v>0.29849999999999999</v>
      </c>
      <c r="Q357" s="36" t="str" cm="1">
        <f t="array" ref="Q357">_xlfn.IFS(P357&lt;=0.2,"Low Windspeed",P357&lt;0.4,"Medium Windspeed",P357&gt;=0.41,"High Windspeed")</f>
        <v>Medium Windspeed</v>
      </c>
      <c r="R357" s="36">
        <v>0</v>
      </c>
      <c r="S357" s="36">
        <v>3</v>
      </c>
      <c r="T357" s="37">
        <v>3</v>
      </c>
      <c r="U357" s="39" t="str" cm="1">
        <f t="array" ref="U357">_xlfn.IFS(T357&lt;=70,"Low",T357&lt;=160,"Medium",T357&gt;=161,"High")</f>
        <v>Low</v>
      </c>
    </row>
    <row r="358" spans="1:21" x14ac:dyDescent="0.25">
      <c r="A358" s="33">
        <v>357</v>
      </c>
      <c r="B358" s="34">
        <v>40559</v>
      </c>
      <c r="C358" s="35">
        <v>1</v>
      </c>
      <c r="D358" s="35">
        <v>0</v>
      </c>
      <c r="E358" s="35">
        <v>1</v>
      </c>
      <c r="F358" s="35">
        <v>8</v>
      </c>
      <c r="G358" s="35" t="str" cm="1">
        <f t="array" ref="G358">_xlfn.IFS(F358&lt;4,"Night",F358&lt;=6,"Early Morning",F358&lt;11,"Morning",F358&lt;12,"Afternoon",F358&lt;=16,"Afternoon",F358&lt;=20,"Evening",F358&gt;=21,"Night")</f>
        <v>Morning</v>
      </c>
      <c r="H358" s="35" t="b">
        <v>0</v>
      </c>
      <c r="I358" s="35">
        <v>0</v>
      </c>
      <c r="J358" s="35">
        <v>1</v>
      </c>
      <c r="K358" s="31">
        <v>0.22</v>
      </c>
      <c r="L358" s="31" t="str" cm="1">
        <f t="array" ref="L358">_xlfn.IFS(K358&lt;0.15,"Cold",K358&lt;0.25,"Mild",K358&lt;=0.32,"Warm",K358&gt;=0.33,"Hot")</f>
        <v>Mild</v>
      </c>
      <c r="M358" s="36">
        <v>0.21210000000000001</v>
      </c>
      <c r="N358" s="36">
        <v>0.55000000000000004</v>
      </c>
      <c r="O358" s="36" t="str" cm="1">
        <f t="array" ref="O358">_xlfn.IFS(N358&gt;0.61, "High Humidity", N358&gt;=0.6, "Humid", N358&gt;0.4, "Less Humidity", TRUE, "Dry")</f>
        <v>Less Humidity</v>
      </c>
      <c r="P358" s="36">
        <v>0.28360000000000002</v>
      </c>
      <c r="Q358" s="36" t="str" cm="1">
        <f t="array" ref="Q358">_xlfn.IFS(P358&lt;=0.2,"Low Windspeed",P358&lt;0.4,"Medium Windspeed",P358&gt;=0.41,"High Windspeed")</f>
        <v>Medium Windspeed</v>
      </c>
      <c r="R358" s="36">
        <v>0</v>
      </c>
      <c r="S358" s="36">
        <v>18</v>
      </c>
      <c r="T358" s="37">
        <v>18</v>
      </c>
      <c r="U358" s="39" t="str" cm="1">
        <f t="array" ref="U358">_xlfn.IFS(T358&lt;=70,"Low",T358&lt;=160,"Medium",T358&gt;=161,"High")</f>
        <v>Low</v>
      </c>
    </row>
    <row r="359" spans="1:21" x14ac:dyDescent="0.25">
      <c r="A359" s="33">
        <v>358</v>
      </c>
      <c r="B359" s="34">
        <v>40559</v>
      </c>
      <c r="C359" s="35">
        <v>1</v>
      </c>
      <c r="D359" s="35">
        <v>0</v>
      </c>
      <c r="E359" s="35">
        <v>1</v>
      </c>
      <c r="F359" s="35">
        <v>9</v>
      </c>
      <c r="G359" s="35" t="str" cm="1">
        <f t="array" ref="G359">_xlfn.IFS(F359&lt;4,"Night",F359&lt;=6,"Early Morning",F359&lt;11,"Morning",F359&lt;12,"Afternoon",F359&lt;=16,"Afternoon",F359&lt;=20,"Evening",F359&gt;=21,"Night")</f>
        <v>Morning</v>
      </c>
      <c r="H359" s="35" t="b">
        <v>0</v>
      </c>
      <c r="I359" s="35">
        <v>0</v>
      </c>
      <c r="J359" s="35">
        <v>1</v>
      </c>
      <c r="K359" s="31">
        <v>0.22</v>
      </c>
      <c r="L359" s="31" t="str" cm="1">
        <f t="array" ref="L359">_xlfn.IFS(K359&lt;0.15,"Cold",K359&lt;0.25,"Mild",K359&lt;=0.32,"Warm",K359&gt;=0.33,"Hot")</f>
        <v>Mild</v>
      </c>
      <c r="M359" s="36">
        <v>0.21210000000000001</v>
      </c>
      <c r="N359" s="36">
        <v>0.51</v>
      </c>
      <c r="O359" s="36" t="str" cm="1">
        <f t="array" ref="O359">_xlfn.IFS(N359&gt;0.61, "High Humidity", N359&gt;=0.6, "Humid", N359&gt;0.4, "Less Humidity", TRUE, "Dry")</f>
        <v>Less Humidity</v>
      </c>
      <c r="P359" s="36">
        <v>0.25369999999999998</v>
      </c>
      <c r="Q359" s="36" t="str" cm="1">
        <f t="array" ref="Q359">_xlfn.IFS(P359&lt;=0.2,"Low Windspeed",P359&lt;0.4,"Medium Windspeed",P359&gt;=0.41,"High Windspeed")</f>
        <v>Medium Windspeed</v>
      </c>
      <c r="R359" s="36">
        <v>3</v>
      </c>
      <c r="S359" s="36">
        <v>29</v>
      </c>
      <c r="T359" s="37">
        <v>32</v>
      </c>
      <c r="U359" s="39" t="str" cm="1">
        <f t="array" ref="U359">_xlfn.IFS(T359&lt;=70,"Low",T359&lt;=160,"Medium",T359&gt;=161,"High")</f>
        <v>Low</v>
      </c>
    </row>
    <row r="360" spans="1:21" x14ac:dyDescent="0.25">
      <c r="A360" s="33">
        <v>359</v>
      </c>
      <c r="B360" s="34">
        <v>40559</v>
      </c>
      <c r="C360" s="35">
        <v>1</v>
      </c>
      <c r="D360" s="35">
        <v>0</v>
      </c>
      <c r="E360" s="35">
        <v>1</v>
      </c>
      <c r="F360" s="35">
        <v>10</v>
      </c>
      <c r="G360" s="35" t="str" cm="1">
        <f t="array" ref="G360">_xlfn.IFS(F360&lt;4,"Night",F360&lt;=6,"Early Morning",F360&lt;11,"Morning",F360&lt;12,"Afternoon",F360&lt;=16,"Afternoon",F360&lt;=20,"Evening",F360&gt;=21,"Night")</f>
        <v>Morning</v>
      </c>
      <c r="H360" s="35" t="b">
        <v>0</v>
      </c>
      <c r="I360" s="35">
        <v>0</v>
      </c>
      <c r="J360" s="35">
        <v>1</v>
      </c>
      <c r="K360" s="31">
        <v>0.22</v>
      </c>
      <c r="L360" s="31" t="str" cm="1">
        <f t="array" ref="L360">_xlfn.IFS(K360&lt;0.15,"Cold",K360&lt;0.25,"Mild",K360&lt;=0.32,"Warm",K360&gt;=0.33,"Hot")</f>
        <v>Mild</v>
      </c>
      <c r="M360" s="36">
        <v>0.21210000000000001</v>
      </c>
      <c r="N360" s="36">
        <v>0.51</v>
      </c>
      <c r="O360" s="36" t="str" cm="1">
        <f t="array" ref="O360">_xlfn.IFS(N360&gt;0.61, "High Humidity", N360&gt;=0.6, "Humid", N360&gt;0.4, "Less Humidity", TRUE, "Dry")</f>
        <v>Less Humidity</v>
      </c>
      <c r="P360" s="36">
        <v>0.28360000000000002</v>
      </c>
      <c r="Q360" s="36" t="str" cm="1">
        <f t="array" ref="Q360">_xlfn.IFS(P360&lt;=0.2,"Low Windspeed",P360&lt;0.4,"Medium Windspeed",P360&gt;=0.41,"High Windspeed")</f>
        <v>Medium Windspeed</v>
      </c>
      <c r="R360" s="36">
        <v>8</v>
      </c>
      <c r="S360" s="36">
        <v>71</v>
      </c>
      <c r="T360" s="37">
        <v>79</v>
      </c>
      <c r="U360" s="39" t="str" cm="1">
        <f t="array" ref="U360">_xlfn.IFS(T360&lt;=70,"Low",T360&lt;=160,"Medium",T360&gt;=161,"High")</f>
        <v>Medium</v>
      </c>
    </row>
    <row r="361" spans="1:21" x14ac:dyDescent="0.25">
      <c r="A361" s="33">
        <v>360</v>
      </c>
      <c r="B361" s="34">
        <v>40559</v>
      </c>
      <c r="C361" s="35">
        <v>1</v>
      </c>
      <c r="D361" s="35">
        <v>0</v>
      </c>
      <c r="E361" s="35">
        <v>1</v>
      </c>
      <c r="F361" s="35">
        <v>11</v>
      </c>
      <c r="G361" s="35" t="str" cm="1">
        <f t="array" ref="G361">_xlfn.IFS(F361&lt;4,"Night",F361&lt;=6,"Early Morning",F361&lt;11,"Morning",F361&lt;12,"Afternoon",F361&lt;=16,"Afternoon",F361&lt;=20,"Evening",F361&gt;=21,"Night")</f>
        <v>Afternoon</v>
      </c>
      <c r="H361" s="35" t="b">
        <v>0</v>
      </c>
      <c r="I361" s="35">
        <v>0</v>
      </c>
      <c r="J361" s="35">
        <v>1</v>
      </c>
      <c r="K361" s="31">
        <v>0.24</v>
      </c>
      <c r="L361" s="31" t="str" cm="1">
        <f t="array" ref="L361">_xlfn.IFS(K361&lt;0.15,"Cold",K361&lt;0.25,"Mild",K361&lt;=0.32,"Warm",K361&gt;=0.33,"Hot")</f>
        <v>Mild</v>
      </c>
      <c r="M361" s="36">
        <v>0.2273</v>
      </c>
      <c r="N361" s="36">
        <v>0.44</v>
      </c>
      <c r="O361" s="36" t="str" cm="1">
        <f t="array" ref="O361">_xlfn.IFS(N361&gt;0.61, "High Humidity", N361&gt;=0.6, "Humid", N361&gt;0.4, "Less Humidity", TRUE, "Dry")</f>
        <v>Less Humidity</v>
      </c>
      <c r="P361" s="36">
        <v>0.25369999999999998</v>
      </c>
      <c r="Q361" s="36" t="str" cm="1">
        <f t="array" ref="Q361">_xlfn.IFS(P361&lt;=0.2,"Low Windspeed",P361&lt;0.4,"Medium Windspeed",P361&gt;=0.41,"High Windspeed")</f>
        <v>Medium Windspeed</v>
      </c>
      <c r="R361" s="36">
        <v>23</v>
      </c>
      <c r="S361" s="36">
        <v>70</v>
      </c>
      <c r="T361" s="37">
        <v>93</v>
      </c>
      <c r="U361" s="39" t="str" cm="1">
        <f t="array" ref="U361">_xlfn.IFS(T361&lt;=70,"Low",T361&lt;=160,"Medium",T361&gt;=161,"High")</f>
        <v>Medium</v>
      </c>
    </row>
    <row r="362" spans="1:21" x14ac:dyDescent="0.25">
      <c r="A362" s="33">
        <v>361</v>
      </c>
      <c r="B362" s="34">
        <v>40559</v>
      </c>
      <c r="C362" s="35">
        <v>1</v>
      </c>
      <c r="D362" s="35">
        <v>0</v>
      </c>
      <c r="E362" s="35">
        <v>1</v>
      </c>
      <c r="F362" s="35">
        <v>12</v>
      </c>
      <c r="G362" s="35" t="str" cm="1">
        <f t="array" ref="G362">_xlfn.IFS(F362&lt;4,"Night",F362&lt;=6,"Early Morning",F362&lt;11,"Morning",F362&lt;12,"Afternoon",F362&lt;=16,"Afternoon",F362&lt;=20,"Evening",F362&gt;=21,"Night")</f>
        <v>Afternoon</v>
      </c>
      <c r="H362" s="35" t="b">
        <v>0</v>
      </c>
      <c r="I362" s="35">
        <v>0</v>
      </c>
      <c r="J362" s="35">
        <v>1</v>
      </c>
      <c r="K362" s="31">
        <v>0.24</v>
      </c>
      <c r="L362" s="31" t="str" cm="1">
        <f t="array" ref="L362">_xlfn.IFS(K362&lt;0.15,"Cold",K362&lt;0.25,"Mild",K362&lt;=0.32,"Warm",K362&gt;=0.33,"Hot")</f>
        <v>Mild</v>
      </c>
      <c r="M362" s="36">
        <v>0.21210000000000001</v>
      </c>
      <c r="N362" s="36">
        <v>0.41</v>
      </c>
      <c r="O362" s="36" t="str" cm="1">
        <f t="array" ref="O362">_xlfn.IFS(N362&gt;0.61, "High Humidity", N362&gt;=0.6, "Humid", N362&gt;0.4, "Less Humidity", TRUE, "Dry")</f>
        <v>Less Humidity</v>
      </c>
      <c r="P362" s="36">
        <v>0.28360000000000002</v>
      </c>
      <c r="Q362" s="36" t="str" cm="1">
        <f t="array" ref="Q362">_xlfn.IFS(P362&lt;=0.2,"Low Windspeed",P362&lt;0.4,"Medium Windspeed",P362&gt;=0.41,"High Windspeed")</f>
        <v>Medium Windspeed</v>
      </c>
      <c r="R362" s="36">
        <v>29</v>
      </c>
      <c r="S362" s="36">
        <v>75</v>
      </c>
      <c r="T362" s="37">
        <v>104</v>
      </c>
      <c r="U362" s="39" t="str" cm="1">
        <f t="array" ref="U362">_xlfn.IFS(T362&lt;=70,"Low",T362&lt;=160,"Medium",T362&gt;=161,"High")</f>
        <v>Medium</v>
      </c>
    </row>
    <row r="363" spans="1:21" x14ac:dyDescent="0.25">
      <c r="A363" s="33">
        <v>362</v>
      </c>
      <c r="B363" s="34">
        <v>40559</v>
      </c>
      <c r="C363" s="35">
        <v>1</v>
      </c>
      <c r="D363" s="35">
        <v>0</v>
      </c>
      <c r="E363" s="35">
        <v>1</v>
      </c>
      <c r="F363" s="35">
        <v>13</v>
      </c>
      <c r="G363" s="35" t="str" cm="1">
        <f t="array" ref="G363">_xlfn.IFS(F363&lt;4,"Night",F363&lt;=6,"Early Morning",F363&lt;11,"Morning",F363&lt;12,"Afternoon",F363&lt;=16,"Afternoon",F363&lt;=20,"Evening",F363&gt;=21,"Night")</f>
        <v>Afternoon</v>
      </c>
      <c r="H363" s="35" t="b">
        <v>0</v>
      </c>
      <c r="I363" s="35">
        <v>0</v>
      </c>
      <c r="J363" s="35">
        <v>1</v>
      </c>
      <c r="K363" s="31">
        <v>0.26</v>
      </c>
      <c r="L363" s="31" t="str" cm="1">
        <f t="array" ref="L363">_xlfn.IFS(K363&lt;0.15,"Cold",K363&lt;0.25,"Mild",K363&lt;=0.32,"Warm",K363&gt;=0.33,"Hot")</f>
        <v>Warm</v>
      </c>
      <c r="M363" s="36">
        <v>0.2273</v>
      </c>
      <c r="N363" s="36">
        <v>0.35</v>
      </c>
      <c r="O363" s="36" t="str" cm="1">
        <f t="array" ref="O363">_xlfn.IFS(N363&gt;0.61, "High Humidity", N363&gt;=0.6, "Humid", N363&gt;0.4, "Less Humidity", TRUE, "Dry")</f>
        <v>Dry</v>
      </c>
      <c r="P363" s="36">
        <v>0.29849999999999999</v>
      </c>
      <c r="Q363" s="36" t="str" cm="1">
        <f t="array" ref="Q363">_xlfn.IFS(P363&lt;=0.2,"Low Windspeed",P363&lt;0.4,"Medium Windspeed",P363&gt;=0.41,"High Windspeed")</f>
        <v>Medium Windspeed</v>
      </c>
      <c r="R363" s="36">
        <v>23</v>
      </c>
      <c r="S363" s="36">
        <v>95</v>
      </c>
      <c r="T363" s="37">
        <v>118</v>
      </c>
      <c r="U363" s="39" t="str" cm="1">
        <f t="array" ref="U363">_xlfn.IFS(T363&lt;=70,"Low",T363&lt;=160,"Medium",T363&gt;=161,"High")</f>
        <v>Medium</v>
      </c>
    </row>
    <row r="364" spans="1:21" x14ac:dyDescent="0.25">
      <c r="A364" s="33">
        <v>363</v>
      </c>
      <c r="B364" s="34">
        <v>40559</v>
      </c>
      <c r="C364" s="35">
        <v>1</v>
      </c>
      <c r="D364" s="35">
        <v>0</v>
      </c>
      <c r="E364" s="35">
        <v>1</v>
      </c>
      <c r="F364" s="35">
        <v>14</v>
      </c>
      <c r="G364" s="35" t="str" cm="1">
        <f t="array" ref="G364">_xlfn.IFS(F364&lt;4,"Night",F364&lt;=6,"Early Morning",F364&lt;11,"Morning",F364&lt;12,"Afternoon",F364&lt;=16,"Afternoon",F364&lt;=20,"Evening",F364&gt;=21,"Night")</f>
        <v>Afternoon</v>
      </c>
      <c r="H364" s="35" t="b">
        <v>0</v>
      </c>
      <c r="I364" s="35">
        <v>0</v>
      </c>
      <c r="J364" s="35">
        <v>1</v>
      </c>
      <c r="K364" s="31">
        <v>0.28000000000000003</v>
      </c>
      <c r="L364" s="31" t="str" cm="1">
        <f t="array" ref="L364">_xlfn.IFS(K364&lt;0.15,"Cold",K364&lt;0.25,"Mild",K364&lt;=0.32,"Warm",K364&gt;=0.33,"Hot")</f>
        <v>Warm</v>
      </c>
      <c r="M364" s="36">
        <v>0.2727</v>
      </c>
      <c r="N364" s="36">
        <v>0.36</v>
      </c>
      <c r="O364" s="36" t="str" cm="1">
        <f t="array" ref="O364">_xlfn.IFS(N364&gt;0.61, "High Humidity", N364&gt;=0.6, "Humid", N364&gt;0.4, "Less Humidity", TRUE, "Dry")</f>
        <v>Dry</v>
      </c>
      <c r="P364" s="36">
        <v>0.25369999999999998</v>
      </c>
      <c r="Q364" s="36" t="str" cm="1">
        <f t="array" ref="Q364">_xlfn.IFS(P364&lt;=0.2,"Low Windspeed",P364&lt;0.4,"Medium Windspeed",P364&gt;=0.41,"High Windspeed")</f>
        <v>Medium Windspeed</v>
      </c>
      <c r="R364" s="36">
        <v>22</v>
      </c>
      <c r="S364" s="36">
        <v>69</v>
      </c>
      <c r="T364" s="37">
        <v>91</v>
      </c>
      <c r="U364" s="39" t="str" cm="1">
        <f t="array" ref="U364">_xlfn.IFS(T364&lt;=70,"Low",T364&lt;=160,"Medium",T364&gt;=161,"High")</f>
        <v>Medium</v>
      </c>
    </row>
    <row r="365" spans="1:21" x14ac:dyDescent="0.25">
      <c r="A365" s="33">
        <v>364</v>
      </c>
      <c r="B365" s="34">
        <v>40559</v>
      </c>
      <c r="C365" s="35">
        <v>1</v>
      </c>
      <c r="D365" s="35">
        <v>0</v>
      </c>
      <c r="E365" s="35">
        <v>1</v>
      </c>
      <c r="F365" s="35">
        <v>15</v>
      </c>
      <c r="G365" s="35" t="str" cm="1">
        <f t="array" ref="G365">_xlfn.IFS(F365&lt;4,"Night",F365&lt;=6,"Early Morning",F365&lt;11,"Morning",F365&lt;12,"Afternoon",F365&lt;=16,"Afternoon",F365&lt;=20,"Evening",F365&gt;=21,"Night")</f>
        <v>Afternoon</v>
      </c>
      <c r="H365" s="35" t="b">
        <v>0</v>
      </c>
      <c r="I365" s="35">
        <v>0</v>
      </c>
      <c r="J365" s="35">
        <v>1</v>
      </c>
      <c r="K365" s="31">
        <v>0.26</v>
      </c>
      <c r="L365" s="31" t="str" cm="1">
        <f t="array" ref="L365">_xlfn.IFS(K365&lt;0.15,"Cold",K365&lt;0.25,"Mild",K365&lt;=0.32,"Warm",K365&gt;=0.33,"Hot")</f>
        <v>Warm</v>
      </c>
      <c r="M365" s="36">
        <v>0.2424</v>
      </c>
      <c r="N365" s="36">
        <v>0.38</v>
      </c>
      <c r="O365" s="36" t="str" cm="1">
        <f t="array" ref="O365">_xlfn.IFS(N365&gt;0.61, "High Humidity", N365&gt;=0.6, "Humid", N365&gt;0.4, "Less Humidity", TRUE, "Dry")</f>
        <v>Dry</v>
      </c>
      <c r="P365" s="36">
        <v>0.25369999999999998</v>
      </c>
      <c r="Q365" s="36" t="str" cm="1">
        <f t="array" ref="Q365">_xlfn.IFS(P365&lt;=0.2,"Low Windspeed",P365&lt;0.4,"Medium Windspeed",P365&gt;=0.41,"High Windspeed")</f>
        <v>Medium Windspeed</v>
      </c>
      <c r="R365" s="36">
        <v>35</v>
      </c>
      <c r="S365" s="36">
        <v>78</v>
      </c>
      <c r="T365" s="37">
        <v>113</v>
      </c>
      <c r="U365" s="39" t="str" cm="1">
        <f t="array" ref="U365">_xlfn.IFS(T365&lt;=70,"Low",T365&lt;=160,"Medium",T365&gt;=161,"High")</f>
        <v>Medium</v>
      </c>
    </row>
    <row r="366" spans="1:21" x14ac:dyDescent="0.25">
      <c r="A366" s="33">
        <v>365</v>
      </c>
      <c r="B366" s="34">
        <v>40559</v>
      </c>
      <c r="C366" s="35">
        <v>1</v>
      </c>
      <c r="D366" s="35">
        <v>0</v>
      </c>
      <c r="E366" s="35">
        <v>1</v>
      </c>
      <c r="F366" s="35">
        <v>16</v>
      </c>
      <c r="G366" s="35" t="str" cm="1">
        <f t="array" ref="G366">_xlfn.IFS(F366&lt;4,"Night",F366&lt;=6,"Early Morning",F366&lt;11,"Morning",F366&lt;12,"Afternoon",F366&lt;=16,"Afternoon",F366&lt;=20,"Evening",F366&gt;=21,"Night")</f>
        <v>Afternoon</v>
      </c>
      <c r="H366" s="35" t="b">
        <v>0</v>
      </c>
      <c r="I366" s="35">
        <v>0</v>
      </c>
      <c r="J366" s="35">
        <v>1</v>
      </c>
      <c r="K366" s="31">
        <v>0.24</v>
      </c>
      <c r="L366" s="31" t="str" cm="1">
        <f t="array" ref="L366">_xlfn.IFS(K366&lt;0.15,"Cold",K366&lt;0.25,"Mild",K366&lt;=0.32,"Warm",K366&gt;=0.33,"Hot")</f>
        <v>Mild</v>
      </c>
      <c r="M366" s="36">
        <v>0.2273</v>
      </c>
      <c r="N366" s="36">
        <v>0.38</v>
      </c>
      <c r="O366" s="36" t="str" cm="1">
        <f t="array" ref="O366">_xlfn.IFS(N366&gt;0.61, "High Humidity", N366&gt;=0.6, "Humid", N366&gt;0.4, "Less Humidity", TRUE, "Dry")</f>
        <v>Dry</v>
      </c>
      <c r="P366" s="36">
        <v>0.22389999999999999</v>
      </c>
      <c r="Q366" s="36" t="str" cm="1">
        <f t="array" ref="Q366">_xlfn.IFS(P366&lt;=0.2,"Low Windspeed",P366&lt;0.4,"Medium Windspeed",P366&gt;=0.41,"High Windspeed")</f>
        <v>Medium Windspeed</v>
      </c>
      <c r="R366" s="36">
        <v>22</v>
      </c>
      <c r="S366" s="36">
        <v>77</v>
      </c>
      <c r="T366" s="37">
        <v>99</v>
      </c>
      <c r="U366" s="39" t="str" cm="1">
        <f t="array" ref="U366">_xlfn.IFS(T366&lt;=70,"Low",T366&lt;=160,"Medium",T366&gt;=161,"High")</f>
        <v>Medium</v>
      </c>
    </row>
    <row r="367" spans="1:21" x14ac:dyDescent="0.25">
      <c r="A367" s="33">
        <v>366</v>
      </c>
      <c r="B367" s="34">
        <v>40559</v>
      </c>
      <c r="C367" s="35">
        <v>1</v>
      </c>
      <c r="D367" s="35">
        <v>0</v>
      </c>
      <c r="E367" s="35">
        <v>1</v>
      </c>
      <c r="F367" s="35">
        <v>17</v>
      </c>
      <c r="G367" s="35" t="str" cm="1">
        <f t="array" ref="G367">_xlfn.IFS(F367&lt;4,"Night",F367&lt;=6,"Early Morning",F367&lt;11,"Morning",F367&lt;12,"Afternoon",F367&lt;=16,"Afternoon",F367&lt;=20,"Evening",F367&gt;=21,"Night")</f>
        <v>Evening</v>
      </c>
      <c r="H367" s="35" t="b">
        <v>0</v>
      </c>
      <c r="I367" s="35">
        <v>0</v>
      </c>
      <c r="J367" s="35">
        <v>1</v>
      </c>
      <c r="K367" s="31">
        <v>0.22</v>
      </c>
      <c r="L367" s="31" t="str" cm="1">
        <f t="array" ref="L367">_xlfn.IFS(K367&lt;0.15,"Cold",K367&lt;0.25,"Mild",K367&lt;=0.32,"Warm",K367&gt;=0.33,"Hot")</f>
        <v>Mild</v>
      </c>
      <c r="M367" s="36">
        <v>0.21210000000000001</v>
      </c>
      <c r="N367" s="36">
        <v>0.37</v>
      </c>
      <c r="O367" s="36" t="str" cm="1">
        <f t="array" ref="O367">_xlfn.IFS(N367&gt;0.61, "High Humidity", N367&gt;=0.6, "Humid", N367&gt;0.4, "Less Humidity", TRUE, "Dry")</f>
        <v>Dry</v>
      </c>
      <c r="P367" s="36">
        <v>0.25369999999999998</v>
      </c>
      <c r="Q367" s="36" t="str" cm="1">
        <f t="array" ref="Q367">_xlfn.IFS(P367&lt;=0.2,"Low Windspeed",P367&lt;0.4,"Medium Windspeed",P367&gt;=0.41,"High Windspeed")</f>
        <v>Medium Windspeed</v>
      </c>
      <c r="R367" s="36">
        <v>23</v>
      </c>
      <c r="S367" s="36">
        <v>82</v>
      </c>
      <c r="T367" s="37">
        <v>105</v>
      </c>
      <c r="U367" s="39" t="str" cm="1">
        <f t="array" ref="U367">_xlfn.IFS(T367&lt;=70,"Low",T367&lt;=160,"Medium",T367&gt;=161,"High")</f>
        <v>Medium</v>
      </c>
    </row>
    <row r="368" spans="1:21" x14ac:dyDescent="0.25">
      <c r="A368" s="33">
        <v>367</v>
      </c>
      <c r="B368" s="34">
        <v>40559</v>
      </c>
      <c r="C368" s="35">
        <v>1</v>
      </c>
      <c r="D368" s="35">
        <v>0</v>
      </c>
      <c r="E368" s="35">
        <v>1</v>
      </c>
      <c r="F368" s="35">
        <v>18</v>
      </c>
      <c r="G368" s="35" t="str" cm="1">
        <f t="array" ref="G368">_xlfn.IFS(F368&lt;4,"Night",F368&lt;=6,"Early Morning",F368&lt;11,"Morning",F368&lt;12,"Afternoon",F368&lt;=16,"Afternoon",F368&lt;=20,"Evening",F368&gt;=21,"Night")</f>
        <v>Evening</v>
      </c>
      <c r="H368" s="35" t="b">
        <v>0</v>
      </c>
      <c r="I368" s="35">
        <v>0</v>
      </c>
      <c r="J368" s="35">
        <v>1</v>
      </c>
      <c r="K368" s="31">
        <v>0.2</v>
      </c>
      <c r="L368" s="31" t="str" cm="1">
        <f t="array" ref="L368">_xlfn.IFS(K368&lt;0.15,"Cold",K368&lt;0.25,"Mild",K368&lt;=0.32,"Warm",K368&gt;=0.33,"Hot")</f>
        <v>Mild</v>
      </c>
      <c r="M368" s="36">
        <v>0.21210000000000001</v>
      </c>
      <c r="N368" s="36">
        <v>0.4</v>
      </c>
      <c r="O368" s="36" t="str" cm="1">
        <f t="array" ref="O368">_xlfn.IFS(N368&gt;0.61, "High Humidity", N368&gt;=0.6, "Humid", N368&gt;0.4, "Less Humidity", TRUE, "Dry")</f>
        <v>Dry</v>
      </c>
      <c r="P368" s="36">
        <v>0.16420000000000001</v>
      </c>
      <c r="Q368" s="36" t="str" cm="1">
        <f t="array" ref="Q368">_xlfn.IFS(P368&lt;=0.2,"Low Windspeed",P368&lt;0.4,"Medium Windspeed",P368&gt;=0.41,"High Windspeed")</f>
        <v>Low Windspeed</v>
      </c>
      <c r="R368" s="36">
        <v>11</v>
      </c>
      <c r="S368" s="36">
        <v>56</v>
      </c>
      <c r="T368" s="37">
        <v>67</v>
      </c>
      <c r="U368" s="39" t="str" cm="1">
        <f t="array" ref="U368">_xlfn.IFS(T368&lt;=70,"Low",T368&lt;=160,"Medium",T368&gt;=161,"High")</f>
        <v>Low</v>
      </c>
    </row>
    <row r="369" spans="1:21" x14ac:dyDescent="0.25">
      <c r="A369" s="33">
        <v>368</v>
      </c>
      <c r="B369" s="34">
        <v>40559</v>
      </c>
      <c r="C369" s="35">
        <v>1</v>
      </c>
      <c r="D369" s="35">
        <v>0</v>
      </c>
      <c r="E369" s="35">
        <v>1</v>
      </c>
      <c r="F369" s="35">
        <v>19</v>
      </c>
      <c r="G369" s="35" t="str" cm="1">
        <f t="array" ref="G369">_xlfn.IFS(F369&lt;4,"Night",F369&lt;=6,"Early Morning",F369&lt;11,"Morning",F369&lt;12,"Afternoon",F369&lt;=16,"Afternoon",F369&lt;=20,"Evening",F369&gt;=21,"Night")</f>
        <v>Evening</v>
      </c>
      <c r="H369" s="35" t="b">
        <v>0</v>
      </c>
      <c r="I369" s="35">
        <v>0</v>
      </c>
      <c r="J369" s="35">
        <v>1</v>
      </c>
      <c r="K369" s="31">
        <v>0.18</v>
      </c>
      <c r="L369" s="31" t="str" cm="1">
        <f t="array" ref="L369">_xlfn.IFS(K369&lt;0.15,"Cold",K369&lt;0.25,"Mild",K369&lt;=0.32,"Warm",K369&gt;=0.33,"Hot")</f>
        <v>Mild</v>
      </c>
      <c r="M369" s="36">
        <v>0.19700000000000001</v>
      </c>
      <c r="N369" s="36">
        <v>0.47</v>
      </c>
      <c r="O369" s="36" t="str" cm="1">
        <f t="array" ref="O369">_xlfn.IFS(N369&gt;0.61, "High Humidity", N369&gt;=0.6, "Humid", N369&gt;0.4, "Less Humidity", TRUE, "Dry")</f>
        <v>Less Humidity</v>
      </c>
      <c r="P369" s="36">
        <v>0.1343</v>
      </c>
      <c r="Q369" s="36" t="str" cm="1">
        <f t="array" ref="Q369">_xlfn.IFS(P369&lt;=0.2,"Low Windspeed",P369&lt;0.4,"Medium Windspeed",P369&gt;=0.41,"High Windspeed")</f>
        <v>Low Windspeed</v>
      </c>
      <c r="R369" s="36">
        <v>14</v>
      </c>
      <c r="S369" s="36">
        <v>47</v>
      </c>
      <c r="T369" s="37">
        <v>61</v>
      </c>
      <c r="U369" s="39" t="str" cm="1">
        <f t="array" ref="U369">_xlfn.IFS(T369&lt;=70,"Low",T369&lt;=160,"Medium",T369&gt;=161,"High")</f>
        <v>Low</v>
      </c>
    </row>
    <row r="370" spans="1:21" x14ac:dyDescent="0.25">
      <c r="A370" s="33">
        <v>369</v>
      </c>
      <c r="B370" s="34">
        <v>40559</v>
      </c>
      <c r="C370" s="35">
        <v>1</v>
      </c>
      <c r="D370" s="35">
        <v>0</v>
      </c>
      <c r="E370" s="35">
        <v>1</v>
      </c>
      <c r="F370" s="35">
        <v>20</v>
      </c>
      <c r="G370" s="35" t="str" cm="1">
        <f t="array" ref="G370">_xlfn.IFS(F370&lt;4,"Night",F370&lt;=6,"Early Morning",F370&lt;11,"Morning",F370&lt;12,"Afternoon",F370&lt;=16,"Afternoon",F370&lt;=20,"Evening",F370&gt;=21,"Night")</f>
        <v>Evening</v>
      </c>
      <c r="H370" s="35" t="b">
        <v>0</v>
      </c>
      <c r="I370" s="35">
        <v>0</v>
      </c>
      <c r="J370" s="35">
        <v>1</v>
      </c>
      <c r="K370" s="31">
        <v>0.18</v>
      </c>
      <c r="L370" s="31" t="str" cm="1">
        <f t="array" ref="L370">_xlfn.IFS(K370&lt;0.15,"Cold",K370&lt;0.25,"Mild",K370&lt;=0.32,"Warm",K370&gt;=0.33,"Hot")</f>
        <v>Mild</v>
      </c>
      <c r="M370" s="36">
        <v>0.19700000000000001</v>
      </c>
      <c r="N370" s="36">
        <v>0.47</v>
      </c>
      <c r="O370" s="36" t="str" cm="1">
        <f t="array" ref="O370">_xlfn.IFS(N370&gt;0.61, "High Humidity", N370&gt;=0.6, "Humid", N370&gt;0.4, "Less Humidity", TRUE, "Dry")</f>
        <v>Less Humidity</v>
      </c>
      <c r="P370" s="36">
        <v>0.16420000000000001</v>
      </c>
      <c r="Q370" s="36" t="str" cm="1">
        <f t="array" ref="Q370">_xlfn.IFS(P370&lt;=0.2,"Low Windspeed",P370&lt;0.4,"Medium Windspeed",P370&gt;=0.41,"High Windspeed")</f>
        <v>Low Windspeed</v>
      </c>
      <c r="R370" s="36">
        <v>7</v>
      </c>
      <c r="S370" s="36">
        <v>50</v>
      </c>
      <c r="T370" s="37">
        <v>57</v>
      </c>
      <c r="U370" s="39" t="str" cm="1">
        <f t="array" ref="U370">_xlfn.IFS(T370&lt;=70,"Low",T370&lt;=160,"Medium",T370&gt;=161,"High")</f>
        <v>Low</v>
      </c>
    </row>
    <row r="371" spans="1:21" x14ac:dyDescent="0.25">
      <c r="A371" s="33">
        <v>370</v>
      </c>
      <c r="B371" s="34">
        <v>40559</v>
      </c>
      <c r="C371" s="35">
        <v>1</v>
      </c>
      <c r="D371" s="35">
        <v>0</v>
      </c>
      <c r="E371" s="35">
        <v>1</v>
      </c>
      <c r="F371" s="35">
        <v>21</v>
      </c>
      <c r="G371" s="35" t="str" cm="1">
        <f t="array" ref="G371">_xlfn.IFS(F371&lt;4,"Night",F371&lt;=6,"Early Morning",F371&lt;11,"Morning",F371&lt;12,"Afternoon",F371&lt;=16,"Afternoon",F371&lt;=20,"Evening",F371&gt;=21,"Night")</f>
        <v>Night</v>
      </c>
      <c r="H371" s="35" t="b">
        <v>0</v>
      </c>
      <c r="I371" s="35">
        <v>0</v>
      </c>
      <c r="J371" s="35">
        <v>1</v>
      </c>
      <c r="K371" s="31">
        <v>0.18</v>
      </c>
      <c r="L371" s="31" t="str" cm="1">
        <f t="array" ref="L371">_xlfn.IFS(K371&lt;0.15,"Cold",K371&lt;0.25,"Mild",K371&lt;=0.32,"Warm",K371&gt;=0.33,"Hot")</f>
        <v>Mild</v>
      </c>
      <c r="M371" s="36">
        <v>0.19700000000000001</v>
      </c>
      <c r="N371" s="36">
        <v>0.51</v>
      </c>
      <c r="O371" s="36" t="str" cm="1">
        <f t="array" ref="O371">_xlfn.IFS(N371&gt;0.61, "High Humidity", N371&gt;=0.6, "Humid", N371&gt;0.4, "Less Humidity", TRUE, "Dry")</f>
        <v>Less Humidity</v>
      </c>
      <c r="P371" s="36">
        <v>0.16420000000000001</v>
      </c>
      <c r="Q371" s="36" t="str" cm="1">
        <f t="array" ref="Q371">_xlfn.IFS(P371&lt;=0.2,"Low Windspeed",P371&lt;0.4,"Medium Windspeed",P371&gt;=0.41,"High Windspeed")</f>
        <v>Low Windspeed</v>
      </c>
      <c r="R371" s="36">
        <v>6</v>
      </c>
      <c r="S371" s="36">
        <v>22</v>
      </c>
      <c r="T371" s="37">
        <v>28</v>
      </c>
      <c r="U371" s="39" t="str" cm="1">
        <f t="array" ref="U371">_xlfn.IFS(T371&lt;=70,"Low",T371&lt;=160,"Medium",T371&gt;=161,"High")</f>
        <v>Low</v>
      </c>
    </row>
    <row r="372" spans="1:21" x14ac:dyDescent="0.25">
      <c r="A372" s="33">
        <v>371</v>
      </c>
      <c r="B372" s="34">
        <v>40559</v>
      </c>
      <c r="C372" s="35">
        <v>1</v>
      </c>
      <c r="D372" s="35">
        <v>0</v>
      </c>
      <c r="E372" s="35">
        <v>1</v>
      </c>
      <c r="F372" s="35">
        <v>22</v>
      </c>
      <c r="G372" s="35" t="str" cm="1">
        <f t="array" ref="G372">_xlfn.IFS(F372&lt;4,"Night",F372&lt;=6,"Early Morning",F372&lt;11,"Morning",F372&lt;12,"Afternoon",F372&lt;=16,"Afternoon",F372&lt;=20,"Evening",F372&gt;=21,"Night")</f>
        <v>Night</v>
      </c>
      <c r="H372" s="35" t="b">
        <v>0</v>
      </c>
      <c r="I372" s="35">
        <v>0</v>
      </c>
      <c r="J372" s="35">
        <v>2</v>
      </c>
      <c r="K372" s="31">
        <v>0.2</v>
      </c>
      <c r="L372" s="31" t="str" cm="1">
        <f t="array" ref="L372">_xlfn.IFS(K372&lt;0.15,"Cold",K372&lt;0.25,"Mild",K372&lt;=0.32,"Warm",K372&gt;=0.33,"Hot")</f>
        <v>Mild</v>
      </c>
      <c r="M372" s="36">
        <v>0.21210000000000001</v>
      </c>
      <c r="N372" s="36">
        <v>0.49</v>
      </c>
      <c r="O372" s="36" t="str" cm="1">
        <f t="array" ref="O372">_xlfn.IFS(N372&gt;0.61, "High Humidity", N372&gt;=0.6, "Humid", N372&gt;0.4, "Less Humidity", TRUE, "Dry")</f>
        <v>Less Humidity</v>
      </c>
      <c r="P372" s="36">
        <v>0.1343</v>
      </c>
      <c r="Q372" s="36" t="str" cm="1">
        <f t="array" ref="Q372">_xlfn.IFS(P372&lt;=0.2,"Low Windspeed",P372&lt;0.4,"Medium Windspeed",P372&gt;=0.41,"High Windspeed")</f>
        <v>Low Windspeed</v>
      </c>
      <c r="R372" s="36">
        <v>2</v>
      </c>
      <c r="S372" s="36">
        <v>19</v>
      </c>
      <c r="T372" s="37">
        <v>21</v>
      </c>
      <c r="U372" s="39" t="str" cm="1">
        <f t="array" ref="U372">_xlfn.IFS(T372&lt;=70,"Low",T372&lt;=160,"Medium",T372&gt;=161,"High")</f>
        <v>Low</v>
      </c>
    </row>
    <row r="373" spans="1:21" x14ac:dyDescent="0.25">
      <c r="A373" s="33">
        <v>372</v>
      </c>
      <c r="B373" s="34">
        <v>40559</v>
      </c>
      <c r="C373" s="35">
        <v>1</v>
      </c>
      <c r="D373" s="35">
        <v>0</v>
      </c>
      <c r="E373" s="35">
        <v>1</v>
      </c>
      <c r="F373" s="35">
        <v>23</v>
      </c>
      <c r="G373" s="35" t="str" cm="1">
        <f t="array" ref="G373">_xlfn.IFS(F373&lt;4,"Night",F373&lt;=6,"Early Morning",F373&lt;11,"Morning",F373&lt;12,"Afternoon",F373&lt;=16,"Afternoon",F373&lt;=20,"Evening",F373&gt;=21,"Night")</f>
        <v>Night</v>
      </c>
      <c r="H373" s="35" t="b">
        <v>0</v>
      </c>
      <c r="I373" s="35">
        <v>0</v>
      </c>
      <c r="J373" s="35">
        <v>2</v>
      </c>
      <c r="K373" s="31">
        <v>0.2</v>
      </c>
      <c r="L373" s="31" t="str" cm="1">
        <f t="array" ref="L373">_xlfn.IFS(K373&lt;0.15,"Cold",K373&lt;0.25,"Mild",K373&lt;=0.32,"Warm",K373&gt;=0.33,"Hot")</f>
        <v>Mild</v>
      </c>
      <c r="M373" s="36">
        <v>0.2273</v>
      </c>
      <c r="N373" s="36">
        <v>0.4</v>
      </c>
      <c r="O373" s="36" t="str" cm="1">
        <f t="array" ref="O373">_xlfn.IFS(N373&gt;0.61, "High Humidity", N373&gt;=0.6, "Humid", N373&gt;0.4, "Less Humidity", TRUE, "Dry")</f>
        <v>Dry</v>
      </c>
      <c r="P373" s="36">
        <v>0.1045</v>
      </c>
      <c r="Q373" s="36" t="str" cm="1">
        <f t="array" ref="Q373">_xlfn.IFS(P373&lt;=0.2,"Low Windspeed",P373&lt;0.4,"Medium Windspeed",P373&gt;=0.41,"High Windspeed")</f>
        <v>Low Windspeed</v>
      </c>
      <c r="R373" s="36">
        <v>0</v>
      </c>
      <c r="S373" s="36">
        <v>18</v>
      </c>
      <c r="T373" s="37">
        <v>18</v>
      </c>
      <c r="U373" s="39" t="str" cm="1">
        <f t="array" ref="U373">_xlfn.IFS(T373&lt;=70,"Low",T373&lt;=160,"Medium",T373&gt;=161,"High")</f>
        <v>Low</v>
      </c>
    </row>
    <row r="374" spans="1:21" x14ac:dyDescent="0.25">
      <c r="A374" s="33">
        <v>373</v>
      </c>
      <c r="B374" s="34">
        <v>40560</v>
      </c>
      <c r="C374" s="35">
        <v>1</v>
      </c>
      <c r="D374" s="35">
        <v>0</v>
      </c>
      <c r="E374" s="35">
        <v>1</v>
      </c>
      <c r="F374" s="35">
        <v>0</v>
      </c>
      <c r="G374" s="35" t="str" cm="1">
        <f t="array" ref="G374">_xlfn.IFS(F374&lt;4,"Night",F374&lt;=6,"Early Morning",F374&lt;11,"Morning",F374&lt;12,"Afternoon",F374&lt;=16,"Afternoon",F374&lt;=20,"Evening",F374&gt;=21,"Night")</f>
        <v>Night</v>
      </c>
      <c r="H374" s="35" t="b">
        <v>1</v>
      </c>
      <c r="I374" s="35">
        <v>1</v>
      </c>
      <c r="J374" s="35">
        <v>2</v>
      </c>
      <c r="K374" s="31">
        <v>0.2</v>
      </c>
      <c r="L374" s="31" t="str" cm="1">
        <f t="array" ref="L374">_xlfn.IFS(K374&lt;0.15,"Cold",K374&lt;0.25,"Mild",K374&lt;=0.32,"Warm",K374&gt;=0.33,"Hot")</f>
        <v>Mild</v>
      </c>
      <c r="M374" s="36">
        <v>0.19700000000000001</v>
      </c>
      <c r="N374" s="36">
        <v>0.47</v>
      </c>
      <c r="O374" s="36" t="str" cm="1">
        <f t="array" ref="O374">_xlfn.IFS(N374&gt;0.61, "High Humidity", N374&gt;=0.6, "Humid", N374&gt;0.4, "Less Humidity", TRUE, "Dry")</f>
        <v>Less Humidity</v>
      </c>
      <c r="P374" s="36">
        <v>0.22389999999999999</v>
      </c>
      <c r="Q374" s="36" t="str" cm="1">
        <f t="array" ref="Q374">_xlfn.IFS(P374&lt;=0.2,"Low Windspeed",P374&lt;0.4,"Medium Windspeed",P374&gt;=0.41,"High Windspeed")</f>
        <v>Medium Windspeed</v>
      </c>
      <c r="R374" s="36">
        <v>1</v>
      </c>
      <c r="S374" s="36">
        <v>16</v>
      </c>
      <c r="T374" s="37">
        <v>17</v>
      </c>
      <c r="U374" s="39" t="str" cm="1">
        <f t="array" ref="U374">_xlfn.IFS(T374&lt;=70,"Low",T374&lt;=160,"Medium",T374&gt;=161,"High")</f>
        <v>Low</v>
      </c>
    </row>
    <row r="375" spans="1:21" x14ac:dyDescent="0.25">
      <c r="A375" s="33">
        <v>374</v>
      </c>
      <c r="B375" s="34">
        <v>40560</v>
      </c>
      <c r="C375" s="35">
        <v>1</v>
      </c>
      <c r="D375" s="35">
        <v>0</v>
      </c>
      <c r="E375" s="35">
        <v>1</v>
      </c>
      <c r="F375" s="35">
        <v>1</v>
      </c>
      <c r="G375" s="35" t="str" cm="1">
        <f t="array" ref="G375">_xlfn.IFS(F375&lt;4,"Night",F375&lt;=6,"Early Morning",F375&lt;11,"Morning",F375&lt;12,"Afternoon",F375&lt;=16,"Afternoon",F375&lt;=20,"Evening",F375&gt;=21,"Night")</f>
        <v>Night</v>
      </c>
      <c r="H375" s="35" t="b">
        <v>1</v>
      </c>
      <c r="I375" s="35">
        <v>1</v>
      </c>
      <c r="J375" s="35">
        <v>2</v>
      </c>
      <c r="K375" s="31">
        <v>0.2</v>
      </c>
      <c r="L375" s="31" t="str" cm="1">
        <f t="array" ref="L375">_xlfn.IFS(K375&lt;0.15,"Cold",K375&lt;0.25,"Mild",K375&lt;=0.32,"Warm",K375&gt;=0.33,"Hot")</f>
        <v>Mild</v>
      </c>
      <c r="M375" s="36">
        <v>0.19700000000000001</v>
      </c>
      <c r="N375" s="36">
        <v>0.44</v>
      </c>
      <c r="O375" s="36" t="str" cm="1">
        <f t="array" ref="O375">_xlfn.IFS(N375&gt;0.61, "High Humidity", N375&gt;=0.6, "Humid", N375&gt;0.4, "Less Humidity", TRUE, "Dry")</f>
        <v>Less Humidity</v>
      </c>
      <c r="P375" s="36">
        <v>0.19400000000000001</v>
      </c>
      <c r="Q375" s="36" t="str" cm="1">
        <f t="array" ref="Q375">_xlfn.IFS(P375&lt;=0.2,"Low Windspeed",P375&lt;0.4,"Medium Windspeed",P375&gt;=0.41,"High Windspeed")</f>
        <v>Low Windspeed</v>
      </c>
      <c r="R375" s="36">
        <v>1</v>
      </c>
      <c r="S375" s="36">
        <v>15</v>
      </c>
      <c r="T375" s="37">
        <v>16</v>
      </c>
      <c r="U375" s="39" t="str" cm="1">
        <f t="array" ref="U375">_xlfn.IFS(T375&lt;=70,"Low",T375&lt;=160,"Medium",T375&gt;=161,"High")</f>
        <v>Low</v>
      </c>
    </row>
    <row r="376" spans="1:21" x14ac:dyDescent="0.25">
      <c r="A376" s="33">
        <v>375</v>
      </c>
      <c r="B376" s="34">
        <v>40560</v>
      </c>
      <c r="C376" s="35">
        <v>1</v>
      </c>
      <c r="D376" s="35">
        <v>0</v>
      </c>
      <c r="E376" s="35">
        <v>1</v>
      </c>
      <c r="F376" s="35">
        <v>2</v>
      </c>
      <c r="G376" s="35" t="str" cm="1">
        <f t="array" ref="G376">_xlfn.IFS(F376&lt;4,"Night",F376&lt;=6,"Early Morning",F376&lt;11,"Morning",F376&lt;12,"Afternoon",F376&lt;=16,"Afternoon",F376&lt;=20,"Evening",F376&gt;=21,"Night")</f>
        <v>Night</v>
      </c>
      <c r="H376" s="35" t="b">
        <v>1</v>
      </c>
      <c r="I376" s="35">
        <v>1</v>
      </c>
      <c r="J376" s="35">
        <v>2</v>
      </c>
      <c r="K376" s="31">
        <v>0.18</v>
      </c>
      <c r="L376" s="31" t="str" cm="1">
        <f t="array" ref="L376">_xlfn.IFS(K376&lt;0.15,"Cold",K376&lt;0.25,"Mild",K376&lt;=0.32,"Warm",K376&gt;=0.33,"Hot")</f>
        <v>Mild</v>
      </c>
      <c r="M376" s="36">
        <v>0.16669999999999999</v>
      </c>
      <c r="N376" s="36">
        <v>0.43</v>
      </c>
      <c r="O376" s="36" t="str" cm="1">
        <f t="array" ref="O376">_xlfn.IFS(N376&gt;0.61, "High Humidity", N376&gt;=0.6, "Humid", N376&gt;0.4, "Less Humidity", TRUE, "Dry")</f>
        <v>Less Humidity</v>
      </c>
      <c r="P376" s="36">
        <v>0.25369999999999998</v>
      </c>
      <c r="Q376" s="36" t="str" cm="1">
        <f t="array" ref="Q376">_xlfn.IFS(P376&lt;=0.2,"Low Windspeed",P376&lt;0.4,"Medium Windspeed",P376&gt;=0.41,"High Windspeed")</f>
        <v>Medium Windspeed</v>
      </c>
      <c r="R376" s="36">
        <v>0</v>
      </c>
      <c r="S376" s="36">
        <v>8</v>
      </c>
      <c r="T376" s="37">
        <v>8</v>
      </c>
      <c r="U376" s="39" t="str" cm="1">
        <f t="array" ref="U376">_xlfn.IFS(T376&lt;=70,"Low",T376&lt;=160,"Medium",T376&gt;=161,"High")</f>
        <v>Low</v>
      </c>
    </row>
    <row r="377" spans="1:21" x14ac:dyDescent="0.25">
      <c r="A377" s="33">
        <v>376</v>
      </c>
      <c r="B377" s="34">
        <v>40560</v>
      </c>
      <c r="C377" s="35">
        <v>1</v>
      </c>
      <c r="D377" s="35">
        <v>0</v>
      </c>
      <c r="E377" s="35">
        <v>1</v>
      </c>
      <c r="F377" s="35">
        <v>3</v>
      </c>
      <c r="G377" s="35" t="str" cm="1">
        <f t="array" ref="G377">_xlfn.IFS(F377&lt;4,"Night",F377&lt;=6,"Early Morning",F377&lt;11,"Morning",F377&lt;12,"Afternoon",F377&lt;=16,"Afternoon",F377&lt;=20,"Evening",F377&gt;=21,"Night")</f>
        <v>Night</v>
      </c>
      <c r="H377" s="35" t="b">
        <v>1</v>
      </c>
      <c r="I377" s="35">
        <v>1</v>
      </c>
      <c r="J377" s="35">
        <v>2</v>
      </c>
      <c r="K377" s="31">
        <v>0.18</v>
      </c>
      <c r="L377" s="31" t="str" cm="1">
        <f t="array" ref="L377">_xlfn.IFS(K377&lt;0.15,"Cold",K377&lt;0.25,"Mild",K377&lt;=0.32,"Warm",K377&gt;=0.33,"Hot")</f>
        <v>Mild</v>
      </c>
      <c r="M377" s="36">
        <v>0.18179999999999999</v>
      </c>
      <c r="N377" s="36">
        <v>0.43</v>
      </c>
      <c r="O377" s="36" t="str" cm="1">
        <f t="array" ref="O377">_xlfn.IFS(N377&gt;0.61, "High Humidity", N377&gt;=0.6, "Humid", N377&gt;0.4, "Less Humidity", TRUE, "Dry")</f>
        <v>Less Humidity</v>
      </c>
      <c r="P377" s="36">
        <v>0.19400000000000001</v>
      </c>
      <c r="Q377" s="36" t="str" cm="1">
        <f t="array" ref="Q377">_xlfn.IFS(P377&lt;=0.2,"Low Windspeed",P377&lt;0.4,"Medium Windspeed",P377&gt;=0.41,"High Windspeed")</f>
        <v>Low Windspeed</v>
      </c>
      <c r="R377" s="36">
        <v>0</v>
      </c>
      <c r="S377" s="36">
        <v>2</v>
      </c>
      <c r="T377" s="37">
        <v>2</v>
      </c>
      <c r="U377" s="39" t="str" cm="1">
        <f t="array" ref="U377">_xlfn.IFS(T377&lt;=70,"Low",T377&lt;=160,"Medium",T377&gt;=161,"High")</f>
        <v>Low</v>
      </c>
    </row>
    <row r="378" spans="1:21" x14ac:dyDescent="0.25">
      <c r="A378" s="33">
        <v>377</v>
      </c>
      <c r="B378" s="34">
        <v>40560</v>
      </c>
      <c r="C378" s="35">
        <v>1</v>
      </c>
      <c r="D378" s="35">
        <v>0</v>
      </c>
      <c r="E378" s="35">
        <v>1</v>
      </c>
      <c r="F378" s="35">
        <v>4</v>
      </c>
      <c r="G378" s="35" t="str" cm="1">
        <f t="array" ref="G378">_xlfn.IFS(F378&lt;4,"Night",F378&lt;=6,"Early Morning",F378&lt;11,"Morning",F378&lt;12,"Afternoon",F378&lt;=16,"Afternoon",F378&lt;=20,"Evening",F378&gt;=21,"Night")</f>
        <v>Early Morning</v>
      </c>
      <c r="H378" s="35" t="b">
        <v>1</v>
      </c>
      <c r="I378" s="35">
        <v>1</v>
      </c>
      <c r="J378" s="35">
        <v>2</v>
      </c>
      <c r="K378" s="31">
        <v>0.18</v>
      </c>
      <c r="L378" s="31" t="str" cm="1">
        <f t="array" ref="L378">_xlfn.IFS(K378&lt;0.15,"Cold",K378&lt;0.25,"Mild",K378&lt;=0.32,"Warm",K378&gt;=0.33,"Hot")</f>
        <v>Mild</v>
      </c>
      <c r="M378" s="36">
        <v>0.19700000000000001</v>
      </c>
      <c r="N378" s="36">
        <v>0.43</v>
      </c>
      <c r="O378" s="36" t="str" cm="1">
        <f t="array" ref="O378">_xlfn.IFS(N378&gt;0.61, "High Humidity", N378&gt;=0.6, "Humid", N378&gt;0.4, "Less Humidity", TRUE, "Dry")</f>
        <v>Less Humidity</v>
      </c>
      <c r="P378" s="36">
        <v>0.1343</v>
      </c>
      <c r="Q378" s="36" t="str" cm="1">
        <f t="array" ref="Q378">_xlfn.IFS(P378&lt;=0.2,"Low Windspeed",P378&lt;0.4,"Medium Windspeed",P378&gt;=0.41,"High Windspeed")</f>
        <v>Low Windspeed</v>
      </c>
      <c r="R378" s="36">
        <v>1</v>
      </c>
      <c r="S378" s="36">
        <v>2</v>
      </c>
      <c r="T378" s="37">
        <v>3</v>
      </c>
      <c r="U378" s="39" t="str" cm="1">
        <f t="array" ref="U378">_xlfn.IFS(T378&lt;=70,"Low",T378&lt;=160,"Medium",T378&gt;=161,"High")</f>
        <v>Low</v>
      </c>
    </row>
    <row r="379" spans="1:21" x14ac:dyDescent="0.25">
      <c r="A379" s="33">
        <v>378</v>
      </c>
      <c r="B379" s="34">
        <v>40560</v>
      </c>
      <c r="C379" s="35">
        <v>1</v>
      </c>
      <c r="D379" s="35">
        <v>0</v>
      </c>
      <c r="E379" s="35">
        <v>1</v>
      </c>
      <c r="F379" s="35">
        <v>5</v>
      </c>
      <c r="G379" s="35" t="str" cm="1">
        <f t="array" ref="G379">_xlfn.IFS(F379&lt;4,"Night",F379&lt;=6,"Early Morning",F379&lt;11,"Morning",F379&lt;12,"Afternoon",F379&lt;=16,"Afternoon",F379&lt;=20,"Evening",F379&gt;=21,"Night")</f>
        <v>Early Morning</v>
      </c>
      <c r="H379" s="35" t="b">
        <v>1</v>
      </c>
      <c r="I379" s="35">
        <v>1</v>
      </c>
      <c r="J379" s="35">
        <v>2</v>
      </c>
      <c r="K379" s="31">
        <v>0.18</v>
      </c>
      <c r="L379" s="31" t="str" cm="1">
        <f t="array" ref="L379">_xlfn.IFS(K379&lt;0.15,"Cold",K379&lt;0.25,"Mild",K379&lt;=0.32,"Warm",K379&gt;=0.33,"Hot")</f>
        <v>Mild</v>
      </c>
      <c r="M379" s="36">
        <v>0.19700000000000001</v>
      </c>
      <c r="N379" s="36">
        <v>0.43</v>
      </c>
      <c r="O379" s="36" t="str" cm="1">
        <f t="array" ref="O379">_xlfn.IFS(N379&gt;0.61, "High Humidity", N379&gt;=0.6, "Humid", N379&gt;0.4, "Less Humidity", TRUE, "Dry")</f>
        <v>Less Humidity</v>
      </c>
      <c r="P379" s="36">
        <v>0.16420000000000001</v>
      </c>
      <c r="Q379" s="36" t="str" cm="1">
        <f t="array" ref="Q379">_xlfn.IFS(P379&lt;=0.2,"Low Windspeed",P379&lt;0.4,"Medium Windspeed",P379&gt;=0.41,"High Windspeed")</f>
        <v>Low Windspeed</v>
      </c>
      <c r="R379" s="36">
        <v>0</v>
      </c>
      <c r="S379" s="36">
        <v>1</v>
      </c>
      <c r="T379" s="37">
        <v>1</v>
      </c>
      <c r="U379" s="39" t="str" cm="1">
        <f t="array" ref="U379">_xlfn.IFS(T379&lt;=70,"Low",T379&lt;=160,"Medium",T379&gt;=161,"High")</f>
        <v>Low</v>
      </c>
    </row>
    <row r="380" spans="1:21" x14ac:dyDescent="0.25">
      <c r="A380" s="33">
        <v>379</v>
      </c>
      <c r="B380" s="34">
        <v>40560</v>
      </c>
      <c r="C380" s="35">
        <v>1</v>
      </c>
      <c r="D380" s="35">
        <v>0</v>
      </c>
      <c r="E380" s="35">
        <v>1</v>
      </c>
      <c r="F380" s="35">
        <v>6</v>
      </c>
      <c r="G380" s="35" t="str" cm="1">
        <f t="array" ref="G380">_xlfn.IFS(F380&lt;4,"Night",F380&lt;=6,"Early Morning",F380&lt;11,"Morning",F380&lt;12,"Afternoon",F380&lt;=16,"Afternoon",F380&lt;=20,"Evening",F380&gt;=21,"Night")</f>
        <v>Early Morning</v>
      </c>
      <c r="H380" s="35" t="b">
        <v>1</v>
      </c>
      <c r="I380" s="35">
        <v>1</v>
      </c>
      <c r="J380" s="35">
        <v>2</v>
      </c>
      <c r="K380" s="31">
        <v>0.18</v>
      </c>
      <c r="L380" s="31" t="str" cm="1">
        <f t="array" ref="L380">_xlfn.IFS(K380&lt;0.15,"Cold",K380&lt;0.25,"Mild",K380&lt;=0.32,"Warm",K380&gt;=0.33,"Hot")</f>
        <v>Mild</v>
      </c>
      <c r="M380" s="36">
        <v>0.18179999999999999</v>
      </c>
      <c r="N380" s="36">
        <v>0.43</v>
      </c>
      <c r="O380" s="36" t="str" cm="1">
        <f t="array" ref="O380">_xlfn.IFS(N380&gt;0.61, "High Humidity", N380&gt;=0.6, "Humid", N380&gt;0.4, "Less Humidity", TRUE, "Dry")</f>
        <v>Less Humidity</v>
      </c>
      <c r="P380" s="36">
        <v>0.19400000000000001</v>
      </c>
      <c r="Q380" s="36" t="str" cm="1">
        <f t="array" ref="Q380">_xlfn.IFS(P380&lt;=0.2,"Low Windspeed",P380&lt;0.4,"Medium Windspeed",P380&gt;=0.41,"High Windspeed")</f>
        <v>Low Windspeed</v>
      </c>
      <c r="R380" s="36">
        <v>0</v>
      </c>
      <c r="S380" s="36">
        <v>5</v>
      </c>
      <c r="T380" s="37">
        <v>5</v>
      </c>
      <c r="U380" s="39" t="str" cm="1">
        <f t="array" ref="U380">_xlfn.IFS(T380&lt;=70,"Low",T380&lt;=160,"Medium",T380&gt;=161,"High")</f>
        <v>Low</v>
      </c>
    </row>
    <row r="381" spans="1:21" x14ac:dyDescent="0.25">
      <c r="A381" s="33">
        <v>380</v>
      </c>
      <c r="B381" s="34">
        <v>40560</v>
      </c>
      <c r="C381" s="35">
        <v>1</v>
      </c>
      <c r="D381" s="35">
        <v>0</v>
      </c>
      <c r="E381" s="35">
        <v>1</v>
      </c>
      <c r="F381" s="35">
        <v>7</v>
      </c>
      <c r="G381" s="35" t="str" cm="1">
        <f t="array" ref="G381">_xlfn.IFS(F381&lt;4,"Night",F381&lt;=6,"Early Morning",F381&lt;11,"Morning",F381&lt;12,"Afternoon",F381&lt;=16,"Afternoon",F381&lt;=20,"Evening",F381&gt;=21,"Night")</f>
        <v>Morning</v>
      </c>
      <c r="H381" s="35" t="b">
        <v>1</v>
      </c>
      <c r="I381" s="35">
        <v>1</v>
      </c>
      <c r="J381" s="35">
        <v>2</v>
      </c>
      <c r="K381" s="31">
        <v>0.16</v>
      </c>
      <c r="L381" s="31" t="str" cm="1">
        <f t="array" ref="L381">_xlfn.IFS(K381&lt;0.15,"Cold",K381&lt;0.25,"Mild",K381&lt;=0.32,"Warm",K381&gt;=0.33,"Hot")</f>
        <v>Mild</v>
      </c>
      <c r="M381" s="36">
        <v>0.18179999999999999</v>
      </c>
      <c r="N381" s="36">
        <v>0.5</v>
      </c>
      <c r="O381" s="36" t="str" cm="1">
        <f t="array" ref="O381">_xlfn.IFS(N381&gt;0.61, "High Humidity", N381&gt;=0.6, "Humid", N381&gt;0.4, "Less Humidity", TRUE, "Dry")</f>
        <v>Less Humidity</v>
      </c>
      <c r="P381" s="36">
        <v>0.1343</v>
      </c>
      <c r="Q381" s="36" t="str" cm="1">
        <f t="array" ref="Q381">_xlfn.IFS(P381&lt;=0.2,"Low Windspeed",P381&lt;0.4,"Medium Windspeed",P381&gt;=0.41,"High Windspeed")</f>
        <v>Low Windspeed</v>
      </c>
      <c r="R381" s="36">
        <v>4</v>
      </c>
      <c r="S381" s="36">
        <v>9</v>
      </c>
      <c r="T381" s="37">
        <v>13</v>
      </c>
      <c r="U381" s="39" t="str" cm="1">
        <f t="array" ref="U381">_xlfn.IFS(T381&lt;=70,"Low",T381&lt;=160,"Medium",T381&gt;=161,"High")</f>
        <v>Low</v>
      </c>
    </row>
    <row r="382" spans="1:21" x14ac:dyDescent="0.25">
      <c r="A382" s="33">
        <v>381</v>
      </c>
      <c r="B382" s="34">
        <v>40560</v>
      </c>
      <c r="C382" s="35">
        <v>1</v>
      </c>
      <c r="D382" s="35">
        <v>0</v>
      </c>
      <c r="E382" s="35">
        <v>1</v>
      </c>
      <c r="F382" s="35">
        <v>8</v>
      </c>
      <c r="G382" s="35" t="str" cm="1">
        <f t="array" ref="G382">_xlfn.IFS(F382&lt;4,"Night",F382&lt;=6,"Early Morning",F382&lt;11,"Morning",F382&lt;12,"Afternoon",F382&lt;=16,"Afternoon",F382&lt;=20,"Evening",F382&gt;=21,"Night")</f>
        <v>Morning</v>
      </c>
      <c r="H382" s="35" t="b">
        <v>1</v>
      </c>
      <c r="I382" s="35">
        <v>1</v>
      </c>
      <c r="J382" s="35">
        <v>2</v>
      </c>
      <c r="K382" s="31">
        <v>0.16</v>
      </c>
      <c r="L382" s="31" t="str" cm="1">
        <f t="array" ref="L382">_xlfn.IFS(K382&lt;0.15,"Cold",K382&lt;0.25,"Mild",K382&lt;=0.32,"Warm",K382&gt;=0.33,"Hot")</f>
        <v>Mild</v>
      </c>
      <c r="M382" s="36">
        <v>0.1515</v>
      </c>
      <c r="N382" s="36">
        <v>0.47</v>
      </c>
      <c r="O382" s="36" t="str" cm="1">
        <f t="array" ref="O382">_xlfn.IFS(N382&gt;0.61, "High Humidity", N382&gt;=0.6, "Humid", N382&gt;0.4, "Less Humidity", TRUE, "Dry")</f>
        <v>Less Humidity</v>
      </c>
      <c r="P382" s="36">
        <v>0.22389999999999999</v>
      </c>
      <c r="Q382" s="36" t="str" cm="1">
        <f t="array" ref="Q382">_xlfn.IFS(P382&lt;=0.2,"Low Windspeed",P382&lt;0.4,"Medium Windspeed",P382&gt;=0.41,"High Windspeed")</f>
        <v>Medium Windspeed</v>
      </c>
      <c r="R382" s="36">
        <v>3</v>
      </c>
      <c r="S382" s="36">
        <v>30</v>
      </c>
      <c r="T382" s="37">
        <v>33</v>
      </c>
      <c r="U382" s="39" t="str" cm="1">
        <f t="array" ref="U382">_xlfn.IFS(T382&lt;=70,"Low",T382&lt;=160,"Medium",T382&gt;=161,"High")</f>
        <v>Low</v>
      </c>
    </row>
    <row r="383" spans="1:21" x14ac:dyDescent="0.25">
      <c r="A383" s="33">
        <v>382</v>
      </c>
      <c r="B383" s="34">
        <v>40560</v>
      </c>
      <c r="C383" s="35">
        <v>1</v>
      </c>
      <c r="D383" s="35">
        <v>0</v>
      </c>
      <c r="E383" s="35">
        <v>1</v>
      </c>
      <c r="F383" s="35">
        <v>9</v>
      </c>
      <c r="G383" s="35" t="str" cm="1">
        <f t="array" ref="G383">_xlfn.IFS(F383&lt;4,"Night",F383&lt;=6,"Early Morning",F383&lt;11,"Morning",F383&lt;12,"Afternoon",F383&lt;=16,"Afternoon",F383&lt;=20,"Evening",F383&gt;=21,"Night")</f>
        <v>Morning</v>
      </c>
      <c r="H383" s="35" t="b">
        <v>1</v>
      </c>
      <c r="I383" s="35">
        <v>1</v>
      </c>
      <c r="J383" s="35">
        <v>2</v>
      </c>
      <c r="K383" s="31">
        <v>0.16</v>
      </c>
      <c r="L383" s="31" t="str" cm="1">
        <f t="array" ref="L383">_xlfn.IFS(K383&lt;0.15,"Cold",K383&lt;0.25,"Mild",K383&lt;=0.32,"Warm",K383&gt;=0.33,"Hot")</f>
        <v>Mild</v>
      </c>
      <c r="M383" s="36">
        <v>0.1515</v>
      </c>
      <c r="N383" s="36">
        <v>0.47</v>
      </c>
      <c r="O383" s="36" t="str" cm="1">
        <f t="array" ref="O383">_xlfn.IFS(N383&gt;0.61, "High Humidity", N383&gt;=0.6, "Humid", N383&gt;0.4, "Less Humidity", TRUE, "Dry")</f>
        <v>Less Humidity</v>
      </c>
      <c r="P383" s="36">
        <v>0.22389999999999999</v>
      </c>
      <c r="Q383" s="36" t="str" cm="1">
        <f t="array" ref="Q383">_xlfn.IFS(P383&lt;=0.2,"Low Windspeed",P383&lt;0.4,"Medium Windspeed",P383&gt;=0.41,"High Windspeed")</f>
        <v>Medium Windspeed</v>
      </c>
      <c r="R383" s="36">
        <v>8</v>
      </c>
      <c r="S383" s="36">
        <v>39</v>
      </c>
      <c r="T383" s="37">
        <v>47</v>
      </c>
      <c r="U383" s="39" t="str" cm="1">
        <f t="array" ref="U383">_xlfn.IFS(T383&lt;=70,"Low",T383&lt;=160,"Medium",T383&gt;=161,"High")</f>
        <v>Low</v>
      </c>
    </row>
    <row r="384" spans="1:21" x14ac:dyDescent="0.25">
      <c r="A384" s="33">
        <v>383</v>
      </c>
      <c r="B384" s="34">
        <v>40560</v>
      </c>
      <c r="C384" s="35">
        <v>1</v>
      </c>
      <c r="D384" s="35">
        <v>0</v>
      </c>
      <c r="E384" s="35">
        <v>1</v>
      </c>
      <c r="F384" s="35">
        <v>10</v>
      </c>
      <c r="G384" s="35" t="str" cm="1">
        <f t="array" ref="G384">_xlfn.IFS(F384&lt;4,"Night",F384&lt;=6,"Early Morning",F384&lt;11,"Morning",F384&lt;12,"Afternoon",F384&lt;=16,"Afternoon",F384&lt;=20,"Evening",F384&gt;=21,"Night")</f>
        <v>Morning</v>
      </c>
      <c r="H384" s="35" t="b">
        <v>1</v>
      </c>
      <c r="I384" s="35">
        <v>1</v>
      </c>
      <c r="J384" s="35">
        <v>2</v>
      </c>
      <c r="K384" s="31">
        <v>0.16</v>
      </c>
      <c r="L384" s="31" t="str" cm="1">
        <f t="array" ref="L384">_xlfn.IFS(K384&lt;0.15,"Cold",K384&lt;0.25,"Mild",K384&lt;=0.32,"Warm",K384&gt;=0.33,"Hot")</f>
        <v>Mild</v>
      </c>
      <c r="M384" s="36">
        <v>0.1515</v>
      </c>
      <c r="N384" s="36">
        <v>0.5</v>
      </c>
      <c r="O384" s="36" t="str" cm="1">
        <f t="array" ref="O384">_xlfn.IFS(N384&gt;0.61, "High Humidity", N384&gt;=0.6, "Humid", N384&gt;0.4, "Less Humidity", TRUE, "Dry")</f>
        <v>Less Humidity</v>
      </c>
      <c r="P384" s="36">
        <v>0.25369999999999998</v>
      </c>
      <c r="Q384" s="36" t="str" cm="1">
        <f t="array" ref="Q384">_xlfn.IFS(P384&lt;=0.2,"Low Windspeed",P384&lt;0.4,"Medium Windspeed",P384&gt;=0.41,"High Windspeed")</f>
        <v>Medium Windspeed</v>
      </c>
      <c r="R384" s="36">
        <v>7</v>
      </c>
      <c r="S384" s="36">
        <v>50</v>
      </c>
      <c r="T384" s="37">
        <v>57</v>
      </c>
      <c r="U384" s="39" t="str" cm="1">
        <f t="array" ref="U384">_xlfn.IFS(T384&lt;=70,"Low",T384&lt;=160,"Medium",T384&gt;=161,"High")</f>
        <v>Low</v>
      </c>
    </row>
    <row r="385" spans="1:21" x14ac:dyDescent="0.25">
      <c r="A385" s="33">
        <v>384</v>
      </c>
      <c r="B385" s="34">
        <v>40560</v>
      </c>
      <c r="C385" s="35">
        <v>1</v>
      </c>
      <c r="D385" s="35">
        <v>0</v>
      </c>
      <c r="E385" s="35">
        <v>1</v>
      </c>
      <c r="F385" s="35">
        <v>11</v>
      </c>
      <c r="G385" s="35" t="str" cm="1">
        <f t="array" ref="G385">_xlfn.IFS(F385&lt;4,"Night",F385&lt;=6,"Early Morning",F385&lt;11,"Morning",F385&lt;12,"Afternoon",F385&lt;=16,"Afternoon",F385&lt;=20,"Evening",F385&gt;=21,"Night")</f>
        <v>Afternoon</v>
      </c>
      <c r="H385" s="35" t="b">
        <v>1</v>
      </c>
      <c r="I385" s="35">
        <v>1</v>
      </c>
      <c r="J385" s="35">
        <v>2</v>
      </c>
      <c r="K385" s="31">
        <v>0.16</v>
      </c>
      <c r="L385" s="31" t="str" cm="1">
        <f t="array" ref="L385">_xlfn.IFS(K385&lt;0.15,"Cold",K385&lt;0.25,"Mild",K385&lt;=0.32,"Warm",K385&gt;=0.33,"Hot")</f>
        <v>Mild</v>
      </c>
      <c r="M385" s="36">
        <v>0.1515</v>
      </c>
      <c r="N385" s="36">
        <v>0.55000000000000004</v>
      </c>
      <c r="O385" s="36" t="str" cm="1">
        <f t="array" ref="O385">_xlfn.IFS(N385&gt;0.61, "High Humidity", N385&gt;=0.6, "Humid", N385&gt;0.4, "Less Humidity", TRUE, "Dry")</f>
        <v>Less Humidity</v>
      </c>
      <c r="P385" s="36">
        <v>0.19400000000000001</v>
      </c>
      <c r="Q385" s="36" t="str" cm="1">
        <f t="array" ref="Q385">_xlfn.IFS(P385&lt;=0.2,"Low Windspeed",P385&lt;0.4,"Medium Windspeed",P385&gt;=0.41,"High Windspeed")</f>
        <v>Low Windspeed</v>
      </c>
      <c r="R385" s="36">
        <v>9</v>
      </c>
      <c r="S385" s="36">
        <v>55</v>
      </c>
      <c r="T385" s="37">
        <v>64</v>
      </c>
      <c r="U385" s="39" t="str" cm="1">
        <f t="array" ref="U385">_xlfn.IFS(T385&lt;=70,"Low",T385&lt;=160,"Medium",T385&gt;=161,"High")</f>
        <v>Low</v>
      </c>
    </row>
    <row r="386" spans="1:21" x14ac:dyDescent="0.25">
      <c r="A386" s="33">
        <v>385</v>
      </c>
      <c r="B386" s="34">
        <v>40560</v>
      </c>
      <c r="C386" s="35">
        <v>1</v>
      </c>
      <c r="D386" s="35">
        <v>0</v>
      </c>
      <c r="E386" s="35">
        <v>1</v>
      </c>
      <c r="F386" s="35">
        <v>12</v>
      </c>
      <c r="G386" s="35" t="str" cm="1">
        <f t="array" ref="G386">_xlfn.IFS(F386&lt;4,"Night",F386&lt;=6,"Early Morning",F386&lt;11,"Morning",F386&lt;12,"Afternoon",F386&lt;=16,"Afternoon",F386&lt;=20,"Evening",F386&gt;=21,"Night")</f>
        <v>Afternoon</v>
      </c>
      <c r="H386" s="35" t="b">
        <v>1</v>
      </c>
      <c r="I386" s="35">
        <v>1</v>
      </c>
      <c r="J386" s="35">
        <v>2</v>
      </c>
      <c r="K386" s="31">
        <v>0.18</v>
      </c>
      <c r="L386" s="31" t="str" cm="1">
        <f t="array" ref="L386">_xlfn.IFS(K386&lt;0.15,"Cold",K386&lt;0.25,"Mild",K386&lt;=0.32,"Warm",K386&gt;=0.33,"Hot")</f>
        <v>Mild</v>
      </c>
      <c r="M386" s="36">
        <v>0.19700000000000001</v>
      </c>
      <c r="N386" s="36">
        <v>0.47</v>
      </c>
      <c r="O386" s="36" t="str" cm="1">
        <f t="array" ref="O386">_xlfn.IFS(N386&gt;0.61, "High Humidity", N386&gt;=0.6, "Humid", N386&gt;0.4, "Less Humidity", TRUE, "Dry")</f>
        <v>Less Humidity</v>
      </c>
      <c r="P386" s="36">
        <v>0.1343</v>
      </c>
      <c r="Q386" s="36" t="str" cm="1">
        <f t="array" ref="Q386">_xlfn.IFS(P386&lt;=0.2,"Low Windspeed",P386&lt;0.4,"Medium Windspeed",P386&gt;=0.41,"High Windspeed")</f>
        <v>Low Windspeed</v>
      </c>
      <c r="R386" s="36">
        <v>10</v>
      </c>
      <c r="S386" s="36">
        <v>70</v>
      </c>
      <c r="T386" s="37">
        <v>80</v>
      </c>
      <c r="U386" s="39" t="str" cm="1">
        <f t="array" ref="U386">_xlfn.IFS(T386&lt;=70,"Low",T386&lt;=160,"Medium",T386&gt;=161,"High")</f>
        <v>Medium</v>
      </c>
    </row>
    <row r="387" spans="1:21" x14ac:dyDescent="0.25">
      <c r="A387" s="33">
        <v>386</v>
      </c>
      <c r="B387" s="34">
        <v>40560</v>
      </c>
      <c r="C387" s="35">
        <v>1</v>
      </c>
      <c r="D387" s="35">
        <v>0</v>
      </c>
      <c r="E387" s="35">
        <v>1</v>
      </c>
      <c r="F387" s="35">
        <v>13</v>
      </c>
      <c r="G387" s="35" t="str" cm="1">
        <f t="array" ref="G387">_xlfn.IFS(F387&lt;4,"Night",F387&lt;=6,"Early Morning",F387&lt;11,"Morning",F387&lt;12,"Afternoon",F387&lt;=16,"Afternoon",F387&lt;=20,"Evening",F387&gt;=21,"Night")</f>
        <v>Afternoon</v>
      </c>
      <c r="H387" s="35" t="b">
        <v>1</v>
      </c>
      <c r="I387" s="35">
        <v>1</v>
      </c>
      <c r="J387" s="35">
        <v>2</v>
      </c>
      <c r="K387" s="31">
        <v>0.18</v>
      </c>
      <c r="L387" s="31" t="str" cm="1">
        <f t="array" ref="L387">_xlfn.IFS(K387&lt;0.15,"Cold",K387&lt;0.25,"Mild",K387&lt;=0.32,"Warm",K387&gt;=0.33,"Hot")</f>
        <v>Mild</v>
      </c>
      <c r="M387" s="36">
        <v>0.19700000000000001</v>
      </c>
      <c r="N387" s="36">
        <v>0.47</v>
      </c>
      <c r="O387" s="36" t="str" cm="1">
        <f t="array" ref="O387">_xlfn.IFS(N387&gt;0.61, "High Humidity", N387&gt;=0.6, "Humid", N387&gt;0.4, "Less Humidity", TRUE, "Dry")</f>
        <v>Less Humidity</v>
      </c>
      <c r="P387" s="36">
        <v>0.1343</v>
      </c>
      <c r="Q387" s="36" t="str" cm="1">
        <f t="array" ref="Q387">_xlfn.IFS(P387&lt;=0.2,"Low Windspeed",P387&lt;0.4,"Medium Windspeed",P387&gt;=0.41,"High Windspeed")</f>
        <v>Low Windspeed</v>
      </c>
      <c r="R387" s="36">
        <v>13</v>
      </c>
      <c r="S387" s="36">
        <v>80</v>
      </c>
      <c r="T387" s="37">
        <v>93</v>
      </c>
      <c r="U387" s="39" t="str" cm="1">
        <f t="array" ref="U387">_xlfn.IFS(T387&lt;=70,"Low",T387&lt;=160,"Medium",T387&gt;=161,"High")</f>
        <v>Medium</v>
      </c>
    </row>
    <row r="388" spans="1:21" x14ac:dyDescent="0.25">
      <c r="A388" s="33">
        <v>387</v>
      </c>
      <c r="B388" s="34">
        <v>40560</v>
      </c>
      <c r="C388" s="35">
        <v>1</v>
      </c>
      <c r="D388" s="35">
        <v>0</v>
      </c>
      <c r="E388" s="35">
        <v>1</v>
      </c>
      <c r="F388" s="35">
        <v>14</v>
      </c>
      <c r="G388" s="35" t="str" cm="1">
        <f t="array" ref="G388">_xlfn.IFS(F388&lt;4,"Night",F388&lt;=6,"Early Morning",F388&lt;11,"Morning",F388&lt;12,"Afternoon",F388&lt;=16,"Afternoon",F388&lt;=20,"Evening",F388&gt;=21,"Night")</f>
        <v>Afternoon</v>
      </c>
      <c r="H388" s="35" t="b">
        <v>1</v>
      </c>
      <c r="I388" s="35">
        <v>1</v>
      </c>
      <c r="J388" s="35">
        <v>2</v>
      </c>
      <c r="K388" s="31">
        <v>0.18</v>
      </c>
      <c r="L388" s="31" t="str" cm="1">
        <f t="array" ref="L388">_xlfn.IFS(K388&lt;0.15,"Cold",K388&lt;0.25,"Mild",K388&lt;=0.32,"Warm",K388&gt;=0.33,"Hot")</f>
        <v>Mild</v>
      </c>
      <c r="M388" s="36">
        <v>0.21210000000000001</v>
      </c>
      <c r="N388" s="36">
        <v>0.43</v>
      </c>
      <c r="O388" s="36" t="str" cm="1">
        <f t="array" ref="O388">_xlfn.IFS(N388&gt;0.61, "High Humidity", N388&gt;=0.6, "Humid", N388&gt;0.4, "Less Humidity", TRUE, "Dry")</f>
        <v>Less Humidity</v>
      </c>
      <c r="P388" s="36">
        <v>0.1045</v>
      </c>
      <c r="Q388" s="36" t="str" cm="1">
        <f t="array" ref="Q388">_xlfn.IFS(P388&lt;=0.2,"Low Windspeed",P388&lt;0.4,"Medium Windspeed",P388&gt;=0.41,"High Windspeed")</f>
        <v>Low Windspeed</v>
      </c>
      <c r="R388" s="36">
        <v>12</v>
      </c>
      <c r="S388" s="36">
        <v>74</v>
      </c>
      <c r="T388" s="37">
        <v>86</v>
      </c>
      <c r="U388" s="39" t="str" cm="1">
        <f t="array" ref="U388">_xlfn.IFS(T388&lt;=70,"Low",T388&lt;=160,"Medium",T388&gt;=161,"High")</f>
        <v>Medium</v>
      </c>
    </row>
    <row r="389" spans="1:21" x14ac:dyDescent="0.25">
      <c r="A389" s="33">
        <v>388</v>
      </c>
      <c r="B389" s="34">
        <v>40560</v>
      </c>
      <c r="C389" s="35">
        <v>1</v>
      </c>
      <c r="D389" s="35">
        <v>0</v>
      </c>
      <c r="E389" s="35">
        <v>1</v>
      </c>
      <c r="F389" s="35">
        <v>15</v>
      </c>
      <c r="G389" s="35" t="str" cm="1">
        <f t="array" ref="G389">_xlfn.IFS(F389&lt;4,"Night",F389&lt;=6,"Early Morning",F389&lt;11,"Morning",F389&lt;12,"Afternoon",F389&lt;=16,"Afternoon",F389&lt;=20,"Evening",F389&gt;=21,"Night")</f>
        <v>Afternoon</v>
      </c>
      <c r="H389" s="35" t="b">
        <v>1</v>
      </c>
      <c r="I389" s="35">
        <v>1</v>
      </c>
      <c r="J389" s="35">
        <v>2</v>
      </c>
      <c r="K389" s="31">
        <v>0.2</v>
      </c>
      <c r="L389" s="31" t="str" cm="1">
        <f t="array" ref="L389">_xlfn.IFS(K389&lt;0.15,"Cold",K389&lt;0.25,"Mild",K389&lt;=0.32,"Warm",K389&gt;=0.33,"Hot")</f>
        <v>Mild</v>
      </c>
      <c r="M389" s="36">
        <v>0.21210000000000001</v>
      </c>
      <c r="N389" s="36">
        <v>0.47</v>
      </c>
      <c r="O389" s="36" t="str" cm="1">
        <f t="array" ref="O389">_xlfn.IFS(N389&gt;0.61, "High Humidity", N389&gt;=0.6, "Humid", N389&gt;0.4, "Less Humidity", TRUE, "Dry")</f>
        <v>Less Humidity</v>
      </c>
      <c r="P389" s="36">
        <v>0.16420000000000001</v>
      </c>
      <c r="Q389" s="36" t="str" cm="1">
        <f t="array" ref="Q389">_xlfn.IFS(P389&lt;=0.2,"Low Windspeed",P389&lt;0.4,"Medium Windspeed",P389&gt;=0.41,"High Windspeed")</f>
        <v>Low Windspeed</v>
      </c>
      <c r="R389" s="36">
        <v>21</v>
      </c>
      <c r="S389" s="36">
        <v>72</v>
      </c>
      <c r="T389" s="37">
        <v>93</v>
      </c>
      <c r="U389" s="39" t="str" cm="1">
        <f t="array" ref="U389">_xlfn.IFS(T389&lt;=70,"Low",T389&lt;=160,"Medium",T389&gt;=161,"High")</f>
        <v>Medium</v>
      </c>
    </row>
    <row r="390" spans="1:21" x14ac:dyDescent="0.25">
      <c r="A390" s="33">
        <v>389</v>
      </c>
      <c r="B390" s="34">
        <v>40560</v>
      </c>
      <c r="C390" s="35">
        <v>1</v>
      </c>
      <c r="D390" s="35">
        <v>0</v>
      </c>
      <c r="E390" s="35">
        <v>1</v>
      </c>
      <c r="F390" s="35">
        <v>16</v>
      </c>
      <c r="G390" s="35" t="str" cm="1">
        <f t="array" ref="G390">_xlfn.IFS(F390&lt;4,"Night",F390&lt;=6,"Early Morning",F390&lt;11,"Morning",F390&lt;12,"Afternoon",F390&lt;=16,"Afternoon",F390&lt;=20,"Evening",F390&gt;=21,"Night")</f>
        <v>Afternoon</v>
      </c>
      <c r="H390" s="35" t="b">
        <v>1</v>
      </c>
      <c r="I390" s="35">
        <v>1</v>
      </c>
      <c r="J390" s="35">
        <v>2</v>
      </c>
      <c r="K390" s="31">
        <v>0.2</v>
      </c>
      <c r="L390" s="31" t="str" cm="1">
        <f t="array" ref="L390">_xlfn.IFS(K390&lt;0.15,"Cold",K390&lt;0.25,"Mild",K390&lt;=0.32,"Warm",K390&gt;=0.33,"Hot")</f>
        <v>Mild</v>
      </c>
      <c r="M390" s="36">
        <v>0.21210000000000001</v>
      </c>
      <c r="N390" s="36">
        <v>0.47</v>
      </c>
      <c r="O390" s="36" t="str" cm="1">
        <f t="array" ref="O390">_xlfn.IFS(N390&gt;0.61, "High Humidity", N390&gt;=0.6, "Humid", N390&gt;0.4, "Less Humidity", TRUE, "Dry")</f>
        <v>Less Humidity</v>
      </c>
      <c r="P390" s="36">
        <v>0.16420000000000001</v>
      </c>
      <c r="Q390" s="36" t="str" cm="1">
        <f t="array" ref="Q390">_xlfn.IFS(P390&lt;=0.2,"Low Windspeed",P390&lt;0.4,"Medium Windspeed",P390&gt;=0.41,"High Windspeed")</f>
        <v>Low Windspeed</v>
      </c>
      <c r="R390" s="36">
        <v>6</v>
      </c>
      <c r="S390" s="36">
        <v>76</v>
      </c>
      <c r="T390" s="37">
        <v>82</v>
      </c>
      <c r="U390" s="39" t="str" cm="1">
        <f t="array" ref="U390">_xlfn.IFS(T390&lt;=70,"Low",T390&lt;=160,"Medium",T390&gt;=161,"High")</f>
        <v>Medium</v>
      </c>
    </row>
    <row r="391" spans="1:21" x14ac:dyDescent="0.25">
      <c r="A391" s="33">
        <v>390</v>
      </c>
      <c r="B391" s="34">
        <v>40560</v>
      </c>
      <c r="C391" s="35">
        <v>1</v>
      </c>
      <c r="D391" s="35">
        <v>0</v>
      </c>
      <c r="E391" s="35">
        <v>1</v>
      </c>
      <c r="F391" s="35">
        <v>17</v>
      </c>
      <c r="G391" s="35" t="str" cm="1">
        <f t="array" ref="G391">_xlfn.IFS(F391&lt;4,"Night",F391&lt;=6,"Early Morning",F391&lt;11,"Morning",F391&lt;12,"Afternoon",F391&lt;=16,"Afternoon",F391&lt;=20,"Evening",F391&gt;=21,"Night")</f>
        <v>Evening</v>
      </c>
      <c r="H391" s="35" t="b">
        <v>1</v>
      </c>
      <c r="I391" s="35">
        <v>1</v>
      </c>
      <c r="J391" s="35">
        <v>1</v>
      </c>
      <c r="K391" s="31">
        <v>0.2</v>
      </c>
      <c r="L391" s="31" t="str" cm="1">
        <f t="array" ref="L391">_xlfn.IFS(K391&lt;0.15,"Cold",K391&lt;0.25,"Mild",K391&lt;=0.32,"Warm",K391&gt;=0.33,"Hot")</f>
        <v>Mild</v>
      </c>
      <c r="M391" s="36">
        <v>0.19700000000000001</v>
      </c>
      <c r="N391" s="36">
        <v>0.51</v>
      </c>
      <c r="O391" s="36" t="str" cm="1">
        <f t="array" ref="O391">_xlfn.IFS(N391&gt;0.61, "High Humidity", N391&gt;=0.6, "Humid", N391&gt;0.4, "Less Humidity", TRUE, "Dry")</f>
        <v>Less Humidity</v>
      </c>
      <c r="P391" s="36">
        <v>0.19400000000000001</v>
      </c>
      <c r="Q391" s="36" t="str" cm="1">
        <f t="array" ref="Q391">_xlfn.IFS(P391&lt;=0.2,"Low Windspeed",P391&lt;0.4,"Medium Windspeed",P391&gt;=0.41,"High Windspeed")</f>
        <v>Low Windspeed</v>
      </c>
      <c r="R391" s="36">
        <v>4</v>
      </c>
      <c r="S391" s="36">
        <v>67</v>
      </c>
      <c r="T391" s="37">
        <v>71</v>
      </c>
      <c r="U391" s="39" t="str" cm="1">
        <f t="array" ref="U391">_xlfn.IFS(T391&lt;=70,"Low",T391&lt;=160,"Medium",T391&gt;=161,"High")</f>
        <v>Medium</v>
      </c>
    </row>
    <row r="392" spans="1:21" x14ac:dyDescent="0.25">
      <c r="A392" s="33">
        <v>391</v>
      </c>
      <c r="B392" s="34">
        <v>40560</v>
      </c>
      <c r="C392" s="35">
        <v>1</v>
      </c>
      <c r="D392" s="35">
        <v>0</v>
      </c>
      <c r="E392" s="35">
        <v>1</v>
      </c>
      <c r="F392" s="35">
        <v>18</v>
      </c>
      <c r="G392" s="35" t="str" cm="1">
        <f t="array" ref="G392">_xlfn.IFS(F392&lt;4,"Night",F392&lt;=6,"Early Morning",F392&lt;11,"Morning",F392&lt;12,"Afternoon",F392&lt;=16,"Afternoon",F392&lt;=20,"Evening",F392&gt;=21,"Night")</f>
        <v>Evening</v>
      </c>
      <c r="H392" s="35" t="b">
        <v>1</v>
      </c>
      <c r="I392" s="35">
        <v>1</v>
      </c>
      <c r="J392" s="35">
        <v>2</v>
      </c>
      <c r="K392" s="31">
        <v>0.18</v>
      </c>
      <c r="L392" s="31" t="str" cm="1">
        <f t="array" ref="L392">_xlfn.IFS(K392&lt;0.15,"Cold",K392&lt;0.25,"Mild",K392&lt;=0.32,"Warm",K392&gt;=0.33,"Hot")</f>
        <v>Mild</v>
      </c>
      <c r="M392" s="36">
        <v>0.16669999999999999</v>
      </c>
      <c r="N392" s="36">
        <v>0.55000000000000004</v>
      </c>
      <c r="O392" s="36" t="str" cm="1">
        <f t="array" ref="O392">_xlfn.IFS(N392&gt;0.61, "High Humidity", N392&gt;=0.6, "Humid", N392&gt;0.4, "Less Humidity", TRUE, "Dry")</f>
        <v>Less Humidity</v>
      </c>
      <c r="P392" s="36">
        <v>0.25369999999999998</v>
      </c>
      <c r="Q392" s="36" t="str" cm="1">
        <f t="array" ref="Q392">_xlfn.IFS(P392&lt;=0.2,"Low Windspeed",P392&lt;0.4,"Medium Windspeed",P392&gt;=0.41,"High Windspeed")</f>
        <v>Medium Windspeed</v>
      </c>
      <c r="R392" s="36">
        <v>7</v>
      </c>
      <c r="S392" s="36">
        <v>85</v>
      </c>
      <c r="T392" s="37">
        <v>92</v>
      </c>
      <c r="U392" s="39" t="str" cm="1">
        <f t="array" ref="U392">_xlfn.IFS(T392&lt;=70,"Low",T392&lt;=160,"Medium",T392&gt;=161,"High")</f>
        <v>Medium</v>
      </c>
    </row>
    <row r="393" spans="1:21" x14ac:dyDescent="0.25">
      <c r="A393" s="33">
        <v>392</v>
      </c>
      <c r="B393" s="34">
        <v>40560</v>
      </c>
      <c r="C393" s="35">
        <v>1</v>
      </c>
      <c r="D393" s="35">
        <v>0</v>
      </c>
      <c r="E393" s="35">
        <v>1</v>
      </c>
      <c r="F393" s="35">
        <v>19</v>
      </c>
      <c r="G393" s="35" t="str" cm="1">
        <f t="array" ref="G393">_xlfn.IFS(F393&lt;4,"Night",F393&lt;=6,"Early Morning",F393&lt;11,"Morning",F393&lt;12,"Afternoon",F393&lt;=16,"Afternoon",F393&lt;=20,"Evening",F393&gt;=21,"Night")</f>
        <v>Evening</v>
      </c>
      <c r="H393" s="35" t="b">
        <v>1</v>
      </c>
      <c r="I393" s="35">
        <v>1</v>
      </c>
      <c r="J393" s="35">
        <v>3</v>
      </c>
      <c r="K393" s="31">
        <v>0.18</v>
      </c>
      <c r="L393" s="31" t="str" cm="1">
        <f t="array" ref="L393">_xlfn.IFS(K393&lt;0.15,"Cold",K393&lt;0.25,"Mild",K393&lt;=0.32,"Warm",K393&gt;=0.33,"Hot")</f>
        <v>Mild</v>
      </c>
      <c r="M393" s="36">
        <v>0.18179999999999999</v>
      </c>
      <c r="N393" s="36">
        <v>0.59</v>
      </c>
      <c r="O393" s="36" t="str" cm="1">
        <f t="array" ref="O393">_xlfn.IFS(N393&gt;0.61, "High Humidity", N393&gt;=0.6, "Humid", N393&gt;0.4, "Less Humidity", TRUE, "Dry")</f>
        <v>Less Humidity</v>
      </c>
      <c r="P393" s="36">
        <v>0.19400000000000001</v>
      </c>
      <c r="Q393" s="36" t="str" cm="1">
        <f t="array" ref="Q393">_xlfn.IFS(P393&lt;=0.2,"Low Windspeed",P393&lt;0.4,"Medium Windspeed",P393&gt;=0.41,"High Windspeed")</f>
        <v>Low Windspeed</v>
      </c>
      <c r="R393" s="36">
        <v>2</v>
      </c>
      <c r="S393" s="36">
        <v>58</v>
      </c>
      <c r="T393" s="37">
        <v>60</v>
      </c>
      <c r="U393" s="39" t="str" cm="1">
        <f t="array" ref="U393">_xlfn.IFS(T393&lt;=70,"Low",T393&lt;=160,"Medium",T393&gt;=161,"High")</f>
        <v>Low</v>
      </c>
    </row>
    <row r="394" spans="1:21" x14ac:dyDescent="0.25">
      <c r="A394" s="33">
        <v>393</v>
      </c>
      <c r="B394" s="34">
        <v>40560</v>
      </c>
      <c r="C394" s="35">
        <v>1</v>
      </c>
      <c r="D394" s="35">
        <v>0</v>
      </c>
      <c r="E394" s="35">
        <v>1</v>
      </c>
      <c r="F394" s="35">
        <v>20</v>
      </c>
      <c r="G394" s="35" t="str" cm="1">
        <f t="array" ref="G394">_xlfn.IFS(F394&lt;4,"Night",F394&lt;=6,"Early Morning",F394&lt;11,"Morning",F394&lt;12,"Afternoon",F394&lt;=16,"Afternoon",F394&lt;=20,"Evening",F394&gt;=21,"Night")</f>
        <v>Evening</v>
      </c>
      <c r="H394" s="35" t="b">
        <v>1</v>
      </c>
      <c r="I394" s="35">
        <v>1</v>
      </c>
      <c r="J394" s="35">
        <v>3</v>
      </c>
      <c r="K394" s="31">
        <v>0.16</v>
      </c>
      <c r="L394" s="31" t="str" cm="1">
        <f t="array" ref="L394">_xlfn.IFS(K394&lt;0.15,"Cold",K394&lt;0.25,"Mild",K394&lt;=0.32,"Warm",K394&gt;=0.33,"Hot")</f>
        <v>Mild</v>
      </c>
      <c r="M394" s="36">
        <v>0.1515</v>
      </c>
      <c r="N394" s="36">
        <v>0.8</v>
      </c>
      <c r="O394" s="36" t="str" cm="1">
        <f t="array" ref="O394">_xlfn.IFS(N394&gt;0.61, "High Humidity", N394&gt;=0.6, "Humid", N394&gt;0.4, "Less Humidity", TRUE, "Dry")</f>
        <v>High Humidity</v>
      </c>
      <c r="P394" s="36">
        <v>0.19400000000000001</v>
      </c>
      <c r="Q394" s="36" t="str" cm="1">
        <f t="array" ref="Q394">_xlfn.IFS(P394&lt;=0.2,"Low Windspeed",P394&lt;0.4,"Medium Windspeed",P394&gt;=0.41,"High Windspeed")</f>
        <v>Low Windspeed</v>
      </c>
      <c r="R394" s="36">
        <v>4</v>
      </c>
      <c r="S394" s="36">
        <v>29</v>
      </c>
      <c r="T394" s="37">
        <v>33</v>
      </c>
      <c r="U394" s="39" t="str" cm="1">
        <f t="array" ref="U394">_xlfn.IFS(T394&lt;=70,"Low",T394&lt;=160,"Medium",T394&gt;=161,"High")</f>
        <v>Low</v>
      </c>
    </row>
    <row r="395" spans="1:21" x14ac:dyDescent="0.25">
      <c r="A395" s="33">
        <v>394</v>
      </c>
      <c r="B395" s="34">
        <v>40560</v>
      </c>
      <c r="C395" s="35">
        <v>1</v>
      </c>
      <c r="D395" s="35">
        <v>0</v>
      </c>
      <c r="E395" s="35">
        <v>1</v>
      </c>
      <c r="F395" s="35">
        <v>21</v>
      </c>
      <c r="G395" s="35" t="str" cm="1">
        <f t="array" ref="G395">_xlfn.IFS(F395&lt;4,"Night",F395&lt;=6,"Early Morning",F395&lt;11,"Morning",F395&lt;12,"Afternoon",F395&lt;=16,"Afternoon",F395&lt;=20,"Evening",F395&gt;=21,"Night")</f>
        <v>Night</v>
      </c>
      <c r="H395" s="35" t="b">
        <v>1</v>
      </c>
      <c r="I395" s="35">
        <v>1</v>
      </c>
      <c r="J395" s="35">
        <v>3</v>
      </c>
      <c r="K395" s="31">
        <v>0.16</v>
      </c>
      <c r="L395" s="31" t="str" cm="1">
        <f t="array" ref="L395">_xlfn.IFS(K395&lt;0.15,"Cold",K395&lt;0.25,"Mild",K395&lt;=0.32,"Warm",K395&gt;=0.33,"Hot")</f>
        <v>Mild</v>
      </c>
      <c r="M395" s="36">
        <v>0.1515</v>
      </c>
      <c r="N395" s="36">
        <v>0.8</v>
      </c>
      <c r="O395" s="36" t="str" cm="1">
        <f t="array" ref="O395">_xlfn.IFS(N395&gt;0.61, "High Humidity", N395&gt;=0.6, "Humid", N395&gt;0.4, "Less Humidity", TRUE, "Dry")</f>
        <v>High Humidity</v>
      </c>
      <c r="P395" s="36">
        <v>0.19400000000000001</v>
      </c>
      <c r="Q395" s="36" t="str" cm="1">
        <f t="array" ref="Q395">_xlfn.IFS(P395&lt;=0.2,"Low Windspeed",P395&lt;0.4,"Medium Windspeed",P395&gt;=0.41,"High Windspeed")</f>
        <v>Low Windspeed</v>
      </c>
      <c r="R395" s="36">
        <v>3</v>
      </c>
      <c r="S395" s="36">
        <v>24</v>
      </c>
      <c r="T395" s="37">
        <v>27</v>
      </c>
      <c r="U395" s="39" t="str" cm="1">
        <f t="array" ref="U395">_xlfn.IFS(T395&lt;=70,"Low",T395&lt;=160,"Medium",T395&gt;=161,"High")</f>
        <v>Low</v>
      </c>
    </row>
    <row r="396" spans="1:21" x14ac:dyDescent="0.25">
      <c r="A396" s="33">
        <v>395</v>
      </c>
      <c r="B396" s="34">
        <v>40560</v>
      </c>
      <c r="C396" s="35">
        <v>1</v>
      </c>
      <c r="D396" s="35">
        <v>0</v>
      </c>
      <c r="E396" s="35">
        <v>1</v>
      </c>
      <c r="F396" s="35">
        <v>22</v>
      </c>
      <c r="G396" s="35" t="str" cm="1">
        <f t="array" ref="G396">_xlfn.IFS(F396&lt;4,"Night",F396&lt;=6,"Early Morning",F396&lt;11,"Morning",F396&lt;12,"Afternoon",F396&lt;=16,"Afternoon",F396&lt;=20,"Evening",F396&gt;=21,"Night")</f>
        <v>Night</v>
      </c>
      <c r="H396" s="35" t="b">
        <v>1</v>
      </c>
      <c r="I396" s="35">
        <v>1</v>
      </c>
      <c r="J396" s="35">
        <v>3</v>
      </c>
      <c r="K396" s="31">
        <v>0.14000000000000001</v>
      </c>
      <c r="L396" s="31" t="str" cm="1">
        <f t="array" ref="L396">_xlfn.IFS(K396&lt;0.15,"Cold",K396&lt;0.25,"Mild",K396&lt;=0.32,"Warm",K396&gt;=0.33,"Hot")</f>
        <v>Cold</v>
      </c>
      <c r="M396" s="36">
        <v>0.1212</v>
      </c>
      <c r="N396" s="36">
        <v>0.93</v>
      </c>
      <c r="O396" s="36" t="str" cm="1">
        <f t="array" ref="O396">_xlfn.IFS(N396&gt;0.61, "High Humidity", N396&gt;=0.6, "Humid", N396&gt;0.4, "Less Humidity", TRUE, "Dry")</f>
        <v>High Humidity</v>
      </c>
      <c r="P396" s="36">
        <v>0.25369999999999998</v>
      </c>
      <c r="Q396" s="36" t="str" cm="1">
        <f t="array" ref="Q396">_xlfn.IFS(P396&lt;=0.2,"Low Windspeed",P396&lt;0.4,"Medium Windspeed",P396&gt;=0.41,"High Windspeed")</f>
        <v>Medium Windspeed</v>
      </c>
      <c r="R396" s="36">
        <v>0</v>
      </c>
      <c r="S396" s="36">
        <v>13</v>
      </c>
      <c r="T396" s="37">
        <v>13</v>
      </c>
      <c r="U396" s="39" t="str" cm="1">
        <f t="array" ref="U396">_xlfn.IFS(T396&lt;=70,"Low",T396&lt;=160,"Medium",T396&gt;=161,"High")</f>
        <v>Low</v>
      </c>
    </row>
    <row r="397" spans="1:21" x14ac:dyDescent="0.25">
      <c r="A397" s="33">
        <v>396</v>
      </c>
      <c r="B397" s="34">
        <v>40560</v>
      </c>
      <c r="C397" s="35">
        <v>1</v>
      </c>
      <c r="D397" s="35">
        <v>0</v>
      </c>
      <c r="E397" s="35">
        <v>1</v>
      </c>
      <c r="F397" s="35">
        <v>23</v>
      </c>
      <c r="G397" s="35" t="str" cm="1">
        <f t="array" ref="G397">_xlfn.IFS(F397&lt;4,"Night",F397&lt;=6,"Early Morning",F397&lt;11,"Morning",F397&lt;12,"Afternoon",F397&lt;=16,"Afternoon",F397&lt;=20,"Evening",F397&gt;=21,"Night")</f>
        <v>Night</v>
      </c>
      <c r="H397" s="35" t="b">
        <v>1</v>
      </c>
      <c r="I397" s="35">
        <v>1</v>
      </c>
      <c r="J397" s="35">
        <v>3</v>
      </c>
      <c r="K397" s="31">
        <v>0.16</v>
      </c>
      <c r="L397" s="31" t="str" cm="1">
        <f t="array" ref="L397">_xlfn.IFS(K397&lt;0.15,"Cold",K397&lt;0.25,"Mild",K397&lt;=0.32,"Warm",K397&gt;=0.33,"Hot")</f>
        <v>Mild</v>
      </c>
      <c r="M397" s="36">
        <v>0.13639999999999999</v>
      </c>
      <c r="N397" s="36">
        <v>0.86</v>
      </c>
      <c r="O397" s="36" t="str" cm="1">
        <f t="array" ref="O397">_xlfn.IFS(N397&gt;0.61, "High Humidity", N397&gt;=0.6, "Humid", N397&gt;0.4, "Less Humidity", TRUE, "Dry")</f>
        <v>High Humidity</v>
      </c>
      <c r="P397" s="36">
        <v>0.28360000000000002</v>
      </c>
      <c r="Q397" s="36" t="str" cm="1">
        <f t="array" ref="Q397">_xlfn.IFS(P397&lt;=0.2,"Low Windspeed",P397&lt;0.4,"Medium Windspeed",P397&gt;=0.41,"High Windspeed")</f>
        <v>Medium Windspeed</v>
      </c>
      <c r="R397" s="36">
        <v>1</v>
      </c>
      <c r="S397" s="36">
        <v>3</v>
      </c>
      <c r="T397" s="37">
        <v>4</v>
      </c>
      <c r="U397" s="39" t="str" cm="1">
        <f t="array" ref="U397">_xlfn.IFS(T397&lt;=70,"Low",T397&lt;=160,"Medium",T397&gt;=161,"High")</f>
        <v>Low</v>
      </c>
    </row>
    <row r="398" spans="1:21" x14ac:dyDescent="0.25">
      <c r="A398" s="33">
        <v>397</v>
      </c>
      <c r="B398" s="34">
        <v>40561</v>
      </c>
      <c r="C398" s="35">
        <v>1</v>
      </c>
      <c r="D398" s="35">
        <v>0</v>
      </c>
      <c r="E398" s="35">
        <v>1</v>
      </c>
      <c r="F398" s="35">
        <v>12</v>
      </c>
      <c r="G398" s="35" t="str" cm="1">
        <f t="array" ref="G398">_xlfn.IFS(F398&lt;4,"Night",F398&lt;=6,"Early Morning",F398&lt;11,"Morning",F398&lt;12,"Afternoon",F398&lt;=16,"Afternoon",F398&lt;=20,"Evening",F398&gt;=21,"Night")</f>
        <v>Afternoon</v>
      </c>
      <c r="H398" s="35" t="b">
        <v>0</v>
      </c>
      <c r="I398" s="35">
        <v>2</v>
      </c>
      <c r="J398" s="35">
        <v>2</v>
      </c>
      <c r="K398" s="31">
        <v>0.2</v>
      </c>
      <c r="L398" s="31" t="str" cm="1">
        <f t="array" ref="L398">_xlfn.IFS(K398&lt;0.15,"Cold",K398&lt;0.25,"Mild",K398&lt;=0.32,"Warm",K398&gt;=0.33,"Hot")</f>
        <v>Mild</v>
      </c>
      <c r="M398" s="36">
        <v>0.18179999999999999</v>
      </c>
      <c r="N398" s="36">
        <v>0.86</v>
      </c>
      <c r="O398" s="36" t="str" cm="1">
        <f t="array" ref="O398">_xlfn.IFS(N398&gt;0.61, "High Humidity", N398&gt;=0.6, "Humid", N398&gt;0.4, "Less Humidity", TRUE, "Dry")</f>
        <v>High Humidity</v>
      </c>
      <c r="P398" s="36">
        <v>0.32840000000000003</v>
      </c>
      <c r="Q398" s="36" t="str" cm="1">
        <f t="array" ref="Q398">_xlfn.IFS(P398&lt;=0.2,"Low Windspeed",P398&lt;0.4,"Medium Windspeed",P398&gt;=0.41,"High Windspeed")</f>
        <v>Medium Windspeed</v>
      </c>
      <c r="R398" s="36">
        <v>0</v>
      </c>
      <c r="S398" s="36">
        <v>3</v>
      </c>
      <c r="T398" s="37">
        <v>3</v>
      </c>
      <c r="U398" s="39" t="str" cm="1">
        <f t="array" ref="U398">_xlfn.IFS(T398&lt;=70,"Low",T398&lt;=160,"Medium",T398&gt;=161,"High")</f>
        <v>Low</v>
      </c>
    </row>
    <row r="399" spans="1:21" x14ac:dyDescent="0.25">
      <c r="A399" s="33">
        <v>398</v>
      </c>
      <c r="B399" s="34">
        <v>40561</v>
      </c>
      <c r="C399" s="35">
        <v>1</v>
      </c>
      <c r="D399" s="35">
        <v>0</v>
      </c>
      <c r="E399" s="35">
        <v>1</v>
      </c>
      <c r="F399" s="35">
        <v>13</v>
      </c>
      <c r="G399" s="35" t="str" cm="1">
        <f t="array" ref="G399">_xlfn.IFS(F399&lt;4,"Night",F399&lt;=6,"Early Morning",F399&lt;11,"Morning",F399&lt;12,"Afternoon",F399&lt;=16,"Afternoon",F399&lt;=20,"Evening",F399&gt;=21,"Night")</f>
        <v>Afternoon</v>
      </c>
      <c r="H399" s="35" t="b">
        <v>0</v>
      </c>
      <c r="I399" s="35">
        <v>2</v>
      </c>
      <c r="J399" s="35">
        <v>2</v>
      </c>
      <c r="K399" s="31">
        <v>0.2</v>
      </c>
      <c r="L399" s="31" t="str" cm="1">
        <f t="array" ref="L399">_xlfn.IFS(K399&lt;0.15,"Cold",K399&lt;0.25,"Mild",K399&lt;=0.32,"Warm",K399&gt;=0.33,"Hot")</f>
        <v>Mild</v>
      </c>
      <c r="M399" s="36">
        <v>0.19700000000000001</v>
      </c>
      <c r="N399" s="36">
        <v>0.86</v>
      </c>
      <c r="O399" s="36" t="str" cm="1">
        <f t="array" ref="O399">_xlfn.IFS(N399&gt;0.61, "High Humidity", N399&gt;=0.6, "Humid", N399&gt;0.4, "Less Humidity", TRUE, "Dry")</f>
        <v>High Humidity</v>
      </c>
      <c r="P399" s="36">
        <v>0.22389999999999999</v>
      </c>
      <c r="Q399" s="36" t="str" cm="1">
        <f t="array" ref="Q399">_xlfn.IFS(P399&lt;=0.2,"Low Windspeed",P399&lt;0.4,"Medium Windspeed",P399&gt;=0.41,"High Windspeed")</f>
        <v>Medium Windspeed</v>
      </c>
      <c r="R399" s="36">
        <v>0</v>
      </c>
      <c r="S399" s="36">
        <v>22</v>
      </c>
      <c r="T399" s="37">
        <v>22</v>
      </c>
      <c r="U399" s="39" t="str" cm="1">
        <f t="array" ref="U399">_xlfn.IFS(T399&lt;=70,"Low",T399&lt;=160,"Medium",T399&gt;=161,"High")</f>
        <v>Low</v>
      </c>
    </row>
    <row r="400" spans="1:21" x14ac:dyDescent="0.25">
      <c r="A400" s="33">
        <v>399</v>
      </c>
      <c r="B400" s="34">
        <v>40561</v>
      </c>
      <c r="C400" s="35">
        <v>1</v>
      </c>
      <c r="D400" s="35">
        <v>0</v>
      </c>
      <c r="E400" s="35">
        <v>1</v>
      </c>
      <c r="F400" s="35">
        <v>14</v>
      </c>
      <c r="G400" s="35" t="str" cm="1">
        <f t="array" ref="G400">_xlfn.IFS(F400&lt;4,"Night",F400&lt;=6,"Early Morning",F400&lt;11,"Morning",F400&lt;12,"Afternoon",F400&lt;=16,"Afternoon",F400&lt;=20,"Evening",F400&gt;=21,"Night")</f>
        <v>Afternoon</v>
      </c>
      <c r="H400" s="35" t="b">
        <v>0</v>
      </c>
      <c r="I400" s="35">
        <v>2</v>
      </c>
      <c r="J400" s="35">
        <v>2</v>
      </c>
      <c r="K400" s="31">
        <v>0.22</v>
      </c>
      <c r="L400" s="31" t="str" cm="1">
        <f t="array" ref="L400">_xlfn.IFS(K400&lt;0.15,"Cold",K400&lt;0.25,"Mild",K400&lt;=0.32,"Warm",K400&gt;=0.33,"Hot")</f>
        <v>Mild</v>
      </c>
      <c r="M400" s="36">
        <v>0.2273</v>
      </c>
      <c r="N400" s="36">
        <v>0.8</v>
      </c>
      <c r="O400" s="36" t="str" cm="1">
        <f t="array" ref="O400">_xlfn.IFS(N400&gt;0.61, "High Humidity", N400&gt;=0.6, "Humid", N400&gt;0.4, "Less Humidity", TRUE, "Dry")</f>
        <v>High Humidity</v>
      </c>
      <c r="P400" s="36">
        <v>0.16420000000000001</v>
      </c>
      <c r="Q400" s="36" t="str" cm="1">
        <f t="array" ref="Q400">_xlfn.IFS(P400&lt;=0.2,"Low Windspeed",P400&lt;0.4,"Medium Windspeed",P400&gt;=0.41,"High Windspeed")</f>
        <v>Low Windspeed</v>
      </c>
      <c r="R400" s="36">
        <v>2</v>
      </c>
      <c r="S400" s="36">
        <v>26</v>
      </c>
      <c r="T400" s="37">
        <v>28</v>
      </c>
      <c r="U400" s="39" t="str" cm="1">
        <f t="array" ref="U400">_xlfn.IFS(T400&lt;=70,"Low",T400&lt;=160,"Medium",T400&gt;=161,"High")</f>
        <v>Low</v>
      </c>
    </row>
    <row r="401" spans="1:21" x14ac:dyDescent="0.25">
      <c r="A401" s="33">
        <v>400</v>
      </c>
      <c r="B401" s="34">
        <v>40561</v>
      </c>
      <c r="C401" s="35">
        <v>1</v>
      </c>
      <c r="D401" s="35">
        <v>0</v>
      </c>
      <c r="E401" s="35">
        <v>1</v>
      </c>
      <c r="F401" s="35">
        <v>15</v>
      </c>
      <c r="G401" s="35" t="str" cm="1">
        <f t="array" ref="G401">_xlfn.IFS(F401&lt;4,"Night",F401&lt;=6,"Early Morning",F401&lt;11,"Morning",F401&lt;12,"Afternoon",F401&lt;=16,"Afternoon",F401&lt;=20,"Evening",F401&gt;=21,"Night")</f>
        <v>Afternoon</v>
      </c>
      <c r="H401" s="35" t="b">
        <v>0</v>
      </c>
      <c r="I401" s="35">
        <v>2</v>
      </c>
      <c r="J401" s="35">
        <v>2</v>
      </c>
      <c r="K401" s="31">
        <v>0.22</v>
      </c>
      <c r="L401" s="31" t="str" cm="1">
        <f t="array" ref="L401">_xlfn.IFS(K401&lt;0.15,"Cold",K401&lt;0.25,"Mild",K401&lt;=0.32,"Warm",K401&gt;=0.33,"Hot")</f>
        <v>Mild</v>
      </c>
      <c r="M401" s="36">
        <v>0.2273</v>
      </c>
      <c r="N401" s="36">
        <v>0.87</v>
      </c>
      <c r="O401" s="36" t="str" cm="1">
        <f t="array" ref="O401">_xlfn.IFS(N401&gt;0.61, "High Humidity", N401&gt;=0.6, "Humid", N401&gt;0.4, "Less Humidity", TRUE, "Dry")</f>
        <v>High Humidity</v>
      </c>
      <c r="P401" s="36">
        <v>0.16420000000000001</v>
      </c>
      <c r="Q401" s="36" t="str" cm="1">
        <f t="array" ref="Q401">_xlfn.IFS(P401&lt;=0.2,"Low Windspeed",P401&lt;0.4,"Medium Windspeed",P401&gt;=0.41,"High Windspeed")</f>
        <v>Low Windspeed</v>
      </c>
      <c r="R401" s="36">
        <v>3</v>
      </c>
      <c r="S401" s="36">
        <v>32</v>
      </c>
      <c r="T401" s="37">
        <v>35</v>
      </c>
      <c r="U401" s="39" t="str" cm="1">
        <f t="array" ref="U401">_xlfn.IFS(T401&lt;=70,"Low",T401&lt;=160,"Medium",T401&gt;=161,"High")</f>
        <v>Low</v>
      </c>
    </row>
    <row r="402" spans="1:21" x14ac:dyDescent="0.25">
      <c r="A402" s="33">
        <v>401</v>
      </c>
      <c r="B402" s="34">
        <v>40561</v>
      </c>
      <c r="C402" s="35">
        <v>1</v>
      </c>
      <c r="D402" s="35">
        <v>0</v>
      </c>
      <c r="E402" s="35">
        <v>1</v>
      </c>
      <c r="F402" s="35">
        <v>16</v>
      </c>
      <c r="G402" s="35" t="str" cm="1">
        <f t="array" ref="G402">_xlfn.IFS(F402&lt;4,"Night",F402&lt;=6,"Early Morning",F402&lt;11,"Morning",F402&lt;12,"Afternoon",F402&lt;=16,"Afternoon",F402&lt;=20,"Evening",F402&gt;=21,"Night")</f>
        <v>Afternoon</v>
      </c>
      <c r="H402" s="35" t="b">
        <v>0</v>
      </c>
      <c r="I402" s="35">
        <v>2</v>
      </c>
      <c r="J402" s="35">
        <v>2</v>
      </c>
      <c r="K402" s="31">
        <v>0.22</v>
      </c>
      <c r="L402" s="31" t="str" cm="1">
        <f t="array" ref="L402">_xlfn.IFS(K402&lt;0.15,"Cold",K402&lt;0.25,"Mild",K402&lt;=0.32,"Warm",K402&gt;=0.33,"Hot")</f>
        <v>Mild</v>
      </c>
      <c r="M402" s="36">
        <v>0.2273</v>
      </c>
      <c r="N402" s="36">
        <v>0.87</v>
      </c>
      <c r="O402" s="36" t="str" cm="1">
        <f t="array" ref="O402">_xlfn.IFS(N402&gt;0.61, "High Humidity", N402&gt;=0.6, "Humid", N402&gt;0.4, "Less Humidity", TRUE, "Dry")</f>
        <v>High Humidity</v>
      </c>
      <c r="P402" s="36">
        <v>0.19400000000000001</v>
      </c>
      <c r="Q402" s="36" t="str" cm="1">
        <f t="array" ref="Q402">_xlfn.IFS(P402&lt;=0.2,"Low Windspeed",P402&lt;0.4,"Medium Windspeed",P402&gt;=0.41,"High Windspeed")</f>
        <v>Low Windspeed</v>
      </c>
      <c r="R402" s="36">
        <v>0</v>
      </c>
      <c r="S402" s="36">
        <v>61</v>
      </c>
      <c r="T402" s="37">
        <v>61</v>
      </c>
      <c r="U402" s="39" t="str" cm="1">
        <f t="array" ref="U402">_xlfn.IFS(T402&lt;=70,"Low",T402&lt;=160,"Medium",T402&gt;=161,"High")</f>
        <v>Low</v>
      </c>
    </row>
    <row r="403" spans="1:21" x14ac:dyDescent="0.25">
      <c r="A403" s="33">
        <v>402</v>
      </c>
      <c r="B403" s="34">
        <v>40561</v>
      </c>
      <c r="C403" s="35">
        <v>1</v>
      </c>
      <c r="D403" s="35">
        <v>0</v>
      </c>
      <c r="E403" s="35">
        <v>1</v>
      </c>
      <c r="F403" s="35">
        <v>17</v>
      </c>
      <c r="G403" s="35" t="str" cm="1">
        <f t="array" ref="G403">_xlfn.IFS(F403&lt;4,"Night",F403&lt;=6,"Early Morning",F403&lt;11,"Morning",F403&lt;12,"Afternoon",F403&lt;=16,"Afternoon",F403&lt;=20,"Evening",F403&gt;=21,"Night")</f>
        <v>Evening</v>
      </c>
      <c r="H403" s="35" t="b">
        <v>0</v>
      </c>
      <c r="I403" s="35">
        <v>2</v>
      </c>
      <c r="J403" s="35">
        <v>2</v>
      </c>
      <c r="K403" s="31">
        <v>0.22</v>
      </c>
      <c r="L403" s="31" t="str" cm="1">
        <f t="array" ref="L403">_xlfn.IFS(K403&lt;0.15,"Cold",K403&lt;0.25,"Mild",K403&lt;=0.32,"Warm",K403&gt;=0.33,"Hot")</f>
        <v>Mild</v>
      </c>
      <c r="M403" s="36">
        <v>0.2273</v>
      </c>
      <c r="N403" s="36">
        <v>0.82</v>
      </c>
      <c r="O403" s="36" t="str" cm="1">
        <f t="array" ref="O403">_xlfn.IFS(N403&gt;0.61, "High Humidity", N403&gt;=0.6, "Humid", N403&gt;0.4, "Less Humidity", TRUE, "Dry")</f>
        <v>High Humidity</v>
      </c>
      <c r="P403" s="36">
        <v>0.19400000000000001</v>
      </c>
      <c r="Q403" s="36" t="str" cm="1">
        <f t="array" ref="Q403">_xlfn.IFS(P403&lt;=0.2,"Low Windspeed",P403&lt;0.4,"Medium Windspeed",P403&gt;=0.41,"High Windspeed")</f>
        <v>Low Windspeed</v>
      </c>
      <c r="R403" s="36">
        <v>1</v>
      </c>
      <c r="S403" s="36">
        <v>124</v>
      </c>
      <c r="T403" s="37">
        <v>125</v>
      </c>
      <c r="U403" s="39" t="str" cm="1">
        <f t="array" ref="U403">_xlfn.IFS(T403&lt;=70,"Low",T403&lt;=160,"Medium",T403&gt;=161,"High")</f>
        <v>Medium</v>
      </c>
    </row>
    <row r="404" spans="1:21" x14ac:dyDescent="0.25">
      <c r="A404" s="33">
        <v>403</v>
      </c>
      <c r="B404" s="34">
        <v>40561</v>
      </c>
      <c r="C404" s="35">
        <v>1</v>
      </c>
      <c r="D404" s="35">
        <v>0</v>
      </c>
      <c r="E404" s="35">
        <v>1</v>
      </c>
      <c r="F404" s="35">
        <v>18</v>
      </c>
      <c r="G404" s="35" t="str" cm="1">
        <f t="array" ref="G404">_xlfn.IFS(F404&lt;4,"Night",F404&lt;=6,"Early Morning",F404&lt;11,"Morning",F404&lt;12,"Afternoon",F404&lt;=16,"Afternoon",F404&lt;=20,"Evening",F404&gt;=21,"Night")</f>
        <v>Evening</v>
      </c>
      <c r="H404" s="35" t="b">
        <v>0</v>
      </c>
      <c r="I404" s="35">
        <v>2</v>
      </c>
      <c r="J404" s="35">
        <v>2</v>
      </c>
      <c r="K404" s="31">
        <v>0.22</v>
      </c>
      <c r="L404" s="31" t="str" cm="1">
        <f t="array" ref="L404">_xlfn.IFS(K404&lt;0.15,"Cold",K404&lt;0.25,"Mild",K404&lt;=0.32,"Warm",K404&gt;=0.33,"Hot")</f>
        <v>Mild</v>
      </c>
      <c r="M404" s="36">
        <v>0.2273</v>
      </c>
      <c r="N404" s="36">
        <v>0.8</v>
      </c>
      <c r="O404" s="36" t="str" cm="1">
        <f t="array" ref="O404">_xlfn.IFS(N404&gt;0.61, "High Humidity", N404&gt;=0.6, "Humid", N404&gt;0.4, "Less Humidity", TRUE, "Dry")</f>
        <v>High Humidity</v>
      </c>
      <c r="P404" s="36">
        <v>0.16420000000000001</v>
      </c>
      <c r="Q404" s="36" t="str" cm="1">
        <f t="array" ref="Q404">_xlfn.IFS(P404&lt;=0.2,"Low Windspeed",P404&lt;0.4,"Medium Windspeed",P404&gt;=0.41,"High Windspeed")</f>
        <v>Low Windspeed</v>
      </c>
      <c r="R404" s="36">
        <v>1</v>
      </c>
      <c r="S404" s="36">
        <v>132</v>
      </c>
      <c r="T404" s="37">
        <v>133</v>
      </c>
      <c r="U404" s="39" t="str" cm="1">
        <f t="array" ref="U404">_xlfn.IFS(T404&lt;=70,"Low",T404&lt;=160,"Medium",T404&gt;=161,"High")</f>
        <v>Medium</v>
      </c>
    </row>
    <row r="405" spans="1:21" x14ac:dyDescent="0.25">
      <c r="A405" s="33">
        <v>404</v>
      </c>
      <c r="B405" s="34">
        <v>40561</v>
      </c>
      <c r="C405" s="35">
        <v>1</v>
      </c>
      <c r="D405" s="35">
        <v>0</v>
      </c>
      <c r="E405" s="35">
        <v>1</v>
      </c>
      <c r="F405" s="35">
        <v>19</v>
      </c>
      <c r="G405" s="35" t="str" cm="1">
        <f t="array" ref="G405">_xlfn.IFS(F405&lt;4,"Night",F405&lt;=6,"Early Morning",F405&lt;11,"Morning",F405&lt;12,"Afternoon",F405&lt;=16,"Afternoon",F405&lt;=20,"Evening",F405&gt;=21,"Night")</f>
        <v>Evening</v>
      </c>
      <c r="H405" s="35" t="b">
        <v>0</v>
      </c>
      <c r="I405" s="35">
        <v>2</v>
      </c>
      <c r="J405" s="35">
        <v>2</v>
      </c>
      <c r="K405" s="31">
        <v>0.22</v>
      </c>
      <c r="L405" s="31" t="str" cm="1">
        <f t="array" ref="L405">_xlfn.IFS(K405&lt;0.15,"Cold",K405&lt;0.25,"Mild",K405&lt;=0.32,"Warm",K405&gt;=0.33,"Hot")</f>
        <v>Mild</v>
      </c>
      <c r="M405" s="36">
        <v>0.2273</v>
      </c>
      <c r="N405" s="36">
        <v>0.8</v>
      </c>
      <c r="O405" s="36" t="str" cm="1">
        <f t="array" ref="O405">_xlfn.IFS(N405&gt;0.61, "High Humidity", N405&gt;=0.6, "Humid", N405&gt;0.4, "Less Humidity", TRUE, "Dry")</f>
        <v>High Humidity</v>
      </c>
      <c r="P405" s="36">
        <v>0.1343</v>
      </c>
      <c r="Q405" s="36" t="str" cm="1">
        <f t="array" ref="Q405">_xlfn.IFS(P405&lt;=0.2,"Low Windspeed",P405&lt;0.4,"Medium Windspeed",P405&gt;=0.41,"High Windspeed")</f>
        <v>Low Windspeed</v>
      </c>
      <c r="R405" s="36">
        <v>1</v>
      </c>
      <c r="S405" s="36">
        <v>98</v>
      </c>
      <c r="T405" s="37">
        <v>99</v>
      </c>
      <c r="U405" s="39" t="str" cm="1">
        <f t="array" ref="U405">_xlfn.IFS(T405&lt;=70,"Low",T405&lt;=160,"Medium",T405&gt;=161,"High")</f>
        <v>Medium</v>
      </c>
    </row>
    <row r="406" spans="1:21" x14ac:dyDescent="0.25">
      <c r="A406" s="33">
        <v>405</v>
      </c>
      <c r="B406" s="34">
        <v>40561</v>
      </c>
      <c r="C406" s="35">
        <v>1</v>
      </c>
      <c r="D406" s="35">
        <v>0</v>
      </c>
      <c r="E406" s="35">
        <v>1</v>
      </c>
      <c r="F406" s="35">
        <v>20</v>
      </c>
      <c r="G406" s="35" t="str" cm="1">
        <f t="array" ref="G406">_xlfn.IFS(F406&lt;4,"Night",F406&lt;=6,"Early Morning",F406&lt;11,"Morning",F406&lt;12,"Afternoon",F406&lt;=16,"Afternoon",F406&lt;=20,"Evening",F406&gt;=21,"Night")</f>
        <v>Evening</v>
      </c>
      <c r="H406" s="35" t="b">
        <v>0</v>
      </c>
      <c r="I406" s="35">
        <v>2</v>
      </c>
      <c r="J406" s="35">
        <v>2</v>
      </c>
      <c r="K406" s="31">
        <v>0.22</v>
      </c>
      <c r="L406" s="31" t="str" cm="1">
        <f t="array" ref="L406">_xlfn.IFS(K406&lt;0.15,"Cold",K406&lt;0.25,"Mild",K406&lt;=0.32,"Warm",K406&gt;=0.33,"Hot")</f>
        <v>Mild</v>
      </c>
      <c r="M406" s="36">
        <v>0.2727</v>
      </c>
      <c r="N406" s="36">
        <v>0.87</v>
      </c>
      <c r="O406" s="36" t="str" cm="1">
        <f t="array" ref="O406">_xlfn.IFS(N406&gt;0.61, "High Humidity", N406&gt;=0.6, "Humid", N406&gt;0.4, "Less Humidity", TRUE, "Dry")</f>
        <v>High Humidity</v>
      </c>
      <c r="P406" s="36">
        <v>0</v>
      </c>
      <c r="Q406" s="36" t="str" cm="1">
        <f t="array" ref="Q406">_xlfn.IFS(P406&lt;=0.2,"Low Windspeed",P406&lt;0.4,"Medium Windspeed",P406&gt;=0.41,"High Windspeed")</f>
        <v>Low Windspeed</v>
      </c>
      <c r="R406" s="36">
        <v>0</v>
      </c>
      <c r="S406" s="36">
        <v>83</v>
      </c>
      <c r="T406" s="37">
        <v>83</v>
      </c>
      <c r="U406" s="39" t="str" cm="1">
        <f t="array" ref="U406">_xlfn.IFS(T406&lt;=70,"Low",T406&lt;=160,"Medium",T406&gt;=161,"High")</f>
        <v>Medium</v>
      </c>
    </row>
    <row r="407" spans="1:21" x14ac:dyDescent="0.25">
      <c r="A407" s="33">
        <v>406</v>
      </c>
      <c r="B407" s="34">
        <v>40561</v>
      </c>
      <c r="C407" s="35">
        <v>1</v>
      </c>
      <c r="D407" s="35">
        <v>0</v>
      </c>
      <c r="E407" s="35">
        <v>1</v>
      </c>
      <c r="F407" s="35">
        <v>21</v>
      </c>
      <c r="G407" s="35" t="str" cm="1">
        <f t="array" ref="G407">_xlfn.IFS(F407&lt;4,"Night",F407&lt;=6,"Early Morning",F407&lt;11,"Morning",F407&lt;12,"Afternoon",F407&lt;=16,"Afternoon",F407&lt;=20,"Evening",F407&gt;=21,"Night")</f>
        <v>Night</v>
      </c>
      <c r="H407" s="35" t="b">
        <v>0</v>
      </c>
      <c r="I407" s="35">
        <v>2</v>
      </c>
      <c r="J407" s="35">
        <v>2</v>
      </c>
      <c r="K407" s="31">
        <v>0.22</v>
      </c>
      <c r="L407" s="31" t="str" cm="1">
        <f t="array" ref="L407">_xlfn.IFS(K407&lt;0.15,"Cold",K407&lt;0.25,"Mild",K407&lt;=0.32,"Warm",K407&gt;=0.33,"Hot")</f>
        <v>Mild</v>
      </c>
      <c r="M407" s="36">
        <v>0.2424</v>
      </c>
      <c r="N407" s="36">
        <v>0.93</v>
      </c>
      <c r="O407" s="36" t="str" cm="1">
        <f t="array" ref="O407">_xlfn.IFS(N407&gt;0.61, "High Humidity", N407&gt;=0.6, "Humid", N407&gt;0.4, "Less Humidity", TRUE, "Dry")</f>
        <v>High Humidity</v>
      </c>
      <c r="P407" s="36">
        <v>0.1045</v>
      </c>
      <c r="Q407" s="36" t="str" cm="1">
        <f t="array" ref="Q407">_xlfn.IFS(P407&lt;=0.2,"Low Windspeed",P407&lt;0.4,"Medium Windspeed",P407&gt;=0.41,"High Windspeed")</f>
        <v>Low Windspeed</v>
      </c>
      <c r="R407" s="36">
        <v>0</v>
      </c>
      <c r="S407" s="36">
        <v>41</v>
      </c>
      <c r="T407" s="37">
        <v>41</v>
      </c>
      <c r="U407" s="39" t="str" cm="1">
        <f t="array" ref="U407">_xlfn.IFS(T407&lt;=70,"Low",T407&lt;=160,"Medium",T407&gt;=161,"High")</f>
        <v>Low</v>
      </c>
    </row>
    <row r="408" spans="1:21" x14ac:dyDescent="0.25">
      <c r="A408" s="33">
        <v>407</v>
      </c>
      <c r="B408" s="34">
        <v>40561</v>
      </c>
      <c r="C408" s="35">
        <v>1</v>
      </c>
      <c r="D408" s="35">
        <v>0</v>
      </c>
      <c r="E408" s="35">
        <v>1</v>
      </c>
      <c r="F408" s="35">
        <v>22</v>
      </c>
      <c r="G408" s="35" t="str" cm="1">
        <f t="array" ref="G408">_xlfn.IFS(F408&lt;4,"Night",F408&lt;=6,"Early Morning",F408&lt;11,"Morning",F408&lt;12,"Afternoon",F408&lt;=16,"Afternoon",F408&lt;=20,"Evening",F408&gt;=21,"Night")</f>
        <v>Night</v>
      </c>
      <c r="H408" s="35" t="b">
        <v>0</v>
      </c>
      <c r="I408" s="35">
        <v>2</v>
      </c>
      <c r="J408" s="35">
        <v>2</v>
      </c>
      <c r="K408" s="31">
        <v>0.22</v>
      </c>
      <c r="L408" s="31" t="str" cm="1">
        <f t="array" ref="L408">_xlfn.IFS(K408&lt;0.15,"Cold",K408&lt;0.25,"Mild",K408&lt;=0.32,"Warm",K408&gt;=0.33,"Hot")</f>
        <v>Mild</v>
      </c>
      <c r="M408" s="36">
        <v>0.2576</v>
      </c>
      <c r="N408" s="36">
        <v>0.93</v>
      </c>
      <c r="O408" s="36" t="str" cm="1">
        <f t="array" ref="O408">_xlfn.IFS(N408&gt;0.61, "High Humidity", N408&gt;=0.6, "Humid", N408&gt;0.4, "Less Humidity", TRUE, "Dry")</f>
        <v>High Humidity</v>
      </c>
      <c r="P408" s="36">
        <v>8.9599999999999999E-2</v>
      </c>
      <c r="Q408" s="36" t="str" cm="1">
        <f t="array" ref="Q408">_xlfn.IFS(P408&lt;=0.2,"Low Windspeed",P408&lt;0.4,"Medium Windspeed",P408&gt;=0.41,"High Windspeed")</f>
        <v>Low Windspeed</v>
      </c>
      <c r="R408" s="36">
        <v>0</v>
      </c>
      <c r="S408" s="36">
        <v>33</v>
      </c>
      <c r="T408" s="37">
        <v>33</v>
      </c>
      <c r="U408" s="39" t="str" cm="1">
        <f t="array" ref="U408">_xlfn.IFS(T408&lt;=70,"Low",T408&lt;=160,"Medium",T408&gt;=161,"High")</f>
        <v>Low</v>
      </c>
    </row>
    <row r="409" spans="1:21" x14ac:dyDescent="0.25">
      <c r="A409" s="33">
        <v>408</v>
      </c>
      <c r="B409" s="34">
        <v>40561</v>
      </c>
      <c r="C409" s="35">
        <v>1</v>
      </c>
      <c r="D409" s="35">
        <v>0</v>
      </c>
      <c r="E409" s="35">
        <v>1</v>
      </c>
      <c r="F409" s="35">
        <v>23</v>
      </c>
      <c r="G409" s="35" t="str" cm="1">
        <f t="array" ref="G409">_xlfn.IFS(F409&lt;4,"Night",F409&lt;=6,"Early Morning",F409&lt;11,"Morning",F409&lt;12,"Afternoon",F409&lt;=16,"Afternoon",F409&lt;=20,"Evening",F409&gt;=21,"Night")</f>
        <v>Night</v>
      </c>
      <c r="H409" s="35" t="b">
        <v>0</v>
      </c>
      <c r="I409" s="35">
        <v>2</v>
      </c>
      <c r="J409" s="35">
        <v>2</v>
      </c>
      <c r="K409" s="31">
        <v>0.22</v>
      </c>
      <c r="L409" s="31" t="str" cm="1">
        <f t="array" ref="L409">_xlfn.IFS(K409&lt;0.15,"Cold",K409&lt;0.25,"Mild",K409&lt;=0.32,"Warm",K409&gt;=0.33,"Hot")</f>
        <v>Mild</v>
      </c>
      <c r="M409" s="36">
        <v>0.2727</v>
      </c>
      <c r="N409" s="36">
        <v>0.93</v>
      </c>
      <c r="O409" s="36" t="str" cm="1">
        <f t="array" ref="O409">_xlfn.IFS(N409&gt;0.61, "High Humidity", N409&gt;=0.6, "Humid", N409&gt;0.4, "Less Humidity", TRUE, "Dry")</f>
        <v>High Humidity</v>
      </c>
      <c r="P409" s="36">
        <v>0</v>
      </c>
      <c r="Q409" s="36" t="str" cm="1">
        <f t="array" ref="Q409">_xlfn.IFS(P409&lt;=0.2,"Low Windspeed",P409&lt;0.4,"Medium Windspeed",P409&gt;=0.41,"High Windspeed")</f>
        <v>Low Windspeed</v>
      </c>
      <c r="R409" s="36">
        <v>1</v>
      </c>
      <c r="S409" s="36">
        <v>19</v>
      </c>
      <c r="T409" s="37">
        <v>20</v>
      </c>
      <c r="U409" s="39" t="str" cm="1">
        <f t="array" ref="U409">_xlfn.IFS(T409&lt;=70,"Low",T409&lt;=160,"Medium",T409&gt;=161,"High")</f>
        <v>Low</v>
      </c>
    </row>
    <row r="410" spans="1:21" x14ac:dyDescent="0.25">
      <c r="A410" s="33">
        <v>409</v>
      </c>
      <c r="B410" s="34">
        <v>40562</v>
      </c>
      <c r="C410" s="35">
        <v>1</v>
      </c>
      <c r="D410" s="35">
        <v>0</v>
      </c>
      <c r="E410" s="35">
        <v>1</v>
      </c>
      <c r="F410" s="35">
        <v>0</v>
      </c>
      <c r="G410" s="35" t="str" cm="1">
        <f t="array" ref="G410">_xlfn.IFS(F410&lt;4,"Night",F410&lt;=6,"Early Morning",F410&lt;11,"Morning",F410&lt;12,"Afternoon",F410&lt;=16,"Afternoon",F410&lt;=20,"Evening",F410&gt;=21,"Night")</f>
        <v>Night</v>
      </c>
      <c r="H410" s="35" t="b">
        <v>0</v>
      </c>
      <c r="I410" s="35">
        <v>3</v>
      </c>
      <c r="J410" s="35">
        <v>2</v>
      </c>
      <c r="K410" s="31">
        <v>0.22</v>
      </c>
      <c r="L410" s="31" t="str" cm="1">
        <f t="array" ref="L410">_xlfn.IFS(K410&lt;0.15,"Cold",K410&lt;0.25,"Mild",K410&lt;=0.32,"Warm",K410&gt;=0.33,"Hot")</f>
        <v>Mild</v>
      </c>
      <c r="M410" s="36">
        <v>0.2727</v>
      </c>
      <c r="N410" s="36">
        <v>0.93</v>
      </c>
      <c r="O410" s="36" t="str" cm="1">
        <f t="array" ref="O410">_xlfn.IFS(N410&gt;0.61, "High Humidity", N410&gt;=0.6, "Humid", N410&gt;0.4, "Less Humidity", TRUE, "Dry")</f>
        <v>High Humidity</v>
      </c>
      <c r="P410" s="36">
        <v>0</v>
      </c>
      <c r="Q410" s="36" t="str" cm="1">
        <f t="array" ref="Q410">_xlfn.IFS(P410&lt;=0.2,"Low Windspeed",P410&lt;0.4,"Medium Windspeed",P410&gt;=0.41,"High Windspeed")</f>
        <v>Low Windspeed</v>
      </c>
      <c r="R410" s="36">
        <v>0</v>
      </c>
      <c r="S410" s="36">
        <v>3</v>
      </c>
      <c r="T410" s="37">
        <v>3</v>
      </c>
      <c r="U410" s="39" t="str" cm="1">
        <f t="array" ref="U410">_xlfn.IFS(T410&lt;=70,"Low",T410&lt;=160,"Medium",T410&gt;=161,"High")</f>
        <v>Low</v>
      </c>
    </row>
    <row r="411" spans="1:21" x14ac:dyDescent="0.25">
      <c r="A411" s="33">
        <v>410</v>
      </c>
      <c r="B411" s="34">
        <v>40562</v>
      </c>
      <c r="C411" s="35">
        <v>1</v>
      </c>
      <c r="D411" s="35">
        <v>0</v>
      </c>
      <c r="E411" s="35">
        <v>1</v>
      </c>
      <c r="F411" s="35">
        <v>1</v>
      </c>
      <c r="G411" s="35" t="str" cm="1">
        <f t="array" ref="G411">_xlfn.IFS(F411&lt;4,"Night",F411&lt;=6,"Early Morning",F411&lt;11,"Morning",F411&lt;12,"Afternoon",F411&lt;=16,"Afternoon",F411&lt;=20,"Evening",F411&gt;=21,"Night")</f>
        <v>Night</v>
      </c>
      <c r="H411" s="35" t="b">
        <v>0</v>
      </c>
      <c r="I411" s="35">
        <v>3</v>
      </c>
      <c r="J411" s="35">
        <v>3</v>
      </c>
      <c r="K411" s="31">
        <v>0.22</v>
      </c>
      <c r="L411" s="31" t="str" cm="1">
        <f t="array" ref="L411">_xlfn.IFS(K411&lt;0.15,"Cold",K411&lt;0.25,"Mild",K411&lt;=0.32,"Warm",K411&gt;=0.33,"Hot")</f>
        <v>Mild</v>
      </c>
      <c r="M411" s="36">
        <v>0.2273</v>
      </c>
      <c r="N411" s="36">
        <v>0.93</v>
      </c>
      <c r="O411" s="36" t="str" cm="1">
        <f t="array" ref="O411">_xlfn.IFS(N411&gt;0.61, "High Humidity", N411&gt;=0.6, "Humid", N411&gt;0.4, "Less Humidity", TRUE, "Dry")</f>
        <v>High Humidity</v>
      </c>
      <c r="P411" s="36">
        <v>0.1343</v>
      </c>
      <c r="Q411" s="36" t="str" cm="1">
        <f t="array" ref="Q411">_xlfn.IFS(P411&lt;=0.2,"Low Windspeed",P411&lt;0.4,"Medium Windspeed",P411&gt;=0.41,"High Windspeed")</f>
        <v>Low Windspeed</v>
      </c>
      <c r="R411" s="36">
        <v>1</v>
      </c>
      <c r="S411" s="36">
        <v>6</v>
      </c>
      <c r="T411" s="37">
        <v>7</v>
      </c>
      <c r="U411" s="39" t="str" cm="1">
        <f t="array" ref="U411">_xlfn.IFS(T411&lt;=70,"Low",T411&lt;=160,"Medium",T411&gt;=161,"High")</f>
        <v>Low</v>
      </c>
    </row>
    <row r="412" spans="1:21" x14ac:dyDescent="0.25">
      <c r="A412" s="33">
        <v>411</v>
      </c>
      <c r="B412" s="34">
        <v>40562</v>
      </c>
      <c r="C412" s="35">
        <v>1</v>
      </c>
      <c r="D412" s="35">
        <v>0</v>
      </c>
      <c r="E412" s="35">
        <v>1</v>
      </c>
      <c r="F412" s="35">
        <v>2</v>
      </c>
      <c r="G412" s="35" t="str" cm="1">
        <f t="array" ref="G412">_xlfn.IFS(F412&lt;4,"Night",F412&lt;=6,"Early Morning",F412&lt;11,"Morning",F412&lt;12,"Afternoon",F412&lt;=16,"Afternoon",F412&lt;=20,"Evening",F412&gt;=21,"Night")</f>
        <v>Night</v>
      </c>
      <c r="H412" s="35" t="b">
        <v>0</v>
      </c>
      <c r="I412" s="35">
        <v>3</v>
      </c>
      <c r="J412" s="35">
        <v>3</v>
      </c>
      <c r="K412" s="31">
        <v>0.22</v>
      </c>
      <c r="L412" s="31" t="str" cm="1">
        <f t="array" ref="L412">_xlfn.IFS(K412&lt;0.15,"Cold",K412&lt;0.25,"Mild",K412&lt;=0.32,"Warm",K412&gt;=0.33,"Hot")</f>
        <v>Mild</v>
      </c>
      <c r="M412" s="36">
        <v>0.2273</v>
      </c>
      <c r="N412" s="36">
        <v>0.93</v>
      </c>
      <c r="O412" s="36" t="str" cm="1">
        <f t="array" ref="O412">_xlfn.IFS(N412&gt;0.61, "High Humidity", N412&gt;=0.6, "Humid", N412&gt;0.4, "Less Humidity", TRUE, "Dry")</f>
        <v>High Humidity</v>
      </c>
      <c r="P412" s="36">
        <v>0.1343</v>
      </c>
      <c r="Q412" s="36" t="str" cm="1">
        <f t="array" ref="Q412">_xlfn.IFS(P412&lt;=0.2,"Low Windspeed",P412&lt;0.4,"Medium Windspeed",P412&gt;=0.41,"High Windspeed")</f>
        <v>Low Windspeed</v>
      </c>
      <c r="R412" s="36">
        <v>0</v>
      </c>
      <c r="S412" s="36">
        <v>3</v>
      </c>
      <c r="T412" s="37">
        <v>3</v>
      </c>
      <c r="U412" s="39" t="str" cm="1">
        <f t="array" ref="U412">_xlfn.IFS(T412&lt;=70,"Low",T412&lt;=160,"Medium",T412&gt;=161,"High")</f>
        <v>Low</v>
      </c>
    </row>
    <row r="413" spans="1:21" x14ac:dyDescent="0.25">
      <c r="A413" s="33">
        <v>412</v>
      </c>
      <c r="B413" s="34">
        <v>40562</v>
      </c>
      <c r="C413" s="35">
        <v>1</v>
      </c>
      <c r="D413" s="35">
        <v>0</v>
      </c>
      <c r="E413" s="35">
        <v>1</v>
      </c>
      <c r="F413" s="35">
        <v>4</v>
      </c>
      <c r="G413" s="35" t="str" cm="1">
        <f t="array" ref="G413">_xlfn.IFS(F413&lt;4,"Night",F413&lt;=6,"Early Morning",F413&lt;11,"Morning",F413&lt;12,"Afternoon",F413&lt;=16,"Afternoon",F413&lt;=20,"Evening",F413&gt;=21,"Night")</f>
        <v>Early Morning</v>
      </c>
      <c r="H413" s="35" t="b">
        <v>0</v>
      </c>
      <c r="I413" s="35">
        <v>3</v>
      </c>
      <c r="J413" s="35">
        <v>3</v>
      </c>
      <c r="K413" s="31">
        <v>0.22</v>
      </c>
      <c r="L413" s="31" t="str" cm="1">
        <f t="array" ref="L413">_xlfn.IFS(K413&lt;0.15,"Cold",K413&lt;0.25,"Mild",K413&lt;=0.32,"Warm",K413&gt;=0.33,"Hot")</f>
        <v>Mild</v>
      </c>
      <c r="M413" s="36">
        <v>0.2273</v>
      </c>
      <c r="N413" s="36">
        <v>0.93</v>
      </c>
      <c r="O413" s="36" t="str" cm="1">
        <f t="array" ref="O413">_xlfn.IFS(N413&gt;0.61, "High Humidity", N413&gt;=0.6, "Humid", N413&gt;0.4, "Less Humidity", TRUE, "Dry")</f>
        <v>High Humidity</v>
      </c>
      <c r="P413" s="36">
        <v>0.1343</v>
      </c>
      <c r="Q413" s="36" t="str" cm="1">
        <f t="array" ref="Q413">_xlfn.IFS(P413&lt;=0.2,"Low Windspeed",P413&lt;0.4,"Medium Windspeed",P413&gt;=0.41,"High Windspeed")</f>
        <v>Low Windspeed</v>
      </c>
      <c r="R413" s="36">
        <v>1</v>
      </c>
      <c r="S413" s="36">
        <v>1</v>
      </c>
      <c r="T413" s="37">
        <v>2</v>
      </c>
      <c r="U413" s="39" t="str" cm="1">
        <f t="array" ref="U413">_xlfn.IFS(T413&lt;=70,"Low",T413&lt;=160,"Medium",T413&gt;=161,"High")</f>
        <v>Low</v>
      </c>
    </row>
    <row r="414" spans="1:21" x14ac:dyDescent="0.25">
      <c r="A414" s="33">
        <v>413</v>
      </c>
      <c r="B414" s="34">
        <v>40562</v>
      </c>
      <c r="C414" s="35">
        <v>1</v>
      </c>
      <c r="D414" s="35">
        <v>0</v>
      </c>
      <c r="E414" s="35">
        <v>1</v>
      </c>
      <c r="F414" s="35">
        <v>5</v>
      </c>
      <c r="G414" s="35" t="str" cm="1">
        <f t="array" ref="G414">_xlfn.IFS(F414&lt;4,"Night",F414&lt;=6,"Early Morning",F414&lt;11,"Morning",F414&lt;12,"Afternoon",F414&lt;=16,"Afternoon",F414&lt;=20,"Evening",F414&gt;=21,"Night")</f>
        <v>Early Morning</v>
      </c>
      <c r="H414" s="35" t="b">
        <v>0</v>
      </c>
      <c r="I414" s="35">
        <v>3</v>
      </c>
      <c r="J414" s="35">
        <v>2</v>
      </c>
      <c r="K414" s="31">
        <v>0.22</v>
      </c>
      <c r="L414" s="31" t="str" cm="1">
        <f t="array" ref="L414">_xlfn.IFS(K414&lt;0.15,"Cold",K414&lt;0.25,"Mild",K414&lt;=0.32,"Warm",K414&gt;=0.33,"Hot")</f>
        <v>Mild</v>
      </c>
      <c r="M414" s="36">
        <v>0.2576</v>
      </c>
      <c r="N414" s="36">
        <v>0.93</v>
      </c>
      <c r="O414" s="36" t="str" cm="1">
        <f t="array" ref="O414">_xlfn.IFS(N414&gt;0.61, "High Humidity", N414&gt;=0.6, "Humid", N414&gt;0.4, "Less Humidity", TRUE, "Dry")</f>
        <v>High Humidity</v>
      </c>
      <c r="P414" s="36">
        <v>8.9599999999999999E-2</v>
      </c>
      <c r="Q414" s="36" t="str" cm="1">
        <f t="array" ref="Q414">_xlfn.IFS(P414&lt;=0.2,"Low Windspeed",P414&lt;0.4,"Medium Windspeed",P414&gt;=0.41,"High Windspeed")</f>
        <v>Low Windspeed</v>
      </c>
      <c r="R414" s="36">
        <v>0</v>
      </c>
      <c r="S414" s="36">
        <v>7</v>
      </c>
      <c r="T414" s="37">
        <v>7</v>
      </c>
      <c r="U414" s="39" t="str" cm="1">
        <f t="array" ref="U414">_xlfn.IFS(T414&lt;=70,"Low",T414&lt;=160,"Medium",T414&gt;=161,"High")</f>
        <v>Low</v>
      </c>
    </row>
    <row r="415" spans="1:21" x14ac:dyDescent="0.25">
      <c r="A415" s="33">
        <v>414</v>
      </c>
      <c r="B415" s="34">
        <v>40562</v>
      </c>
      <c r="C415" s="35">
        <v>1</v>
      </c>
      <c r="D415" s="35">
        <v>0</v>
      </c>
      <c r="E415" s="35">
        <v>1</v>
      </c>
      <c r="F415" s="35">
        <v>6</v>
      </c>
      <c r="G415" s="35" t="str" cm="1">
        <f t="array" ref="G415">_xlfn.IFS(F415&lt;4,"Night",F415&lt;=6,"Early Morning",F415&lt;11,"Morning",F415&lt;12,"Afternoon",F415&lt;=16,"Afternoon",F415&lt;=20,"Evening",F415&gt;=21,"Night")</f>
        <v>Early Morning</v>
      </c>
      <c r="H415" s="35" t="b">
        <v>0</v>
      </c>
      <c r="I415" s="35">
        <v>3</v>
      </c>
      <c r="J415" s="35">
        <v>2</v>
      </c>
      <c r="K415" s="31">
        <v>0.22</v>
      </c>
      <c r="L415" s="31" t="str" cm="1">
        <f t="array" ref="L415">_xlfn.IFS(K415&lt;0.15,"Cold",K415&lt;0.25,"Mild",K415&lt;=0.32,"Warm",K415&gt;=0.33,"Hot")</f>
        <v>Mild</v>
      </c>
      <c r="M415" s="36">
        <v>0.2576</v>
      </c>
      <c r="N415" s="36">
        <v>0.93</v>
      </c>
      <c r="O415" s="36" t="str" cm="1">
        <f t="array" ref="O415">_xlfn.IFS(N415&gt;0.61, "High Humidity", N415&gt;=0.6, "Humid", N415&gt;0.4, "Less Humidity", TRUE, "Dry")</f>
        <v>High Humidity</v>
      </c>
      <c r="P415" s="36">
        <v>8.9599999999999999E-2</v>
      </c>
      <c r="Q415" s="36" t="str" cm="1">
        <f t="array" ref="Q415">_xlfn.IFS(P415&lt;=0.2,"Low Windspeed",P415&lt;0.4,"Medium Windspeed",P415&gt;=0.41,"High Windspeed")</f>
        <v>Low Windspeed</v>
      </c>
      <c r="R415" s="36">
        <v>0</v>
      </c>
      <c r="S415" s="36">
        <v>32</v>
      </c>
      <c r="T415" s="37">
        <v>32</v>
      </c>
      <c r="U415" s="39" t="str" cm="1">
        <f t="array" ref="U415">_xlfn.IFS(T415&lt;=70,"Low",T415&lt;=160,"Medium",T415&gt;=161,"High")</f>
        <v>Low</v>
      </c>
    </row>
    <row r="416" spans="1:21" x14ac:dyDescent="0.25">
      <c r="A416" s="33">
        <v>415</v>
      </c>
      <c r="B416" s="34">
        <v>40562</v>
      </c>
      <c r="C416" s="35">
        <v>1</v>
      </c>
      <c r="D416" s="35">
        <v>0</v>
      </c>
      <c r="E416" s="35">
        <v>1</v>
      </c>
      <c r="F416" s="35">
        <v>7</v>
      </c>
      <c r="G416" s="35" t="str" cm="1">
        <f t="array" ref="G416">_xlfn.IFS(F416&lt;4,"Night",F416&lt;=6,"Early Morning",F416&lt;11,"Morning",F416&lt;12,"Afternoon",F416&lt;=16,"Afternoon",F416&lt;=20,"Evening",F416&gt;=21,"Night")</f>
        <v>Morning</v>
      </c>
      <c r="H416" s="35" t="b">
        <v>0</v>
      </c>
      <c r="I416" s="35">
        <v>3</v>
      </c>
      <c r="J416" s="35">
        <v>2</v>
      </c>
      <c r="K416" s="31">
        <v>0.24</v>
      </c>
      <c r="L416" s="31" t="str" cm="1">
        <f t="array" ref="L416">_xlfn.IFS(K416&lt;0.15,"Cold",K416&lt;0.25,"Mild",K416&lt;=0.32,"Warm",K416&gt;=0.33,"Hot")</f>
        <v>Mild</v>
      </c>
      <c r="M416" s="36">
        <v>0.2576</v>
      </c>
      <c r="N416" s="36">
        <v>0.92</v>
      </c>
      <c r="O416" s="36" t="str" cm="1">
        <f t="array" ref="O416">_xlfn.IFS(N416&gt;0.61, "High Humidity", N416&gt;=0.6, "Humid", N416&gt;0.4, "Less Humidity", TRUE, "Dry")</f>
        <v>High Humidity</v>
      </c>
      <c r="P416" s="36">
        <v>0.1045</v>
      </c>
      <c r="Q416" s="36" t="str" cm="1">
        <f t="array" ref="Q416">_xlfn.IFS(P416&lt;=0.2,"Low Windspeed",P416&lt;0.4,"Medium Windspeed",P416&gt;=0.41,"High Windspeed")</f>
        <v>Low Windspeed</v>
      </c>
      <c r="R416" s="36">
        <v>1</v>
      </c>
      <c r="S416" s="36">
        <v>89</v>
      </c>
      <c r="T416" s="37">
        <v>90</v>
      </c>
      <c r="U416" s="39" t="str" cm="1">
        <f t="array" ref="U416">_xlfn.IFS(T416&lt;=70,"Low",T416&lt;=160,"Medium",T416&gt;=161,"High")</f>
        <v>Medium</v>
      </c>
    </row>
    <row r="417" spans="1:21" x14ac:dyDescent="0.25">
      <c r="A417" s="33">
        <v>416</v>
      </c>
      <c r="B417" s="34">
        <v>40562</v>
      </c>
      <c r="C417" s="35">
        <v>1</v>
      </c>
      <c r="D417" s="35">
        <v>0</v>
      </c>
      <c r="E417" s="35">
        <v>1</v>
      </c>
      <c r="F417" s="35">
        <v>8</v>
      </c>
      <c r="G417" s="35" t="str" cm="1">
        <f t="array" ref="G417">_xlfn.IFS(F417&lt;4,"Night",F417&lt;=6,"Early Morning",F417&lt;11,"Morning",F417&lt;12,"Afternoon",F417&lt;=16,"Afternoon",F417&lt;=20,"Evening",F417&gt;=21,"Night")</f>
        <v>Morning</v>
      </c>
      <c r="H417" s="35" t="b">
        <v>0</v>
      </c>
      <c r="I417" s="35">
        <v>3</v>
      </c>
      <c r="J417" s="35">
        <v>2</v>
      </c>
      <c r="K417" s="31">
        <v>0.24</v>
      </c>
      <c r="L417" s="31" t="str" cm="1">
        <f t="array" ref="L417">_xlfn.IFS(K417&lt;0.15,"Cold",K417&lt;0.25,"Mild",K417&lt;=0.32,"Warm",K417&gt;=0.33,"Hot")</f>
        <v>Mild</v>
      </c>
      <c r="M417" s="36">
        <v>0.2576</v>
      </c>
      <c r="N417" s="36">
        <v>0.93</v>
      </c>
      <c r="O417" s="36" t="str" cm="1">
        <f t="array" ref="O417">_xlfn.IFS(N417&gt;0.61, "High Humidity", N417&gt;=0.6, "Humid", N417&gt;0.4, "Less Humidity", TRUE, "Dry")</f>
        <v>High Humidity</v>
      </c>
      <c r="P417" s="36">
        <v>0.1045</v>
      </c>
      <c r="Q417" s="36" t="str" cm="1">
        <f t="array" ref="Q417">_xlfn.IFS(P417&lt;=0.2,"Low Windspeed",P417&lt;0.4,"Medium Windspeed",P417&gt;=0.41,"High Windspeed")</f>
        <v>Low Windspeed</v>
      </c>
      <c r="R417" s="36">
        <v>1</v>
      </c>
      <c r="S417" s="36">
        <v>196</v>
      </c>
      <c r="T417" s="37">
        <v>197</v>
      </c>
      <c r="U417" s="39" t="str" cm="1">
        <f t="array" ref="U417">_xlfn.IFS(T417&lt;=70,"Low",T417&lt;=160,"Medium",T417&gt;=161,"High")</f>
        <v>High</v>
      </c>
    </row>
    <row r="418" spans="1:21" x14ac:dyDescent="0.25">
      <c r="A418" s="33">
        <v>417</v>
      </c>
      <c r="B418" s="34">
        <v>40562</v>
      </c>
      <c r="C418" s="35">
        <v>1</v>
      </c>
      <c r="D418" s="35">
        <v>0</v>
      </c>
      <c r="E418" s="35">
        <v>1</v>
      </c>
      <c r="F418" s="35">
        <v>9</v>
      </c>
      <c r="G418" s="35" t="str" cm="1">
        <f t="array" ref="G418">_xlfn.IFS(F418&lt;4,"Night",F418&lt;=6,"Early Morning",F418&lt;11,"Morning",F418&lt;12,"Afternoon",F418&lt;=16,"Afternoon",F418&lt;=20,"Evening",F418&gt;=21,"Night")</f>
        <v>Morning</v>
      </c>
      <c r="H418" s="35" t="b">
        <v>0</v>
      </c>
      <c r="I418" s="35">
        <v>3</v>
      </c>
      <c r="J418" s="35">
        <v>2</v>
      </c>
      <c r="K418" s="31">
        <v>0.24</v>
      </c>
      <c r="L418" s="31" t="str" cm="1">
        <f t="array" ref="L418">_xlfn.IFS(K418&lt;0.15,"Cold",K418&lt;0.25,"Mild",K418&lt;=0.32,"Warm",K418&gt;=0.33,"Hot")</f>
        <v>Mild</v>
      </c>
      <c r="M418" s="36">
        <v>0.2576</v>
      </c>
      <c r="N418" s="36">
        <v>0.93</v>
      </c>
      <c r="O418" s="36" t="str" cm="1">
        <f t="array" ref="O418">_xlfn.IFS(N418&gt;0.61, "High Humidity", N418&gt;=0.6, "Humid", N418&gt;0.4, "Less Humidity", TRUE, "Dry")</f>
        <v>High Humidity</v>
      </c>
      <c r="P418" s="36">
        <v>0.1045</v>
      </c>
      <c r="Q418" s="36" t="str" cm="1">
        <f t="array" ref="Q418">_xlfn.IFS(P418&lt;=0.2,"Low Windspeed",P418&lt;0.4,"Medium Windspeed",P418&gt;=0.41,"High Windspeed")</f>
        <v>Low Windspeed</v>
      </c>
      <c r="R418" s="36">
        <v>2</v>
      </c>
      <c r="S418" s="36">
        <v>107</v>
      </c>
      <c r="T418" s="37">
        <v>109</v>
      </c>
      <c r="U418" s="39" t="str" cm="1">
        <f t="array" ref="U418">_xlfn.IFS(T418&lt;=70,"Low",T418&lt;=160,"Medium",T418&gt;=161,"High")</f>
        <v>Medium</v>
      </c>
    </row>
    <row r="419" spans="1:21" x14ac:dyDescent="0.25">
      <c r="A419" s="33">
        <v>418</v>
      </c>
      <c r="B419" s="34">
        <v>40562</v>
      </c>
      <c r="C419" s="35">
        <v>1</v>
      </c>
      <c r="D419" s="35">
        <v>0</v>
      </c>
      <c r="E419" s="35">
        <v>1</v>
      </c>
      <c r="F419" s="35">
        <v>10</v>
      </c>
      <c r="G419" s="35" t="str" cm="1">
        <f t="array" ref="G419">_xlfn.IFS(F419&lt;4,"Night",F419&lt;=6,"Early Morning",F419&lt;11,"Morning",F419&lt;12,"Afternoon",F419&lt;=16,"Afternoon",F419&lt;=20,"Evening",F419&gt;=21,"Night")</f>
        <v>Morning</v>
      </c>
      <c r="H419" s="35" t="b">
        <v>0</v>
      </c>
      <c r="I419" s="35">
        <v>3</v>
      </c>
      <c r="J419" s="35">
        <v>2</v>
      </c>
      <c r="K419" s="31">
        <v>0.26</v>
      </c>
      <c r="L419" s="31" t="str" cm="1">
        <f t="array" ref="L419">_xlfn.IFS(K419&lt;0.15,"Cold",K419&lt;0.25,"Mild",K419&lt;=0.32,"Warm",K419&gt;=0.33,"Hot")</f>
        <v>Warm</v>
      </c>
      <c r="M419" s="36">
        <v>0.2727</v>
      </c>
      <c r="N419" s="36">
        <v>0.93</v>
      </c>
      <c r="O419" s="36" t="str" cm="1">
        <f t="array" ref="O419">_xlfn.IFS(N419&gt;0.61, "High Humidity", N419&gt;=0.6, "Humid", N419&gt;0.4, "Less Humidity", TRUE, "Dry")</f>
        <v>High Humidity</v>
      </c>
      <c r="P419" s="36">
        <v>0.1343</v>
      </c>
      <c r="Q419" s="36" t="str" cm="1">
        <f t="array" ref="Q419">_xlfn.IFS(P419&lt;=0.2,"Low Windspeed",P419&lt;0.4,"Medium Windspeed",P419&gt;=0.41,"High Windspeed")</f>
        <v>Low Windspeed</v>
      </c>
      <c r="R419" s="36">
        <v>1</v>
      </c>
      <c r="S419" s="36">
        <v>46</v>
      </c>
      <c r="T419" s="37">
        <v>47</v>
      </c>
      <c r="U419" s="39" t="str" cm="1">
        <f t="array" ref="U419">_xlfn.IFS(T419&lt;=70,"Low",T419&lt;=160,"Medium",T419&gt;=161,"High")</f>
        <v>Low</v>
      </c>
    </row>
    <row r="420" spans="1:21" x14ac:dyDescent="0.25">
      <c r="A420" s="33">
        <v>419</v>
      </c>
      <c r="B420" s="34">
        <v>40562</v>
      </c>
      <c r="C420" s="35">
        <v>1</v>
      </c>
      <c r="D420" s="35">
        <v>0</v>
      </c>
      <c r="E420" s="35">
        <v>1</v>
      </c>
      <c r="F420" s="35">
        <v>11</v>
      </c>
      <c r="G420" s="35" t="str" cm="1">
        <f t="array" ref="G420">_xlfn.IFS(F420&lt;4,"Night",F420&lt;=6,"Early Morning",F420&lt;11,"Morning",F420&lt;12,"Afternoon",F420&lt;=16,"Afternoon",F420&lt;=20,"Evening",F420&gt;=21,"Night")</f>
        <v>Afternoon</v>
      </c>
      <c r="H420" s="35" t="b">
        <v>0</v>
      </c>
      <c r="I420" s="35">
        <v>3</v>
      </c>
      <c r="J420" s="35">
        <v>2</v>
      </c>
      <c r="K420" s="31">
        <v>0.28000000000000003</v>
      </c>
      <c r="L420" s="31" t="str" cm="1">
        <f t="array" ref="L420">_xlfn.IFS(K420&lt;0.15,"Cold",K420&lt;0.25,"Mild",K420&lt;=0.32,"Warm",K420&gt;=0.33,"Hot")</f>
        <v>Warm</v>
      </c>
      <c r="M420" s="36">
        <v>0.30299999999999999</v>
      </c>
      <c r="N420" s="36">
        <v>0.87</v>
      </c>
      <c r="O420" s="36" t="str" cm="1">
        <f t="array" ref="O420">_xlfn.IFS(N420&gt;0.61, "High Humidity", N420&gt;=0.6, "Humid", N420&gt;0.4, "Less Humidity", TRUE, "Dry")</f>
        <v>High Humidity</v>
      </c>
      <c r="P420" s="36">
        <v>8.9599999999999999E-2</v>
      </c>
      <c r="Q420" s="36" t="str" cm="1">
        <f t="array" ref="Q420">_xlfn.IFS(P420&lt;=0.2,"Low Windspeed",P420&lt;0.4,"Medium Windspeed",P420&gt;=0.41,"High Windspeed")</f>
        <v>Low Windspeed</v>
      </c>
      <c r="R420" s="36">
        <v>5</v>
      </c>
      <c r="S420" s="36">
        <v>47</v>
      </c>
      <c r="T420" s="37">
        <v>52</v>
      </c>
      <c r="U420" s="39" t="str" cm="1">
        <f t="array" ref="U420">_xlfn.IFS(T420&lt;=70,"Low",T420&lt;=160,"Medium",T420&gt;=161,"High")</f>
        <v>Low</v>
      </c>
    </row>
    <row r="421" spans="1:21" x14ac:dyDescent="0.25">
      <c r="A421" s="33">
        <v>420</v>
      </c>
      <c r="B421" s="34">
        <v>40562</v>
      </c>
      <c r="C421" s="35">
        <v>1</v>
      </c>
      <c r="D421" s="35">
        <v>0</v>
      </c>
      <c r="E421" s="35">
        <v>1</v>
      </c>
      <c r="F421" s="35">
        <v>12</v>
      </c>
      <c r="G421" s="35" t="str" cm="1">
        <f t="array" ref="G421">_xlfn.IFS(F421&lt;4,"Night",F421&lt;=6,"Early Morning",F421&lt;11,"Morning",F421&lt;12,"Afternoon",F421&lt;=16,"Afternoon",F421&lt;=20,"Evening",F421&gt;=21,"Night")</f>
        <v>Afternoon</v>
      </c>
      <c r="H421" s="35" t="b">
        <v>0</v>
      </c>
      <c r="I421" s="35">
        <v>3</v>
      </c>
      <c r="J421" s="35">
        <v>2</v>
      </c>
      <c r="K421" s="31">
        <v>0.3</v>
      </c>
      <c r="L421" s="31" t="str" cm="1">
        <f t="array" ref="L421">_xlfn.IFS(K421&lt;0.15,"Cold",K421&lt;0.25,"Mild",K421&lt;=0.32,"Warm",K421&gt;=0.33,"Hot")</f>
        <v>Warm</v>
      </c>
      <c r="M421" s="36">
        <v>0.31819999999999998</v>
      </c>
      <c r="N421" s="36">
        <v>0.81</v>
      </c>
      <c r="O421" s="36" t="str" cm="1">
        <f t="array" ref="O421">_xlfn.IFS(N421&gt;0.61, "High Humidity", N421&gt;=0.6, "Humid", N421&gt;0.4, "Less Humidity", TRUE, "Dry")</f>
        <v>High Humidity</v>
      </c>
      <c r="P421" s="36">
        <v>8.9599999999999999E-2</v>
      </c>
      <c r="Q421" s="36" t="str" cm="1">
        <f t="array" ref="Q421">_xlfn.IFS(P421&lt;=0.2,"Low Windspeed",P421&lt;0.4,"Medium Windspeed",P421&gt;=0.41,"High Windspeed")</f>
        <v>Low Windspeed</v>
      </c>
      <c r="R421" s="36">
        <v>5</v>
      </c>
      <c r="S421" s="36">
        <v>65</v>
      </c>
      <c r="T421" s="37">
        <v>70</v>
      </c>
      <c r="U421" s="39" t="str" cm="1">
        <f t="array" ref="U421">_xlfn.IFS(T421&lt;=70,"Low",T421&lt;=160,"Medium",T421&gt;=161,"High")</f>
        <v>Low</v>
      </c>
    </row>
    <row r="422" spans="1:21" x14ac:dyDescent="0.25">
      <c r="A422" s="33">
        <v>421</v>
      </c>
      <c r="B422" s="34">
        <v>40562</v>
      </c>
      <c r="C422" s="35">
        <v>1</v>
      </c>
      <c r="D422" s="35">
        <v>0</v>
      </c>
      <c r="E422" s="35">
        <v>1</v>
      </c>
      <c r="F422" s="35">
        <v>13</v>
      </c>
      <c r="G422" s="35" t="str" cm="1">
        <f t="array" ref="G422">_xlfn.IFS(F422&lt;4,"Night",F422&lt;=6,"Early Morning",F422&lt;11,"Morning",F422&lt;12,"Afternoon",F422&lt;=16,"Afternoon",F422&lt;=20,"Evening",F422&gt;=21,"Night")</f>
        <v>Afternoon</v>
      </c>
      <c r="H422" s="35" t="b">
        <v>0</v>
      </c>
      <c r="I422" s="35">
        <v>3</v>
      </c>
      <c r="J422" s="35">
        <v>1</v>
      </c>
      <c r="K422" s="31">
        <v>0.4</v>
      </c>
      <c r="L422" s="31" t="str" cm="1">
        <f t="array" ref="L422">_xlfn.IFS(K422&lt;0.15,"Cold",K422&lt;0.25,"Mild",K422&lt;=0.32,"Warm",K422&gt;=0.33,"Hot")</f>
        <v>Hot</v>
      </c>
      <c r="M422" s="36">
        <v>0.40910000000000002</v>
      </c>
      <c r="N422" s="36">
        <v>0.62</v>
      </c>
      <c r="O422" s="36" t="str" cm="1">
        <f t="array" ref="O422">_xlfn.IFS(N422&gt;0.61, "High Humidity", N422&gt;=0.6, "Humid", N422&gt;0.4, "Less Humidity", TRUE, "Dry")</f>
        <v>High Humidity</v>
      </c>
      <c r="P422" s="36">
        <v>0.28360000000000002</v>
      </c>
      <c r="Q422" s="36" t="str" cm="1">
        <f t="array" ref="Q422">_xlfn.IFS(P422&lt;=0.2,"Low Windspeed",P422&lt;0.4,"Medium Windspeed",P422&gt;=0.41,"High Windspeed")</f>
        <v>Medium Windspeed</v>
      </c>
      <c r="R422" s="36">
        <v>11</v>
      </c>
      <c r="S422" s="36">
        <v>67</v>
      </c>
      <c r="T422" s="37">
        <v>78</v>
      </c>
      <c r="U422" s="39" t="str" cm="1">
        <f t="array" ref="U422">_xlfn.IFS(T422&lt;=70,"Low",T422&lt;=160,"Medium",T422&gt;=161,"High")</f>
        <v>Medium</v>
      </c>
    </row>
    <row r="423" spans="1:21" x14ac:dyDescent="0.25">
      <c r="A423" s="33">
        <v>422</v>
      </c>
      <c r="B423" s="34">
        <v>40562</v>
      </c>
      <c r="C423" s="35">
        <v>1</v>
      </c>
      <c r="D423" s="35">
        <v>0</v>
      </c>
      <c r="E423" s="35">
        <v>1</v>
      </c>
      <c r="F423" s="35">
        <v>14</v>
      </c>
      <c r="G423" s="35" t="str" cm="1">
        <f t="array" ref="G423">_xlfn.IFS(F423&lt;4,"Night",F423&lt;=6,"Early Morning",F423&lt;11,"Morning",F423&lt;12,"Afternoon",F423&lt;=16,"Afternoon",F423&lt;=20,"Evening",F423&gt;=21,"Night")</f>
        <v>Afternoon</v>
      </c>
      <c r="H423" s="35" t="b">
        <v>0</v>
      </c>
      <c r="I423" s="35">
        <v>3</v>
      </c>
      <c r="J423" s="35">
        <v>1</v>
      </c>
      <c r="K423" s="31">
        <v>0.4</v>
      </c>
      <c r="L423" s="31" t="str" cm="1">
        <f t="array" ref="L423">_xlfn.IFS(K423&lt;0.15,"Cold",K423&lt;0.25,"Mild",K423&lt;=0.32,"Warm",K423&gt;=0.33,"Hot")</f>
        <v>Hot</v>
      </c>
      <c r="M423" s="36">
        <v>0.40910000000000002</v>
      </c>
      <c r="N423" s="36">
        <v>0.57999999999999996</v>
      </c>
      <c r="O423" s="36" t="str" cm="1">
        <f t="array" ref="O423">_xlfn.IFS(N423&gt;0.61, "High Humidity", N423&gt;=0.6, "Humid", N423&gt;0.4, "Less Humidity", TRUE, "Dry")</f>
        <v>Less Humidity</v>
      </c>
      <c r="P423" s="36">
        <v>0.25369999999999998</v>
      </c>
      <c r="Q423" s="36" t="str" cm="1">
        <f t="array" ref="Q423">_xlfn.IFS(P423&lt;=0.2,"Low Windspeed",P423&lt;0.4,"Medium Windspeed",P423&gt;=0.41,"High Windspeed")</f>
        <v>Medium Windspeed</v>
      </c>
      <c r="R423" s="36">
        <v>7</v>
      </c>
      <c r="S423" s="36">
        <v>68</v>
      </c>
      <c r="T423" s="37">
        <v>75</v>
      </c>
      <c r="U423" s="39" t="str" cm="1">
        <f t="array" ref="U423">_xlfn.IFS(T423&lt;=70,"Low",T423&lt;=160,"Medium",T423&gt;=161,"High")</f>
        <v>Medium</v>
      </c>
    </row>
    <row r="424" spans="1:21" x14ac:dyDescent="0.25">
      <c r="A424" s="33">
        <v>423</v>
      </c>
      <c r="B424" s="34">
        <v>40562</v>
      </c>
      <c r="C424" s="35">
        <v>1</v>
      </c>
      <c r="D424" s="35">
        <v>0</v>
      </c>
      <c r="E424" s="35">
        <v>1</v>
      </c>
      <c r="F424" s="35">
        <v>15</v>
      </c>
      <c r="G424" s="35" t="str" cm="1">
        <f t="array" ref="G424">_xlfn.IFS(F424&lt;4,"Night",F424&lt;=6,"Early Morning",F424&lt;11,"Morning",F424&lt;12,"Afternoon",F424&lt;=16,"Afternoon",F424&lt;=20,"Evening",F424&gt;=21,"Night")</f>
        <v>Afternoon</v>
      </c>
      <c r="H424" s="35" t="b">
        <v>0</v>
      </c>
      <c r="I424" s="35">
        <v>3</v>
      </c>
      <c r="J424" s="35">
        <v>1</v>
      </c>
      <c r="K424" s="31">
        <v>0.4</v>
      </c>
      <c r="L424" s="31" t="str" cm="1">
        <f t="array" ref="L424">_xlfn.IFS(K424&lt;0.15,"Cold",K424&lt;0.25,"Mild",K424&lt;=0.32,"Warm",K424&gt;=0.33,"Hot")</f>
        <v>Hot</v>
      </c>
      <c r="M424" s="36">
        <v>0.40910000000000002</v>
      </c>
      <c r="N424" s="36">
        <v>0.54</v>
      </c>
      <c r="O424" s="36" t="str" cm="1">
        <f t="array" ref="O424">_xlfn.IFS(N424&gt;0.61, "High Humidity", N424&gt;=0.6, "Humid", N424&gt;0.4, "Less Humidity", TRUE, "Dry")</f>
        <v>Less Humidity</v>
      </c>
      <c r="P424" s="36">
        <v>0.28360000000000002</v>
      </c>
      <c r="Q424" s="36" t="str" cm="1">
        <f t="array" ref="Q424">_xlfn.IFS(P424&lt;=0.2,"Low Windspeed",P424&lt;0.4,"Medium Windspeed",P424&gt;=0.41,"High Windspeed")</f>
        <v>Medium Windspeed</v>
      </c>
      <c r="R424" s="36">
        <v>4</v>
      </c>
      <c r="S424" s="36">
        <v>78</v>
      </c>
      <c r="T424" s="37">
        <v>82</v>
      </c>
      <c r="U424" s="39" t="str" cm="1">
        <f t="array" ref="U424">_xlfn.IFS(T424&lt;=70,"Low",T424&lt;=160,"Medium",T424&gt;=161,"High")</f>
        <v>Medium</v>
      </c>
    </row>
    <row r="425" spans="1:21" x14ac:dyDescent="0.25">
      <c r="A425" s="33">
        <v>424</v>
      </c>
      <c r="B425" s="34">
        <v>40562</v>
      </c>
      <c r="C425" s="35">
        <v>1</v>
      </c>
      <c r="D425" s="35">
        <v>0</v>
      </c>
      <c r="E425" s="35">
        <v>1</v>
      </c>
      <c r="F425" s="35">
        <v>16</v>
      </c>
      <c r="G425" s="35" t="str" cm="1">
        <f t="array" ref="G425">_xlfn.IFS(F425&lt;4,"Night",F425&lt;=6,"Early Morning",F425&lt;11,"Morning",F425&lt;12,"Afternoon",F425&lt;=16,"Afternoon",F425&lt;=20,"Evening",F425&gt;=21,"Night")</f>
        <v>Afternoon</v>
      </c>
      <c r="H425" s="35" t="b">
        <v>0</v>
      </c>
      <c r="I425" s="35">
        <v>3</v>
      </c>
      <c r="J425" s="35">
        <v>1</v>
      </c>
      <c r="K425" s="31">
        <v>0.38</v>
      </c>
      <c r="L425" s="31" t="str" cm="1">
        <f t="array" ref="L425">_xlfn.IFS(K425&lt;0.15,"Cold",K425&lt;0.25,"Mild",K425&lt;=0.32,"Warm",K425&gt;=0.33,"Hot")</f>
        <v>Hot</v>
      </c>
      <c r="M425" s="36">
        <v>0.39389999999999997</v>
      </c>
      <c r="N425" s="36">
        <v>0.57999999999999996</v>
      </c>
      <c r="O425" s="36" t="str" cm="1">
        <f t="array" ref="O425">_xlfn.IFS(N425&gt;0.61, "High Humidity", N425&gt;=0.6, "Humid", N425&gt;0.4, "Less Humidity", TRUE, "Dry")</f>
        <v>Less Humidity</v>
      </c>
      <c r="P425" s="36">
        <v>0.3881</v>
      </c>
      <c r="Q425" s="36" t="str" cm="1">
        <f t="array" ref="Q425">_xlfn.IFS(P425&lt;=0.2,"Low Windspeed",P425&lt;0.4,"Medium Windspeed",P425&gt;=0.41,"High Windspeed")</f>
        <v>Medium Windspeed</v>
      </c>
      <c r="R425" s="36">
        <v>10</v>
      </c>
      <c r="S425" s="36">
        <v>94</v>
      </c>
      <c r="T425" s="37">
        <v>104</v>
      </c>
      <c r="U425" s="39" t="str" cm="1">
        <f t="array" ref="U425">_xlfn.IFS(T425&lt;=70,"Low",T425&lt;=160,"Medium",T425&gt;=161,"High")</f>
        <v>Medium</v>
      </c>
    </row>
    <row r="426" spans="1:21" x14ac:dyDescent="0.25">
      <c r="A426" s="33">
        <v>425</v>
      </c>
      <c r="B426" s="34">
        <v>40562</v>
      </c>
      <c r="C426" s="35">
        <v>1</v>
      </c>
      <c r="D426" s="35">
        <v>0</v>
      </c>
      <c r="E426" s="35">
        <v>1</v>
      </c>
      <c r="F426" s="35">
        <v>17</v>
      </c>
      <c r="G426" s="35" t="str" cm="1">
        <f t="array" ref="G426">_xlfn.IFS(F426&lt;4,"Night",F426&lt;=6,"Early Morning",F426&lt;11,"Morning",F426&lt;12,"Afternoon",F426&lt;=16,"Afternoon",F426&lt;=20,"Evening",F426&gt;=21,"Night")</f>
        <v>Evening</v>
      </c>
      <c r="H426" s="35" t="b">
        <v>0</v>
      </c>
      <c r="I426" s="35">
        <v>3</v>
      </c>
      <c r="J426" s="35">
        <v>1</v>
      </c>
      <c r="K426" s="31">
        <v>0.36</v>
      </c>
      <c r="L426" s="31" t="str" cm="1">
        <f t="array" ref="L426">_xlfn.IFS(K426&lt;0.15,"Cold",K426&lt;0.25,"Mild",K426&lt;=0.32,"Warm",K426&gt;=0.33,"Hot")</f>
        <v>Hot</v>
      </c>
      <c r="M426" s="36">
        <v>0.33329999999999999</v>
      </c>
      <c r="N426" s="36">
        <v>0.56999999999999995</v>
      </c>
      <c r="O426" s="36" t="str" cm="1">
        <f t="array" ref="O426">_xlfn.IFS(N426&gt;0.61, "High Humidity", N426&gt;=0.6, "Humid", N426&gt;0.4, "Less Humidity", TRUE, "Dry")</f>
        <v>Less Humidity</v>
      </c>
      <c r="P426" s="36">
        <v>0.32840000000000003</v>
      </c>
      <c r="Q426" s="36" t="str" cm="1">
        <f t="array" ref="Q426">_xlfn.IFS(P426&lt;=0.2,"Low Windspeed",P426&lt;0.4,"Medium Windspeed",P426&gt;=0.41,"High Windspeed")</f>
        <v>Medium Windspeed</v>
      </c>
      <c r="R426" s="36">
        <v>7</v>
      </c>
      <c r="S426" s="36">
        <v>190</v>
      </c>
      <c r="T426" s="37">
        <v>197</v>
      </c>
      <c r="U426" s="39" t="str" cm="1">
        <f t="array" ref="U426">_xlfn.IFS(T426&lt;=70,"Low",T426&lt;=160,"Medium",T426&gt;=161,"High")</f>
        <v>High</v>
      </c>
    </row>
    <row r="427" spans="1:21" x14ac:dyDescent="0.25">
      <c r="A427" s="33">
        <v>426</v>
      </c>
      <c r="B427" s="34">
        <v>40562</v>
      </c>
      <c r="C427" s="35">
        <v>1</v>
      </c>
      <c r="D427" s="35">
        <v>0</v>
      </c>
      <c r="E427" s="35">
        <v>1</v>
      </c>
      <c r="F427" s="35">
        <v>18</v>
      </c>
      <c r="G427" s="35" t="str" cm="1">
        <f t="array" ref="G427">_xlfn.IFS(F427&lt;4,"Night",F427&lt;=6,"Early Morning",F427&lt;11,"Morning",F427&lt;12,"Afternoon",F427&lt;=16,"Afternoon",F427&lt;=20,"Evening",F427&gt;=21,"Night")</f>
        <v>Evening</v>
      </c>
      <c r="H427" s="35" t="b">
        <v>0</v>
      </c>
      <c r="I427" s="35">
        <v>3</v>
      </c>
      <c r="J427" s="35">
        <v>1</v>
      </c>
      <c r="K427" s="31">
        <v>0.34</v>
      </c>
      <c r="L427" s="31" t="str" cm="1">
        <f t="array" ref="L427">_xlfn.IFS(K427&lt;0.15,"Cold",K427&lt;0.25,"Mild",K427&lt;=0.32,"Warm",K427&gt;=0.33,"Hot")</f>
        <v>Hot</v>
      </c>
      <c r="M427" s="36">
        <v>0.31819999999999998</v>
      </c>
      <c r="N427" s="36">
        <v>0.61</v>
      </c>
      <c r="O427" s="36" t="str" cm="1">
        <f t="array" ref="O427">_xlfn.IFS(N427&gt;0.61, "High Humidity", N427&gt;=0.6, "Humid", N427&gt;0.4, "Less Humidity", TRUE, "Dry")</f>
        <v>Humid</v>
      </c>
      <c r="P427" s="36">
        <v>0.28360000000000002</v>
      </c>
      <c r="Q427" s="36" t="str" cm="1">
        <f t="array" ref="Q427">_xlfn.IFS(P427&lt;=0.2,"Low Windspeed",P427&lt;0.4,"Medium Windspeed",P427&gt;=0.41,"High Windspeed")</f>
        <v>Medium Windspeed</v>
      </c>
      <c r="R427" s="36">
        <v>5</v>
      </c>
      <c r="S427" s="36">
        <v>156</v>
      </c>
      <c r="T427" s="37">
        <v>161</v>
      </c>
      <c r="U427" s="39" t="str" cm="1">
        <f t="array" ref="U427">_xlfn.IFS(T427&lt;=70,"Low",T427&lt;=160,"Medium",T427&gt;=161,"High")</f>
        <v>High</v>
      </c>
    </row>
    <row r="428" spans="1:21" x14ac:dyDescent="0.25">
      <c r="A428" s="33">
        <v>427</v>
      </c>
      <c r="B428" s="34">
        <v>40562</v>
      </c>
      <c r="C428" s="35">
        <v>1</v>
      </c>
      <c r="D428" s="35">
        <v>0</v>
      </c>
      <c r="E428" s="35">
        <v>1</v>
      </c>
      <c r="F428" s="35">
        <v>19</v>
      </c>
      <c r="G428" s="35" t="str" cm="1">
        <f t="array" ref="G428">_xlfn.IFS(F428&lt;4,"Night",F428&lt;=6,"Early Morning",F428&lt;11,"Morning",F428&lt;12,"Afternoon",F428&lt;=16,"Afternoon",F428&lt;=20,"Evening",F428&gt;=21,"Night")</f>
        <v>Evening</v>
      </c>
      <c r="H428" s="35" t="b">
        <v>0</v>
      </c>
      <c r="I428" s="35">
        <v>3</v>
      </c>
      <c r="J428" s="35">
        <v>1</v>
      </c>
      <c r="K428" s="31">
        <v>0.32</v>
      </c>
      <c r="L428" s="31" t="str" cm="1">
        <f t="array" ref="L428">_xlfn.IFS(K428&lt;0.15,"Cold",K428&lt;0.25,"Mild",K428&lt;=0.32,"Warm",K428&gt;=0.33,"Hot")</f>
        <v>Warm</v>
      </c>
      <c r="M428" s="36">
        <v>0.28789999999999999</v>
      </c>
      <c r="N428" s="36">
        <v>0.56999999999999995</v>
      </c>
      <c r="O428" s="36" t="str" cm="1">
        <f t="array" ref="O428">_xlfn.IFS(N428&gt;0.61, "High Humidity", N428&gt;=0.6, "Humid", N428&gt;0.4, "Less Humidity", TRUE, "Dry")</f>
        <v>Less Humidity</v>
      </c>
      <c r="P428" s="36">
        <v>0.41789999999999999</v>
      </c>
      <c r="Q428" s="36" t="str" cm="1">
        <f t="array" ref="Q428">_xlfn.IFS(P428&lt;=0.2,"Low Windspeed",P428&lt;0.4,"Medium Windspeed",P428&gt;=0.41,"High Windspeed")</f>
        <v>High Windspeed</v>
      </c>
      <c r="R428" s="36">
        <v>4</v>
      </c>
      <c r="S428" s="36">
        <v>108</v>
      </c>
      <c r="T428" s="37">
        <v>112</v>
      </c>
      <c r="U428" s="39" t="str" cm="1">
        <f t="array" ref="U428">_xlfn.IFS(T428&lt;=70,"Low",T428&lt;=160,"Medium",T428&gt;=161,"High")</f>
        <v>Medium</v>
      </c>
    </row>
    <row r="429" spans="1:21" x14ac:dyDescent="0.25">
      <c r="A429" s="33">
        <v>428</v>
      </c>
      <c r="B429" s="34">
        <v>40562</v>
      </c>
      <c r="C429" s="35">
        <v>1</v>
      </c>
      <c r="D429" s="35">
        <v>0</v>
      </c>
      <c r="E429" s="35">
        <v>1</v>
      </c>
      <c r="F429" s="35">
        <v>20</v>
      </c>
      <c r="G429" s="35" t="str" cm="1">
        <f t="array" ref="G429">_xlfn.IFS(F429&lt;4,"Night",F429&lt;=6,"Early Morning",F429&lt;11,"Morning",F429&lt;12,"Afternoon",F429&lt;=16,"Afternoon",F429&lt;=20,"Evening",F429&gt;=21,"Night")</f>
        <v>Evening</v>
      </c>
      <c r="H429" s="35" t="b">
        <v>0</v>
      </c>
      <c r="I429" s="35">
        <v>3</v>
      </c>
      <c r="J429" s="35">
        <v>1</v>
      </c>
      <c r="K429" s="31">
        <v>0.32</v>
      </c>
      <c r="L429" s="31" t="str" cm="1">
        <f t="array" ref="L429">_xlfn.IFS(K429&lt;0.15,"Cold",K429&lt;0.25,"Mild",K429&lt;=0.32,"Warm",K429&gt;=0.33,"Hot")</f>
        <v>Warm</v>
      </c>
      <c r="M429" s="36">
        <v>0.30299999999999999</v>
      </c>
      <c r="N429" s="36">
        <v>0.49</v>
      </c>
      <c r="O429" s="36" t="str" cm="1">
        <f t="array" ref="O429">_xlfn.IFS(N429&gt;0.61, "High Humidity", N429&gt;=0.6, "Humid", N429&gt;0.4, "Less Humidity", TRUE, "Dry")</f>
        <v>Less Humidity</v>
      </c>
      <c r="P429" s="36">
        <v>0.29849999999999999</v>
      </c>
      <c r="Q429" s="36" t="str" cm="1">
        <f t="array" ref="Q429">_xlfn.IFS(P429&lt;=0.2,"Low Windspeed",P429&lt;0.4,"Medium Windspeed",P429&gt;=0.41,"High Windspeed")</f>
        <v>Medium Windspeed</v>
      </c>
      <c r="R429" s="36">
        <v>2</v>
      </c>
      <c r="S429" s="36">
        <v>74</v>
      </c>
      <c r="T429" s="37">
        <v>76</v>
      </c>
      <c r="U429" s="39" t="str" cm="1">
        <f t="array" ref="U429">_xlfn.IFS(T429&lt;=70,"Low",T429&lt;=160,"Medium",T429&gt;=161,"High")</f>
        <v>Medium</v>
      </c>
    </row>
    <row r="430" spans="1:21" x14ac:dyDescent="0.25">
      <c r="A430" s="33">
        <v>429</v>
      </c>
      <c r="B430" s="34">
        <v>40562</v>
      </c>
      <c r="C430" s="35">
        <v>1</v>
      </c>
      <c r="D430" s="35">
        <v>0</v>
      </c>
      <c r="E430" s="35">
        <v>1</v>
      </c>
      <c r="F430" s="35">
        <v>21</v>
      </c>
      <c r="G430" s="35" t="str" cm="1">
        <f t="array" ref="G430">_xlfn.IFS(F430&lt;4,"Night",F430&lt;=6,"Early Morning",F430&lt;11,"Morning",F430&lt;12,"Afternoon",F430&lt;=16,"Afternoon",F430&lt;=20,"Evening",F430&gt;=21,"Night")</f>
        <v>Night</v>
      </c>
      <c r="H430" s="35" t="b">
        <v>0</v>
      </c>
      <c r="I430" s="35">
        <v>3</v>
      </c>
      <c r="J430" s="35">
        <v>1</v>
      </c>
      <c r="K430" s="31">
        <v>0.32</v>
      </c>
      <c r="L430" s="31" t="str" cm="1">
        <f t="array" ref="L430">_xlfn.IFS(K430&lt;0.15,"Cold",K430&lt;0.25,"Mild",K430&lt;=0.32,"Warm",K430&gt;=0.33,"Hot")</f>
        <v>Warm</v>
      </c>
      <c r="M430" s="36">
        <v>0.28789999999999999</v>
      </c>
      <c r="N430" s="36">
        <v>0.49</v>
      </c>
      <c r="O430" s="36" t="str" cm="1">
        <f t="array" ref="O430">_xlfn.IFS(N430&gt;0.61, "High Humidity", N430&gt;=0.6, "Humid", N430&gt;0.4, "Less Humidity", TRUE, "Dry")</f>
        <v>Less Humidity</v>
      </c>
      <c r="P430" s="36">
        <v>0.41789999999999999</v>
      </c>
      <c r="Q430" s="36" t="str" cm="1">
        <f t="array" ref="Q430">_xlfn.IFS(P430&lt;=0.2,"Low Windspeed",P430&lt;0.4,"Medium Windspeed",P430&gt;=0.41,"High Windspeed")</f>
        <v>High Windspeed</v>
      </c>
      <c r="R430" s="36">
        <v>4</v>
      </c>
      <c r="S430" s="36">
        <v>55</v>
      </c>
      <c r="T430" s="37">
        <v>59</v>
      </c>
      <c r="U430" s="39" t="str" cm="1">
        <f t="array" ref="U430">_xlfn.IFS(T430&lt;=70,"Low",T430&lt;=160,"Medium",T430&gt;=161,"High")</f>
        <v>Low</v>
      </c>
    </row>
    <row r="431" spans="1:21" x14ac:dyDescent="0.25">
      <c r="A431" s="33">
        <v>430</v>
      </c>
      <c r="B431" s="34">
        <v>40562</v>
      </c>
      <c r="C431" s="35">
        <v>1</v>
      </c>
      <c r="D431" s="35">
        <v>0</v>
      </c>
      <c r="E431" s="35">
        <v>1</v>
      </c>
      <c r="F431" s="35">
        <v>22</v>
      </c>
      <c r="G431" s="35" t="str" cm="1">
        <f t="array" ref="G431">_xlfn.IFS(F431&lt;4,"Night",F431&lt;=6,"Early Morning",F431&lt;11,"Morning",F431&lt;12,"Afternoon",F431&lt;=16,"Afternoon",F431&lt;=20,"Evening",F431&gt;=21,"Night")</f>
        <v>Night</v>
      </c>
      <c r="H431" s="35" t="b">
        <v>0</v>
      </c>
      <c r="I431" s="35">
        <v>3</v>
      </c>
      <c r="J431" s="35">
        <v>1</v>
      </c>
      <c r="K431" s="31">
        <v>0.3</v>
      </c>
      <c r="L431" s="31" t="str" cm="1">
        <f t="array" ref="L431">_xlfn.IFS(K431&lt;0.15,"Cold",K431&lt;0.25,"Mild",K431&lt;=0.32,"Warm",K431&gt;=0.33,"Hot")</f>
        <v>Warm</v>
      </c>
      <c r="M431" s="36">
        <v>0.30299999999999999</v>
      </c>
      <c r="N431" s="36">
        <v>0.52</v>
      </c>
      <c r="O431" s="36" t="str" cm="1">
        <f t="array" ref="O431">_xlfn.IFS(N431&gt;0.61, "High Humidity", N431&gt;=0.6, "Humid", N431&gt;0.4, "Less Humidity", TRUE, "Dry")</f>
        <v>Less Humidity</v>
      </c>
      <c r="P431" s="36">
        <v>0.16420000000000001</v>
      </c>
      <c r="Q431" s="36" t="str" cm="1">
        <f t="array" ref="Q431">_xlfn.IFS(P431&lt;=0.2,"Low Windspeed",P431&lt;0.4,"Medium Windspeed",P431&gt;=0.41,"High Windspeed")</f>
        <v>Low Windspeed</v>
      </c>
      <c r="R431" s="36">
        <v>6</v>
      </c>
      <c r="S431" s="36">
        <v>53</v>
      </c>
      <c r="T431" s="37">
        <v>59</v>
      </c>
      <c r="U431" s="39" t="str" cm="1">
        <f t="array" ref="U431">_xlfn.IFS(T431&lt;=70,"Low",T431&lt;=160,"Medium",T431&gt;=161,"High")</f>
        <v>Low</v>
      </c>
    </row>
    <row r="432" spans="1:21" x14ac:dyDescent="0.25">
      <c r="A432" s="33">
        <v>431</v>
      </c>
      <c r="B432" s="34">
        <v>40562</v>
      </c>
      <c r="C432" s="35">
        <v>1</v>
      </c>
      <c r="D432" s="35">
        <v>0</v>
      </c>
      <c r="E432" s="35">
        <v>1</v>
      </c>
      <c r="F432" s="35">
        <v>23</v>
      </c>
      <c r="G432" s="35" t="str" cm="1">
        <f t="array" ref="G432">_xlfn.IFS(F432&lt;4,"Night",F432&lt;=6,"Early Morning",F432&lt;11,"Morning",F432&lt;12,"Afternoon",F432&lt;=16,"Afternoon",F432&lt;=20,"Evening",F432&gt;=21,"Night")</f>
        <v>Night</v>
      </c>
      <c r="H432" s="35" t="b">
        <v>0</v>
      </c>
      <c r="I432" s="35">
        <v>3</v>
      </c>
      <c r="J432" s="35">
        <v>1</v>
      </c>
      <c r="K432" s="31">
        <v>0.3</v>
      </c>
      <c r="L432" s="31" t="str" cm="1">
        <f t="array" ref="L432">_xlfn.IFS(K432&lt;0.15,"Cold",K432&lt;0.25,"Mild",K432&lt;=0.32,"Warm",K432&gt;=0.33,"Hot")</f>
        <v>Warm</v>
      </c>
      <c r="M432" s="36">
        <v>0.2727</v>
      </c>
      <c r="N432" s="36">
        <v>0.52</v>
      </c>
      <c r="O432" s="36" t="str" cm="1">
        <f t="array" ref="O432">_xlfn.IFS(N432&gt;0.61, "High Humidity", N432&gt;=0.6, "Humid", N432&gt;0.4, "Less Humidity", TRUE, "Dry")</f>
        <v>Less Humidity</v>
      </c>
      <c r="P432" s="36">
        <v>0.4627</v>
      </c>
      <c r="Q432" s="36" t="str" cm="1">
        <f t="array" ref="Q432">_xlfn.IFS(P432&lt;=0.2,"Low Windspeed",P432&lt;0.4,"Medium Windspeed",P432&gt;=0.41,"High Windspeed")</f>
        <v>High Windspeed</v>
      </c>
      <c r="R432" s="36">
        <v>1</v>
      </c>
      <c r="S432" s="36">
        <v>27</v>
      </c>
      <c r="T432" s="37">
        <v>28</v>
      </c>
      <c r="U432" s="39" t="str" cm="1">
        <f t="array" ref="U432">_xlfn.IFS(T432&lt;=70,"Low",T432&lt;=160,"Medium",T432&gt;=161,"High")</f>
        <v>Low</v>
      </c>
    </row>
    <row r="433" spans="1:21" x14ac:dyDescent="0.25">
      <c r="A433" s="33">
        <v>432</v>
      </c>
      <c r="B433" s="34">
        <v>40563</v>
      </c>
      <c r="C433" s="35">
        <v>1</v>
      </c>
      <c r="D433" s="35">
        <v>0</v>
      </c>
      <c r="E433" s="35">
        <v>1</v>
      </c>
      <c r="F433" s="35">
        <v>0</v>
      </c>
      <c r="G433" s="35" t="str" cm="1">
        <f t="array" ref="G433">_xlfn.IFS(F433&lt;4,"Night",F433&lt;=6,"Early Morning",F433&lt;11,"Morning",F433&lt;12,"Afternoon",F433&lt;=16,"Afternoon",F433&lt;=20,"Evening",F433&gt;=21,"Night")</f>
        <v>Night</v>
      </c>
      <c r="H433" s="35" t="b">
        <v>0</v>
      </c>
      <c r="I433" s="35">
        <v>4</v>
      </c>
      <c r="J433" s="35">
        <v>1</v>
      </c>
      <c r="K433" s="31">
        <v>0.26</v>
      </c>
      <c r="L433" s="31" t="str" cm="1">
        <f t="array" ref="L433">_xlfn.IFS(K433&lt;0.15,"Cold",K433&lt;0.25,"Mild",K433&lt;=0.32,"Warm",K433&gt;=0.33,"Hot")</f>
        <v>Warm</v>
      </c>
      <c r="M433" s="36">
        <v>0.2273</v>
      </c>
      <c r="N433" s="36">
        <v>0.56000000000000005</v>
      </c>
      <c r="O433" s="36" t="str" cm="1">
        <f t="array" ref="O433">_xlfn.IFS(N433&gt;0.61, "High Humidity", N433&gt;=0.6, "Humid", N433&gt;0.4, "Less Humidity", TRUE, "Dry")</f>
        <v>Less Humidity</v>
      </c>
      <c r="P433" s="36">
        <v>0.3881</v>
      </c>
      <c r="Q433" s="36" t="str" cm="1">
        <f t="array" ref="Q433">_xlfn.IFS(P433&lt;=0.2,"Low Windspeed",P433&lt;0.4,"Medium Windspeed",P433&gt;=0.41,"High Windspeed")</f>
        <v>Medium Windspeed</v>
      </c>
      <c r="R433" s="36">
        <v>5</v>
      </c>
      <c r="S433" s="36">
        <v>8</v>
      </c>
      <c r="T433" s="37">
        <v>13</v>
      </c>
      <c r="U433" s="39" t="str" cm="1">
        <f t="array" ref="U433">_xlfn.IFS(T433&lt;=70,"Low",T433&lt;=160,"Medium",T433&gt;=161,"High")</f>
        <v>Low</v>
      </c>
    </row>
    <row r="434" spans="1:21" x14ac:dyDescent="0.25">
      <c r="A434" s="33">
        <v>433</v>
      </c>
      <c r="B434" s="34">
        <v>40563</v>
      </c>
      <c r="C434" s="35">
        <v>1</v>
      </c>
      <c r="D434" s="35">
        <v>0</v>
      </c>
      <c r="E434" s="35">
        <v>1</v>
      </c>
      <c r="F434" s="35">
        <v>1</v>
      </c>
      <c r="G434" s="35" t="str" cm="1">
        <f t="array" ref="G434">_xlfn.IFS(F434&lt;4,"Night",F434&lt;=6,"Early Morning",F434&lt;11,"Morning",F434&lt;12,"Afternoon",F434&lt;=16,"Afternoon",F434&lt;=20,"Evening",F434&gt;=21,"Night")</f>
        <v>Night</v>
      </c>
      <c r="H434" s="35" t="b">
        <v>0</v>
      </c>
      <c r="I434" s="35">
        <v>4</v>
      </c>
      <c r="J434" s="35">
        <v>1</v>
      </c>
      <c r="K434" s="31">
        <v>0.26</v>
      </c>
      <c r="L434" s="31" t="str" cm="1">
        <f t="array" ref="L434">_xlfn.IFS(K434&lt;0.15,"Cold",K434&lt;0.25,"Mild",K434&lt;=0.32,"Warm",K434&gt;=0.33,"Hot")</f>
        <v>Warm</v>
      </c>
      <c r="M434" s="36">
        <v>0.2727</v>
      </c>
      <c r="N434" s="36">
        <v>0.56000000000000005</v>
      </c>
      <c r="O434" s="36" t="str" cm="1">
        <f t="array" ref="O434">_xlfn.IFS(N434&gt;0.61, "High Humidity", N434&gt;=0.6, "Humid", N434&gt;0.4, "Less Humidity", TRUE, "Dry")</f>
        <v>Less Humidity</v>
      </c>
      <c r="P434" s="36">
        <v>0</v>
      </c>
      <c r="Q434" s="36" t="str" cm="1">
        <f t="array" ref="Q434">_xlfn.IFS(P434&lt;=0.2,"Low Windspeed",P434&lt;0.4,"Medium Windspeed",P434&gt;=0.41,"High Windspeed")</f>
        <v>Low Windspeed</v>
      </c>
      <c r="R434" s="36">
        <v>2</v>
      </c>
      <c r="S434" s="36">
        <v>3</v>
      </c>
      <c r="T434" s="37">
        <v>5</v>
      </c>
      <c r="U434" s="39" t="str" cm="1">
        <f t="array" ref="U434">_xlfn.IFS(T434&lt;=70,"Low",T434&lt;=160,"Medium",T434&gt;=161,"High")</f>
        <v>Low</v>
      </c>
    </row>
    <row r="435" spans="1:21" x14ac:dyDescent="0.25">
      <c r="A435" s="33">
        <v>434</v>
      </c>
      <c r="B435" s="34">
        <v>40563</v>
      </c>
      <c r="C435" s="35">
        <v>1</v>
      </c>
      <c r="D435" s="35">
        <v>0</v>
      </c>
      <c r="E435" s="35">
        <v>1</v>
      </c>
      <c r="F435" s="35">
        <v>2</v>
      </c>
      <c r="G435" s="35" t="str" cm="1">
        <f t="array" ref="G435">_xlfn.IFS(F435&lt;4,"Night",F435&lt;=6,"Early Morning",F435&lt;11,"Morning",F435&lt;12,"Afternoon",F435&lt;=16,"Afternoon",F435&lt;=20,"Evening",F435&gt;=21,"Night")</f>
        <v>Night</v>
      </c>
      <c r="H435" s="35" t="b">
        <v>0</v>
      </c>
      <c r="I435" s="35">
        <v>4</v>
      </c>
      <c r="J435" s="35">
        <v>1</v>
      </c>
      <c r="K435" s="31">
        <v>0.26</v>
      </c>
      <c r="L435" s="31" t="str" cm="1">
        <f t="array" ref="L435">_xlfn.IFS(K435&lt;0.15,"Cold",K435&lt;0.25,"Mild",K435&lt;=0.32,"Warm",K435&gt;=0.33,"Hot")</f>
        <v>Warm</v>
      </c>
      <c r="M435" s="36">
        <v>0.2727</v>
      </c>
      <c r="N435" s="36">
        <v>0.56000000000000005</v>
      </c>
      <c r="O435" s="36" t="str" cm="1">
        <f t="array" ref="O435">_xlfn.IFS(N435&gt;0.61, "High Humidity", N435&gt;=0.6, "Humid", N435&gt;0.4, "Less Humidity", TRUE, "Dry")</f>
        <v>Less Humidity</v>
      </c>
      <c r="P435" s="36">
        <v>0</v>
      </c>
      <c r="Q435" s="36" t="str" cm="1">
        <f t="array" ref="Q435">_xlfn.IFS(P435&lt;=0.2,"Low Windspeed",P435&lt;0.4,"Medium Windspeed",P435&gt;=0.41,"High Windspeed")</f>
        <v>Low Windspeed</v>
      </c>
      <c r="R435" s="36">
        <v>0</v>
      </c>
      <c r="S435" s="36">
        <v>2</v>
      </c>
      <c r="T435" s="37">
        <v>2</v>
      </c>
      <c r="U435" s="39" t="str" cm="1">
        <f t="array" ref="U435">_xlfn.IFS(T435&lt;=70,"Low",T435&lt;=160,"Medium",T435&gt;=161,"High")</f>
        <v>Low</v>
      </c>
    </row>
    <row r="436" spans="1:21" x14ac:dyDescent="0.25">
      <c r="A436" s="33">
        <v>435</v>
      </c>
      <c r="B436" s="34">
        <v>40563</v>
      </c>
      <c r="C436" s="35">
        <v>1</v>
      </c>
      <c r="D436" s="35">
        <v>0</v>
      </c>
      <c r="E436" s="35">
        <v>1</v>
      </c>
      <c r="F436" s="35">
        <v>3</v>
      </c>
      <c r="G436" s="35" t="str" cm="1">
        <f t="array" ref="G436">_xlfn.IFS(F436&lt;4,"Night",F436&lt;=6,"Early Morning",F436&lt;11,"Morning",F436&lt;12,"Afternoon",F436&lt;=16,"Afternoon",F436&lt;=20,"Evening",F436&gt;=21,"Night")</f>
        <v>Night</v>
      </c>
      <c r="H436" s="35" t="b">
        <v>0</v>
      </c>
      <c r="I436" s="35">
        <v>4</v>
      </c>
      <c r="J436" s="35">
        <v>1</v>
      </c>
      <c r="K436" s="31">
        <v>0.26</v>
      </c>
      <c r="L436" s="31" t="str" cm="1">
        <f t="array" ref="L436">_xlfn.IFS(K436&lt;0.15,"Cold",K436&lt;0.25,"Mild",K436&lt;=0.32,"Warm",K436&gt;=0.33,"Hot")</f>
        <v>Warm</v>
      </c>
      <c r="M436" s="36">
        <v>0.2576</v>
      </c>
      <c r="N436" s="36">
        <v>0.56000000000000005</v>
      </c>
      <c r="O436" s="36" t="str" cm="1">
        <f t="array" ref="O436">_xlfn.IFS(N436&gt;0.61, "High Humidity", N436&gt;=0.6, "Humid", N436&gt;0.4, "Less Humidity", TRUE, "Dry")</f>
        <v>Less Humidity</v>
      </c>
      <c r="P436" s="36">
        <v>0.16420000000000001</v>
      </c>
      <c r="Q436" s="36" t="str" cm="1">
        <f t="array" ref="Q436">_xlfn.IFS(P436&lt;=0.2,"Low Windspeed",P436&lt;0.4,"Medium Windspeed",P436&gt;=0.41,"High Windspeed")</f>
        <v>Low Windspeed</v>
      </c>
      <c r="R436" s="36">
        <v>0</v>
      </c>
      <c r="S436" s="36">
        <v>1</v>
      </c>
      <c r="T436" s="37">
        <v>1</v>
      </c>
      <c r="U436" s="39" t="str" cm="1">
        <f t="array" ref="U436">_xlfn.IFS(T436&lt;=70,"Low",T436&lt;=160,"Medium",T436&gt;=161,"High")</f>
        <v>Low</v>
      </c>
    </row>
    <row r="437" spans="1:21" x14ac:dyDescent="0.25">
      <c r="A437" s="33">
        <v>436</v>
      </c>
      <c r="B437" s="34">
        <v>40563</v>
      </c>
      <c r="C437" s="35">
        <v>1</v>
      </c>
      <c r="D437" s="35">
        <v>0</v>
      </c>
      <c r="E437" s="35">
        <v>1</v>
      </c>
      <c r="F437" s="35">
        <v>4</v>
      </c>
      <c r="G437" s="35" t="str" cm="1">
        <f t="array" ref="G437">_xlfn.IFS(F437&lt;4,"Night",F437&lt;=6,"Early Morning",F437&lt;11,"Morning",F437&lt;12,"Afternoon",F437&lt;=16,"Afternoon",F437&lt;=20,"Evening",F437&gt;=21,"Night")</f>
        <v>Early Morning</v>
      </c>
      <c r="H437" s="35" t="b">
        <v>0</v>
      </c>
      <c r="I437" s="35">
        <v>4</v>
      </c>
      <c r="J437" s="35">
        <v>1</v>
      </c>
      <c r="K437" s="31">
        <v>0.26</v>
      </c>
      <c r="L437" s="31" t="str" cm="1">
        <f t="array" ref="L437">_xlfn.IFS(K437&lt;0.15,"Cold",K437&lt;0.25,"Mild",K437&lt;=0.32,"Warm",K437&gt;=0.33,"Hot")</f>
        <v>Warm</v>
      </c>
      <c r="M437" s="36">
        <v>0.2576</v>
      </c>
      <c r="N437" s="36">
        <v>0.56000000000000005</v>
      </c>
      <c r="O437" s="36" t="str" cm="1">
        <f t="array" ref="O437">_xlfn.IFS(N437&gt;0.61, "High Humidity", N437&gt;=0.6, "Humid", N437&gt;0.4, "Less Humidity", TRUE, "Dry")</f>
        <v>Less Humidity</v>
      </c>
      <c r="P437" s="36">
        <v>0.16420000000000001</v>
      </c>
      <c r="Q437" s="36" t="str" cm="1">
        <f t="array" ref="Q437">_xlfn.IFS(P437&lt;=0.2,"Low Windspeed",P437&lt;0.4,"Medium Windspeed",P437&gt;=0.41,"High Windspeed")</f>
        <v>Low Windspeed</v>
      </c>
      <c r="R437" s="36">
        <v>0</v>
      </c>
      <c r="S437" s="36">
        <v>1</v>
      </c>
      <c r="T437" s="37">
        <v>1</v>
      </c>
      <c r="U437" s="39" t="str" cm="1">
        <f t="array" ref="U437">_xlfn.IFS(T437&lt;=70,"Low",T437&lt;=160,"Medium",T437&gt;=161,"High")</f>
        <v>Low</v>
      </c>
    </row>
    <row r="438" spans="1:21" x14ac:dyDescent="0.25">
      <c r="A438" s="33">
        <v>437</v>
      </c>
      <c r="B438" s="34">
        <v>40563</v>
      </c>
      <c r="C438" s="35">
        <v>1</v>
      </c>
      <c r="D438" s="35">
        <v>0</v>
      </c>
      <c r="E438" s="35">
        <v>1</v>
      </c>
      <c r="F438" s="35">
        <v>5</v>
      </c>
      <c r="G438" s="35" t="str" cm="1">
        <f t="array" ref="G438">_xlfn.IFS(F438&lt;4,"Night",F438&lt;=6,"Early Morning",F438&lt;11,"Morning",F438&lt;12,"Afternoon",F438&lt;=16,"Afternoon",F438&lt;=20,"Evening",F438&gt;=21,"Night")</f>
        <v>Early Morning</v>
      </c>
      <c r="H438" s="35" t="b">
        <v>0</v>
      </c>
      <c r="I438" s="35">
        <v>4</v>
      </c>
      <c r="J438" s="35">
        <v>1</v>
      </c>
      <c r="K438" s="31">
        <v>0.24</v>
      </c>
      <c r="L438" s="31" t="str" cm="1">
        <f t="array" ref="L438">_xlfn.IFS(K438&lt;0.15,"Cold",K438&lt;0.25,"Mild",K438&lt;=0.32,"Warm",K438&gt;=0.33,"Hot")</f>
        <v>Mild</v>
      </c>
      <c r="M438" s="36">
        <v>0.2273</v>
      </c>
      <c r="N438" s="36">
        <v>0.6</v>
      </c>
      <c r="O438" s="36" t="str" cm="1">
        <f t="array" ref="O438">_xlfn.IFS(N438&gt;0.61, "High Humidity", N438&gt;=0.6, "Humid", N438&gt;0.4, "Less Humidity", TRUE, "Dry")</f>
        <v>Humid</v>
      </c>
      <c r="P438" s="36">
        <v>0.22389999999999999</v>
      </c>
      <c r="Q438" s="36" t="str" cm="1">
        <f t="array" ref="Q438">_xlfn.IFS(P438&lt;=0.2,"Low Windspeed",P438&lt;0.4,"Medium Windspeed",P438&gt;=0.41,"High Windspeed")</f>
        <v>Medium Windspeed</v>
      </c>
      <c r="R438" s="36">
        <v>0</v>
      </c>
      <c r="S438" s="36">
        <v>6</v>
      </c>
      <c r="T438" s="37">
        <v>6</v>
      </c>
      <c r="U438" s="39" t="str" cm="1">
        <f t="array" ref="U438">_xlfn.IFS(T438&lt;=70,"Low",T438&lt;=160,"Medium",T438&gt;=161,"High")</f>
        <v>Low</v>
      </c>
    </row>
    <row r="439" spans="1:21" x14ac:dyDescent="0.25">
      <c r="A439" s="33">
        <v>438</v>
      </c>
      <c r="B439" s="34">
        <v>40563</v>
      </c>
      <c r="C439" s="35">
        <v>1</v>
      </c>
      <c r="D439" s="35">
        <v>0</v>
      </c>
      <c r="E439" s="35">
        <v>1</v>
      </c>
      <c r="F439" s="35">
        <v>6</v>
      </c>
      <c r="G439" s="35" t="str" cm="1">
        <f t="array" ref="G439">_xlfn.IFS(F439&lt;4,"Night",F439&lt;=6,"Early Morning",F439&lt;11,"Morning",F439&lt;12,"Afternoon",F439&lt;=16,"Afternoon",F439&lt;=20,"Evening",F439&gt;=21,"Night")</f>
        <v>Early Morning</v>
      </c>
      <c r="H439" s="35" t="b">
        <v>0</v>
      </c>
      <c r="I439" s="35">
        <v>4</v>
      </c>
      <c r="J439" s="35">
        <v>1</v>
      </c>
      <c r="K439" s="31">
        <v>0.22</v>
      </c>
      <c r="L439" s="31" t="str" cm="1">
        <f t="array" ref="L439">_xlfn.IFS(K439&lt;0.15,"Cold",K439&lt;0.25,"Mild",K439&lt;=0.32,"Warm",K439&gt;=0.33,"Hot")</f>
        <v>Mild</v>
      </c>
      <c r="M439" s="36">
        <v>0.21210000000000001</v>
      </c>
      <c r="N439" s="36">
        <v>0.6</v>
      </c>
      <c r="O439" s="36" t="str" cm="1">
        <f t="array" ref="O439">_xlfn.IFS(N439&gt;0.61, "High Humidity", N439&gt;=0.6, "Humid", N439&gt;0.4, "Less Humidity", TRUE, "Dry")</f>
        <v>Humid</v>
      </c>
      <c r="P439" s="36">
        <v>0.22389999999999999</v>
      </c>
      <c r="Q439" s="36" t="str" cm="1">
        <f t="array" ref="Q439">_xlfn.IFS(P439&lt;=0.2,"Low Windspeed",P439&lt;0.4,"Medium Windspeed",P439&gt;=0.41,"High Windspeed")</f>
        <v>Medium Windspeed</v>
      </c>
      <c r="R439" s="36">
        <v>0</v>
      </c>
      <c r="S439" s="36">
        <v>35</v>
      </c>
      <c r="T439" s="37">
        <v>35</v>
      </c>
      <c r="U439" s="39" t="str" cm="1">
        <f t="array" ref="U439">_xlfn.IFS(T439&lt;=70,"Low",T439&lt;=160,"Medium",T439&gt;=161,"High")</f>
        <v>Low</v>
      </c>
    </row>
    <row r="440" spans="1:21" x14ac:dyDescent="0.25">
      <c r="A440" s="33">
        <v>439</v>
      </c>
      <c r="B440" s="34">
        <v>40563</v>
      </c>
      <c r="C440" s="35">
        <v>1</v>
      </c>
      <c r="D440" s="35">
        <v>0</v>
      </c>
      <c r="E440" s="35">
        <v>1</v>
      </c>
      <c r="F440" s="35">
        <v>7</v>
      </c>
      <c r="G440" s="35" t="str" cm="1">
        <f t="array" ref="G440">_xlfn.IFS(F440&lt;4,"Night",F440&lt;=6,"Early Morning",F440&lt;11,"Morning",F440&lt;12,"Afternoon",F440&lt;=16,"Afternoon",F440&lt;=20,"Evening",F440&gt;=21,"Night")</f>
        <v>Morning</v>
      </c>
      <c r="H440" s="35" t="b">
        <v>0</v>
      </c>
      <c r="I440" s="35">
        <v>4</v>
      </c>
      <c r="J440" s="35">
        <v>1</v>
      </c>
      <c r="K440" s="31">
        <v>0.22</v>
      </c>
      <c r="L440" s="31" t="str" cm="1">
        <f t="array" ref="L440">_xlfn.IFS(K440&lt;0.15,"Cold",K440&lt;0.25,"Mild",K440&lt;=0.32,"Warm",K440&gt;=0.33,"Hot")</f>
        <v>Mild</v>
      </c>
      <c r="M440" s="36">
        <v>0.21210000000000001</v>
      </c>
      <c r="N440" s="36">
        <v>0.55000000000000004</v>
      </c>
      <c r="O440" s="36" t="str" cm="1">
        <f t="array" ref="O440">_xlfn.IFS(N440&gt;0.61, "High Humidity", N440&gt;=0.6, "Humid", N440&gt;0.4, "Less Humidity", TRUE, "Dry")</f>
        <v>Less Humidity</v>
      </c>
      <c r="P440" s="36">
        <v>0.22389999999999999</v>
      </c>
      <c r="Q440" s="36" t="str" cm="1">
        <f t="array" ref="Q440">_xlfn.IFS(P440&lt;=0.2,"Low Windspeed",P440&lt;0.4,"Medium Windspeed",P440&gt;=0.41,"High Windspeed")</f>
        <v>Medium Windspeed</v>
      </c>
      <c r="R440" s="36">
        <v>1</v>
      </c>
      <c r="S440" s="36">
        <v>100</v>
      </c>
      <c r="T440" s="37">
        <v>101</v>
      </c>
      <c r="U440" s="39" t="str" cm="1">
        <f t="array" ref="U440">_xlfn.IFS(T440&lt;=70,"Low",T440&lt;=160,"Medium",T440&gt;=161,"High")</f>
        <v>Medium</v>
      </c>
    </row>
    <row r="441" spans="1:21" x14ac:dyDescent="0.25">
      <c r="A441" s="33">
        <v>440</v>
      </c>
      <c r="B441" s="34">
        <v>40563</v>
      </c>
      <c r="C441" s="35">
        <v>1</v>
      </c>
      <c r="D441" s="35">
        <v>0</v>
      </c>
      <c r="E441" s="35">
        <v>1</v>
      </c>
      <c r="F441" s="35">
        <v>8</v>
      </c>
      <c r="G441" s="35" t="str" cm="1">
        <f t="array" ref="G441">_xlfn.IFS(F441&lt;4,"Night",F441&lt;=6,"Early Morning",F441&lt;11,"Morning",F441&lt;12,"Afternoon",F441&lt;=16,"Afternoon",F441&lt;=20,"Evening",F441&gt;=21,"Night")</f>
        <v>Morning</v>
      </c>
      <c r="H441" s="35" t="b">
        <v>0</v>
      </c>
      <c r="I441" s="35">
        <v>4</v>
      </c>
      <c r="J441" s="35">
        <v>1</v>
      </c>
      <c r="K441" s="31">
        <v>0.22</v>
      </c>
      <c r="L441" s="31" t="str" cm="1">
        <f t="array" ref="L441">_xlfn.IFS(K441&lt;0.15,"Cold",K441&lt;0.25,"Mild",K441&lt;=0.32,"Warm",K441&gt;=0.33,"Hot")</f>
        <v>Mild</v>
      </c>
      <c r="M441" s="36">
        <v>0.21210000000000001</v>
      </c>
      <c r="N441" s="36">
        <v>0.55000000000000004</v>
      </c>
      <c r="O441" s="36" t="str" cm="1">
        <f t="array" ref="O441">_xlfn.IFS(N441&gt;0.61, "High Humidity", N441&gt;=0.6, "Humid", N441&gt;0.4, "Less Humidity", TRUE, "Dry")</f>
        <v>Less Humidity</v>
      </c>
      <c r="P441" s="36">
        <v>0.28360000000000002</v>
      </c>
      <c r="Q441" s="36" t="str" cm="1">
        <f t="array" ref="Q441">_xlfn.IFS(P441&lt;=0.2,"Low Windspeed",P441&lt;0.4,"Medium Windspeed",P441&gt;=0.41,"High Windspeed")</f>
        <v>Medium Windspeed</v>
      </c>
      <c r="R441" s="36">
        <v>2</v>
      </c>
      <c r="S441" s="36">
        <v>247</v>
      </c>
      <c r="T441" s="37">
        <v>249</v>
      </c>
      <c r="U441" s="39" t="str" cm="1">
        <f t="array" ref="U441">_xlfn.IFS(T441&lt;=70,"Low",T441&lt;=160,"Medium",T441&gt;=161,"High")</f>
        <v>High</v>
      </c>
    </row>
    <row r="442" spans="1:21" x14ac:dyDescent="0.25">
      <c r="A442" s="33">
        <v>441</v>
      </c>
      <c r="B442" s="34">
        <v>40563</v>
      </c>
      <c r="C442" s="35">
        <v>1</v>
      </c>
      <c r="D442" s="35">
        <v>0</v>
      </c>
      <c r="E442" s="35">
        <v>1</v>
      </c>
      <c r="F442" s="35">
        <v>9</v>
      </c>
      <c r="G442" s="35" t="str" cm="1">
        <f t="array" ref="G442">_xlfn.IFS(F442&lt;4,"Night",F442&lt;=6,"Early Morning",F442&lt;11,"Morning",F442&lt;12,"Afternoon",F442&lt;=16,"Afternoon",F442&lt;=20,"Evening",F442&gt;=21,"Night")</f>
        <v>Morning</v>
      </c>
      <c r="H442" s="35" t="b">
        <v>0</v>
      </c>
      <c r="I442" s="35">
        <v>4</v>
      </c>
      <c r="J442" s="35">
        <v>2</v>
      </c>
      <c r="K442" s="31">
        <v>0.24</v>
      </c>
      <c r="L442" s="31" t="str" cm="1">
        <f t="array" ref="L442">_xlfn.IFS(K442&lt;0.15,"Cold",K442&lt;0.25,"Mild",K442&lt;=0.32,"Warm",K442&gt;=0.33,"Hot")</f>
        <v>Mild</v>
      </c>
      <c r="M442" s="36">
        <v>0.2273</v>
      </c>
      <c r="N442" s="36">
        <v>0.52</v>
      </c>
      <c r="O442" s="36" t="str" cm="1">
        <f t="array" ref="O442">_xlfn.IFS(N442&gt;0.61, "High Humidity", N442&gt;=0.6, "Humid", N442&gt;0.4, "Less Humidity", TRUE, "Dry")</f>
        <v>Less Humidity</v>
      </c>
      <c r="P442" s="36">
        <v>0.22389999999999999</v>
      </c>
      <c r="Q442" s="36" t="str" cm="1">
        <f t="array" ref="Q442">_xlfn.IFS(P442&lt;=0.2,"Low Windspeed",P442&lt;0.4,"Medium Windspeed",P442&gt;=0.41,"High Windspeed")</f>
        <v>Medium Windspeed</v>
      </c>
      <c r="R442" s="36">
        <v>3</v>
      </c>
      <c r="S442" s="36">
        <v>140</v>
      </c>
      <c r="T442" s="37">
        <v>143</v>
      </c>
      <c r="U442" s="39" t="str" cm="1">
        <f t="array" ref="U442">_xlfn.IFS(T442&lt;=70,"Low",T442&lt;=160,"Medium",T442&gt;=161,"High")</f>
        <v>Medium</v>
      </c>
    </row>
    <row r="443" spans="1:21" x14ac:dyDescent="0.25">
      <c r="A443" s="33">
        <v>442</v>
      </c>
      <c r="B443" s="34">
        <v>40563</v>
      </c>
      <c r="C443" s="35">
        <v>1</v>
      </c>
      <c r="D443" s="35">
        <v>0</v>
      </c>
      <c r="E443" s="35">
        <v>1</v>
      </c>
      <c r="F443" s="35">
        <v>10</v>
      </c>
      <c r="G443" s="35" t="str" cm="1">
        <f t="array" ref="G443">_xlfn.IFS(F443&lt;4,"Night",F443&lt;=6,"Early Morning",F443&lt;11,"Morning",F443&lt;12,"Afternoon",F443&lt;=16,"Afternoon",F443&lt;=20,"Evening",F443&gt;=21,"Night")</f>
        <v>Morning</v>
      </c>
      <c r="H443" s="35" t="b">
        <v>0</v>
      </c>
      <c r="I443" s="35">
        <v>4</v>
      </c>
      <c r="J443" s="35">
        <v>1</v>
      </c>
      <c r="K443" s="31">
        <v>0.26</v>
      </c>
      <c r="L443" s="31" t="str" cm="1">
        <f t="array" ref="L443">_xlfn.IFS(K443&lt;0.15,"Cold",K443&lt;0.25,"Mild",K443&lt;=0.32,"Warm",K443&gt;=0.33,"Hot")</f>
        <v>Warm</v>
      </c>
      <c r="M443" s="36">
        <v>0.2273</v>
      </c>
      <c r="N443" s="36">
        <v>0.48</v>
      </c>
      <c r="O443" s="36" t="str" cm="1">
        <f t="array" ref="O443">_xlfn.IFS(N443&gt;0.61, "High Humidity", N443&gt;=0.6, "Humid", N443&gt;0.4, "Less Humidity", TRUE, "Dry")</f>
        <v>Less Humidity</v>
      </c>
      <c r="P443" s="36">
        <v>0.29849999999999999</v>
      </c>
      <c r="Q443" s="36" t="str" cm="1">
        <f t="array" ref="Q443">_xlfn.IFS(P443&lt;=0.2,"Low Windspeed",P443&lt;0.4,"Medium Windspeed",P443&gt;=0.41,"High Windspeed")</f>
        <v>Medium Windspeed</v>
      </c>
      <c r="R443" s="36">
        <v>1</v>
      </c>
      <c r="S443" s="36">
        <v>56</v>
      </c>
      <c r="T443" s="37">
        <v>57</v>
      </c>
      <c r="U443" s="39" t="str" cm="1">
        <f t="array" ref="U443">_xlfn.IFS(T443&lt;=70,"Low",T443&lt;=160,"Medium",T443&gt;=161,"High")</f>
        <v>Low</v>
      </c>
    </row>
    <row r="444" spans="1:21" x14ac:dyDescent="0.25">
      <c r="A444" s="33">
        <v>443</v>
      </c>
      <c r="B444" s="34">
        <v>40563</v>
      </c>
      <c r="C444" s="35">
        <v>1</v>
      </c>
      <c r="D444" s="35">
        <v>0</v>
      </c>
      <c r="E444" s="35">
        <v>1</v>
      </c>
      <c r="F444" s="35">
        <v>11</v>
      </c>
      <c r="G444" s="35" t="str" cm="1">
        <f t="array" ref="G444">_xlfn.IFS(F444&lt;4,"Night",F444&lt;=6,"Early Morning",F444&lt;11,"Morning",F444&lt;12,"Afternoon",F444&lt;=16,"Afternoon",F444&lt;=20,"Evening",F444&gt;=21,"Night")</f>
        <v>Afternoon</v>
      </c>
      <c r="H444" s="35" t="b">
        <v>0</v>
      </c>
      <c r="I444" s="35">
        <v>4</v>
      </c>
      <c r="J444" s="35">
        <v>2</v>
      </c>
      <c r="K444" s="31">
        <v>0.28000000000000003</v>
      </c>
      <c r="L444" s="31" t="str" cm="1">
        <f t="array" ref="L444">_xlfn.IFS(K444&lt;0.15,"Cold",K444&lt;0.25,"Mild",K444&lt;=0.32,"Warm",K444&gt;=0.33,"Hot")</f>
        <v>Warm</v>
      </c>
      <c r="M444" s="36">
        <v>0.2727</v>
      </c>
      <c r="N444" s="36">
        <v>0.45</v>
      </c>
      <c r="O444" s="36" t="str" cm="1">
        <f t="array" ref="O444">_xlfn.IFS(N444&gt;0.61, "High Humidity", N444&gt;=0.6, "Humid", N444&gt;0.4, "Less Humidity", TRUE, "Dry")</f>
        <v>Less Humidity</v>
      </c>
      <c r="P444" s="36">
        <v>0.16420000000000001</v>
      </c>
      <c r="Q444" s="36" t="str" cm="1">
        <f t="array" ref="Q444">_xlfn.IFS(P444&lt;=0.2,"Low Windspeed",P444&lt;0.4,"Medium Windspeed",P444&gt;=0.41,"High Windspeed")</f>
        <v>Low Windspeed</v>
      </c>
      <c r="R444" s="36">
        <v>5</v>
      </c>
      <c r="S444" s="36">
        <v>63</v>
      </c>
      <c r="T444" s="37">
        <v>68</v>
      </c>
      <c r="U444" s="39" t="str" cm="1">
        <f t="array" ref="U444">_xlfn.IFS(T444&lt;=70,"Low",T444&lt;=160,"Medium",T444&gt;=161,"High")</f>
        <v>Low</v>
      </c>
    </row>
    <row r="445" spans="1:21" x14ac:dyDescent="0.25">
      <c r="A445" s="33">
        <v>444</v>
      </c>
      <c r="B445" s="34">
        <v>40563</v>
      </c>
      <c r="C445" s="35">
        <v>1</v>
      </c>
      <c r="D445" s="35">
        <v>0</v>
      </c>
      <c r="E445" s="35">
        <v>1</v>
      </c>
      <c r="F445" s="35">
        <v>12</v>
      </c>
      <c r="G445" s="35" t="str" cm="1">
        <f t="array" ref="G445">_xlfn.IFS(F445&lt;4,"Night",F445&lt;=6,"Early Morning",F445&lt;11,"Morning",F445&lt;12,"Afternoon",F445&lt;=16,"Afternoon",F445&lt;=20,"Evening",F445&gt;=21,"Night")</f>
        <v>Afternoon</v>
      </c>
      <c r="H445" s="35" t="b">
        <v>0</v>
      </c>
      <c r="I445" s="35">
        <v>4</v>
      </c>
      <c r="J445" s="35">
        <v>2</v>
      </c>
      <c r="K445" s="31">
        <v>0.3</v>
      </c>
      <c r="L445" s="31" t="str" cm="1">
        <f t="array" ref="L445">_xlfn.IFS(K445&lt;0.15,"Cold",K445&lt;0.25,"Mild",K445&lt;=0.32,"Warm",K445&gt;=0.33,"Hot")</f>
        <v>Warm</v>
      </c>
      <c r="M445" s="36">
        <v>0.33329999999999999</v>
      </c>
      <c r="N445" s="36">
        <v>0.42</v>
      </c>
      <c r="O445" s="36" t="str" cm="1">
        <f t="array" ref="O445">_xlfn.IFS(N445&gt;0.61, "High Humidity", N445&gt;=0.6, "Humid", N445&gt;0.4, "Less Humidity", TRUE, "Dry")</f>
        <v>Less Humidity</v>
      </c>
      <c r="P445" s="36">
        <v>0</v>
      </c>
      <c r="Q445" s="36" t="str" cm="1">
        <f t="array" ref="Q445">_xlfn.IFS(P445&lt;=0.2,"Low Windspeed",P445&lt;0.4,"Medium Windspeed",P445&gt;=0.41,"High Windspeed")</f>
        <v>Low Windspeed</v>
      </c>
      <c r="R445" s="36">
        <v>7</v>
      </c>
      <c r="S445" s="36">
        <v>77</v>
      </c>
      <c r="T445" s="37">
        <v>84</v>
      </c>
      <c r="U445" s="39" t="str" cm="1">
        <f t="array" ref="U445">_xlfn.IFS(T445&lt;=70,"Low",T445&lt;=160,"Medium",T445&gt;=161,"High")</f>
        <v>Medium</v>
      </c>
    </row>
    <row r="446" spans="1:21" x14ac:dyDescent="0.25">
      <c r="A446" s="33">
        <v>445</v>
      </c>
      <c r="B446" s="34">
        <v>40563</v>
      </c>
      <c r="C446" s="35">
        <v>1</v>
      </c>
      <c r="D446" s="35">
        <v>0</v>
      </c>
      <c r="E446" s="35">
        <v>1</v>
      </c>
      <c r="F446" s="35">
        <v>13</v>
      </c>
      <c r="G446" s="35" t="str" cm="1">
        <f t="array" ref="G446">_xlfn.IFS(F446&lt;4,"Night",F446&lt;=6,"Early Morning",F446&lt;11,"Morning",F446&lt;12,"Afternoon",F446&lt;=16,"Afternoon",F446&lt;=20,"Evening",F446&gt;=21,"Night")</f>
        <v>Afternoon</v>
      </c>
      <c r="H446" s="35" t="b">
        <v>0</v>
      </c>
      <c r="I446" s="35">
        <v>4</v>
      </c>
      <c r="J446" s="35">
        <v>2</v>
      </c>
      <c r="K446" s="31">
        <v>0.28000000000000003</v>
      </c>
      <c r="L446" s="31" t="str" cm="1">
        <f t="array" ref="L446">_xlfn.IFS(K446&lt;0.15,"Cold",K446&lt;0.25,"Mild",K446&lt;=0.32,"Warm",K446&gt;=0.33,"Hot")</f>
        <v>Warm</v>
      </c>
      <c r="M446" s="36">
        <v>0.28789999999999999</v>
      </c>
      <c r="N446" s="36">
        <v>0.45</v>
      </c>
      <c r="O446" s="36" t="str" cm="1">
        <f t="array" ref="O446">_xlfn.IFS(N446&gt;0.61, "High Humidity", N446&gt;=0.6, "Humid", N446&gt;0.4, "Less Humidity", TRUE, "Dry")</f>
        <v>Less Humidity</v>
      </c>
      <c r="P446" s="36">
        <v>0.1045</v>
      </c>
      <c r="Q446" s="36" t="str" cm="1">
        <f t="array" ref="Q446">_xlfn.IFS(P446&lt;=0.2,"Low Windspeed",P446&lt;0.4,"Medium Windspeed",P446&gt;=0.41,"High Windspeed")</f>
        <v>Low Windspeed</v>
      </c>
      <c r="R446" s="36">
        <v>12</v>
      </c>
      <c r="S446" s="36">
        <v>86</v>
      </c>
      <c r="T446" s="37">
        <v>98</v>
      </c>
      <c r="U446" s="39" t="str" cm="1">
        <f t="array" ref="U446">_xlfn.IFS(T446&lt;=70,"Low",T446&lt;=160,"Medium",T446&gt;=161,"High")</f>
        <v>Medium</v>
      </c>
    </row>
    <row r="447" spans="1:21" x14ac:dyDescent="0.25">
      <c r="A447" s="33">
        <v>446</v>
      </c>
      <c r="B447" s="34">
        <v>40563</v>
      </c>
      <c r="C447" s="35">
        <v>1</v>
      </c>
      <c r="D447" s="35">
        <v>0</v>
      </c>
      <c r="E447" s="35">
        <v>1</v>
      </c>
      <c r="F447" s="35">
        <v>14</v>
      </c>
      <c r="G447" s="35" t="str" cm="1">
        <f t="array" ref="G447">_xlfn.IFS(F447&lt;4,"Night",F447&lt;=6,"Early Morning",F447&lt;11,"Morning",F447&lt;12,"Afternoon",F447&lt;=16,"Afternoon",F447&lt;=20,"Evening",F447&gt;=21,"Night")</f>
        <v>Afternoon</v>
      </c>
      <c r="H447" s="35" t="b">
        <v>0</v>
      </c>
      <c r="I447" s="35">
        <v>4</v>
      </c>
      <c r="J447" s="35">
        <v>2</v>
      </c>
      <c r="K447" s="31">
        <v>0.3</v>
      </c>
      <c r="L447" s="31" t="str" cm="1">
        <f t="array" ref="L447">_xlfn.IFS(K447&lt;0.15,"Cold",K447&lt;0.25,"Mild",K447&lt;=0.32,"Warm",K447&gt;=0.33,"Hot")</f>
        <v>Warm</v>
      </c>
      <c r="M447" s="36">
        <v>0.30299999999999999</v>
      </c>
      <c r="N447" s="36">
        <v>0.45</v>
      </c>
      <c r="O447" s="36" t="str" cm="1">
        <f t="array" ref="O447">_xlfn.IFS(N447&gt;0.61, "High Humidity", N447&gt;=0.6, "Humid", N447&gt;0.4, "Less Humidity", TRUE, "Dry")</f>
        <v>Less Humidity</v>
      </c>
      <c r="P447" s="36">
        <v>0.1343</v>
      </c>
      <c r="Q447" s="36" t="str" cm="1">
        <f t="array" ref="Q447">_xlfn.IFS(P447&lt;=0.2,"Low Windspeed",P447&lt;0.4,"Medium Windspeed",P447&gt;=0.41,"High Windspeed")</f>
        <v>Low Windspeed</v>
      </c>
      <c r="R447" s="36">
        <v>6</v>
      </c>
      <c r="S447" s="36">
        <v>75</v>
      </c>
      <c r="T447" s="37">
        <v>81</v>
      </c>
      <c r="U447" s="39" t="str" cm="1">
        <f t="array" ref="U447">_xlfn.IFS(T447&lt;=70,"Low",T447&lt;=160,"Medium",T447&gt;=161,"High")</f>
        <v>Medium</v>
      </c>
    </row>
    <row r="448" spans="1:21" x14ac:dyDescent="0.25">
      <c r="A448" s="33">
        <v>447</v>
      </c>
      <c r="B448" s="34">
        <v>40563</v>
      </c>
      <c r="C448" s="35">
        <v>1</v>
      </c>
      <c r="D448" s="35">
        <v>0</v>
      </c>
      <c r="E448" s="35">
        <v>1</v>
      </c>
      <c r="F448" s="35">
        <v>15</v>
      </c>
      <c r="G448" s="35" t="str" cm="1">
        <f t="array" ref="G448">_xlfn.IFS(F448&lt;4,"Night",F448&lt;=6,"Early Morning",F448&lt;11,"Morning",F448&lt;12,"Afternoon",F448&lt;=16,"Afternoon",F448&lt;=20,"Evening",F448&gt;=21,"Night")</f>
        <v>Afternoon</v>
      </c>
      <c r="H448" s="35" t="b">
        <v>0</v>
      </c>
      <c r="I448" s="35">
        <v>4</v>
      </c>
      <c r="J448" s="35">
        <v>2</v>
      </c>
      <c r="K448" s="31">
        <v>0.32</v>
      </c>
      <c r="L448" s="31" t="str" cm="1">
        <f t="array" ref="L448">_xlfn.IFS(K448&lt;0.15,"Cold",K448&lt;0.25,"Mild",K448&lt;=0.32,"Warm",K448&gt;=0.33,"Hot")</f>
        <v>Warm</v>
      </c>
      <c r="M448" s="36">
        <v>0.31819999999999998</v>
      </c>
      <c r="N448" s="36">
        <v>0.45</v>
      </c>
      <c r="O448" s="36" t="str" cm="1">
        <f t="array" ref="O448">_xlfn.IFS(N448&gt;0.61, "High Humidity", N448&gt;=0.6, "Humid", N448&gt;0.4, "Less Humidity", TRUE, "Dry")</f>
        <v>Less Humidity</v>
      </c>
      <c r="P448" s="36">
        <v>0.19400000000000001</v>
      </c>
      <c r="Q448" s="36" t="str" cm="1">
        <f t="array" ref="Q448">_xlfn.IFS(P448&lt;=0.2,"Low Windspeed",P448&lt;0.4,"Medium Windspeed",P448&gt;=0.41,"High Windspeed")</f>
        <v>Low Windspeed</v>
      </c>
      <c r="R448" s="36">
        <v>8</v>
      </c>
      <c r="S448" s="36">
        <v>62</v>
      </c>
      <c r="T448" s="37">
        <v>70</v>
      </c>
      <c r="U448" s="39" t="str" cm="1">
        <f t="array" ref="U448">_xlfn.IFS(T448&lt;=70,"Low",T448&lt;=160,"Medium",T448&gt;=161,"High")</f>
        <v>Low</v>
      </c>
    </row>
    <row r="449" spans="1:21" x14ac:dyDescent="0.25">
      <c r="A449" s="33">
        <v>448</v>
      </c>
      <c r="B449" s="34">
        <v>40563</v>
      </c>
      <c r="C449" s="35">
        <v>1</v>
      </c>
      <c r="D449" s="35">
        <v>0</v>
      </c>
      <c r="E449" s="35">
        <v>1</v>
      </c>
      <c r="F449" s="35">
        <v>16</v>
      </c>
      <c r="G449" s="35" t="str" cm="1">
        <f t="array" ref="G449">_xlfn.IFS(F449&lt;4,"Night",F449&lt;=6,"Early Morning",F449&lt;11,"Morning",F449&lt;12,"Afternoon",F449&lt;=16,"Afternoon",F449&lt;=20,"Evening",F449&gt;=21,"Night")</f>
        <v>Afternoon</v>
      </c>
      <c r="H449" s="35" t="b">
        <v>0</v>
      </c>
      <c r="I449" s="35">
        <v>4</v>
      </c>
      <c r="J449" s="35">
        <v>2</v>
      </c>
      <c r="K449" s="31">
        <v>0.3</v>
      </c>
      <c r="L449" s="31" t="str" cm="1">
        <f t="array" ref="L449">_xlfn.IFS(K449&lt;0.15,"Cold",K449&lt;0.25,"Mild",K449&lt;=0.32,"Warm",K449&gt;=0.33,"Hot")</f>
        <v>Warm</v>
      </c>
      <c r="M449" s="36">
        <v>0.30299999999999999</v>
      </c>
      <c r="N449" s="36">
        <v>0.49</v>
      </c>
      <c r="O449" s="36" t="str" cm="1">
        <f t="array" ref="O449">_xlfn.IFS(N449&gt;0.61, "High Humidity", N449&gt;=0.6, "Humid", N449&gt;0.4, "Less Humidity", TRUE, "Dry")</f>
        <v>Less Humidity</v>
      </c>
      <c r="P449" s="36">
        <v>0.1343</v>
      </c>
      <c r="Q449" s="36" t="str" cm="1">
        <f t="array" ref="Q449">_xlfn.IFS(P449&lt;=0.2,"Low Windspeed",P449&lt;0.4,"Medium Windspeed",P449&gt;=0.41,"High Windspeed")</f>
        <v>Low Windspeed</v>
      </c>
      <c r="R449" s="36">
        <v>8</v>
      </c>
      <c r="S449" s="36">
        <v>83</v>
      </c>
      <c r="T449" s="37">
        <v>91</v>
      </c>
      <c r="U449" s="39" t="str" cm="1">
        <f t="array" ref="U449">_xlfn.IFS(T449&lt;=70,"Low",T449&lt;=160,"Medium",T449&gt;=161,"High")</f>
        <v>Medium</v>
      </c>
    </row>
    <row r="450" spans="1:21" x14ac:dyDescent="0.25">
      <c r="A450" s="33">
        <v>449</v>
      </c>
      <c r="B450" s="34">
        <v>40563</v>
      </c>
      <c r="C450" s="35">
        <v>1</v>
      </c>
      <c r="D450" s="35">
        <v>0</v>
      </c>
      <c r="E450" s="35">
        <v>1</v>
      </c>
      <c r="F450" s="35">
        <v>17</v>
      </c>
      <c r="G450" s="35" t="str" cm="1">
        <f t="array" ref="G450">_xlfn.IFS(F450&lt;4,"Night",F450&lt;=6,"Early Morning",F450&lt;11,"Morning",F450&lt;12,"Afternoon",F450&lt;=16,"Afternoon",F450&lt;=20,"Evening",F450&gt;=21,"Night")</f>
        <v>Evening</v>
      </c>
      <c r="H450" s="35" t="b">
        <v>0</v>
      </c>
      <c r="I450" s="35">
        <v>4</v>
      </c>
      <c r="J450" s="35">
        <v>2</v>
      </c>
      <c r="K450" s="31">
        <v>0.3</v>
      </c>
      <c r="L450" s="31" t="str" cm="1">
        <f t="array" ref="L450">_xlfn.IFS(K450&lt;0.15,"Cold",K450&lt;0.25,"Mild",K450&lt;=0.32,"Warm",K450&gt;=0.33,"Hot")</f>
        <v>Warm</v>
      </c>
      <c r="M450" s="36">
        <v>0.31819999999999998</v>
      </c>
      <c r="N450" s="36">
        <v>0.49</v>
      </c>
      <c r="O450" s="36" t="str" cm="1">
        <f t="array" ref="O450">_xlfn.IFS(N450&gt;0.61, "High Humidity", N450&gt;=0.6, "Humid", N450&gt;0.4, "Less Humidity", TRUE, "Dry")</f>
        <v>Less Humidity</v>
      </c>
      <c r="P450" s="36">
        <v>0.1045</v>
      </c>
      <c r="Q450" s="36" t="str" cm="1">
        <f t="array" ref="Q450">_xlfn.IFS(P450&lt;=0.2,"Low Windspeed",P450&lt;0.4,"Medium Windspeed",P450&gt;=0.41,"High Windspeed")</f>
        <v>Low Windspeed</v>
      </c>
      <c r="R450" s="36">
        <v>8</v>
      </c>
      <c r="S450" s="36">
        <v>207</v>
      </c>
      <c r="T450" s="37">
        <v>215</v>
      </c>
      <c r="U450" s="39" t="str" cm="1">
        <f t="array" ref="U450">_xlfn.IFS(T450&lt;=70,"Low",T450&lt;=160,"Medium",T450&gt;=161,"High")</f>
        <v>High</v>
      </c>
    </row>
    <row r="451" spans="1:21" x14ac:dyDescent="0.25">
      <c r="A451" s="33">
        <v>450</v>
      </c>
      <c r="B451" s="34">
        <v>40563</v>
      </c>
      <c r="C451" s="35">
        <v>1</v>
      </c>
      <c r="D451" s="35">
        <v>0</v>
      </c>
      <c r="E451" s="35">
        <v>1</v>
      </c>
      <c r="F451" s="35">
        <v>18</v>
      </c>
      <c r="G451" s="35" t="str" cm="1">
        <f t="array" ref="G451">_xlfn.IFS(F451&lt;4,"Night",F451&lt;=6,"Early Morning",F451&lt;11,"Morning",F451&lt;12,"Afternoon",F451&lt;=16,"Afternoon",F451&lt;=20,"Evening",F451&gt;=21,"Night")</f>
        <v>Evening</v>
      </c>
      <c r="H451" s="35" t="b">
        <v>0</v>
      </c>
      <c r="I451" s="35">
        <v>4</v>
      </c>
      <c r="J451" s="35">
        <v>2</v>
      </c>
      <c r="K451" s="31">
        <v>0.26</v>
      </c>
      <c r="L451" s="31" t="str" cm="1">
        <f t="array" ref="L451">_xlfn.IFS(K451&lt;0.15,"Cold",K451&lt;0.25,"Mild",K451&lt;=0.32,"Warm",K451&gt;=0.33,"Hot")</f>
        <v>Warm</v>
      </c>
      <c r="M451" s="36">
        <v>0.2576</v>
      </c>
      <c r="N451" s="36">
        <v>0.56000000000000005</v>
      </c>
      <c r="O451" s="36" t="str" cm="1">
        <f t="array" ref="O451">_xlfn.IFS(N451&gt;0.61, "High Humidity", N451&gt;=0.6, "Humid", N451&gt;0.4, "Less Humidity", TRUE, "Dry")</f>
        <v>Less Humidity</v>
      </c>
      <c r="P451" s="36">
        <v>0.19400000000000001</v>
      </c>
      <c r="Q451" s="36" t="str" cm="1">
        <f t="array" ref="Q451">_xlfn.IFS(P451&lt;=0.2,"Low Windspeed",P451&lt;0.4,"Medium Windspeed",P451&gt;=0.41,"High Windspeed")</f>
        <v>Low Windspeed</v>
      </c>
      <c r="R451" s="36">
        <v>1</v>
      </c>
      <c r="S451" s="36">
        <v>184</v>
      </c>
      <c r="T451" s="37">
        <v>185</v>
      </c>
      <c r="U451" s="39" t="str" cm="1">
        <f t="array" ref="U451">_xlfn.IFS(T451&lt;=70,"Low",T451&lt;=160,"Medium",T451&gt;=161,"High")</f>
        <v>High</v>
      </c>
    </row>
    <row r="452" spans="1:21" x14ac:dyDescent="0.25">
      <c r="A452" s="33">
        <v>451</v>
      </c>
      <c r="B452" s="34">
        <v>40563</v>
      </c>
      <c r="C452" s="35">
        <v>1</v>
      </c>
      <c r="D452" s="35">
        <v>0</v>
      </c>
      <c r="E452" s="35">
        <v>1</v>
      </c>
      <c r="F452" s="35">
        <v>19</v>
      </c>
      <c r="G452" s="35" t="str" cm="1">
        <f t="array" ref="G452">_xlfn.IFS(F452&lt;4,"Night",F452&lt;=6,"Early Morning",F452&lt;11,"Morning",F452&lt;12,"Afternoon",F452&lt;=16,"Afternoon",F452&lt;=20,"Evening",F452&gt;=21,"Night")</f>
        <v>Evening</v>
      </c>
      <c r="H452" s="35" t="b">
        <v>0</v>
      </c>
      <c r="I452" s="35">
        <v>4</v>
      </c>
      <c r="J452" s="35">
        <v>1</v>
      </c>
      <c r="K452" s="31">
        <v>0.26</v>
      </c>
      <c r="L452" s="31" t="str" cm="1">
        <f t="array" ref="L452">_xlfn.IFS(K452&lt;0.15,"Cold",K452&lt;0.25,"Mild",K452&lt;=0.32,"Warm",K452&gt;=0.33,"Hot")</f>
        <v>Warm</v>
      </c>
      <c r="M452" s="36">
        <v>0.2273</v>
      </c>
      <c r="N452" s="36">
        <v>0.56000000000000005</v>
      </c>
      <c r="O452" s="36" t="str" cm="1">
        <f t="array" ref="O452">_xlfn.IFS(N452&gt;0.61, "High Humidity", N452&gt;=0.6, "Humid", N452&gt;0.4, "Less Humidity", TRUE, "Dry")</f>
        <v>Less Humidity</v>
      </c>
      <c r="P452" s="36">
        <v>0.32840000000000003</v>
      </c>
      <c r="Q452" s="36" t="str" cm="1">
        <f t="array" ref="Q452">_xlfn.IFS(P452&lt;=0.2,"Low Windspeed",P452&lt;0.4,"Medium Windspeed",P452&gt;=0.41,"High Windspeed")</f>
        <v>Medium Windspeed</v>
      </c>
      <c r="R452" s="36">
        <v>6</v>
      </c>
      <c r="S452" s="36">
        <v>146</v>
      </c>
      <c r="T452" s="37">
        <v>152</v>
      </c>
      <c r="U452" s="39" t="str" cm="1">
        <f t="array" ref="U452">_xlfn.IFS(T452&lt;=70,"Low",T452&lt;=160,"Medium",T452&gt;=161,"High")</f>
        <v>Medium</v>
      </c>
    </row>
    <row r="453" spans="1:21" x14ac:dyDescent="0.25">
      <c r="A453" s="33">
        <v>452</v>
      </c>
      <c r="B453" s="34">
        <v>40563</v>
      </c>
      <c r="C453" s="35">
        <v>1</v>
      </c>
      <c r="D453" s="35">
        <v>0</v>
      </c>
      <c r="E453" s="35">
        <v>1</v>
      </c>
      <c r="F453" s="35">
        <v>20</v>
      </c>
      <c r="G453" s="35" t="str" cm="1">
        <f t="array" ref="G453">_xlfn.IFS(F453&lt;4,"Night",F453&lt;=6,"Early Morning",F453&lt;11,"Morning",F453&lt;12,"Afternoon",F453&lt;=16,"Afternoon",F453&lt;=20,"Evening",F453&gt;=21,"Night")</f>
        <v>Evening</v>
      </c>
      <c r="H453" s="35" t="b">
        <v>0</v>
      </c>
      <c r="I453" s="35">
        <v>4</v>
      </c>
      <c r="J453" s="35">
        <v>2</v>
      </c>
      <c r="K453" s="31">
        <v>0.26</v>
      </c>
      <c r="L453" s="31" t="str" cm="1">
        <f t="array" ref="L453">_xlfn.IFS(K453&lt;0.15,"Cold",K453&lt;0.25,"Mild",K453&lt;=0.32,"Warm",K453&gt;=0.33,"Hot")</f>
        <v>Warm</v>
      </c>
      <c r="M453" s="36">
        <v>0.2424</v>
      </c>
      <c r="N453" s="36">
        <v>0.6</v>
      </c>
      <c r="O453" s="36" t="str" cm="1">
        <f t="array" ref="O453">_xlfn.IFS(N453&gt;0.61, "High Humidity", N453&gt;=0.6, "Humid", N453&gt;0.4, "Less Humidity", TRUE, "Dry")</f>
        <v>Humid</v>
      </c>
      <c r="P453" s="36">
        <v>0.28360000000000002</v>
      </c>
      <c r="Q453" s="36" t="str" cm="1">
        <f t="array" ref="Q453">_xlfn.IFS(P453&lt;=0.2,"Low Windspeed",P453&lt;0.4,"Medium Windspeed",P453&gt;=0.41,"High Windspeed")</f>
        <v>Medium Windspeed</v>
      </c>
      <c r="R453" s="36">
        <v>2</v>
      </c>
      <c r="S453" s="36">
        <v>124</v>
      </c>
      <c r="T453" s="37">
        <v>126</v>
      </c>
      <c r="U453" s="39" t="str" cm="1">
        <f t="array" ref="U453">_xlfn.IFS(T453&lt;=70,"Low",T453&lt;=160,"Medium",T453&gt;=161,"High")</f>
        <v>Medium</v>
      </c>
    </row>
    <row r="454" spans="1:21" x14ac:dyDescent="0.25">
      <c r="A454" s="33">
        <v>453</v>
      </c>
      <c r="B454" s="34">
        <v>40563</v>
      </c>
      <c r="C454" s="35">
        <v>1</v>
      </c>
      <c r="D454" s="35">
        <v>0</v>
      </c>
      <c r="E454" s="35">
        <v>1</v>
      </c>
      <c r="F454" s="35">
        <v>21</v>
      </c>
      <c r="G454" s="35" t="str" cm="1">
        <f t="array" ref="G454">_xlfn.IFS(F454&lt;4,"Night",F454&lt;=6,"Early Morning",F454&lt;11,"Morning",F454&lt;12,"Afternoon",F454&lt;=16,"Afternoon",F454&lt;=20,"Evening",F454&gt;=21,"Night")</f>
        <v>Night</v>
      </c>
      <c r="H454" s="35" t="b">
        <v>0</v>
      </c>
      <c r="I454" s="35">
        <v>4</v>
      </c>
      <c r="J454" s="35">
        <v>2</v>
      </c>
      <c r="K454" s="31">
        <v>0.24</v>
      </c>
      <c r="L454" s="31" t="str" cm="1">
        <f t="array" ref="L454">_xlfn.IFS(K454&lt;0.15,"Cold",K454&lt;0.25,"Mild",K454&lt;=0.32,"Warm",K454&gt;=0.33,"Hot")</f>
        <v>Mild</v>
      </c>
      <c r="M454" s="36">
        <v>0.2273</v>
      </c>
      <c r="N454" s="36">
        <v>0.6</v>
      </c>
      <c r="O454" s="36" t="str" cm="1">
        <f t="array" ref="O454">_xlfn.IFS(N454&gt;0.61, "High Humidity", N454&gt;=0.6, "Humid", N454&gt;0.4, "Less Humidity", TRUE, "Dry")</f>
        <v>Humid</v>
      </c>
      <c r="P454" s="36">
        <v>0.25369999999999998</v>
      </c>
      <c r="Q454" s="36" t="str" cm="1">
        <f t="array" ref="Q454">_xlfn.IFS(P454&lt;=0.2,"Low Windspeed",P454&lt;0.4,"Medium Windspeed",P454&gt;=0.41,"High Windspeed")</f>
        <v>Medium Windspeed</v>
      </c>
      <c r="R454" s="36">
        <v>3</v>
      </c>
      <c r="S454" s="36">
        <v>54</v>
      </c>
      <c r="T454" s="37">
        <v>57</v>
      </c>
      <c r="U454" s="39" t="str" cm="1">
        <f t="array" ref="U454">_xlfn.IFS(T454&lt;=70,"Low",T454&lt;=160,"Medium",T454&gt;=161,"High")</f>
        <v>Low</v>
      </c>
    </row>
    <row r="455" spans="1:21" x14ac:dyDescent="0.25">
      <c r="A455" s="33">
        <v>454</v>
      </c>
      <c r="B455" s="34">
        <v>40563</v>
      </c>
      <c r="C455" s="35">
        <v>1</v>
      </c>
      <c r="D455" s="35">
        <v>0</v>
      </c>
      <c r="E455" s="35">
        <v>1</v>
      </c>
      <c r="F455" s="35">
        <v>22</v>
      </c>
      <c r="G455" s="35" t="str" cm="1">
        <f t="array" ref="G455">_xlfn.IFS(F455&lt;4,"Night",F455&lt;=6,"Early Morning",F455&lt;11,"Morning",F455&lt;12,"Afternoon",F455&lt;=16,"Afternoon",F455&lt;=20,"Evening",F455&gt;=21,"Night")</f>
        <v>Night</v>
      </c>
      <c r="H455" s="35" t="b">
        <v>0</v>
      </c>
      <c r="I455" s="35">
        <v>4</v>
      </c>
      <c r="J455" s="35">
        <v>2</v>
      </c>
      <c r="K455" s="31">
        <v>0.24</v>
      </c>
      <c r="L455" s="31" t="str" cm="1">
        <f t="array" ref="L455">_xlfn.IFS(K455&lt;0.15,"Cold",K455&lt;0.25,"Mild",K455&lt;=0.32,"Warm",K455&gt;=0.33,"Hot")</f>
        <v>Mild</v>
      </c>
      <c r="M455" s="36">
        <v>0.21210000000000001</v>
      </c>
      <c r="N455" s="36">
        <v>0.65</v>
      </c>
      <c r="O455" s="36" t="str" cm="1">
        <f t="array" ref="O455">_xlfn.IFS(N455&gt;0.61, "High Humidity", N455&gt;=0.6, "Humid", N455&gt;0.4, "Less Humidity", TRUE, "Dry")</f>
        <v>High Humidity</v>
      </c>
      <c r="P455" s="36">
        <v>0.28360000000000002</v>
      </c>
      <c r="Q455" s="36" t="str" cm="1">
        <f t="array" ref="Q455">_xlfn.IFS(P455&lt;=0.2,"Low Windspeed",P455&lt;0.4,"Medium Windspeed",P455&gt;=0.41,"High Windspeed")</f>
        <v>Medium Windspeed</v>
      </c>
      <c r="R455" s="36">
        <v>0</v>
      </c>
      <c r="S455" s="36">
        <v>56</v>
      </c>
      <c r="T455" s="37">
        <v>56</v>
      </c>
      <c r="U455" s="39" t="str" cm="1">
        <f t="array" ref="U455">_xlfn.IFS(T455&lt;=70,"Low",T455&lt;=160,"Medium",T455&gt;=161,"High")</f>
        <v>Low</v>
      </c>
    </row>
    <row r="456" spans="1:21" x14ac:dyDescent="0.25">
      <c r="A456" s="33">
        <v>455</v>
      </c>
      <c r="B456" s="34">
        <v>40563</v>
      </c>
      <c r="C456" s="35">
        <v>1</v>
      </c>
      <c r="D456" s="35">
        <v>0</v>
      </c>
      <c r="E456" s="35">
        <v>1</v>
      </c>
      <c r="F456" s="35">
        <v>23</v>
      </c>
      <c r="G456" s="35" t="str" cm="1">
        <f t="array" ref="G456">_xlfn.IFS(F456&lt;4,"Night",F456&lt;=6,"Early Morning",F456&lt;11,"Morning",F456&lt;12,"Afternoon",F456&lt;=16,"Afternoon",F456&lt;=20,"Evening",F456&gt;=21,"Night")</f>
        <v>Night</v>
      </c>
      <c r="H456" s="35" t="b">
        <v>0</v>
      </c>
      <c r="I456" s="35">
        <v>4</v>
      </c>
      <c r="J456" s="35">
        <v>2</v>
      </c>
      <c r="K456" s="31">
        <v>0.24</v>
      </c>
      <c r="L456" s="31" t="str" cm="1">
        <f t="array" ref="L456">_xlfn.IFS(K456&lt;0.15,"Cold",K456&lt;0.25,"Mild",K456&lt;=0.32,"Warm",K456&gt;=0.33,"Hot")</f>
        <v>Mild</v>
      </c>
      <c r="M456" s="36">
        <v>0.21210000000000001</v>
      </c>
      <c r="N456" s="36">
        <v>0.65</v>
      </c>
      <c r="O456" s="36" t="str" cm="1">
        <f t="array" ref="O456">_xlfn.IFS(N456&gt;0.61, "High Humidity", N456&gt;=0.6, "Humid", N456&gt;0.4, "Less Humidity", TRUE, "Dry")</f>
        <v>High Humidity</v>
      </c>
      <c r="P456" s="36">
        <v>0.32840000000000003</v>
      </c>
      <c r="Q456" s="36" t="str" cm="1">
        <f t="array" ref="Q456">_xlfn.IFS(P456&lt;=0.2,"Low Windspeed",P456&lt;0.4,"Medium Windspeed",P456&gt;=0.41,"High Windspeed")</f>
        <v>Medium Windspeed</v>
      </c>
      <c r="R456" s="36">
        <v>3</v>
      </c>
      <c r="S456" s="36">
        <v>28</v>
      </c>
      <c r="T456" s="37">
        <v>31</v>
      </c>
      <c r="U456" s="39" t="str" cm="1">
        <f t="array" ref="U456">_xlfn.IFS(T456&lt;=70,"Low",T456&lt;=160,"Medium",T456&gt;=161,"High")</f>
        <v>Low</v>
      </c>
    </row>
    <row r="457" spans="1:21" x14ac:dyDescent="0.25">
      <c r="A457" s="33">
        <v>456</v>
      </c>
      <c r="B457" s="34">
        <v>40564</v>
      </c>
      <c r="C457" s="35">
        <v>1</v>
      </c>
      <c r="D457" s="35">
        <v>0</v>
      </c>
      <c r="E457" s="35">
        <v>1</v>
      </c>
      <c r="F457" s="35">
        <v>0</v>
      </c>
      <c r="G457" s="35" t="str" cm="1">
        <f t="array" ref="G457">_xlfn.IFS(F457&lt;4,"Night",F457&lt;=6,"Early Morning",F457&lt;11,"Morning",F457&lt;12,"Afternoon",F457&lt;=16,"Afternoon",F457&lt;=20,"Evening",F457&gt;=21,"Night")</f>
        <v>Night</v>
      </c>
      <c r="H457" s="35" t="b">
        <v>0</v>
      </c>
      <c r="I457" s="35">
        <v>5</v>
      </c>
      <c r="J457" s="35">
        <v>2</v>
      </c>
      <c r="K457" s="31">
        <v>0.24</v>
      </c>
      <c r="L457" s="31" t="str" cm="1">
        <f t="array" ref="L457">_xlfn.IFS(K457&lt;0.15,"Cold",K457&lt;0.25,"Mild",K457&lt;=0.32,"Warm",K457&gt;=0.33,"Hot")</f>
        <v>Mild</v>
      </c>
      <c r="M457" s="36">
        <v>0.2273</v>
      </c>
      <c r="N457" s="36">
        <v>0.7</v>
      </c>
      <c r="O457" s="36" t="str" cm="1">
        <f t="array" ref="O457">_xlfn.IFS(N457&gt;0.61, "High Humidity", N457&gt;=0.6, "Humid", N457&gt;0.4, "Less Humidity", TRUE, "Dry")</f>
        <v>High Humidity</v>
      </c>
      <c r="P457" s="36">
        <v>0.25369999999999998</v>
      </c>
      <c r="Q457" s="36" t="str" cm="1">
        <f t="array" ref="Q457">_xlfn.IFS(P457&lt;=0.2,"Low Windspeed",P457&lt;0.4,"Medium Windspeed",P457&gt;=0.41,"High Windspeed")</f>
        <v>Medium Windspeed</v>
      </c>
      <c r="R457" s="36">
        <v>1</v>
      </c>
      <c r="S457" s="36">
        <v>20</v>
      </c>
      <c r="T457" s="37">
        <v>21</v>
      </c>
      <c r="U457" s="39" t="str" cm="1">
        <f t="array" ref="U457">_xlfn.IFS(T457&lt;=70,"Low",T457&lt;=160,"Medium",T457&gt;=161,"High")</f>
        <v>Low</v>
      </c>
    </row>
    <row r="458" spans="1:21" x14ac:dyDescent="0.25">
      <c r="A458" s="33">
        <v>457</v>
      </c>
      <c r="B458" s="34">
        <v>40564</v>
      </c>
      <c r="C458" s="35">
        <v>1</v>
      </c>
      <c r="D458" s="35">
        <v>0</v>
      </c>
      <c r="E458" s="35">
        <v>1</v>
      </c>
      <c r="F458" s="35">
        <v>1</v>
      </c>
      <c r="G458" s="35" t="str" cm="1">
        <f t="array" ref="G458">_xlfn.IFS(F458&lt;4,"Night",F458&lt;=6,"Early Morning",F458&lt;11,"Morning",F458&lt;12,"Afternoon",F458&lt;=16,"Afternoon",F458&lt;=20,"Evening",F458&gt;=21,"Night")</f>
        <v>Night</v>
      </c>
      <c r="H458" s="35" t="b">
        <v>0</v>
      </c>
      <c r="I458" s="35">
        <v>5</v>
      </c>
      <c r="J458" s="35">
        <v>2</v>
      </c>
      <c r="K458" s="31">
        <v>0.24</v>
      </c>
      <c r="L458" s="31" t="str" cm="1">
        <f t="array" ref="L458">_xlfn.IFS(K458&lt;0.15,"Cold",K458&lt;0.25,"Mild",K458&lt;=0.32,"Warm",K458&gt;=0.33,"Hot")</f>
        <v>Mild</v>
      </c>
      <c r="M458" s="36">
        <v>0.2273</v>
      </c>
      <c r="N458" s="36">
        <v>0.7</v>
      </c>
      <c r="O458" s="36" t="str" cm="1">
        <f t="array" ref="O458">_xlfn.IFS(N458&gt;0.61, "High Humidity", N458&gt;=0.6, "Humid", N458&gt;0.4, "Less Humidity", TRUE, "Dry")</f>
        <v>High Humidity</v>
      </c>
      <c r="P458" s="36">
        <v>0.25369999999999998</v>
      </c>
      <c r="Q458" s="36" t="str" cm="1">
        <f t="array" ref="Q458">_xlfn.IFS(P458&lt;=0.2,"Low Windspeed",P458&lt;0.4,"Medium Windspeed",P458&gt;=0.41,"High Windspeed")</f>
        <v>Medium Windspeed</v>
      </c>
      <c r="R458" s="36">
        <v>0</v>
      </c>
      <c r="S458" s="36">
        <v>6</v>
      </c>
      <c r="T458" s="37">
        <v>6</v>
      </c>
      <c r="U458" s="39" t="str" cm="1">
        <f t="array" ref="U458">_xlfn.IFS(T458&lt;=70,"Low",T458&lt;=160,"Medium",T458&gt;=161,"High")</f>
        <v>Low</v>
      </c>
    </row>
    <row r="459" spans="1:21" x14ac:dyDescent="0.25">
      <c r="A459" s="33">
        <v>458</v>
      </c>
      <c r="B459" s="34">
        <v>40564</v>
      </c>
      <c r="C459" s="35">
        <v>1</v>
      </c>
      <c r="D459" s="35">
        <v>0</v>
      </c>
      <c r="E459" s="35">
        <v>1</v>
      </c>
      <c r="F459" s="35">
        <v>2</v>
      </c>
      <c r="G459" s="35" t="str" cm="1">
        <f t="array" ref="G459">_xlfn.IFS(F459&lt;4,"Night",F459&lt;=6,"Early Morning",F459&lt;11,"Morning",F459&lt;12,"Afternoon",F459&lt;=16,"Afternoon",F459&lt;=20,"Evening",F459&gt;=21,"Night")</f>
        <v>Night</v>
      </c>
      <c r="H459" s="35" t="b">
        <v>0</v>
      </c>
      <c r="I459" s="35">
        <v>5</v>
      </c>
      <c r="J459" s="35">
        <v>3</v>
      </c>
      <c r="K459" s="31">
        <v>0.24</v>
      </c>
      <c r="L459" s="31" t="str" cm="1">
        <f t="array" ref="L459">_xlfn.IFS(K459&lt;0.15,"Cold",K459&lt;0.25,"Mild",K459&lt;=0.32,"Warm",K459&gt;=0.33,"Hot")</f>
        <v>Mild</v>
      </c>
      <c r="M459" s="36">
        <v>0.2424</v>
      </c>
      <c r="N459" s="36">
        <v>0.75</v>
      </c>
      <c r="O459" s="36" t="str" cm="1">
        <f t="array" ref="O459">_xlfn.IFS(N459&gt;0.61, "High Humidity", N459&gt;=0.6, "Humid", N459&gt;0.4, "Less Humidity", TRUE, "Dry")</f>
        <v>High Humidity</v>
      </c>
      <c r="P459" s="36">
        <v>0.16420000000000001</v>
      </c>
      <c r="Q459" s="36" t="str" cm="1">
        <f t="array" ref="Q459">_xlfn.IFS(P459&lt;=0.2,"Low Windspeed",P459&lt;0.4,"Medium Windspeed",P459&gt;=0.41,"High Windspeed")</f>
        <v>Low Windspeed</v>
      </c>
      <c r="R459" s="36">
        <v>0</v>
      </c>
      <c r="S459" s="36">
        <v>2</v>
      </c>
      <c r="T459" s="37">
        <v>2</v>
      </c>
      <c r="U459" s="39" t="str" cm="1">
        <f t="array" ref="U459">_xlfn.IFS(T459&lt;=70,"Low",T459&lt;=160,"Medium",T459&gt;=161,"High")</f>
        <v>Low</v>
      </c>
    </row>
    <row r="460" spans="1:21" x14ac:dyDescent="0.25">
      <c r="A460" s="33">
        <v>459</v>
      </c>
      <c r="B460" s="34">
        <v>40564</v>
      </c>
      <c r="C460" s="35">
        <v>1</v>
      </c>
      <c r="D460" s="35">
        <v>0</v>
      </c>
      <c r="E460" s="35">
        <v>1</v>
      </c>
      <c r="F460" s="35">
        <v>3</v>
      </c>
      <c r="G460" s="35" t="str" cm="1">
        <f t="array" ref="G460">_xlfn.IFS(F460&lt;4,"Night",F460&lt;=6,"Early Morning",F460&lt;11,"Morning",F460&lt;12,"Afternoon",F460&lt;=16,"Afternoon",F460&lt;=20,"Evening",F460&gt;=21,"Night")</f>
        <v>Night</v>
      </c>
      <c r="H460" s="35" t="b">
        <v>0</v>
      </c>
      <c r="I460" s="35">
        <v>5</v>
      </c>
      <c r="J460" s="35">
        <v>3</v>
      </c>
      <c r="K460" s="31">
        <v>0.22</v>
      </c>
      <c r="L460" s="31" t="str" cm="1">
        <f t="array" ref="L460">_xlfn.IFS(K460&lt;0.15,"Cold",K460&lt;0.25,"Mild",K460&lt;=0.32,"Warm",K460&gt;=0.33,"Hot")</f>
        <v>Mild</v>
      </c>
      <c r="M460" s="36">
        <v>0.21210000000000001</v>
      </c>
      <c r="N460" s="36">
        <v>0.8</v>
      </c>
      <c r="O460" s="36" t="str" cm="1">
        <f t="array" ref="O460">_xlfn.IFS(N460&gt;0.61, "High Humidity", N460&gt;=0.6, "Humid", N460&gt;0.4, "Less Humidity", TRUE, "Dry")</f>
        <v>High Humidity</v>
      </c>
      <c r="P460" s="36">
        <v>0.29849999999999999</v>
      </c>
      <c r="Q460" s="36" t="str" cm="1">
        <f t="array" ref="Q460">_xlfn.IFS(P460&lt;=0.2,"Low Windspeed",P460&lt;0.4,"Medium Windspeed",P460&gt;=0.41,"High Windspeed")</f>
        <v>Medium Windspeed</v>
      </c>
      <c r="R460" s="36">
        <v>0</v>
      </c>
      <c r="S460" s="36">
        <v>1</v>
      </c>
      <c r="T460" s="37">
        <v>1</v>
      </c>
      <c r="U460" s="39" t="str" cm="1">
        <f t="array" ref="U460">_xlfn.IFS(T460&lt;=70,"Low",T460&lt;=160,"Medium",T460&gt;=161,"High")</f>
        <v>Low</v>
      </c>
    </row>
    <row r="461" spans="1:21" x14ac:dyDescent="0.25">
      <c r="A461" s="33">
        <v>460</v>
      </c>
      <c r="B461" s="34">
        <v>40564</v>
      </c>
      <c r="C461" s="35">
        <v>1</v>
      </c>
      <c r="D461" s="35">
        <v>0</v>
      </c>
      <c r="E461" s="35">
        <v>1</v>
      </c>
      <c r="F461" s="35">
        <v>4</v>
      </c>
      <c r="G461" s="35" t="str" cm="1">
        <f t="array" ref="G461">_xlfn.IFS(F461&lt;4,"Night",F461&lt;=6,"Early Morning",F461&lt;11,"Morning",F461&lt;12,"Afternoon",F461&lt;=16,"Afternoon",F461&lt;=20,"Evening",F461&gt;=21,"Night")</f>
        <v>Early Morning</v>
      </c>
      <c r="H461" s="35" t="b">
        <v>0</v>
      </c>
      <c r="I461" s="35">
        <v>5</v>
      </c>
      <c r="J461" s="35">
        <v>2</v>
      </c>
      <c r="K461" s="31">
        <v>0.22</v>
      </c>
      <c r="L461" s="31" t="str" cm="1">
        <f t="array" ref="L461">_xlfn.IFS(K461&lt;0.15,"Cold",K461&lt;0.25,"Mild",K461&lt;=0.32,"Warm",K461&gt;=0.33,"Hot")</f>
        <v>Mild</v>
      </c>
      <c r="M461" s="36">
        <v>0.2576</v>
      </c>
      <c r="N461" s="36">
        <v>0.87</v>
      </c>
      <c r="O461" s="36" t="str" cm="1">
        <f t="array" ref="O461">_xlfn.IFS(N461&gt;0.61, "High Humidity", N461&gt;=0.6, "Humid", N461&gt;0.4, "Less Humidity", TRUE, "Dry")</f>
        <v>High Humidity</v>
      </c>
      <c r="P461" s="36">
        <v>8.9599999999999999E-2</v>
      </c>
      <c r="Q461" s="36" t="str" cm="1">
        <f t="array" ref="Q461">_xlfn.IFS(P461&lt;=0.2,"Low Windspeed",P461&lt;0.4,"Medium Windspeed",P461&gt;=0.41,"High Windspeed")</f>
        <v>Low Windspeed</v>
      </c>
      <c r="R461" s="36">
        <v>0</v>
      </c>
      <c r="S461" s="36">
        <v>1</v>
      </c>
      <c r="T461" s="37">
        <v>1</v>
      </c>
      <c r="U461" s="39" t="str" cm="1">
        <f t="array" ref="U461">_xlfn.IFS(T461&lt;=70,"Low",T461&lt;=160,"Medium",T461&gt;=161,"High")</f>
        <v>Low</v>
      </c>
    </row>
    <row r="462" spans="1:21" x14ac:dyDescent="0.25">
      <c r="A462" s="33">
        <v>461</v>
      </c>
      <c r="B462" s="34">
        <v>40564</v>
      </c>
      <c r="C462" s="35">
        <v>1</v>
      </c>
      <c r="D462" s="35">
        <v>0</v>
      </c>
      <c r="E462" s="35">
        <v>1</v>
      </c>
      <c r="F462" s="35">
        <v>5</v>
      </c>
      <c r="G462" s="35" t="str" cm="1">
        <f t="array" ref="G462">_xlfn.IFS(F462&lt;4,"Night",F462&lt;=6,"Early Morning",F462&lt;11,"Morning",F462&lt;12,"Afternoon",F462&lt;=16,"Afternoon",F462&lt;=20,"Evening",F462&gt;=21,"Night")</f>
        <v>Early Morning</v>
      </c>
      <c r="H462" s="35" t="b">
        <v>0</v>
      </c>
      <c r="I462" s="35">
        <v>5</v>
      </c>
      <c r="J462" s="35">
        <v>1</v>
      </c>
      <c r="K462" s="31">
        <v>0.24</v>
      </c>
      <c r="L462" s="31" t="str" cm="1">
        <f t="array" ref="L462">_xlfn.IFS(K462&lt;0.15,"Cold",K462&lt;0.25,"Mild",K462&lt;=0.32,"Warm",K462&gt;=0.33,"Hot")</f>
        <v>Mild</v>
      </c>
      <c r="M462" s="36">
        <v>0.19700000000000001</v>
      </c>
      <c r="N462" s="36">
        <v>0.6</v>
      </c>
      <c r="O462" s="36" t="str" cm="1">
        <f t="array" ref="O462">_xlfn.IFS(N462&gt;0.61, "High Humidity", N462&gt;=0.6, "Humid", N462&gt;0.4, "Less Humidity", TRUE, "Dry")</f>
        <v>Humid</v>
      </c>
      <c r="P462" s="36">
        <v>0.41789999999999999</v>
      </c>
      <c r="Q462" s="36" t="str" cm="1">
        <f t="array" ref="Q462">_xlfn.IFS(P462&lt;=0.2,"Low Windspeed",P462&lt;0.4,"Medium Windspeed",P462&gt;=0.41,"High Windspeed")</f>
        <v>High Windspeed</v>
      </c>
      <c r="R462" s="36">
        <v>1</v>
      </c>
      <c r="S462" s="36">
        <v>4</v>
      </c>
      <c r="T462" s="37">
        <v>5</v>
      </c>
      <c r="U462" s="39" t="str" cm="1">
        <f t="array" ref="U462">_xlfn.IFS(T462&lt;=70,"Low",T462&lt;=160,"Medium",T462&gt;=161,"High")</f>
        <v>Low</v>
      </c>
    </row>
    <row r="463" spans="1:21" x14ac:dyDescent="0.25">
      <c r="A463" s="33">
        <v>462</v>
      </c>
      <c r="B463" s="34">
        <v>40564</v>
      </c>
      <c r="C463" s="35">
        <v>1</v>
      </c>
      <c r="D463" s="35">
        <v>0</v>
      </c>
      <c r="E463" s="35">
        <v>1</v>
      </c>
      <c r="F463" s="35">
        <v>6</v>
      </c>
      <c r="G463" s="35" t="str" cm="1">
        <f t="array" ref="G463">_xlfn.IFS(F463&lt;4,"Night",F463&lt;=6,"Early Morning",F463&lt;11,"Morning",F463&lt;12,"Afternoon",F463&lt;=16,"Afternoon",F463&lt;=20,"Evening",F463&gt;=21,"Night")</f>
        <v>Early Morning</v>
      </c>
      <c r="H463" s="35" t="b">
        <v>0</v>
      </c>
      <c r="I463" s="35">
        <v>5</v>
      </c>
      <c r="J463" s="35">
        <v>1</v>
      </c>
      <c r="K463" s="31">
        <v>0.22</v>
      </c>
      <c r="L463" s="31" t="str" cm="1">
        <f t="array" ref="L463">_xlfn.IFS(K463&lt;0.15,"Cold",K463&lt;0.25,"Mild",K463&lt;=0.32,"Warm",K463&gt;=0.33,"Hot")</f>
        <v>Mild</v>
      </c>
      <c r="M463" s="36">
        <v>0.21210000000000001</v>
      </c>
      <c r="N463" s="36">
        <v>0.55000000000000004</v>
      </c>
      <c r="O463" s="36" t="str" cm="1">
        <f t="array" ref="O463">_xlfn.IFS(N463&gt;0.61, "High Humidity", N463&gt;=0.6, "Humid", N463&gt;0.4, "Less Humidity", TRUE, "Dry")</f>
        <v>Less Humidity</v>
      </c>
      <c r="P463" s="36">
        <v>0.25369999999999998</v>
      </c>
      <c r="Q463" s="36" t="str" cm="1">
        <f t="array" ref="Q463">_xlfn.IFS(P463&lt;=0.2,"Low Windspeed",P463&lt;0.4,"Medium Windspeed",P463&gt;=0.41,"High Windspeed")</f>
        <v>Medium Windspeed</v>
      </c>
      <c r="R463" s="36">
        <v>0</v>
      </c>
      <c r="S463" s="36">
        <v>27</v>
      </c>
      <c r="T463" s="37">
        <v>27</v>
      </c>
      <c r="U463" s="39" t="str" cm="1">
        <f t="array" ref="U463">_xlfn.IFS(T463&lt;=70,"Low",T463&lt;=160,"Medium",T463&gt;=161,"High")</f>
        <v>Low</v>
      </c>
    </row>
    <row r="464" spans="1:21" x14ac:dyDescent="0.25">
      <c r="A464" s="33">
        <v>463</v>
      </c>
      <c r="B464" s="34">
        <v>40564</v>
      </c>
      <c r="C464" s="35">
        <v>1</v>
      </c>
      <c r="D464" s="35">
        <v>0</v>
      </c>
      <c r="E464" s="35">
        <v>1</v>
      </c>
      <c r="F464" s="35">
        <v>7</v>
      </c>
      <c r="G464" s="35" t="str" cm="1">
        <f t="array" ref="G464">_xlfn.IFS(F464&lt;4,"Night",F464&lt;=6,"Early Morning",F464&lt;11,"Morning",F464&lt;12,"Afternoon",F464&lt;=16,"Afternoon",F464&lt;=20,"Evening",F464&gt;=21,"Night")</f>
        <v>Morning</v>
      </c>
      <c r="H464" s="35" t="b">
        <v>0</v>
      </c>
      <c r="I464" s="35">
        <v>5</v>
      </c>
      <c r="J464" s="35">
        <v>1</v>
      </c>
      <c r="K464" s="31">
        <v>0.2</v>
      </c>
      <c r="L464" s="31" t="str" cm="1">
        <f t="array" ref="L464">_xlfn.IFS(K464&lt;0.15,"Cold",K464&lt;0.25,"Mild",K464&lt;=0.32,"Warm",K464&gt;=0.33,"Hot")</f>
        <v>Mild</v>
      </c>
      <c r="M464" s="36">
        <v>0.18179999999999999</v>
      </c>
      <c r="N464" s="36">
        <v>0.51</v>
      </c>
      <c r="O464" s="36" t="str" cm="1">
        <f t="array" ref="O464">_xlfn.IFS(N464&gt;0.61, "High Humidity", N464&gt;=0.6, "Humid", N464&gt;0.4, "Less Humidity", TRUE, "Dry")</f>
        <v>Less Humidity</v>
      </c>
      <c r="P464" s="36">
        <v>0.28360000000000002</v>
      </c>
      <c r="Q464" s="36" t="str" cm="1">
        <f t="array" ref="Q464">_xlfn.IFS(P464&lt;=0.2,"Low Windspeed",P464&lt;0.4,"Medium Windspeed",P464&gt;=0.41,"High Windspeed")</f>
        <v>Medium Windspeed</v>
      </c>
      <c r="R464" s="36">
        <v>2</v>
      </c>
      <c r="S464" s="36">
        <v>66</v>
      </c>
      <c r="T464" s="37">
        <v>68</v>
      </c>
      <c r="U464" s="39" t="str" cm="1">
        <f t="array" ref="U464">_xlfn.IFS(T464&lt;=70,"Low",T464&lt;=160,"Medium",T464&gt;=161,"High")</f>
        <v>Low</v>
      </c>
    </row>
    <row r="465" spans="1:21" x14ac:dyDescent="0.25">
      <c r="A465" s="33">
        <v>464</v>
      </c>
      <c r="B465" s="34">
        <v>40564</v>
      </c>
      <c r="C465" s="35">
        <v>1</v>
      </c>
      <c r="D465" s="35">
        <v>0</v>
      </c>
      <c r="E465" s="35">
        <v>1</v>
      </c>
      <c r="F465" s="35">
        <v>8</v>
      </c>
      <c r="G465" s="35" t="str" cm="1">
        <f t="array" ref="G465">_xlfn.IFS(F465&lt;4,"Night",F465&lt;=6,"Early Morning",F465&lt;11,"Morning",F465&lt;12,"Afternoon",F465&lt;=16,"Afternoon",F465&lt;=20,"Evening",F465&gt;=21,"Night")</f>
        <v>Morning</v>
      </c>
      <c r="H465" s="35" t="b">
        <v>0</v>
      </c>
      <c r="I465" s="35">
        <v>5</v>
      </c>
      <c r="J465" s="35">
        <v>1</v>
      </c>
      <c r="K465" s="31">
        <v>0.2</v>
      </c>
      <c r="L465" s="31" t="str" cm="1">
        <f t="array" ref="L465">_xlfn.IFS(K465&lt;0.15,"Cold",K465&lt;0.25,"Mild",K465&lt;=0.32,"Warm",K465&gt;=0.33,"Hot")</f>
        <v>Mild</v>
      </c>
      <c r="M465" s="36">
        <v>0.18179999999999999</v>
      </c>
      <c r="N465" s="36">
        <v>0.47</v>
      </c>
      <c r="O465" s="36" t="str" cm="1">
        <f t="array" ref="O465">_xlfn.IFS(N465&gt;0.61, "High Humidity", N465&gt;=0.6, "Humid", N465&gt;0.4, "Less Humidity", TRUE, "Dry")</f>
        <v>Less Humidity</v>
      </c>
      <c r="P465" s="36">
        <v>0.32840000000000003</v>
      </c>
      <c r="Q465" s="36" t="str" cm="1">
        <f t="array" ref="Q465">_xlfn.IFS(P465&lt;=0.2,"Low Windspeed",P465&lt;0.4,"Medium Windspeed",P465&gt;=0.41,"High Windspeed")</f>
        <v>Medium Windspeed</v>
      </c>
      <c r="R465" s="36">
        <v>7</v>
      </c>
      <c r="S465" s="36">
        <v>210</v>
      </c>
      <c r="T465" s="37">
        <v>217</v>
      </c>
      <c r="U465" s="39" t="str" cm="1">
        <f t="array" ref="U465">_xlfn.IFS(T465&lt;=70,"Low",T465&lt;=160,"Medium",T465&gt;=161,"High")</f>
        <v>High</v>
      </c>
    </row>
    <row r="466" spans="1:21" x14ac:dyDescent="0.25">
      <c r="A466" s="33">
        <v>465</v>
      </c>
      <c r="B466" s="34">
        <v>40564</v>
      </c>
      <c r="C466" s="35">
        <v>1</v>
      </c>
      <c r="D466" s="35">
        <v>0</v>
      </c>
      <c r="E466" s="35">
        <v>1</v>
      </c>
      <c r="F466" s="35">
        <v>9</v>
      </c>
      <c r="G466" s="35" t="str" cm="1">
        <f t="array" ref="G466">_xlfn.IFS(F466&lt;4,"Night",F466&lt;=6,"Early Morning",F466&lt;11,"Morning",F466&lt;12,"Afternoon",F466&lt;=16,"Afternoon",F466&lt;=20,"Evening",F466&gt;=21,"Night")</f>
        <v>Morning</v>
      </c>
      <c r="H466" s="35" t="b">
        <v>0</v>
      </c>
      <c r="I466" s="35">
        <v>5</v>
      </c>
      <c r="J466" s="35">
        <v>1</v>
      </c>
      <c r="K466" s="31">
        <v>0.2</v>
      </c>
      <c r="L466" s="31" t="str" cm="1">
        <f t="array" ref="L466">_xlfn.IFS(K466&lt;0.15,"Cold",K466&lt;0.25,"Mild",K466&lt;=0.32,"Warm",K466&gt;=0.33,"Hot")</f>
        <v>Mild</v>
      </c>
      <c r="M466" s="36">
        <v>0.18179999999999999</v>
      </c>
      <c r="N466" s="36">
        <v>0.51</v>
      </c>
      <c r="O466" s="36" t="str" cm="1">
        <f t="array" ref="O466">_xlfn.IFS(N466&gt;0.61, "High Humidity", N466&gt;=0.6, "Humid", N466&gt;0.4, "Less Humidity", TRUE, "Dry")</f>
        <v>Less Humidity</v>
      </c>
      <c r="P466" s="36">
        <v>0.35820000000000002</v>
      </c>
      <c r="Q466" s="36" t="str" cm="1">
        <f t="array" ref="Q466">_xlfn.IFS(P466&lt;=0.2,"Low Windspeed",P466&lt;0.4,"Medium Windspeed",P466&gt;=0.41,"High Windspeed")</f>
        <v>Medium Windspeed</v>
      </c>
      <c r="R466" s="36">
        <v>7</v>
      </c>
      <c r="S466" s="36">
        <v>159</v>
      </c>
      <c r="T466" s="37">
        <v>166</v>
      </c>
      <c r="U466" s="39" t="str" cm="1">
        <f t="array" ref="U466">_xlfn.IFS(T466&lt;=70,"Low",T466&lt;=160,"Medium",T466&gt;=161,"High")</f>
        <v>High</v>
      </c>
    </row>
    <row r="467" spans="1:21" x14ac:dyDescent="0.25">
      <c r="A467" s="33">
        <v>466</v>
      </c>
      <c r="B467" s="34">
        <v>40564</v>
      </c>
      <c r="C467" s="35">
        <v>1</v>
      </c>
      <c r="D467" s="35">
        <v>0</v>
      </c>
      <c r="E467" s="35">
        <v>1</v>
      </c>
      <c r="F467" s="35">
        <v>10</v>
      </c>
      <c r="G467" s="35" t="str" cm="1">
        <f t="array" ref="G467">_xlfn.IFS(F467&lt;4,"Night",F467&lt;=6,"Early Morning",F467&lt;11,"Morning",F467&lt;12,"Afternoon",F467&lt;=16,"Afternoon",F467&lt;=20,"Evening",F467&gt;=21,"Night")</f>
        <v>Morning</v>
      </c>
      <c r="H467" s="35" t="b">
        <v>0</v>
      </c>
      <c r="I467" s="35">
        <v>5</v>
      </c>
      <c r="J467" s="35">
        <v>1</v>
      </c>
      <c r="K467" s="31">
        <v>0.2</v>
      </c>
      <c r="L467" s="31" t="str" cm="1">
        <f t="array" ref="L467">_xlfn.IFS(K467&lt;0.15,"Cold",K467&lt;0.25,"Mild",K467&lt;=0.32,"Warm",K467&gt;=0.33,"Hot")</f>
        <v>Mild</v>
      </c>
      <c r="M467" s="36">
        <v>0.16669999999999999</v>
      </c>
      <c r="N467" s="36">
        <v>0.47</v>
      </c>
      <c r="O467" s="36" t="str" cm="1">
        <f t="array" ref="O467">_xlfn.IFS(N467&gt;0.61, "High Humidity", N467&gt;=0.6, "Humid", N467&gt;0.4, "Less Humidity", TRUE, "Dry")</f>
        <v>Less Humidity</v>
      </c>
      <c r="P467" s="36">
        <v>0.4627</v>
      </c>
      <c r="Q467" s="36" t="str" cm="1">
        <f t="array" ref="Q467">_xlfn.IFS(P467&lt;=0.2,"Low Windspeed",P467&lt;0.4,"Medium Windspeed",P467&gt;=0.41,"High Windspeed")</f>
        <v>High Windspeed</v>
      </c>
      <c r="R467" s="36">
        <v>6</v>
      </c>
      <c r="S467" s="36">
        <v>57</v>
      </c>
      <c r="T467" s="37">
        <v>63</v>
      </c>
      <c r="U467" s="39" t="str" cm="1">
        <f t="array" ref="U467">_xlfn.IFS(T467&lt;=70,"Low",T467&lt;=160,"Medium",T467&gt;=161,"High")</f>
        <v>Low</v>
      </c>
    </row>
    <row r="468" spans="1:21" x14ac:dyDescent="0.25">
      <c r="A468" s="33">
        <v>467</v>
      </c>
      <c r="B468" s="34">
        <v>40564</v>
      </c>
      <c r="C468" s="35">
        <v>1</v>
      </c>
      <c r="D468" s="35">
        <v>0</v>
      </c>
      <c r="E468" s="35">
        <v>1</v>
      </c>
      <c r="F468" s="35">
        <v>11</v>
      </c>
      <c r="G468" s="35" t="str" cm="1">
        <f t="array" ref="G468">_xlfn.IFS(F468&lt;4,"Night",F468&lt;=6,"Early Morning",F468&lt;11,"Morning",F468&lt;12,"Afternoon",F468&lt;=16,"Afternoon",F468&lt;=20,"Evening",F468&gt;=21,"Night")</f>
        <v>Afternoon</v>
      </c>
      <c r="H468" s="35" t="b">
        <v>0</v>
      </c>
      <c r="I468" s="35">
        <v>5</v>
      </c>
      <c r="J468" s="35">
        <v>1</v>
      </c>
      <c r="K468" s="31">
        <v>0.22</v>
      </c>
      <c r="L468" s="31" t="str" cm="1">
        <f t="array" ref="L468">_xlfn.IFS(K468&lt;0.15,"Cold",K468&lt;0.25,"Mild",K468&lt;=0.32,"Warm",K468&gt;=0.33,"Hot")</f>
        <v>Mild</v>
      </c>
      <c r="M468" s="36">
        <v>0.18179999999999999</v>
      </c>
      <c r="N468" s="36">
        <v>0.41</v>
      </c>
      <c r="O468" s="36" t="str" cm="1">
        <f t="array" ref="O468">_xlfn.IFS(N468&gt;0.61, "High Humidity", N468&gt;=0.6, "Humid", N468&gt;0.4, "Less Humidity", TRUE, "Dry")</f>
        <v>Less Humidity</v>
      </c>
      <c r="P468" s="36">
        <v>0.4627</v>
      </c>
      <c r="Q468" s="36" t="str" cm="1">
        <f t="array" ref="Q468">_xlfn.IFS(P468&lt;=0.2,"Low Windspeed",P468&lt;0.4,"Medium Windspeed",P468&gt;=0.41,"High Windspeed")</f>
        <v>High Windspeed</v>
      </c>
      <c r="R468" s="36">
        <v>6</v>
      </c>
      <c r="S468" s="36">
        <v>53</v>
      </c>
      <c r="T468" s="37">
        <v>59</v>
      </c>
      <c r="U468" s="39" t="str" cm="1">
        <f t="array" ref="U468">_xlfn.IFS(T468&lt;=70,"Low",T468&lt;=160,"Medium",T468&gt;=161,"High")</f>
        <v>Low</v>
      </c>
    </row>
    <row r="469" spans="1:21" x14ac:dyDescent="0.25">
      <c r="A469" s="33">
        <v>468</v>
      </c>
      <c r="B469" s="34">
        <v>40564</v>
      </c>
      <c r="C469" s="35">
        <v>1</v>
      </c>
      <c r="D469" s="35">
        <v>0</v>
      </c>
      <c r="E469" s="35">
        <v>1</v>
      </c>
      <c r="F469" s="35">
        <v>12</v>
      </c>
      <c r="G469" s="35" t="str" cm="1">
        <f t="array" ref="G469">_xlfn.IFS(F469&lt;4,"Night",F469&lt;=6,"Early Morning",F469&lt;11,"Morning",F469&lt;12,"Afternoon",F469&lt;=16,"Afternoon",F469&lt;=20,"Evening",F469&gt;=21,"Night")</f>
        <v>Afternoon</v>
      </c>
      <c r="H469" s="35" t="b">
        <v>0</v>
      </c>
      <c r="I469" s="35">
        <v>5</v>
      </c>
      <c r="J469" s="35">
        <v>1</v>
      </c>
      <c r="K469" s="31">
        <v>0.22</v>
      </c>
      <c r="L469" s="31" t="str" cm="1">
        <f t="array" ref="L469">_xlfn.IFS(K469&lt;0.15,"Cold",K469&lt;0.25,"Mild",K469&lt;=0.32,"Warm",K469&gt;=0.33,"Hot")</f>
        <v>Mild</v>
      </c>
      <c r="M469" s="36">
        <v>0.18179999999999999</v>
      </c>
      <c r="N469" s="36">
        <v>0.27</v>
      </c>
      <c r="O469" s="36" t="str" cm="1">
        <f t="array" ref="O469">_xlfn.IFS(N469&gt;0.61, "High Humidity", N469&gt;=0.6, "Humid", N469&gt;0.4, "Less Humidity", TRUE, "Dry")</f>
        <v>Dry</v>
      </c>
      <c r="P469" s="36">
        <v>0.58209999999999995</v>
      </c>
      <c r="Q469" s="36" t="str" cm="1">
        <f t="array" ref="Q469">_xlfn.IFS(P469&lt;=0.2,"Low Windspeed",P469&lt;0.4,"Medium Windspeed",P469&gt;=0.41,"High Windspeed")</f>
        <v>High Windspeed</v>
      </c>
      <c r="R469" s="36">
        <v>11</v>
      </c>
      <c r="S469" s="36">
        <v>67</v>
      </c>
      <c r="T469" s="37">
        <v>78</v>
      </c>
      <c r="U469" s="39" t="str" cm="1">
        <f t="array" ref="U469">_xlfn.IFS(T469&lt;=70,"Low",T469&lt;=160,"Medium",T469&gt;=161,"High")</f>
        <v>Medium</v>
      </c>
    </row>
    <row r="470" spans="1:21" x14ac:dyDescent="0.25">
      <c r="A470" s="33">
        <v>469</v>
      </c>
      <c r="B470" s="34">
        <v>40564</v>
      </c>
      <c r="C470" s="35">
        <v>1</v>
      </c>
      <c r="D470" s="35">
        <v>0</v>
      </c>
      <c r="E470" s="35">
        <v>1</v>
      </c>
      <c r="F470" s="35">
        <v>13</v>
      </c>
      <c r="G470" s="35" t="str" cm="1">
        <f t="array" ref="G470">_xlfn.IFS(F470&lt;4,"Night",F470&lt;=6,"Early Morning",F470&lt;11,"Morning",F470&lt;12,"Afternoon",F470&lt;=16,"Afternoon",F470&lt;=20,"Evening",F470&gt;=21,"Night")</f>
        <v>Afternoon</v>
      </c>
      <c r="H470" s="35" t="b">
        <v>0</v>
      </c>
      <c r="I470" s="35">
        <v>5</v>
      </c>
      <c r="J470" s="35">
        <v>1</v>
      </c>
      <c r="K470" s="31">
        <v>0.2</v>
      </c>
      <c r="L470" s="31" t="str" cm="1">
        <f t="array" ref="L470">_xlfn.IFS(K470&lt;0.15,"Cold",K470&lt;0.25,"Mild",K470&lt;=0.32,"Warm",K470&gt;=0.33,"Hot")</f>
        <v>Mild</v>
      </c>
      <c r="M470" s="36">
        <v>0.1515</v>
      </c>
      <c r="N470" s="36">
        <v>0.21</v>
      </c>
      <c r="O470" s="36" t="str" cm="1">
        <f t="array" ref="O470">_xlfn.IFS(N470&gt;0.61, "High Humidity", N470&gt;=0.6, "Humid", N470&gt;0.4, "Less Humidity", TRUE, "Dry")</f>
        <v>Dry</v>
      </c>
      <c r="P470" s="36">
        <v>0.58209999999999995</v>
      </c>
      <c r="Q470" s="36" t="str" cm="1">
        <f t="array" ref="Q470">_xlfn.IFS(P470&lt;=0.2,"Low Windspeed",P470&lt;0.4,"Medium Windspeed",P470&gt;=0.41,"High Windspeed")</f>
        <v>High Windspeed</v>
      </c>
      <c r="R470" s="36">
        <v>8</v>
      </c>
      <c r="S470" s="36">
        <v>65</v>
      </c>
      <c r="T470" s="37">
        <v>73</v>
      </c>
      <c r="U470" s="39" t="str" cm="1">
        <f t="array" ref="U470">_xlfn.IFS(T470&lt;=70,"Low",T470&lt;=160,"Medium",T470&gt;=161,"High")</f>
        <v>Medium</v>
      </c>
    </row>
    <row r="471" spans="1:21" x14ac:dyDescent="0.25">
      <c r="A471" s="33">
        <v>470</v>
      </c>
      <c r="B471" s="34">
        <v>40564</v>
      </c>
      <c r="C471" s="35">
        <v>1</v>
      </c>
      <c r="D471" s="35">
        <v>0</v>
      </c>
      <c r="E471" s="35">
        <v>1</v>
      </c>
      <c r="F471" s="35">
        <v>14</v>
      </c>
      <c r="G471" s="35" t="str" cm="1">
        <f t="array" ref="G471">_xlfn.IFS(F471&lt;4,"Night",F471&lt;=6,"Early Morning",F471&lt;11,"Morning",F471&lt;12,"Afternoon",F471&lt;=16,"Afternoon",F471&lt;=20,"Evening",F471&gt;=21,"Night")</f>
        <v>Afternoon</v>
      </c>
      <c r="H471" s="35" t="b">
        <v>0</v>
      </c>
      <c r="I471" s="35">
        <v>5</v>
      </c>
      <c r="J471" s="35">
        <v>1</v>
      </c>
      <c r="K471" s="31">
        <v>0.2</v>
      </c>
      <c r="L471" s="31" t="str" cm="1">
        <f t="array" ref="L471">_xlfn.IFS(K471&lt;0.15,"Cold",K471&lt;0.25,"Mild",K471&lt;=0.32,"Warm",K471&gt;=0.33,"Hot")</f>
        <v>Mild</v>
      </c>
      <c r="M471" s="36">
        <v>0.1515</v>
      </c>
      <c r="N471" s="36">
        <v>0.25</v>
      </c>
      <c r="O471" s="36" t="str" cm="1">
        <f t="array" ref="O471">_xlfn.IFS(N471&gt;0.61, "High Humidity", N471&gt;=0.6, "Humid", N471&gt;0.4, "Less Humidity", TRUE, "Dry")</f>
        <v>Dry</v>
      </c>
      <c r="P471" s="36">
        <v>0.52239999999999998</v>
      </c>
      <c r="Q471" s="36" t="str" cm="1">
        <f t="array" ref="Q471">_xlfn.IFS(P471&lt;=0.2,"Low Windspeed",P471&lt;0.4,"Medium Windspeed",P471&gt;=0.41,"High Windspeed")</f>
        <v>High Windspeed</v>
      </c>
      <c r="R471" s="36">
        <v>6</v>
      </c>
      <c r="S471" s="36">
        <v>56</v>
      </c>
      <c r="T471" s="37">
        <v>62</v>
      </c>
      <c r="U471" s="39" t="str" cm="1">
        <f t="array" ref="U471">_xlfn.IFS(T471&lt;=70,"Low",T471&lt;=160,"Medium",T471&gt;=161,"High")</f>
        <v>Low</v>
      </c>
    </row>
    <row r="472" spans="1:21" x14ac:dyDescent="0.25">
      <c r="A472" s="33">
        <v>471</v>
      </c>
      <c r="B472" s="34">
        <v>40564</v>
      </c>
      <c r="C472" s="35">
        <v>1</v>
      </c>
      <c r="D472" s="35">
        <v>0</v>
      </c>
      <c r="E472" s="35">
        <v>1</v>
      </c>
      <c r="F472" s="35">
        <v>15</v>
      </c>
      <c r="G472" s="35" t="str" cm="1">
        <f t="array" ref="G472">_xlfn.IFS(F472&lt;4,"Night",F472&lt;=6,"Early Morning",F472&lt;11,"Morning",F472&lt;12,"Afternoon",F472&lt;=16,"Afternoon",F472&lt;=20,"Evening",F472&gt;=21,"Night")</f>
        <v>Afternoon</v>
      </c>
      <c r="H472" s="35" t="b">
        <v>0</v>
      </c>
      <c r="I472" s="35">
        <v>5</v>
      </c>
      <c r="J472" s="35">
        <v>1</v>
      </c>
      <c r="K472" s="31">
        <v>0.16</v>
      </c>
      <c r="L472" s="31" t="str" cm="1">
        <f t="array" ref="L472">_xlfn.IFS(K472&lt;0.15,"Cold",K472&lt;0.25,"Mild",K472&lt;=0.32,"Warm",K472&gt;=0.33,"Hot")</f>
        <v>Mild</v>
      </c>
      <c r="M472" s="36">
        <v>0.1212</v>
      </c>
      <c r="N472" s="36">
        <v>0.26</v>
      </c>
      <c r="O472" s="36" t="str" cm="1">
        <f t="array" ref="O472">_xlfn.IFS(N472&gt;0.61, "High Humidity", N472&gt;=0.6, "Humid", N472&gt;0.4, "Less Humidity", TRUE, "Dry")</f>
        <v>Dry</v>
      </c>
      <c r="P472" s="36">
        <v>0.44779999999999998</v>
      </c>
      <c r="Q472" s="36" t="str" cm="1">
        <f t="array" ref="Q472">_xlfn.IFS(P472&lt;=0.2,"Low Windspeed",P472&lt;0.4,"Medium Windspeed",P472&gt;=0.41,"High Windspeed")</f>
        <v>High Windspeed</v>
      </c>
      <c r="R472" s="36">
        <v>4</v>
      </c>
      <c r="S472" s="36">
        <v>61</v>
      </c>
      <c r="T472" s="37">
        <v>65</v>
      </c>
      <c r="U472" s="39" t="str" cm="1">
        <f t="array" ref="U472">_xlfn.IFS(T472&lt;=70,"Low",T472&lt;=160,"Medium",T472&gt;=161,"High")</f>
        <v>Low</v>
      </c>
    </row>
    <row r="473" spans="1:21" x14ac:dyDescent="0.25">
      <c r="A473" s="33">
        <v>472</v>
      </c>
      <c r="B473" s="34">
        <v>40564</v>
      </c>
      <c r="C473" s="35">
        <v>1</v>
      </c>
      <c r="D473" s="35">
        <v>0</v>
      </c>
      <c r="E473" s="35">
        <v>1</v>
      </c>
      <c r="F473" s="35">
        <v>16</v>
      </c>
      <c r="G473" s="35" t="str" cm="1">
        <f t="array" ref="G473">_xlfn.IFS(F473&lt;4,"Night",F473&lt;=6,"Early Morning",F473&lt;11,"Morning",F473&lt;12,"Afternoon",F473&lt;=16,"Afternoon",F473&lt;=20,"Evening",F473&gt;=21,"Night")</f>
        <v>Afternoon</v>
      </c>
      <c r="H473" s="35" t="b">
        <v>0</v>
      </c>
      <c r="I473" s="35">
        <v>5</v>
      </c>
      <c r="J473" s="35">
        <v>1</v>
      </c>
      <c r="K473" s="31">
        <v>0.16</v>
      </c>
      <c r="L473" s="31" t="str" cm="1">
        <f t="array" ref="L473">_xlfn.IFS(K473&lt;0.15,"Cold",K473&lt;0.25,"Mild",K473&lt;=0.32,"Warm",K473&gt;=0.33,"Hot")</f>
        <v>Mild</v>
      </c>
      <c r="M473" s="36">
        <v>0.13639999999999999</v>
      </c>
      <c r="N473" s="36">
        <v>0.26</v>
      </c>
      <c r="O473" s="36" t="str" cm="1">
        <f t="array" ref="O473">_xlfn.IFS(N473&gt;0.61, "High Humidity", N473&gt;=0.6, "Humid", N473&gt;0.4, "Less Humidity", TRUE, "Dry")</f>
        <v>Dry</v>
      </c>
      <c r="P473" s="36">
        <v>0.35820000000000002</v>
      </c>
      <c r="Q473" s="36" t="str" cm="1">
        <f t="array" ref="Q473">_xlfn.IFS(P473&lt;=0.2,"Low Windspeed",P473&lt;0.4,"Medium Windspeed",P473&gt;=0.41,"High Windspeed")</f>
        <v>Medium Windspeed</v>
      </c>
      <c r="R473" s="36">
        <v>0</v>
      </c>
      <c r="S473" s="36">
        <v>97</v>
      </c>
      <c r="T473" s="37">
        <v>97</v>
      </c>
      <c r="U473" s="39" t="str" cm="1">
        <f t="array" ref="U473">_xlfn.IFS(T473&lt;=70,"Low",T473&lt;=160,"Medium",T473&gt;=161,"High")</f>
        <v>Medium</v>
      </c>
    </row>
    <row r="474" spans="1:21" x14ac:dyDescent="0.25">
      <c r="A474" s="33">
        <v>473</v>
      </c>
      <c r="B474" s="34">
        <v>40564</v>
      </c>
      <c r="C474" s="35">
        <v>1</v>
      </c>
      <c r="D474" s="35">
        <v>0</v>
      </c>
      <c r="E474" s="35">
        <v>1</v>
      </c>
      <c r="F474" s="35">
        <v>17</v>
      </c>
      <c r="G474" s="35" t="str" cm="1">
        <f t="array" ref="G474">_xlfn.IFS(F474&lt;4,"Night",F474&lt;=6,"Early Morning",F474&lt;11,"Morning",F474&lt;12,"Afternoon",F474&lt;=16,"Afternoon",F474&lt;=20,"Evening",F474&gt;=21,"Night")</f>
        <v>Evening</v>
      </c>
      <c r="H474" s="35" t="b">
        <v>0</v>
      </c>
      <c r="I474" s="35">
        <v>5</v>
      </c>
      <c r="J474" s="35">
        <v>1</v>
      </c>
      <c r="K474" s="31">
        <v>0.14000000000000001</v>
      </c>
      <c r="L474" s="31" t="str" cm="1">
        <f t="array" ref="L474">_xlfn.IFS(K474&lt;0.15,"Cold",K474&lt;0.25,"Mild",K474&lt;=0.32,"Warm",K474&gt;=0.33,"Hot")</f>
        <v>Cold</v>
      </c>
      <c r="M474" s="36">
        <v>0.1212</v>
      </c>
      <c r="N474" s="36">
        <v>0.28000000000000003</v>
      </c>
      <c r="O474" s="36" t="str" cm="1">
        <f t="array" ref="O474">_xlfn.IFS(N474&gt;0.61, "High Humidity", N474&gt;=0.6, "Humid", N474&gt;0.4, "Less Humidity", TRUE, "Dry")</f>
        <v>Dry</v>
      </c>
      <c r="P474" s="36">
        <v>0.35820000000000002</v>
      </c>
      <c r="Q474" s="36" t="str" cm="1">
        <f t="array" ref="Q474">_xlfn.IFS(P474&lt;=0.2,"Low Windspeed",P474&lt;0.4,"Medium Windspeed",P474&gt;=0.41,"High Windspeed")</f>
        <v>Medium Windspeed</v>
      </c>
      <c r="R474" s="36">
        <v>10</v>
      </c>
      <c r="S474" s="36">
        <v>151</v>
      </c>
      <c r="T474" s="37">
        <v>161</v>
      </c>
      <c r="U474" s="39" t="str" cm="1">
        <f t="array" ref="U474">_xlfn.IFS(T474&lt;=70,"Low",T474&lt;=160,"Medium",T474&gt;=161,"High")</f>
        <v>High</v>
      </c>
    </row>
    <row r="475" spans="1:21" x14ac:dyDescent="0.25">
      <c r="A475" s="33">
        <v>474</v>
      </c>
      <c r="B475" s="34">
        <v>40564</v>
      </c>
      <c r="C475" s="35">
        <v>1</v>
      </c>
      <c r="D475" s="35">
        <v>0</v>
      </c>
      <c r="E475" s="35">
        <v>1</v>
      </c>
      <c r="F475" s="35">
        <v>18</v>
      </c>
      <c r="G475" s="35" t="str" cm="1">
        <f t="array" ref="G475">_xlfn.IFS(F475&lt;4,"Night",F475&lt;=6,"Early Morning",F475&lt;11,"Morning",F475&lt;12,"Afternoon",F475&lt;=16,"Afternoon",F475&lt;=20,"Evening",F475&gt;=21,"Night")</f>
        <v>Evening</v>
      </c>
      <c r="H475" s="35" t="b">
        <v>0</v>
      </c>
      <c r="I475" s="35">
        <v>5</v>
      </c>
      <c r="J475" s="35">
        <v>1</v>
      </c>
      <c r="K475" s="31">
        <v>0.12</v>
      </c>
      <c r="L475" s="31" t="str" cm="1">
        <f t="array" ref="L475">_xlfn.IFS(K475&lt;0.15,"Cold",K475&lt;0.25,"Mild",K475&lt;=0.32,"Warm",K475&gt;=0.33,"Hot")</f>
        <v>Cold</v>
      </c>
      <c r="M475" s="36">
        <v>0.1212</v>
      </c>
      <c r="N475" s="36">
        <v>0.3</v>
      </c>
      <c r="O475" s="36" t="str" cm="1">
        <f t="array" ref="O475">_xlfn.IFS(N475&gt;0.61, "High Humidity", N475&gt;=0.6, "Humid", N475&gt;0.4, "Less Humidity", TRUE, "Dry")</f>
        <v>Dry</v>
      </c>
      <c r="P475" s="36">
        <v>0.25369999999999998</v>
      </c>
      <c r="Q475" s="36" t="str" cm="1">
        <f t="array" ref="Q475">_xlfn.IFS(P475&lt;=0.2,"Low Windspeed",P475&lt;0.4,"Medium Windspeed",P475&gt;=0.41,"High Windspeed")</f>
        <v>Medium Windspeed</v>
      </c>
      <c r="R475" s="36">
        <v>1</v>
      </c>
      <c r="S475" s="36">
        <v>119</v>
      </c>
      <c r="T475" s="37">
        <v>120</v>
      </c>
      <c r="U475" s="39" t="str" cm="1">
        <f t="array" ref="U475">_xlfn.IFS(T475&lt;=70,"Low",T475&lt;=160,"Medium",T475&gt;=161,"High")</f>
        <v>Medium</v>
      </c>
    </row>
    <row r="476" spans="1:21" x14ac:dyDescent="0.25">
      <c r="A476" s="33">
        <v>475</v>
      </c>
      <c r="B476" s="34">
        <v>40564</v>
      </c>
      <c r="C476" s="35">
        <v>1</v>
      </c>
      <c r="D476" s="35">
        <v>0</v>
      </c>
      <c r="E476" s="35">
        <v>1</v>
      </c>
      <c r="F476" s="35">
        <v>19</v>
      </c>
      <c r="G476" s="35" t="str" cm="1">
        <f t="array" ref="G476">_xlfn.IFS(F476&lt;4,"Night",F476&lt;=6,"Early Morning",F476&lt;11,"Morning",F476&lt;12,"Afternoon",F476&lt;=16,"Afternoon",F476&lt;=20,"Evening",F476&gt;=21,"Night")</f>
        <v>Evening</v>
      </c>
      <c r="H476" s="35" t="b">
        <v>0</v>
      </c>
      <c r="I476" s="35">
        <v>5</v>
      </c>
      <c r="J476" s="35">
        <v>1</v>
      </c>
      <c r="K476" s="31">
        <v>0.12</v>
      </c>
      <c r="L476" s="31" t="str" cm="1">
        <f t="array" ref="L476">_xlfn.IFS(K476&lt;0.15,"Cold",K476&lt;0.25,"Mild",K476&lt;=0.32,"Warm",K476&gt;=0.33,"Hot")</f>
        <v>Cold</v>
      </c>
      <c r="M476" s="36">
        <v>0.1061</v>
      </c>
      <c r="N476" s="36">
        <v>0.3</v>
      </c>
      <c r="O476" s="36" t="str" cm="1">
        <f t="array" ref="O476">_xlfn.IFS(N476&gt;0.61, "High Humidity", N476&gt;=0.6, "Humid", N476&gt;0.4, "Less Humidity", TRUE, "Dry")</f>
        <v>Dry</v>
      </c>
      <c r="P476" s="36">
        <v>0.32840000000000003</v>
      </c>
      <c r="Q476" s="36" t="str" cm="1">
        <f t="array" ref="Q476">_xlfn.IFS(P476&lt;=0.2,"Low Windspeed",P476&lt;0.4,"Medium Windspeed",P476&gt;=0.41,"High Windspeed")</f>
        <v>Medium Windspeed</v>
      </c>
      <c r="R476" s="36">
        <v>3</v>
      </c>
      <c r="S476" s="36">
        <v>93</v>
      </c>
      <c r="T476" s="37">
        <v>96</v>
      </c>
      <c r="U476" s="39" t="str" cm="1">
        <f t="array" ref="U476">_xlfn.IFS(T476&lt;=70,"Low",T476&lt;=160,"Medium",T476&gt;=161,"High")</f>
        <v>Medium</v>
      </c>
    </row>
    <row r="477" spans="1:21" x14ac:dyDescent="0.25">
      <c r="A477" s="33">
        <v>476</v>
      </c>
      <c r="B477" s="34">
        <v>40564</v>
      </c>
      <c r="C477" s="35">
        <v>1</v>
      </c>
      <c r="D477" s="35">
        <v>0</v>
      </c>
      <c r="E477" s="35">
        <v>1</v>
      </c>
      <c r="F477" s="35">
        <v>20</v>
      </c>
      <c r="G477" s="35" t="str" cm="1">
        <f t="array" ref="G477">_xlfn.IFS(F477&lt;4,"Night",F477&lt;=6,"Early Morning",F477&lt;11,"Morning",F477&lt;12,"Afternoon",F477&lt;=16,"Afternoon",F477&lt;=20,"Evening",F477&gt;=21,"Night")</f>
        <v>Evening</v>
      </c>
      <c r="H477" s="35" t="b">
        <v>0</v>
      </c>
      <c r="I477" s="35">
        <v>5</v>
      </c>
      <c r="J477" s="35">
        <v>1</v>
      </c>
      <c r="K477" s="31">
        <v>0.1</v>
      </c>
      <c r="L477" s="31" t="str" cm="1">
        <f t="array" ref="L477">_xlfn.IFS(K477&lt;0.15,"Cold",K477&lt;0.25,"Mild",K477&lt;=0.32,"Warm",K477&gt;=0.33,"Hot")</f>
        <v>Cold</v>
      </c>
      <c r="M477" s="36">
        <v>7.5800000000000006E-2</v>
      </c>
      <c r="N477" s="36">
        <v>0.33</v>
      </c>
      <c r="O477" s="36" t="str" cm="1">
        <f t="array" ref="O477">_xlfn.IFS(N477&gt;0.61, "High Humidity", N477&gt;=0.6, "Humid", N477&gt;0.4, "Less Humidity", TRUE, "Dry")</f>
        <v>Dry</v>
      </c>
      <c r="P477" s="36">
        <v>0.41789999999999999</v>
      </c>
      <c r="Q477" s="36" t="str" cm="1">
        <f t="array" ref="Q477">_xlfn.IFS(P477&lt;=0.2,"Low Windspeed",P477&lt;0.4,"Medium Windspeed",P477&gt;=0.41,"High Windspeed")</f>
        <v>High Windspeed</v>
      </c>
      <c r="R477" s="36">
        <v>1</v>
      </c>
      <c r="S477" s="36">
        <v>52</v>
      </c>
      <c r="T477" s="37">
        <v>53</v>
      </c>
      <c r="U477" s="39" t="str" cm="1">
        <f t="array" ref="U477">_xlfn.IFS(T477&lt;=70,"Low",T477&lt;=160,"Medium",T477&gt;=161,"High")</f>
        <v>Low</v>
      </c>
    </row>
    <row r="478" spans="1:21" x14ac:dyDescent="0.25">
      <c r="A478" s="33">
        <v>477</v>
      </c>
      <c r="B478" s="34">
        <v>40564</v>
      </c>
      <c r="C478" s="35">
        <v>1</v>
      </c>
      <c r="D478" s="35">
        <v>0</v>
      </c>
      <c r="E478" s="35">
        <v>1</v>
      </c>
      <c r="F478" s="35">
        <v>21</v>
      </c>
      <c r="G478" s="35" t="str" cm="1">
        <f t="array" ref="G478">_xlfn.IFS(F478&lt;4,"Night",F478&lt;=6,"Early Morning",F478&lt;11,"Morning",F478&lt;12,"Afternoon",F478&lt;=16,"Afternoon",F478&lt;=20,"Evening",F478&gt;=21,"Night")</f>
        <v>Night</v>
      </c>
      <c r="H478" s="35" t="b">
        <v>0</v>
      </c>
      <c r="I478" s="35">
        <v>5</v>
      </c>
      <c r="J478" s="35">
        <v>1</v>
      </c>
      <c r="K478" s="31">
        <v>0.08</v>
      </c>
      <c r="L478" s="31" t="str" cm="1">
        <f t="array" ref="L478">_xlfn.IFS(K478&lt;0.15,"Cold",K478&lt;0.25,"Mild",K478&lt;=0.32,"Warm",K478&gt;=0.33,"Hot")</f>
        <v>Cold</v>
      </c>
      <c r="M478" s="36">
        <v>7.5800000000000006E-2</v>
      </c>
      <c r="N478" s="36">
        <v>0.38</v>
      </c>
      <c r="O478" s="36" t="str" cm="1">
        <f t="array" ref="O478">_xlfn.IFS(N478&gt;0.61, "High Humidity", N478&gt;=0.6, "Humid", N478&gt;0.4, "Less Humidity", TRUE, "Dry")</f>
        <v>Dry</v>
      </c>
      <c r="P478" s="36">
        <v>0.28360000000000002</v>
      </c>
      <c r="Q478" s="36" t="str" cm="1">
        <f t="array" ref="Q478">_xlfn.IFS(P478&lt;=0.2,"Low Windspeed",P478&lt;0.4,"Medium Windspeed",P478&gt;=0.41,"High Windspeed")</f>
        <v>Medium Windspeed</v>
      </c>
      <c r="R478" s="36">
        <v>0</v>
      </c>
      <c r="S478" s="36">
        <v>41</v>
      </c>
      <c r="T478" s="37">
        <v>41</v>
      </c>
      <c r="U478" s="39" t="str" cm="1">
        <f t="array" ref="U478">_xlfn.IFS(T478&lt;=70,"Low",T478&lt;=160,"Medium",T478&gt;=161,"High")</f>
        <v>Low</v>
      </c>
    </row>
    <row r="479" spans="1:21" x14ac:dyDescent="0.25">
      <c r="A479" s="33">
        <v>478</v>
      </c>
      <c r="B479" s="34">
        <v>40564</v>
      </c>
      <c r="C479" s="35">
        <v>1</v>
      </c>
      <c r="D479" s="35">
        <v>0</v>
      </c>
      <c r="E479" s="35">
        <v>1</v>
      </c>
      <c r="F479" s="35">
        <v>22</v>
      </c>
      <c r="G479" s="35" t="str" cm="1">
        <f t="array" ref="G479">_xlfn.IFS(F479&lt;4,"Night",F479&lt;=6,"Early Morning",F479&lt;11,"Morning",F479&lt;12,"Afternoon",F479&lt;=16,"Afternoon",F479&lt;=20,"Evening",F479&gt;=21,"Night")</f>
        <v>Night</v>
      </c>
      <c r="H479" s="35" t="b">
        <v>0</v>
      </c>
      <c r="I479" s="35">
        <v>5</v>
      </c>
      <c r="J479" s="35">
        <v>1</v>
      </c>
      <c r="K479" s="31">
        <v>0.06</v>
      </c>
      <c r="L479" s="31" t="str" cm="1">
        <f t="array" ref="L479">_xlfn.IFS(K479&lt;0.15,"Cold",K479&lt;0.25,"Mild",K479&lt;=0.32,"Warm",K479&gt;=0.33,"Hot")</f>
        <v>Cold</v>
      </c>
      <c r="M479" s="36">
        <v>3.0300000000000001E-2</v>
      </c>
      <c r="N479" s="36">
        <v>0.41</v>
      </c>
      <c r="O479" s="36" t="str" cm="1">
        <f t="array" ref="O479">_xlfn.IFS(N479&gt;0.61, "High Humidity", N479&gt;=0.6, "Humid", N479&gt;0.4, "Less Humidity", TRUE, "Dry")</f>
        <v>Less Humidity</v>
      </c>
      <c r="P479" s="36">
        <v>0.3881</v>
      </c>
      <c r="Q479" s="36" t="str" cm="1">
        <f t="array" ref="Q479">_xlfn.IFS(P479&lt;=0.2,"Low Windspeed",P479&lt;0.4,"Medium Windspeed",P479&gt;=0.41,"High Windspeed")</f>
        <v>Medium Windspeed</v>
      </c>
      <c r="R479" s="36">
        <v>1</v>
      </c>
      <c r="S479" s="36">
        <v>33</v>
      </c>
      <c r="T479" s="37">
        <v>34</v>
      </c>
      <c r="U479" s="39" t="str" cm="1">
        <f t="array" ref="U479">_xlfn.IFS(T479&lt;=70,"Low",T479&lt;=160,"Medium",T479&gt;=161,"High")</f>
        <v>Low</v>
      </c>
    </row>
    <row r="480" spans="1:21" x14ac:dyDescent="0.25">
      <c r="A480" s="33">
        <v>479</v>
      </c>
      <c r="B480" s="34">
        <v>40564</v>
      </c>
      <c r="C480" s="35">
        <v>1</v>
      </c>
      <c r="D480" s="35">
        <v>0</v>
      </c>
      <c r="E480" s="35">
        <v>1</v>
      </c>
      <c r="F480" s="35">
        <v>23</v>
      </c>
      <c r="G480" s="35" t="str" cm="1">
        <f t="array" ref="G480">_xlfn.IFS(F480&lt;4,"Night",F480&lt;=6,"Early Morning",F480&lt;11,"Morning",F480&lt;12,"Afternoon",F480&lt;=16,"Afternoon",F480&lt;=20,"Evening",F480&gt;=21,"Night")</f>
        <v>Night</v>
      </c>
      <c r="H480" s="35" t="b">
        <v>0</v>
      </c>
      <c r="I480" s="35">
        <v>5</v>
      </c>
      <c r="J480" s="35">
        <v>1</v>
      </c>
      <c r="K480" s="31">
        <v>0.06</v>
      </c>
      <c r="L480" s="31" t="str" cm="1">
        <f t="array" ref="L480">_xlfn.IFS(K480&lt;0.15,"Cold",K480&lt;0.25,"Mild",K480&lt;=0.32,"Warm",K480&gt;=0.33,"Hot")</f>
        <v>Cold</v>
      </c>
      <c r="M480" s="36">
        <v>4.5499999999999999E-2</v>
      </c>
      <c r="N480" s="36">
        <v>0.38</v>
      </c>
      <c r="O480" s="36" t="str" cm="1">
        <f t="array" ref="O480">_xlfn.IFS(N480&gt;0.61, "High Humidity", N480&gt;=0.6, "Humid", N480&gt;0.4, "Less Humidity", TRUE, "Dry")</f>
        <v>Dry</v>
      </c>
      <c r="P480" s="36">
        <v>0.32840000000000003</v>
      </c>
      <c r="Q480" s="36" t="str" cm="1">
        <f t="array" ref="Q480">_xlfn.IFS(P480&lt;=0.2,"Low Windspeed",P480&lt;0.4,"Medium Windspeed",P480&gt;=0.41,"High Windspeed")</f>
        <v>Medium Windspeed</v>
      </c>
      <c r="R480" s="36">
        <v>0</v>
      </c>
      <c r="S480" s="36">
        <v>27</v>
      </c>
      <c r="T480" s="37">
        <v>27</v>
      </c>
      <c r="U480" s="39" t="str" cm="1">
        <f t="array" ref="U480">_xlfn.IFS(T480&lt;=70,"Low",T480&lt;=160,"Medium",T480&gt;=161,"High")</f>
        <v>Low</v>
      </c>
    </row>
    <row r="481" spans="1:21" x14ac:dyDescent="0.25">
      <c r="A481" s="33">
        <v>480</v>
      </c>
      <c r="B481" s="34">
        <v>40565</v>
      </c>
      <c r="C481" s="35">
        <v>1</v>
      </c>
      <c r="D481" s="35">
        <v>0</v>
      </c>
      <c r="E481" s="35">
        <v>1</v>
      </c>
      <c r="F481" s="35">
        <v>0</v>
      </c>
      <c r="G481" s="35" t="str" cm="1">
        <f t="array" ref="G481">_xlfn.IFS(F481&lt;4,"Night",F481&lt;=6,"Early Morning",F481&lt;11,"Morning",F481&lt;12,"Afternoon",F481&lt;=16,"Afternoon",F481&lt;=20,"Evening",F481&gt;=21,"Night")</f>
        <v>Night</v>
      </c>
      <c r="H481" s="35" t="b">
        <v>0</v>
      </c>
      <c r="I481" s="35">
        <v>6</v>
      </c>
      <c r="J481" s="35">
        <v>1</v>
      </c>
      <c r="K481" s="31">
        <v>0.04</v>
      </c>
      <c r="L481" s="31" t="str" cm="1">
        <f t="array" ref="L481">_xlfn.IFS(K481&lt;0.15,"Cold",K481&lt;0.25,"Mild",K481&lt;=0.32,"Warm",K481&gt;=0.33,"Hot")</f>
        <v>Cold</v>
      </c>
      <c r="M481" s="36">
        <v>3.0300000000000001E-2</v>
      </c>
      <c r="N481" s="36">
        <v>0.45</v>
      </c>
      <c r="O481" s="36" t="str" cm="1">
        <f t="array" ref="O481">_xlfn.IFS(N481&gt;0.61, "High Humidity", N481&gt;=0.6, "Humid", N481&gt;0.4, "Less Humidity", TRUE, "Dry")</f>
        <v>Less Humidity</v>
      </c>
      <c r="P481" s="36">
        <v>0.25369999999999998</v>
      </c>
      <c r="Q481" s="36" t="str" cm="1">
        <f t="array" ref="Q481">_xlfn.IFS(P481&lt;=0.2,"Low Windspeed",P481&lt;0.4,"Medium Windspeed",P481&gt;=0.41,"High Windspeed")</f>
        <v>Medium Windspeed</v>
      </c>
      <c r="R481" s="36">
        <v>0</v>
      </c>
      <c r="S481" s="36">
        <v>13</v>
      </c>
      <c r="T481" s="37">
        <v>13</v>
      </c>
      <c r="U481" s="39" t="str" cm="1">
        <f t="array" ref="U481">_xlfn.IFS(T481&lt;=70,"Low",T481&lt;=160,"Medium",T481&gt;=161,"High")</f>
        <v>Low</v>
      </c>
    </row>
    <row r="482" spans="1:21" x14ac:dyDescent="0.25">
      <c r="A482" s="33">
        <v>481</v>
      </c>
      <c r="B482" s="34">
        <v>40565</v>
      </c>
      <c r="C482" s="35">
        <v>1</v>
      </c>
      <c r="D482" s="35">
        <v>0</v>
      </c>
      <c r="E482" s="35">
        <v>1</v>
      </c>
      <c r="F482" s="35">
        <v>1</v>
      </c>
      <c r="G482" s="35" t="str" cm="1">
        <f t="array" ref="G482">_xlfn.IFS(F482&lt;4,"Night",F482&lt;=6,"Early Morning",F482&lt;11,"Morning",F482&lt;12,"Afternoon",F482&lt;=16,"Afternoon",F482&lt;=20,"Evening",F482&gt;=21,"Night")</f>
        <v>Night</v>
      </c>
      <c r="H482" s="35" t="b">
        <v>0</v>
      </c>
      <c r="I482" s="35">
        <v>6</v>
      </c>
      <c r="J482" s="35">
        <v>2</v>
      </c>
      <c r="K482" s="31">
        <v>0.04</v>
      </c>
      <c r="L482" s="31" t="str" cm="1">
        <f t="array" ref="L482">_xlfn.IFS(K482&lt;0.15,"Cold",K482&lt;0.25,"Mild",K482&lt;=0.32,"Warm",K482&gt;=0.33,"Hot")</f>
        <v>Cold</v>
      </c>
      <c r="M482" s="36">
        <v>0</v>
      </c>
      <c r="N482" s="36">
        <v>0.41</v>
      </c>
      <c r="O482" s="36" t="str" cm="1">
        <f t="array" ref="O482">_xlfn.IFS(N482&gt;0.61, "High Humidity", N482&gt;=0.6, "Humid", N482&gt;0.4, "Less Humidity", TRUE, "Dry")</f>
        <v>Less Humidity</v>
      </c>
      <c r="P482" s="36">
        <v>0.3881</v>
      </c>
      <c r="Q482" s="36" t="str" cm="1">
        <f t="array" ref="Q482">_xlfn.IFS(P482&lt;=0.2,"Low Windspeed",P482&lt;0.4,"Medium Windspeed",P482&gt;=0.41,"High Windspeed")</f>
        <v>Medium Windspeed</v>
      </c>
      <c r="R482" s="36">
        <v>3</v>
      </c>
      <c r="S482" s="36">
        <v>9</v>
      </c>
      <c r="T482" s="37">
        <v>12</v>
      </c>
      <c r="U482" s="39" t="str" cm="1">
        <f t="array" ref="U482">_xlfn.IFS(T482&lt;=70,"Low",T482&lt;=160,"Medium",T482&gt;=161,"High")</f>
        <v>Low</v>
      </c>
    </row>
    <row r="483" spans="1:21" x14ac:dyDescent="0.25">
      <c r="A483" s="33">
        <v>482</v>
      </c>
      <c r="B483" s="34">
        <v>40565</v>
      </c>
      <c r="C483" s="35">
        <v>1</v>
      </c>
      <c r="D483" s="35">
        <v>0</v>
      </c>
      <c r="E483" s="35">
        <v>1</v>
      </c>
      <c r="F483" s="35">
        <v>2</v>
      </c>
      <c r="G483" s="35" t="str" cm="1">
        <f t="array" ref="G483">_xlfn.IFS(F483&lt;4,"Night",F483&lt;=6,"Early Morning",F483&lt;11,"Morning",F483&lt;12,"Afternoon",F483&lt;=16,"Afternoon",F483&lt;=20,"Evening",F483&gt;=21,"Night")</f>
        <v>Night</v>
      </c>
      <c r="H483" s="35" t="b">
        <v>0</v>
      </c>
      <c r="I483" s="35">
        <v>6</v>
      </c>
      <c r="J483" s="35">
        <v>2</v>
      </c>
      <c r="K483" s="31">
        <v>0.04</v>
      </c>
      <c r="L483" s="31" t="str" cm="1">
        <f t="array" ref="L483">_xlfn.IFS(K483&lt;0.15,"Cold",K483&lt;0.25,"Mild",K483&lt;=0.32,"Warm",K483&gt;=0.33,"Hot")</f>
        <v>Cold</v>
      </c>
      <c r="M483" s="36">
        <v>3.0300000000000001E-2</v>
      </c>
      <c r="N483" s="36">
        <v>0.41</v>
      </c>
      <c r="O483" s="36" t="str" cm="1">
        <f t="array" ref="O483">_xlfn.IFS(N483&gt;0.61, "High Humidity", N483&gt;=0.6, "Humid", N483&gt;0.4, "Less Humidity", TRUE, "Dry")</f>
        <v>Less Humidity</v>
      </c>
      <c r="P483" s="36">
        <v>0.25369999999999998</v>
      </c>
      <c r="Q483" s="36" t="str" cm="1">
        <f t="array" ref="Q483">_xlfn.IFS(P483&lt;=0.2,"Low Windspeed",P483&lt;0.4,"Medium Windspeed",P483&gt;=0.41,"High Windspeed")</f>
        <v>Medium Windspeed</v>
      </c>
      <c r="R483" s="36">
        <v>0</v>
      </c>
      <c r="S483" s="36">
        <v>11</v>
      </c>
      <c r="T483" s="37">
        <v>11</v>
      </c>
      <c r="U483" s="39" t="str" cm="1">
        <f t="array" ref="U483">_xlfn.IFS(T483&lt;=70,"Low",T483&lt;=160,"Medium",T483&gt;=161,"High")</f>
        <v>Low</v>
      </c>
    </row>
    <row r="484" spans="1:21" x14ac:dyDescent="0.25">
      <c r="A484" s="33">
        <v>483</v>
      </c>
      <c r="B484" s="34">
        <v>40565</v>
      </c>
      <c r="C484" s="35">
        <v>1</v>
      </c>
      <c r="D484" s="35">
        <v>0</v>
      </c>
      <c r="E484" s="35">
        <v>1</v>
      </c>
      <c r="F484" s="35">
        <v>3</v>
      </c>
      <c r="G484" s="35" t="str" cm="1">
        <f t="array" ref="G484">_xlfn.IFS(F484&lt;4,"Night",F484&lt;=6,"Early Morning",F484&lt;11,"Morning",F484&lt;12,"Afternoon",F484&lt;=16,"Afternoon",F484&lt;=20,"Evening",F484&gt;=21,"Night")</f>
        <v>Night</v>
      </c>
      <c r="H484" s="35" t="b">
        <v>0</v>
      </c>
      <c r="I484" s="35">
        <v>6</v>
      </c>
      <c r="J484" s="35">
        <v>2</v>
      </c>
      <c r="K484" s="31">
        <v>0.04</v>
      </c>
      <c r="L484" s="31" t="str" cm="1">
        <f t="array" ref="L484">_xlfn.IFS(K484&lt;0.15,"Cold",K484&lt;0.25,"Mild",K484&lt;=0.32,"Warm",K484&gt;=0.33,"Hot")</f>
        <v>Cold</v>
      </c>
      <c r="M484" s="36">
        <v>3.0300000000000001E-2</v>
      </c>
      <c r="N484" s="36">
        <v>0.41</v>
      </c>
      <c r="O484" s="36" t="str" cm="1">
        <f t="array" ref="O484">_xlfn.IFS(N484&gt;0.61, "High Humidity", N484&gt;=0.6, "Humid", N484&gt;0.4, "Less Humidity", TRUE, "Dry")</f>
        <v>Less Humidity</v>
      </c>
      <c r="P484" s="36">
        <v>0.28360000000000002</v>
      </c>
      <c r="Q484" s="36" t="str" cm="1">
        <f t="array" ref="Q484">_xlfn.IFS(P484&lt;=0.2,"Low Windspeed",P484&lt;0.4,"Medium Windspeed",P484&gt;=0.41,"High Windspeed")</f>
        <v>Medium Windspeed</v>
      </c>
      <c r="R484" s="36">
        <v>1</v>
      </c>
      <c r="S484" s="36">
        <v>6</v>
      </c>
      <c r="T484" s="37">
        <v>7</v>
      </c>
      <c r="U484" s="39" t="str" cm="1">
        <f t="array" ref="U484">_xlfn.IFS(T484&lt;=70,"Low",T484&lt;=160,"Medium",T484&gt;=161,"High")</f>
        <v>Low</v>
      </c>
    </row>
    <row r="485" spans="1:21" x14ac:dyDescent="0.25">
      <c r="A485" s="33">
        <v>484</v>
      </c>
      <c r="B485" s="34">
        <v>40565</v>
      </c>
      <c r="C485" s="35">
        <v>1</v>
      </c>
      <c r="D485" s="35">
        <v>0</v>
      </c>
      <c r="E485" s="35">
        <v>1</v>
      </c>
      <c r="F485" s="35">
        <v>4</v>
      </c>
      <c r="G485" s="35" t="str" cm="1">
        <f t="array" ref="G485">_xlfn.IFS(F485&lt;4,"Night",F485&lt;=6,"Early Morning",F485&lt;11,"Morning",F485&lt;12,"Afternoon",F485&lt;=16,"Afternoon",F485&lt;=20,"Evening",F485&gt;=21,"Night")</f>
        <v>Early Morning</v>
      </c>
      <c r="H485" s="35" t="b">
        <v>0</v>
      </c>
      <c r="I485" s="35">
        <v>6</v>
      </c>
      <c r="J485" s="35">
        <v>2</v>
      </c>
      <c r="K485" s="31">
        <v>0.02</v>
      </c>
      <c r="L485" s="31" t="str" cm="1">
        <f t="array" ref="L485">_xlfn.IFS(K485&lt;0.15,"Cold",K485&lt;0.25,"Mild",K485&lt;=0.32,"Warm",K485&gt;=0.33,"Hot")</f>
        <v>Cold</v>
      </c>
      <c r="M485" s="36">
        <v>1.52E-2</v>
      </c>
      <c r="N485" s="36">
        <v>0.48</v>
      </c>
      <c r="O485" s="36" t="str" cm="1">
        <f t="array" ref="O485">_xlfn.IFS(N485&gt;0.61, "High Humidity", N485&gt;=0.6, "Humid", N485&gt;0.4, "Less Humidity", TRUE, "Dry")</f>
        <v>Less Humidity</v>
      </c>
      <c r="P485" s="36">
        <v>0.29849999999999999</v>
      </c>
      <c r="Q485" s="36" t="str" cm="1">
        <f t="array" ref="Q485">_xlfn.IFS(P485&lt;=0.2,"Low Windspeed",P485&lt;0.4,"Medium Windspeed",P485&gt;=0.41,"High Windspeed")</f>
        <v>Medium Windspeed</v>
      </c>
      <c r="R485" s="36">
        <v>0</v>
      </c>
      <c r="S485" s="36">
        <v>3</v>
      </c>
      <c r="T485" s="37">
        <v>3</v>
      </c>
      <c r="U485" s="39" t="str" cm="1">
        <f t="array" ref="U485">_xlfn.IFS(T485&lt;=70,"Low",T485&lt;=160,"Medium",T485&gt;=161,"High")</f>
        <v>Low</v>
      </c>
    </row>
    <row r="486" spans="1:21" x14ac:dyDescent="0.25">
      <c r="A486" s="33">
        <v>485</v>
      </c>
      <c r="B486" s="34">
        <v>40565</v>
      </c>
      <c r="C486" s="35">
        <v>1</v>
      </c>
      <c r="D486" s="35">
        <v>0</v>
      </c>
      <c r="E486" s="35">
        <v>1</v>
      </c>
      <c r="F486" s="35">
        <v>6</v>
      </c>
      <c r="G486" s="35" t="str" cm="1">
        <f t="array" ref="G486">_xlfn.IFS(F486&lt;4,"Night",F486&lt;=6,"Early Morning",F486&lt;11,"Morning",F486&lt;12,"Afternoon",F486&lt;=16,"Afternoon",F486&lt;=20,"Evening",F486&gt;=21,"Night")</f>
        <v>Early Morning</v>
      </c>
      <c r="H486" s="35" t="b">
        <v>0</v>
      </c>
      <c r="I486" s="35">
        <v>6</v>
      </c>
      <c r="J486" s="35">
        <v>2</v>
      </c>
      <c r="K486" s="31">
        <v>0.02</v>
      </c>
      <c r="L486" s="31" t="str" cm="1">
        <f t="array" ref="L486">_xlfn.IFS(K486&lt;0.15,"Cold",K486&lt;0.25,"Mild",K486&lt;=0.32,"Warm",K486&gt;=0.33,"Hot")</f>
        <v>Cold</v>
      </c>
      <c r="M486" s="36">
        <v>3.0300000000000001E-2</v>
      </c>
      <c r="N486" s="36">
        <v>0.44</v>
      </c>
      <c r="O486" s="36" t="str" cm="1">
        <f t="array" ref="O486">_xlfn.IFS(N486&gt;0.61, "High Humidity", N486&gt;=0.6, "Humid", N486&gt;0.4, "Less Humidity", TRUE, "Dry")</f>
        <v>Less Humidity</v>
      </c>
      <c r="P486" s="36">
        <v>0.22389999999999999</v>
      </c>
      <c r="Q486" s="36" t="str" cm="1">
        <f t="array" ref="Q486">_xlfn.IFS(P486&lt;=0.2,"Low Windspeed",P486&lt;0.4,"Medium Windspeed",P486&gt;=0.41,"High Windspeed")</f>
        <v>Medium Windspeed</v>
      </c>
      <c r="R486" s="36">
        <v>0</v>
      </c>
      <c r="S486" s="36">
        <v>2</v>
      </c>
      <c r="T486" s="37">
        <v>2</v>
      </c>
      <c r="U486" s="39" t="str" cm="1">
        <f t="array" ref="U486">_xlfn.IFS(T486&lt;=70,"Low",T486&lt;=160,"Medium",T486&gt;=161,"High")</f>
        <v>Low</v>
      </c>
    </row>
    <row r="487" spans="1:21" x14ac:dyDescent="0.25">
      <c r="A487" s="33">
        <v>486</v>
      </c>
      <c r="B487" s="34">
        <v>40565</v>
      </c>
      <c r="C487" s="35">
        <v>1</v>
      </c>
      <c r="D487" s="35">
        <v>0</v>
      </c>
      <c r="E487" s="35">
        <v>1</v>
      </c>
      <c r="F487" s="35">
        <v>7</v>
      </c>
      <c r="G487" s="35" t="str" cm="1">
        <f t="array" ref="G487">_xlfn.IFS(F487&lt;4,"Night",F487&lt;=6,"Early Morning",F487&lt;11,"Morning",F487&lt;12,"Afternoon",F487&lt;=16,"Afternoon",F487&lt;=20,"Evening",F487&gt;=21,"Night")</f>
        <v>Morning</v>
      </c>
      <c r="H487" s="35" t="b">
        <v>0</v>
      </c>
      <c r="I487" s="35">
        <v>6</v>
      </c>
      <c r="J487" s="35">
        <v>1</v>
      </c>
      <c r="K487" s="31">
        <v>0.02</v>
      </c>
      <c r="L487" s="31" t="str" cm="1">
        <f t="array" ref="L487">_xlfn.IFS(K487&lt;0.15,"Cold",K487&lt;0.25,"Mild",K487&lt;=0.32,"Warm",K487&gt;=0.33,"Hot")</f>
        <v>Cold</v>
      </c>
      <c r="M487" s="36">
        <v>1.52E-2</v>
      </c>
      <c r="N487" s="36">
        <v>0.44</v>
      </c>
      <c r="O487" s="36" t="str" cm="1">
        <f t="array" ref="O487">_xlfn.IFS(N487&gt;0.61, "High Humidity", N487&gt;=0.6, "Humid", N487&gt;0.4, "Less Humidity", TRUE, "Dry")</f>
        <v>Less Humidity</v>
      </c>
      <c r="P487" s="36">
        <v>0.28360000000000002</v>
      </c>
      <c r="Q487" s="36" t="str" cm="1">
        <f t="array" ref="Q487">_xlfn.IFS(P487&lt;=0.2,"Low Windspeed",P487&lt;0.4,"Medium Windspeed",P487&gt;=0.41,"High Windspeed")</f>
        <v>Medium Windspeed</v>
      </c>
      <c r="R487" s="36">
        <v>0</v>
      </c>
      <c r="S487" s="36">
        <v>8</v>
      </c>
      <c r="T487" s="37">
        <v>8</v>
      </c>
      <c r="U487" s="39" t="str" cm="1">
        <f t="array" ref="U487">_xlfn.IFS(T487&lt;=70,"Low",T487&lt;=160,"Medium",T487&gt;=161,"High")</f>
        <v>Low</v>
      </c>
    </row>
    <row r="488" spans="1:21" x14ac:dyDescent="0.25">
      <c r="A488" s="33">
        <v>487</v>
      </c>
      <c r="B488" s="34">
        <v>40565</v>
      </c>
      <c r="C488" s="35">
        <v>1</v>
      </c>
      <c r="D488" s="35">
        <v>0</v>
      </c>
      <c r="E488" s="35">
        <v>1</v>
      </c>
      <c r="F488" s="35">
        <v>8</v>
      </c>
      <c r="G488" s="35" t="str" cm="1">
        <f t="array" ref="G488">_xlfn.IFS(F488&lt;4,"Night",F488&lt;=6,"Early Morning",F488&lt;11,"Morning",F488&lt;12,"Afternoon",F488&lt;=16,"Afternoon",F488&lt;=20,"Evening",F488&gt;=21,"Night")</f>
        <v>Morning</v>
      </c>
      <c r="H488" s="35" t="b">
        <v>0</v>
      </c>
      <c r="I488" s="35">
        <v>6</v>
      </c>
      <c r="J488" s="35">
        <v>1</v>
      </c>
      <c r="K488" s="31">
        <v>0.02</v>
      </c>
      <c r="L488" s="31" t="str" cm="1">
        <f t="array" ref="L488">_xlfn.IFS(K488&lt;0.15,"Cold",K488&lt;0.25,"Mild",K488&lt;=0.32,"Warm",K488&gt;=0.33,"Hot")</f>
        <v>Cold</v>
      </c>
      <c r="M488" s="36">
        <v>0</v>
      </c>
      <c r="N488" s="36">
        <v>0.44</v>
      </c>
      <c r="O488" s="36" t="str" cm="1">
        <f t="array" ref="O488">_xlfn.IFS(N488&gt;0.61, "High Humidity", N488&gt;=0.6, "Humid", N488&gt;0.4, "Less Humidity", TRUE, "Dry")</f>
        <v>Less Humidity</v>
      </c>
      <c r="P488" s="36">
        <v>0.32840000000000003</v>
      </c>
      <c r="Q488" s="36" t="str" cm="1">
        <f t="array" ref="Q488">_xlfn.IFS(P488&lt;=0.2,"Low Windspeed",P488&lt;0.4,"Medium Windspeed",P488&gt;=0.41,"High Windspeed")</f>
        <v>Medium Windspeed</v>
      </c>
      <c r="R488" s="36">
        <v>1</v>
      </c>
      <c r="S488" s="36">
        <v>26</v>
      </c>
      <c r="T488" s="37">
        <v>27</v>
      </c>
      <c r="U488" s="39" t="str" cm="1">
        <f t="array" ref="U488">_xlfn.IFS(T488&lt;=70,"Low",T488&lt;=160,"Medium",T488&gt;=161,"High")</f>
        <v>Low</v>
      </c>
    </row>
    <row r="489" spans="1:21" x14ac:dyDescent="0.25">
      <c r="A489" s="33">
        <v>488</v>
      </c>
      <c r="B489" s="34">
        <v>40565</v>
      </c>
      <c r="C489" s="35">
        <v>1</v>
      </c>
      <c r="D489" s="35">
        <v>0</v>
      </c>
      <c r="E489" s="35">
        <v>1</v>
      </c>
      <c r="F489" s="35">
        <v>9</v>
      </c>
      <c r="G489" s="35" t="str" cm="1">
        <f t="array" ref="G489">_xlfn.IFS(F489&lt;4,"Night",F489&lt;=6,"Early Morning",F489&lt;11,"Morning",F489&lt;12,"Afternoon",F489&lt;=16,"Afternoon",F489&lt;=20,"Evening",F489&gt;=21,"Night")</f>
        <v>Morning</v>
      </c>
      <c r="H489" s="35" t="b">
        <v>0</v>
      </c>
      <c r="I489" s="35">
        <v>6</v>
      </c>
      <c r="J489" s="35">
        <v>1</v>
      </c>
      <c r="K489" s="31">
        <v>0.04</v>
      </c>
      <c r="L489" s="31" t="str" cm="1">
        <f t="array" ref="L489">_xlfn.IFS(K489&lt;0.15,"Cold",K489&lt;0.25,"Mild",K489&lt;=0.32,"Warm",K489&gt;=0.33,"Hot")</f>
        <v>Cold</v>
      </c>
      <c r="M489" s="36">
        <v>3.0300000000000001E-2</v>
      </c>
      <c r="N489" s="36">
        <v>0.41</v>
      </c>
      <c r="O489" s="36" t="str" cm="1">
        <f t="array" ref="O489">_xlfn.IFS(N489&gt;0.61, "High Humidity", N489&gt;=0.6, "Humid", N489&gt;0.4, "Less Humidity", TRUE, "Dry")</f>
        <v>Less Humidity</v>
      </c>
      <c r="P489" s="36">
        <v>0.25369999999999998</v>
      </c>
      <c r="Q489" s="36" t="str" cm="1">
        <f t="array" ref="Q489">_xlfn.IFS(P489&lt;=0.2,"Low Windspeed",P489&lt;0.4,"Medium Windspeed",P489&gt;=0.41,"High Windspeed")</f>
        <v>Medium Windspeed</v>
      </c>
      <c r="R489" s="36">
        <v>3</v>
      </c>
      <c r="S489" s="36">
        <v>37</v>
      </c>
      <c r="T489" s="37">
        <v>40</v>
      </c>
      <c r="U489" s="39" t="str" cm="1">
        <f t="array" ref="U489">_xlfn.IFS(T489&lt;=70,"Low",T489&lt;=160,"Medium",T489&gt;=161,"High")</f>
        <v>Low</v>
      </c>
    </row>
    <row r="490" spans="1:21" x14ac:dyDescent="0.25">
      <c r="A490" s="33">
        <v>489</v>
      </c>
      <c r="B490" s="34">
        <v>40565</v>
      </c>
      <c r="C490" s="35">
        <v>1</v>
      </c>
      <c r="D490" s="35">
        <v>0</v>
      </c>
      <c r="E490" s="35">
        <v>1</v>
      </c>
      <c r="F490" s="35">
        <v>10</v>
      </c>
      <c r="G490" s="35" t="str" cm="1">
        <f t="array" ref="G490">_xlfn.IFS(F490&lt;4,"Night",F490&lt;=6,"Early Morning",F490&lt;11,"Morning",F490&lt;12,"Afternoon",F490&lt;=16,"Afternoon",F490&lt;=20,"Evening",F490&gt;=21,"Night")</f>
        <v>Morning</v>
      </c>
      <c r="H490" s="35" t="b">
        <v>0</v>
      </c>
      <c r="I490" s="35">
        <v>6</v>
      </c>
      <c r="J490" s="35">
        <v>2</v>
      </c>
      <c r="K490" s="31">
        <v>0.04</v>
      </c>
      <c r="L490" s="31" t="str" cm="1">
        <f t="array" ref="L490">_xlfn.IFS(K490&lt;0.15,"Cold",K490&lt;0.25,"Mild",K490&lt;=0.32,"Warm",K490&gt;=0.33,"Hot")</f>
        <v>Cold</v>
      </c>
      <c r="M490" s="36">
        <v>6.0600000000000001E-2</v>
      </c>
      <c r="N490" s="36">
        <v>0.41</v>
      </c>
      <c r="O490" s="36" t="str" cm="1">
        <f t="array" ref="O490">_xlfn.IFS(N490&gt;0.61, "High Humidity", N490&gt;=0.6, "Humid", N490&gt;0.4, "Less Humidity", TRUE, "Dry")</f>
        <v>Less Humidity</v>
      </c>
      <c r="P490" s="36">
        <v>0.16420000000000001</v>
      </c>
      <c r="Q490" s="36" t="str" cm="1">
        <f t="array" ref="Q490">_xlfn.IFS(P490&lt;=0.2,"Low Windspeed",P490&lt;0.4,"Medium Windspeed",P490&gt;=0.41,"High Windspeed")</f>
        <v>Low Windspeed</v>
      </c>
      <c r="R490" s="36">
        <v>3</v>
      </c>
      <c r="S490" s="36">
        <v>50</v>
      </c>
      <c r="T490" s="37">
        <v>53</v>
      </c>
      <c r="U490" s="39" t="str" cm="1">
        <f t="array" ref="U490">_xlfn.IFS(T490&lt;=70,"Low",T490&lt;=160,"Medium",T490&gt;=161,"High")</f>
        <v>Low</v>
      </c>
    </row>
    <row r="491" spans="1:21" x14ac:dyDescent="0.25">
      <c r="A491" s="33">
        <v>490</v>
      </c>
      <c r="B491" s="34">
        <v>40565</v>
      </c>
      <c r="C491" s="35">
        <v>1</v>
      </c>
      <c r="D491" s="35">
        <v>0</v>
      </c>
      <c r="E491" s="35">
        <v>1</v>
      </c>
      <c r="F491" s="35">
        <v>11</v>
      </c>
      <c r="G491" s="35" t="str" cm="1">
        <f t="array" ref="G491">_xlfn.IFS(F491&lt;4,"Night",F491&lt;=6,"Early Morning",F491&lt;11,"Morning",F491&lt;12,"Afternoon",F491&lt;=16,"Afternoon",F491&lt;=20,"Evening",F491&gt;=21,"Night")</f>
        <v>Afternoon</v>
      </c>
      <c r="H491" s="35" t="b">
        <v>0</v>
      </c>
      <c r="I491" s="35">
        <v>6</v>
      </c>
      <c r="J491" s="35">
        <v>2</v>
      </c>
      <c r="K491" s="31">
        <v>0.06</v>
      </c>
      <c r="L491" s="31" t="str" cm="1">
        <f t="array" ref="L491">_xlfn.IFS(K491&lt;0.15,"Cold",K491&lt;0.25,"Mild",K491&lt;=0.32,"Warm",K491&gt;=0.33,"Hot")</f>
        <v>Cold</v>
      </c>
      <c r="M491" s="36">
        <v>7.5800000000000006E-2</v>
      </c>
      <c r="N491" s="36">
        <v>0.38</v>
      </c>
      <c r="O491" s="36" t="str" cm="1">
        <f t="array" ref="O491">_xlfn.IFS(N491&gt;0.61, "High Humidity", N491&gt;=0.6, "Humid", N491&gt;0.4, "Less Humidity", TRUE, "Dry")</f>
        <v>Dry</v>
      </c>
      <c r="P491" s="36">
        <v>0.1343</v>
      </c>
      <c r="Q491" s="36" t="str" cm="1">
        <f t="array" ref="Q491">_xlfn.IFS(P491&lt;=0.2,"Low Windspeed",P491&lt;0.4,"Medium Windspeed",P491&gt;=0.41,"High Windspeed")</f>
        <v>Low Windspeed</v>
      </c>
      <c r="R491" s="36">
        <v>4</v>
      </c>
      <c r="S491" s="36">
        <v>59</v>
      </c>
      <c r="T491" s="37">
        <v>63</v>
      </c>
      <c r="U491" s="39" t="str" cm="1">
        <f t="array" ref="U491">_xlfn.IFS(T491&lt;=70,"Low",T491&lt;=160,"Medium",T491&gt;=161,"High")</f>
        <v>Low</v>
      </c>
    </row>
    <row r="492" spans="1:21" x14ac:dyDescent="0.25">
      <c r="A492" s="33">
        <v>491</v>
      </c>
      <c r="B492" s="34">
        <v>40565</v>
      </c>
      <c r="C492" s="35">
        <v>1</v>
      </c>
      <c r="D492" s="35">
        <v>0</v>
      </c>
      <c r="E492" s="35">
        <v>1</v>
      </c>
      <c r="F492" s="35">
        <v>12</v>
      </c>
      <c r="G492" s="35" t="str" cm="1">
        <f t="array" ref="G492">_xlfn.IFS(F492&lt;4,"Night",F492&lt;=6,"Early Morning",F492&lt;11,"Morning",F492&lt;12,"Afternoon",F492&lt;=16,"Afternoon",F492&lt;=20,"Evening",F492&gt;=21,"Night")</f>
        <v>Afternoon</v>
      </c>
      <c r="H492" s="35" t="b">
        <v>0</v>
      </c>
      <c r="I492" s="35">
        <v>6</v>
      </c>
      <c r="J492" s="35">
        <v>2</v>
      </c>
      <c r="K492" s="31">
        <v>0.06</v>
      </c>
      <c r="L492" s="31" t="str" cm="1">
        <f t="array" ref="L492">_xlfn.IFS(K492&lt;0.15,"Cold",K492&lt;0.25,"Mild",K492&lt;=0.32,"Warm",K492&gt;=0.33,"Hot")</f>
        <v>Cold</v>
      </c>
      <c r="M492" s="36">
        <v>0.1061</v>
      </c>
      <c r="N492" s="36">
        <v>0.38</v>
      </c>
      <c r="O492" s="36" t="str" cm="1">
        <f t="array" ref="O492">_xlfn.IFS(N492&gt;0.61, "High Humidity", N492&gt;=0.6, "Humid", N492&gt;0.4, "Less Humidity", TRUE, "Dry")</f>
        <v>Dry</v>
      </c>
      <c r="P492" s="36">
        <v>0.1045</v>
      </c>
      <c r="Q492" s="36" t="str" cm="1">
        <f t="array" ref="Q492">_xlfn.IFS(P492&lt;=0.2,"Low Windspeed",P492&lt;0.4,"Medium Windspeed",P492&gt;=0.41,"High Windspeed")</f>
        <v>Low Windspeed</v>
      </c>
      <c r="R492" s="36">
        <v>10</v>
      </c>
      <c r="S492" s="36">
        <v>60</v>
      </c>
      <c r="T492" s="37">
        <v>70</v>
      </c>
      <c r="U492" s="39" t="str" cm="1">
        <f t="array" ref="U492">_xlfn.IFS(T492&lt;=70,"Low",T492&lt;=160,"Medium",T492&gt;=161,"High")</f>
        <v>Low</v>
      </c>
    </row>
    <row r="493" spans="1:21" x14ac:dyDescent="0.25">
      <c r="A493" s="33">
        <v>492</v>
      </c>
      <c r="B493" s="34">
        <v>40565</v>
      </c>
      <c r="C493" s="35">
        <v>1</v>
      </c>
      <c r="D493" s="35">
        <v>0</v>
      </c>
      <c r="E493" s="35">
        <v>1</v>
      </c>
      <c r="F493" s="35">
        <v>13</v>
      </c>
      <c r="G493" s="35" t="str" cm="1">
        <f t="array" ref="G493">_xlfn.IFS(F493&lt;4,"Night",F493&lt;=6,"Early Morning",F493&lt;11,"Morning",F493&lt;12,"Afternoon",F493&lt;=16,"Afternoon",F493&lt;=20,"Evening",F493&gt;=21,"Night")</f>
        <v>Afternoon</v>
      </c>
      <c r="H493" s="35" t="b">
        <v>0</v>
      </c>
      <c r="I493" s="35">
        <v>6</v>
      </c>
      <c r="J493" s="35">
        <v>1</v>
      </c>
      <c r="K493" s="31">
        <v>0.08</v>
      </c>
      <c r="L493" s="31" t="str" cm="1">
        <f t="array" ref="L493">_xlfn.IFS(K493&lt;0.15,"Cold",K493&lt;0.25,"Mild",K493&lt;=0.32,"Warm",K493&gt;=0.33,"Hot")</f>
        <v>Cold</v>
      </c>
      <c r="M493" s="36">
        <v>0.16669999999999999</v>
      </c>
      <c r="N493" s="36">
        <v>0.35</v>
      </c>
      <c r="O493" s="36" t="str" cm="1">
        <f t="array" ref="O493">_xlfn.IFS(N493&gt;0.61, "High Humidity", N493&gt;=0.6, "Humid", N493&gt;0.4, "Less Humidity", TRUE, "Dry")</f>
        <v>Dry</v>
      </c>
      <c r="P493" s="36">
        <v>0</v>
      </c>
      <c r="Q493" s="36" t="str" cm="1">
        <f t="array" ref="Q493">_xlfn.IFS(P493&lt;=0.2,"Low Windspeed",P493&lt;0.4,"Medium Windspeed",P493&gt;=0.41,"High Windspeed")</f>
        <v>Low Windspeed</v>
      </c>
      <c r="R493" s="36">
        <v>12</v>
      </c>
      <c r="S493" s="36">
        <v>72</v>
      </c>
      <c r="T493" s="37">
        <v>84</v>
      </c>
      <c r="U493" s="39" t="str" cm="1">
        <f t="array" ref="U493">_xlfn.IFS(T493&lt;=70,"Low",T493&lt;=160,"Medium",T493&gt;=161,"High")</f>
        <v>Medium</v>
      </c>
    </row>
    <row r="494" spans="1:21" x14ac:dyDescent="0.25">
      <c r="A494" s="33">
        <v>493</v>
      </c>
      <c r="B494" s="34">
        <v>40565</v>
      </c>
      <c r="C494" s="35">
        <v>1</v>
      </c>
      <c r="D494" s="35">
        <v>0</v>
      </c>
      <c r="E494" s="35">
        <v>1</v>
      </c>
      <c r="F494" s="35">
        <v>14</v>
      </c>
      <c r="G494" s="35" t="str" cm="1">
        <f t="array" ref="G494">_xlfn.IFS(F494&lt;4,"Night",F494&lt;=6,"Early Morning",F494&lt;11,"Morning",F494&lt;12,"Afternoon",F494&lt;=16,"Afternoon",F494&lt;=20,"Evening",F494&gt;=21,"Night")</f>
        <v>Afternoon</v>
      </c>
      <c r="H494" s="35" t="b">
        <v>0</v>
      </c>
      <c r="I494" s="35">
        <v>6</v>
      </c>
      <c r="J494" s="35">
        <v>1</v>
      </c>
      <c r="K494" s="31">
        <v>0.1</v>
      </c>
      <c r="L494" s="31" t="str" cm="1">
        <f t="array" ref="L494">_xlfn.IFS(K494&lt;0.15,"Cold",K494&lt;0.25,"Mild",K494&lt;=0.32,"Warm",K494&gt;=0.33,"Hot")</f>
        <v>Cold</v>
      </c>
      <c r="M494" s="36">
        <v>0.13639999999999999</v>
      </c>
      <c r="N494" s="36">
        <v>0.33</v>
      </c>
      <c r="O494" s="36" t="str" cm="1">
        <f t="array" ref="O494">_xlfn.IFS(N494&gt;0.61, "High Humidity", N494&gt;=0.6, "Humid", N494&gt;0.4, "Less Humidity", TRUE, "Dry")</f>
        <v>Dry</v>
      </c>
      <c r="P494" s="36">
        <v>0.1045</v>
      </c>
      <c r="Q494" s="36" t="str" cm="1">
        <f t="array" ref="Q494">_xlfn.IFS(P494&lt;=0.2,"Low Windspeed",P494&lt;0.4,"Medium Windspeed",P494&gt;=0.41,"High Windspeed")</f>
        <v>Low Windspeed</v>
      </c>
      <c r="R494" s="36">
        <v>11</v>
      </c>
      <c r="S494" s="36">
        <v>64</v>
      </c>
      <c r="T494" s="37">
        <v>75</v>
      </c>
      <c r="U494" s="39" t="str" cm="1">
        <f t="array" ref="U494">_xlfn.IFS(T494&lt;=70,"Low",T494&lt;=160,"Medium",T494&gt;=161,"High")</f>
        <v>Medium</v>
      </c>
    </row>
    <row r="495" spans="1:21" x14ac:dyDescent="0.25">
      <c r="A495" s="33">
        <v>494</v>
      </c>
      <c r="B495" s="34">
        <v>40565</v>
      </c>
      <c r="C495" s="35">
        <v>1</v>
      </c>
      <c r="D495" s="35">
        <v>0</v>
      </c>
      <c r="E495" s="35">
        <v>1</v>
      </c>
      <c r="F495" s="35">
        <v>15</v>
      </c>
      <c r="G495" s="35" t="str" cm="1">
        <f t="array" ref="G495">_xlfn.IFS(F495&lt;4,"Night",F495&lt;=6,"Early Morning",F495&lt;11,"Morning",F495&lt;12,"Afternoon",F495&lt;=16,"Afternoon",F495&lt;=20,"Evening",F495&gt;=21,"Night")</f>
        <v>Afternoon</v>
      </c>
      <c r="H495" s="35" t="b">
        <v>0</v>
      </c>
      <c r="I495" s="35">
        <v>6</v>
      </c>
      <c r="J495" s="35">
        <v>1</v>
      </c>
      <c r="K495" s="31">
        <v>0.12</v>
      </c>
      <c r="L495" s="31" t="str" cm="1">
        <f t="array" ref="L495">_xlfn.IFS(K495&lt;0.15,"Cold",K495&lt;0.25,"Mild",K495&lt;=0.32,"Warm",K495&gt;=0.33,"Hot")</f>
        <v>Cold</v>
      </c>
      <c r="M495" s="36">
        <v>0.1515</v>
      </c>
      <c r="N495" s="36">
        <v>0.28000000000000003</v>
      </c>
      <c r="O495" s="36" t="str" cm="1">
        <f t="array" ref="O495">_xlfn.IFS(N495&gt;0.61, "High Humidity", N495&gt;=0.6, "Humid", N495&gt;0.4, "Less Humidity", TRUE, "Dry")</f>
        <v>Dry</v>
      </c>
      <c r="P495" s="36">
        <v>0</v>
      </c>
      <c r="Q495" s="36" t="str" cm="1">
        <f t="array" ref="Q495">_xlfn.IFS(P495&lt;=0.2,"Low Windspeed",P495&lt;0.4,"Medium Windspeed",P495&gt;=0.41,"High Windspeed")</f>
        <v>Low Windspeed</v>
      </c>
      <c r="R495" s="36">
        <v>10</v>
      </c>
      <c r="S495" s="36">
        <v>93</v>
      </c>
      <c r="T495" s="37">
        <v>103</v>
      </c>
      <c r="U495" s="39" t="str" cm="1">
        <f t="array" ref="U495">_xlfn.IFS(T495&lt;=70,"Low",T495&lt;=160,"Medium",T495&gt;=161,"High")</f>
        <v>Medium</v>
      </c>
    </row>
    <row r="496" spans="1:21" x14ac:dyDescent="0.25">
      <c r="A496" s="33">
        <v>495</v>
      </c>
      <c r="B496" s="34">
        <v>40565</v>
      </c>
      <c r="C496" s="35">
        <v>1</v>
      </c>
      <c r="D496" s="35">
        <v>0</v>
      </c>
      <c r="E496" s="35">
        <v>1</v>
      </c>
      <c r="F496" s="35">
        <v>16</v>
      </c>
      <c r="G496" s="35" t="str" cm="1">
        <f t="array" ref="G496">_xlfn.IFS(F496&lt;4,"Night",F496&lt;=6,"Early Morning",F496&lt;11,"Morning",F496&lt;12,"Afternoon",F496&lt;=16,"Afternoon",F496&lt;=20,"Evening",F496&gt;=21,"Night")</f>
        <v>Afternoon</v>
      </c>
      <c r="H496" s="35" t="b">
        <v>0</v>
      </c>
      <c r="I496" s="35">
        <v>6</v>
      </c>
      <c r="J496" s="35">
        <v>1</v>
      </c>
      <c r="K496" s="31">
        <v>0.12</v>
      </c>
      <c r="L496" s="31" t="str" cm="1">
        <f t="array" ref="L496">_xlfn.IFS(K496&lt;0.15,"Cold",K496&lt;0.25,"Mild",K496&lt;=0.32,"Warm",K496&gt;=0.33,"Hot")</f>
        <v>Cold</v>
      </c>
      <c r="M496" s="36">
        <v>0.13639999999999999</v>
      </c>
      <c r="N496" s="36">
        <v>0.28000000000000003</v>
      </c>
      <c r="O496" s="36" t="str" cm="1">
        <f t="array" ref="O496">_xlfn.IFS(N496&gt;0.61, "High Humidity", N496&gt;=0.6, "Humid", N496&gt;0.4, "Less Humidity", TRUE, "Dry")</f>
        <v>Dry</v>
      </c>
      <c r="P496" s="36">
        <v>0.19400000000000001</v>
      </c>
      <c r="Q496" s="36" t="str" cm="1">
        <f t="array" ref="Q496">_xlfn.IFS(P496&lt;=0.2,"Low Windspeed",P496&lt;0.4,"Medium Windspeed",P496&gt;=0.41,"High Windspeed")</f>
        <v>Low Windspeed</v>
      </c>
      <c r="R496" s="36">
        <v>11</v>
      </c>
      <c r="S496" s="36">
        <v>72</v>
      </c>
      <c r="T496" s="37">
        <v>83</v>
      </c>
      <c r="U496" s="39" t="str" cm="1">
        <f t="array" ref="U496">_xlfn.IFS(T496&lt;=70,"Low",T496&lt;=160,"Medium",T496&gt;=161,"High")</f>
        <v>Medium</v>
      </c>
    </row>
    <row r="497" spans="1:21" x14ac:dyDescent="0.25">
      <c r="A497" s="33">
        <v>496</v>
      </c>
      <c r="B497" s="34">
        <v>40565</v>
      </c>
      <c r="C497" s="35">
        <v>1</v>
      </c>
      <c r="D497" s="35">
        <v>0</v>
      </c>
      <c r="E497" s="35">
        <v>1</v>
      </c>
      <c r="F497" s="35">
        <v>17</v>
      </c>
      <c r="G497" s="35" t="str" cm="1">
        <f t="array" ref="G497">_xlfn.IFS(F497&lt;4,"Night",F497&lt;=6,"Early Morning",F497&lt;11,"Morning",F497&lt;12,"Afternoon",F497&lt;=16,"Afternoon",F497&lt;=20,"Evening",F497&gt;=21,"Night")</f>
        <v>Evening</v>
      </c>
      <c r="H497" s="35" t="b">
        <v>0</v>
      </c>
      <c r="I497" s="35">
        <v>6</v>
      </c>
      <c r="J497" s="35">
        <v>1</v>
      </c>
      <c r="K497" s="31">
        <v>0.12</v>
      </c>
      <c r="L497" s="31" t="str" cm="1">
        <f t="array" ref="L497">_xlfn.IFS(K497&lt;0.15,"Cold",K497&lt;0.25,"Mild",K497&lt;=0.32,"Warm",K497&gt;=0.33,"Hot")</f>
        <v>Cold</v>
      </c>
      <c r="M497" s="36">
        <v>0.19700000000000001</v>
      </c>
      <c r="N497" s="36">
        <v>0.28000000000000003</v>
      </c>
      <c r="O497" s="36" t="str" cm="1">
        <f t="array" ref="O497">_xlfn.IFS(N497&gt;0.61, "High Humidity", N497&gt;=0.6, "Humid", N497&gt;0.4, "Less Humidity", TRUE, "Dry")</f>
        <v>Dry</v>
      </c>
      <c r="P497" s="36">
        <v>0</v>
      </c>
      <c r="Q497" s="36" t="str" cm="1">
        <f t="array" ref="Q497">_xlfn.IFS(P497&lt;=0.2,"Low Windspeed",P497&lt;0.4,"Medium Windspeed",P497&gt;=0.41,"High Windspeed")</f>
        <v>Low Windspeed</v>
      </c>
      <c r="R497" s="36">
        <v>8</v>
      </c>
      <c r="S497" s="36">
        <v>59</v>
      </c>
      <c r="T497" s="37">
        <v>67</v>
      </c>
      <c r="U497" s="39" t="str" cm="1">
        <f t="array" ref="U497">_xlfn.IFS(T497&lt;=70,"Low",T497&lt;=160,"Medium",T497&gt;=161,"High")</f>
        <v>Low</v>
      </c>
    </row>
    <row r="498" spans="1:21" x14ac:dyDescent="0.25">
      <c r="A498" s="33">
        <v>497</v>
      </c>
      <c r="B498" s="34">
        <v>40565</v>
      </c>
      <c r="C498" s="35">
        <v>1</v>
      </c>
      <c r="D498" s="35">
        <v>0</v>
      </c>
      <c r="E498" s="35">
        <v>1</v>
      </c>
      <c r="F498" s="35">
        <v>18</v>
      </c>
      <c r="G498" s="35" t="str" cm="1">
        <f t="array" ref="G498">_xlfn.IFS(F498&lt;4,"Night",F498&lt;=6,"Early Morning",F498&lt;11,"Morning",F498&lt;12,"Afternoon",F498&lt;=16,"Afternoon",F498&lt;=20,"Evening",F498&gt;=21,"Night")</f>
        <v>Evening</v>
      </c>
      <c r="H498" s="35" t="b">
        <v>0</v>
      </c>
      <c r="I498" s="35">
        <v>6</v>
      </c>
      <c r="J498" s="35">
        <v>1</v>
      </c>
      <c r="K498" s="31">
        <v>0.08</v>
      </c>
      <c r="L498" s="31" t="str" cm="1">
        <f t="array" ref="L498">_xlfn.IFS(K498&lt;0.15,"Cold",K498&lt;0.25,"Mild",K498&lt;=0.32,"Warm",K498&gt;=0.33,"Hot")</f>
        <v>Cold</v>
      </c>
      <c r="M498" s="36">
        <v>9.0899999999999995E-2</v>
      </c>
      <c r="N498" s="36">
        <v>0.35</v>
      </c>
      <c r="O498" s="36" t="str" cm="1">
        <f t="array" ref="O498">_xlfn.IFS(N498&gt;0.61, "High Humidity", N498&gt;=0.6, "Humid", N498&gt;0.4, "Less Humidity", TRUE, "Dry")</f>
        <v>Dry</v>
      </c>
      <c r="P498" s="36">
        <v>0.19400000000000001</v>
      </c>
      <c r="Q498" s="36" t="str" cm="1">
        <f t="array" ref="Q498">_xlfn.IFS(P498&lt;=0.2,"Low Windspeed",P498&lt;0.4,"Medium Windspeed",P498&gt;=0.41,"High Windspeed")</f>
        <v>Low Windspeed</v>
      </c>
      <c r="R498" s="36">
        <v>0</v>
      </c>
      <c r="S498" s="36">
        <v>54</v>
      </c>
      <c r="T498" s="37">
        <v>54</v>
      </c>
      <c r="U498" s="39" t="str" cm="1">
        <f t="array" ref="U498">_xlfn.IFS(T498&lt;=70,"Low",T498&lt;=160,"Medium",T498&gt;=161,"High")</f>
        <v>Low</v>
      </c>
    </row>
    <row r="499" spans="1:21" x14ac:dyDescent="0.25">
      <c r="A499" s="33">
        <v>498</v>
      </c>
      <c r="B499" s="34">
        <v>40565</v>
      </c>
      <c r="C499" s="35">
        <v>1</v>
      </c>
      <c r="D499" s="35">
        <v>0</v>
      </c>
      <c r="E499" s="35">
        <v>1</v>
      </c>
      <c r="F499" s="35">
        <v>19</v>
      </c>
      <c r="G499" s="35" t="str" cm="1">
        <f t="array" ref="G499">_xlfn.IFS(F499&lt;4,"Night",F499&lt;=6,"Early Morning",F499&lt;11,"Morning",F499&lt;12,"Afternoon",F499&lt;=16,"Afternoon",F499&lt;=20,"Evening",F499&gt;=21,"Night")</f>
        <v>Evening</v>
      </c>
      <c r="H499" s="35" t="b">
        <v>0</v>
      </c>
      <c r="I499" s="35">
        <v>6</v>
      </c>
      <c r="J499" s="35">
        <v>1</v>
      </c>
      <c r="K499" s="31">
        <v>0.08</v>
      </c>
      <c r="L499" s="31" t="str" cm="1">
        <f t="array" ref="L499">_xlfn.IFS(K499&lt;0.15,"Cold",K499&lt;0.25,"Mild",K499&lt;=0.32,"Warm",K499&gt;=0.33,"Hot")</f>
        <v>Cold</v>
      </c>
      <c r="M499" s="36">
        <v>0.1061</v>
      </c>
      <c r="N499" s="36">
        <v>0.35</v>
      </c>
      <c r="O499" s="36" t="str" cm="1">
        <f t="array" ref="O499">_xlfn.IFS(N499&gt;0.61, "High Humidity", N499&gt;=0.6, "Humid", N499&gt;0.4, "Less Humidity", TRUE, "Dry")</f>
        <v>Dry</v>
      </c>
      <c r="P499" s="36">
        <v>0.1343</v>
      </c>
      <c r="Q499" s="36" t="str" cm="1">
        <f t="array" ref="Q499">_xlfn.IFS(P499&lt;=0.2,"Low Windspeed",P499&lt;0.4,"Medium Windspeed",P499&gt;=0.41,"High Windspeed")</f>
        <v>Low Windspeed</v>
      </c>
      <c r="R499" s="36">
        <v>6</v>
      </c>
      <c r="S499" s="36">
        <v>53</v>
      </c>
      <c r="T499" s="37">
        <v>59</v>
      </c>
      <c r="U499" s="39" t="str" cm="1">
        <f t="array" ref="U499">_xlfn.IFS(T499&lt;=70,"Low",T499&lt;=160,"Medium",T499&gt;=161,"High")</f>
        <v>Low</v>
      </c>
    </row>
    <row r="500" spans="1:21" x14ac:dyDescent="0.25">
      <c r="A500" s="33">
        <v>499</v>
      </c>
      <c r="B500" s="34">
        <v>40565</v>
      </c>
      <c r="C500" s="35">
        <v>1</v>
      </c>
      <c r="D500" s="35">
        <v>0</v>
      </c>
      <c r="E500" s="35">
        <v>1</v>
      </c>
      <c r="F500" s="35">
        <v>20</v>
      </c>
      <c r="G500" s="35" t="str" cm="1">
        <f t="array" ref="G500">_xlfn.IFS(F500&lt;4,"Night",F500&lt;=6,"Early Morning",F500&lt;11,"Morning",F500&lt;12,"Afternoon",F500&lt;=16,"Afternoon",F500&lt;=20,"Evening",F500&gt;=21,"Night")</f>
        <v>Evening</v>
      </c>
      <c r="H500" s="35" t="b">
        <v>0</v>
      </c>
      <c r="I500" s="35">
        <v>6</v>
      </c>
      <c r="J500" s="35">
        <v>1</v>
      </c>
      <c r="K500" s="31">
        <v>0.06</v>
      </c>
      <c r="L500" s="31" t="str" cm="1">
        <f t="array" ref="L500">_xlfn.IFS(K500&lt;0.15,"Cold",K500&lt;0.25,"Mild",K500&lt;=0.32,"Warm",K500&gt;=0.33,"Hot")</f>
        <v>Cold</v>
      </c>
      <c r="M500" s="36">
        <v>7.5800000000000006E-2</v>
      </c>
      <c r="N500" s="36">
        <v>0.45</v>
      </c>
      <c r="O500" s="36" t="str" cm="1">
        <f t="array" ref="O500">_xlfn.IFS(N500&gt;0.61, "High Humidity", N500&gt;=0.6, "Humid", N500&gt;0.4, "Less Humidity", TRUE, "Dry")</f>
        <v>Less Humidity</v>
      </c>
      <c r="P500" s="36">
        <v>0.16420000000000001</v>
      </c>
      <c r="Q500" s="36" t="str" cm="1">
        <f t="array" ref="Q500">_xlfn.IFS(P500&lt;=0.2,"Low Windspeed",P500&lt;0.4,"Medium Windspeed",P500&gt;=0.41,"High Windspeed")</f>
        <v>Low Windspeed</v>
      </c>
      <c r="R500" s="36">
        <v>1</v>
      </c>
      <c r="S500" s="36">
        <v>44</v>
      </c>
      <c r="T500" s="37">
        <v>45</v>
      </c>
      <c r="U500" s="39" t="str" cm="1">
        <f t="array" ref="U500">_xlfn.IFS(T500&lt;=70,"Low",T500&lt;=160,"Medium",T500&gt;=161,"High")</f>
        <v>Low</v>
      </c>
    </row>
    <row r="501" spans="1:21" x14ac:dyDescent="0.25">
      <c r="A501" s="33">
        <v>500</v>
      </c>
      <c r="B501" s="34">
        <v>40565</v>
      </c>
      <c r="C501" s="35">
        <v>1</v>
      </c>
      <c r="D501" s="35">
        <v>0</v>
      </c>
      <c r="E501" s="35">
        <v>1</v>
      </c>
      <c r="F501" s="35">
        <v>21</v>
      </c>
      <c r="G501" s="35" t="str" cm="1">
        <f t="array" ref="G501">_xlfn.IFS(F501&lt;4,"Night",F501&lt;=6,"Early Morning",F501&lt;11,"Morning",F501&lt;12,"Afternoon",F501&lt;=16,"Afternoon",F501&lt;=20,"Evening",F501&gt;=21,"Night")</f>
        <v>Night</v>
      </c>
      <c r="H501" s="35" t="b">
        <v>0</v>
      </c>
      <c r="I501" s="35">
        <v>6</v>
      </c>
      <c r="J501" s="35">
        <v>1</v>
      </c>
      <c r="K501" s="31">
        <v>0.06</v>
      </c>
      <c r="L501" s="31" t="str" cm="1">
        <f t="array" ref="L501">_xlfn.IFS(K501&lt;0.15,"Cold",K501&lt;0.25,"Mild",K501&lt;=0.32,"Warm",K501&gt;=0.33,"Hot")</f>
        <v>Cold</v>
      </c>
      <c r="M501" s="36">
        <v>0.1061</v>
      </c>
      <c r="N501" s="36">
        <v>0.41</v>
      </c>
      <c r="O501" s="36" t="str" cm="1">
        <f t="array" ref="O501">_xlfn.IFS(N501&gt;0.61, "High Humidity", N501&gt;=0.6, "Humid", N501&gt;0.4, "Less Humidity", TRUE, "Dry")</f>
        <v>Less Humidity</v>
      </c>
      <c r="P501" s="36">
        <v>8.9599999999999999E-2</v>
      </c>
      <c r="Q501" s="36" t="str" cm="1">
        <f t="array" ref="Q501">_xlfn.IFS(P501&lt;=0.2,"Low Windspeed",P501&lt;0.4,"Medium Windspeed",P501&gt;=0.41,"High Windspeed")</f>
        <v>Low Windspeed</v>
      </c>
      <c r="R501" s="36">
        <v>0</v>
      </c>
      <c r="S501" s="36">
        <v>39</v>
      </c>
      <c r="T501" s="37">
        <v>39</v>
      </c>
      <c r="U501" s="39" t="str" cm="1">
        <f t="array" ref="U501">_xlfn.IFS(T501&lt;=70,"Low",T501&lt;=160,"Medium",T501&gt;=161,"High")</f>
        <v>Low</v>
      </c>
    </row>
    <row r="502" spans="1:21" x14ac:dyDescent="0.25">
      <c r="A502" s="33">
        <v>501</v>
      </c>
      <c r="B502" s="34">
        <v>40565</v>
      </c>
      <c r="C502" s="35">
        <v>1</v>
      </c>
      <c r="D502" s="35">
        <v>0</v>
      </c>
      <c r="E502" s="35">
        <v>1</v>
      </c>
      <c r="F502" s="35">
        <v>22</v>
      </c>
      <c r="G502" s="35" t="str" cm="1">
        <f t="array" ref="G502">_xlfn.IFS(F502&lt;4,"Night",F502&lt;=6,"Early Morning",F502&lt;11,"Morning",F502&lt;12,"Afternoon",F502&lt;=16,"Afternoon",F502&lt;=20,"Evening",F502&gt;=21,"Night")</f>
        <v>Night</v>
      </c>
      <c r="H502" s="35" t="b">
        <v>0</v>
      </c>
      <c r="I502" s="35">
        <v>6</v>
      </c>
      <c r="J502" s="35">
        <v>1</v>
      </c>
      <c r="K502" s="31">
        <v>0.06</v>
      </c>
      <c r="L502" s="31" t="str" cm="1">
        <f t="array" ref="L502">_xlfn.IFS(K502&lt;0.15,"Cold",K502&lt;0.25,"Mild",K502&lt;=0.32,"Warm",K502&gt;=0.33,"Hot")</f>
        <v>Cold</v>
      </c>
      <c r="M502" s="36">
        <v>0.1515</v>
      </c>
      <c r="N502" s="36">
        <v>0.49</v>
      </c>
      <c r="O502" s="36" t="str" cm="1">
        <f t="array" ref="O502">_xlfn.IFS(N502&gt;0.61, "High Humidity", N502&gt;=0.6, "Humid", N502&gt;0.4, "Less Humidity", TRUE, "Dry")</f>
        <v>Less Humidity</v>
      </c>
      <c r="P502" s="36">
        <v>0</v>
      </c>
      <c r="Q502" s="36" t="str" cm="1">
        <f t="array" ref="Q502">_xlfn.IFS(P502&lt;=0.2,"Low Windspeed",P502&lt;0.4,"Medium Windspeed",P502&gt;=0.41,"High Windspeed")</f>
        <v>Low Windspeed</v>
      </c>
      <c r="R502" s="36">
        <v>7</v>
      </c>
      <c r="S502" s="36">
        <v>23</v>
      </c>
      <c r="T502" s="37">
        <v>30</v>
      </c>
      <c r="U502" s="39" t="str" cm="1">
        <f t="array" ref="U502">_xlfn.IFS(T502&lt;=70,"Low",T502&lt;=160,"Medium",T502&gt;=161,"High")</f>
        <v>Low</v>
      </c>
    </row>
    <row r="503" spans="1:21" x14ac:dyDescent="0.25">
      <c r="A503" s="33">
        <v>502</v>
      </c>
      <c r="B503" s="34">
        <v>40565</v>
      </c>
      <c r="C503" s="35">
        <v>1</v>
      </c>
      <c r="D503" s="35">
        <v>0</v>
      </c>
      <c r="E503" s="35">
        <v>1</v>
      </c>
      <c r="F503" s="35">
        <v>23</v>
      </c>
      <c r="G503" s="35" t="str" cm="1">
        <f t="array" ref="G503">_xlfn.IFS(F503&lt;4,"Night",F503&lt;=6,"Early Morning",F503&lt;11,"Morning",F503&lt;12,"Afternoon",F503&lt;=16,"Afternoon",F503&lt;=20,"Evening",F503&gt;=21,"Night")</f>
        <v>Night</v>
      </c>
      <c r="H503" s="35" t="b">
        <v>0</v>
      </c>
      <c r="I503" s="35">
        <v>6</v>
      </c>
      <c r="J503" s="35">
        <v>1</v>
      </c>
      <c r="K503" s="31">
        <v>0.04</v>
      </c>
      <c r="L503" s="31" t="str" cm="1">
        <f t="array" ref="L503">_xlfn.IFS(K503&lt;0.15,"Cold",K503&lt;0.25,"Mild",K503&lt;=0.32,"Warm",K503&gt;=0.33,"Hot")</f>
        <v>Cold</v>
      </c>
      <c r="M503" s="36">
        <v>7.5800000000000006E-2</v>
      </c>
      <c r="N503" s="36">
        <v>0.56999999999999995</v>
      </c>
      <c r="O503" s="36" t="str" cm="1">
        <f t="array" ref="O503">_xlfn.IFS(N503&gt;0.61, "High Humidity", N503&gt;=0.6, "Humid", N503&gt;0.4, "Less Humidity", TRUE, "Dry")</f>
        <v>Less Humidity</v>
      </c>
      <c r="P503" s="36">
        <v>0.1045</v>
      </c>
      <c r="Q503" s="36" t="str" cm="1">
        <f t="array" ref="Q503">_xlfn.IFS(P503&lt;=0.2,"Low Windspeed",P503&lt;0.4,"Medium Windspeed",P503&gt;=0.41,"High Windspeed")</f>
        <v>Low Windspeed</v>
      </c>
      <c r="R503" s="36">
        <v>2</v>
      </c>
      <c r="S503" s="36">
        <v>31</v>
      </c>
      <c r="T503" s="37">
        <v>33</v>
      </c>
      <c r="U503" s="39" t="str" cm="1">
        <f t="array" ref="U503">_xlfn.IFS(T503&lt;=70,"Low",T503&lt;=160,"Medium",T503&gt;=161,"High")</f>
        <v>Low</v>
      </c>
    </row>
    <row r="504" spans="1:21" x14ac:dyDescent="0.25">
      <c r="A504" s="33">
        <v>503</v>
      </c>
      <c r="B504" s="34">
        <v>40566</v>
      </c>
      <c r="C504" s="35">
        <v>1</v>
      </c>
      <c r="D504" s="35">
        <v>0</v>
      </c>
      <c r="E504" s="35">
        <v>1</v>
      </c>
      <c r="F504" s="35">
        <v>0</v>
      </c>
      <c r="G504" s="35" t="str" cm="1">
        <f t="array" ref="G504">_xlfn.IFS(F504&lt;4,"Night",F504&lt;=6,"Early Morning",F504&lt;11,"Morning",F504&lt;12,"Afternoon",F504&lt;=16,"Afternoon",F504&lt;=20,"Evening",F504&gt;=21,"Night")</f>
        <v>Night</v>
      </c>
      <c r="H504" s="35" t="b">
        <v>0</v>
      </c>
      <c r="I504" s="35">
        <v>0</v>
      </c>
      <c r="J504" s="35">
        <v>1</v>
      </c>
      <c r="K504" s="31">
        <v>0.04</v>
      </c>
      <c r="L504" s="31" t="str" cm="1">
        <f t="array" ref="L504">_xlfn.IFS(K504&lt;0.15,"Cold",K504&lt;0.25,"Mild",K504&lt;=0.32,"Warm",K504&gt;=0.33,"Hot")</f>
        <v>Cold</v>
      </c>
      <c r="M504" s="36">
        <v>7.5800000000000006E-2</v>
      </c>
      <c r="N504" s="36">
        <v>0.56999999999999995</v>
      </c>
      <c r="O504" s="36" t="str" cm="1">
        <f t="array" ref="O504">_xlfn.IFS(N504&gt;0.61, "High Humidity", N504&gt;=0.6, "Humid", N504&gt;0.4, "Less Humidity", TRUE, "Dry")</f>
        <v>Less Humidity</v>
      </c>
      <c r="P504" s="36">
        <v>0.1045</v>
      </c>
      <c r="Q504" s="36" t="str" cm="1">
        <f t="array" ref="Q504">_xlfn.IFS(P504&lt;=0.2,"Low Windspeed",P504&lt;0.4,"Medium Windspeed",P504&gt;=0.41,"High Windspeed")</f>
        <v>Low Windspeed</v>
      </c>
      <c r="R504" s="36">
        <v>2</v>
      </c>
      <c r="S504" s="36">
        <v>20</v>
      </c>
      <c r="T504" s="37">
        <v>22</v>
      </c>
      <c r="U504" s="39" t="str" cm="1">
        <f t="array" ref="U504">_xlfn.IFS(T504&lt;=70,"Low",T504&lt;=160,"Medium",T504&gt;=161,"High")</f>
        <v>Low</v>
      </c>
    </row>
    <row r="505" spans="1:21" x14ac:dyDescent="0.25">
      <c r="A505" s="33">
        <v>504</v>
      </c>
      <c r="B505" s="34">
        <v>40566</v>
      </c>
      <c r="C505" s="35">
        <v>1</v>
      </c>
      <c r="D505" s="35">
        <v>0</v>
      </c>
      <c r="E505" s="35">
        <v>1</v>
      </c>
      <c r="F505" s="35">
        <v>1</v>
      </c>
      <c r="G505" s="35" t="str" cm="1">
        <f t="array" ref="G505">_xlfn.IFS(F505&lt;4,"Night",F505&lt;=6,"Early Morning",F505&lt;11,"Morning",F505&lt;12,"Afternoon",F505&lt;=16,"Afternoon",F505&lt;=20,"Evening",F505&gt;=21,"Night")</f>
        <v>Night</v>
      </c>
      <c r="H505" s="35" t="b">
        <v>0</v>
      </c>
      <c r="I505" s="35">
        <v>0</v>
      </c>
      <c r="J505" s="35">
        <v>1</v>
      </c>
      <c r="K505" s="31">
        <v>0.04</v>
      </c>
      <c r="L505" s="31" t="str" cm="1">
        <f t="array" ref="L505">_xlfn.IFS(K505&lt;0.15,"Cold",K505&lt;0.25,"Mild",K505&lt;=0.32,"Warm",K505&gt;=0.33,"Hot")</f>
        <v>Cold</v>
      </c>
      <c r="M505" s="36">
        <v>7.5800000000000006E-2</v>
      </c>
      <c r="N505" s="36">
        <v>0.56999999999999995</v>
      </c>
      <c r="O505" s="36" t="str" cm="1">
        <f t="array" ref="O505">_xlfn.IFS(N505&gt;0.61, "High Humidity", N505&gt;=0.6, "Humid", N505&gt;0.4, "Less Humidity", TRUE, "Dry")</f>
        <v>Less Humidity</v>
      </c>
      <c r="P505" s="36">
        <v>0.1045</v>
      </c>
      <c r="Q505" s="36" t="str" cm="1">
        <f t="array" ref="Q505">_xlfn.IFS(P505&lt;=0.2,"Low Windspeed",P505&lt;0.4,"Medium Windspeed",P505&gt;=0.41,"High Windspeed")</f>
        <v>Low Windspeed</v>
      </c>
      <c r="R505" s="36">
        <v>1</v>
      </c>
      <c r="S505" s="36">
        <v>12</v>
      </c>
      <c r="T505" s="37">
        <v>13</v>
      </c>
      <c r="U505" s="39" t="str" cm="1">
        <f t="array" ref="U505">_xlfn.IFS(T505&lt;=70,"Low",T505&lt;=160,"Medium",T505&gt;=161,"High")</f>
        <v>Low</v>
      </c>
    </row>
    <row r="506" spans="1:21" x14ac:dyDescent="0.25">
      <c r="A506" s="33">
        <v>505</v>
      </c>
      <c r="B506" s="34">
        <v>40566</v>
      </c>
      <c r="C506" s="35">
        <v>1</v>
      </c>
      <c r="D506" s="35">
        <v>0</v>
      </c>
      <c r="E506" s="35">
        <v>1</v>
      </c>
      <c r="F506" s="35">
        <v>2</v>
      </c>
      <c r="G506" s="35" t="str" cm="1">
        <f t="array" ref="G506">_xlfn.IFS(F506&lt;4,"Night",F506&lt;=6,"Early Morning",F506&lt;11,"Morning",F506&lt;12,"Afternoon",F506&lt;=16,"Afternoon",F506&lt;=20,"Evening",F506&gt;=21,"Night")</f>
        <v>Night</v>
      </c>
      <c r="H506" s="35" t="b">
        <v>0</v>
      </c>
      <c r="I506" s="35">
        <v>0</v>
      </c>
      <c r="J506" s="35">
        <v>1</v>
      </c>
      <c r="K506" s="31">
        <v>0.02</v>
      </c>
      <c r="L506" s="31" t="str" cm="1">
        <f t="array" ref="L506">_xlfn.IFS(K506&lt;0.15,"Cold",K506&lt;0.25,"Mild",K506&lt;=0.32,"Warm",K506&gt;=0.33,"Hot")</f>
        <v>Cold</v>
      </c>
      <c r="M506" s="36">
        <v>6.0600000000000001E-2</v>
      </c>
      <c r="N506" s="36">
        <v>0.62</v>
      </c>
      <c r="O506" s="36" t="str" cm="1">
        <f t="array" ref="O506">_xlfn.IFS(N506&gt;0.61, "High Humidity", N506&gt;=0.6, "Humid", N506&gt;0.4, "Less Humidity", TRUE, "Dry")</f>
        <v>High Humidity</v>
      </c>
      <c r="P506" s="36">
        <v>0.1343</v>
      </c>
      <c r="Q506" s="36" t="str" cm="1">
        <f t="array" ref="Q506">_xlfn.IFS(P506&lt;=0.2,"Low Windspeed",P506&lt;0.4,"Medium Windspeed",P506&gt;=0.41,"High Windspeed")</f>
        <v>Low Windspeed</v>
      </c>
      <c r="R506" s="36">
        <v>3</v>
      </c>
      <c r="S506" s="36">
        <v>15</v>
      </c>
      <c r="T506" s="37">
        <v>18</v>
      </c>
      <c r="U506" s="39" t="str" cm="1">
        <f t="array" ref="U506">_xlfn.IFS(T506&lt;=70,"Low",T506&lt;=160,"Medium",T506&gt;=161,"High")</f>
        <v>Low</v>
      </c>
    </row>
    <row r="507" spans="1:21" x14ac:dyDescent="0.25">
      <c r="A507" s="33">
        <v>506</v>
      </c>
      <c r="B507" s="34">
        <v>40566</v>
      </c>
      <c r="C507" s="35">
        <v>1</v>
      </c>
      <c r="D507" s="35">
        <v>0</v>
      </c>
      <c r="E507" s="35">
        <v>1</v>
      </c>
      <c r="F507" s="35">
        <v>3</v>
      </c>
      <c r="G507" s="35" t="str" cm="1">
        <f t="array" ref="G507">_xlfn.IFS(F507&lt;4,"Night",F507&lt;=6,"Early Morning",F507&lt;11,"Morning",F507&lt;12,"Afternoon",F507&lt;=16,"Afternoon",F507&lt;=20,"Evening",F507&gt;=21,"Night")</f>
        <v>Night</v>
      </c>
      <c r="H507" s="35" t="b">
        <v>0</v>
      </c>
      <c r="I507" s="35">
        <v>0</v>
      </c>
      <c r="J507" s="35">
        <v>1</v>
      </c>
      <c r="K507" s="31">
        <v>0.02</v>
      </c>
      <c r="L507" s="31" t="str" cm="1">
        <f t="array" ref="L507">_xlfn.IFS(K507&lt;0.15,"Cold",K507&lt;0.25,"Mild",K507&lt;=0.32,"Warm",K507&gt;=0.33,"Hot")</f>
        <v>Cold</v>
      </c>
      <c r="M507" s="36">
        <v>6.0600000000000001E-2</v>
      </c>
      <c r="N507" s="36">
        <v>0.62</v>
      </c>
      <c r="O507" s="36" t="str" cm="1">
        <f t="array" ref="O507">_xlfn.IFS(N507&gt;0.61, "High Humidity", N507&gt;=0.6, "Humid", N507&gt;0.4, "Less Humidity", TRUE, "Dry")</f>
        <v>High Humidity</v>
      </c>
      <c r="P507" s="36">
        <v>0.1343</v>
      </c>
      <c r="Q507" s="36" t="str" cm="1">
        <f t="array" ref="Q507">_xlfn.IFS(P507&lt;=0.2,"Low Windspeed",P507&lt;0.4,"Medium Windspeed",P507&gt;=0.41,"High Windspeed")</f>
        <v>Low Windspeed</v>
      </c>
      <c r="R507" s="36">
        <v>1</v>
      </c>
      <c r="S507" s="36">
        <v>4</v>
      </c>
      <c r="T507" s="37">
        <v>5</v>
      </c>
      <c r="U507" s="39" t="str" cm="1">
        <f t="array" ref="U507">_xlfn.IFS(T507&lt;=70,"Low",T507&lt;=160,"Medium",T507&gt;=161,"High")</f>
        <v>Low</v>
      </c>
    </row>
    <row r="508" spans="1:21" x14ac:dyDescent="0.25">
      <c r="A508" s="33">
        <v>507</v>
      </c>
      <c r="B508" s="34">
        <v>40566</v>
      </c>
      <c r="C508" s="35">
        <v>1</v>
      </c>
      <c r="D508" s="35">
        <v>0</v>
      </c>
      <c r="E508" s="35">
        <v>1</v>
      </c>
      <c r="F508" s="35">
        <v>5</v>
      </c>
      <c r="G508" s="35" t="str" cm="1">
        <f t="array" ref="G508">_xlfn.IFS(F508&lt;4,"Night",F508&lt;=6,"Early Morning",F508&lt;11,"Morning",F508&lt;12,"Afternoon",F508&lt;=16,"Afternoon",F508&lt;=20,"Evening",F508&gt;=21,"Night")</f>
        <v>Early Morning</v>
      </c>
      <c r="H508" s="35" t="b">
        <v>0</v>
      </c>
      <c r="I508" s="35">
        <v>0</v>
      </c>
      <c r="J508" s="35">
        <v>2</v>
      </c>
      <c r="K508" s="31">
        <v>0.04</v>
      </c>
      <c r="L508" s="31" t="str" cm="1">
        <f t="array" ref="L508">_xlfn.IFS(K508&lt;0.15,"Cold",K508&lt;0.25,"Mild",K508&lt;=0.32,"Warm",K508&gt;=0.33,"Hot")</f>
        <v>Cold</v>
      </c>
      <c r="M508" s="36">
        <v>7.5800000000000006E-2</v>
      </c>
      <c r="N508" s="36">
        <v>0.56999999999999995</v>
      </c>
      <c r="O508" s="36" t="str" cm="1">
        <f t="array" ref="O508">_xlfn.IFS(N508&gt;0.61, "High Humidity", N508&gt;=0.6, "Humid", N508&gt;0.4, "Less Humidity", TRUE, "Dry")</f>
        <v>Less Humidity</v>
      </c>
      <c r="P508" s="36">
        <v>0.1045</v>
      </c>
      <c r="Q508" s="36" t="str" cm="1">
        <f t="array" ref="Q508">_xlfn.IFS(P508&lt;=0.2,"Low Windspeed",P508&lt;0.4,"Medium Windspeed",P508&gt;=0.41,"High Windspeed")</f>
        <v>Low Windspeed</v>
      </c>
      <c r="R508" s="36">
        <v>0</v>
      </c>
      <c r="S508" s="36">
        <v>3</v>
      </c>
      <c r="T508" s="37">
        <v>3</v>
      </c>
      <c r="U508" s="39" t="str" cm="1">
        <f t="array" ref="U508">_xlfn.IFS(T508&lt;=70,"Low",T508&lt;=160,"Medium",T508&gt;=161,"High")</f>
        <v>Low</v>
      </c>
    </row>
    <row r="509" spans="1:21" x14ac:dyDescent="0.25">
      <c r="A509" s="33">
        <v>508</v>
      </c>
      <c r="B509" s="34">
        <v>40566</v>
      </c>
      <c r="C509" s="35">
        <v>1</v>
      </c>
      <c r="D509" s="35">
        <v>0</v>
      </c>
      <c r="E509" s="35">
        <v>1</v>
      </c>
      <c r="F509" s="35">
        <v>6</v>
      </c>
      <c r="G509" s="35" t="str" cm="1">
        <f t="array" ref="G509">_xlfn.IFS(F509&lt;4,"Night",F509&lt;=6,"Early Morning",F509&lt;11,"Morning",F509&lt;12,"Afternoon",F509&lt;=16,"Afternoon",F509&lt;=20,"Evening",F509&gt;=21,"Night")</f>
        <v>Early Morning</v>
      </c>
      <c r="H509" s="35" t="b">
        <v>0</v>
      </c>
      <c r="I509" s="35">
        <v>0</v>
      </c>
      <c r="J509" s="35">
        <v>2</v>
      </c>
      <c r="K509" s="31">
        <v>0.04</v>
      </c>
      <c r="L509" s="31" t="str" cm="1">
        <f t="array" ref="L509">_xlfn.IFS(K509&lt;0.15,"Cold",K509&lt;0.25,"Mild",K509&lt;=0.32,"Warm",K509&gt;=0.33,"Hot")</f>
        <v>Cold</v>
      </c>
      <c r="M509" s="36">
        <v>7.5800000000000006E-2</v>
      </c>
      <c r="N509" s="36">
        <v>0.56999999999999995</v>
      </c>
      <c r="O509" s="36" t="str" cm="1">
        <f t="array" ref="O509">_xlfn.IFS(N509&gt;0.61, "High Humidity", N509&gt;=0.6, "Humid", N509&gt;0.4, "Less Humidity", TRUE, "Dry")</f>
        <v>Less Humidity</v>
      </c>
      <c r="P509" s="36">
        <v>0.1045</v>
      </c>
      <c r="Q509" s="36" t="str" cm="1">
        <f t="array" ref="Q509">_xlfn.IFS(P509&lt;=0.2,"Low Windspeed",P509&lt;0.4,"Medium Windspeed",P509&gt;=0.41,"High Windspeed")</f>
        <v>Low Windspeed</v>
      </c>
      <c r="R509" s="36">
        <v>0</v>
      </c>
      <c r="S509" s="36">
        <v>1</v>
      </c>
      <c r="T509" s="37">
        <v>1</v>
      </c>
      <c r="U509" s="39" t="str" cm="1">
        <f t="array" ref="U509">_xlfn.IFS(T509&lt;=70,"Low",T509&lt;=160,"Medium",T509&gt;=161,"High")</f>
        <v>Low</v>
      </c>
    </row>
    <row r="510" spans="1:21" x14ac:dyDescent="0.25">
      <c r="A510" s="33">
        <v>509</v>
      </c>
      <c r="B510" s="34">
        <v>40566</v>
      </c>
      <c r="C510" s="35">
        <v>1</v>
      </c>
      <c r="D510" s="35">
        <v>0</v>
      </c>
      <c r="E510" s="35">
        <v>1</v>
      </c>
      <c r="F510" s="35">
        <v>7</v>
      </c>
      <c r="G510" s="35" t="str" cm="1">
        <f t="array" ref="G510">_xlfn.IFS(F510&lt;4,"Night",F510&lt;=6,"Early Morning",F510&lt;11,"Morning",F510&lt;12,"Afternoon",F510&lt;=16,"Afternoon",F510&lt;=20,"Evening",F510&gt;=21,"Night")</f>
        <v>Morning</v>
      </c>
      <c r="H510" s="35" t="b">
        <v>0</v>
      </c>
      <c r="I510" s="35">
        <v>0</v>
      </c>
      <c r="J510" s="35">
        <v>1</v>
      </c>
      <c r="K510" s="31">
        <v>0.08</v>
      </c>
      <c r="L510" s="31" t="str" cm="1">
        <f t="array" ref="L510">_xlfn.IFS(K510&lt;0.15,"Cold",K510&lt;0.25,"Mild",K510&lt;=0.32,"Warm",K510&gt;=0.33,"Hot")</f>
        <v>Cold</v>
      </c>
      <c r="M510" s="36">
        <v>0.1061</v>
      </c>
      <c r="N510" s="36">
        <v>0.57999999999999996</v>
      </c>
      <c r="O510" s="36" t="str" cm="1">
        <f t="array" ref="O510">_xlfn.IFS(N510&gt;0.61, "High Humidity", N510&gt;=0.6, "Humid", N510&gt;0.4, "Less Humidity", TRUE, "Dry")</f>
        <v>Less Humidity</v>
      </c>
      <c r="P510" s="36">
        <v>0.16420000000000001</v>
      </c>
      <c r="Q510" s="36" t="str" cm="1">
        <f t="array" ref="Q510">_xlfn.IFS(P510&lt;=0.2,"Low Windspeed",P510&lt;0.4,"Medium Windspeed",P510&gt;=0.41,"High Windspeed")</f>
        <v>Low Windspeed</v>
      </c>
      <c r="R510" s="36">
        <v>1</v>
      </c>
      <c r="S510" s="36">
        <v>1</v>
      </c>
      <c r="T510" s="37">
        <v>2</v>
      </c>
      <c r="U510" s="39" t="str" cm="1">
        <f t="array" ref="U510">_xlfn.IFS(T510&lt;=70,"Low",T510&lt;=160,"Medium",T510&gt;=161,"High")</f>
        <v>Low</v>
      </c>
    </row>
    <row r="511" spans="1:21" x14ac:dyDescent="0.25">
      <c r="A511" s="33">
        <v>510</v>
      </c>
      <c r="B511" s="34">
        <v>40566</v>
      </c>
      <c r="C511" s="35">
        <v>1</v>
      </c>
      <c r="D511" s="35">
        <v>0</v>
      </c>
      <c r="E511" s="35">
        <v>1</v>
      </c>
      <c r="F511" s="35">
        <v>8</v>
      </c>
      <c r="G511" s="35" t="str" cm="1">
        <f t="array" ref="G511">_xlfn.IFS(F511&lt;4,"Night",F511&lt;=6,"Early Morning",F511&lt;11,"Morning",F511&lt;12,"Afternoon",F511&lt;=16,"Afternoon",F511&lt;=20,"Evening",F511&gt;=21,"Night")</f>
        <v>Morning</v>
      </c>
      <c r="H511" s="35" t="b">
        <v>0</v>
      </c>
      <c r="I511" s="35">
        <v>0</v>
      </c>
      <c r="J511" s="35">
        <v>1</v>
      </c>
      <c r="K511" s="31">
        <v>0.06</v>
      </c>
      <c r="L511" s="31" t="str" cm="1">
        <f t="array" ref="L511">_xlfn.IFS(K511&lt;0.15,"Cold",K511&lt;0.25,"Mild",K511&lt;=0.32,"Warm",K511&gt;=0.33,"Hot")</f>
        <v>Cold</v>
      </c>
      <c r="M511" s="36">
        <v>7.5800000000000006E-2</v>
      </c>
      <c r="N511" s="36">
        <v>0.62</v>
      </c>
      <c r="O511" s="36" t="str" cm="1">
        <f t="array" ref="O511">_xlfn.IFS(N511&gt;0.61, "High Humidity", N511&gt;=0.6, "Humid", N511&gt;0.4, "Less Humidity", TRUE, "Dry")</f>
        <v>High Humidity</v>
      </c>
      <c r="P511" s="36">
        <v>0.16420000000000001</v>
      </c>
      <c r="Q511" s="36" t="str" cm="1">
        <f t="array" ref="Q511">_xlfn.IFS(P511&lt;=0.2,"Low Windspeed",P511&lt;0.4,"Medium Windspeed",P511&gt;=0.41,"High Windspeed")</f>
        <v>Low Windspeed</v>
      </c>
      <c r="R511" s="36">
        <v>2</v>
      </c>
      <c r="S511" s="36">
        <v>17</v>
      </c>
      <c r="T511" s="37">
        <v>19</v>
      </c>
      <c r="U511" s="39" t="str" cm="1">
        <f t="array" ref="U511">_xlfn.IFS(T511&lt;=70,"Low",T511&lt;=160,"Medium",T511&gt;=161,"High")</f>
        <v>Low</v>
      </c>
    </row>
    <row r="512" spans="1:21" x14ac:dyDescent="0.25">
      <c r="A512" s="33">
        <v>511</v>
      </c>
      <c r="B512" s="34">
        <v>40566</v>
      </c>
      <c r="C512" s="35">
        <v>1</v>
      </c>
      <c r="D512" s="35">
        <v>0</v>
      </c>
      <c r="E512" s="35">
        <v>1</v>
      </c>
      <c r="F512" s="35">
        <v>9</v>
      </c>
      <c r="G512" s="35" t="str" cm="1">
        <f t="array" ref="G512">_xlfn.IFS(F512&lt;4,"Night",F512&lt;=6,"Early Morning",F512&lt;11,"Morning",F512&lt;12,"Afternoon",F512&lt;=16,"Afternoon",F512&lt;=20,"Evening",F512&gt;=21,"Night")</f>
        <v>Morning</v>
      </c>
      <c r="H512" s="35" t="b">
        <v>0</v>
      </c>
      <c r="I512" s="35">
        <v>0</v>
      </c>
      <c r="J512" s="35">
        <v>1</v>
      </c>
      <c r="K512" s="31">
        <v>0.1</v>
      </c>
      <c r="L512" s="31" t="str" cm="1">
        <f t="array" ref="L512">_xlfn.IFS(K512&lt;0.15,"Cold",K512&lt;0.25,"Mild",K512&lt;=0.32,"Warm",K512&gt;=0.33,"Hot")</f>
        <v>Cold</v>
      </c>
      <c r="M512" s="36">
        <v>7.5800000000000006E-2</v>
      </c>
      <c r="N512" s="36">
        <v>0.54</v>
      </c>
      <c r="O512" s="36" t="str" cm="1">
        <f t="array" ref="O512">_xlfn.IFS(N512&gt;0.61, "High Humidity", N512&gt;=0.6, "Humid", N512&gt;0.4, "Less Humidity", TRUE, "Dry")</f>
        <v>Less Humidity</v>
      </c>
      <c r="P512" s="36">
        <v>0.35820000000000002</v>
      </c>
      <c r="Q512" s="36" t="str" cm="1">
        <f t="array" ref="Q512">_xlfn.IFS(P512&lt;=0.2,"Low Windspeed",P512&lt;0.4,"Medium Windspeed",P512&gt;=0.41,"High Windspeed")</f>
        <v>Medium Windspeed</v>
      </c>
      <c r="R512" s="36">
        <v>3</v>
      </c>
      <c r="S512" s="36">
        <v>25</v>
      </c>
      <c r="T512" s="37">
        <v>28</v>
      </c>
      <c r="U512" s="39" t="str" cm="1">
        <f t="array" ref="U512">_xlfn.IFS(T512&lt;=70,"Low",T512&lt;=160,"Medium",T512&gt;=161,"High")</f>
        <v>Low</v>
      </c>
    </row>
    <row r="513" spans="1:21" x14ac:dyDescent="0.25">
      <c r="A513" s="33">
        <v>512</v>
      </c>
      <c r="B513" s="34">
        <v>40566</v>
      </c>
      <c r="C513" s="35">
        <v>1</v>
      </c>
      <c r="D513" s="35">
        <v>0</v>
      </c>
      <c r="E513" s="35">
        <v>1</v>
      </c>
      <c r="F513" s="35">
        <v>10</v>
      </c>
      <c r="G513" s="35" t="str" cm="1">
        <f t="array" ref="G513">_xlfn.IFS(F513&lt;4,"Night",F513&lt;=6,"Early Morning",F513&lt;11,"Morning",F513&lt;12,"Afternoon",F513&lt;=16,"Afternoon",F513&lt;=20,"Evening",F513&gt;=21,"Night")</f>
        <v>Morning</v>
      </c>
      <c r="H513" s="35" t="b">
        <v>0</v>
      </c>
      <c r="I513" s="35">
        <v>0</v>
      </c>
      <c r="J513" s="35">
        <v>1</v>
      </c>
      <c r="K513" s="31">
        <v>0.14000000000000001</v>
      </c>
      <c r="L513" s="31" t="str" cm="1">
        <f t="array" ref="L513">_xlfn.IFS(K513&lt;0.15,"Cold",K513&lt;0.25,"Mild",K513&lt;=0.32,"Warm",K513&gt;=0.33,"Hot")</f>
        <v>Cold</v>
      </c>
      <c r="M513" s="36">
        <v>0.1061</v>
      </c>
      <c r="N513" s="36">
        <v>0.46</v>
      </c>
      <c r="O513" s="36" t="str" cm="1">
        <f t="array" ref="O513">_xlfn.IFS(N513&gt;0.61, "High Humidity", N513&gt;=0.6, "Humid", N513&gt;0.4, "Less Humidity", TRUE, "Dry")</f>
        <v>Less Humidity</v>
      </c>
      <c r="P513" s="36">
        <v>0.3881</v>
      </c>
      <c r="Q513" s="36" t="str" cm="1">
        <f t="array" ref="Q513">_xlfn.IFS(P513&lt;=0.2,"Low Windspeed",P513&lt;0.4,"Medium Windspeed",P513&gt;=0.41,"High Windspeed")</f>
        <v>Medium Windspeed</v>
      </c>
      <c r="R513" s="36">
        <v>7</v>
      </c>
      <c r="S513" s="36">
        <v>51</v>
      </c>
      <c r="T513" s="37">
        <v>58</v>
      </c>
      <c r="U513" s="39" t="str" cm="1">
        <f t="array" ref="U513">_xlfn.IFS(T513&lt;=70,"Low",T513&lt;=160,"Medium",T513&gt;=161,"High")</f>
        <v>Low</v>
      </c>
    </row>
    <row r="514" spans="1:21" x14ac:dyDescent="0.25">
      <c r="A514" s="33">
        <v>513</v>
      </c>
      <c r="B514" s="34">
        <v>40566</v>
      </c>
      <c r="C514" s="35">
        <v>1</v>
      </c>
      <c r="D514" s="35">
        <v>0</v>
      </c>
      <c r="E514" s="35">
        <v>1</v>
      </c>
      <c r="F514" s="35">
        <v>11</v>
      </c>
      <c r="G514" s="35" t="str" cm="1">
        <f t="array" ref="G514">_xlfn.IFS(F514&lt;4,"Night",F514&lt;=6,"Early Morning",F514&lt;11,"Morning",F514&lt;12,"Afternoon",F514&lt;=16,"Afternoon",F514&lt;=20,"Evening",F514&gt;=21,"Night")</f>
        <v>Afternoon</v>
      </c>
      <c r="H514" s="35" t="b">
        <v>0</v>
      </c>
      <c r="I514" s="35">
        <v>0</v>
      </c>
      <c r="J514" s="35">
        <v>1</v>
      </c>
      <c r="K514" s="31">
        <v>0.14000000000000001</v>
      </c>
      <c r="L514" s="31" t="str" cm="1">
        <f t="array" ref="L514">_xlfn.IFS(K514&lt;0.15,"Cold",K514&lt;0.25,"Mild",K514&lt;=0.32,"Warm",K514&gt;=0.33,"Hot")</f>
        <v>Cold</v>
      </c>
      <c r="M514" s="36">
        <v>0.13639999999999999</v>
      </c>
      <c r="N514" s="36">
        <v>0.43</v>
      </c>
      <c r="O514" s="36" t="str" cm="1">
        <f t="array" ref="O514">_xlfn.IFS(N514&gt;0.61, "High Humidity", N514&gt;=0.6, "Humid", N514&gt;0.4, "Less Humidity", TRUE, "Dry")</f>
        <v>Less Humidity</v>
      </c>
      <c r="P514" s="36">
        <v>0.22389999999999999</v>
      </c>
      <c r="Q514" s="36" t="str" cm="1">
        <f t="array" ref="Q514">_xlfn.IFS(P514&lt;=0.2,"Low Windspeed",P514&lt;0.4,"Medium Windspeed",P514&gt;=0.41,"High Windspeed")</f>
        <v>Medium Windspeed</v>
      </c>
      <c r="R514" s="36">
        <v>22</v>
      </c>
      <c r="S514" s="36">
        <v>77</v>
      </c>
      <c r="T514" s="37">
        <v>99</v>
      </c>
      <c r="U514" s="39" t="str" cm="1">
        <f t="array" ref="U514">_xlfn.IFS(T514&lt;=70,"Low",T514&lt;=160,"Medium",T514&gt;=161,"High")</f>
        <v>Medium</v>
      </c>
    </row>
    <row r="515" spans="1:21" x14ac:dyDescent="0.25">
      <c r="A515" s="33">
        <v>514</v>
      </c>
      <c r="B515" s="34">
        <v>40566</v>
      </c>
      <c r="C515" s="35">
        <v>1</v>
      </c>
      <c r="D515" s="35">
        <v>0</v>
      </c>
      <c r="E515" s="35">
        <v>1</v>
      </c>
      <c r="F515" s="35">
        <v>12</v>
      </c>
      <c r="G515" s="35" t="str" cm="1">
        <f t="array" ref="G515">_xlfn.IFS(F515&lt;4,"Night",F515&lt;=6,"Early Morning",F515&lt;11,"Morning",F515&lt;12,"Afternoon",F515&lt;=16,"Afternoon",F515&lt;=20,"Evening",F515&gt;=21,"Night")</f>
        <v>Afternoon</v>
      </c>
      <c r="H515" s="35" t="b">
        <v>0</v>
      </c>
      <c r="I515" s="35">
        <v>0</v>
      </c>
      <c r="J515" s="35">
        <v>1</v>
      </c>
      <c r="K515" s="31">
        <v>0.16</v>
      </c>
      <c r="L515" s="31" t="str" cm="1">
        <f t="array" ref="L515">_xlfn.IFS(K515&lt;0.15,"Cold",K515&lt;0.25,"Mild",K515&lt;=0.32,"Warm",K515&gt;=0.33,"Hot")</f>
        <v>Mild</v>
      </c>
      <c r="M515" s="36">
        <v>0.1212</v>
      </c>
      <c r="N515" s="36">
        <v>0.37</v>
      </c>
      <c r="O515" s="36" t="str" cm="1">
        <f t="array" ref="O515">_xlfn.IFS(N515&gt;0.61, "High Humidity", N515&gt;=0.6, "Humid", N515&gt;0.4, "Less Humidity", TRUE, "Dry")</f>
        <v>Dry</v>
      </c>
      <c r="P515" s="36">
        <v>0.4627</v>
      </c>
      <c r="Q515" s="36" t="str" cm="1">
        <f t="array" ref="Q515">_xlfn.IFS(P515&lt;=0.2,"Low Windspeed",P515&lt;0.4,"Medium Windspeed",P515&gt;=0.41,"High Windspeed")</f>
        <v>High Windspeed</v>
      </c>
      <c r="R515" s="36">
        <v>24</v>
      </c>
      <c r="S515" s="36">
        <v>92</v>
      </c>
      <c r="T515" s="37">
        <v>116</v>
      </c>
      <c r="U515" s="39" t="str" cm="1">
        <f t="array" ref="U515">_xlfn.IFS(T515&lt;=70,"Low",T515&lt;=160,"Medium",T515&gt;=161,"High")</f>
        <v>Medium</v>
      </c>
    </row>
    <row r="516" spans="1:21" x14ac:dyDescent="0.25">
      <c r="A516" s="33">
        <v>515</v>
      </c>
      <c r="B516" s="34">
        <v>40566</v>
      </c>
      <c r="C516" s="35">
        <v>1</v>
      </c>
      <c r="D516" s="35">
        <v>0</v>
      </c>
      <c r="E516" s="35">
        <v>1</v>
      </c>
      <c r="F516" s="35">
        <v>13</v>
      </c>
      <c r="G516" s="35" t="str" cm="1">
        <f t="array" ref="G516">_xlfn.IFS(F516&lt;4,"Night",F516&lt;=6,"Early Morning",F516&lt;11,"Morning",F516&lt;12,"Afternoon",F516&lt;=16,"Afternoon",F516&lt;=20,"Evening",F516&gt;=21,"Night")</f>
        <v>Afternoon</v>
      </c>
      <c r="H516" s="35" t="b">
        <v>0</v>
      </c>
      <c r="I516" s="35">
        <v>0</v>
      </c>
      <c r="J516" s="35">
        <v>1</v>
      </c>
      <c r="K516" s="31">
        <v>0.14000000000000001</v>
      </c>
      <c r="L516" s="31" t="str" cm="1">
        <f t="array" ref="L516">_xlfn.IFS(K516&lt;0.15,"Cold",K516&lt;0.25,"Mild",K516&lt;=0.32,"Warm",K516&gt;=0.33,"Hot")</f>
        <v>Cold</v>
      </c>
      <c r="M516" s="36">
        <v>0.1061</v>
      </c>
      <c r="N516" s="36">
        <v>0.33</v>
      </c>
      <c r="O516" s="36" t="str" cm="1">
        <f t="array" ref="O516">_xlfn.IFS(N516&gt;0.61, "High Humidity", N516&gt;=0.6, "Humid", N516&gt;0.4, "Less Humidity", TRUE, "Dry")</f>
        <v>Dry</v>
      </c>
      <c r="P516" s="36">
        <v>0.3881</v>
      </c>
      <c r="Q516" s="36" t="str" cm="1">
        <f t="array" ref="Q516">_xlfn.IFS(P516&lt;=0.2,"Low Windspeed",P516&lt;0.4,"Medium Windspeed",P516&gt;=0.41,"High Windspeed")</f>
        <v>Medium Windspeed</v>
      </c>
      <c r="R516" s="36">
        <v>12</v>
      </c>
      <c r="S516" s="36">
        <v>75</v>
      </c>
      <c r="T516" s="37">
        <v>87</v>
      </c>
      <c r="U516" s="39" t="str" cm="1">
        <f t="array" ref="U516">_xlfn.IFS(T516&lt;=70,"Low",T516&lt;=160,"Medium",T516&gt;=161,"High")</f>
        <v>Medium</v>
      </c>
    </row>
    <row r="517" spans="1:21" x14ac:dyDescent="0.25">
      <c r="A517" s="33">
        <v>516</v>
      </c>
      <c r="B517" s="34">
        <v>40566</v>
      </c>
      <c r="C517" s="35">
        <v>1</v>
      </c>
      <c r="D517" s="35">
        <v>0</v>
      </c>
      <c r="E517" s="35">
        <v>1</v>
      </c>
      <c r="F517" s="35">
        <v>14</v>
      </c>
      <c r="G517" s="35" t="str" cm="1">
        <f t="array" ref="G517">_xlfn.IFS(F517&lt;4,"Night",F517&lt;=6,"Early Morning",F517&lt;11,"Morning",F517&lt;12,"Afternoon",F517&lt;=16,"Afternoon",F517&lt;=20,"Evening",F517&gt;=21,"Night")</f>
        <v>Afternoon</v>
      </c>
      <c r="H517" s="35" t="b">
        <v>0</v>
      </c>
      <c r="I517" s="35">
        <v>0</v>
      </c>
      <c r="J517" s="35">
        <v>1</v>
      </c>
      <c r="K517" s="31">
        <v>0.16</v>
      </c>
      <c r="L517" s="31" t="str" cm="1">
        <f t="array" ref="L517">_xlfn.IFS(K517&lt;0.15,"Cold",K517&lt;0.25,"Mild",K517&lt;=0.32,"Warm",K517&gt;=0.33,"Hot")</f>
        <v>Mild</v>
      </c>
      <c r="M517" s="36">
        <v>0.13639999999999999</v>
      </c>
      <c r="N517" s="36">
        <v>0.28000000000000003</v>
      </c>
      <c r="O517" s="36" t="str" cm="1">
        <f t="array" ref="O517">_xlfn.IFS(N517&gt;0.61, "High Humidity", N517&gt;=0.6, "Humid", N517&gt;0.4, "Less Humidity", TRUE, "Dry")</f>
        <v>Dry</v>
      </c>
      <c r="P517" s="36">
        <v>0.35820000000000002</v>
      </c>
      <c r="Q517" s="36" t="str" cm="1">
        <f t="array" ref="Q517">_xlfn.IFS(P517&lt;=0.2,"Low Windspeed",P517&lt;0.4,"Medium Windspeed",P517&gt;=0.41,"High Windspeed")</f>
        <v>Medium Windspeed</v>
      </c>
      <c r="R517" s="36">
        <v>17</v>
      </c>
      <c r="S517" s="36">
        <v>93</v>
      </c>
      <c r="T517" s="37">
        <v>110</v>
      </c>
      <c r="U517" s="39" t="str" cm="1">
        <f t="array" ref="U517">_xlfn.IFS(T517&lt;=70,"Low",T517&lt;=160,"Medium",T517&gt;=161,"High")</f>
        <v>Medium</v>
      </c>
    </row>
    <row r="518" spans="1:21" x14ac:dyDescent="0.25">
      <c r="A518" s="33">
        <v>517</v>
      </c>
      <c r="B518" s="34">
        <v>40566</v>
      </c>
      <c r="C518" s="35">
        <v>1</v>
      </c>
      <c r="D518" s="35">
        <v>0</v>
      </c>
      <c r="E518" s="35">
        <v>1</v>
      </c>
      <c r="F518" s="35">
        <v>15</v>
      </c>
      <c r="G518" s="35" t="str" cm="1">
        <f t="array" ref="G518">_xlfn.IFS(F518&lt;4,"Night",F518&lt;=6,"Early Morning",F518&lt;11,"Morning",F518&lt;12,"Afternoon",F518&lt;=16,"Afternoon",F518&lt;=20,"Evening",F518&gt;=21,"Night")</f>
        <v>Afternoon</v>
      </c>
      <c r="H518" s="35" t="b">
        <v>0</v>
      </c>
      <c r="I518" s="35">
        <v>0</v>
      </c>
      <c r="J518" s="35">
        <v>1</v>
      </c>
      <c r="K518" s="31">
        <v>0.16</v>
      </c>
      <c r="L518" s="31" t="str" cm="1">
        <f t="array" ref="L518">_xlfn.IFS(K518&lt;0.15,"Cold",K518&lt;0.25,"Mild",K518&lt;=0.32,"Warm",K518&gt;=0.33,"Hot")</f>
        <v>Mild</v>
      </c>
      <c r="M518" s="36">
        <v>0.13639999999999999</v>
      </c>
      <c r="N518" s="36">
        <v>0.28000000000000003</v>
      </c>
      <c r="O518" s="36" t="str" cm="1">
        <f t="array" ref="O518">_xlfn.IFS(N518&gt;0.61, "High Humidity", N518&gt;=0.6, "Humid", N518&gt;0.4, "Less Humidity", TRUE, "Dry")</f>
        <v>Dry</v>
      </c>
      <c r="P518" s="36">
        <v>0.35820000000000002</v>
      </c>
      <c r="Q518" s="36" t="str" cm="1">
        <f t="array" ref="Q518">_xlfn.IFS(P518&lt;=0.2,"Low Windspeed",P518&lt;0.4,"Medium Windspeed",P518&gt;=0.41,"High Windspeed")</f>
        <v>Medium Windspeed</v>
      </c>
      <c r="R518" s="36">
        <v>13</v>
      </c>
      <c r="S518" s="36">
        <v>64</v>
      </c>
      <c r="T518" s="37">
        <v>77</v>
      </c>
      <c r="U518" s="39" t="str" cm="1">
        <f t="array" ref="U518">_xlfn.IFS(T518&lt;=70,"Low",T518&lt;=160,"Medium",T518&gt;=161,"High")</f>
        <v>Medium</v>
      </c>
    </row>
    <row r="519" spans="1:21" x14ac:dyDescent="0.25">
      <c r="A519" s="33">
        <v>518</v>
      </c>
      <c r="B519" s="34">
        <v>40566</v>
      </c>
      <c r="C519" s="35">
        <v>1</v>
      </c>
      <c r="D519" s="35">
        <v>0</v>
      </c>
      <c r="E519" s="35">
        <v>1</v>
      </c>
      <c r="F519" s="35">
        <v>16</v>
      </c>
      <c r="G519" s="35" t="str" cm="1">
        <f t="array" ref="G519">_xlfn.IFS(F519&lt;4,"Night",F519&lt;=6,"Early Morning",F519&lt;11,"Morning",F519&lt;12,"Afternoon",F519&lt;=16,"Afternoon",F519&lt;=20,"Evening",F519&gt;=21,"Night")</f>
        <v>Afternoon</v>
      </c>
      <c r="H519" s="35" t="b">
        <v>0</v>
      </c>
      <c r="I519" s="35">
        <v>0</v>
      </c>
      <c r="J519" s="35">
        <v>1</v>
      </c>
      <c r="K519" s="31">
        <v>0.16</v>
      </c>
      <c r="L519" s="31" t="str" cm="1">
        <f t="array" ref="L519">_xlfn.IFS(K519&lt;0.15,"Cold",K519&lt;0.25,"Mild",K519&lt;=0.32,"Warm",K519&gt;=0.33,"Hot")</f>
        <v>Mild</v>
      </c>
      <c r="M519" s="36">
        <v>0.13639999999999999</v>
      </c>
      <c r="N519" s="36">
        <v>0.26</v>
      </c>
      <c r="O519" s="36" t="str" cm="1">
        <f t="array" ref="O519">_xlfn.IFS(N519&gt;0.61, "High Humidity", N519&gt;=0.6, "Humid", N519&gt;0.4, "Less Humidity", TRUE, "Dry")</f>
        <v>Dry</v>
      </c>
      <c r="P519" s="36">
        <v>0.32840000000000003</v>
      </c>
      <c r="Q519" s="36" t="str" cm="1">
        <f t="array" ref="Q519">_xlfn.IFS(P519&lt;=0.2,"Low Windspeed",P519&lt;0.4,"Medium Windspeed",P519&gt;=0.41,"High Windspeed")</f>
        <v>Medium Windspeed</v>
      </c>
      <c r="R519" s="36">
        <v>9</v>
      </c>
      <c r="S519" s="36">
        <v>56</v>
      </c>
      <c r="T519" s="37">
        <v>65</v>
      </c>
      <c r="U519" s="39" t="str" cm="1">
        <f t="array" ref="U519">_xlfn.IFS(T519&lt;=70,"Low",T519&lt;=160,"Medium",T519&gt;=161,"High")</f>
        <v>Low</v>
      </c>
    </row>
    <row r="520" spans="1:21" x14ac:dyDescent="0.25">
      <c r="A520" s="33">
        <v>519</v>
      </c>
      <c r="B520" s="34">
        <v>40566</v>
      </c>
      <c r="C520" s="35">
        <v>1</v>
      </c>
      <c r="D520" s="35">
        <v>0</v>
      </c>
      <c r="E520" s="35">
        <v>1</v>
      </c>
      <c r="F520" s="35">
        <v>17</v>
      </c>
      <c r="G520" s="35" t="str" cm="1">
        <f t="array" ref="G520">_xlfn.IFS(F520&lt;4,"Night",F520&lt;=6,"Early Morning",F520&lt;11,"Morning",F520&lt;12,"Afternoon",F520&lt;=16,"Afternoon",F520&lt;=20,"Evening",F520&gt;=21,"Night")</f>
        <v>Evening</v>
      </c>
      <c r="H520" s="35" t="b">
        <v>0</v>
      </c>
      <c r="I520" s="35">
        <v>0</v>
      </c>
      <c r="J520" s="35">
        <v>1</v>
      </c>
      <c r="K520" s="31">
        <v>0.14000000000000001</v>
      </c>
      <c r="L520" s="31" t="str" cm="1">
        <f t="array" ref="L520">_xlfn.IFS(K520&lt;0.15,"Cold",K520&lt;0.25,"Mild",K520&lt;=0.32,"Warm",K520&gt;=0.33,"Hot")</f>
        <v>Cold</v>
      </c>
      <c r="M520" s="36">
        <v>0.1061</v>
      </c>
      <c r="N520" s="36">
        <v>0.26</v>
      </c>
      <c r="O520" s="36" t="str" cm="1">
        <f t="array" ref="O520">_xlfn.IFS(N520&gt;0.61, "High Humidity", N520&gt;=0.6, "Humid", N520&gt;0.4, "Less Humidity", TRUE, "Dry")</f>
        <v>Dry</v>
      </c>
      <c r="P520" s="36">
        <v>0.3881</v>
      </c>
      <c r="Q520" s="36" t="str" cm="1">
        <f t="array" ref="Q520">_xlfn.IFS(P520&lt;=0.2,"Low Windspeed",P520&lt;0.4,"Medium Windspeed",P520&gt;=0.41,"High Windspeed")</f>
        <v>Medium Windspeed</v>
      </c>
      <c r="R520" s="36">
        <v>5</v>
      </c>
      <c r="S520" s="36">
        <v>50</v>
      </c>
      <c r="T520" s="37">
        <v>55</v>
      </c>
      <c r="U520" s="39" t="str" cm="1">
        <f t="array" ref="U520">_xlfn.IFS(T520&lt;=70,"Low",T520&lt;=160,"Medium",T520&gt;=161,"High")</f>
        <v>Low</v>
      </c>
    </row>
    <row r="521" spans="1:21" x14ac:dyDescent="0.25">
      <c r="A521" s="33">
        <v>520</v>
      </c>
      <c r="B521" s="34">
        <v>40566</v>
      </c>
      <c r="C521" s="35">
        <v>1</v>
      </c>
      <c r="D521" s="35">
        <v>0</v>
      </c>
      <c r="E521" s="35">
        <v>1</v>
      </c>
      <c r="F521" s="35">
        <v>18</v>
      </c>
      <c r="G521" s="35" t="str" cm="1">
        <f t="array" ref="G521">_xlfn.IFS(F521&lt;4,"Night",F521&lt;=6,"Early Morning",F521&lt;11,"Morning",F521&lt;12,"Afternoon",F521&lt;=16,"Afternoon",F521&lt;=20,"Evening",F521&gt;=21,"Night")</f>
        <v>Evening</v>
      </c>
      <c r="H521" s="35" t="b">
        <v>0</v>
      </c>
      <c r="I521" s="35">
        <v>0</v>
      </c>
      <c r="J521" s="35">
        <v>1</v>
      </c>
      <c r="K521" s="31">
        <v>0.12</v>
      </c>
      <c r="L521" s="31" t="str" cm="1">
        <f t="array" ref="L521">_xlfn.IFS(K521&lt;0.15,"Cold",K521&lt;0.25,"Mild",K521&lt;=0.32,"Warm",K521&gt;=0.33,"Hot")</f>
        <v>Cold</v>
      </c>
      <c r="M521" s="36">
        <v>0.1212</v>
      </c>
      <c r="N521" s="36">
        <v>0.3</v>
      </c>
      <c r="O521" s="36" t="str" cm="1">
        <f t="array" ref="O521">_xlfn.IFS(N521&gt;0.61, "High Humidity", N521&gt;=0.6, "Humid", N521&gt;0.4, "Less Humidity", TRUE, "Dry")</f>
        <v>Dry</v>
      </c>
      <c r="P521" s="36">
        <v>0.25369999999999998</v>
      </c>
      <c r="Q521" s="36" t="str" cm="1">
        <f t="array" ref="Q521">_xlfn.IFS(P521&lt;=0.2,"Low Windspeed",P521&lt;0.4,"Medium Windspeed",P521&gt;=0.41,"High Windspeed")</f>
        <v>Medium Windspeed</v>
      </c>
      <c r="R521" s="36">
        <v>5</v>
      </c>
      <c r="S521" s="36">
        <v>44</v>
      </c>
      <c r="T521" s="37">
        <v>49</v>
      </c>
      <c r="U521" s="39" t="str" cm="1">
        <f t="array" ref="U521">_xlfn.IFS(T521&lt;=70,"Low",T521&lt;=160,"Medium",T521&gt;=161,"High")</f>
        <v>Low</v>
      </c>
    </row>
    <row r="522" spans="1:21" x14ac:dyDescent="0.25">
      <c r="A522" s="33">
        <v>521</v>
      </c>
      <c r="B522" s="34">
        <v>40566</v>
      </c>
      <c r="C522" s="35">
        <v>1</v>
      </c>
      <c r="D522" s="35">
        <v>0</v>
      </c>
      <c r="E522" s="35">
        <v>1</v>
      </c>
      <c r="F522" s="35">
        <v>19</v>
      </c>
      <c r="G522" s="35" t="str" cm="1">
        <f t="array" ref="G522">_xlfn.IFS(F522&lt;4,"Night",F522&lt;=6,"Early Morning",F522&lt;11,"Morning",F522&lt;12,"Afternoon",F522&lt;=16,"Afternoon",F522&lt;=20,"Evening",F522&gt;=21,"Night")</f>
        <v>Evening</v>
      </c>
      <c r="H522" s="35" t="b">
        <v>0</v>
      </c>
      <c r="I522" s="35">
        <v>0</v>
      </c>
      <c r="J522" s="35">
        <v>1</v>
      </c>
      <c r="K522" s="31">
        <v>0.12</v>
      </c>
      <c r="L522" s="31" t="str" cm="1">
        <f t="array" ref="L522">_xlfn.IFS(K522&lt;0.15,"Cold",K522&lt;0.25,"Mild",K522&lt;=0.32,"Warm",K522&gt;=0.33,"Hot")</f>
        <v>Cold</v>
      </c>
      <c r="M522" s="36">
        <v>0.1212</v>
      </c>
      <c r="N522" s="36">
        <v>0.3</v>
      </c>
      <c r="O522" s="36" t="str" cm="1">
        <f t="array" ref="O522">_xlfn.IFS(N522&gt;0.61, "High Humidity", N522&gt;=0.6, "Humid", N522&gt;0.4, "Less Humidity", TRUE, "Dry")</f>
        <v>Dry</v>
      </c>
      <c r="P522" s="36">
        <v>0.28360000000000002</v>
      </c>
      <c r="Q522" s="36" t="str" cm="1">
        <f t="array" ref="Q522">_xlfn.IFS(P522&lt;=0.2,"Low Windspeed",P522&lt;0.4,"Medium Windspeed",P522&gt;=0.41,"High Windspeed")</f>
        <v>Medium Windspeed</v>
      </c>
      <c r="R522" s="36">
        <v>5</v>
      </c>
      <c r="S522" s="36">
        <v>45</v>
      </c>
      <c r="T522" s="37">
        <v>50</v>
      </c>
      <c r="U522" s="39" t="str" cm="1">
        <f t="array" ref="U522">_xlfn.IFS(T522&lt;=70,"Low",T522&lt;=160,"Medium",T522&gt;=161,"High")</f>
        <v>Low</v>
      </c>
    </row>
    <row r="523" spans="1:21" x14ac:dyDescent="0.25">
      <c r="A523" s="33">
        <v>522</v>
      </c>
      <c r="B523" s="34">
        <v>40566</v>
      </c>
      <c r="C523" s="35">
        <v>1</v>
      </c>
      <c r="D523" s="35">
        <v>0</v>
      </c>
      <c r="E523" s="35">
        <v>1</v>
      </c>
      <c r="F523" s="35">
        <v>20</v>
      </c>
      <c r="G523" s="35" t="str" cm="1">
        <f t="array" ref="G523">_xlfn.IFS(F523&lt;4,"Night",F523&lt;=6,"Early Morning",F523&lt;11,"Morning",F523&lt;12,"Afternoon",F523&lt;=16,"Afternoon",F523&lt;=20,"Evening",F523&gt;=21,"Night")</f>
        <v>Evening</v>
      </c>
      <c r="H523" s="35" t="b">
        <v>0</v>
      </c>
      <c r="I523" s="35">
        <v>0</v>
      </c>
      <c r="J523" s="35">
        <v>1</v>
      </c>
      <c r="K523" s="31">
        <v>0.1</v>
      </c>
      <c r="L523" s="31" t="str" cm="1">
        <f t="array" ref="L523">_xlfn.IFS(K523&lt;0.15,"Cold",K523&lt;0.25,"Mild",K523&lt;=0.32,"Warm",K523&gt;=0.33,"Hot")</f>
        <v>Cold</v>
      </c>
      <c r="M523" s="36">
        <v>0.1061</v>
      </c>
      <c r="N523" s="36">
        <v>0.36</v>
      </c>
      <c r="O523" s="36" t="str" cm="1">
        <f t="array" ref="O523">_xlfn.IFS(N523&gt;0.61, "High Humidity", N523&gt;=0.6, "Humid", N523&gt;0.4, "Less Humidity", TRUE, "Dry")</f>
        <v>Dry</v>
      </c>
      <c r="P523" s="36">
        <v>0.25369999999999998</v>
      </c>
      <c r="Q523" s="36" t="str" cm="1">
        <f t="array" ref="Q523">_xlfn.IFS(P523&lt;=0.2,"Low Windspeed",P523&lt;0.4,"Medium Windspeed",P523&gt;=0.41,"High Windspeed")</f>
        <v>Medium Windspeed</v>
      </c>
      <c r="R523" s="36">
        <v>4</v>
      </c>
      <c r="S523" s="36">
        <v>31</v>
      </c>
      <c r="T523" s="37">
        <v>35</v>
      </c>
      <c r="U523" s="39" t="str" cm="1">
        <f t="array" ref="U523">_xlfn.IFS(T523&lt;=70,"Low",T523&lt;=160,"Medium",T523&gt;=161,"High")</f>
        <v>Low</v>
      </c>
    </row>
    <row r="524" spans="1:21" x14ac:dyDescent="0.25">
      <c r="A524" s="33">
        <v>523</v>
      </c>
      <c r="B524" s="34">
        <v>40566</v>
      </c>
      <c r="C524" s="35">
        <v>1</v>
      </c>
      <c r="D524" s="35">
        <v>0</v>
      </c>
      <c r="E524" s="35">
        <v>1</v>
      </c>
      <c r="F524" s="35">
        <v>21</v>
      </c>
      <c r="G524" s="35" t="str" cm="1">
        <f t="array" ref="G524">_xlfn.IFS(F524&lt;4,"Night",F524&lt;=6,"Early Morning",F524&lt;11,"Morning",F524&lt;12,"Afternoon",F524&lt;=16,"Afternoon",F524&lt;=20,"Evening",F524&gt;=21,"Night")</f>
        <v>Night</v>
      </c>
      <c r="H524" s="35" t="b">
        <v>0</v>
      </c>
      <c r="I524" s="35">
        <v>0</v>
      </c>
      <c r="J524" s="35">
        <v>1</v>
      </c>
      <c r="K524" s="31">
        <v>0.1</v>
      </c>
      <c r="L524" s="31" t="str" cm="1">
        <f t="array" ref="L524">_xlfn.IFS(K524&lt;0.15,"Cold",K524&lt;0.25,"Mild",K524&lt;=0.32,"Warm",K524&gt;=0.33,"Hot")</f>
        <v>Cold</v>
      </c>
      <c r="M524" s="36">
        <v>0.1061</v>
      </c>
      <c r="N524" s="36">
        <v>0.36</v>
      </c>
      <c r="O524" s="36" t="str" cm="1">
        <f t="array" ref="O524">_xlfn.IFS(N524&gt;0.61, "High Humidity", N524&gt;=0.6, "Humid", N524&gt;0.4, "Less Humidity", TRUE, "Dry")</f>
        <v>Dry</v>
      </c>
      <c r="P524" s="36">
        <v>0.19400000000000001</v>
      </c>
      <c r="Q524" s="36" t="str" cm="1">
        <f t="array" ref="Q524">_xlfn.IFS(P524&lt;=0.2,"Low Windspeed",P524&lt;0.4,"Medium Windspeed",P524&gt;=0.41,"High Windspeed")</f>
        <v>Low Windspeed</v>
      </c>
      <c r="R524" s="36">
        <v>5</v>
      </c>
      <c r="S524" s="36">
        <v>20</v>
      </c>
      <c r="T524" s="37">
        <v>25</v>
      </c>
      <c r="U524" s="39" t="str" cm="1">
        <f t="array" ref="U524">_xlfn.IFS(T524&lt;=70,"Low",T524&lt;=160,"Medium",T524&gt;=161,"High")</f>
        <v>Low</v>
      </c>
    </row>
    <row r="525" spans="1:21" x14ac:dyDescent="0.25">
      <c r="A525" s="33">
        <v>524</v>
      </c>
      <c r="B525" s="34">
        <v>40566</v>
      </c>
      <c r="C525" s="35">
        <v>1</v>
      </c>
      <c r="D525" s="35">
        <v>0</v>
      </c>
      <c r="E525" s="35">
        <v>1</v>
      </c>
      <c r="F525" s="35">
        <v>22</v>
      </c>
      <c r="G525" s="35" t="str" cm="1">
        <f t="array" ref="G525">_xlfn.IFS(F525&lt;4,"Night",F525&lt;=6,"Early Morning",F525&lt;11,"Morning",F525&lt;12,"Afternoon",F525&lt;=16,"Afternoon",F525&lt;=20,"Evening",F525&gt;=21,"Night")</f>
        <v>Night</v>
      </c>
      <c r="H525" s="35" t="b">
        <v>0</v>
      </c>
      <c r="I525" s="35">
        <v>0</v>
      </c>
      <c r="J525" s="35">
        <v>1</v>
      </c>
      <c r="K525" s="31">
        <v>0.08</v>
      </c>
      <c r="L525" s="31" t="str" cm="1">
        <f t="array" ref="L525">_xlfn.IFS(K525&lt;0.15,"Cold",K525&lt;0.25,"Mild",K525&lt;=0.32,"Warm",K525&gt;=0.33,"Hot")</f>
        <v>Cold</v>
      </c>
      <c r="M525" s="36">
        <v>9.0899999999999995E-2</v>
      </c>
      <c r="N525" s="36">
        <v>0.38</v>
      </c>
      <c r="O525" s="36" t="str" cm="1">
        <f t="array" ref="O525">_xlfn.IFS(N525&gt;0.61, "High Humidity", N525&gt;=0.6, "Humid", N525&gt;0.4, "Less Humidity", TRUE, "Dry")</f>
        <v>Dry</v>
      </c>
      <c r="P525" s="36">
        <v>0.19400000000000001</v>
      </c>
      <c r="Q525" s="36" t="str" cm="1">
        <f t="array" ref="Q525">_xlfn.IFS(P525&lt;=0.2,"Low Windspeed",P525&lt;0.4,"Medium Windspeed",P525&gt;=0.41,"High Windspeed")</f>
        <v>Low Windspeed</v>
      </c>
      <c r="R525" s="36">
        <v>5</v>
      </c>
      <c r="S525" s="36">
        <v>23</v>
      </c>
      <c r="T525" s="37">
        <v>28</v>
      </c>
      <c r="U525" s="39" t="str" cm="1">
        <f t="array" ref="U525">_xlfn.IFS(T525&lt;=70,"Low",T525&lt;=160,"Medium",T525&gt;=161,"High")</f>
        <v>Low</v>
      </c>
    </row>
    <row r="526" spans="1:21" x14ac:dyDescent="0.25">
      <c r="A526" s="33">
        <v>525</v>
      </c>
      <c r="B526" s="34">
        <v>40566</v>
      </c>
      <c r="C526" s="35">
        <v>1</v>
      </c>
      <c r="D526" s="35">
        <v>0</v>
      </c>
      <c r="E526" s="35">
        <v>1</v>
      </c>
      <c r="F526" s="35">
        <v>23</v>
      </c>
      <c r="G526" s="35" t="str" cm="1">
        <f t="array" ref="G526">_xlfn.IFS(F526&lt;4,"Night",F526&lt;=6,"Early Morning",F526&lt;11,"Morning",F526&lt;12,"Afternoon",F526&lt;=16,"Afternoon",F526&lt;=20,"Evening",F526&gt;=21,"Night")</f>
        <v>Night</v>
      </c>
      <c r="H526" s="35" t="b">
        <v>0</v>
      </c>
      <c r="I526" s="35">
        <v>0</v>
      </c>
      <c r="J526" s="35">
        <v>1</v>
      </c>
      <c r="K526" s="31">
        <v>0.06</v>
      </c>
      <c r="L526" s="31" t="str" cm="1">
        <f t="array" ref="L526">_xlfn.IFS(K526&lt;0.15,"Cold",K526&lt;0.25,"Mild",K526&lt;=0.32,"Warm",K526&gt;=0.33,"Hot")</f>
        <v>Cold</v>
      </c>
      <c r="M526" s="36">
        <v>6.0600000000000001E-2</v>
      </c>
      <c r="N526" s="36">
        <v>0.41</v>
      </c>
      <c r="O526" s="36" t="str" cm="1">
        <f t="array" ref="O526">_xlfn.IFS(N526&gt;0.61, "High Humidity", N526&gt;=0.6, "Humid", N526&gt;0.4, "Less Humidity", TRUE, "Dry")</f>
        <v>Less Humidity</v>
      </c>
      <c r="P526" s="36">
        <v>0.22389999999999999</v>
      </c>
      <c r="Q526" s="36" t="str" cm="1">
        <f t="array" ref="Q526">_xlfn.IFS(P526&lt;=0.2,"Low Windspeed",P526&lt;0.4,"Medium Windspeed",P526&gt;=0.41,"High Windspeed")</f>
        <v>Medium Windspeed</v>
      </c>
      <c r="R526" s="36">
        <v>4</v>
      </c>
      <c r="S526" s="36">
        <v>17</v>
      </c>
      <c r="T526" s="37">
        <v>21</v>
      </c>
      <c r="U526" s="39" t="str" cm="1">
        <f t="array" ref="U526">_xlfn.IFS(T526&lt;=70,"Low",T526&lt;=160,"Medium",T526&gt;=161,"High")</f>
        <v>Low</v>
      </c>
    </row>
    <row r="527" spans="1:21" x14ac:dyDescent="0.25">
      <c r="A527" s="33">
        <v>526</v>
      </c>
      <c r="B527" s="34">
        <v>40567</v>
      </c>
      <c r="C527" s="35">
        <v>1</v>
      </c>
      <c r="D527" s="35">
        <v>0</v>
      </c>
      <c r="E527" s="35">
        <v>1</v>
      </c>
      <c r="F527" s="35">
        <v>0</v>
      </c>
      <c r="G527" s="35" t="str" cm="1">
        <f t="array" ref="G527">_xlfn.IFS(F527&lt;4,"Night",F527&lt;=6,"Early Morning",F527&lt;11,"Morning",F527&lt;12,"Afternoon",F527&lt;=16,"Afternoon",F527&lt;=20,"Evening",F527&gt;=21,"Night")</f>
        <v>Night</v>
      </c>
      <c r="H527" s="35" t="b">
        <v>0</v>
      </c>
      <c r="I527" s="35">
        <v>1</v>
      </c>
      <c r="J527" s="35">
        <v>1</v>
      </c>
      <c r="K527" s="31">
        <v>0.06</v>
      </c>
      <c r="L527" s="31" t="str" cm="1">
        <f t="array" ref="L527">_xlfn.IFS(K527&lt;0.15,"Cold",K527&lt;0.25,"Mild",K527&lt;=0.32,"Warm",K527&gt;=0.33,"Hot")</f>
        <v>Cold</v>
      </c>
      <c r="M527" s="36">
        <v>6.0600000000000001E-2</v>
      </c>
      <c r="N527" s="36">
        <v>0.41</v>
      </c>
      <c r="O527" s="36" t="str" cm="1">
        <f t="array" ref="O527">_xlfn.IFS(N527&gt;0.61, "High Humidity", N527&gt;=0.6, "Humid", N527&gt;0.4, "Less Humidity", TRUE, "Dry")</f>
        <v>Less Humidity</v>
      </c>
      <c r="P527" s="36">
        <v>0.19400000000000001</v>
      </c>
      <c r="Q527" s="36" t="str" cm="1">
        <f t="array" ref="Q527">_xlfn.IFS(P527&lt;=0.2,"Low Windspeed",P527&lt;0.4,"Medium Windspeed",P527&gt;=0.41,"High Windspeed")</f>
        <v>Low Windspeed</v>
      </c>
      <c r="R527" s="36">
        <v>0</v>
      </c>
      <c r="S527" s="36">
        <v>7</v>
      </c>
      <c r="T527" s="37">
        <v>7</v>
      </c>
      <c r="U527" s="39" t="str" cm="1">
        <f t="array" ref="U527">_xlfn.IFS(T527&lt;=70,"Low",T527&lt;=160,"Medium",T527&gt;=161,"High")</f>
        <v>Low</v>
      </c>
    </row>
    <row r="528" spans="1:21" x14ac:dyDescent="0.25">
      <c r="A528" s="33">
        <v>527</v>
      </c>
      <c r="B528" s="34">
        <v>40567</v>
      </c>
      <c r="C528" s="35">
        <v>1</v>
      </c>
      <c r="D528" s="35">
        <v>0</v>
      </c>
      <c r="E528" s="35">
        <v>1</v>
      </c>
      <c r="F528" s="35">
        <v>1</v>
      </c>
      <c r="G528" s="35" t="str" cm="1">
        <f t="array" ref="G528">_xlfn.IFS(F528&lt;4,"Night",F528&lt;=6,"Early Morning",F528&lt;11,"Morning",F528&lt;12,"Afternoon",F528&lt;=16,"Afternoon",F528&lt;=20,"Evening",F528&gt;=21,"Night")</f>
        <v>Night</v>
      </c>
      <c r="H528" s="35" t="b">
        <v>0</v>
      </c>
      <c r="I528" s="35">
        <v>1</v>
      </c>
      <c r="J528" s="35">
        <v>1</v>
      </c>
      <c r="K528" s="31">
        <v>0.04</v>
      </c>
      <c r="L528" s="31" t="str" cm="1">
        <f t="array" ref="L528">_xlfn.IFS(K528&lt;0.15,"Cold",K528&lt;0.25,"Mild",K528&lt;=0.32,"Warm",K528&gt;=0.33,"Hot")</f>
        <v>Cold</v>
      </c>
      <c r="M528" s="36">
        <v>4.5499999999999999E-2</v>
      </c>
      <c r="N528" s="36">
        <v>0.45</v>
      </c>
      <c r="O528" s="36" t="str" cm="1">
        <f t="array" ref="O528">_xlfn.IFS(N528&gt;0.61, "High Humidity", N528&gt;=0.6, "Humid", N528&gt;0.4, "Less Humidity", TRUE, "Dry")</f>
        <v>Less Humidity</v>
      </c>
      <c r="P528" s="36">
        <v>0.19400000000000001</v>
      </c>
      <c r="Q528" s="36" t="str" cm="1">
        <f t="array" ref="Q528">_xlfn.IFS(P528&lt;=0.2,"Low Windspeed",P528&lt;0.4,"Medium Windspeed",P528&gt;=0.41,"High Windspeed")</f>
        <v>Low Windspeed</v>
      </c>
      <c r="R528" s="36">
        <v>0</v>
      </c>
      <c r="S528" s="36">
        <v>1</v>
      </c>
      <c r="T528" s="37">
        <v>1</v>
      </c>
      <c r="U528" s="39" t="str" cm="1">
        <f t="array" ref="U528">_xlfn.IFS(T528&lt;=70,"Low",T528&lt;=160,"Medium",T528&gt;=161,"High")</f>
        <v>Low</v>
      </c>
    </row>
    <row r="529" spans="1:21" x14ac:dyDescent="0.25">
      <c r="A529" s="33">
        <v>528</v>
      </c>
      <c r="B529" s="34">
        <v>40567</v>
      </c>
      <c r="C529" s="35">
        <v>1</v>
      </c>
      <c r="D529" s="35">
        <v>0</v>
      </c>
      <c r="E529" s="35">
        <v>1</v>
      </c>
      <c r="F529" s="35">
        <v>3</v>
      </c>
      <c r="G529" s="35" t="str" cm="1">
        <f t="array" ref="G529">_xlfn.IFS(F529&lt;4,"Night",F529&lt;=6,"Early Morning",F529&lt;11,"Morning",F529&lt;12,"Afternoon",F529&lt;=16,"Afternoon",F529&lt;=20,"Evening",F529&gt;=21,"Night")</f>
        <v>Night</v>
      </c>
      <c r="H529" s="35" t="b">
        <v>0</v>
      </c>
      <c r="I529" s="35">
        <v>1</v>
      </c>
      <c r="J529" s="35">
        <v>1</v>
      </c>
      <c r="K529" s="31">
        <v>0.04</v>
      </c>
      <c r="L529" s="31" t="str" cm="1">
        <f t="array" ref="L529">_xlfn.IFS(K529&lt;0.15,"Cold",K529&lt;0.25,"Mild",K529&lt;=0.32,"Warm",K529&gt;=0.33,"Hot")</f>
        <v>Cold</v>
      </c>
      <c r="M529" s="36">
        <v>3.0300000000000001E-2</v>
      </c>
      <c r="N529" s="36">
        <v>0.45</v>
      </c>
      <c r="O529" s="36" t="str" cm="1">
        <f t="array" ref="O529">_xlfn.IFS(N529&gt;0.61, "High Humidity", N529&gt;=0.6, "Humid", N529&gt;0.4, "Less Humidity", TRUE, "Dry")</f>
        <v>Less Humidity</v>
      </c>
      <c r="P529" s="36">
        <v>0.25369999999999998</v>
      </c>
      <c r="Q529" s="36" t="str" cm="1">
        <f t="array" ref="Q529">_xlfn.IFS(P529&lt;=0.2,"Low Windspeed",P529&lt;0.4,"Medium Windspeed",P529&gt;=0.41,"High Windspeed")</f>
        <v>Medium Windspeed</v>
      </c>
      <c r="R529" s="36">
        <v>0</v>
      </c>
      <c r="S529" s="36">
        <v>1</v>
      </c>
      <c r="T529" s="37">
        <v>1</v>
      </c>
      <c r="U529" s="39" t="str" cm="1">
        <f t="array" ref="U529">_xlfn.IFS(T529&lt;=70,"Low",T529&lt;=160,"Medium",T529&gt;=161,"High")</f>
        <v>Low</v>
      </c>
    </row>
    <row r="530" spans="1:21" x14ac:dyDescent="0.25">
      <c r="A530" s="33">
        <v>529</v>
      </c>
      <c r="B530" s="34">
        <v>40567</v>
      </c>
      <c r="C530" s="35">
        <v>1</v>
      </c>
      <c r="D530" s="35">
        <v>0</v>
      </c>
      <c r="E530" s="35">
        <v>1</v>
      </c>
      <c r="F530" s="35">
        <v>4</v>
      </c>
      <c r="G530" s="35" t="str" cm="1">
        <f t="array" ref="G530">_xlfn.IFS(F530&lt;4,"Night",F530&lt;=6,"Early Morning",F530&lt;11,"Morning",F530&lt;12,"Afternoon",F530&lt;=16,"Afternoon",F530&lt;=20,"Evening",F530&gt;=21,"Night")</f>
        <v>Early Morning</v>
      </c>
      <c r="H530" s="35" t="b">
        <v>0</v>
      </c>
      <c r="I530" s="35">
        <v>1</v>
      </c>
      <c r="J530" s="35">
        <v>1</v>
      </c>
      <c r="K530" s="31">
        <v>0.02</v>
      </c>
      <c r="L530" s="31" t="str" cm="1">
        <f t="array" ref="L530">_xlfn.IFS(K530&lt;0.15,"Cold",K530&lt;0.25,"Mild",K530&lt;=0.32,"Warm",K530&gt;=0.33,"Hot")</f>
        <v>Cold</v>
      </c>
      <c r="M530" s="36">
        <v>6.0600000000000001E-2</v>
      </c>
      <c r="N530" s="36">
        <v>0.48</v>
      </c>
      <c r="O530" s="36" t="str" cm="1">
        <f t="array" ref="O530">_xlfn.IFS(N530&gt;0.61, "High Humidity", N530&gt;=0.6, "Humid", N530&gt;0.4, "Less Humidity", TRUE, "Dry")</f>
        <v>Less Humidity</v>
      </c>
      <c r="P530" s="36">
        <v>0.1343</v>
      </c>
      <c r="Q530" s="36" t="str" cm="1">
        <f t="array" ref="Q530">_xlfn.IFS(P530&lt;=0.2,"Low Windspeed",P530&lt;0.4,"Medium Windspeed",P530&gt;=0.41,"High Windspeed")</f>
        <v>Low Windspeed</v>
      </c>
      <c r="R530" s="36">
        <v>0</v>
      </c>
      <c r="S530" s="36">
        <v>1</v>
      </c>
      <c r="T530" s="37">
        <v>1</v>
      </c>
      <c r="U530" s="39" t="str" cm="1">
        <f t="array" ref="U530">_xlfn.IFS(T530&lt;=70,"Low",T530&lt;=160,"Medium",T530&gt;=161,"High")</f>
        <v>Low</v>
      </c>
    </row>
    <row r="531" spans="1:21" x14ac:dyDescent="0.25">
      <c r="A531" s="33">
        <v>530</v>
      </c>
      <c r="B531" s="34">
        <v>40567</v>
      </c>
      <c r="C531" s="35">
        <v>1</v>
      </c>
      <c r="D531" s="35">
        <v>0</v>
      </c>
      <c r="E531" s="35">
        <v>1</v>
      </c>
      <c r="F531" s="35">
        <v>5</v>
      </c>
      <c r="G531" s="35" t="str" cm="1">
        <f t="array" ref="G531">_xlfn.IFS(F531&lt;4,"Night",F531&lt;=6,"Early Morning",F531&lt;11,"Morning",F531&lt;12,"Afternoon",F531&lt;=16,"Afternoon",F531&lt;=20,"Evening",F531&gt;=21,"Night")</f>
        <v>Early Morning</v>
      </c>
      <c r="H531" s="35" t="b">
        <v>0</v>
      </c>
      <c r="I531" s="35">
        <v>1</v>
      </c>
      <c r="J531" s="35">
        <v>1</v>
      </c>
      <c r="K531" s="31">
        <v>0.02</v>
      </c>
      <c r="L531" s="31" t="str" cm="1">
        <f t="array" ref="L531">_xlfn.IFS(K531&lt;0.15,"Cold",K531&lt;0.25,"Mild",K531&lt;=0.32,"Warm",K531&gt;=0.33,"Hot")</f>
        <v>Cold</v>
      </c>
      <c r="M531" s="36">
        <v>6.0600000000000001E-2</v>
      </c>
      <c r="N531" s="36">
        <v>0.48</v>
      </c>
      <c r="O531" s="36" t="str" cm="1">
        <f t="array" ref="O531">_xlfn.IFS(N531&gt;0.61, "High Humidity", N531&gt;=0.6, "Humid", N531&gt;0.4, "Less Humidity", TRUE, "Dry")</f>
        <v>Less Humidity</v>
      </c>
      <c r="P531" s="36">
        <v>0.1343</v>
      </c>
      <c r="Q531" s="36" t="str" cm="1">
        <f t="array" ref="Q531">_xlfn.IFS(P531&lt;=0.2,"Low Windspeed",P531&lt;0.4,"Medium Windspeed",P531&gt;=0.41,"High Windspeed")</f>
        <v>Low Windspeed</v>
      </c>
      <c r="R531" s="36">
        <v>0</v>
      </c>
      <c r="S531" s="36">
        <v>5</v>
      </c>
      <c r="T531" s="37">
        <v>5</v>
      </c>
      <c r="U531" s="39" t="str" cm="1">
        <f t="array" ref="U531">_xlfn.IFS(T531&lt;=70,"Low",T531&lt;=160,"Medium",T531&gt;=161,"High")</f>
        <v>Low</v>
      </c>
    </row>
    <row r="532" spans="1:21" x14ac:dyDescent="0.25">
      <c r="A532" s="33">
        <v>531</v>
      </c>
      <c r="B532" s="34">
        <v>40567</v>
      </c>
      <c r="C532" s="35">
        <v>1</v>
      </c>
      <c r="D532" s="35">
        <v>0</v>
      </c>
      <c r="E532" s="35">
        <v>1</v>
      </c>
      <c r="F532" s="35">
        <v>6</v>
      </c>
      <c r="G532" s="35" t="str" cm="1">
        <f t="array" ref="G532">_xlfn.IFS(F532&lt;4,"Night",F532&lt;=6,"Early Morning",F532&lt;11,"Morning",F532&lt;12,"Afternoon",F532&lt;=16,"Afternoon",F532&lt;=20,"Evening",F532&gt;=21,"Night")</f>
        <v>Early Morning</v>
      </c>
      <c r="H532" s="35" t="b">
        <v>0</v>
      </c>
      <c r="I532" s="35">
        <v>1</v>
      </c>
      <c r="J532" s="35">
        <v>1</v>
      </c>
      <c r="K532" s="31">
        <v>0.02</v>
      </c>
      <c r="L532" s="31" t="str" cm="1">
        <f t="array" ref="L532">_xlfn.IFS(K532&lt;0.15,"Cold",K532&lt;0.25,"Mild",K532&lt;=0.32,"Warm",K532&gt;=0.33,"Hot")</f>
        <v>Cold</v>
      </c>
      <c r="M532" s="36">
        <v>7.5800000000000006E-2</v>
      </c>
      <c r="N532" s="36">
        <v>0.48</v>
      </c>
      <c r="O532" s="36" t="str" cm="1">
        <f t="array" ref="O532">_xlfn.IFS(N532&gt;0.61, "High Humidity", N532&gt;=0.6, "Humid", N532&gt;0.4, "Less Humidity", TRUE, "Dry")</f>
        <v>Less Humidity</v>
      </c>
      <c r="P532" s="36">
        <v>8.9599999999999999E-2</v>
      </c>
      <c r="Q532" s="36" t="str" cm="1">
        <f t="array" ref="Q532">_xlfn.IFS(P532&lt;=0.2,"Low Windspeed",P532&lt;0.4,"Medium Windspeed",P532&gt;=0.41,"High Windspeed")</f>
        <v>Low Windspeed</v>
      </c>
      <c r="R532" s="36">
        <v>0</v>
      </c>
      <c r="S532" s="36">
        <v>15</v>
      </c>
      <c r="T532" s="37">
        <v>15</v>
      </c>
      <c r="U532" s="39" t="str" cm="1">
        <f t="array" ref="U532">_xlfn.IFS(T532&lt;=70,"Low",T532&lt;=160,"Medium",T532&gt;=161,"High")</f>
        <v>Low</v>
      </c>
    </row>
    <row r="533" spans="1:21" x14ac:dyDescent="0.25">
      <c r="A533" s="33">
        <v>532</v>
      </c>
      <c r="B533" s="34">
        <v>40567</v>
      </c>
      <c r="C533" s="35">
        <v>1</v>
      </c>
      <c r="D533" s="35">
        <v>0</v>
      </c>
      <c r="E533" s="35">
        <v>1</v>
      </c>
      <c r="F533" s="35">
        <v>7</v>
      </c>
      <c r="G533" s="35" t="str" cm="1">
        <f t="array" ref="G533">_xlfn.IFS(F533&lt;4,"Night",F533&lt;=6,"Early Morning",F533&lt;11,"Morning",F533&lt;12,"Afternoon",F533&lt;=16,"Afternoon",F533&lt;=20,"Evening",F533&gt;=21,"Night")</f>
        <v>Morning</v>
      </c>
      <c r="H533" s="35" t="b">
        <v>0</v>
      </c>
      <c r="I533" s="35">
        <v>1</v>
      </c>
      <c r="J533" s="35">
        <v>1</v>
      </c>
      <c r="K533" s="31">
        <v>0.02</v>
      </c>
      <c r="L533" s="31" t="str" cm="1">
        <f t="array" ref="L533">_xlfn.IFS(K533&lt;0.15,"Cold",K533&lt;0.25,"Mild",K533&lt;=0.32,"Warm",K533&gt;=0.33,"Hot")</f>
        <v>Cold</v>
      </c>
      <c r="M533" s="36">
        <v>0.1212</v>
      </c>
      <c r="N533" s="36">
        <v>0.48</v>
      </c>
      <c r="O533" s="36" t="str" cm="1">
        <f t="array" ref="O533">_xlfn.IFS(N533&gt;0.61, "High Humidity", N533&gt;=0.6, "Humid", N533&gt;0.4, "Less Humidity", TRUE, "Dry")</f>
        <v>Less Humidity</v>
      </c>
      <c r="P533" s="36">
        <v>0</v>
      </c>
      <c r="Q533" s="36" t="str" cm="1">
        <f t="array" ref="Q533">_xlfn.IFS(P533&lt;=0.2,"Low Windspeed",P533&lt;0.4,"Medium Windspeed",P533&gt;=0.41,"High Windspeed")</f>
        <v>Low Windspeed</v>
      </c>
      <c r="R533" s="36">
        <v>5</v>
      </c>
      <c r="S533" s="36">
        <v>79</v>
      </c>
      <c r="T533" s="37">
        <v>84</v>
      </c>
      <c r="U533" s="39" t="str" cm="1">
        <f t="array" ref="U533">_xlfn.IFS(T533&lt;=70,"Low",T533&lt;=160,"Medium",T533&gt;=161,"High")</f>
        <v>Medium</v>
      </c>
    </row>
    <row r="534" spans="1:21" x14ac:dyDescent="0.25">
      <c r="A534" s="33">
        <v>533</v>
      </c>
      <c r="B534" s="34">
        <v>40567</v>
      </c>
      <c r="C534" s="35">
        <v>1</v>
      </c>
      <c r="D534" s="35">
        <v>0</v>
      </c>
      <c r="E534" s="35">
        <v>1</v>
      </c>
      <c r="F534" s="35">
        <v>8</v>
      </c>
      <c r="G534" s="35" t="str" cm="1">
        <f t="array" ref="G534">_xlfn.IFS(F534&lt;4,"Night",F534&lt;=6,"Early Morning",F534&lt;11,"Morning",F534&lt;12,"Afternoon",F534&lt;=16,"Afternoon",F534&lt;=20,"Evening",F534&gt;=21,"Night")</f>
        <v>Morning</v>
      </c>
      <c r="H534" s="35" t="b">
        <v>0</v>
      </c>
      <c r="I534" s="35">
        <v>1</v>
      </c>
      <c r="J534" s="35">
        <v>1</v>
      </c>
      <c r="K534" s="31">
        <v>0.04</v>
      </c>
      <c r="L534" s="31" t="str" cm="1">
        <f t="array" ref="L534">_xlfn.IFS(K534&lt;0.15,"Cold",K534&lt;0.25,"Mild",K534&lt;=0.32,"Warm",K534&gt;=0.33,"Hot")</f>
        <v>Cold</v>
      </c>
      <c r="M534" s="36">
        <v>0.13639999999999999</v>
      </c>
      <c r="N534" s="36">
        <v>0.49</v>
      </c>
      <c r="O534" s="36" t="str" cm="1">
        <f t="array" ref="O534">_xlfn.IFS(N534&gt;0.61, "High Humidity", N534&gt;=0.6, "Humid", N534&gt;0.4, "Less Humidity", TRUE, "Dry")</f>
        <v>Less Humidity</v>
      </c>
      <c r="P534" s="36">
        <v>0</v>
      </c>
      <c r="Q534" s="36" t="str" cm="1">
        <f t="array" ref="Q534">_xlfn.IFS(P534&lt;=0.2,"Low Windspeed",P534&lt;0.4,"Medium Windspeed",P534&gt;=0.41,"High Windspeed")</f>
        <v>Low Windspeed</v>
      </c>
      <c r="R534" s="36">
        <v>6</v>
      </c>
      <c r="S534" s="36">
        <v>171</v>
      </c>
      <c r="T534" s="37">
        <v>177</v>
      </c>
      <c r="U534" s="39" t="str" cm="1">
        <f t="array" ref="U534">_xlfn.IFS(T534&lt;=70,"Low",T534&lt;=160,"Medium",T534&gt;=161,"High")</f>
        <v>High</v>
      </c>
    </row>
    <row r="535" spans="1:21" x14ac:dyDescent="0.25">
      <c r="A535" s="33">
        <v>534</v>
      </c>
      <c r="B535" s="34">
        <v>40567</v>
      </c>
      <c r="C535" s="35">
        <v>1</v>
      </c>
      <c r="D535" s="35">
        <v>0</v>
      </c>
      <c r="E535" s="35">
        <v>1</v>
      </c>
      <c r="F535" s="35">
        <v>9</v>
      </c>
      <c r="G535" s="35" t="str" cm="1">
        <f t="array" ref="G535">_xlfn.IFS(F535&lt;4,"Night",F535&lt;=6,"Early Morning",F535&lt;11,"Morning",F535&lt;12,"Afternoon",F535&lt;=16,"Afternoon",F535&lt;=20,"Evening",F535&gt;=21,"Night")</f>
        <v>Morning</v>
      </c>
      <c r="H535" s="35" t="b">
        <v>0</v>
      </c>
      <c r="I535" s="35">
        <v>1</v>
      </c>
      <c r="J535" s="35">
        <v>1</v>
      </c>
      <c r="K535" s="31">
        <v>0.06</v>
      </c>
      <c r="L535" s="31" t="str" cm="1">
        <f t="array" ref="L535">_xlfn.IFS(K535&lt;0.15,"Cold",K535&lt;0.25,"Mild",K535&lt;=0.32,"Warm",K535&gt;=0.33,"Hot")</f>
        <v>Cold</v>
      </c>
      <c r="M535" s="36">
        <v>0.1515</v>
      </c>
      <c r="N535" s="36">
        <v>0.41</v>
      </c>
      <c r="O535" s="36" t="str" cm="1">
        <f t="array" ref="O535">_xlfn.IFS(N535&gt;0.61, "High Humidity", N535&gt;=0.6, "Humid", N535&gt;0.4, "Less Humidity", TRUE, "Dry")</f>
        <v>Less Humidity</v>
      </c>
      <c r="P535" s="36">
        <v>0</v>
      </c>
      <c r="Q535" s="36" t="str" cm="1">
        <f t="array" ref="Q535">_xlfn.IFS(P535&lt;=0.2,"Low Windspeed",P535&lt;0.4,"Medium Windspeed",P535&gt;=0.41,"High Windspeed")</f>
        <v>Low Windspeed</v>
      </c>
      <c r="R535" s="36">
        <v>4</v>
      </c>
      <c r="S535" s="36">
        <v>98</v>
      </c>
      <c r="T535" s="37">
        <v>102</v>
      </c>
      <c r="U535" s="39" t="str" cm="1">
        <f t="array" ref="U535">_xlfn.IFS(T535&lt;=70,"Low",T535&lt;=160,"Medium",T535&gt;=161,"High")</f>
        <v>Medium</v>
      </c>
    </row>
    <row r="536" spans="1:21" x14ac:dyDescent="0.25">
      <c r="A536" s="33">
        <v>535</v>
      </c>
      <c r="B536" s="34">
        <v>40567</v>
      </c>
      <c r="C536" s="35">
        <v>1</v>
      </c>
      <c r="D536" s="35">
        <v>0</v>
      </c>
      <c r="E536" s="35">
        <v>1</v>
      </c>
      <c r="F536" s="35">
        <v>10</v>
      </c>
      <c r="G536" s="35" t="str" cm="1">
        <f t="array" ref="G536">_xlfn.IFS(F536&lt;4,"Night",F536&lt;=6,"Early Morning",F536&lt;11,"Morning",F536&lt;12,"Afternoon",F536&lt;=16,"Afternoon",F536&lt;=20,"Evening",F536&gt;=21,"Night")</f>
        <v>Morning</v>
      </c>
      <c r="H536" s="35" t="b">
        <v>0</v>
      </c>
      <c r="I536" s="35">
        <v>1</v>
      </c>
      <c r="J536" s="35">
        <v>1</v>
      </c>
      <c r="K536" s="31">
        <v>0.1</v>
      </c>
      <c r="L536" s="31" t="str" cm="1">
        <f t="array" ref="L536">_xlfn.IFS(K536&lt;0.15,"Cold",K536&lt;0.25,"Mild",K536&lt;=0.32,"Warm",K536&gt;=0.33,"Hot")</f>
        <v>Cold</v>
      </c>
      <c r="M536" s="36">
        <v>0.13639999999999999</v>
      </c>
      <c r="N536" s="36">
        <v>0.42</v>
      </c>
      <c r="O536" s="36" t="str" cm="1">
        <f t="array" ref="O536">_xlfn.IFS(N536&gt;0.61, "High Humidity", N536&gt;=0.6, "Humid", N536&gt;0.4, "Less Humidity", TRUE, "Dry")</f>
        <v>Less Humidity</v>
      </c>
      <c r="P536" s="36">
        <v>0</v>
      </c>
      <c r="Q536" s="36" t="str" cm="1">
        <f t="array" ref="Q536">_xlfn.IFS(P536&lt;=0.2,"Low Windspeed",P536&lt;0.4,"Medium Windspeed",P536&gt;=0.41,"High Windspeed")</f>
        <v>Low Windspeed</v>
      </c>
      <c r="R536" s="36">
        <v>6</v>
      </c>
      <c r="S536" s="36">
        <v>34</v>
      </c>
      <c r="T536" s="37">
        <v>40</v>
      </c>
      <c r="U536" s="39" t="str" cm="1">
        <f t="array" ref="U536">_xlfn.IFS(T536&lt;=70,"Low",T536&lt;=160,"Medium",T536&gt;=161,"High")</f>
        <v>Low</v>
      </c>
    </row>
    <row r="537" spans="1:21" x14ac:dyDescent="0.25">
      <c r="A537" s="33">
        <v>536</v>
      </c>
      <c r="B537" s="34">
        <v>40567</v>
      </c>
      <c r="C537" s="35">
        <v>1</v>
      </c>
      <c r="D537" s="35">
        <v>0</v>
      </c>
      <c r="E537" s="35">
        <v>1</v>
      </c>
      <c r="F537" s="35">
        <v>11</v>
      </c>
      <c r="G537" s="35" t="str" cm="1">
        <f t="array" ref="G537">_xlfn.IFS(F537&lt;4,"Night",F537&lt;=6,"Early Morning",F537&lt;11,"Morning",F537&lt;12,"Afternoon",F537&lt;=16,"Afternoon",F537&lt;=20,"Evening",F537&gt;=21,"Night")</f>
        <v>Afternoon</v>
      </c>
      <c r="H537" s="35" t="b">
        <v>0</v>
      </c>
      <c r="I537" s="35">
        <v>1</v>
      </c>
      <c r="J537" s="35">
        <v>1</v>
      </c>
      <c r="K537" s="31">
        <v>0.1</v>
      </c>
      <c r="L537" s="31" t="str" cm="1">
        <f t="array" ref="L537">_xlfn.IFS(K537&lt;0.15,"Cold",K537&lt;0.25,"Mild",K537&lt;=0.32,"Warm",K537&gt;=0.33,"Hot")</f>
        <v>Cold</v>
      </c>
      <c r="M537" s="36">
        <v>0.1212</v>
      </c>
      <c r="N537" s="36">
        <v>0.46</v>
      </c>
      <c r="O537" s="36" t="str" cm="1">
        <f t="array" ref="O537">_xlfn.IFS(N537&gt;0.61, "High Humidity", N537&gt;=0.6, "Humid", N537&gt;0.4, "Less Humidity", TRUE, "Dry")</f>
        <v>Less Humidity</v>
      </c>
      <c r="P537" s="36">
        <v>0.1343</v>
      </c>
      <c r="Q537" s="36" t="str" cm="1">
        <f t="array" ref="Q537">_xlfn.IFS(P537&lt;=0.2,"Low Windspeed",P537&lt;0.4,"Medium Windspeed",P537&gt;=0.41,"High Windspeed")</f>
        <v>Low Windspeed</v>
      </c>
      <c r="R537" s="36">
        <v>3</v>
      </c>
      <c r="S537" s="36">
        <v>43</v>
      </c>
      <c r="T537" s="37">
        <v>46</v>
      </c>
      <c r="U537" s="39" t="str" cm="1">
        <f t="array" ref="U537">_xlfn.IFS(T537&lt;=70,"Low",T537&lt;=160,"Medium",T537&gt;=161,"High")</f>
        <v>Low</v>
      </c>
    </row>
    <row r="538" spans="1:21" x14ac:dyDescent="0.25">
      <c r="A538" s="33">
        <v>537</v>
      </c>
      <c r="B538" s="34">
        <v>40567</v>
      </c>
      <c r="C538" s="35">
        <v>1</v>
      </c>
      <c r="D538" s="35">
        <v>0</v>
      </c>
      <c r="E538" s="35">
        <v>1</v>
      </c>
      <c r="F538" s="35">
        <v>12</v>
      </c>
      <c r="G538" s="35" t="str" cm="1">
        <f t="array" ref="G538">_xlfn.IFS(F538&lt;4,"Night",F538&lt;=6,"Early Morning",F538&lt;11,"Morning",F538&lt;12,"Afternoon",F538&lt;=16,"Afternoon",F538&lt;=20,"Evening",F538&gt;=21,"Night")</f>
        <v>Afternoon</v>
      </c>
      <c r="H538" s="35" t="b">
        <v>0</v>
      </c>
      <c r="I538" s="35">
        <v>1</v>
      </c>
      <c r="J538" s="35">
        <v>2</v>
      </c>
      <c r="K538" s="31">
        <v>0.12</v>
      </c>
      <c r="L538" s="31" t="str" cm="1">
        <f t="array" ref="L538">_xlfn.IFS(K538&lt;0.15,"Cold",K538&lt;0.25,"Mild",K538&lt;=0.32,"Warm",K538&gt;=0.33,"Hot")</f>
        <v>Cold</v>
      </c>
      <c r="M538" s="36">
        <v>0.13639999999999999</v>
      </c>
      <c r="N538" s="36">
        <v>0.42</v>
      </c>
      <c r="O538" s="36" t="str" cm="1">
        <f t="array" ref="O538">_xlfn.IFS(N538&gt;0.61, "High Humidity", N538&gt;=0.6, "Humid", N538&gt;0.4, "Less Humidity", TRUE, "Dry")</f>
        <v>Less Humidity</v>
      </c>
      <c r="P538" s="36">
        <v>0.19400000000000001</v>
      </c>
      <c r="Q538" s="36" t="str" cm="1">
        <f t="array" ref="Q538">_xlfn.IFS(P538&lt;=0.2,"Low Windspeed",P538&lt;0.4,"Medium Windspeed",P538&gt;=0.41,"High Windspeed")</f>
        <v>Low Windspeed</v>
      </c>
      <c r="R538" s="36">
        <v>11</v>
      </c>
      <c r="S538" s="36">
        <v>52</v>
      </c>
      <c r="T538" s="37">
        <v>63</v>
      </c>
      <c r="U538" s="39" t="str" cm="1">
        <f t="array" ref="U538">_xlfn.IFS(T538&lt;=70,"Low",T538&lt;=160,"Medium",T538&gt;=161,"High")</f>
        <v>Low</v>
      </c>
    </row>
    <row r="539" spans="1:21" x14ac:dyDescent="0.25">
      <c r="A539" s="33">
        <v>538</v>
      </c>
      <c r="B539" s="34">
        <v>40567</v>
      </c>
      <c r="C539" s="35">
        <v>1</v>
      </c>
      <c r="D539" s="35">
        <v>0</v>
      </c>
      <c r="E539" s="35">
        <v>1</v>
      </c>
      <c r="F539" s="35">
        <v>13</v>
      </c>
      <c r="G539" s="35" t="str" cm="1">
        <f t="array" ref="G539">_xlfn.IFS(F539&lt;4,"Night",F539&lt;=6,"Early Morning",F539&lt;11,"Morning",F539&lt;12,"Afternoon",F539&lt;=16,"Afternoon",F539&lt;=20,"Evening",F539&gt;=21,"Night")</f>
        <v>Afternoon</v>
      </c>
      <c r="H539" s="35" t="b">
        <v>0</v>
      </c>
      <c r="I539" s="35">
        <v>1</v>
      </c>
      <c r="J539" s="35">
        <v>2</v>
      </c>
      <c r="K539" s="31">
        <v>0.14000000000000001</v>
      </c>
      <c r="L539" s="31" t="str" cm="1">
        <f t="array" ref="L539">_xlfn.IFS(K539&lt;0.15,"Cold",K539&lt;0.25,"Mild",K539&lt;=0.32,"Warm",K539&gt;=0.33,"Hot")</f>
        <v>Cold</v>
      </c>
      <c r="M539" s="36">
        <v>0.13639999999999999</v>
      </c>
      <c r="N539" s="36">
        <v>0.43</v>
      </c>
      <c r="O539" s="36" t="str" cm="1">
        <f t="array" ref="O539">_xlfn.IFS(N539&gt;0.61, "High Humidity", N539&gt;=0.6, "Humid", N539&gt;0.4, "Less Humidity", TRUE, "Dry")</f>
        <v>Less Humidity</v>
      </c>
      <c r="P539" s="36">
        <v>0.22389999999999999</v>
      </c>
      <c r="Q539" s="36" t="str" cm="1">
        <f t="array" ref="Q539">_xlfn.IFS(P539&lt;=0.2,"Low Windspeed",P539&lt;0.4,"Medium Windspeed",P539&gt;=0.41,"High Windspeed")</f>
        <v>Medium Windspeed</v>
      </c>
      <c r="R539" s="36">
        <v>6</v>
      </c>
      <c r="S539" s="36">
        <v>54</v>
      </c>
      <c r="T539" s="37">
        <v>60</v>
      </c>
      <c r="U539" s="39" t="str" cm="1">
        <f t="array" ref="U539">_xlfn.IFS(T539&lt;=70,"Low",T539&lt;=160,"Medium",T539&gt;=161,"High")</f>
        <v>Low</v>
      </c>
    </row>
    <row r="540" spans="1:21" x14ac:dyDescent="0.25">
      <c r="A540" s="33">
        <v>539</v>
      </c>
      <c r="B540" s="34">
        <v>40567</v>
      </c>
      <c r="C540" s="35">
        <v>1</v>
      </c>
      <c r="D540" s="35">
        <v>0</v>
      </c>
      <c r="E540" s="35">
        <v>1</v>
      </c>
      <c r="F540" s="35">
        <v>14</v>
      </c>
      <c r="G540" s="35" t="str" cm="1">
        <f t="array" ref="G540">_xlfn.IFS(F540&lt;4,"Night",F540&lt;=6,"Early Morning",F540&lt;11,"Morning",F540&lt;12,"Afternoon",F540&lt;=16,"Afternoon",F540&lt;=20,"Evening",F540&gt;=21,"Night")</f>
        <v>Afternoon</v>
      </c>
      <c r="H540" s="35" t="b">
        <v>0</v>
      </c>
      <c r="I540" s="35">
        <v>1</v>
      </c>
      <c r="J540" s="35">
        <v>2</v>
      </c>
      <c r="K540" s="31">
        <v>0.14000000000000001</v>
      </c>
      <c r="L540" s="31" t="str" cm="1">
        <f t="array" ref="L540">_xlfn.IFS(K540&lt;0.15,"Cold",K540&lt;0.25,"Mild",K540&lt;=0.32,"Warm",K540&gt;=0.33,"Hot")</f>
        <v>Cold</v>
      </c>
      <c r="M540" s="36">
        <v>0.13639999999999999</v>
      </c>
      <c r="N540" s="36">
        <v>0.46</v>
      </c>
      <c r="O540" s="36" t="str" cm="1">
        <f t="array" ref="O540">_xlfn.IFS(N540&gt;0.61, "High Humidity", N540&gt;=0.6, "Humid", N540&gt;0.4, "Less Humidity", TRUE, "Dry")</f>
        <v>Less Humidity</v>
      </c>
      <c r="P540" s="36">
        <v>0.22389999999999999</v>
      </c>
      <c r="Q540" s="36" t="str" cm="1">
        <f t="array" ref="Q540">_xlfn.IFS(P540&lt;=0.2,"Low Windspeed",P540&lt;0.4,"Medium Windspeed",P540&gt;=0.41,"High Windspeed")</f>
        <v>Medium Windspeed</v>
      </c>
      <c r="R540" s="36">
        <v>2</v>
      </c>
      <c r="S540" s="36">
        <v>43</v>
      </c>
      <c r="T540" s="37">
        <v>45</v>
      </c>
      <c r="U540" s="39" t="str" cm="1">
        <f t="array" ref="U540">_xlfn.IFS(T540&lt;=70,"Low",T540&lt;=160,"Medium",T540&gt;=161,"High")</f>
        <v>Low</v>
      </c>
    </row>
    <row r="541" spans="1:21" x14ac:dyDescent="0.25">
      <c r="A541" s="33">
        <v>540</v>
      </c>
      <c r="B541" s="34">
        <v>40567</v>
      </c>
      <c r="C541" s="35">
        <v>1</v>
      </c>
      <c r="D541" s="35">
        <v>0</v>
      </c>
      <c r="E541" s="35">
        <v>1</v>
      </c>
      <c r="F541" s="35">
        <v>15</v>
      </c>
      <c r="G541" s="35" t="str" cm="1">
        <f t="array" ref="G541">_xlfn.IFS(F541&lt;4,"Night",F541&lt;=6,"Early Morning",F541&lt;11,"Morning",F541&lt;12,"Afternoon",F541&lt;=16,"Afternoon",F541&lt;=20,"Evening",F541&gt;=21,"Night")</f>
        <v>Afternoon</v>
      </c>
      <c r="H541" s="35" t="b">
        <v>0</v>
      </c>
      <c r="I541" s="35">
        <v>1</v>
      </c>
      <c r="J541" s="35">
        <v>1</v>
      </c>
      <c r="K541" s="31">
        <v>0.16</v>
      </c>
      <c r="L541" s="31" t="str" cm="1">
        <f t="array" ref="L541">_xlfn.IFS(K541&lt;0.15,"Cold",K541&lt;0.25,"Mild",K541&lt;=0.32,"Warm",K541&gt;=0.33,"Hot")</f>
        <v>Mild</v>
      </c>
      <c r="M541" s="36">
        <v>0.16669999999999999</v>
      </c>
      <c r="N541" s="36">
        <v>0.4</v>
      </c>
      <c r="O541" s="36" t="str" cm="1">
        <f t="array" ref="O541">_xlfn.IFS(N541&gt;0.61, "High Humidity", N541&gt;=0.6, "Humid", N541&gt;0.4, "Less Humidity", TRUE, "Dry")</f>
        <v>Dry</v>
      </c>
      <c r="P541" s="36">
        <v>0.16420000000000001</v>
      </c>
      <c r="Q541" s="36" t="str" cm="1">
        <f t="array" ref="Q541">_xlfn.IFS(P541&lt;=0.2,"Low Windspeed",P541&lt;0.4,"Medium Windspeed",P541&gt;=0.41,"High Windspeed")</f>
        <v>Low Windspeed</v>
      </c>
      <c r="R541" s="36">
        <v>7</v>
      </c>
      <c r="S541" s="36">
        <v>50</v>
      </c>
      <c r="T541" s="37">
        <v>57</v>
      </c>
      <c r="U541" s="39" t="str" cm="1">
        <f t="array" ref="U541">_xlfn.IFS(T541&lt;=70,"Low",T541&lt;=160,"Medium",T541&gt;=161,"High")</f>
        <v>Low</v>
      </c>
    </row>
    <row r="542" spans="1:21" x14ac:dyDescent="0.25">
      <c r="A542" s="33">
        <v>541</v>
      </c>
      <c r="B542" s="34">
        <v>40567</v>
      </c>
      <c r="C542" s="35">
        <v>1</v>
      </c>
      <c r="D542" s="35">
        <v>0</v>
      </c>
      <c r="E542" s="35">
        <v>1</v>
      </c>
      <c r="F542" s="35">
        <v>16</v>
      </c>
      <c r="G542" s="35" t="str" cm="1">
        <f t="array" ref="G542">_xlfn.IFS(F542&lt;4,"Night",F542&lt;=6,"Early Morning",F542&lt;11,"Morning",F542&lt;12,"Afternoon",F542&lt;=16,"Afternoon",F542&lt;=20,"Evening",F542&gt;=21,"Night")</f>
        <v>Afternoon</v>
      </c>
      <c r="H542" s="35" t="b">
        <v>0</v>
      </c>
      <c r="I542" s="35">
        <v>1</v>
      </c>
      <c r="J542" s="35">
        <v>1</v>
      </c>
      <c r="K542" s="31">
        <v>0.16</v>
      </c>
      <c r="L542" s="31" t="str" cm="1">
        <f t="array" ref="L542">_xlfn.IFS(K542&lt;0.15,"Cold",K542&lt;0.25,"Mild",K542&lt;=0.32,"Warm",K542&gt;=0.33,"Hot")</f>
        <v>Mild</v>
      </c>
      <c r="M542" s="36">
        <v>0.1515</v>
      </c>
      <c r="N542" s="36">
        <v>0.47</v>
      </c>
      <c r="O542" s="36" t="str" cm="1">
        <f t="array" ref="O542">_xlfn.IFS(N542&gt;0.61, "High Humidity", N542&gt;=0.6, "Humid", N542&gt;0.4, "Less Humidity", TRUE, "Dry")</f>
        <v>Less Humidity</v>
      </c>
      <c r="P542" s="36">
        <v>0.25369999999999998</v>
      </c>
      <c r="Q542" s="36" t="str" cm="1">
        <f t="array" ref="Q542">_xlfn.IFS(P542&lt;=0.2,"Low Windspeed",P542&lt;0.4,"Medium Windspeed",P542&gt;=0.41,"High Windspeed")</f>
        <v>Medium Windspeed</v>
      </c>
      <c r="R542" s="36">
        <v>4</v>
      </c>
      <c r="S542" s="36">
        <v>66</v>
      </c>
      <c r="T542" s="37">
        <v>70</v>
      </c>
      <c r="U542" s="39" t="str" cm="1">
        <f t="array" ref="U542">_xlfn.IFS(T542&lt;=70,"Low",T542&lt;=160,"Medium",T542&gt;=161,"High")</f>
        <v>Low</v>
      </c>
    </row>
    <row r="543" spans="1:21" x14ac:dyDescent="0.25">
      <c r="A543" s="33">
        <v>542</v>
      </c>
      <c r="B543" s="34">
        <v>40567</v>
      </c>
      <c r="C543" s="35">
        <v>1</v>
      </c>
      <c r="D543" s="35">
        <v>0</v>
      </c>
      <c r="E543" s="35">
        <v>1</v>
      </c>
      <c r="F543" s="35">
        <v>17</v>
      </c>
      <c r="G543" s="35" t="str" cm="1">
        <f t="array" ref="G543">_xlfn.IFS(F543&lt;4,"Night",F543&lt;=6,"Early Morning",F543&lt;11,"Morning",F543&lt;12,"Afternoon",F543&lt;=16,"Afternoon",F543&lt;=20,"Evening",F543&gt;=21,"Night")</f>
        <v>Evening</v>
      </c>
      <c r="H543" s="35" t="b">
        <v>0</v>
      </c>
      <c r="I543" s="35">
        <v>1</v>
      </c>
      <c r="J543" s="35">
        <v>1</v>
      </c>
      <c r="K543" s="31">
        <v>0.14000000000000001</v>
      </c>
      <c r="L543" s="31" t="str" cm="1">
        <f t="array" ref="L543">_xlfn.IFS(K543&lt;0.15,"Cold",K543&lt;0.25,"Mild",K543&lt;=0.32,"Warm",K543&gt;=0.33,"Hot")</f>
        <v>Cold</v>
      </c>
      <c r="M543" s="36">
        <v>0.1212</v>
      </c>
      <c r="N543" s="36">
        <v>0.5</v>
      </c>
      <c r="O543" s="36" t="str" cm="1">
        <f t="array" ref="O543">_xlfn.IFS(N543&gt;0.61, "High Humidity", N543&gt;=0.6, "Humid", N543&gt;0.4, "Less Humidity", TRUE, "Dry")</f>
        <v>Less Humidity</v>
      </c>
      <c r="P543" s="36">
        <v>0.25369999999999998</v>
      </c>
      <c r="Q543" s="36" t="str" cm="1">
        <f t="array" ref="Q543">_xlfn.IFS(P543&lt;=0.2,"Low Windspeed",P543&lt;0.4,"Medium Windspeed",P543&gt;=0.41,"High Windspeed")</f>
        <v>Medium Windspeed</v>
      </c>
      <c r="R543" s="36">
        <v>6</v>
      </c>
      <c r="S543" s="36">
        <v>178</v>
      </c>
      <c r="T543" s="37">
        <v>184</v>
      </c>
      <c r="U543" s="39" t="str" cm="1">
        <f t="array" ref="U543">_xlfn.IFS(T543&lt;=70,"Low",T543&lt;=160,"Medium",T543&gt;=161,"High")</f>
        <v>High</v>
      </c>
    </row>
    <row r="544" spans="1:21" x14ac:dyDescent="0.25">
      <c r="A544" s="33">
        <v>543</v>
      </c>
      <c r="B544" s="34">
        <v>40567</v>
      </c>
      <c r="C544" s="35">
        <v>1</v>
      </c>
      <c r="D544" s="35">
        <v>0</v>
      </c>
      <c r="E544" s="35">
        <v>1</v>
      </c>
      <c r="F544" s="35">
        <v>18</v>
      </c>
      <c r="G544" s="35" t="str" cm="1">
        <f t="array" ref="G544">_xlfn.IFS(F544&lt;4,"Night",F544&lt;=6,"Early Morning",F544&lt;11,"Morning",F544&lt;12,"Afternoon",F544&lt;=16,"Afternoon",F544&lt;=20,"Evening",F544&gt;=21,"Night")</f>
        <v>Evening</v>
      </c>
      <c r="H544" s="35" t="b">
        <v>0</v>
      </c>
      <c r="I544" s="35">
        <v>1</v>
      </c>
      <c r="J544" s="35">
        <v>1</v>
      </c>
      <c r="K544" s="31">
        <v>0.14000000000000001</v>
      </c>
      <c r="L544" s="31" t="str" cm="1">
        <f t="array" ref="L544">_xlfn.IFS(K544&lt;0.15,"Cold",K544&lt;0.25,"Mild",K544&lt;=0.32,"Warm",K544&gt;=0.33,"Hot")</f>
        <v>Cold</v>
      </c>
      <c r="M544" s="36">
        <v>0.13639999999999999</v>
      </c>
      <c r="N544" s="36">
        <v>0.59</v>
      </c>
      <c r="O544" s="36" t="str" cm="1">
        <f t="array" ref="O544">_xlfn.IFS(N544&gt;0.61, "High Humidity", N544&gt;=0.6, "Humid", N544&gt;0.4, "Less Humidity", TRUE, "Dry")</f>
        <v>Less Humidity</v>
      </c>
      <c r="P544" s="36">
        <v>0.19400000000000001</v>
      </c>
      <c r="Q544" s="36" t="str" cm="1">
        <f t="array" ref="Q544">_xlfn.IFS(P544&lt;=0.2,"Low Windspeed",P544&lt;0.4,"Medium Windspeed",P544&gt;=0.41,"High Windspeed")</f>
        <v>Low Windspeed</v>
      </c>
      <c r="R544" s="36">
        <v>8</v>
      </c>
      <c r="S544" s="36">
        <v>145</v>
      </c>
      <c r="T544" s="37">
        <v>153</v>
      </c>
      <c r="U544" s="39" t="str" cm="1">
        <f t="array" ref="U544">_xlfn.IFS(T544&lt;=70,"Low",T544&lt;=160,"Medium",T544&gt;=161,"High")</f>
        <v>Medium</v>
      </c>
    </row>
    <row r="545" spans="1:21" x14ac:dyDescent="0.25">
      <c r="A545" s="33">
        <v>544</v>
      </c>
      <c r="B545" s="34">
        <v>40567</v>
      </c>
      <c r="C545" s="35">
        <v>1</v>
      </c>
      <c r="D545" s="35">
        <v>0</v>
      </c>
      <c r="E545" s="35">
        <v>1</v>
      </c>
      <c r="F545" s="35">
        <v>19</v>
      </c>
      <c r="G545" s="35" t="str" cm="1">
        <f t="array" ref="G545">_xlfn.IFS(F545&lt;4,"Night",F545&lt;=6,"Early Morning",F545&lt;11,"Morning",F545&lt;12,"Afternoon",F545&lt;=16,"Afternoon",F545&lt;=20,"Evening",F545&gt;=21,"Night")</f>
        <v>Evening</v>
      </c>
      <c r="H545" s="35" t="b">
        <v>0</v>
      </c>
      <c r="I545" s="35">
        <v>1</v>
      </c>
      <c r="J545" s="35">
        <v>1</v>
      </c>
      <c r="K545" s="31">
        <v>0.14000000000000001</v>
      </c>
      <c r="L545" s="31" t="str" cm="1">
        <f t="array" ref="L545">_xlfn.IFS(K545&lt;0.15,"Cold",K545&lt;0.25,"Mild",K545&lt;=0.32,"Warm",K545&gt;=0.33,"Hot")</f>
        <v>Cold</v>
      </c>
      <c r="M545" s="36">
        <v>0.1515</v>
      </c>
      <c r="N545" s="36">
        <v>0.54</v>
      </c>
      <c r="O545" s="36" t="str" cm="1">
        <f t="array" ref="O545">_xlfn.IFS(N545&gt;0.61, "High Humidity", N545&gt;=0.6, "Humid", N545&gt;0.4, "Less Humidity", TRUE, "Dry")</f>
        <v>Less Humidity</v>
      </c>
      <c r="P545" s="36">
        <v>0.16420000000000001</v>
      </c>
      <c r="Q545" s="36" t="str" cm="1">
        <f t="array" ref="Q545">_xlfn.IFS(P545&lt;=0.2,"Low Windspeed",P545&lt;0.4,"Medium Windspeed",P545&gt;=0.41,"High Windspeed")</f>
        <v>Low Windspeed</v>
      </c>
      <c r="R545" s="36">
        <v>5</v>
      </c>
      <c r="S545" s="36">
        <v>101</v>
      </c>
      <c r="T545" s="37">
        <v>106</v>
      </c>
      <c r="U545" s="39" t="str" cm="1">
        <f t="array" ref="U545">_xlfn.IFS(T545&lt;=70,"Low",T545&lt;=160,"Medium",T545&gt;=161,"High")</f>
        <v>Medium</v>
      </c>
    </row>
    <row r="546" spans="1:21" x14ac:dyDescent="0.25">
      <c r="A546" s="33">
        <v>545</v>
      </c>
      <c r="B546" s="34">
        <v>40567</v>
      </c>
      <c r="C546" s="35">
        <v>1</v>
      </c>
      <c r="D546" s="35">
        <v>0</v>
      </c>
      <c r="E546" s="35">
        <v>1</v>
      </c>
      <c r="F546" s="35">
        <v>20</v>
      </c>
      <c r="G546" s="35" t="str" cm="1">
        <f t="array" ref="G546">_xlfn.IFS(F546&lt;4,"Night",F546&lt;=6,"Early Morning",F546&lt;11,"Morning",F546&lt;12,"Afternoon",F546&lt;=16,"Afternoon",F546&lt;=20,"Evening",F546&gt;=21,"Night")</f>
        <v>Evening</v>
      </c>
      <c r="H546" s="35" t="b">
        <v>0</v>
      </c>
      <c r="I546" s="35">
        <v>1</v>
      </c>
      <c r="J546" s="35">
        <v>1</v>
      </c>
      <c r="K546" s="31">
        <v>0.14000000000000001</v>
      </c>
      <c r="L546" s="31" t="str" cm="1">
        <f t="array" ref="L546">_xlfn.IFS(K546&lt;0.15,"Cold",K546&lt;0.25,"Mild",K546&lt;=0.32,"Warm",K546&gt;=0.33,"Hot")</f>
        <v>Cold</v>
      </c>
      <c r="M546" s="36">
        <v>0.13639999999999999</v>
      </c>
      <c r="N546" s="36">
        <v>0.59</v>
      </c>
      <c r="O546" s="36" t="str" cm="1">
        <f t="array" ref="O546">_xlfn.IFS(N546&gt;0.61, "High Humidity", N546&gt;=0.6, "Humid", N546&gt;0.4, "Less Humidity", TRUE, "Dry")</f>
        <v>Less Humidity</v>
      </c>
      <c r="P546" s="36">
        <v>0.19400000000000001</v>
      </c>
      <c r="Q546" s="36" t="str" cm="1">
        <f t="array" ref="Q546">_xlfn.IFS(P546&lt;=0.2,"Low Windspeed",P546&lt;0.4,"Medium Windspeed",P546&gt;=0.41,"High Windspeed")</f>
        <v>Low Windspeed</v>
      </c>
      <c r="R546" s="36">
        <v>1</v>
      </c>
      <c r="S546" s="36">
        <v>80</v>
      </c>
      <c r="T546" s="37">
        <v>81</v>
      </c>
      <c r="U546" s="39" t="str" cm="1">
        <f t="array" ref="U546">_xlfn.IFS(T546&lt;=70,"Low",T546&lt;=160,"Medium",T546&gt;=161,"High")</f>
        <v>Medium</v>
      </c>
    </row>
    <row r="547" spans="1:21" x14ac:dyDescent="0.25">
      <c r="A547" s="33">
        <v>546</v>
      </c>
      <c r="B547" s="34">
        <v>40567</v>
      </c>
      <c r="C547" s="35">
        <v>1</v>
      </c>
      <c r="D547" s="35">
        <v>0</v>
      </c>
      <c r="E547" s="35">
        <v>1</v>
      </c>
      <c r="F547" s="35">
        <v>21</v>
      </c>
      <c r="G547" s="35" t="str" cm="1">
        <f t="array" ref="G547">_xlfn.IFS(F547&lt;4,"Night",F547&lt;=6,"Early Morning",F547&lt;11,"Morning",F547&lt;12,"Afternoon",F547&lt;=16,"Afternoon",F547&lt;=20,"Evening",F547&gt;=21,"Night")</f>
        <v>Night</v>
      </c>
      <c r="H547" s="35" t="b">
        <v>0</v>
      </c>
      <c r="I547" s="35">
        <v>1</v>
      </c>
      <c r="J547" s="35">
        <v>1</v>
      </c>
      <c r="K547" s="31">
        <v>0.14000000000000001</v>
      </c>
      <c r="L547" s="31" t="str" cm="1">
        <f t="array" ref="L547">_xlfn.IFS(K547&lt;0.15,"Cold",K547&lt;0.25,"Mild",K547&lt;=0.32,"Warm",K547&gt;=0.33,"Hot")</f>
        <v>Cold</v>
      </c>
      <c r="M547" s="36">
        <v>0.1515</v>
      </c>
      <c r="N547" s="36">
        <v>0.63</v>
      </c>
      <c r="O547" s="36" t="str" cm="1">
        <f t="array" ref="O547">_xlfn.IFS(N547&gt;0.61, "High Humidity", N547&gt;=0.6, "Humid", N547&gt;0.4, "Less Humidity", TRUE, "Dry")</f>
        <v>High Humidity</v>
      </c>
      <c r="P547" s="36">
        <v>0.16420000000000001</v>
      </c>
      <c r="Q547" s="36" t="str" cm="1">
        <f t="array" ref="Q547">_xlfn.IFS(P547&lt;=0.2,"Low Windspeed",P547&lt;0.4,"Medium Windspeed",P547&gt;=0.41,"High Windspeed")</f>
        <v>Low Windspeed</v>
      </c>
      <c r="R547" s="36">
        <v>6</v>
      </c>
      <c r="S547" s="36">
        <v>53</v>
      </c>
      <c r="T547" s="37">
        <v>59</v>
      </c>
      <c r="U547" s="39" t="str" cm="1">
        <f t="array" ref="U547">_xlfn.IFS(T547&lt;=70,"Low",T547&lt;=160,"Medium",T547&gt;=161,"High")</f>
        <v>Low</v>
      </c>
    </row>
    <row r="548" spans="1:21" x14ac:dyDescent="0.25">
      <c r="A548" s="33">
        <v>547</v>
      </c>
      <c r="B548" s="34">
        <v>40567</v>
      </c>
      <c r="C548" s="35">
        <v>1</v>
      </c>
      <c r="D548" s="35">
        <v>0</v>
      </c>
      <c r="E548" s="35">
        <v>1</v>
      </c>
      <c r="F548" s="35">
        <v>22</v>
      </c>
      <c r="G548" s="35" t="str" cm="1">
        <f t="array" ref="G548">_xlfn.IFS(F548&lt;4,"Night",F548&lt;=6,"Early Morning",F548&lt;11,"Morning",F548&lt;12,"Afternoon",F548&lt;=16,"Afternoon",F548&lt;=20,"Evening",F548&gt;=21,"Night")</f>
        <v>Night</v>
      </c>
      <c r="H548" s="35" t="b">
        <v>0</v>
      </c>
      <c r="I548" s="35">
        <v>1</v>
      </c>
      <c r="J548" s="35">
        <v>2</v>
      </c>
      <c r="K548" s="31">
        <v>0.14000000000000001</v>
      </c>
      <c r="L548" s="31" t="str" cm="1">
        <f t="array" ref="L548">_xlfn.IFS(K548&lt;0.15,"Cold",K548&lt;0.25,"Mild",K548&lt;=0.32,"Warm",K548&gt;=0.33,"Hot")</f>
        <v>Cold</v>
      </c>
      <c r="M548" s="36">
        <v>0.13639999999999999</v>
      </c>
      <c r="N548" s="36">
        <v>0.63</v>
      </c>
      <c r="O548" s="36" t="str" cm="1">
        <f t="array" ref="O548">_xlfn.IFS(N548&gt;0.61, "High Humidity", N548&gt;=0.6, "Humid", N548&gt;0.4, "Less Humidity", TRUE, "Dry")</f>
        <v>High Humidity</v>
      </c>
      <c r="P548" s="36">
        <v>0.22389999999999999</v>
      </c>
      <c r="Q548" s="36" t="str" cm="1">
        <f t="array" ref="Q548">_xlfn.IFS(P548&lt;=0.2,"Low Windspeed",P548&lt;0.4,"Medium Windspeed",P548&gt;=0.41,"High Windspeed")</f>
        <v>Medium Windspeed</v>
      </c>
      <c r="R548" s="36">
        <v>3</v>
      </c>
      <c r="S548" s="36">
        <v>32</v>
      </c>
      <c r="T548" s="37">
        <v>35</v>
      </c>
      <c r="U548" s="39" t="str" cm="1">
        <f t="array" ref="U548">_xlfn.IFS(T548&lt;=70,"Low",T548&lt;=160,"Medium",T548&gt;=161,"High")</f>
        <v>Low</v>
      </c>
    </row>
    <row r="549" spans="1:21" x14ac:dyDescent="0.25">
      <c r="A549" s="33">
        <v>548</v>
      </c>
      <c r="B549" s="34">
        <v>40567</v>
      </c>
      <c r="C549" s="35">
        <v>1</v>
      </c>
      <c r="D549" s="35">
        <v>0</v>
      </c>
      <c r="E549" s="35">
        <v>1</v>
      </c>
      <c r="F549" s="35">
        <v>23</v>
      </c>
      <c r="G549" s="35" t="str" cm="1">
        <f t="array" ref="G549">_xlfn.IFS(F549&lt;4,"Night",F549&lt;=6,"Early Morning",F549&lt;11,"Morning",F549&lt;12,"Afternoon",F549&lt;=16,"Afternoon",F549&lt;=20,"Evening",F549&gt;=21,"Night")</f>
        <v>Night</v>
      </c>
      <c r="H549" s="35" t="b">
        <v>0</v>
      </c>
      <c r="I549" s="35">
        <v>1</v>
      </c>
      <c r="J549" s="35">
        <v>2</v>
      </c>
      <c r="K549" s="31">
        <v>0.16</v>
      </c>
      <c r="L549" s="31" t="str" cm="1">
        <f t="array" ref="L549">_xlfn.IFS(K549&lt;0.15,"Cold",K549&lt;0.25,"Mild",K549&lt;=0.32,"Warm",K549&gt;=0.33,"Hot")</f>
        <v>Mild</v>
      </c>
      <c r="M549" s="36">
        <v>0.1515</v>
      </c>
      <c r="N549" s="36">
        <v>0.64</v>
      </c>
      <c r="O549" s="36" t="str" cm="1">
        <f t="array" ref="O549">_xlfn.IFS(N549&gt;0.61, "High Humidity", N549&gt;=0.6, "Humid", N549&gt;0.4, "Less Humidity", TRUE, "Dry")</f>
        <v>High Humidity</v>
      </c>
      <c r="P549" s="36">
        <v>0.25369999999999998</v>
      </c>
      <c r="Q549" s="36" t="str" cm="1">
        <f t="array" ref="Q549">_xlfn.IFS(P549&lt;=0.2,"Low Windspeed",P549&lt;0.4,"Medium Windspeed",P549&gt;=0.41,"High Windspeed")</f>
        <v>Medium Windspeed</v>
      </c>
      <c r="R549" s="36">
        <v>3</v>
      </c>
      <c r="S549" s="36">
        <v>21</v>
      </c>
      <c r="T549" s="37">
        <v>24</v>
      </c>
      <c r="U549" s="39" t="str" cm="1">
        <f t="array" ref="U549">_xlfn.IFS(T549&lt;=70,"Low",T549&lt;=160,"Medium",T549&gt;=161,"High")</f>
        <v>Low</v>
      </c>
    </row>
    <row r="550" spans="1:21" x14ac:dyDescent="0.25">
      <c r="A550" s="33">
        <v>549</v>
      </c>
      <c r="B550" s="34">
        <v>40568</v>
      </c>
      <c r="C550" s="35">
        <v>1</v>
      </c>
      <c r="D550" s="35">
        <v>0</v>
      </c>
      <c r="E550" s="35">
        <v>1</v>
      </c>
      <c r="F550" s="35">
        <v>0</v>
      </c>
      <c r="G550" s="35" t="str" cm="1">
        <f t="array" ref="G550">_xlfn.IFS(F550&lt;4,"Night",F550&lt;=6,"Early Morning",F550&lt;11,"Morning",F550&lt;12,"Afternoon",F550&lt;=16,"Afternoon",F550&lt;=20,"Evening",F550&gt;=21,"Night")</f>
        <v>Night</v>
      </c>
      <c r="H550" s="35" t="b">
        <v>0</v>
      </c>
      <c r="I550" s="35">
        <v>2</v>
      </c>
      <c r="J550" s="35">
        <v>2</v>
      </c>
      <c r="K550" s="31">
        <v>0.16</v>
      </c>
      <c r="L550" s="31" t="str" cm="1">
        <f t="array" ref="L550">_xlfn.IFS(K550&lt;0.15,"Cold",K550&lt;0.25,"Mild",K550&lt;=0.32,"Warm",K550&gt;=0.33,"Hot")</f>
        <v>Mild</v>
      </c>
      <c r="M550" s="36">
        <v>0.13639999999999999</v>
      </c>
      <c r="N550" s="36">
        <v>0.69</v>
      </c>
      <c r="O550" s="36" t="str" cm="1">
        <f t="array" ref="O550">_xlfn.IFS(N550&gt;0.61, "High Humidity", N550&gt;=0.6, "Humid", N550&gt;0.4, "Less Humidity", TRUE, "Dry")</f>
        <v>High Humidity</v>
      </c>
      <c r="P550" s="36">
        <v>0.28360000000000002</v>
      </c>
      <c r="Q550" s="36" t="str" cm="1">
        <f t="array" ref="Q550">_xlfn.IFS(P550&lt;=0.2,"Low Windspeed",P550&lt;0.4,"Medium Windspeed",P550&gt;=0.41,"High Windspeed")</f>
        <v>Medium Windspeed</v>
      </c>
      <c r="R550" s="36">
        <v>3</v>
      </c>
      <c r="S550" s="36">
        <v>6</v>
      </c>
      <c r="T550" s="37">
        <v>9</v>
      </c>
      <c r="U550" s="39" t="str" cm="1">
        <f t="array" ref="U550">_xlfn.IFS(T550&lt;=70,"Low",T550&lt;=160,"Medium",T550&gt;=161,"High")</f>
        <v>Low</v>
      </c>
    </row>
    <row r="551" spans="1:21" x14ac:dyDescent="0.25">
      <c r="A551" s="33">
        <v>550</v>
      </c>
      <c r="B551" s="34">
        <v>40568</v>
      </c>
      <c r="C551" s="35">
        <v>1</v>
      </c>
      <c r="D551" s="35">
        <v>0</v>
      </c>
      <c r="E551" s="35">
        <v>1</v>
      </c>
      <c r="F551" s="35">
        <v>1</v>
      </c>
      <c r="G551" s="35" t="str" cm="1">
        <f t="array" ref="G551">_xlfn.IFS(F551&lt;4,"Night",F551&lt;=6,"Early Morning",F551&lt;11,"Morning",F551&lt;12,"Afternoon",F551&lt;=16,"Afternoon",F551&lt;=20,"Evening",F551&gt;=21,"Night")</f>
        <v>Night</v>
      </c>
      <c r="H551" s="35" t="b">
        <v>0</v>
      </c>
      <c r="I551" s="35">
        <v>2</v>
      </c>
      <c r="J551" s="35">
        <v>2</v>
      </c>
      <c r="K551" s="31">
        <v>0.16</v>
      </c>
      <c r="L551" s="31" t="str" cm="1">
        <f t="array" ref="L551">_xlfn.IFS(K551&lt;0.15,"Cold",K551&lt;0.25,"Mild",K551&lt;=0.32,"Warm",K551&gt;=0.33,"Hot")</f>
        <v>Mild</v>
      </c>
      <c r="M551" s="36">
        <v>0.16669999999999999</v>
      </c>
      <c r="N551" s="36">
        <v>0.69</v>
      </c>
      <c r="O551" s="36" t="str" cm="1">
        <f t="array" ref="O551">_xlfn.IFS(N551&gt;0.61, "High Humidity", N551&gt;=0.6, "Humid", N551&gt;0.4, "Less Humidity", TRUE, "Dry")</f>
        <v>High Humidity</v>
      </c>
      <c r="P551" s="36">
        <v>0.16420000000000001</v>
      </c>
      <c r="Q551" s="36" t="str" cm="1">
        <f t="array" ref="Q551">_xlfn.IFS(P551&lt;=0.2,"Low Windspeed",P551&lt;0.4,"Medium Windspeed",P551&gt;=0.41,"High Windspeed")</f>
        <v>Low Windspeed</v>
      </c>
      <c r="R551" s="36">
        <v>0</v>
      </c>
      <c r="S551" s="36">
        <v>5</v>
      </c>
      <c r="T551" s="37">
        <v>5</v>
      </c>
      <c r="U551" s="39" t="str" cm="1">
        <f t="array" ref="U551">_xlfn.IFS(T551&lt;=70,"Low",T551&lt;=160,"Medium",T551&gt;=161,"High")</f>
        <v>Low</v>
      </c>
    </row>
    <row r="552" spans="1:21" x14ac:dyDescent="0.25">
      <c r="A552" s="33">
        <v>551</v>
      </c>
      <c r="B552" s="34">
        <v>40568</v>
      </c>
      <c r="C552" s="35">
        <v>1</v>
      </c>
      <c r="D552" s="35">
        <v>0</v>
      </c>
      <c r="E552" s="35">
        <v>1</v>
      </c>
      <c r="F552" s="35">
        <v>2</v>
      </c>
      <c r="G552" s="35" t="str" cm="1">
        <f t="array" ref="G552">_xlfn.IFS(F552&lt;4,"Night",F552&lt;=6,"Early Morning",F552&lt;11,"Morning",F552&lt;12,"Afternoon",F552&lt;=16,"Afternoon",F552&lt;=20,"Evening",F552&gt;=21,"Night")</f>
        <v>Night</v>
      </c>
      <c r="H552" s="35" t="b">
        <v>0</v>
      </c>
      <c r="I552" s="35">
        <v>2</v>
      </c>
      <c r="J552" s="35">
        <v>1</v>
      </c>
      <c r="K552" s="31">
        <v>0.16</v>
      </c>
      <c r="L552" s="31" t="str" cm="1">
        <f t="array" ref="L552">_xlfn.IFS(K552&lt;0.15,"Cold",K552&lt;0.25,"Mild",K552&lt;=0.32,"Warm",K552&gt;=0.33,"Hot")</f>
        <v>Mild</v>
      </c>
      <c r="M552" s="36">
        <v>0.1515</v>
      </c>
      <c r="N552" s="36">
        <v>0.69</v>
      </c>
      <c r="O552" s="36" t="str" cm="1">
        <f t="array" ref="O552">_xlfn.IFS(N552&gt;0.61, "High Humidity", N552&gt;=0.6, "Humid", N552&gt;0.4, "Less Humidity", TRUE, "Dry")</f>
        <v>High Humidity</v>
      </c>
      <c r="P552" s="36">
        <v>0.22389999999999999</v>
      </c>
      <c r="Q552" s="36" t="str" cm="1">
        <f t="array" ref="Q552">_xlfn.IFS(P552&lt;=0.2,"Low Windspeed",P552&lt;0.4,"Medium Windspeed",P552&gt;=0.41,"High Windspeed")</f>
        <v>Medium Windspeed</v>
      </c>
      <c r="R552" s="36">
        <v>0</v>
      </c>
      <c r="S552" s="36">
        <v>2</v>
      </c>
      <c r="T552" s="37">
        <v>2</v>
      </c>
      <c r="U552" s="39" t="str" cm="1">
        <f t="array" ref="U552">_xlfn.IFS(T552&lt;=70,"Low",T552&lt;=160,"Medium",T552&gt;=161,"High")</f>
        <v>Low</v>
      </c>
    </row>
    <row r="553" spans="1:21" x14ac:dyDescent="0.25">
      <c r="A553" s="33">
        <v>552</v>
      </c>
      <c r="B553" s="34">
        <v>40568</v>
      </c>
      <c r="C553" s="35">
        <v>1</v>
      </c>
      <c r="D553" s="35">
        <v>0</v>
      </c>
      <c r="E553" s="35">
        <v>1</v>
      </c>
      <c r="F553" s="35">
        <v>4</v>
      </c>
      <c r="G553" s="35" t="str" cm="1">
        <f t="array" ref="G553">_xlfn.IFS(F553&lt;4,"Night",F553&lt;=6,"Early Morning",F553&lt;11,"Morning",F553&lt;12,"Afternoon",F553&lt;=16,"Afternoon",F553&lt;=20,"Evening",F553&gt;=21,"Night")</f>
        <v>Early Morning</v>
      </c>
      <c r="H553" s="35" t="b">
        <v>0</v>
      </c>
      <c r="I553" s="35">
        <v>2</v>
      </c>
      <c r="J553" s="35">
        <v>1</v>
      </c>
      <c r="K553" s="31">
        <v>0.14000000000000001</v>
      </c>
      <c r="L553" s="31" t="str" cm="1">
        <f t="array" ref="L553">_xlfn.IFS(K553&lt;0.15,"Cold",K553&lt;0.25,"Mild",K553&lt;=0.32,"Warm",K553&gt;=0.33,"Hot")</f>
        <v>Cold</v>
      </c>
      <c r="M553" s="36">
        <v>0.16669999999999999</v>
      </c>
      <c r="N553" s="36">
        <v>0.74</v>
      </c>
      <c r="O553" s="36" t="str" cm="1">
        <f t="array" ref="O553">_xlfn.IFS(N553&gt;0.61, "High Humidity", N553&gt;=0.6, "Humid", N553&gt;0.4, "Less Humidity", TRUE, "Dry")</f>
        <v>High Humidity</v>
      </c>
      <c r="P553" s="36">
        <v>0.1045</v>
      </c>
      <c r="Q553" s="36" t="str" cm="1">
        <f t="array" ref="Q553">_xlfn.IFS(P553&lt;=0.2,"Low Windspeed",P553&lt;0.4,"Medium Windspeed",P553&gt;=0.41,"High Windspeed")</f>
        <v>Low Windspeed</v>
      </c>
      <c r="R553" s="36">
        <v>0</v>
      </c>
      <c r="S553" s="36">
        <v>1</v>
      </c>
      <c r="T553" s="37">
        <v>1</v>
      </c>
      <c r="U553" s="39" t="str" cm="1">
        <f t="array" ref="U553">_xlfn.IFS(T553&lt;=70,"Low",T553&lt;=160,"Medium",T553&gt;=161,"High")</f>
        <v>Low</v>
      </c>
    </row>
    <row r="554" spans="1:21" x14ac:dyDescent="0.25">
      <c r="A554" s="33">
        <v>553</v>
      </c>
      <c r="B554" s="34">
        <v>40568</v>
      </c>
      <c r="C554" s="35">
        <v>1</v>
      </c>
      <c r="D554" s="35">
        <v>0</v>
      </c>
      <c r="E554" s="35">
        <v>1</v>
      </c>
      <c r="F554" s="35">
        <v>5</v>
      </c>
      <c r="G554" s="35" t="str" cm="1">
        <f t="array" ref="G554">_xlfn.IFS(F554&lt;4,"Night",F554&lt;=6,"Early Morning",F554&lt;11,"Morning",F554&lt;12,"Afternoon",F554&lt;=16,"Afternoon",F554&lt;=20,"Evening",F554&gt;=21,"Night")</f>
        <v>Early Morning</v>
      </c>
      <c r="H554" s="35" t="b">
        <v>0</v>
      </c>
      <c r="I554" s="35">
        <v>2</v>
      </c>
      <c r="J554" s="35">
        <v>1</v>
      </c>
      <c r="K554" s="31">
        <v>0.14000000000000001</v>
      </c>
      <c r="L554" s="31" t="str" cm="1">
        <f t="array" ref="L554">_xlfn.IFS(K554&lt;0.15,"Cold",K554&lt;0.25,"Mild",K554&lt;=0.32,"Warm",K554&gt;=0.33,"Hot")</f>
        <v>Cold</v>
      </c>
      <c r="M554" s="36">
        <v>0.13639999999999999</v>
      </c>
      <c r="N554" s="36">
        <v>0.74</v>
      </c>
      <c r="O554" s="36" t="str" cm="1">
        <f t="array" ref="O554">_xlfn.IFS(N554&gt;0.61, "High Humidity", N554&gt;=0.6, "Humid", N554&gt;0.4, "Less Humidity", TRUE, "Dry")</f>
        <v>High Humidity</v>
      </c>
      <c r="P554" s="36">
        <v>0.22389999999999999</v>
      </c>
      <c r="Q554" s="36" t="str" cm="1">
        <f t="array" ref="Q554">_xlfn.IFS(P554&lt;=0.2,"Low Windspeed",P554&lt;0.4,"Medium Windspeed",P554&gt;=0.41,"High Windspeed")</f>
        <v>Medium Windspeed</v>
      </c>
      <c r="R554" s="36">
        <v>0</v>
      </c>
      <c r="S554" s="36">
        <v>9</v>
      </c>
      <c r="T554" s="37">
        <v>9</v>
      </c>
      <c r="U554" s="39" t="str" cm="1">
        <f t="array" ref="U554">_xlfn.IFS(T554&lt;=70,"Low",T554&lt;=160,"Medium",T554&gt;=161,"High")</f>
        <v>Low</v>
      </c>
    </row>
    <row r="555" spans="1:21" x14ac:dyDescent="0.25">
      <c r="A555" s="33">
        <v>554</v>
      </c>
      <c r="B555" s="34">
        <v>40568</v>
      </c>
      <c r="C555" s="35">
        <v>1</v>
      </c>
      <c r="D555" s="35">
        <v>0</v>
      </c>
      <c r="E555" s="35">
        <v>1</v>
      </c>
      <c r="F555" s="35">
        <v>6</v>
      </c>
      <c r="G555" s="35" t="str" cm="1">
        <f t="array" ref="G555">_xlfn.IFS(F555&lt;4,"Night",F555&lt;=6,"Early Morning",F555&lt;11,"Morning",F555&lt;12,"Afternoon",F555&lt;=16,"Afternoon",F555&lt;=20,"Evening",F555&gt;=21,"Night")</f>
        <v>Early Morning</v>
      </c>
      <c r="H555" s="35" t="b">
        <v>0</v>
      </c>
      <c r="I555" s="35">
        <v>2</v>
      </c>
      <c r="J555" s="35">
        <v>1</v>
      </c>
      <c r="K555" s="31">
        <v>0.16</v>
      </c>
      <c r="L555" s="31" t="str" cm="1">
        <f t="array" ref="L555">_xlfn.IFS(K555&lt;0.15,"Cold",K555&lt;0.25,"Mild",K555&lt;=0.32,"Warm",K555&gt;=0.33,"Hot")</f>
        <v>Mild</v>
      </c>
      <c r="M555" s="36">
        <v>0.18179999999999999</v>
      </c>
      <c r="N555" s="36">
        <v>0.74</v>
      </c>
      <c r="O555" s="36" t="str" cm="1">
        <f t="array" ref="O555">_xlfn.IFS(N555&gt;0.61, "High Humidity", N555&gt;=0.6, "Humid", N555&gt;0.4, "Less Humidity", TRUE, "Dry")</f>
        <v>High Humidity</v>
      </c>
      <c r="P555" s="36">
        <v>0.1045</v>
      </c>
      <c r="Q555" s="36" t="str" cm="1">
        <f t="array" ref="Q555">_xlfn.IFS(P555&lt;=0.2,"Low Windspeed",P555&lt;0.4,"Medium Windspeed",P555&gt;=0.41,"High Windspeed")</f>
        <v>Low Windspeed</v>
      </c>
      <c r="R555" s="36">
        <v>1</v>
      </c>
      <c r="S555" s="36">
        <v>35</v>
      </c>
      <c r="T555" s="37">
        <v>36</v>
      </c>
      <c r="U555" s="39" t="str" cm="1">
        <f t="array" ref="U555">_xlfn.IFS(T555&lt;=70,"Low",T555&lt;=160,"Medium",T555&gt;=161,"High")</f>
        <v>Low</v>
      </c>
    </row>
    <row r="556" spans="1:21" x14ac:dyDescent="0.25">
      <c r="A556" s="33">
        <v>555</v>
      </c>
      <c r="B556" s="34">
        <v>40568</v>
      </c>
      <c r="C556" s="35">
        <v>1</v>
      </c>
      <c r="D556" s="35">
        <v>0</v>
      </c>
      <c r="E556" s="35">
        <v>1</v>
      </c>
      <c r="F556" s="35">
        <v>7</v>
      </c>
      <c r="G556" s="35" t="str" cm="1">
        <f t="array" ref="G556">_xlfn.IFS(F556&lt;4,"Night",F556&lt;=6,"Early Morning",F556&lt;11,"Morning",F556&lt;12,"Afternoon",F556&lt;=16,"Afternoon",F556&lt;=20,"Evening",F556&gt;=21,"Night")</f>
        <v>Morning</v>
      </c>
      <c r="H556" s="35" t="b">
        <v>0</v>
      </c>
      <c r="I556" s="35">
        <v>2</v>
      </c>
      <c r="J556" s="35">
        <v>1</v>
      </c>
      <c r="K556" s="31">
        <v>0.16</v>
      </c>
      <c r="L556" s="31" t="str" cm="1">
        <f t="array" ref="L556">_xlfn.IFS(K556&lt;0.15,"Cold",K556&lt;0.25,"Mild",K556&lt;=0.32,"Warm",K556&gt;=0.33,"Hot")</f>
        <v>Mild</v>
      </c>
      <c r="M556" s="36">
        <v>0.1515</v>
      </c>
      <c r="N556" s="36">
        <v>0.74</v>
      </c>
      <c r="O556" s="36" t="str" cm="1">
        <f t="array" ref="O556">_xlfn.IFS(N556&gt;0.61, "High Humidity", N556&gt;=0.6, "Humid", N556&gt;0.4, "Less Humidity", TRUE, "Dry")</f>
        <v>High Humidity</v>
      </c>
      <c r="P556" s="36">
        <v>0.22389999999999999</v>
      </c>
      <c r="Q556" s="36" t="str" cm="1">
        <f t="array" ref="Q556">_xlfn.IFS(P556&lt;=0.2,"Low Windspeed",P556&lt;0.4,"Medium Windspeed",P556&gt;=0.41,"High Windspeed")</f>
        <v>Medium Windspeed</v>
      </c>
      <c r="R556" s="36">
        <v>5</v>
      </c>
      <c r="S556" s="36">
        <v>103</v>
      </c>
      <c r="T556" s="37">
        <v>108</v>
      </c>
      <c r="U556" s="39" t="str" cm="1">
        <f t="array" ref="U556">_xlfn.IFS(T556&lt;=70,"Low",T556&lt;=160,"Medium",T556&gt;=161,"High")</f>
        <v>Medium</v>
      </c>
    </row>
    <row r="557" spans="1:21" x14ac:dyDescent="0.25">
      <c r="A557" s="33">
        <v>556</v>
      </c>
      <c r="B557" s="34">
        <v>40568</v>
      </c>
      <c r="C557" s="35">
        <v>1</v>
      </c>
      <c r="D557" s="35">
        <v>0</v>
      </c>
      <c r="E557" s="35">
        <v>1</v>
      </c>
      <c r="F557" s="35">
        <v>8</v>
      </c>
      <c r="G557" s="35" t="str" cm="1">
        <f t="array" ref="G557">_xlfn.IFS(F557&lt;4,"Night",F557&lt;=6,"Early Morning",F557&lt;11,"Morning",F557&lt;12,"Afternoon",F557&lt;=16,"Afternoon",F557&lt;=20,"Evening",F557&gt;=21,"Night")</f>
        <v>Morning</v>
      </c>
      <c r="H557" s="35" t="b">
        <v>0</v>
      </c>
      <c r="I557" s="35">
        <v>2</v>
      </c>
      <c r="J557" s="35">
        <v>2</v>
      </c>
      <c r="K557" s="31">
        <v>0.16</v>
      </c>
      <c r="L557" s="31" t="str" cm="1">
        <f t="array" ref="L557">_xlfn.IFS(K557&lt;0.15,"Cold",K557&lt;0.25,"Mild",K557&lt;=0.32,"Warm",K557&gt;=0.33,"Hot")</f>
        <v>Mild</v>
      </c>
      <c r="M557" s="36">
        <v>0.18179999999999999</v>
      </c>
      <c r="N557" s="36">
        <v>0.74</v>
      </c>
      <c r="O557" s="36" t="str" cm="1">
        <f t="array" ref="O557">_xlfn.IFS(N557&gt;0.61, "High Humidity", N557&gt;=0.6, "Humid", N557&gt;0.4, "Less Humidity", TRUE, "Dry")</f>
        <v>High Humidity</v>
      </c>
      <c r="P557" s="36">
        <v>0.1343</v>
      </c>
      <c r="Q557" s="36" t="str" cm="1">
        <f t="array" ref="Q557">_xlfn.IFS(P557&lt;=0.2,"Low Windspeed",P557&lt;0.4,"Medium Windspeed",P557&gt;=0.41,"High Windspeed")</f>
        <v>Low Windspeed</v>
      </c>
      <c r="R557" s="36">
        <v>5</v>
      </c>
      <c r="S557" s="36">
        <v>233</v>
      </c>
      <c r="T557" s="37">
        <v>238</v>
      </c>
      <c r="U557" s="39" t="str" cm="1">
        <f t="array" ref="U557">_xlfn.IFS(T557&lt;=70,"Low",T557&lt;=160,"Medium",T557&gt;=161,"High")</f>
        <v>High</v>
      </c>
    </row>
    <row r="558" spans="1:21" x14ac:dyDescent="0.25">
      <c r="A558" s="33">
        <v>557</v>
      </c>
      <c r="B558" s="34">
        <v>40568</v>
      </c>
      <c r="C558" s="35">
        <v>1</v>
      </c>
      <c r="D558" s="35">
        <v>0</v>
      </c>
      <c r="E558" s="35">
        <v>1</v>
      </c>
      <c r="F558" s="35">
        <v>9</v>
      </c>
      <c r="G558" s="35" t="str" cm="1">
        <f t="array" ref="G558">_xlfn.IFS(F558&lt;4,"Night",F558&lt;=6,"Early Morning",F558&lt;11,"Morning",F558&lt;12,"Afternoon",F558&lt;=16,"Afternoon",F558&lt;=20,"Evening",F558&gt;=21,"Night")</f>
        <v>Morning</v>
      </c>
      <c r="H558" s="35" t="b">
        <v>0</v>
      </c>
      <c r="I558" s="35">
        <v>2</v>
      </c>
      <c r="J558" s="35">
        <v>2</v>
      </c>
      <c r="K558" s="31">
        <v>0.2</v>
      </c>
      <c r="L558" s="31" t="str" cm="1">
        <f t="array" ref="L558">_xlfn.IFS(K558&lt;0.15,"Cold",K558&lt;0.25,"Mild",K558&lt;=0.32,"Warm",K558&gt;=0.33,"Hot")</f>
        <v>Mild</v>
      </c>
      <c r="M558" s="36">
        <v>0.2273</v>
      </c>
      <c r="N558" s="36">
        <v>0.64</v>
      </c>
      <c r="O558" s="36" t="str" cm="1">
        <f t="array" ref="O558">_xlfn.IFS(N558&gt;0.61, "High Humidity", N558&gt;=0.6, "Humid", N558&gt;0.4, "Less Humidity", TRUE, "Dry")</f>
        <v>High Humidity</v>
      </c>
      <c r="P558" s="36">
        <v>8.9599999999999999E-2</v>
      </c>
      <c r="Q558" s="36" t="str" cm="1">
        <f t="array" ref="Q558">_xlfn.IFS(P558&lt;=0.2,"Low Windspeed",P558&lt;0.4,"Medium Windspeed",P558&gt;=0.41,"High Windspeed")</f>
        <v>Low Windspeed</v>
      </c>
      <c r="R558" s="36">
        <v>10</v>
      </c>
      <c r="S558" s="36">
        <v>134</v>
      </c>
      <c r="T558" s="37">
        <v>144</v>
      </c>
      <c r="U558" s="39" t="str" cm="1">
        <f t="array" ref="U558">_xlfn.IFS(T558&lt;=70,"Low",T558&lt;=160,"Medium",T558&gt;=161,"High")</f>
        <v>Medium</v>
      </c>
    </row>
    <row r="559" spans="1:21" x14ac:dyDescent="0.25">
      <c r="A559" s="33">
        <v>558</v>
      </c>
      <c r="B559" s="34">
        <v>40568</v>
      </c>
      <c r="C559" s="35">
        <v>1</v>
      </c>
      <c r="D559" s="35">
        <v>0</v>
      </c>
      <c r="E559" s="35">
        <v>1</v>
      </c>
      <c r="F559" s="35">
        <v>10</v>
      </c>
      <c r="G559" s="35" t="str" cm="1">
        <f t="array" ref="G559">_xlfn.IFS(F559&lt;4,"Night",F559&lt;=6,"Early Morning",F559&lt;11,"Morning",F559&lt;12,"Afternoon",F559&lt;=16,"Afternoon",F559&lt;=20,"Evening",F559&gt;=21,"Night")</f>
        <v>Morning</v>
      </c>
      <c r="H559" s="35" t="b">
        <v>0</v>
      </c>
      <c r="I559" s="35">
        <v>2</v>
      </c>
      <c r="J559" s="35">
        <v>2</v>
      </c>
      <c r="K559" s="31">
        <v>0.22</v>
      </c>
      <c r="L559" s="31" t="str" cm="1">
        <f t="array" ref="L559">_xlfn.IFS(K559&lt;0.15,"Cold",K559&lt;0.25,"Mild",K559&lt;=0.32,"Warm",K559&gt;=0.33,"Hot")</f>
        <v>Mild</v>
      </c>
      <c r="M559" s="36">
        <v>0.2424</v>
      </c>
      <c r="N559" s="36">
        <v>0.6</v>
      </c>
      <c r="O559" s="36" t="str" cm="1">
        <f t="array" ref="O559">_xlfn.IFS(N559&gt;0.61, "High Humidity", N559&gt;=0.6, "Humid", N559&gt;0.4, "Less Humidity", TRUE, "Dry")</f>
        <v>Humid</v>
      </c>
      <c r="P559" s="36">
        <v>0.1045</v>
      </c>
      <c r="Q559" s="36" t="str" cm="1">
        <f t="array" ref="Q559">_xlfn.IFS(P559&lt;=0.2,"Low Windspeed",P559&lt;0.4,"Medium Windspeed",P559&gt;=0.41,"High Windspeed")</f>
        <v>Low Windspeed</v>
      </c>
      <c r="R559" s="36">
        <v>6</v>
      </c>
      <c r="S559" s="36">
        <v>49</v>
      </c>
      <c r="T559" s="37">
        <v>55</v>
      </c>
      <c r="U559" s="39" t="str" cm="1">
        <f t="array" ref="U559">_xlfn.IFS(T559&lt;=70,"Low",T559&lt;=160,"Medium",T559&gt;=161,"High")</f>
        <v>Low</v>
      </c>
    </row>
    <row r="560" spans="1:21" x14ac:dyDescent="0.25">
      <c r="A560" s="33">
        <v>559</v>
      </c>
      <c r="B560" s="34">
        <v>40568</v>
      </c>
      <c r="C560" s="35">
        <v>1</v>
      </c>
      <c r="D560" s="35">
        <v>0</v>
      </c>
      <c r="E560" s="35">
        <v>1</v>
      </c>
      <c r="F560" s="35">
        <v>11</v>
      </c>
      <c r="G560" s="35" t="str" cm="1">
        <f t="array" ref="G560">_xlfn.IFS(F560&lt;4,"Night",F560&lt;=6,"Early Morning",F560&lt;11,"Morning",F560&lt;12,"Afternoon",F560&lt;=16,"Afternoon",F560&lt;=20,"Evening",F560&gt;=21,"Night")</f>
        <v>Afternoon</v>
      </c>
      <c r="H560" s="35" t="b">
        <v>0</v>
      </c>
      <c r="I560" s="35">
        <v>2</v>
      </c>
      <c r="J560" s="35">
        <v>2</v>
      </c>
      <c r="K560" s="31">
        <v>0.24</v>
      </c>
      <c r="L560" s="31" t="str" cm="1">
        <f t="array" ref="L560">_xlfn.IFS(K560&lt;0.15,"Cold",K560&lt;0.25,"Mild",K560&lt;=0.32,"Warm",K560&gt;=0.33,"Hot")</f>
        <v>Mild</v>
      </c>
      <c r="M560" s="36">
        <v>0.2424</v>
      </c>
      <c r="N560" s="36">
        <v>0.6</v>
      </c>
      <c r="O560" s="36" t="str" cm="1">
        <f t="array" ref="O560">_xlfn.IFS(N560&gt;0.61, "High Humidity", N560&gt;=0.6, "Humid", N560&gt;0.4, "Less Humidity", TRUE, "Dry")</f>
        <v>Humid</v>
      </c>
      <c r="P560" s="36">
        <v>0.1343</v>
      </c>
      <c r="Q560" s="36" t="str" cm="1">
        <f t="array" ref="Q560">_xlfn.IFS(P560&lt;=0.2,"Low Windspeed",P560&lt;0.4,"Medium Windspeed",P560&gt;=0.41,"High Windspeed")</f>
        <v>Low Windspeed</v>
      </c>
      <c r="R560" s="36">
        <v>6</v>
      </c>
      <c r="S560" s="36">
        <v>55</v>
      </c>
      <c r="T560" s="37">
        <v>61</v>
      </c>
      <c r="U560" s="39" t="str" cm="1">
        <f t="array" ref="U560">_xlfn.IFS(T560&lt;=70,"Low",T560&lt;=160,"Medium",T560&gt;=161,"High")</f>
        <v>Low</v>
      </c>
    </row>
    <row r="561" spans="1:21" x14ac:dyDescent="0.25">
      <c r="A561" s="33">
        <v>560</v>
      </c>
      <c r="B561" s="34">
        <v>40568</v>
      </c>
      <c r="C561" s="35">
        <v>1</v>
      </c>
      <c r="D561" s="35">
        <v>0</v>
      </c>
      <c r="E561" s="35">
        <v>1</v>
      </c>
      <c r="F561" s="35">
        <v>12</v>
      </c>
      <c r="G561" s="35" t="str" cm="1">
        <f t="array" ref="G561">_xlfn.IFS(F561&lt;4,"Night",F561&lt;=6,"Early Morning",F561&lt;11,"Morning",F561&lt;12,"Afternoon",F561&lt;=16,"Afternoon",F561&lt;=20,"Evening",F561&gt;=21,"Night")</f>
        <v>Afternoon</v>
      </c>
      <c r="H561" s="35" t="b">
        <v>0</v>
      </c>
      <c r="I561" s="35">
        <v>2</v>
      </c>
      <c r="J561" s="35">
        <v>2</v>
      </c>
      <c r="K561" s="31">
        <v>0.26</v>
      </c>
      <c r="L561" s="31" t="str" cm="1">
        <f t="array" ref="L561">_xlfn.IFS(K561&lt;0.15,"Cold",K561&lt;0.25,"Mild",K561&lt;=0.32,"Warm",K561&gt;=0.33,"Hot")</f>
        <v>Warm</v>
      </c>
      <c r="M561" s="36">
        <v>0.28789999999999999</v>
      </c>
      <c r="N561" s="36">
        <v>0.56000000000000005</v>
      </c>
      <c r="O561" s="36" t="str" cm="1">
        <f t="array" ref="O561">_xlfn.IFS(N561&gt;0.61, "High Humidity", N561&gt;=0.6, "Humid", N561&gt;0.4, "Less Humidity", TRUE, "Dry")</f>
        <v>Less Humidity</v>
      </c>
      <c r="P561" s="36">
        <v>8.9599999999999999E-2</v>
      </c>
      <c r="Q561" s="36" t="str" cm="1">
        <f t="array" ref="Q561">_xlfn.IFS(P561&lt;=0.2,"Low Windspeed",P561&lt;0.4,"Medium Windspeed",P561&gt;=0.41,"High Windspeed")</f>
        <v>Low Windspeed</v>
      </c>
      <c r="R561" s="36">
        <v>21</v>
      </c>
      <c r="S561" s="36">
        <v>85</v>
      </c>
      <c r="T561" s="37">
        <v>106</v>
      </c>
      <c r="U561" s="39" t="str" cm="1">
        <f t="array" ref="U561">_xlfn.IFS(T561&lt;=70,"Low",T561&lt;=160,"Medium",T561&gt;=161,"High")</f>
        <v>Medium</v>
      </c>
    </row>
    <row r="562" spans="1:21" x14ac:dyDescent="0.25">
      <c r="A562" s="33">
        <v>561</v>
      </c>
      <c r="B562" s="34">
        <v>40568</v>
      </c>
      <c r="C562" s="35">
        <v>1</v>
      </c>
      <c r="D562" s="35">
        <v>0</v>
      </c>
      <c r="E562" s="35">
        <v>1</v>
      </c>
      <c r="F562" s="35">
        <v>13</v>
      </c>
      <c r="G562" s="35" t="str" cm="1">
        <f t="array" ref="G562">_xlfn.IFS(F562&lt;4,"Night",F562&lt;=6,"Early Morning",F562&lt;11,"Morning",F562&lt;12,"Afternoon",F562&lt;=16,"Afternoon",F562&lt;=20,"Evening",F562&gt;=21,"Night")</f>
        <v>Afternoon</v>
      </c>
      <c r="H562" s="35" t="b">
        <v>0</v>
      </c>
      <c r="I562" s="35">
        <v>2</v>
      </c>
      <c r="J562" s="35">
        <v>2</v>
      </c>
      <c r="K562" s="31">
        <v>0.26</v>
      </c>
      <c r="L562" s="31" t="str" cm="1">
        <f t="array" ref="L562">_xlfn.IFS(K562&lt;0.15,"Cold",K562&lt;0.25,"Mild",K562&lt;=0.32,"Warm",K562&gt;=0.33,"Hot")</f>
        <v>Warm</v>
      </c>
      <c r="M562" s="36">
        <v>0.2727</v>
      </c>
      <c r="N562" s="36">
        <v>0.56000000000000005</v>
      </c>
      <c r="O562" s="36" t="str" cm="1">
        <f t="array" ref="O562">_xlfn.IFS(N562&gt;0.61, "High Humidity", N562&gt;=0.6, "Humid", N562&gt;0.4, "Less Humidity", TRUE, "Dry")</f>
        <v>Less Humidity</v>
      </c>
      <c r="P562" s="36">
        <v>0.1343</v>
      </c>
      <c r="Q562" s="36" t="str" cm="1">
        <f t="array" ref="Q562">_xlfn.IFS(P562&lt;=0.2,"Low Windspeed",P562&lt;0.4,"Medium Windspeed",P562&gt;=0.41,"High Windspeed")</f>
        <v>Low Windspeed</v>
      </c>
      <c r="R562" s="36">
        <v>21</v>
      </c>
      <c r="S562" s="36">
        <v>72</v>
      </c>
      <c r="T562" s="37">
        <v>93</v>
      </c>
      <c r="U562" s="39" t="str" cm="1">
        <f t="array" ref="U562">_xlfn.IFS(T562&lt;=70,"Low",T562&lt;=160,"Medium",T562&gt;=161,"High")</f>
        <v>Medium</v>
      </c>
    </row>
    <row r="563" spans="1:21" x14ac:dyDescent="0.25">
      <c r="A563" s="33">
        <v>562</v>
      </c>
      <c r="B563" s="34">
        <v>40568</v>
      </c>
      <c r="C563" s="35">
        <v>1</v>
      </c>
      <c r="D563" s="35">
        <v>0</v>
      </c>
      <c r="E563" s="35">
        <v>1</v>
      </c>
      <c r="F563" s="35">
        <v>14</v>
      </c>
      <c r="G563" s="35" t="str" cm="1">
        <f t="array" ref="G563">_xlfn.IFS(F563&lt;4,"Night",F563&lt;=6,"Early Morning",F563&lt;11,"Morning",F563&lt;12,"Afternoon",F563&lt;=16,"Afternoon",F563&lt;=20,"Evening",F563&gt;=21,"Night")</f>
        <v>Afternoon</v>
      </c>
      <c r="H563" s="35" t="b">
        <v>0</v>
      </c>
      <c r="I563" s="35">
        <v>2</v>
      </c>
      <c r="J563" s="35">
        <v>2</v>
      </c>
      <c r="K563" s="31">
        <v>0.3</v>
      </c>
      <c r="L563" s="31" t="str" cm="1">
        <f t="array" ref="L563">_xlfn.IFS(K563&lt;0.15,"Cold",K563&lt;0.25,"Mild",K563&lt;=0.32,"Warm",K563&gt;=0.33,"Hot")</f>
        <v>Warm</v>
      </c>
      <c r="M563" s="36">
        <v>0.33329999999999999</v>
      </c>
      <c r="N563" s="36">
        <v>0.45</v>
      </c>
      <c r="O563" s="36" t="str" cm="1">
        <f t="array" ref="O563">_xlfn.IFS(N563&gt;0.61, "High Humidity", N563&gt;=0.6, "Humid", N563&gt;0.4, "Less Humidity", TRUE, "Dry")</f>
        <v>Less Humidity</v>
      </c>
      <c r="P563" s="36">
        <v>0</v>
      </c>
      <c r="Q563" s="36" t="str" cm="1">
        <f t="array" ref="Q563">_xlfn.IFS(P563&lt;=0.2,"Low Windspeed",P563&lt;0.4,"Medium Windspeed",P563&gt;=0.41,"High Windspeed")</f>
        <v>Low Windspeed</v>
      </c>
      <c r="R563" s="36">
        <v>11</v>
      </c>
      <c r="S563" s="36">
        <v>57</v>
      </c>
      <c r="T563" s="37">
        <v>68</v>
      </c>
      <c r="U563" s="39" t="str" cm="1">
        <f t="array" ref="U563">_xlfn.IFS(T563&lt;=70,"Low",T563&lt;=160,"Medium",T563&gt;=161,"High")</f>
        <v>Low</v>
      </c>
    </row>
    <row r="564" spans="1:21" x14ac:dyDescent="0.25">
      <c r="A564" s="33">
        <v>563</v>
      </c>
      <c r="B564" s="34">
        <v>40568</v>
      </c>
      <c r="C564" s="35">
        <v>1</v>
      </c>
      <c r="D564" s="35">
        <v>0</v>
      </c>
      <c r="E564" s="35">
        <v>1</v>
      </c>
      <c r="F564" s="35">
        <v>15</v>
      </c>
      <c r="G564" s="35" t="str" cm="1">
        <f t="array" ref="G564">_xlfn.IFS(F564&lt;4,"Night",F564&lt;=6,"Early Morning",F564&lt;11,"Morning",F564&lt;12,"Afternoon",F564&lt;=16,"Afternoon",F564&lt;=20,"Evening",F564&gt;=21,"Night")</f>
        <v>Afternoon</v>
      </c>
      <c r="H564" s="35" t="b">
        <v>0</v>
      </c>
      <c r="I564" s="35">
        <v>2</v>
      </c>
      <c r="J564" s="35">
        <v>2</v>
      </c>
      <c r="K564" s="31">
        <v>0.32</v>
      </c>
      <c r="L564" s="31" t="str" cm="1">
        <f t="array" ref="L564">_xlfn.IFS(K564&lt;0.15,"Cold",K564&lt;0.25,"Mild",K564&lt;=0.32,"Warm",K564&gt;=0.33,"Hot")</f>
        <v>Warm</v>
      </c>
      <c r="M564" s="36">
        <v>0.34849999999999998</v>
      </c>
      <c r="N564" s="36">
        <v>0.42</v>
      </c>
      <c r="O564" s="36" t="str" cm="1">
        <f t="array" ref="O564">_xlfn.IFS(N564&gt;0.61, "High Humidity", N564&gt;=0.6, "Humid", N564&gt;0.4, "Less Humidity", TRUE, "Dry")</f>
        <v>Less Humidity</v>
      </c>
      <c r="P564" s="36">
        <v>0</v>
      </c>
      <c r="Q564" s="36" t="str" cm="1">
        <f t="array" ref="Q564">_xlfn.IFS(P564&lt;=0.2,"Low Windspeed",P564&lt;0.4,"Medium Windspeed",P564&gt;=0.41,"High Windspeed")</f>
        <v>Low Windspeed</v>
      </c>
      <c r="R564" s="36">
        <v>21</v>
      </c>
      <c r="S564" s="36">
        <v>63</v>
      </c>
      <c r="T564" s="37">
        <v>84</v>
      </c>
      <c r="U564" s="39" t="str" cm="1">
        <f t="array" ref="U564">_xlfn.IFS(T564&lt;=70,"Low",T564&lt;=160,"Medium",T564&gt;=161,"High")</f>
        <v>Medium</v>
      </c>
    </row>
    <row r="565" spans="1:21" x14ac:dyDescent="0.25">
      <c r="A565" s="33">
        <v>564</v>
      </c>
      <c r="B565" s="34">
        <v>40568</v>
      </c>
      <c r="C565" s="35">
        <v>1</v>
      </c>
      <c r="D565" s="35">
        <v>0</v>
      </c>
      <c r="E565" s="35">
        <v>1</v>
      </c>
      <c r="F565" s="35">
        <v>16</v>
      </c>
      <c r="G565" s="35" t="str" cm="1">
        <f t="array" ref="G565">_xlfn.IFS(F565&lt;4,"Night",F565&lt;=6,"Early Morning",F565&lt;11,"Morning",F565&lt;12,"Afternoon",F565&lt;=16,"Afternoon",F565&lt;=20,"Evening",F565&gt;=21,"Night")</f>
        <v>Afternoon</v>
      </c>
      <c r="H565" s="35" t="b">
        <v>0</v>
      </c>
      <c r="I565" s="35">
        <v>2</v>
      </c>
      <c r="J565" s="35">
        <v>2</v>
      </c>
      <c r="K565" s="31">
        <v>0.32</v>
      </c>
      <c r="L565" s="31" t="str" cm="1">
        <f t="array" ref="L565">_xlfn.IFS(K565&lt;0.15,"Cold",K565&lt;0.25,"Mild",K565&lt;=0.32,"Warm",K565&gt;=0.33,"Hot")</f>
        <v>Warm</v>
      </c>
      <c r="M565" s="36">
        <v>0.34849999999999998</v>
      </c>
      <c r="N565" s="36">
        <v>0.42</v>
      </c>
      <c r="O565" s="36" t="str" cm="1">
        <f t="array" ref="O565">_xlfn.IFS(N565&gt;0.61, "High Humidity", N565&gt;=0.6, "Humid", N565&gt;0.4, "Less Humidity", TRUE, "Dry")</f>
        <v>Less Humidity</v>
      </c>
      <c r="P565" s="36">
        <v>0</v>
      </c>
      <c r="Q565" s="36" t="str" cm="1">
        <f t="array" ref="Q565">_xlfn.IFS(P565&lt;=0.2,"Low Windspeed",P565&lt;0.4,"Medium Windspeed",P565&gt;=0.41,"High Windspeed")</f>
        <v>Low Windspeed</v>
      </c>
      <c r="R565" s="36">
        <v>14</v>
      </c>
      <c r="S565" s="36">
        <v>102</v>
      </c>
      <c r="T565" s="37">
        <v>116</v>
      </c>
      <c r="U565" s="39" t="str" cm="1">
        <f t="array" ref="U565">_xlfn.IFS(T565&lt;=70,"Low",T565&lt;=160,"Medium",T565&gt;=161,"High")</f>
        <v>Medium</v>
      </c>
    </row>
    <row r="566" spans="1:21" x14ac:dyDescent="0.25">
      <c r="A566" s="33">
        <v>565</v>
      </c>
      <c r="B566" s="34">
        <v>40568</v>
      </c>
      <c r="C566" s="35">
        <v>1</v>
      </c>
      <c r="D566" s="35">
        <v>0</v>
      </c>
      <c r="E566" s="35">
        <v>1</v>
      </c>
      <c r="F566" s="35">
        <v>17</v>
      </c>
      <c r="G566" s="35" t="str" cm="1">
        <f t="array" ref="G566">_xlfn.IFS(F566&lt;4,"Night",F566&lt;=6,"Early Morning",F566&lt;11,"Morning",F566&lt;12,"Afternoon",F566&lt;=16,"Afternoon",F566&lt;=20,"Evening",F566&gt;=21,"Night")</f>
        <v>Evening</v>
      </c>
      <c r="H566" s="35" t="b">
        <v>0</v>
      </c>
      <c r="I566" s="35">
        <v>2</v>
      </c>
      <c r="J566" s="35">
        <v>1</v>
      </c>
      <c r="K566" s="31">
        <v>0.3</v>
      </c>
      <c r="L566" s="31" t="str" cm="1">
        <f t="array" ref="L566">_xlfn.IFS(K566&lt;0.15,"Cold",K566&lt;0.25,"Mild",K566&lt;=0.32,"Warm",K566&gt;=0.33,"Hot")</f>
        <v>Warm</v>
      </c>
      <c r="M566" s="36">
        <v>0.33329999999999999</v>
      </c>
      <c r="N566" s="36">
        <v>0.45</v>
      </c>
      <c r="O566" s="36" t="str" cm="1">
        <f t="array" ref="O566">_xlfn.IFS(N566&gt;0.61, "High Humidity", N566&gt;=0.6, "Humid", N566&gt;0.4, "Less Humidity", TRUE, "Dry")</f>
        <v>Less Humidity</v>
      </c>
      <c r="P566" s="36">
        <v>0</v>
      </c>
      <c r="Q566" s="36" t="str" cm="1">
        <f t="array" ref="Q566">_xlfn.IFS(P566&lt;=0.2,"Low Windspeed",P566&lt;0.4,"Medium Windspeed",P566&gt;=0.41,"High Windspeed")</f>
        <v>Low Windspeed</v>
      </c>
      <c r="R566" s="36">
        <v>14</v>
      </c>
      <c r="S566" s="36">
        <v>208</v>
      </c>
      <c r="T566" s="37">
        <v>222</v>
      </c>
      <c r="U566" s="39" t="str" cm="1">
        <f t="array" ref="U566">_xlfn.IFS(T566&lt;=70,"Low",T566&lt;=160,"Medium",T566&gt;=161,"High")</f>
        <v>High</v>
      </c>
    </row>
    <row r="567" spans="1:21" x14ac:dyDescent="0.25">
      <c r="A567" s="33">
        <v>566</v>
      </c>
      <c r="B567" s="34">
        <v>40568</v>
      </c>
      <c r="C567" s="35">
        <v>1</v>
      </c>
      <c r="D567" s="35">
        <v>0</v>
      </c>
      <c r="E567" s="35">
        <v>1</v>
      </c>
      <c r="F567" s="35">
        <v>18</v>
      </c>
      <c r="G567" s="35" t="str" cm="1">
        <f t="array" ref="G567">_xlfn.IFS(F567&lt;4,"Night",F567&lt;=6,"Early Morning",F567&lt;11,"Morning",F567&lt;12,"Afternoon",F567&lt;=16,"Afternoon",F567&lt;=20,"Evening",F567&gt;=21,"Night")</f>
        <v>Evening</v>
      </c>
      <c r="H567" s="35" t="b">
        <v>0</v>
      </c>
      <c r="I567" s="35">
        <v>2</v>
      </c>
      <c r="J567" s="35">
        <v>2</v>
      </c>
      <c r="K567" s="31">
        <v>0.3</v>
      </c>
      <c r="L567" s="31" t="str" cm="1">
        <f t="array" ref="L567">_xlfn.IFS(K567&lt;0.15,"Cold",K567&lt;0.25,"Mild",K567&lt;=0.32,"Warm",K567&gt;=0.33,"Hot")</f>
        <v>Warm</v>
      </c>
      <c r="M567" s="36">
        <v>0.31819999999999998</v>
      </c>
      <c r="N567" s="36">
        <v>0.49</v>
      </c>
      <c r="O567" s="36" t="str" cm="1">
        <f t="array" ref="O567">_xlfn.IFS(N567&gt;0.61, "High Humidity", N567&gt;=0.6, "Humid", N567&gt;0.4, "Less Humidity", TRUE, "Dry")</f>
        <v>Less Humidity</v>
      </c>
      <c r="P567" s="36">
        <v>8.9599999999999999E-2</v>
      </c>
      <c r="Q567" s="36" t="str" cm="1">
        <f t="array" ref="Q567">_xlfn.IFS(P567&lt;=0.2,"Low Windspeed",P567&lt;0.4,"Medium Windspeed",P567&gt;=0.41,"High Windspeed")</f>
        <v>Low Windspeed</v>
      </c>
      <c r="R567" s="36">
        <v>7</v>
      </c>
      <c r="S567" s="36">
        <v>218</v>
      </c>
      <c r="T567" s="37">
        <v>225</v>
      </c>
      <c r="U567" s="39" t="str" cm="1">
        <f t="array" ref="U567">_xlfn.IFS(T567&lt;=70,"Low",T567&lt;=160,"Medium",T567&gt;=161,"High")</f>
        <v>High</v>
      </c>
    </row>
    <row r="568" spans="1:21" x14ac:dyDescent="0.25">
      <c r="A568" s="33">
        <v>567</v>
      </c>
      <c r="B568" s="34">
        <v>40568</v>
      </c>
      <c r="C568" s="35">
        <v>1</v>
      </c>
      <c r="D568" s="35">
        <v>0</v>
      </c>
      <c r="E568" s="35">
        <v>1</v>
      </c>
      <c r="F568" s="35">
        <v>19</v>
      </c>
      <c r="G568" s="35" t="str" cm="1">
        <f t="array" ref="G568">_xlfn.IFS(F568&lt;4,"Night",F568&lt;=6,"Early Morning",F568&lt;11,"Morning",F568&lt;12,"Afternoon",F568&lt;=16,"Afternoon",F568&lt;=20,"Evening",F568&gt;=21,"Night")</f>
        <v>Evening</v>
      </c>
      <c r="H568" s="35" t="b">
        <v>0</v>
      </c>
      <c r="I568" s="35">
        <v>2</v>
      </c>
      <c r="J568" s="35">
        <v>2</v>
      </c>
      <c r="K568" s="31">
        <v>0.26</v>
      </c>
      <c r="L568" s="31" t="str" cm="1">
        <f t="array" ref="L568">_xlfn.IFS(K568&lt;0.15,"Cold",K568&lt;0.25,"Mild",K568&lt;=0.32,"Warm",K568&gt;=0.33,"Hot")</f>
        <v>Warm</v>
      </c>
      <c r="M568" s="36">
        <v>0.2576</v>
      </c>
      <c r="N568" s="36">
        <v>0.65</v>
      </c>
      <c r="O568" s="36" t="str" cm="1">
        <f t="array" ref="O568">_xlfn.IFS(N568&gt;0.61, "High Humidity", N568&gt;=0.6, "Humid", N568&gt;0.4, "Less Humidity", TRUE, "Dry")</f>
        <v>High Humidity</v>
      </c>
      <c r="P568" s="36">
        <v>0.16420000000000001</v>
      </c>
      <c r="Q568" s="36" t="str" cm="1">
        <f t="array" ref="Q568">_xlfn.IFS(P568&lt;=0.2,"Low Windspeed",P568&lt;0.4,"Medium Windspeed",P568&gt;=0.41,"High Windspeed")</f>
        <v>Low Windspeed</v>
      </c>
      <c r="R568" s="36">
        <v>13</v>
      </c>
      <c r="S568" s="36">
        <v>133</v>
      </c>
      <c r="T568" s="37">
        <v>146</v>
      </c>
      <c r="U568" s="39" t="str" cm="1">
        <f t="array" ref="U568">_xlfn.IFS(T568&lt;=70,"Low",T568&lt;=160,"Medium",T568&gt;=161,"High")</f>
        <v>Medium</v>
      </c>
    </row>
    <row r="569" spans="1:21" x14ac:dyDescent="0.25">
      <c r="A569" s="33">
        <v>568</v>
      </c>
      <c r="B569" s="34">
        <v>40568</v>
      </c>
      <c r="C569" s="35">
        <v>1</v>
      </c>
      <c r="D569" s="35">
        <v>0</v>
      </c>
      <c r="E569" s="35">
        <v>1</v>
      </c>
      <c r="F569" s="35">
        <v>20</v>
      </c>
      <c r="G569" s="35" t="str" cm="1">
        <f t="array" ref="G569">_xlfn.IFS(F569&lt;4,"Night",F569&lt;=6,"Early Morning",F569&lt;11,"Morning",F569&lt;12,"Afternoon",F569&lt;=16,"Afternoon",F569&lt;=20,"Evening",F569&gt;=21,"Night")</f>
        <v>Evening</v>
      </c>
      <c r="H569" s="35" t="b">
        <v>0</v>
      </c>
      <c r="I569" s="35">
        <v>2</v>
      </c>
      <c r="J569" s="35">
        <v>1</v>
      </c>
      <c r="K569" s="31">
        <v>0.24</v>
      </c>
      <c r="L569" s="31" t="str" cm="1">
        <f t="array" ref="L569">_xlfn.IFS(K569&lt;0.15,"Cold",K569&lt;0.25,"Mild",K569&lt;=0.32,"Warm",K569&gt;=0.33,"Hot")</f>
        <v>Mild</v>
      </c>
      <c r="M569" s="36">
        <v>0.2273</v>
      </c>
      <c r="N569" s="36">
        <v>0.65</v>
      </c>
      <c r="O569" s="36" t="str" cm="1">
        <f t="array" ref="O569">_xlfn.IFS(N569&gt;0.61, "High Humidity", N569&gt;=0.6, "Humid", N569&gt;0.4, "Less Humidity", TRUE, "Dry")</f>
        <v>High Humidity</v>
      </c>
      <c r="P569" s="36">
        <v>0.19400000000000001</v>
      </c>
      <c r="Q569" s="36" t="str" cm="1">
        <f t="array" ref="Q569">_xlfn.IFS(P569&lt;=0.2,"Low Windspeed",P569&lt;0.4,"Medium Windspeed",P569&gt;=0.41,"High Windspeed")</f>
        <v>Low Windspeed</v>
      </c>
      <c r="R569" s="36">
        <v>16</v>
      </c>
      <c r="S569" s="36">
        <v>103</v>
      </c>
      <c r="T569" s="37">
        <v>119</v>
      </c>
      <c r="U569" s="39" t="str" cm="1">
        <f t="array" ref="U569">_xlfn.IFS(T569&lt;=70,"Low",T569&lt;=160,"Medium",T569&gt;=161,"High")</f>
        <v>Medium</v>
      </c>
    </row>
    <row r="570" spans="1:21" x14ac:dyDescent="0.25">
      <c r="A570" s="33">
        <v>569</v>
      </c>
      <c r="B570" s="34">
        <v>40568</v>
      </c>
      <c r="C570" s="35">
        <v>1</v>
      </c>
      <c r="D570" s="35">
        <v>0</v>
      </c>
      <c r="E570" s="35">
        <v>1</v>
      </c>
      <c r="F570" s="35">
        <v>21</v>
      </c>
      <c r="G570" s="35" t="str" cm="1">
        <f t="array" ref="G570">_xlfn.IFS(F570&lt;4,"Night",F570&lt;=6,"Early Morning",F570&lt;11,"Morning",F570&lt;12,"Afternoon",F570&lt;=16,"Afternoon",F570&lt;=20,"Evening",F570&gt;=21,"Night")</f>
        <v>Night</v>
      </c>
      <c r="H570" s="35" t="b">
        <v>0</v>
      </c>
      <c r="I570" s="35">
        <v>2</v>
      </c>
      <c r="J570" s="35">
        <v>1</v>
      </c>
      <c r="K570" s="31">
        <v>0.24</v>
      </c>
      <c r="L570" s="31" t="str" cm="1">
        <f t="array" ref="L570">_xlfn.IFS(K570&lt;0.15,"Cold",K570&lt;0.25,"Mild",K570&lt;=0.32,"Warm",K570&gt;=0.33,"Hot")</f>
        <v>Mild</v>
      </c>
      <c r="M570" s="36">
        <v>0.2273</v>
      </c>
      <c r="N570" s="36">
        <v>0.65</v>
      </c>
      <c r="O570" s="36" t="str" cm="1">
        <f t="array" ref="O570">_xlfn.IFS(N570&gt;0.61, "High Humidity", N570&gt;=0.6, "Humid", N570&gt;0.4, "Less Humidity", TRUE, "Dry")</f>
        <v>High Humidity</v>
      </c>
      <c r="P570" s="36">
        <v>0.19400000000000001</v>
      </c>
      <c r="Q570" s="36" t="str" cm="1">
        <f t="array" ref="Q570">_xlfn.IFS(P570&lt;=0.2,"Low Windspeed",P570&lt;0.4,"Medium Windspeed",P570&gt;=0.41,"High Windspeed")</f>
        <v>Low Windspeed</v>
      </c>
      <c r="R570" s="36">
        <v>5</v>
      </c>
      <c r="S570" s="36">
        <v>40</v>
      </c>
      <c r="T570" s="37">
        <v>45</v>
      </c>
      <c r="U570" s="39" t="str" cm="1">
        <f t="array" ref="U570">_xlfn.IFS(T570&lt;=70,"Low",T570&lt;=160,"Medium",T570&gt;=161,"High")</f>
        <v>Low</v>
      </c>
    </row>
    <row r="571" spans="1:21" x14ac:dyDescent="0.25">
      <c r="A571" s="33">
        <v>570</v>
      </c>
      <c r="B571" s="34">
        <v>40568</v>
      </c>
      <c r="C571" s="35">
        <v>1</v>
      </c>
      <c r="D571" s="35">
        <v>0</v>
      </c>
      <c r="E571" s="35">
        <v>1</v>
      </c>
      <c r="F571" s="35">
        <v>22</v>
      </c>
      <c r="G571" s="35" t="str" cm="1">
        <f t="array" ref="G571">_xlfn.IFS(F571&lt;4,"Night",F571&lt;=6,"Early Morning",F571&lt;11,"Morning",F571&lt;12,"Afternoon",F571&lt;=16,"Afternoon",F571&lt;=20,"Evening",F571&gt;=21,"Night")</f>
        <v>Night</v>
      </c>
      <c r="H571" s="35" t="b">
        <v>0</v>
      </c>
      <c r="I571" s="35">
        <v>2</v>
      </c>
      <c r="J571" s="35">
        <v>1</v>
      </c>
      <c r="K571" s="31">
        <v>0.22</v>
      </c>
      <c r="L571" s="31" t="str" cm="1">
        <f t="array" ref="L571">_xlfn.IFS(K571&lt;0.15,"Cold",K571&lt;0.25,"Mild",K571&lt;=0.32,"Warm",K571&gt;=0.33,"Hot")</f>
        <v>Mild</v>
      </c>
      <c r="M571" s="36">
        <v>0.2273</v>
      </c>
      <c r="N571" s="36">
        <v>0.64</v>
      </c>
      <c r="O571" s="36" t="str" cm="1">
        <f t="array" ref="O571">_xlfn.IFS(N571&gt;0.61, "High Humidity", N571&gt;=0.6, "Humid", N571&gt;0.4, "Less Humidity", TRUE, "Dry")</f>
        <v>High Humidity</v>
      </c>
      <c r="P571" s="36">
        <v>0.16420000000000001</v>
      </c>
      <c r="Q571" s="36" t="str" cm="1">
        <f t="array" ref="Q571">_xlfn.IFS(P571&lt;=0.2,"Low Windspeed",P571&lt;0.4,"Medium Windspeed",P571&gt;=0.41,"High Windspeed")</f>
        <v>Low Windspeed</v>
      </c>
      <c r="R571" s="36">
        <v>4</v>
      </c>
      <c r="S571" s="36">
        <v>49</v>
      </c>
      <c r="T571" s="37">
        <v>53</v>
      </c>
      <c r="U571" s="39" t="str" cm="1">
        <f t="array" ref="U571">_xlfn.IFS(T571&lt;=70,"Low",T571&lt;=160,"Medium",T571&gt;=161,"High")</f>
        <v>Low</v>
      </c>
    </row>
    <row r="572" spans="1:21" x14ac:dyDescent="0.25">
      <c r="A572" s="33">
        <v>571</v>
      </c>
      <c r="B572" s="34">
        <v>40568</v>
      </c>
      <c r="C572" s="35">
        <v>1</v>
      </c>
      <c r="D572" s="35">
        <v>0</v>
      </c>
      <c r="E572" s="35">
        <v>1</v>
      </c>
      <c r="F572" s="35">
        <v>23</v>
      </c>
      <c r="G572" s="35" t="str" cm="1">
        <f t="array" ref="G572">_xlfn.IFS(F572&lt;4,"Night",F572&lt;=6,"Early Morning",F572&lt;11,"Morning",F572&lt;12,"Afternoon",F572&lt;=16,"Afternoon",F572&lt;=20,"Evening",F572&gt;=21,"Night")</f>
        <v>Night</v>
      </c>
      <c r="H572" s="35" t="b">
        <v>0</v>
      </c>
      <c r="I572" s="35">
        <v>2</v>
      </c>
      <c r="J572" s="35">
        <v>2</v>
      </c>
      <c r="K572" s="31">
        <v>0.22</v>
      </c>
      <c r="L572" s="31" t="str" cm="1">
        <f t="array" ref="L572">_xlfn.IFS(K572&lt;0.15,"Cold",K572&lt;0.25,"Mild",K572&lt;=0.32,"Warm",K572&gt;=0.33,"Hot")</f>
        <v>Mild</v>
      </c>
      <c r="M572" s="36">
        <v>0.2273</v>
      </c>
      <c r="N572" s="36">
        <v>0.64</v>
      </c>
      <c r="O572" s="36" t="str" cm="1">
        <f t="array" ref="O572">_xlfn.IFS(N572&gt;0.61, "High Humidity", N572&gt;=0.6, "Humid", N572&gt;0.4, "Less Humidity", TRUE, "Dry")</f>
        <v>High Humidity</v>
      </c>
      <c r="P572" s="36">
        <v>0.16420000000000001</v>
      </c>
      <c r="Q572" s="36" t="str" cm="1">
        <f t="array" ref="Q572">_xlfn.IFS(P572&lt;=0.2,"Low Windspeed",P572&lt;0.4,"Medium Windspeed",P572&gt;=0.41,"High Windspeed")</f>
        <v>Low Windspeed</v>
      </c>
      <c r="R572" s="36">
        <v>3</v>
      </c>
      <c r="S572" s="36">
        <v>37</v>
      </c>
      <c r="T572" s="37">
        <v>40</v>
      </c>
      <c r="U572" s="39" t="str" cm="1">
        <f t="array" ref="U572">_xlfn.IFS(T572&lt;=70,"Low",T572&lt;=160,"Medium",T572&gt;=161,"High")</f>
        <v>Low</v>
      </c>
    </row>
    <row r="573" spans="1:21" x14ac:dyDescent="0.25">
      <c r="A573" s="33">
        <v>572</v>
      </c>
      <c r="B573" s="34">
        <v>40569</v>
      </c>
      <c r="C573" s="35">
        <v>1</v>
      </c>
      <c r="D573" s="35">
        <v>0</v>
      </c>
      <c r="E573" s="35">
        <v>1</v>
      </c>
      <c r="F573" s="35">
        <v>0</v>
      </c>
      <c r="G573" s="35" t="str" cm="1">
        <f t="array" ref="G573">_xlfn.IFS(F573&lt;4,"Night",F573&lt;=6,"Early Morning",F573&lt;11,"Morning",F573&lt;12,"Afternoon",F573&lt;=16,"Afternoon",F573&lt;=20,"Evening",F573&gt;=21,"Night")</f>
        <v>Night</v>
      </c>
      <c r="H573" s="35" t="b">
        <v>0</v>
      </c>
      <c r="I573" s="35">
        <v>3</v>
      </c>
      <c r="J573" s="35">
        <v>2</v>
      </c>
      <c r="K573" s="31">
        <v>0.22</v>
      </c>
      <c r="L573" s="31" t="str" cm="1">
        <f t="array" ref="L573">_xlfn.IFS(K573&lt;0.15,"Cold",K573&lt;0.25,"Mild",K573&lt;=0.32,"Warm",K573&gt;=0.33,"Hot")</f>
        <v>Mild</v>
      </c>
      <c r="M573" s="36">
        <v>0.2273</v>
      </c>
      <c r="N573" s="36">
        <v>0.69</v>
      </c>
      <c r="O573" s="36" t="str" cm="1">
        <f t="array" ref="O573">_xlfn.IFS(N573&gt;0.61, "High Humidity", N573&gt;=0.6, "Humid", N573&gt;0.4, "Less Humidity", TRUE, "Dry")</f>
        <v>High Humidity</v>
      </c>
      <c r="P573" s="36">
        <v>0.1343</v>
      </c>
      <c r="Q573" s="36" t="str" cm="1">
        <f t="array" ref="Q573">_xlfn.IFS(P573&lt;=0.2,"Low Windspeed",P573&lt;0.4,"Medium Windspeed",P573&gt;=0.41,"High Windspeed")</f>
        <v>Low Windspeed</v>
      </c>
      <c r="R573" s="36">
        <v>3</v>
      </c>
      <c r="S573" s="36">
        <v>14</v>
      </c>
      <c r="T573" s="37">
        <v>17</v>
      </c>
      <c r="U573" s="39" t="str" cm="1">
        <f t="array" ref="U573">_xlfn.IFS(T573&lt;=70,"Low",T573&lt;=160,"Medium",T573&gt;=161,"High")</f>
        <v>Low</v>
      </c>
    </row>
    <row r="574" spans="1:21" x14ac:dyDescent="0.25">
      <c r="A574" s="33">
        <v>573</v>
      </c>
      <c r="B574" s="34">
        <v>40569</v>
      </c>
      <c r="C574" s="35">
        <v>1</v>
      </c>
      <c r="D574" s="35">
        <v>0</v>
      </c>
      <c r="E574" s="35">
        <v>1</v>
      </c>
      <c r="F574" s="35">
        <v>1</v>
      </c>
      <c r="G574" s="35" t="str" cm="1">
        <f t="array" ref="G574">_xlfn.IFS(F574&lt;4,"Night",F574&lt;=6,"Early Morning",F574&lt;11,"Morning",F574&lt;12,"Afternoon",F574&lt;=16,"Afternoon",F574&lt;=20,"Evening",F574&gt;=21,"Night")</f>
        <v>Night</v>
      </c>
      <c r="H574" s="35" t="b">
        <v>0</v>
      </c>
      <c r="I574" s="35">
        <v>3</v>
      </c>
      <c r="J574" s="35">
        <v>2</v>
      </c>
      <c r="K574" s="31">
        <v>0.24</v>
      </c>
      <c r="L574" s="31" t="str" cm="1">
        <f t="array" ref="L574">_xlfn.IFS(K574&lt;0.15,"Cold",K574&lt;0.25,"Mild",K574&lt;=0.32,"Warm",K574&gt;=0.33,"Hot")</f>
        <v>Mild</v>
      </c>
      <c r="M574" s="36">
        <v>0.2424</v>
      </c>
      <c r="N574" s="36">
        <v>0.65</v>
      </c>
      <c r="O574" s="36" t="str" cm="1">
        <f t="array" ref="O574">_xlfn.IFS(N574&gt;0.61, "High Humidity", N574&gt;=0.6, "Humid", N574&gt;0.4, "Less Humidity", TRUE, "Dry")</f>
        <v>High Humidity</v>
      </c>
      <c r="P574" s="36">
        <v>0.1343</v>
      </c>
      <c r="Q574" s="36" t="str" cm="1">
        <f t="array" ref="Q574">_xlfn.IFS(P574&lt;=0.2,"Low Windspeed",P574&lt;0.4,"Medium Windspeed",P574&gt;=0.41,"High Windspeed")</f>
        <v>Low Windspeed</v>
      </c>
      <c r="R574" s="36">
        <v>0</v>
      </c>
      <c r="S574" s="36">
        <v>5</v>
      </c>
      <c r="T574" s="37">
        <v>5</v>
      </c>
      <c r="U574" s="39" t="str" cm="1">
        <f t="array" ref="U574">_xlfn.IFS(T574&lt;=70,"Low",T574&lt;=160,"Medium",T574&gt;=161,"High")</f>
        <v>Low</v>
      </c>
    </row>
    <row r="575" spans="1:21" x14ac:dyDescent="0.25">
      <c r="A575" s="33">
        <v>574</v>
      </c>
      <c r="B575" s="34">
        <v>40569</v>
      </c>
      <c r="C575" s="35">
        <v>1</v>
      </c>
      <c r="D575" s="35">
        <v>0</v>
      </c>
      <c r="E575" s="35">
        <v>1</v>
      </c>
      <c r="F575" s="35">
        <v>2</v>
      </c>
      <c r="G575" s="35" t="str" cm="1">
        <f t="array" ref="G575">_xlfn.IFS(F575&lt;4,"Night",F575&lt;=6,"Early Morning",F575&lt;11,"Morning",F575&lt;12,"Afternoon",F575&lt;=16,"Afternoon",F575&lt;=20,"Evening",F575&gt;=21,"Night")</f>
        <v>Night</v>
      </c>
      <c r="H575" s="35" t="b">
        <v>0</v>
      </c>
      <c r="I575" s="35">
        <v>3</v>
      </c>
      <c r="J575" s="35">
        <v>3</v>
      </c>
      <c r="K575" s="31">
        <v>0.22</v>
      </c>
      <c r="L575" s="31" t="str" cm="1">
        <f t="array" ref="L575">_xlfn.IFS(K575&lt;0.15,"Cold",K575&lt;0.25,"Mild",K575&lt;=0.32,"Warm",K575&gt;=0.33,"Hot")</f>
        <v>Mild</v>
      </c>
      <c r="M575" s="36">
        <v>0.2273</v>
      </c>
      <c r="N575" s="36">
        <v>0.69</v>
      </c>
      <c r="O575" s="36" t="str" cm="1">
        <f t="array" ref="O575">_xlfn.IFS(N575&gt;0.61, "High Humidity", N575&gt;=0.6, "Humid", N575&gt;0.4, "Less Humidity", TRUE, "Dry")</f>
        <v>High Humidity</v>
      </c>
      <c r="P575" s="36">
        <v>0.19400000000000001</v>
      </c>
      <c r="Q575" s="36" t="str" cm="1">
        <f t="array" ref="Q575">_xlfn.IFS(P575&lt;=0.2,"Low Windspeed",P575&lt;0.4,"Medium Windspeed",P575&gt;=0.41,"High Windspeed")</f>
        <v>Low Windspeed</v>
      </c>
      <c r="R575" s="36">
        <v>3</v>
      </c>
      <c r="S575" s="36">
        <v>7</v>
      </c>
      <c r="T575" s="37">
        <v>10</v>
      </c>
      <c r="U575" s="39" t="str" cm="1">
        <f t="array" ref="U575">_xlfn.IFS(T575&lt;=70,"Low",T575&lt;=160,"Medium",T575&gt;=161,"High")</f>
        <v>Low</v>
      </c>
    </row>
    <row r="576" spans="1:21" x14ac:dyDescent="0.25">
      <c r="A576" s="33">
        <v>575</v>
      </c>
      <c r="B576" s="34">
        <v>40569</v>
      </c>
      <c r="C576" s="35">
        <v>1</v>
      </c>
      <c r="D576" s="35">
        <v>0</v>
      </c>
      <c r="E576" s="35">
        <v>1</v>
      </c>
      <c r="F576" s="35">
        <v>5</v>
      </c>
      <c r="G576" s="35" t="str" cm="1">
        <f t="array" ref="G576">_xlfn.IFS(F576&lt;4,"Night",F576&lt;=6,"Early Morning",F576&lt;11,"Morning",F576&lt;12,"Afternoon",F576&lt;=16,"Afternoon",F576&lt;=20,"Evening",F576&gt;=21,"Night")</f>
        <v>Early Morning</v>
      </c>
      <c r="H576" s="35" t="b">
        <v>0</v>
      </c>
      <c r="I576" s="35">
        <v>3</v>
      </c>
      <c r="J576" s="35">
        <v>3</v>
      </c>
      <c r="K576" s="31">
        <v>0.2</v>
      </c>
      <c r="L576" s="31" t="str" cm="1">
        <f t="array" ref="L576">_xlfn.IFS(K576&lt;0.15,"Cold",K576&lt;0.25,"Mild",K576&lt;=0.32,"Warm",K576&gt;=0.33,"Hot")</f>
        <v>Mild</v>
      </c>
      <c r="M576" s="36">
        <v>0.18179999999999999</v>
      </c>
      <c r="N576" s="36">
        <v>0.86</v>
      </c>
      <c r="O576" s="36" t="str" cm="1">
        <f t="array" ref="O576">_xlfn.IFS(N576&gt;0.61, "High Humidity", N576&gt;=0.6, "Humid", N576&gt;0.4, "Less Humidity", TRUE, "Dry")</f>
        <v>High Humidity</v>
      </c>
      <c r="P576" s="36">
        <v>0.28360000000000002</v>
      </c>
      <c r="Q576" s="36" t="str" cm="1">
        <f t="array" ref="Q576">_xlfn.IFS(P576&lt;=0.2,"Low Windspeed",P576&lt;0.4,"Medium Windspeed",P576&gt;=0.41,"High Windspeed")</f>
        <v>Medium Windspeed</v>
      </c>
      <c r="R576" s="36">
        <v>0</v>
      </c>
      <c r="S576" s="36">
        <v>1</v>
      </c>
      <c r="T576" s="37">
        <v>1</v>
      </c>
      <c r="U576" s="39" t="str" cm="1">
        <f t="array" ref="U576">_xlfn.IFS(T576&lt;=70,"Low",T576&lt;=160,"Medium",T576&gt;=161,"High")</f>
        <v>Low</v>
      </c>
    </row>
    <row r="577" spans="1:21" x14ac:dyDescent="0.25">
      <c r="A577" s="33">
        <v>576</v>
      </c>
      <c r="B577" s="34">
        <v>40569</v>
      </c>
      <c r="C577" s="35">
        <v>1</v>
      </c>
      <c r="D577" s="35">
        <v>0</v>
      </c>
      <c r="E577" s="35">
        <v>1</v>
      </c>
      <c r="F577" s="35">
        <v>6</v>
      </c>
      <c r="G577" s="35" t="str" cm="1">
        <f t="array" ref="G577">_xlfn.IFS(F577&lt;4,"Night",F577&lt;=6,"Early Morning",F577&lt;11,"Morning",F577&lt;12,"Afternoon",F577&lt;=16,"Afternoon",F577&lt;=20,"Evening",F577&gt;=21,"Night")</f>
        <v>Early Morning</v>
      </c>
      <c r="H577" s="35" t="b">
        <v>0</v>
      </c>
      <c r="I577" s="35">
        <v>3</v>
      </c>
      <c r="J577" s="35">
        <v>3</v>
      </c>
      <c r="K577" s="31">
        <v>0.2</v>
      </c>
      <c r="L577" s="31" t="str" cm="1">
        <f t="array" ref="L577">_xlfn.IFS(K577&lt;0.15,"Cold",K577&lt;0.25,"Mild",K577&lt;=0.32,"Warm",K577&gt;=0.33,"Hot")</f>
        <v>Mild</v>
      </c>
      <c r="M577" s="36">
        <v>0.18179999999999999</v>
      </c>
      <c r="N577" s="36">
        <v>0.86</v>
      </c>
      <c r="O577" s="36" t="str" cm="1">
        <f t="array" ref="O577">_xlfn.IFS(N577&gt;0.61, "High Humidity", N577&gt;=0.6, "Humid", N577&gt;0.4, "Less Humidity", TRUE, "Dry")</f>
        <v>High Humidity</v>
      </c>
      <c r="P577" s="36">
        <v>0.28360000000000002</v>
      </c>
      <c r="Q577" s="36" t="str" cm="1">
        <f t="array" ref="Q577">_xlfn.IFS(P577&lt;=0.2,"Low Windspeed",P577&lt;0.4,"Medium Windspeed",P577&gt;=0.41,"High Windspeed")</f>
        <v>Medium Windspeed</v>
      </c>
      <c r="R577" s="36">
        <v>0</v>
      </c>
      <c r="S577" s="36">
        <v>8</v>
      </c>
      <c r="T577" s="37">
        <v>8</v>
      </c>
      <c r="U577" s="39" t="str" cm="1">
        <f t="array" ref="U577">_xlfn.IFS(T577&lt;=70,"Low",T577&lt;=160,"Medium",T577&gt;=161,"High")</f>
        <v>Low</v>
      </c>
    </row>
    <row r="578" spans="1:21" x14ac:dyDescent="0.25">
      <c r="A578" s="33">
        <v>577</v>
      </c>
      <c r="B578" s="34">
        <v>40569</v>
      </c>
      <c r="C578" s="35">
        <v>1</v>
      </c>
      <c r="D578" s="35">
        <v>0</v>
      </c>
      <c r="E578" s="35">
        <v>1</v>
      </c>
      <c r="F578" s="35">
        <v>7</v>
      </c>
      <c r="G578" s="35" t="str" cm="1">
        <f t="array" ref="G578">_xlfn.IFS(F578&lt;4,"Night",F578&lt;=6,"Early Morning",F578&lt;11,"Morning",F578&lt;12,"Afternoon",F578&lt;=16,"Afternoon",F578&lt;=20,"Evening",F578&gt;=21,"Night")</f>
        <v>Morning</v>
      </c>
      <c r="H578" s="35" t="b">
        <v>0</v>
      </c>
      <c r="I578" s="35">
        <v>3</v>
      </c>
      <c r="J578" s="35">
        <v>3</v>
      </c>
      <c r="K578" s="31">
        <v>0.22</v>
      </c>
      <c r="L578" s="31" t="str" cm="1">
        <f t="array" ref="L578">_xlfn.IFS(K578&lt;0.15,"Cold",K578&lt;0.25,"Mild",K578&lt;=0.32,"Warm",K578&gt;=0.33,"Hot")</f>
        <v>Mild</v>
      </c>
      <c r="M578" s="36">
        <v>0.21210000000000001</v>
      </c>
      <c r="N578" s="36">
        <v>0.87</v>
      </c>
      <c r="O578" s="36" t="str" cm="1">
        <f t="array" ref="O578">_xlfn.IFS(N578&gt;0.61, "High Humidity", N578&gt;=0.6, "Humid", N578&gt;0.4, "Less Humidity", TRUE, "Dry")</f>
        <v>High Humidity</v>
      </c>
      <c r="P578" s="36">
        <v>0.29849999999999999</v>
      </c>
      <c r="Q578" s="36" t="str" cm="1">
        <f t="array" ref="Q578">_xlfn.IFS(P578&lt;=0.2,"Low Windspeed",P578&lt;0.4,"Medium Windspeed",P578&gt;=0.41,"High Windspeed")</f>
        <v>Medium Windspeed</v>
      </c>
      <c r="R578" s="36">
        <v>1</v>
      </c>
      <c r="S578" s="36">
        <v>29</v>
      </c>
      <c r="T578" s="37">
        <v>30</v>
      </c>
      <c r="U578" s="39" t="str" cm="1">
        <f t="array" ref="U578">_xlfn.IFS(T578&lt;=70,"Low",T578&lt;=160,"Medium",T578&gt;=161,"High")</f>
        <v>Low</v>
      </c>
    </row>
    <row r="579" spans="1:21" x14ac:dyDescent="0.25">
      <c r="A579" s="33">
        <v>578</v>
      </c>
      <c r="B579" s="34">
        <v>40569</v>
      </c>
      <c r="C579" s="35">
        <v>1</v>
      </c>
      <c r="D579" s="35">
        <v>0</v>
      </c>
      <c r="E579" s="35">
        <v>1</v>
      </c>
      <c r="F579" s="35">
        <v>8</v>
      </c>
      <c r="G579" s="35" t="str" cm="1">
        <f t="array" ref="G579">_xlfn.IFS(F579&lt;4,"Night",F579&lt;=6,"Early Morning",F579&lt;11,"Morning",F579&lt;12,"Afternoon",F579&lt;=16,"Afternoon",F579&lt;=20,"Evening",F579&gt;=21,"Night")</f>
        <v>Morning</v>
      </c>
      <c r="H579" s="35" t="b">
        <v>0</v>
      </c>
      <c r="I579" s="35">
        <v>3</v>
      </c>
      <c r="J579" s="35">
        <v>3</v>
      </c>
      <c r="K579" s="31">
        <v>0.22</v>
      </c>
      <c r="L579" s="31" t="str" cm="1">
        <f t="array" ref="L579">_xlfn.IFS(K579&lt;0.15,"Cold",K579&lt;0.25,"Mild",K579&lt;=0.32,"Warm",K579&gt;=0.33,"Hot")</f>
        <v>Mild</v>
      </c>
      <c r="M579" s="36">
        <v>0.21210000000000001</v>
      </c>
      <c r="N579" s="36">
        <v>0.87</v>
      </c>
      <c r="O579" s="36" t="str" cm="1">
        <f t="array" ref="O579">_xlfn.IFS(N579&gt;0.61, "High Humidity", N579&gt;=0.6, "Humid", N579&gt;0.4, "Less Humidity", TRUE, "Dry")</f>
        <v>High Humidity</v>
      </c>
      <c r="P579" s="36">
        <v>0.29849999999999999</v>
      </c>
      <c r="Q579" s="36" t="str" cm="1">
        <f t="array" ref="Q579">_xlfn.IFS(P579&lt;=0.2,"Low Windspeed",P579&lt;0.4,"Medium Windspeed",P579&gt;=0.41,"High Windspeed")</f>
        <v>Medium Windspeed</v>
      </c>
      <c r="R579" s="36">
        <v>3</v>
      </c>
      <c r="S579" s="36">
        <v>69</v>
      </c>
      <c r="T579" s="37">
        <v>72</v>
      </c>
      <c r="U579" s="39" t="str" cm="1">
        <f t="array" ref="U579">_xlfn.IFS(T579&lt;=70,"Low",T579&lt;=160,"Medium",T579&gt;=161,"High")</f>
        <v>Medium</v>
      </c>
    </row>
    <row r="580" spans="1:21" x14ac:dyDescent="0.25">
      <c r="A580" s="33">
        <v>579</v>
      </c>
      <c r="B580" s="34">
        <v>40569</v>
      </c>
      <c r="C580" s="35">
        <v>1</v>
      </c>
      <c r="D580" s="35">
        <v>0</v>
      </c>
      <c r="E580" s="35">
        <v>1</v>
      </c>
      <c r="F580" s="35">
        <v>9</v>
      </c>
      <c r="G580" s="35" t="str" cm="1">
        <f t="array" ref="G580">_xlfn.IFS(F580&lt;4,"Night",F580&lt;=6,"Early Morning",F580&lt;11,"Morning",F580&lt;12,"Afternoon",F580&lt;=16,"Afternoon",F580&lt;=20,"Evening",F580&gt;=21,"Night")</f>
        <v>Morning</v>
      </c>
      <c r="H580" s="35" t="b">
        <v>0</v>
      </c>
      <c r="I580" s="35">
        <v>3</v>
      </c>
      <c r="J580" s="35">
        <v>3</v>
      </c>
      <c r="K580" s="31">
        <v>0.22</v>
      </c>
      <c r="L580" s="31" t="str" cm="1">
        <f t="array" ref="L580">_xlfn.IFS(K580&lt;0.15,"Cold",K580&lt;0.25,"Mild",K580&lt;=0.32,"Warm",K580&gt;=0.33,"Hot")</f>
        <v>Mild</v>
      </c>
      <c r="M580" s="36">
        <v>0.21210000000000001</v>
      </c>
      <c r="N580" s="36">
        <v>0.87</v>
      </c>
      <c r="O580" s="36" t="str" cm="1">
        <f t="array" ref="O580">_xlfn.IFS(N580&gt;0.61, "High Humidity", N580&gt;=0.6, "Humid", N580&gt;0.4, "Less Humidity", TRUE, "Dry")</f>
        <v>High Humidity</v>
      </c>
      <c r="P580" s="36">
        <v>0.29849999999999999</v>
      </c>
      <c r="Q580" s="36" t="str" cm="1">
        <f t="array" ref="Q580">_xlfn.IFS(P580&lt;=0.2,"Low Windspeed",P580&lt;0.4,"Medium Windspeed",P580&gt;=0.41,"High Windspeed")</f>
        <v>Medium Windspeed</v>
      </c>
      <c r="R580" s="36">
        <v>3</v>
      </c>
      <c r="S580" s="36">
        <v>55</v>
      </c>
      <c r="T580" s="37">
        <v>58</v>
      </c>
      <c r="U580" s="39" t="str" cm="1">
        <f t="array" ref="U580">_xlfn.IFS(T580&lt;=70,"Low",T580&lt;=160,"Medium",T580&gt;=161,"High")</f>
        <v>Low</v>
      </c>
    </row>
    <row r="581" spans="1:21" x14ac:dyDescent="0.25">
      <c r="A581" s="33">
        <v>580</v>
      </c>
      <c r="B581" s="34">
        <v>40569</v>
      </c>
      <c r="C581" s="35">
        <v>1</v>
      </c>
      <c r="D581" s="35">
        <v>0</v>
      </c>
      <c r="E581" s="35">
        <v>1</v>
      </c>
      <c r="F581" s="35">
        <v>10</v>
      </c>
      <c r="G581" s="35" t="str" cm="1">
        <f t="array" ref="G581">_xlfn.IFS(F581&lt;4,"Night",F581&lt;=6,"Early Morning",F581&lt;11,"Morning",F581&lt;12,"Afternoon",F581&lt;=16,"Afternoon",F581&lt;=20,"Evening",F581&gt;=21,"Night")</f>
        <v>Morning</v>
      </c>
      <c r="H581" s="35" t="b">
        <v>0</v>
      </c>
      <c r="I581" s="35">
        <v>3</v>
      </c>
      <c r="J581" s="35">
        <v>3</v>
      </c>
      <c r="K581" s="31">
        <v>0.22</v>
      </c>
      <c r="L581" s="31" t="str" cm="1">
        <f t="array" ref="L581">_xlfn.IFS(K581&lt;0.15,"Cold",K581&lt;0.25,"Mild",K581&lt;=0.32,"Warm",K581&gt;=0.33,"Hot")</f>
        <v>Mild</v>
      </c>
      <c r="M581" s="36">
        <v>0.21210000000000001</v>
      </c>
      <c r="N581" s="36">
        <v>0.93</v>
      </c>
      <c r="O581" s="36" t="str" cm="1">
        <f t="array" ref="O581">_xlfn.IFS(N581&gt;0.61, "High Humidity", N581&gt;=0.6, "Humid", N581&gt;0.4, "Less Humidity", TRUE, "Dry")</f>
        <v>High Humidity</v>
      </c>
      <c r="P581" s="36">
        <v>0.28360000000000002</v>
      </c>
      <c r="Q581" s="36" t="str" cm="1">
        <f t="array" ref="Q581">_xlfn.IFS(P581&lt;=0.2,"Low Windspeed",P581&lt;0.4,"Medium Windspeed",P581&gt;=0.41,"High Windspeed")</f>
        <v>Medium Windspeed</v>
      </c>
      <c r="R581" s="36">
        <v>2</v>
      </c>
      <c r="S581" s="36">
        <v>26</v>
      </c>
      <c r="T581" s="37">
        <v>28</v>
      </c>
      <c r="U581" s="39" t="str" cm="1">
        <f t="array" ref="U581">_xlfn.IFS(T581&lt;=70,"Low",T581&lt;=160,"Medium",T581&gt;=161,"High")</f>
        <v>Low</v>
      </c>
    </row>
    <row r="582" spans="1:21" x14ac:dyDescent="0.25">
      <c r="A582" s="33">
        <v>581</v>
      </c>
      <c r="B582" s="34">
        <v>40569</v>
      </c>
      <c r="C582" s="35">
        <v>1</v>
      </c>
      <c r="D582" s="35">
        <v>0</v>
      </c>
      <c r="E582" s="35">
        <v>1</v>
      </c>
      <c r="F582" s="35">
        <v>11</v>
      </c>
      <c r="G582" s="35" t="str" cm="1">
        <f t="array" ref="G582">_xlfn.IFS(F582&lt;4,"Night",F582&lt;=6,"Early Morning",F582&lt;11,"Morning",F582&lt;12,"Afternoon",F582&lt;=16,"Afternoon",F582&lt;=20,"Evening",F582&gt;=21,"Night")</f>
        <v>Afternoon</v>
      </c>
      <c r="H582" s="35" t="b">
        <v>0</v>
      </c>
      <c r="I582" s="35">
        <v>3</v>
      </c>
      <c r="J582" s="35">
        <v>3</v>
      </c>
      <c r="K582" s="31">
        <v>0.22</v>
      </c>
      <c r="L582" s="31" t="str" cm="1">
        <f t="array" ref="L582">_xlfn.IFS(K582&lt;0.15,"Cold",K582&lt;0.25,"Mild",K582&lt;=0.32,"Warm",K582&gt;=0.33,"Hot")</f>
        <v>Mild</v>
      </c>
      <c r="M582" s="36">
        <v>0.19700000000000001</v>
      </c>
      <c r="N582" s="36">
        <v>0.93</v>
      </c>
      <c r="O582" s="36" t="str" cm="1">
        <f t="array" ref="O582">_xlfn.IFS(N582&gt;0.61, "High Humidity", N582&gt;=0.6, "Humid", N582&gt;0.4, "Less Humidity", TRUE, "Dry")</f>
        <v>High Humidity</v>
      </c>
      <c r="P582" s="36">
        <v>0.32840000000000003</v>
      </c>
      <c r="Q582" s="36" t="str" cm="1">
        <f t="array" ref="Q582">_xlfn.IFS(P582&lt;=0.2,"Low Windspeed",P582&lt;0.4,"Medium Windspeed",P582&gt;=0.41,"High Windspeed")</f>
        <v>Medium Windspeed</v>
      </c>
      <c r="R582" s="36">
        <v>6</v>
      </c>
      <c r="S582" s="36">
        <v>35</v>
      </c>
      <c r="T582" s="37">
        <v>41</v>
      </c>
      <c r="U582" s="39" t="str" cm="1">
        <f t="array" ref="U582">_xlfn.IFS(T582&lt;=70,"Low",T582&lt;=160,"Medium",T582&gt;=161,"High")</f>
        <v>Low</v>
      </c>
    </row>
    <row r="583" spans="1:21" x14ac:dyDescent="0.25">
      <c r="A583" s="33">
        <v>582</v>
      </c>
      <c r="B583" s="34">
        <v>40569</v>
      </c>
      <c r="C583" s="35">
        <v>1</v>
      </c>
      <c r="D583" s="35">
        <v>0</v>
      </c>
      <c r="E583" s="35">
        <v>1</v>
      </c>
      <c r="F583" s="35">
        <v>12</v>
      </c>
      <c r="G583" s="35" t="str" cm="1">
        <f t="array" ref="G583">_xlfn.IFS(F583&lt;4,"Night",F583&lt;=6,"Early Morning",F583&lt;11,"Morning",F583&lt;12,"Afternoon",F583&lt;=16,"Afternoon",F583&lt;=20,"Evening",F583&gt;=21,"Night")</f>
        <v>Afternoon</v>
      </c>
      <c r="H583" s="35" t="b">
        <v>0</v>
      </c>
      <c r="I583" s="35">
        <v>3</v>
      </c>
      <c r="J583" s="35">
        <v>3</v>
      </c>
      <c r="K583" s="31">
        <v>0.22</v>
      </c>
      <c r="L583" s="31" t="str" cm="1">
        <f t="array" ref="L583">_xlfn.IFS(K583&lt;0.15,"Cold",K583&lt;0.25,"Mild",K583&lt;=0.32,"Warm",K583&gt;=0.33,"Hot")</f>
        <v>Mild</v>
      </c>
      <c r="M583" s="36">
        <v>0.19700000000000001</v>
      </c>
      <c r="N583" s="36">
        <v>0.93</v>
      </c>
      <c r="O583" s="36" t="str" cm="1">
        <f t="array" ref="O583">_xlfn.IFS(N583&gt;0.61, "High Humidity", N583&gt;=0.6, "Humid", N583&gt;0.4, "Less Humidity", TRUE, "Dry")</f>
        <v>High Humidity</v>
      </c>
      <c r="P583" s="36">
        <v>0.32840000000000003</v>
      </c>
      <c r="Q583" s="36" t="str" cm="1">
        <f t="array" ref="Q583">_xlfn.IFS(P583&lt;=0.2,"Low Windspeed",P583&lt;0.4,"Medium Windspeed",P583&gt;=0.41,"High Windspeed")</f>
        <v>Medium Windspeed</v>
      </c>
      <c r="R583" s="36">
        <v>7</v>
      </c>
      <c r="S583" s="36">
        <v>41</v>
      </c>
      <c r="T583" s="37">
        <v>48</v>
      </c>
      <c r="U583" s="39" t="str" cm="1">
        <f t="array" ref="U583">_xlfn.IFS(T583&lt;=70,"Low",T583&lt;=160,"Medium",T583&gt;=161,"High")</f>
        <v>Low</v>
      </c>
    </row>
    <row r="584" spans="1:21" x14ac:dyDescent="0.25">
      <c r="A584" s="33">
        <v>583</v>
      </c>
      <c r="B584" s="34">
        <v>40569</v>
      </c>
      <c r="C584" s="35">
        <v>1</v>
      </c>
      <c r="D584" s="35">
        <v>0</v>
      </c>
      <c r="E584" s="35">
        <v>1</v>
      </c>
      <c r="F584" s="35">
        <v>13</v>
      </c>
      <c r="G584" s="35" t="str" cm="1">
        <f t="array" ref="G584">_xlfn.IFS(F584&lt;4,"Night",F584&lt;=6,"Early Morning",F584&lt;11,"Morning",F584&lt;12,"Afternoon",F584&lt;=16,"Afternoon",F584&lt;=20,"Evening",F584&gt;=21,"Night")</f>
        <v>Afternoon</v>
      </c>
      <c r="H584" s="35" t="b">
        <v>0</v>
      </c>
      <c r="I584" s="35">
        <v>3</v>
      </c>
      <c r="J584" s="35">
        <v>3</v>
      </c>
      <c r="K584" s="31">
        <v>0.22</v>
      </c>
      <c r="L584" s="31" t="str" cm="1">
        <f t="array" ref="L584">_xlfn.IFS(K584&lt;0.15,"Cold",K584&lt;0.25,"Mild",K584&lt;=0.32,"Warm",K584&gt;=0.33,"Hot")</f>
        <v>Mild</v>
      </c>
      <c r="M584" s="36">
        <v>0.19700000000000001</v>
      </c>
      <c r="N584" s="36">
        <v>0.93</v>
      </c>
      <c r="O584" s="36" t="str" cm="1">
        <f t="array" ref="O584">_xlfn.IFS(N584&gt;0.61, "High Humidity", N584&gt;=0.6, "Humid", N584&gt;0.4, "Less Humidity", TRUE, "Dry")</f>
        <v>High Humidity</v>
      </c>
      <c r="P584" s="36">
        <v>0.32840000000000003</v>
      </c>
      <c r="Q584" s="36" t="str" cm="1">
        <f t="array" ref="Q584">_xlfn.IFS(P584&lt;=0.2,"Low Windspeed",P584&lt;0.4,"Medium Windspeed",P584&gt;=0.41,"High Windspeed")</f>
        <v>Medium Windspeed</v>
      </c>
      <c r="R584" s="36">
        <v>4</v>
      </c>
      <c r="S584" s="36">
        <v>43</v>
      </c>
      <c r="T584" s="37">
        <v>47</v>
      </c>
      <c r="U584" s="39" t="str" cm="1">
        <f t="array" ref="U584">_xlfn.IFS(T584&lt;=70,"Low",T584&lt;=160,"Medium",T584&gt;=161,"High")</f>
        <v>Low</v>
      </c>
    </row>
    <row r="585" spans="1:21" x14ac:dyDescent="0.25">
      <c r="A585" s="33">
        <v>584</v>
      </c>
      <c r="B585" s="34">
        <v>40569</v>
      </c>
      <c r="C585" s="35">
        <v>1</v>
      </c>
      <c r="D585" s="35">
        <v>0</v>
      </c>
      <c r="E585" s="35">
        <v>1</v>
      </c>
      <c r="F585" s="35">
        <v>14</v>
      </c>
      <c r="G585" s="35" t="str" cm="1">
        <f t="array" ref="G585">_xlfn.IFS(F585&lt;4,"Night",F585&lt;=6,"Early Morning",F585&lt;11,"Morning",F585&lt;12,"Afternoon",F585&lt;=16,"Afternoon",F585&lt;=20,"Evening",F585&gt;=21,"Night")</f>
        <v>Afternoon</v>
      </c>
      <c r="H585" s="35" t="b">
        <v>0</v>
      </c>
      <c r="I585" s="35">
        <v>3</v>
      </c>
      <c r="J585" s="35">
        <v>3</v>
      </c>
      <c r="K585" s="31">
        <v>0.22</v>
      </c>
      <c r="L585" s="31" t="str" cm="1">
        <f t="array" ref="L585">_xlfn.IFS(K585&lt;0.15,"Cold",K585&lt;0.25,"Mild",K585&lt;=0.32,"Warm",K585&gt;=0.33,"Hot")</f>
        <v>Mild</v>
      </c>
      <c r="M585" s="36">
        <v>0.19700000000000001</v>
      </c>
      <c r="N585" s="36">
        <v>0.93</v>
      </c>
      <c r="O585" s="36" t="str" cm="1">
        <f t="array" ref="O585">_xlfn.IFS(N585&gt;0.61, "High Humidity", N585&gt;=0.6, "Humid", N585&gt;0.4, "Less Humidity", TRUE, "Dry")</f>
        <v>High Humidity</v>
      </c>
      <c r="P585" s="36">
        <v>0.35820000000000002</v>
      </c>
      <c r="Q585" s="36" t="str" cm="1">
        <f t="array" ref="Q585">_xlfn.IFS(P585&lt;=0.2,"Low Windspeed",P585&lt;0.4,"Medium Windspeed",P585&gt;=0.41,"High Windspeed")</f>
        <v>Medium Windspeed</v>
      </c>
      <c r="R585" s="36">
        <v>0</v>
      </c>
      <c r="S585" s="36">
        <v>36</v>
      </c>
      <c r="T585" s="37">
        <v>36</v>
      </c>
      <c r="U585" s="39" t="str" cm="1">
        <f t="array" ref="U585">_xlfn.IFS(T585&lt;=70,"Low",T585&lt;=160,"Medium",T585&gt;=161,"High")</f>
        <v>Low</v>
      </c>
    </row>
    <row r="586" spans="1:21" x14ac:dyDescent="0.25">
      <c r="A586" s="33">
        <v>585</v>
      </c>
      <c r="B586" s="34">
        <v>40569</v>
      </c>
      <c r="C586" s="35">
        <v>1</v>
      </c>
      <c r="D586" s="35">
        <v>0</v>
      </c>
      <c r="E586" s="35">
        <v>1</v>
      </c>
      <c r="F586" s="35">
        <v>15</v>
      </c>
      <c r="G586" s="35" t="str" cm="1">
        <f t="array" ref="G586">_xlfn.IFS(F586&lt;4,"Night",F586&lt;=6,"Early Morning",F586&lt;11,"Morning",F586&lt;12,"Afternoon",F586&lt;=16,"Afternoon",F586&lt;=20,"Evening",F586&gt;=21,"Night")</f>
        <v>Afternoon</v>
      </c>
      <c r="H586" s="35" t="b">
        <v>0</v>
      </c>
      <c r="I586" s="35">
        <v>3</v>
      </c>
      <c r="J586" s="35">
        <v>3</v>
      </c>
      <c r="K586" s="31">
        <v>0.22</v>
      </c>
      <c r="L586" s="31" t="str" cm="1">
        <f t="array" ref="L586">_xlfn.IFS(K586&lt;0.15,"Cold",K586&lt;0.25,"Mild",K586&lt;=0.32,"Warm",K586&gt;=0.33,"Hot")</f>
        <v>Mild</v>
      </c>
      <c r="M586" s="36">
        <v>0.18179999999999999</v>
      </c>
      <c r="N586" s="36">
        <v>0.93</v>
      </c>
      <c r="O586" s="36" t="str" cm="1">
        <f t="array" ref="O586">_xlfn.IFS(N586&gt;0.61, "High Humidity", N586&gt;=0.6, "Humid", N586&gt;0.4, "Less Humidity", TRUE, "Dry")</f>
        <v>High Humidity</v>
      </c>
      <c r="P586" s="36">
        <v>0.4627</v>
      </c>
      <c r="Q586" s="36" t="str" cm="1">
        <f t="array" ref="Q586">_xlfn.IFS(P586&lt;=0.2,"Low Windspeed",P586&lt;0.4,"Medium Windspeed",P586&gt;=0.41,"High Windspeed")</f>
        <v>High Windspeed</v>
      </c>
      <c r="R586" s="36">
        <v>1</v>
      </c>
      <c r="S586" s="36">
        <v>42</v>
      </c>
      <c r="T586" s="37">
        <v>43</v>
      </c>
      <c r="U586" s="39" t="str" cm="1">
        <f t="array" ref="U586">_xlfn.IFS(T586&lt;=70,"Low",T586&lt;=160,"Medium",T586&gt;=161,"High")</f>
        <v>Low</v>
      </c>
    </row>
    <row r="587" spans="1:21" x14ac:dyDescent="0.25">
      <c r="A587" s="33">
        <v>586</v>
      </c>
      <c r="B587" s="34">
        <v>40569</v>
      </c>
      <c r="C587" s="35">
        <v>1</v>
      </c>
      <c r="D587" s="35">
        <v>0</v>
      </c>
      <c r="E587" s="35">
        <v>1</v>
      </c>
      <c r="F587" s="35">
        <v>16</v>
      </c>
      <c r="G587" s="35" t="str" cm="1">
        <f t="array" ref="G587">_xlfn.IFS(F587&lt;4,"Night",F587&lt;=6,"Early Morning",F587&lt;11,"Morning",F587&lt;12,"Afternoon",F587&lt;=16,"Afternoon",F587&lt;=20,"Evening",F587&gt;=21,"Night")</f>
        <v>Afternoon</v>
      </c>
      <c r="H587" s="35" t="b">
        <v>0</v>
      </c>
      <c r="I587" s="35">
        <v>3</v>
      </c>
      <c r="J587" s="35">
        <v>4</v>
      </c>
      <c r="K587" s="31">
        <v>0.22</v>
      </c>
      <c r="L587" s="31" t="str" cm="1">
        <f t="array" ref="L587">_xlfn.IFS(K587&lt;0.15,"Cold",K587&lt;0.25,"Mild",K587&lt;=0.32,"Warm",K587&gt;=0.33,"Hot")</f>
        <v>Mild</v>
      </c>
      <c r="M587" s="36">
        <v>0.19700000000000001</v>
      </c>
      <c r="N587" s="36">
        <v>0.93</v>
      </c>
      <c r="O587" s="36" t="str" cm="1">
        <f t="array" ref="O587">_xlfn.IFS(N587&gt;0.61, "High Humidity", N587&gt;=0.6, "Humid", N587&gt;0.4, "Less Humidity", TRUE, "Dry")</f>
        <v>High Humidity</v>
      </c>
      <c r="P587" s="36">
        <v>0.32840000000000003</v>
      </c>
      <c r="Q587" s="36" t="str" cm="1">
        <f t="array" ref="Q587">_xlfn.IFS(P587&lt;=0.2,"Low Windspeed",P587&lt;0.4,"Medium Windspeed",P587&gt;=0.41,"High Windspeed")</f>
        <v>Medium Windspeed</v>
      </c>
      <c r="R587" s="36">
        <v>1</v>
      </c>
      <c r="S587" s="36">
        <v>35</v>
      </c>
      <c r="T587" s="37">
        <v>36</v>
      </c>
      <c r="U587" s="39" t="str" cm="1">
        <f t="array" ref="U587">_xlfn.IFS(T587&lt;=70,"Low",T587&lt;=160,"Medium",T587&gt;=161,"High")</f>
        <v>Low</v>
      </c>
    </row>
    <row r="588" spans="1:21" x14ac:dyDescent="0.25">
      <c r="A588" s="33">
        <v>587</v>
      </c>
      <c r="B588" s="34">
        <v>40569</v>
      </c>
      <c r="C588" s="35">
        <v>1</v>
      </c>
      <c r="D588" s="35">
        <v>0</v>
      </c>
      <c r="E588" s="35">
        <v>1</v>
      </c>
      <c r="F588" s="35">
        <v>17</v>
      </c>
      <c r="G588" s="35" t="str" cm="1">
        <f t="array" ref="G588">_xlfn.IFS(F588&lt;4,"Night",F588&lt;=6,"Early Morning",F588&lt;11,"Morning",F588&lt;12,"Afternoon",F588&lt;=16,"Afternoon",F588&lt;=20,"Evening",F588&gt;=21,"Night")</f>
        <v>Evening</v>
      </c>
      <c r="H588" s="35" t="b">
        <v>0</v>
      </c>
      <c r="I588" s="35">
        <v>3</v>
      </c>
      <c r="J588" s="35">
        <v>3</v>
      </c>
      <c r="K588" s="31">
        <v>0.2</v>
      </c>
      <c r="L588" s="31" t="str" cm="1">
        <f t="array" ref="L588">_xlfn.IFS(K588&lt;0.15,"Cold",K588&lt;0.25,"Mild",K588&lt;=0.32,"Warm",K588&gt;=0.33,"Hot")</f>
        <v>Mild</v>
      </c>
      <c r="M588" s="36">
        <v>0.18179999999999999</v>
      </c>
      <c r="N588" s="36">
        <v>0.93</v>
      </c>
      <c r="O588" s="36" t="str" cm="1">
        <f t="array" ref="O588">_xlfn.IFS(N588&gt;0.61, "High Humidity", N588&gt;=0.6, "Humid", N588&gt;0.4, "Less Humidity", TRUE, "Dry")</f>
        <v>High Humidity</v>
      </c>
      <c r="P588" s="36">
        <v>0.35820000000000002</v>
      </c>
      <c r="Q588" s="36" t="str" cm="1">
        <f t="array" ref="Q588">_xlfn.IFS(P588&lt;=0.2,"Low Windspeed",P588&lt;0.4,"Medium Windspeed",P588&gt;=0.41,"High Windspeed")</f>
        <v>Medium Windspeed</v>
      </c>
      <c r="R588" s="36">
        <v>0</v>
      </c>
      <c r="S588" s="36">
        <v>26</v>
      </c>
      <c r="T588" s="37">
        <v>26</v>
      </c>
      <c r="U588" s="39" t="str" cm="1">
        <f t="array" ref="U588">_xlfn.IFS(T588&lt;=70,"Low",T588&lt;=160,"Medium",T588&gt;=161,"High")</f>
        <v>Low</v>
      </c>
    </row>
    <row r="589" spans="1:21" x14ac:dyDescent="0.25">
      <c r="A589" s="33">
        <v>588</v>
      </c>
      <c r="B589" s="34">
        <v>40570</v>
      </c>
      <c r="C589" s="35">
        <v>1</v>
      </c>
      <c r="D589" s="35">
        <v>0</v>
      </c>
      <c r="E589" s="35">
        <v>1</v>
      </c>
      <c r="F589" s="35">
        <v>16</v>
      </c>
      <c r="G589" s="35" t="str" cm="1">
        <f t="array" ref="G589">_xlfn.IFS(F589&lt;4,"Night",F589&lt;=6,"Early Morning",F589&lt;11,"Morning",F589&lt;12,"Afternoon",F589&lt;=16,"Afternoon",F589&lt;=20,"Evening",F589&gt;=21,"Night")</f>
        <v>Afternoon</v>
      </c>
      <c r="H589" s="35" t="b">
        <v>0</v>
      </c>
      <c r="I589" s="35">
        <v>4</v>
      </c>
      <c r="J589" s="35">
        <v>1</v>
      </c>
      <c r="K589" s="31">
        <v>0.22</v>
      </c>
      <c r="L589" s="31" t="str" cm="1">
        <f t="array" ref="L589">_xlfn.IFS(K589&lt;0.15,"Cold",K589&lt;0.25,"Mild",K589&lt;=0.32,"Warm",K589&gt;=0.33,"Hot")</f>
        <v>Mild</v>
      </c>
      <c r="M589" s="36">
        <v>0.2273</v>
      </c>
      <c r="N589" s="36">
        <v>0.55000000000000004</v>
      </c>
      <c r="O589" s="36" t="str" cm="1">
        <f t="array" ref="O589">_xlfn.IFS(N589&gt;0.61, "High Humidity", N589&gt;=0.6, "Humid", N589&gt;0.4, "Less Humidity", TRUE, "Dry")</f>
        <v>Less Humidity</v>
      </c>
      <c r="P589" s="36">
        <v>0.19400000000000001</v>
      </c>
      <c r="Q589" s="36" t="str" cm="1">
        <f t="array" ref="Q589">_xlfn.IFS(P589&lt;=0.2,"Low Windspeed",P589&lt;0.4,"Medium Windspeed",P589&gt;=0.41,"High Windspeed")</f>
        <v>Low Windspeed</v>
      </c>
      <c r="R589" s="36">
        <v>1</v>
      </c>
      <c r="S589" s="36">
        <v>23</v>
      </c>
      <c r="T589" s="37">
        <v>24</v>
      </c>
      <c r="U589" s="39" t="str" cm="1">
        <f t="array" ref="U589">_xlfn.IFS(T589&lt;=70,"Low",T589&lt;=160,"Medium",T589&gt;=161,"High")</f>
        <v>Low</v>
      </c>
    </row>
    <row r="590" spans="1:21" x14ac:dyDescent="0.25">
      <c r="A590" s="33">
        <v>589</v>
      </c>
      <c r="B590" s="34">
        <v>40570</v>
      </c>
      <c r="C590" s="35">
        <v>1</v>
      </c>
      <c r="D590" s="35">
        <v>0</v>
      </c>
      <c r="E590" s="35">
        <v>1</v>
      </c>
      <c r="F590" s="35">
        <v>17</v>
      </c>
      <c r="G590" s="35" t="str" cm="1">
        <f t="array" ref="G590">_xlfn.IFS(F590&lt;4,"Night",F590&lt;=6,"Early Morning",F590&lt;11,"Morning",F590&lt;12,"Afternoon",F590&lt;=16,"Afternoon",F590&lt;=20,"Evening",F590&gt;=21,"Night")</f>
        <v>Evening</v>
      </c>
      <c r="H590" s="35" t="b">
        <v>0</v>
      </c>
      <c r="I590" s="35">
        <v>4</v>
      </c>
      <c r="J590" s="35">
        <v>1</v>
      </c>
      <c r="K590" s="31">
        <v>0.22</v>
      </c>
      <c r="L590" s="31" t="str" cm="1">
        <f t="array" ref="L590">_xlfn.IFS(K590&lt;0.15,"Cold",K590&lt;0.25,"Mild",K590&lt;=0.32,"Warm",K590&gt;=0.33,"Hot")</f>
        <v>Mild</v>
      </c>
      <c r="M590" s="36">
        <v>0.2424</v>
      </c>
      <c r="N590" s="36">
        <v>0.55000000000000004</v>
      </c>
      <c r="O590" s="36" t="str" cm="1">
        <f t="array" ref="O590">_xlfn.IFS(N590&gt;0.61, "High Humidity", N590&gt;=0.6, "Humid", N590&gt;0.4, "Less Humidity", TRUE, "Dry")</f>
        <v>Less Humidity</v>
      </c>
      <c r="P590" s="36">
        <v>0.1045</v>
      </c>
      <c r="Q590" s="36" t="str" cm="1">
        <f t="array" ref="Q590">_xlfn.IFS(P590&lt;=0.2,"Low Windspeed",P590&lt;0.4,"Medium Windspeed",P590&gt;=0.41,"High Windspeed")</f>
        <v>Low Windspeed</v>
      </c>
      <c r="R590" s="36">
        <v>2</v>
      </c>
      <c r="S590" s="36">
        <v>82</v>
      </c>
      <c r="T590" s="37">
        <v>84</v>
      </c>
      <c r="U590" s="39" t="str" cm="1">
        <f t="array" ref="U590">_xlfn.IFS(T590&lt;=70,"Low",T590&lt;=160,"Medium",T590&gt;=161,"High")</f>
        <v>Medium</v>
      </c>
    </row>
    <row r="591" spans="1:21" x14ac:dyDescent="0.25">
      <c r="A591" s="33">
        <v>590</v>
      </c>
      <c r="B591" s="34">
        <v>40570</v>
      </c>
      <c r="C591" s="35">
        <v>1</v>
      </c>
      <c r="D591" s="35">
        <v>0</v>
      </c>
      <c r="E591" s="35">
        <v>1</v>
      </c>
      <c r="F591" s="35">
        <v>18</v>
      </c>
      <c r="G591" s="35" t="str" cm="1">
        <f t="array" ref="G591">_xlfn.IFS(F591&lt;4,"Night",F591&lt;=6,"Early Morning",F591&lt;11,"Morning",F591&lt;12,"Afternoon",F591&lt;=16,"Afternoon",F591&lt;=20,"Evening",F591&gt;=21,"Night")</f>
        <v>Evening</v>
      </c>
      <c r="H591" s="35" t="b">
        <v>0</v>
      </c>
      <c r="I591" s="35">
        <v>4</v>
      </c>
      <c r="J591" s="35">
        <v>1</v>
      </c>
      <c r="K591" s="31">
        <v>0.2</v>
      </c>
      <c r="L591" s="31" t="str" cm="1">
        <f t="array" ref="L591">_xlfn.IFS(K591&lt;0.15,"Cold",K591&lt;0.25,"Mild",K591&lt;=0.32,"Warm",K591&gt;=0.33,"Hot")</f>
        <v>Mild</v>
      </c>
      <c r="M591" s="36">
        <v>0.2273</v>
      </c>
      <c r="N591" s="36">
        <v>0.69</v>
      </c>
      <c r="O591" s="36" t="str" cm="1">
        <f t="array" ref="O591">_xlfn.IFS(N591&gt;0.61, "High Humidity", N591&gt;=0.6, "Humid", N591&gt;0.4, "Less Humidity", TRUE, "Dry")</f>
        <v>High Humidity</v>
      </c>
      <c r="P591" s="36">
        <v>8.9599999999999999E-2</v>
      </c>
      <c r="Q591" s="36" t="str" cm="1">
        <f t="array" ref="Q591">_xlfn.IFS(P591&lt;=0.2,"Low Windspeed",P591&lt;0.4,"Medium Windspeed",P591&gt;=0.41,"High Windspeed")</f>
        <v>Low Windspeed</v>
      </c>
      <c r="R591" s="36">
        <v>3</v>
      </c>
      <c r="S591" s="36">
        <v>101</v>
      </c>
      <c r="T591" s="37">
        <v>104</v>
      </c>
      <c r="U591" s="39" t="str" cm="1">
        <f t="array" ref="U591">_xlfn.IFS(T591&lt;=70,"Low",T591&lt;=160,"Medium",T591&gt;=161,"High")</f>
        <v>Medium</v>
      </c>
    </row>
    <row r="592" spans="1:21" x14ac:dyDescent="0.25">
      <c r="A592" s="33">
        <v>591</v>
      </c>
      <c r="B592" s="34">
        <v>40570</v>
      </c>
      <c r="C592" s="35">
        <v>1</v>
      </c>
      <c r="D592" s="35">
        <v>0</v>
      </c>
      <c r="E592" s="35">
        <v>1</v>
      </c>
      <c r="F592" s="35">
        <v>19</v>
      </c>
      <c r="G592" s="35" t="str" cm="1">
        <f t="array" ref="G592">_xlfn.IFS(F592&lt;4,"Night",F592&lt;=6,"Early Morning",F592&lt;11,"Morning",F592&lt;12,"Afternoon",F592&lt;=16,"Afternoon",F592&lt;=20,"Evening",F592&gt;=21,"Night")</f>
        <v>Evening</v>
      </c>
      <c r="H592" s="35" t="b">
        <v>0</v>
      </c>
      <c r="I592" s="35">
        <v>4</v>
      </c>
      <c r="J592" s="35">
        <v>1</v>
      </c>
      <c r="K592" s="31">
        <v>0.2</v>
      </c>
      <c r="L592" s="31" t="str" cm="1">
        <f t="array" ref="L592">_xlfn.IFS(K592&lt;0.15,"Cold",K592&lt;0.25,"Mild",K592&lt;=0.32,"Warm",K592&gt;=0.33,"Hot")</f>
        <v>Mild</v>
      </c>
      <c r="M592" s="36">
        <v>0.2273</v>
      </c>
      <c r="N592" s="36">
        <v>0.69</v>
      </c>
      <c r="O592" s="36" t="str" cm="1">
        <f t="array" ref="O592">_xlfn.IFS(N592&gt;0.61, "High Humidity", N592&gt;=0.6, "Humid", N592&gt;0.4, "Less Humidity", TRUE, "Dry")</f>
        <v>High Humidity</v>
      </c>
      <c r="P592" s="36">
        <v>8.9599999999999999E-2</v>
      </c>
      <c r="Q592" s="36" t="str" cm="1">
        <f t="array" ref="Q592">_xlfn.IFS(P592&lt;=0.2,"Low Windspeed",P592&lt;0.4,"Medium Windspeed",P592&gt;=0.41,"High Windspeed")</f>
        <v>Low Windspeed</v>
      </c>
      <c r="R592" s="36">
        <v>3</v>
      </c>
      <c r="S592" s="36">
        <v>76</v>
      </c>
      <c r="T592" s="37">
        <v>79</v>
      </c>
      <c r="U592" s="39" t="str" cm="1">
        <f t="array" ref="U592">_xlfn.IFS(T592&lt;=70,"Low",T592&lt;=160,"Medium",T592&gt;=161,"High")</f>
        <v>Medium</v>
      </c>
    </row>
    <row r="593" spans="1:21" x14ac:dyDescent="0.25">
      <c r="A593" s="33">
        <v>592</v>
      </c>
      <c r="B593" s="34">
        <v>40570</v>
      </c>
      <c r="C593" s="35">
        <v>1</v>
      </c>
      <c r="D593" s="35">
        <v>0</v>
      </c>
      <c r="E593" s="35">
        <v>1</v>
      </c>
      <c r="F593" s="35">
        <v>20</v>
      </c>
      <c r="G593" s="35" t="str" cm="1">
        <f t="array" ref="G593">_xlfn.IFS(F593&lt;4,"Night",F593&lt;=6,"Early Morning",F593&lt;11,"Morning",F593&lt;12,"Afternoon",F593&lt;=16,"Afternoon",F593&lt;=20,"Evening",F593&gt;=21,"Night")</f>
        <v>Evening</v>
      </c>
      <c r="H593" s="35" t="b">
        <v>0</v>
      </c>
      <c r="I593" s="35">
        <v>4</v>
      </c>
      <c r="J593" s="35">
        <v>1</v>
      </c>
      <c r="K593" s="31">
        <v>0.18</v>
      </c>
      <c r="L593" s="31" t="str" cm="1">
        <f t="array" ref="L593">_xlfn.IFS(K593&lt;0.15,"Cold",K593&lt;0.25,"Mild",K593&lt;=0.32,"Warm",K593&gt;=0.33,"Hot")</f>
        <v>Mild</v>
      </c>
      <c r="M593" s="36">
        <v>0.21210000000000001</v>
      </c>
      <c r="N593" s="36">
        <v>0.74</v>
      </c>
      <c r="O593" s="36" t="str" cm="1">
        <f t="array" ref="O593">_xlfn.IFS(N593&gt;0.61, "High Humidity", N593&gt;=0.6, "Humid", N593&gt;0.4, "Less Humidity", TRUE, "Dry")</f>
        <v>High Humidity</v>
      </c>
      <c r="P593" s="36">
        <v>8.9599999999999999E-2</v>
      </c>
      <c r="Q593" s="36" t="str" cm="1">
        <f t="array" ref="Q593">_xlfn.IFS(P593&lt;=0.2,"Low Windspeed",P593&lt;0.4,"Medium Windspeed",P593&gt;=0.41,"High Windspeed")</f>
        <v>Low Windspeed</v>
      </c>
      <c r="R593" s="36">
        <v>4</v>
      </c>
      <c r="S593" s="36">
        <v>55</v>
      </c>
      <c r="T593" s="37">
        <v>59</v>
      </c>
      <c r="U593" s="39" t="str" cm="1">
        <f t="array" ref="U593">_xlfn.IFS(T593&lt;=70,"Low",T593&lt;=160,"Medium",T593&gt;=161,"High")</f>
        <v>Low</v>
      </c>
    </row>
    <row r="594" spans="1:21" x14ac:dyDescent="0.25">
      <c r="A594" s="33">
        <v>593</v>
      </c>
      <c r="B594" s="34">
        <v>40570</v>
      </c>
      <c r="C594" s="35">
        <v>1</v>
      </c>
      <c r="D594" s="35">
        <v>0</v>
      </c>
      <c r="E594" s="35">
        <v>1</v>
      </c>
      <c r="F594" s="35">
        <v>21</v>
      </c>
      <c r="G594" s="35" t="str" cm="1">
        <f t="array" ref="G594">_xlfn.IFS(F594&lt;4,"Night",F594&lt;=6,"Early Morning",F594&lt;11,"Morning",F594&lt;12,"Afternoon",F594&lt;=16,"Afternoon",F594&lt;=20,"Evening",F594&gt;=21,"Night")</f>
        <v>Night</v>
      </c>
      <c r="H594" s="35" t="b">
        <v>0</v>
      </c>
      <c r="I594" s="35">
        <v>4</v>
      </c>
      <c r="J594" s="35">
        <v>1</v>
      </c>
      <c r="K594" s="31">
        <v>0.18</v>
      </c>
      <c r="L594" s="31" t="str" cm="1">
        <f t="array" ref="L594">_xlfn.IFS(K594&lt;0.15,"Cold",K594&lt;0.25,"Mild",K594&lt;=0.32,"Warm",K594&gt;=0.33,"Hot")</f>
        <v>Mild</v>
      </c>
      <c r="M594" s="36">
        <v>0.21210000000000001</v>
      </c>
      <c r="N594" s="36">
        <v>0.74</v>
      </c>
      <c r="O594" s="36" t="str" cm="1">
        <f t="array" ref="O594">_xlfn.IFS(N594&gt;0.61, "High Humidity", N594&gt;=0.6, "Humid", N594&gt;0.4, "Less Humidity", TRUE, "Dry")</f>
        <v>High Humidity</v>
      </c>
      <c r="P594" s="36">
        <v>8.9599999999999999E-2</v>
      </c>
      <c r="Q594" s="36" t="str" cm="1">
        <f t="array" ref="Q594">_xlfn.IFS(P594&lt;=0.2,"Low Windspeed",P594&lt;0.4,"Medium Windspeed",P594&gt;=0.41,"High Windspeed")</f>
        <v>Low Windspeed</v>
      </c>
      <c r="R594" s="36">
        <v>2</v>
      </c>
      <c r="S594" s="36">
        <v>36</v>
      </c>
      <c r="T594" s="37">
        <v>38</v>
      </c>
      <c r="U594" s="39" t="str" cm="1">
        <f t="array" ref="U594">_xlfn.IFS(T594&lt;=70,"Low",T594&lt;=160,"Medium",T594&gt;=161,"High")</f>
        <v>Low</v>
      </c>
    </row>
    <row r="595" spans="1:21" x14ac:dyDescent="0.25">
      <c r="A595" s="33">
        <v>594</v>
      </c>
      <c r="B595" s="34">
        <v>40570</v>
      </c>
      <c r="C595" s="35">
        <v>1</v>
      </c>
      <c r="D595" s="35">
        <v>0</v>
      </c>
      <c r="E595" s="35">
        <v>1</v>
      </c>
      <c r="F595" s="35">
        <v>22</v>
      </c>
      <c r="G595" s="35" t="str" cm="1">
        <f t="array" ref="G595">_xlfn.IFS(F595&lt;4,"Night",F595&lt;=6,"Early Morning",F595&lt;11,"Morning",F595&lt;12,"Afternoon",F595&lt;=16,"Afternoon",F595&lt;=20,"Evening",F595&gt;=21,"Night")</f>
        <v>Night</v>
      </c>
      <c r="H595" s="35" t="b">
        <v>0</v>
      </c>
      <c r="I595" s="35">
        <v>4</v>
      </c>
      <c r="J595" s="35">
        <v>1</v>
      </c>
      <c r="K595" s="31">
        <v>0.18</v>
      </c>
      <c r="L595" s="31" t="str" cm="1">
        <f t="array" ref="L595">_xlfn.IFS(K595&lt;0.15,"Cold",K595&lt;0.25,"Mild",K595&lt;=0.32,"Warm",K595&gt;=0.33,"Hot")</f>
        <v>Mild</v>
      </c>
      <c r="M595" s="36">
        <v>0.21210000000000001</v>
      </c>
      <c r="N595" s="36">
        <v>0.74</v>
      </c>
      <c r="O595" s="36" t="str" cm="1">
        <f t="array" ref="O595">_xlfn.IFS(N595&gt;0.61, "High Humidity", N595&gt;=0.6, "Humid", N595&gt;0.4, "Less Humidity", TRUE, "Dry")</f>
        <v>High Humidity</v>
      </c>
      <c r="P595" s="36">
        <v>8.9599999999999999E-2</v>
      </c>
      <c r="Q595" s="36" t="str" cm="1">
        <f t="array" ref="Q595">_xlfn.IFS(P595&lt;=0.2,"Low Windspeed",P595&lt;0.4,"Medium Windspeed",P595&gt;=0.41,"High Windspeed")</f>
        <v>Low Windspeed</v>
      </c>
      <c r="R595" s="36">
        <v>0</v>
      </c>
      <c r="S595" s="36">
        <v>27</v>
      </c>
      <c r="T595" s="37">
        <v>27</v>
      </c>
      <c r="U595" s="39" t="str" cm="1">
        <f t="array" ref="U595">_xlfn.IFS(T595&lt;=70,"Low",T595&lt;=160,"Medium",T595&gt;=161,"High")</f>
        <v>Low</v>
      </c>
    </row>
    <row r="596" spans="1:21" x14ac:dyDescent="0.25">
      <c r="A596" s="33">
        <v>595</v>
      </c>
      <c r="B596" s="34">
        <v>40570</v>
      </c>
      <c r="C596" s="35">
        <v>1</v>
      </c>
      <c r="D596" s="35">
        <v>0</v>
      </c>
      <c r="E596" s="35">
        <v>1</v>
      </c>
      <c r="F596" s="35">
        <v>23</v>
      </c>
      <c r="G596" s="35" t="str" cm="1">
        <f t="array" ref="G596">_xlfn.IFS(F596&lt;4,"Night",F596&lt;=6,"Early Morning",F596&lt;11,"Morning",F596&lt;12,"Afternoon",F596&lt;=16,"Afternoon",F596&lt;=20,"Evening",F596&gt;=21,"Night")</f>
        <v>Night</v>
      </c>
      <c r="H596" s="35" t="b">
        <v>0</v>
      </c>
      <c r="I596" s="35">
        <v>4</v>
      </c>
      <c r="J596" s="35">
        <v>1</v>
      </c>
      <c r="K596" s="31">
        <v>0.18</v>
      </c>
      <c r="L596" s="31" t="str" cm="1">
        <f t="array" ref="L596">_xlfn.IFS(K596&lt;0.15,"Cold",K596&lt;0.25,"Mild",K596&lt;=0.32,"Warm",K596&gt;=0.33,"Hot")</f>
        <v>Mild</v>
      </c>
      <c r="M596" s="36">
        <v>0.19700000000000001</v>
      </c>
      <c r="N596" s="36">
        <v>0.8</v>
      </c>
      <c r="O596" s="36" t="str" cm="1">
        <f t="array" ref="O596">_xlfn.IFS(N596&gt;0.61, "High Humidity", N596&gt;=0.6, "Humid", N596&gt;0.4, "Less Humidity", TRUE, "Dry")</f>
        <v>High Humidity</v>
      </c>
      <c r="P596" s="36">
        <v>0.16420000000000001</v>
      </c>
      <c r="Q596" s="36" t="str" cm="1">
        <f t="array" ref="Q596">_xlfn.IFS(P596&lt;=0.2,"Low Windspeed",P596&lt;0.4,"Medium Windspeed",P596&gt;=0.41,"High Windspeed")</f>
        <v>Low Windspeed</v>
      </c>
      <c r="R596" s="36">
        <v>0</v>
      </c>
      <c r="S596" s="36">
        <v>16</v>
      </c>
      <c r="T596" s="37">
        <v>16</v>
      </c>
      <c r="U596" s="39" t="str" cm="1">
        <f t="array" ref="U596">_xlfn.IFS(T596&lt;=70,"Low",T596&lt;=160,"Medium",T596&gt;=161,"High")</f>
        <v>Low</v>
      </c>
    </row>
    <row r="597" spans="1:21" x14ac:dyDescent="0.25">
      <c r="A597" s="33">
        <v>596</v>
      </c>
      <c r="B597" s="34">
        <v>40571</v>
      </c>
      <c r="C597" s="35">
        <v>1</v>
      </c>
      <c r="D597" s="35">
        <v>0</v>
      </c>
      <c r="E597" s="35">
        <v>1</v>
      </c>
      <c r="F597" s="35">
        <v>0</v>
      </c>
      <c r="G597" s="35" t="str" cm="1">
        <f t="array" ref="G597">_xlfn.IFS(F597&lt;4,"Night",F597&lt;=6,"Early Morning",F597&lt;11,"Morning",F597&lt;12,"Afternoon",F597&lt;=16,"Afternoon",F597&lt;=20,"Evening",F597&gt;=21,"Night")</f>
        <v>Night</v>
      </c>
      <c r="H597" s="35" t="b">
        <v>0</v>
      </c>
      <c r="I597" s="35">
        <v>5</v>
      </c>
      <c r="J597" s="35">
        <v>2</v>
      </c>
      <c r="K597" s="31">
        <v>0.2</v>
      </c>
      <c r="L597" s="31" t="str" cm="1">
        <f t="array" ref="L597">_xlfn.IFS(K597&lt;0.15,"Cold",K597&lt;0.25,"Mild",K597&lt;=0.32,"Warm",K597&gt;=0.33,"Hot")</f>
        <v>Mild</v>
      </c>
      <c r="M597" s="36">
        <v>0.21210000000000001</v>
      </c>
      <c r="N597" s="36">
        <v>0.75</v>
      </c>
      <c r="O597" s="36" t="str" cm="1">
        <f t="array" ref="O597">_xlfn.IFS(N597&gt;0.61, "High Humidity", N597&gt;=0.6, "Humid", N597&gt;0.4, "Less Humidity", TRUE, "Dry")</f>
        <v>High Humidity</v>
      </c>
      <c r="P597" s="36">
        <v>0.1343</v>
      </c>
      <c r="Q597" s="36" t="str" cm="1">
        <f t="array" ref="Q597">_xlfn.IFS(P597&lt;=0.2,"Low Windspeed",P597&lt;0.4,"Medium Windspeed",P597&gt;=0.41,"High Windspeed")</f>
        <v>Low Windspeed</v>
      </c>
      <c r="R597" s="36">
        <v>0</v>
      </c>
      <c r="S597" s="36">
        <v>9</v>
      </c>
      <c r="T597" s="37">
        <v>9</v>
      </c>
      <c r="U597" s="39" t="str" cm="1">
        <f t="array" ref="U597">_xlfn.IFS(T597&lt;=70,"Low",T597&lt;=160,"Medium",T597&gt;=161,"High")</f>
        <v>Low</v>
      </c>
    </row>
    <row r="598" spans="1:21" x14ac:dyDescent="0.25">
      <c r="A598" s="33">
        <v>597</v>
      </c>
      <c r="B598" s="34">
        <v>40571</v>
      </c>
      <c r="C598" s="35">
        <v>1</v>
      </c>
      <c r="D598" s="35">
        <v>0</v>
      </c>
      <c r="E598" s="35">
        <v>1</v>
      </c>
      <c r="F598" s="35">
        <v>1</v>
      </c>
      <c r="G598" s="35" t="str" cm="1">
        <f t="array" ref="G598">_xlfn.IFS(F598&lt;4,"Night",F598&lt;=6,"Early Morning",F598&lt;11,"Morning",F598&lt;12,"Afternoon",F598&lt;=16,"Afternoon",F598&lt;=20,"Evening",F598&gt;=21,"Night")</f>
        <v>Night</v>
      </c>
      <c r="H598" s="35" t="b">
        <v>0</v>
      </c>
      <c r="I598" s="35">
        <v>5</v>
      </c>
      <c r="J598" s="35">
        <v>2</v>
      </c>
      <c r="K598" s="31">
        <v>0.2</v>
      </c>
      <c r="L598" s="31" t="str" cm="1">
        <f t="array" ref="L598">_xlfn.IFS(K598&lt;0.15,"Cold",K598&lt;0.25,"Mild",K598&lt;=0.32,"Warm",K598&gt;=0.33,"Hot")</f>
        <v>Mild</v>
      </c>
      <c r="M598" s="36">
        <v>0.21210000000000001</v>
      </c>
      <c r="N598" s="36">
        <v>0.75</v>
      </c>
      <c r="O598" s="36" t="str" cm="1">
        <f t="array" ref="O598">_xlfn.IFS(N598&gt;0.61, "High Humidity", N598&gt;=0.6, "Humid", N598&gt;0.4, "Less Humidity", TRUE, "Dry")</f>
        <v>High Humidity</v>
      </c>
      <c r="P598" s="36">
        <v>0.1343</v>
      </c>
      <c r="Q598" s="36" t="str" cm="1">
        <f t="array" ref="Q598">_xlfn.IFS(P598&lt;=0.2,"Low Windspeed",P598&lt;0.4,"Medium Windspeed",P598&gt;=0.41,"High Windspeed")</f>
        <v>Low Windspeed</v>
      </c>
      <c r="R598" s="36">
        <v>1</v>
      </c>
      <c r="S598" s="36">
        <v>2</v>
      </c>
      <c r="T598" s="37">
        <v>3</v>
      </c>
      <c r="U598" s="39" t="str" cm="1">
        <f t="array" ref="U598">_xlfn.IFS(T598&lt;=70,"Low",T598&lt;=160,"Medium",T598&gt;=161,"High")</f>
        <v>Low</v>
      </c>
    </row>
    <row r="599" spans="1:21" x14ac:dyDescent="0.25">
      <c r="A599" s="33">
        <v>598</v>
      </c>
      <c r="B599" s="34">
        <v>40571</v>
      </c>
      <c r="C599" s="35">
        <v>1</v>
      </c>
      <c r="D599" s="35">
        <v>0</v>
      </c>
      <c r="E599" s="35">
        <v>1</v>
      </c>
      <c r="F599" s="35">
        <v>2</v>
      </c>
      <c r="G599" s="35" t="str" cm="1">
        <f t="array" ref="G599">_xlfn.IFS(F599&lt;4,"Night",F599&lt;=6,"Early Morning",F599&lt;11,"Morning",F599&lt;12,"Afternoon",F599&lt;=16,"Afternoon",F599&lt;=20,"Evening",F599&gt;=21,"Night")</f>
        <v>Night</v>
      </c>
      <c r="H599" s="35" t="b">
        <v>0</v>
      </c>
      <c r="I599" s="35">
        <v>5</v>
      </c>
      <c r="J599" s="35">
        <v>2</v>
      </c>
      <c r="K599" s="31">
        <v>0.2</v>
      </c>
      <c r="L599" s="31" t="str" cm="1">
        <f t="array" ref="L599">_xlfn.IFS(K599&lt;0.15,"Cold",K599&lt;0.25,"Mild",K599&lt;=0.32,"Warm",K599&gt;=0.33,"Hot")</f>
        <v>Mild</v>
      </c>
      <c r="M599" s="36">
        <v>0.21210000000000001</v>
      </c>
      <c r="N599" s="36">
        <v>0.75</v>
      </c>
      <c r="O599" s="36" t="str" cm="1">
        <f t="array" ref="O599">_xlfn.IFS(N599&gt;0.61, "High Humidity", N599&gt;=0.6, "Humid", N599&gt;0.4, "Less Humidity", TRUE, "Dry")</f>
        <v>High Humidity</v>
      </c>
      <c r="P599" s="36">
        <v>0.16420000000000001</v>
      </c>
      <c r="Q599" s="36" t="str" cm="1">
        <f t="array" ref="Q599">_xlfn.IFS(P599&lt;=0.2,"Low Windspeed",P599&lt;0.4,"Medium Windspeed",P599&gt;=0.41,"High Windspeed")</f>
        <v>Low Windspeed</v>
      </c>
      <c r="R599" s="36">
        <v>0</v>
      </c>
      <c r="S599" s="36">
        <v>2</v>
      </c>
      <c r="T599" s="37">
        <v>2</v>
      </c>
      <c r="U599" s="39" t="str" cm="1">
        <f t="array" ref="U599">_xlfn.IFS(T599&lt;=70,"Low",T599&lt;=160,"Medium",T599&gt;=161,"High")</f>
        <v>Low</v>
      </c>
    </row>
    <row r="600" spans="1:21" x14ac:dyDescent="0.25">
      <c r="A600" s="33">
        <v>599</v>
      </c>
      <c r="B600" s="34">
        <v>40571</v>
      </c>
      <c r="C600" s="35">
        <v>1</v>
      </c>
      <c r="D600" s="35">
        <v>0</v>
      </c>
      <c r="E600" s="35">
        <v>1</v>
      </c>
      <c r="F600" s="35">
        <v>3</v>
      </c>
      <c r="G600" s="35" t="str" cm="1">
        <f t="array" ref="G600">_xlfn.IFS(F600&lt;4,"Night",F600&lt;=6,"Early Morning",F600&lt;11,"Morning",F600&lt;12,"Afternoon",F600&lt;=16,"Afternoon",F600&lt;=20,"Evening",F600&gt;=21,"Night")</f>
        <v>Night</v>
      </c>
      <c r="H600" s="35" t="b">
        <v>0</v>
      </c>
      <c r="I600" s="35">
        <v>5</v>
      </c>
      <c r="J600" s="35">
        <v>2</v>
      </c>
      <c r="K600" s="31">
        <v>0.2</v>
      </c>
      <c r="L600" s="31" t="str" cm="1">
        <f t="array" ref="L600">_xlfn.IFS(K600&lt;0.15,"Cold",K600&lt;0.25,"Mild",K600&lt;=0.32,"Warm",K600&gt;=0.33,"Hot")</f>
        <v>Mild</v>
      </c>
      <c r="M600" s="36">
        <v>0.2273</v>
      </c>
      <c r="N600" s="36">
        <v>0.75</v>
      </c>
      <c r="O600" s="36" t="str" cm="1">
        <f t="array" ref="O600">_xlfn.IFS(N600&gt;0.61, "High Humidity", N600&gt;=0.6, "Humid", N600&gt;0.4, "Less Humidity", TRUE, "Dry")</f>
        <v>High Humidity</v>
      </c>
      <c r="P600" s="36">
        <v>0.1045</v>
      </c>
      <c r="Q600" s="36" t="str" cm="1">
        <f t="array" ref="Q600">_xlfn.IFS(P600&lt;=0.2,"Low Windspeed",P600&lt;0.4,"Medium Windspeed",P600&gt;=0.41,"High Windspeed")</f>
        <v>Low Windspeed</v>
      </c>
      <c r="R600" s="36">
        <v>1</v>
      </c>
      <c r="S600" s="36">
        <v>0</v>
      </c>
      <c r="T600" s="37">
        <v>1</v>
      </c>
      <c r="U600" s="39" t="str" cm="1">
        <f t="array" ref="U600">_xlfn.IFS(T600&lt;=70,"Low",T600&lt;=160,"Medium",T600&gt;=161,"High")</f>
        <v>Low</v>
      </c>
    </row>
    <row r="601" spans="1:21" x14ac:dyDescent="0.25">
      <c r="A601" s="33">
        <v>600</v>
      </c>
      <c r="B601" s="34">
        <v>40571</v>
      </c>
      <c r="C601" s="35">
        <v>1</v>
      </c>
      <c r="D601" s="35">
        <v>0</v>
      </c>
      <c r="E601" s="35">
        <v>1</v>
      </c>
      <c r="F601" s="35">
        <v>5</v>
      </c>
      <c r="G601" s="35" t="str" cm="1">
        <f t="array" ref="G601">_xlfn.IFS(F601&lt;4,"Night",F601&lt;=6,"Early Morning",F601&lt;11,"Morning",F601&lt;12,"Afternoon",F601&lt;=16,"Afternoon",F601&lt;=20,"Evening",F601&gt;=21,"Night")</f>
        <v>Early Morning</v>
      </c>
      <c r="H601" s="35" t="b">
        <v>0</v>
      </c>
      <c r="I601" s="35">
        <v>5</v>
      </c>
      <c r="J601" s="35">
        <v>2</v>
      </c>
      <c r="K601" s="31">
        <v>0.18</v>
      </c>
      <c r="L601" s="31" t="str" cm="1">
        <f t="array" ref="L601">_xlfn.IFS(K601&lt;0.15,"Cold",K601&lt;0.25,"Mild",K601&lt;=0.32,"Warm",K601&gt;=0.33,"Hot")</f>
        <v>Mild</v>
      </c>
      <c r="M601" s="36">
        <v>0.21210000000000001</v>
      </c>
      <c r="N601" s="36">
        <v>0.8</v>
      </c>
      <c r="O601" s="36" t="str" cm="1">
        <f t="array" ref="O601">_xlfn.IFS(N601&gt;0.61, "High Humidity", N601&gt;=0.6, "Humid", N601&gt;0.4, "Less Humidity", TRUE, "Dry")</f>
        <v>High Humidity</v>
      </c>
      <c r="P601" s="36">
        <v>0.1045</v>
      </c>
      <c r="Q601" s="36" t="str" cm="1">
        <f t="array" ref="Q601">_xlfn.IFS(P601&lt;=0.2,"Low Windspeed",P601&lt;0.4,"Medium Windspeed",P601&gt;=0.41,"High Windspeed")</f>
        <v>Low Windspeed</v>
      </c>
      <c r="R601" s="36">
        <v>0</v>
      </c>
      <c r="S601" s="36">
        <v>4</v>
      </c>
      <c r="T601" s="37">
        <v>4</v>
      </c>
      <c r="U601" s="39" t="str" cm="1">
        <f t="array" ref="U601">_xlfn.IFS(T601&lt;=70,"Low",T601&lt;=160,"Medium",T601&gt;=161,"High")</f>
        <v>Low</v>
      </c>
    </row>
    <row r="602" spans="1:21" x14ac:dyDescent="0.25">
      <c r="A602" s="33">
        <v>601</v>
      </c>
      <c r="B602" s="34">
        <v>40571</v>
      </c>
      <c r="C602" s="35">
        <v>1</v>
      </c>
      <c r="D602" s="35">
        <v>0</v>
      </c>
      <c r="E602" s="35">
        <v>1</v>
      </c>
      <c r="F602" s="35">
        <v>6</v>
      </c>
      <c r="G602" s="35" t="str" cm="1">
        <f t="array" ref="G602">_xlfn.IFS(F602&lt;4,"Night",F602&lt;=6,"Early Morning",F602&lt;11,"Morning",F602&lt;12,"Afternoon",F602&lt;=16,"Afternoon",F602&lt;=20,"Evening",F602&gt;=21,"Night")</f>
        <v>Early Morning</v>
      </c>
      <c r="H602" s="35" t="b">
        <v>0</v>
      </c>
      <c r="I602" s="35">
        <v>5</v>
      </c>
      <c r="J602" s="35">
        <v>2</v>
      </c>
      <c r="K602" s="31">
        <v>0.18</v>
      </c>
      <c r="L602" s="31" t="str" cm="1">
        <f t="array" ref="L602">_xlfn.IFS(K602&lt;0.15,"Cold",K602&lt;0.25,"Mild",K602&lt;=0.32,"Warm",K602&gt;=0.33,"Hot")</f>
        <v>Mild</v>
      </c>
      <c r="M602" s="36">
        <v>0.19700000000000001</v>
      </c>
      <c r="N602" s="36">
        <v>0.8</v>
      </c>
      <c r="O602" s="36" t="str" cm="1">
        <f t="array" ref="O602">_xlfn.IFS(N602&gt;0.61, "High Humidity", N602&gt;=0.6, "Humid", N602&gt;0.4, "Less Humidity", TRUE, "Dry")</f>
        <v>High Humidity</v>
      </c>
      <c r="P602" s="36">
        <v>0.1343</v>
      </c>
      <c r="Q602" s="36" t="str" cm="1">
        <f t="array" ref="Q602">_xlfn.IFS(P602&lt;=0.2,"Low Windspeed",P602&lt;0.4,"Medium Windspeed",P602&gt;=0.41,"High Windspeed")</f>
        <v>Low Windspeed</v>
      </c>
      <c r="R602" s="36">
        <v>0</v>
      </c>
      <c r="S602" s="36">
        <v>16</v>
      </c>
      <c r="T602" s="37">
        <v>16</v>
      </c>
      <c r="U602" s="39" t="str" cm="1">
        <f t="array" ref="U602">_xlfn.IFS(T602&lt;=70,"Low",T602&lt;=160,"Medium",T602&gt;=161,"High")</f>
        <v>Low</v>
      </c>
    </row>
    <row r="603" spans="1:21" x14ac:dyDescent="0.25">
      <c r="A603" s="33">
        <v>602</v>
      </c>
      <c r="B603" s="34">
        <v>40571</v>
      </c>
      <c r="C603" s="35">
        <v>1</v>
      </c>
      <c r="D603" s="35">
        <v>0</v>
      </c>
      <c r="E603" s="35">
        <v>1</v>
      </c>
      <c r="F603" s="35">
        <v>7</v>
      </c>
      <c r="G603" s="35" t="str" cm="1">
        <f t="array" ref="G603">_xlfn.IFS(F603&lt;4,"Night",F603&lt;=6,"Early Morning",F603&lt;11,"Morning",F603&lt;12,"Afternoon",F603&lt;=16,"Afternoon",F603&lt;=20,"Evening",F603&gt;=21,"Night")</f>
        <v>Morning</v>
      </c>
      <c r="H603" s="35" t="b">
        <v>0</v>
      </c>
      <c r="I603" s="35">
        <v>5</v>
      </c>
      <c r="J603" s="35">
        <v>2</v>
      </c>
      <c r="K603" s="31">
        <v>0.16</v>
      </c>
      <c r="L603" s="31" t="str" cm="1">
        <f t="array" ref="L603">_xlfn.IFS(K603&lt;0.15,"Cold",K603&lt;0.25,"Mild",K603&lt;=0.32,"Warm",K603&gt;=0.33,"Hot")</f>
        <v>Mild</v>
      </c>
      <c r="M603" s="36">
        <v>0.19700000000000001</v>
      </c>
      <c r="N603" s="36">
        <v>0.86</v>
      </c>
      <c r="O603" s="36" t="str" cm="1">
        <f t="array" ref="O603">_xlfn.IFS(N603&gt;0.61, "High Humidity", N603&gt;=0.6, "Humid", N603&gt;0.4, "Less Humidity", TRUE, "Dry")</f>
        <v>High Humidity</v>
      </c>
      <c r="P603" s="36">
        <v>8.9599999999999999E-2</v>
      </c>
      <c r="Q603" s="36" t="str" cm="1">
        <f t="array" ref="Q603">_xlfn.IFS(P603&lt;=0.2,"Low Windspeed",P603&lt;0.4,"Medium Windspeed",P603&gt;=0.41,"High Windspeed")</f>
        <v>Low Windspeed</v>
      </c>
      <c r="R603" s="36">
        <v>2</v>
      </c>
      <c r="S603" s="36">
        <v>58</v>
      </c>
      <c r="T603" s="37">
        <v>60</v>
      </c>
      <c r="U603" s="39" t="str" cm="1">
        <f t="array" ref="U603">_xlfn.IFS(T603&lt;=70,"Low",T603&lt;=160,"Medium",T603&gt;=161,"High")</f>
        <v>Low</v>
      </c>
    </row>
    <row r="604" spans="1:21" x14ac:dyDescent="0.25">
      <c r="A604" s="33">
        <v>603</v>
      </c>
      <c r="B604" s="34">
        <v>40571</v>
      </c>
      <c r="C604" s="35">
        <v>1</v>
      </c>
      <c r="D604" s="35">
        <v>0</v>
      </c>
      <c r="E604" s="35">
        <v>1</v>
      </c>
      <c r="F604" s="35">
        <v>8</v>
      </c>
      <c r="G604" s="35" t="str" cm="1">
        <f t="array" ref="G604">_xlfn.IFS(F604&lt;4,"Night",F604&lt;=6,"Early Morning",F604&lt;11,"Morning",F604&lt;12,"Afternoon",F604&lt;=16,"Afternoon",F604&lt;=20,"Evening",F604&gt;=21,"Night")</f>
        <v>Morning</v>
      </c>
      <c r="H604" s="35" t="b">
        <v>0</v>
      </c>
      <c r="I604" s="35">
        <v>5</v>
      </c>
      <c r="J604" s="35">
        <v>2</v>
      </c>
      <c r="K604" s="31">
        <v>0.16</v>
      </c>
      <c r="L604" s="31" t="str" cm="1">
        <f t="array" ref="L604">_xlfn.IFS(K604&lt;0.15,"Cold",K604&lt;0.25,"Mild",K604&lt;=0.32,"Warm",K604&gt;=0.33,"Hot")</f>
        <v>Mild</v>
      </c>
      <c r="M604" s="36">
        <v>0.19700000000000001</v>
      </c>
      <c r="N604" s="36">
        <v>0.86</v>
      </c>
      <c r="O604" s="36" t="str" cm="1">
        <f t="array" ref="O604">_xlfn.IFS(N604&gt;0.61, "High Humidity", N604&gt;=0.6, "Humid", N604&gt;0.4, "Less Humidity", TRUE, "Dry")</f>
        <v>High Humidity</v>
      </c>
      <c r="P604" s="36">
        <v>8.9599999999999999E-2</v>
      </c>
      <c r="Q604" s="36" t="str" cm="1">
        <f t="array" ref="Q604">_xlfn.IFS(P604&lt;=0.2,"Low Windspeed",P604&lt;0.4,"Medium Windspeed",P604&gt;=0.41,"High Windspeed")</f>
        <v>Low Windspeed</v>
      </c>
      <c r="R604" s="36">
        <v>2</v>
      </c>
      <c r="S604" s="36">
        <v>155</v>
      </c>
      <c r="T604" s="37">
        <v>157</v>
      </c>
      <c r="U604" s="39" t="str" cm="1">
        <f t="array" ref="U604">_xlfn.IFS(T604&lt;=70,"Low",T604&lt;=160,"Medium",T604&gt;=161,"High")</f>
        <v>Medium</v>
      </c>
    </row>
    <row r="605" spans="1:21" x14ac:dyDescent="0.25">
      <c r="A605" s="33">
        <v>604</v>
      </c>
      <c r="B605" s="34">
        <v>40571</v>
      </c>
      <c r="C605" s="35">
        <v>1</v>
      </c>
      <c r="D605" s="35">
        <v>0</v>
      </c>
      <c r="E605" s="35">
        <v>1</v>
      </c>
      <c r="F605" s="35">
        <v>9</v>
      </c>
      <c r="G605" s="35" t="str" cm="1">
        <f t="array" ref="G605">_xlfn.IFS(F605&lt;4,"Night",F605&lt;=6,"Early Morning",F605&lt;11,"Morning",F605&lt;12,"Afternoon",F605&lt;=16,"Afternoon",F605&lt;=20,"Evening",F605&gt;=21,"Night")</f>
        <v>Morning</v>
      </c>
      <c r="H605" s="35" t="b">
        <v>0</v>
      </c>
      <c r="I605" s="35">
        <v>5</v>
      </c>
      <c r="J605" s="35">
        <v>3</v>
      </c>
      <c r="K605" s="31">
        <v>0.18</v>
      </c>
      <c r="L605" s="31" t="str" cm="1">
        <f t="array" ref="L605">_xlfn.IFS(K605&lt;0.15,"Cold",K605&lt;0.25,"Mild",K605&lt;=0.32,"Warm",K605&gt;=0.33,"Hot")</f>
        <v>Mild</v>
      </c>
      <c r="M605" s="36">
        <v>0.21210000000000001</v>
      </c>
      <c r="N605" s="36">
        <v>0.86</v>
      </c>
      <c r="O605" s="36" t="str" cm="1">
        <f t="array" ref="O605">_xlfn.IFS(N605&gt;0.61, "High Humidity", N605&gt;=0.6, "Humid", N605&gt;0.4, "Less Humidity", TRUE, "Dry")</f>
        <v>High Humidity</v>
      </c>
      <c r="P605" s="36">
        <v>8.9599999999999999E-2</v>
      </c>
      <c r="Q605" s="36" t="str" cm="1">
        <f t="array" ref="Q605">_xlfn.IFS(P605&lt;=0.2,"Low Windspeed",P605&lt;0.4,"Medium Windspeed",P605&gt;=0.41,"High Windspeed")</f>
        <v>Low Windspeed</v>
      </c>
      <c r="R605" s="36">
        <v>6</v>
      </c>
      <c r="S605" s="36">
        <v>95</v>
      </c>
      <c r="T605" s="37">
        <v>101</v>
      </c>
      <c r="U605" s="39" t="str" cm="1">
        <f t="array" ref="U605">_xlfn.IFS(T605&lt;=70,"Low",T605&lt;=160,"Medium",T605&gt;=161,"High")</f>
        <v>Medium</v>
      </c>
    </row>
    <row r="606" spans="1:21" x14ac:dyDescent="0.25">
      <c r="A606" s="33">
        <v>605</v>
      </c>
      <c r="B606" s="34">
        <v>40571</v>
      </c>
      <c r="C606" s="35">
        <v>1</v>
      </c>
      <c r="D606" s="35">
        <v>0</v>
      </c>
      <c r="E606" s="35">
        <v>1</v>
      </c>
      <c r="F606" s="35">
        <v>10</v>
      </c>
      <c r="G606" s="35" t="str" cm="1">
        <f t="array" ref="G606">_xlfn.IFS(F606&lt;4,"Night",F606&lt;=6,"Early Morning",F606&lt;11,"Morning",F606&lt;12,"Afternoon",F606&lt;=16,"Afternoon",F606&lt;=20,"Evening",F606&gt;=21,"Night")</f>
        <v>Morning</v>
      </c>
      <c r="H606" s="35" t="b">
        <v>0</v>
      </c>
      <c r="I606" s="35">
        <v>5</v>
      </c>
      <c r="J606" s="35">
        <v>3</v>
      </c>
      <c r="K606" s="31">
        <v>0.18</v>
      </c>
      <c r="L606" s="31" t="str" cm="1">
        <f t="array" ref="L606">_xlfn.IFS(K606&lt;0.15,"Cold",K606&lt;0.25,"Mild",K606&lt;=0.32,"Warm",K606&gt;=0.33,"Hot")</f>
        <v>Mild</v>
      </c>
      <c r="M606" s="36">
        <v>0.21210000000000001</v>
      </c>
      <c r="N606" s="36">
        <v>0.86</v>
      </c>
      <c r="O606" s="36" t="str" cm="1">
        <f t="array" ref="O606">_xlfn.IFS(N606&gt;0.61, "High Humidity", N606&gt;=0.6, "Humid", N606&gt;0.4, "Less Humidity", TRUE, "Dry")</f>
        <v>High Humidity</v>
      </c>
      <c r="P606" s="36">
        <v>0.1045</v>
      </c>
      <c r="Q606" s="36" t="str" cm="1">
        <f t="array" ref="Q606">_xlfn.IFS(P606&lt;=0.2,"Low Windspeed",P606&lt;0.4,"Medium Windspeed",P606&gt;=0.41,"High Windspeed")</f>
        <v>Low Windspeed</v>
      </c>
      <c r="R606" s="36">
        <v>0</v>
      </c>
      <c r="S606" s="36">
        <v>49</v>
      </c>
      <c r="T606" s="37">
        <v>49</v>
      </c>
      <c r="U606" s="39" t="str" cm="1">
        <f t="array" ref="U606">_xlfn.IFS(T606&lt;=70,"Low",T606&lt;=160,"Medium",T606&gt;=161,"High")</f>
        <v>Low</v>
      </c>
    </row>
    <row r="607" spans="1:21" x14ac:dyDescent="0.25">
      <c r="A607" s="33">
        <v>606</v>
      </c>
      <c r="B607" s="34">
        <v>40571</v>
      </c>
      <c r="C607" s="35">
        <v>1</v>
      </c>
      <c r="D607" s="35">
        <v>0</v>
      </c>
      <c r="E607" s="35">
        <v>1</v>
      </c>
      <c r="F607" s="35">
        <v>11</v>
      </c>
      <c r="G607" s="35" t="str" cm="1">
        <f t="array" ref="G607">_xlfn.IFS(F607&lt;4,"Night",F607&lt;=6,"Early Morning",F607&lt;11,"Morning",F607&lt;12,"Afternoon",F607&lt;=16,"Afternoon",F607&lt;=20,"Evening",F607&gt;=21,"Night")</f>
        <v>Afternoon</v>
      </c>
      <c r="H607" s="35" t="b">
        <v>0</v>
      </c>
      <c r="I607" s="35">
        <v>5</v>
      </c>
      <c r="J607" s="35">
        <v>3</v>
      </c>
      <c r="K607" s="31">
        <v>0.18</v>
      </c>
      <c r="L607" s="31" t="str" cm="1">
        <f t="array" ref="L607">_xlfn.IFS(K607&lt;0.15,"Cold",K607&lt;0.25,"Mild",K607&lt;=0.32,"Warm",K607&gt;=0.33,"Hot")</f>
        <v>Mild</v>
      </c>
      <c r="M607" s="36">
        <v>0.21210000000000001</v>
      </c>
      <c r="N607" s="36">
        <v>0.93</v>
      </c>
      <c r="O607" s="36" t="str" cm="1">
        <f t="array" ref="O607">_xlfn.IFS(N607&gt;0.61, "High Humidity", N607&gt;=0.6, "Humid", N607&gt;0.4, "Less Humidity", TRUE, "Dry")</f>
        <v>High Humidity</v>
      </c>
      <c r="P607" s="36">
        <v>0.1045</v>
      </c>
      <c r="Q607" s="36" t="str" cm="1">
        <f t="array" ref="Q607">_xlfn.IFS(P607&lt;=0.2,"Low Windspeed",P607&lt;0.4,"Medium Windspeed",P607&gt;=0.41,"High Windspeed")</f>
        <v>Low Windspeed</v>
      </c>
      <c r="R607" s="36">
        <v>0</v>
      </c>
      <c r="S607" s="36">
        <v>30</v>
      </c>
      <c r="T607" s="37">
        <v>30</v>
      </c>
      <c r="U607" s="39" t="str" cm="1">
        <f t="array" ref="U607">_xlfn.IFS(T607&lt;=70,"Low",T607&lt;=160,"Medium",T607&gt;=161,"High")</f>
        <v>Low</v>
      </c>
    </row>
    <row r="608" spans="1:21" x14ac:dyDescent="0.25">
      <c r="A608" s="33">
        <v>607</v>
      </c>
      <c r="B608" s="34">
        <v>40571</v>
      </c>
      <c r="C608" s="35">
        <v>1</v>
      </c>
      <c r="D608" s="35">
        <v>0</v>
      </c>
      <c r="E608" s="35">
        <v>1</v>
      </c>
      <c r="F608" s="35">
        <v>12</v>
      </c>
      <c r="G608" s="35" t="str" cm="1">
        <f t="array" ref="G608">_xlfn.IFS(F608&lt;4,"Night",F608&lt;=6,"Early Morning",F608&lt;11,"Morning",F608&lt;12,"Afternoon",F608&lt;=16,"Afternoon",F608&lt;=20,"Evening",F608&gt;=21,"Night")</f>
        <v>Afternoon</v>
      </c>
      <c r="H608" s="35" t="b">
        <v>0</v>
      </c>
      <c r="I608" s="35">
        <v>5</v>
      </c>
      <c r="J608" s="35">
        <v>3</v>
      </c>
      <c r="K608" s="31">
        <v>0.18</v>
      </c>
      <c r="L608" s="31" t="str" cm="1">
        <f t="array" ref="L608">_xlfn.IFS(K608&lt;0.15,"Cold",K608&lt;0.25,"Mild",K608&lt;=0.32,"Warm",K608&gt;=0.33,"Hot")</f>
        <v>Mild</v>
      </c>
      <c r="M608" s="36">
        <v>0.21210000000000001</v>
      </c>
      <c r="N608" s="36">
        <v>0.93</v>
      </c>
      <c r="O608" s="36" t="str" cm="1">
        <f t="array" ref="O608">_xlfn.IFS(N608&gt;0.61, "High Humidity", N608&gt;=0.6, "Humid", N608&gt;0.4, "Less Humidity", TRUE, "Dry")</f>
        <v>High Humidity</v>
      </c>
      <c r="P608" s="36">
        <v>0.1045</v>
      </c>
      <c r="Q608" s="36" t="str" cm="1">
        <f t="array" ref="Q608">_xlfn.IFS(P608&lt;=0.2,"Low Windspeed",P608&lt;0.4,"Medium Windspeed",P608&gt;=0.41,"High Windspeed")</f>
        <v>Low Windspeed</v>
      </c>
      <c r="R608" s="36">
        <v>1</v>
      </c>
      <c r="S608" s="36">
        <v>28</v>
      </c>
      <c r="T608" s="37">
        <v>29</v>
      </c>
      <c r="U608" s="39" t="str" cm="1">
        <f t="array" ref="U608">_xlfn.IFS(T608&lt;=70,"Low",T608&lt;=160,"Medium",T608&gt;=161,"High")</f>
        <v>Low</v>
      </c>
    </row>
    <row r="609" spans="1:21" x14ac:dyDescent="0.25">
      <c r="A609" s="33">
        <v>608</v>
      </c>
      <c r="B609" s="34">
        <v>40571</v>
      </c>
      <c r="C609" s="35">
        <v>1</v>
      </c>
      <c r="D609" s="35">
        <v>0</v>
      </c>
      <c r="E609" s="35">
        <v>1</v>
      </c>
      <c r="F609" s="35">
        <v>13</v>
      </c>
      <c r="G609" s="35" t="str" cm="1">
        <f t="array" ref="G609">_xlfn.IFS(F609&lt;4,"Night",F609&lt;=6,"Early Morning",F609&lt;11,"Morning",F609&lt;12,"Afternoon",F609&lt;=16,"Afternoon",F609&lt;=20,"Evening",F609&gt;=21,"Night")</f>
        <v>Afternoon</v>
      </c>
      <c r="H609" s="35" t="b">
        <v>0</v>
      </c>
      <c r="I609" s="35">
        <v>5</v>
      </c>
      <c r="J609" s="35">
        <v>3</v>
      </c>
      <c r="K609" s="31">
        <v>0.18</v>
      </c>
      <c r="L609" s="31" t="str" cm="1">
        <f t="array" ref="L609">_xlfn.IFS(K609&lt;0.15,"Cold",K609&lt;0.25,"Mild",K609&lt;=0.32,"Warm",K609&gt;=0.33,"Hot")</f>
        <v>Mild</v>
      </c>
      <c r="M609" s="36">
        <v>0.21210000000000001</v>
      </c>
      <c r="N609" s="36">
        <v>0.93</v>
      </c>
      <c r="O609" s="36" t="str" cm="1">
        <f t="array" ref="O609">_xlfn.IFS(N609&gt;0.61, "High Humidity", N609&gt;=0.6, "Humid", N609&gt;0.4, "Less Humidity", TRUE, "Dry")</f>
        <v>High Humidity</v>
      </c>
      <c r="P609" s="36">
        <v>0.1045</v>
      </c>
      <c r="Q609" s="36" t="str" cm="1">
        <f t="array" ref="Q609">_xlfn.IFS(P609&lt;=0.2,"Low Windspeed",P609&lt;0.4,"Medium Windspeed",P609&gt;=0.41,"High Windspeed")</f>
        <v>Low Windspeed</v>
      </c>
      <c r="R609" s="36">
        <v>0</v>
      </c>
      <c r="S609" s="36">
        <v>31</v>
      </c>
      <c r="T609" s="37">
        <v>31</v>
      </c>
      <c r="U609" s="39" t="str" cm="1">
        <f t="array" ref="U609">_xlfn.IFS(T609&lt;=70,"Low",T609&lt;=160,"Medium",T609&gt;=161,"High")</f>
        <v>Low</v>
      </c>
    </row>
    <row r="610" spans="1:21" x14ac:dyDescent="0.25">
      <c r="A610" s="33">
        <v>609</v>
      </c>
      <c r="B610" s="34">
        <v>40571</v>
      </c>
      <c r="C610" s="35">
        <v>1</v>
      </c>
      <c r="D610" s="35">
        <v>0</v>
      </c>
      <c r="E610" s="35">
        <v>1</v>
      </c>
      <c r="F610" s="35">
        <v>14</v>
      </c>
      <c r="G610" s="35" t="str" cm="1">
        <f t="array" ref="G610">_xlfn.IFS(F610&lt;4,"Night",F610&lt;=6,"Early Morning",F610&lt;11,"Morning",F610&lt;12,"Afternoon",F610&lt;=16,"Afternoon",F610&lt;=20,"Evening",F610&gt;=21,"Night")</f>
        <v>Afternoon</v>
      </c>
      <c r="H610" s="35" t="b">
        <v>0</v>
      </c>
      <c r="I610" s="35">
        <v>5</v>
      </c>
      <c r="J610" s="35">
        <v>3</v>
      </c>
      <c r="K610" s="31">
        <v>0.22</v>
      </c>
      <c r="L610" s="31" t="str" cm="1">
        <f t="array" ref="L610">_xlfn.IFS(K610&lt;0.15,"Cold",K610&lt;0.25,"Mild",K610&lt;=0.32,"Warm",K610&gt;=0.33,"Hot")</f>
        <v>Mild</v>
      </c>
      <c r="M610" s="36">
        <v>0.2727</v>
      </c>
      <c r="N610" s="36">
        <v>0.8</v>
      </c>
      <c r="O610" s="36" t="str" cm="1">
        <f t="array" ref="O610">_xlfn.IFS(N610&gt;0.61, "High Humidity", N610&gt;=0.6, "Humid", N610&gt;0.4, "Less Humidity", TRUE, "Dry")</f>
        <v>High Humidity</v>
      </c>
      <c r="P610" s="36">
        <v>0</v>
      </c>
      <c r="Q610" s="36" t="str" cm="1">
        <f t="array" ref="Q610">_xlfn.IFS(P610&lt;=0.2,"Low Windspeed",P610&lt;0.4,"Medium Windspeed",P610&gt;=0.41,"High Windspeed")</f>
        <v>Low Windspeed</v>
      </c>
      <c r="R610" s="36">
        <v>2</v>
      </c>
      <c r="S610" s="36">
        <v>36</v>
      </c>
      <c r="T610" s="37">
        <v>38</v>
      </c>
      <c r="U610" s="39" t="str" cm="1">
        <f t="array" ref="U610">_xlfn.IFS(T610&lt;=70,"Low",T610&lt;=160,"Medium",T610&gt;=161,"High")</f>
        <v>Low</v>
      </c>
    </row>
    <row r="611" spans="1:21" x14ac:dyDescent="0.25">
      <c r="A611" s="33">
        <v>610</v>
      </c>
      <c r="B611" s="34">
        <v>40571</v>
      </c>
      <c r="C611" s="35">
        <v>1</v>
      </c>
      <c r="D611" s="35">
        <v>0</v>
      </c>
      <c r="E611" s="35">
        <v>1</v>
      </c>
      <c r="F611" s="35">
        <v>15</v>
      </c>
      <c r="G611" s="35" t="str" cm="1">
        <f t="array" ref="G611">_xlfn.IFS(F611&lt;4,"Night",F611&lt;=6,"Early Morning",F611&lt;11,"Morning",F611&lt;12,"Afternoon",F611&lt;=16,"Afternoon",F611&lt;=20,"Evening",F611&gt;=21,"Night")</f>
        <v>Afternoon</v>
      </c>
      <c r="H611" s="35" t="b">
        <v>0</v>
      </c>
      <c r="I611" s="35">
        <v>5</v>
      </c>
      <c r="J611" s="35">
        <v>2</v>
      </c>
      <c r="K611" s="31">
        <v>0.2</v>
      </c>
      <c r="L611" s="31" t="str" cm="1">
        <f t="array" ref="L611">_xlfn.IFS(K611&lt;0.15,"Cold",K611&lt;0.25,"Mild",K611&lt;=0.32,"Warm",K611&gt;=0.33,"Hot")</f>
        <v>Mild</v>
      </c>
      <c r="M611" s="36">
        <v>0.2576</v>
      </c>
      <c r="N611" s="36">
        <v>0.86</v>
      </c>
      <c r="O611" s="36" t="str" cm="1">
        <f t="array" ref="O611">_xlfn.IFS(N611&gt;0.61, "High Humidity", N611&gt;=0.6, "Humid", N611&gt;0.4, "Less Humidity", TRUE, "Dry")</f>
        <v>High Humidity</v>
      </c>
      <c r="P611" s="36">
        <v>0</v>
      </c>
      <c r="Q611" s="36" t="str" cm="1">
        <f t="array" ref="Q611">_xlfn.IFS(P611&lt;=0.2,"Low Windspeed",P611&lt;0.4,"Medium Windspeed",P611&gt;=0.41,"High Windspeed")</f>
        <v>Low Windspeed</v>
      </c>
      <c r="R611" s="36">
        <v>1</v>
      </c>
      <c r="S611" s="36">
        <v>40</v>
      </c>
      <c r="T611" s="37">
        <v>41</v>
      </c>
      <c r="U611" s="39" t="str" cm="1">
        <f t="array" ref="U611">_xlfn.IFS(T611&lt;=70,"Low",T611&lt;=160,"Medium",T611&gt;=161,"High")</f>
        <v>Low</v>
      </c>
    </row>
    <row r="612" spans="1:21" x14ac:dyDescent="0.25">
      <c r="A612" s="33">
        <v>611</v>
      </c>
      <c r="B612" s="34">
        <v>40571</v>
      </c>
      <c r="C612" s="35">
        <v>1</v>
      </c>
      <c r="D612" s="35">
        <v>0</v>
      </c>
      <c r="E612" s="35">
        <v>1</v>
      </c>
      <c r="F612" s="35">
        <v>16</v>
      </c>
      <c r="G612" s="35" t="str" cm="1">
        <f t="array" ref="G612">_xlfn.IFS(F612&lt;4,"Night",F612&lt;=6,"Early Morning",F612&lt;11,"Morning",F612&lt;12,"Afternoon",F612&lt;=16,"Afternoon",F612&lt;=20,"Evening",F612&gt;=21,"Night")</f>
        <v>Afternoon</v>
      </c>
      <c r="H612" s="35" t="b">
        <v>0</v>
      </c>
      <c r="I612" s="35">
        <v>5</v>
      </c>
      <c r="J612" s="35">
        <v>1</v>
      </c>
      <c r="K612" s="35">
        <v>0.22</v>
      </c>
      <c r="L612" s="31" t="str" cm="1">
        <f t="array" ref="L612">_xlfn.IFS(K612&lt;0.15,"Cold",K612&lt;0.25,"Mild",K612&lt;=0.32,"Warm",K612&gt;=0.33,"Hot")</f>
        <v>Mild</v>
      </c>
      <c r="M612" s="35">
        <v>0.2727</v>
      </c>
      <c r="N612" s="35">
        <v>0.8</v>
      </c>
      <c r="O612" s="35" t="str" cm="1">
        <f t="array" ref="O612">_xlfn.IFS(N612&gt;0.61, "High Humidity", N612&gt;=0.6, "Humid", N612&gt;0.4, "Less Humidity", TRUE, "Dry")</f>
        <v>High Humidity</v>
      </c>
      <c r="P612" s="35">
        <v>0</v>
      </c>
      <c r="Q612" s="35" t="str" cm="1">
        <f t="array" ref="Q612">_xlfn.IFS(P612&lt;=0.2,"Low Windspeed",P612&lt;0.4,"Medium Windspeed",P612&gt;=0.41,"High Windspeed")</f>
        <v>Low Windspeed</v>
      </c>
      <c r="R612" s="35">
        <v>10</v>
      </c>
      <c r="S612" s="35">
        <v>70</v>
      </c>
      <c r="T612" s="40">
        <v>80</v>
      </c>
      <c r="U612" s="39" t="str" cm="1">
        <f t="array" ref="U612">_xlfn.IFS(T612&lt;=70,"Low",T612&lt;=160,"Medium",T612&gt;=161,"High")</f>
        <v>Medium</v>
      </c>
    </row>
    <row r="613" spans="1:21" x14ac:dyDescent="0.25">
      <c r="A613" s="33">
        <v>612</v>
      </c>
      <c r="B613" s="34">
        <v>40571</v>
      </c>
      <c r="C613" s="35">
        <v>1</v>
      </c>
      <c r="D613" s="35">
        <v>0</v>
      </c>
      <c r="E613" s="35">
        <v>1</v>
      </c>
      <c r="F613" s="35">
        <v>17</v>
      </c>
      <c r="G613" s="35" t="str" cm="1">
        <f t="array" ref="G613">_xlfn.IFS(F613&lt;4,"Night",F613&lt;=6,"Early Morning",F613&lt;11,"Morning",F613&lt;12,"Afternoon",F613&lt;=16,"Afternoon",F613&lt;=20,"Evening",F613&gt;=21,"Night")</f>
        <v>Evening</v>
      </c>
      <c r="H613" s="35" t="b">
        <v>0</v>
      </c>
      <c r="I613" s="35">
        <v>5</v>
      </c>
      <c r="J613" s="35">
        <v>1</v>
      </c>
      <c r="K613" s="35">
        <v>0.24</v>
      </c>
      <c r="L613" s="31" t="str" cm="1">
        <f t="array" ref="L613">_xlfn.IFS(K613&lt;0.15,"Cold",K613&lt;0.25,"Mild",K613&lt;=0.32,"Warm",K613&gt;=0.33,"Hot")</f>
        <v>Mild</v>
      </c>
      <c r="M613" s="35">
        <v>0.2424</v>
      </c>
      <c r="N613" s="35">
        <v>0.75</v>
      </c>
      <c r="O613" s="35" t="str" cm="1">
        <f t="array" ref="O613">_xlfn.IFS(N613&gt;0.61, "High Humidity", N613&gt;=0.6, "Humid", N613&gt;0.4, "Less Humidity", TRUE, "Dry")</f>
        <v>High Humidity</v>
      </c>
      <c r="P613" s="35">
        <v>0.1343</v>
      </c>
      <c r="Q613" s="35" t="str" cm="1">
        <f t="array" ref="Q613">_xlfn.IFS(P613&lt;=0.2,"Low Windspeed",P613&lt;0.4,"Medium Windspeed",P613&gt;=0.41,"High Windspeed")</f>
        <v>Low Windspeed</v>
      </c>
      <c r="R613" s="35">
        <v>2</v>
      </c>
      <c r="S613" s="35">
        <v>147</v>
      </c>
      <c r="T613" s="40">
        <v>149</v>
      </c>
      <c r="U613" s="39" t="str" cm="1">
        <f t="array" ref="U613">_xlfn.IFS(T613&lt;=70,"Low",T613&lt;=160,"Medium",T613&gt;=161,"High")</f>
        <v>Medium</v>
      </c>
    </row>
    <row r="614" spans="1:21" x14ac:dyDescent="0.25">
      <c r="A614" s="33">
        <v>613</v>
      </c>
      <c r="B614" s="34">
        <v>40571</v>
      </c>
      <c r="C614" s="35">
        <v>1</v>
      </c>
      <c r="D614" s="35">
        <v>0</v>
      </c>
      <c r="E614" s="35">
        <v>1</v>
      </c>
      <c r="F614" s="35">
        <v>18</v>
      </c>
      <c r="G614" s="35" t="str" cm="1">
        <f t="array" ref="G614">_xlfn.IFS(F614&lt;4,"Night",F614&lt;=6,"Early Morning",F614&lt;11,"Morning",F614&lt;12,"Afternoon",F614&lt;=16,"Afternoon",F614&lt;=20,"Evening",F614&gt;=21,"Night")</f>
        <v>Evening</v>
      </c>
      <c r="H614" s="35" t="b">
        <v>0</v>
      </c>
      <c r="I614" s="35">
        <v>5</v>
      </c>
      <c r="J614" s="35">
        <v>1</v>
      </c>
      <c r="K614" s="35">
        <v>0.24</v>
      </c>
      <c r="L614" s="31" t="str" cm="1">
        <f t="array" ref="L614">_xlfn.IFS(K614&lt;0.15,"Cold",K614&lt;0.25,"Mild",K614&lt;=0.32,"Warm",K614&gt;=0.33,"Hot")</f>
        <v>Mild</v>
      </c>
      <c r="M614" s="35">
        <v>0.2273</v>
      </c>
      <c r="N614" s="35">
        <v>0.75</v>
      </c>
      <c r="O614" s="35" t="str" cm="1">
        <f t="array" ref="O614">_xlfn.IFS(N614&gt;0.61, "High Humidity", N614&gt;=0.6, "Humid", N614&gt;0.4, "Less Humidity", TRUE, "Dry")</f>
        <v>High Humidity</v>
      </c>
      <c r="P614" s="35">
        <v>0.19400000000000001</v>
      </c>
      <c r="Q614" s="35" t="str" cm="1">
        <f t="array" ref="Q614">_xlfn.IFS(P614&lt;=0.2,"Low Windspeed",P614&lt;0.4,"Medium Windspeed",P614&gt;=0.41,"High Windspeed")</f>
        <v>Low Windspeed</v>
      </c>
      <c r="R614" s="35">
        <v>2</v>
      </c>
      <c r="S614" s="35">
        <v>107</v>
      </c>
      <c r="T614" s="40">
        <v>109</v>
      </c>
      <c r="U614" s="39" t="str" cm="1">
        <f t="array" ref="U614">_xlfn.IFS(T614&lt;=70,"Low",T614&lt;=160,"Medium",T614&gt;=161,"High")</f>
        <v>Medium</v>
      </c>
    </row>
    <row r="615" spans="1:21" x14ac:dyDescent="0.25">
      <c r="A615" s="33">
        <v>614</v>
      </c>
      <c r="B615" s="34">
        <v>40571</v>
      </c>
      <c r="C615" s="35">
        <v>1</v>
      </c>
      <c r="D615" s="35">
        <v>0</v>
      </c>
      <c r="E615" s="35">
        <v>1</v>
      </c>
      <c r="F615" s="35">
        <v>19</v>
      </c>
      <c r="G615" s="35" t="str" cm="1">
        <f t="array" ref="G615">_xlfn.IFS(F615&lt;4,"Night",F615&lt;=6,"Early Morning",F615&lt;11,"Morning",F615&lt;12,"Afternoon",F615&lt;=16,"Afternoon",F615&lt;=20,"Evening",F615&gt;=21,"Night")</f>
        <v>Evening</v>
      </c>
      <c r="H615" s="35" t="b">
        <v>0</v>
      </c>
      <c r="I615" s="35">
        <v>5</v>
      </c>
      <c r="J615" s="35">
        <v>2</v>
      </c>
      <c r="K615" s="35">
        <v>0.24</v>
      </c>
      <c r="L615" s="31" t="str" cm="1">
        <f t="array" ref="L615">_xlfn.IFS(K615&lt;0.15,"Cold",K615&lt;0.25,"Mild",K615&lt;=0.32,"Warm",K615&gt;=0.33,"Hot")</f>
        <v>Mild</v>
      </c>
      <c r="M615" s="35">
        <v>0.2424</v>
      </c>
      <c r="N615" s="35">
        <v>0.75</v>
      </c>
      <c r="O615" s="35" t="str" cm="1">
        <f t="array" ref="O615">_xlfn.IFS(N615&gt;0.61, "High Humidity", N615&gt;=0.6, "Humid", N615&gt;0.4, "Less Humidity", TRUE, "Dry")</f>
        <v>High Humidity</v>
      </c>
      <c r="P615" s="35">
        <v>0.1343</v>
      </c>
      <c r="Q615" s="35" t="str" cm="1">
        <f t="array" ref="Q615">_xlfn.IFS(P615&lt;=0.2,"Low Windspeed",P615&lt;0.4,"Medium Windspeed",P615&gt;=0.41,"High Windspeed")</f>
        <v>Low Windspeed</v>
      </c>
      <c r="R615" s="35">
        <v>5</v>
      </c>
      <c r="S615" s="35">
        <v>84</v>
      </c>
      <c r="T615" s="40">
        <v>89</v>
      </c>
      <c r="U615" s="39" t="str" cm="1">
        <f t="array" ref="U615">_xlfn.IFS(T615&lt;=70,"Low",T615&lt;=160,"Medium",T615&gt;=161,"High")</f>
        <v>Medium</v>
      </c>
    </row>
    <row r="616" spans="1:21" x14ac:dyDescent="0.25">
      <c r="A616" s="33">
        <v>615</v>
      </c>
      <c r="B616" s="34">
        <v>40571</v>
      </c>
      <c r="C616" s="35">
        <v>1</v>
      </c>
      <c r="D616" s="35">
        <v>0</v>
      </c>
      <c r="E616" s="35">
        <v>1</v>
      </c>
      <c r="F616" s="35">
        <v>20</v>
      </c>
      <c r="G616" s="35" t="str" cm="1">
        <f t="array" ref="G616">_xlfn.IFS(F616&lt;4,"Night",F616&lt;=6,"Early Morning",F616&lt;11,"Morning",F616&lt;12,"Afternoon",F616&lt;=16,"Afternoon",F616&lt;=20,"Evening",F616&gt;=21,"Night")</f>
        <v>Evening</v>
      </c>
      <c r="H616" s="35" t="b">
        <v>0</v>
      </c>
      <c r="I616" s="35">
        <v>5</v>
      </c>
      <c r="J616" s="35">
        <v>2</v>
      </c>
      <c r="K616" s="35">
        <v>0.24</v>
      </c>
      <c r="L616" s="31" t="str" cm="1">
        <f t="array" ref="L616">_xlfn.IFS(K616&lt;0.15,"Cold",K616&lt;0.25,"Mild",K616&lt;=0.32,"Warm",K616&gt;=0.33,"Hot")</f>
        <v>Mild</v>
      </c>
      <c r="M616" s="35">
        <v>0.2273</v>
      </c>
      <c r="N616" s="35">
        <v>0.7</v>
      </c>
      <c r="O616" s="35" t="str" cm="1">
        <f t="array" ref="O616">_xlfn.IFS(N616&gt;0.61, "High Humidity", N616&gt;=0.6, "Humid", N616&gt;0.4, "Less Humidity", TRUE, "Dry")</f>
        <v>High Humidity</v>
      </c>
      <c r="P616" s="35">
        <v>0.19400000000000001</v>
      </c>
      <c r="Q616" s="35" t="str" cm="1">
        <f t="array" ref="Q616">_xlfn.IFS(P616&lt;=0.2,"Low Windspeed",P616&lt;0.4,"Medium Windspeed",P616&gt;=0.41,"High Windspeed")</f>
        <v>Low Windspeed</v>
      </c>
      <c r="R616" s="35">
        <v>1</v>
      </c>
      <c r="S616" s="35">
        <v>61</v>
      </c>
      <c r="T616" s="40">
        <v>62</v>
      </c>
      <c r="U616" s="39" t="str" cm="1">
        <f t="array" ref="U616">_xlfn.IFS(T616&lt;=70,"Low",T616&lt;=160,"Medium",T616&gt;=161,"High")</f>
        <v>Low</v>
      </c>
    </row>
    <row r="617" spans="1:21" x14ac:dyDescent="0.25">
      <c r="A617" s="33">
        <v>616</v>
      </c>
      <c r="B617" s="34">
        <v>40571</v>
      </c>
      <c r="C617" s="35">
        <v>1</v>
      </c>
      <c r="D617" s="35">
        <v>0</v>
      </c>
      <c r="E617" s="35">
        <v>1</v>
      </c>
      <c r="F617" s="35">
        <v>21</v>
      </c>
      <c r="G617" s="35" t="str" cm="1">
        <f t="array" ref="G617">_xlfn.IFS(F617&lt;4,"Night",F617&lt;=6,"Early Morning",F617&lt;11,"Morning",F617&lt;12,"Afternoon",F617&lt;=16,"Afternoon",F617&lt;=20,"Evening",F617&gt;=21,"Night")</f>
        <v>Night</v>
      </c>
      <c r="H617" s="35" t="b">
        <v>0</v>
      </c>
      <c r="I617" s="35">
        <v>5</v>
      </c>
      <c r="J617" s="35">
        <v>2</v>
      </c>
      <c r="K617" s="35">
        <v>0.22</v>
      </c>
      <c r="L617" s="31" t="str" cm="1">
        <f t="array" ref="L617">_xlfn.IFS(K617&lt;0.15,"Cold",K617&lt;0.25,"Mild",K617&lt;=0.32,"Warm",K617&gt;=0.33,"Hot")</f>
        <v>Mild</v>
      </c>
      <c r="M617" s="35">
        <v>0.2273</v>
      </c>
      <c r="N617" s="35">
        <v>0.75</v>
      </c>
      <c r="O617" s="35" t="str" cm="1">
        <f t="array" ref="O617">_xlfn.IFS(N617&gt;0.61, "High Humidity", N617&gt;=0.6, "Humid", N617&gt;0.4, "Less Humidity", TRUE, "Dry")</f>
        <v>High Humidity</v>
      </c>
      <c r="P617" s="35">
        <v>0.1343</v>
      </c>
      <c r="Q617" s="35" t="str" cm="1">
        <f t="array" ref="Q617">_xlfn.IFS(P617&lt;=0.2,"Low Windspeed",P617&lt;0.4,"Medium Windspeed",P617&gt;=0.41,"High Windspeed")</f>
        <v>Low Windspeed</v>
      </c>
      <c r="R617" s="35">
        <v>1</v>
      </c>
      <c r="S617" s="35">
        <v>57</v>
      </c>
      <c r="T617" s="40">
        <v>58</v>
      </c>
      <c r="U617" s="39" t="str" cm="1">
        <f t="array" ref="U617">_xlfn.IFS(T617&lt;=70,"Low",T617&lt;=160,"Medium",T617&gt;=161,"High")</f>
        <v>Low</v>
      </c>
    </row>
    <row r="618" spans="1:21" x14ac:dyDescent="0.25">
      <c r="A618" s="33">
        <v>617</v>
      </c>
      <c r="B618" s="34">
        <v>40571</v>
      </c>
      <c r="C618" s="35">
        <v>1</v>
      </c>
      <c r="D618" s="35">
        <v>0</v>
      </c>
      <c r="E618" s="35">
        <v>1</v>
      </c>
      <c r="F618" s="35">
        <v>22</v>
      </c>
      <c r="G618" s="35" t="str" cm="1">
        <f t="array" ref="G618">_xlfn.IFS(F618&lt;4,"Night",F618&lt;=6,"Early Morning",F618&lt;11,"Morning",F618&lt;12,"Afternoon",F618&lt;=16,"Afternoon",F618&lt;=20,"Evening",F618&gt;=21,"Night")</f>
        <v>Night</v>
      </c>
      <c r="H618" s="35" t="b">
        <v>0</v>
      </c>
      <c r="I618" s="35">
        <v>5</v>
      </c>
      <c r="J618" s="35">
        <v>1</v>
      </c>
      <c r="K618" s="35">
        <v>0.24</v>
      </c>
      <c r="L618" s="31" t="str" cm="1">
        <f t="array" ref="L618">_xlfn.IFS(K618&lt;0.15,"Cold",K618&lt;0.25,"Mild",K618&lt;=0.32,"Warm",K618&gt;=0.33,"Hot")</f>
        <v>Mild</v>
      </c>
      <c r="M618" s="35">
        <v>0.21210000000000001</v>
      </c>
      <c r="N618" s="35">
        <v>0.65</v>
      </c>
      <c r="O618" s="35" t="str" cm="1">
        <f t="array" ref="O618">_xlfn.IFS(N618&gt;0.61, "High Humidity", N618&gt;=0.6, "Humid", N618&gt;0.4, "Less Humidity", TRUE, "Dry")</f>
        <v>High Humidity</v>
      </c>
      <c r="P618" s="35">
        <v>0.35820000000000002</v>
      </c>
      <c r="Q618" s="35" t="str" cm="1">
        <f t="array" ref="Q618">_xlfn.IFS(P618&lt;=0.2,"Low Windspeed",P618&lt;0.4,"Medium Windspeed",P618&gt;=0.41,"High Windspeed")</f>
        <v>Medium Windspeed</v>
      </c>
      <c r="R618" s="35">
        <v>0</v>
      </c>
      <c r="S618" s="35">
        <v>26</v>
      </c>
      <c r="T618" s="40">
        <v>26</v>
      </c>
      <c r="U618" s="39" t="str" cm="1">
        <f t="array" ref="U618">_xlfn.IFS(T618&lt;=70,"Low",T618&lt;=160,"Medium",T618&gt;=161,"High")</f>
        <v>Low</v>
      </c>
    </row>
    <row r="619" spans="1:21" x14ac:dyDescent="0.25">
      <c r="A619" s="33">
        <v>618</v>
      </c>
      <c r="B619" s="34">
        <v>40571</v>
      </c>
      <c r="C619" s="35">
        <v>1</v>
      </c>
      <c r="D619" s="35">
        <v>0</v>
      </c>
      <c r="E619" s="35">
        <v>1</v>
      </c>
      <c r="F619" s="35">
        <v>23</v>
      </c>
      <c r="G619" s="35" t="str" cm="1">
        <f t="array" ref="G619">_xlfn.IFS(F619&lt;4,"Night",F619&lt;=6,"Early Morning",F619&lt;11,"Morning",F619&lt;12,"Afternoon",F619&lt;=16,"Afternoon",F619&lt;=20,"Evening",F619&gt;=21,"Night")</f>
        <v>Night</v>
      </c>
      <c r="H619" s="35" t="b">
        <v>0</v>
      </c>
      <c r="I619" s="35">
        <v>5</v>
      </c>
      <c r="J619" s="35">
        <v>1</v>
      </c>
      <c r="K619" s="35">
        <v>0.24</v>
      </c>
      <c r="L619" s="31" t="str" cm="1">
        <f t="array" ref="L619">_xlfn.IFS(K619&lt;0.15,"Cold",K619&lt;0.25,"Mild",K619&lt;=0.32,"Warm",K619&gt;=0.33,"Hot")</f>
        <v>Mild</v>
      </c>
      <c r="M619" s="35">
        <v>0.2273</v>
      </c>
      <c r="N619" s="35">
        <v>0.6</v>
      </c>
      <c r="O619" s="35" t="str" cm="1">
        <f t="array" ref="O619">_xlfn.IFS(N619&gt;0.61, "High Humidity", N619&gt;=0.6, "Humid", N619&gt;0.4, "Less Humidity", TRUE, "Dry")</f>
        <v>Humid</v>
      </c>
      <c r="P619" s="35">
        <v>0.22389999999999999</v>
      </c>
      <c r="Q619" s="35" t="str" cm="1">
        <f t="array" ref="Q619">_xlfn.IFS(P619&lt;=0.2,"Low Windspeed",P619&lt;0.4,"Medium Windspeed",P619&gt;=0.41,"High Windspeed")</f>
        <v>Medium Windspeed</v>
      </c>
      <c r="R619" s="35">
        <v>1</v>
      </c>
      <c r="S619" s="35">
        <v>22</v>
      </c>
      <c r="T619" s="40">
        <v>23</v>
      </c>
      <c r="U619" s="39" t="str" cm="1">
        <f t="array" ref="U619">_xlfn.IFS(T619&lt;=70,"Low",T619&lt;=160,"Medium",T619&gt;=161,"High")</f>
        <v>Low</v>
      </c>
    </row>
    <row r="620" spans="1:21" x14ac:dyDescent="0.25">
      <c r="A620" s="33">
        <v>619</v>
      </c>
      <c r="B620" s="34">
        <v>40572</v>
      </c>
      <c r="C620" s="35">
        <v>1</v>
      </c>
      <c r="D620" s="35">
        <v>0</v>
      </c>
      <c r="E620" s="35">
        <v>1</v>
      </c>
      <c r="F620" s="35">
        <v>0</v>
      </c>
      <c r="G620" s="35" t="str" cm="1">
        <f t="array" ref="G620">_xlfn.IFS(F620&lt;4,"Night",F620&lt;=6,"Early Morning",F620&lt;11,"Morning",F620&lt;12,"Afternoon",F620&lt;=16,"Afternoon",F620&lt;=20,"Evening",F620&gt;=21,"Night")</f>
        <v>Night</v>
      </c>
      <c r="H620" s="35" t="b">
        <v>0</v>
      </c>
      <c r="I620" s="35">
        <v>6</v>
      </c>
      <c r="J620" s="35">
        <v>1</v>
      </c>
      <c r="K620" s="35">
        <v>0.22</v>
      </c>
      <c r="L620" s="31" t="str" cm="1">
        <f t="array" ref="L620">_xlfn.IFS(K620&lt;0.15,"Cold",K620&lt;0.25,"Mild",K620&lt;=0.32,"Warm",K620&gt;=0.33,"Hot")</f>
        <v>Mild</v>
      </c>
      <c r="M620" s="35">
        <v>0.19700000000000001</v>
      </c>
      <c r="N620" s="35">
        <v>0.64</v>
      </c>
      <c r="O620" s="35" t="str" cm="1">
        <f t="array" ref="O620">_xlfn.IFS(N620&gt;0.61, "High Humidity", N620&gt;=0.6, "Humid", N620&gt;0.4, "Less Humidity", TRUE, "Dry")</f>
        <v>High Humidity</v>
      </c>
      <c r="P620" s="35">
        <v>0.35820000000000002</v>
      </c>
      <c r="Q620" s="35" t="str" cm="1">
        <f t="array" ref="Q620">_xlfn.IFS(P620&lt;=0.2,"Low Windspeed",P620&lt;0.4,"Medium Windspeed",P620&gt;=0.41,"High Windspeed")</f>
        <v>Medium Windspeed</v>
      </c>
      <c r="R620" s="35">
        <v>2</v>
      </c>
      <c r="S620" s="35">
        <v>26</v>
      </c>
      <c r="T620" s="40">
        <v>28</v>
      </c>
      <c r="U620" s="39" t="str" cm="1">
        <f t="array" ref="U620">_xlfn.IFS(T620&lt;=70,"Low",T620&lt;=160,"Medium",T620&gt;=161,"High")</f>
        <v>Low</v>
      </c>
    </row>
    <row r="621" spans="1:21" x14ac:dyDescent="0.25">
      <c r="A621" s="33">
        <v>620</v>
      </c>
      <c r="B621" s="34">
        <v>40572</v>
      </c>
      <c r="C621" s="35">
        <v>1</v>
      </c>
      <c r="D621" s="35">
        <v>0</v>
      </c>
      <c r="E621" s="35">
        <v>1</v>
      </c>
      <c r="F621" s="35">
        <v>1</v>
      </c>
      <c r="G621" s="35" t="str" cm="1">
        <f t="array" ref="G621">_xlfn.IFS(F621&lt;4,"Night",F621&lt;=6,"Early Morning",F621&lt;11,"Morning",F621&lt;12,"Afternoon",F621&lt;=16,"Afternoon",F621&lt;=20,"Evening",F621&gt;=21,"Night")</f>
        <v>Night</v>
      </c>
      <c r="H621" s="35" t="b">
        <v>0</v>
      </c>
      <c r="I621" s="35">
        <v>6</v>
      </c>
      <c r="J621" s="35">
        <v>1</v>
      </c>
      <c r="K621" s="35">
        <v>0.22</v>
      </c>
      <c r="L621" s="31" t="str" cm="1">
        <f t="array" ref="L621">_xlfn.IFS(K621&lt;0.15,"Cold",K621&lt;0.25,"Mild",K621&lt;=0.32,"Warm",K621&gt;=0.33,"Hot")</f>
        <v>Mild</v>
      </c>
      <c r="M621" s="35">
        <v>0.2273</v>
      </c>
      <c r="N621" s="35">
        <v>0.64</v>
      </c>
      <c r="O621" s="35" t="str" cm="1">
        <f t="array" ref="O621">_xlfn.IFS(N621&gt;0.61, "High Humidity", N621&gt;=0.6, "Humid", N621&gt;0.4, "Less Humidity", TRUE, "Dry")</f>
        <v>High Humidity</v>
      </c>
      <c r="P621" s="35">
        <v>0.19400000000000001</v>
      </c>
      <c r="Q621" s="35" t="str" cm="1">
        <f t="array" ref="Q621">_xlfn.IFS(P621&lt;=0.2,"Low Windspeed",P621&lt;0.4,"Medium Windspeed",P621&gt;=0.41,"High Windspeed")</f>
        <v>Low Windspeed</v>
      </c>
      <c r="R621" s="35">
        <v>0</v>
      </c>
      <c r="S621" s="35">
        <v>20</v>
      </c>
      <c r="T621" s="40">
        <v>20</v>
      </c>
      <c r="U621" s="39" t="str" cm="1">
        <f t="array" ref="U621">_xlfn.IFS(T621&lt;=70,"Low",T621&lt;=160,"Medium",T621&gt;=161,"High")</f>
        <v>Low</v>
      </c>
    </row>
    <row r="622" spans="1:21" x14ac:dyDescent="0.25">
      <c r="A622" s="33">
        <v>621</v>
      </c>
      <c r="B622" s="34">
        <v>40572</v>
      </c>
      <c r="C622" s="35">
        <v>1</v>
      </c>
      <c r="D622" s="35">
        <v>0</v>
      </c>
      <c r="E622" s="35">
        <v>1</v>
      </c>
      <c r="F622" s="35">
        <v>2</v>
      </c>
      <c r="G622" s="35" t="str" cm="1">
        <f t="array" ref="G622">_xlfn.IFS(F622&lt;4,"Night",F622&lt;=6,"Early Morning",F622&lt;11,"Morning",F622&lt;12,"Afternoon",F622&lt;=16,"Afternoon",F622&lt;=20,"Evening",F622&gt;=21,"Night")</f>
        <v>Night</v>
      </c>
      <c r="H622" s="35" t="b">
        <v>0</v>
      </c>
      <c r="I622" s="35">
        <v>6</v>
      </c>
      <c r="J622" s="35">
        <v>1</v>
      </c>
      <c r="K622" s="35">
        <v>0.22</v>
      </c>
      <c r="L622" s="31" t="str" cm="1">
        <f t="array" ref="L622">_xlfn.IFS(K622&lt;0.15,"Cold",K622&lt;0.25,"Mild",K622&lt;=0.32,"Warm",K622&gt;=0.33,"Hot")</f>
        <v>Mild</v>
      </c>
      <c r="M622" s="35">
        <v>0.2273</v>
      </c>
      <c r="N622" s="35">
        <v>0.64</v>
      </c>
      <c r="O622" s="35" t="str" cm="1">
        <f t="array" ref="O622">_xlfn.IFS(N622&gt;0.61, "High Humidity", N622&gt;=0.6, "Humid", N622&gt;0.4, "Less Humidity", TRUE, "Dry")</f>
        <v>High Humidity</v>
      </c>
      <c r="P622" s="35">
        <v>0.16420000000000001</v>
      </c>
      <c r="Q622" s="35" t="str" cm="1">
        <f t="array" ref="Q622">_xlfn.IFS(P622&lt;=0.2,"Low Windspeed",P622&lt;0.4,"Medium Windspeed",P622&gt;=0.41,"High Windspeed")</f>
        <v>Low Windspeed</v>
      </c>
      <c r="R622" s="35">
        <v>0</v>
      </c>
      <c r="S622" s="35">
        <v>15</v>
      </c>
      <c r="T622" s="40">
        <v>15</v>
      </c>
      <c r="U622" s="39" t="str" cm="1">
        <f t="array" ref="U622">_xlfn.IFS(T622&lt;=70,"Low",T622&lt;=160,"Medium",T622&gt;=161,"High")</f>
        <v>Low</v>
      </c>
    </row>
    <row r="623" spans="1:21" x14ac:dyDescent="0.25">
      <c r="A623" s="33">
        <v>622</v>
      </c>
      <c r="B623" s="34">
        <v>40572</v>
      </c>
      <c r="C623" s="35">
        <v>1</v>
      </c>
      <c r="D623" s="35">
        <v>0</v>
      </c>
      <c r="E623" s="35">
        <v>1</v>
      </c>
      <c r="F623" s="35">
        <v>3</v>
      </c>
      <c r="G623" s="35" t="str" cm="1">
        <f t="array" ref="G623">_xlfn.IFS(F623&lt;4,"Night",F623&lt;=6,"Early Morning",F623&lt;11,"Morning",F623&lt;12,"Afternoon",F623&lt;=16,"Afternoon",F623&lt;=20,"Evening",F623&gt;=21,"Night")</f>
        <v>Night</v>
      </c>
      <c r="H623" s="35" t="b">
        <v>0</v>
      </c>
      <c r="I623" s="35">
        <v>6</v>
      </c>
      <c r="J623" s="35">
        <v>1</v>
      </c>
      <c r="K623" s="35">
        <v>0.2</v>
      </c>
      <c r="L623" s="31" t="str" cm="1">
        <f t="array" ref="L623">_xlfn.IFS(K623&lt;0.15,"Cold",K623&lt;0.25,"Mild",K623&lt;=0.32,"Warm",K623&gt;=0.33,"Hot")</f>
        <v>Mild</v>
      </c>
      <c r="M623" s="35">
        <v>0.21210000000000001</v>
      </c>
      <c r="N623" s="35">
        <v>0.64</v>
      </c>
      <c r="O623" s="35" t="str" cm="1">
        <f t="array" ref="O623">_xlfn.IFS(N623&gt;0.61, "High Humidity", N623&gt;=0.6, "Humid", N623&gt;0.4, "Less Humidity", TRUE, "Dry")</f>
        <v>High Humidity</v>
      </c>
      <c r="P623" s="35">
        <v>0.1343</v>
      </c>
      <c r="Q623" s="35" t="str" cm="1">
        <f t="array" ref="Q623">_xlfn.IFS(P623&lt;=0.2,"Low Windspeed",P623&lt;0.4,"Medium Windspeed",P623&gt;=0.41,"High Windspeed")</f>
        <v>Low Windspeed</v>
      </c>
      <c r="R623" s="35">
        <v>3</v>
      </c>
      <c r="S623" s="35">
        <v>5</v>
      </c>
      <c r="T623" s="40">
        <v>8</v>
      </c>
      <c r="U623" s="39" t="str" cm="1">
        <f t="array" ref="U623">_xlfn.IFS(T623&lt;=70,"Low",T623&lt;=160,"Medium",T623&gt;=161,"High")</f>
        <v>Low</v>
      </c>
    </row>
    <row r="624" spans="1:21" x14ac:dyDescent="0.25">
      <c r="A624" s="33">
        <v>623</v>
      </c>
      <c r="B624" s="34">
        <v>40572</v>
      </c>
      <c r="C624" s="35">
        <v>1</v>
      </c>
      <c r="D624" s="35">
        <v>0</v>
      </c>
      <c r="E624" s="35">
        <v>1</v>
      </c>
      <c r="F624" s="35">
        <v>4</v>
      </c>
      <c r="G624" s="35" t="str" cm="1">
        <f t="array" ref="G624">_xlfn.IFS(F624&lt;4,"Night",F624&lt;=6,"Early Morning",F624&lt;11,"Morning",F624&lt;12,"Afternoon",F624&lt;=16,"Afternoon",F624&lt;=20,"Evening",F624&gt;=21,"Night")</f>
        <v>Early Morning</v>
      </c>
      <c r="H624" s="35" t="b">
        <v>0</v>
      </c>
      <c r="I624" s="35">
        <v>6</v>
      </c>
      <c r="J624" s="35">
        <v>1</v>
      </c>
      <c r="K624" s="35">
        <v>0.16</v>
      </c>
      <c r="L624" s="31" t="str" cm="1">
        <f t="array" ref="L624">_xlfn.IFS(K624&lt;0.15,"Cold",K624&lt;0.25,"Mild",K624&lt;=0.32,"Warm",K624&gt;=0.33,"Hot")</f>
        <v>Mild</v>
      </c>
      <c r="M624" s="35">
        <v>0.18179999999999999</v>
      </c>
      <c r="N624" s="35">
        <v>0.69</v>
      </c>
      <c r="O624" s="35" t="str" cm="1">
        <f t="array" ref="O624">_xlfn.IFS(N624&gt;0.61, "High Humidity", N624&gt;=0.6, "Humid", N624&gt;0.4, "Less Humidity", TRUE, "Dry")</f>
        <v>High Humidity</v>
      </c>
      <c r="P624" s="35">
        <v>0.1045</v>
      </c>
      <c r="Q624" s="35" t="str" cm="1">
        <f t="array" ref="Q624">_xlfn.IFS(P624&lt;=0.2,"Low Windspeed",P624&lt;0.4,"Medium Windspeed",P624&gt;=0.41,"High Windspeed")</f>
        <v>Low Windspeed</v>
      </c>
      <c r="R624" s="35">
        <v>1</v>
      </c>
      <c r="S624" s="35">
        <v>2</v>
      </c>
      <c r="T624" s="40">
        <v>3</v>
      </c>
      <c r="U624" s="39" t="str" cm="1">
        <f t="array" ref="U624">_xlfn.IFS(T624&lt;=70,"Low",T624&lt;=160,"Medium",T624&gt;=161,"High")</f>
        <v>Low</v>
      </c>
    </row>
    <row r="625" spans="1:21" x14ac:dyDescent="0.25">
      <c r="A625" s="33">
        <v>624</v>
      </c>
      <c r="B625" s="34">
        <v>40572</v>
      </c>
      <c r="C625" s="35">
        <v>1</v>
      </c>
      <c r="D625" s="35">
        <v>0</v>
      </c>
      <c r="E625" s="35">
        <v>1</v>
      </c>
      <c r="F625" s="35">
        <v>6</v>
      </c>
      <c r="G625" s="35" t="str" cm="1">
        <f t="array" ref="G625">_xlfn.IFS(F625&lt;4,"Night",F625&lt;=6,"Early Morning",F625&lt;11,"Morning",F625&lt;12,"Afternoon",F625&lt;=16,"Afternoon",F625&lt;=20,"Evening",F625&gt;=21,"Night")</f>
        <v>Early Morning</v>
      </c>
      <c r="H625" s="35" t="b">
        <v>0</v>
      </c>
      <c r="I625" s="35">
        <v>6</v>
      </c>
      <c r="J625" s="35">
        <v>1</v>
      </c>
      <c r="K625" s="35">
        <v>0.16</v>
      </c>
      <c r="L625" s="31" t="str" cm="1">
        <f t="array" ref="L625">_xlfn.IFS(K625&lt;0.15,"Cold",K625&lt;0.25,"Mild",K625&lt;=0.32,"Warm",K625&gt;=0.33,"Hot")</f>
        <v>Mild</v>
      </c>
      <c r="M625" s="35">
        <v>0.18179999999999999</v>
      </c>
      <c r="N625" s="35">
        <v>0.64</v>
      </c>
      <c r="O625" s="35" t="str" cm="1">
        <f t="array" ref="O625">_xlfn.IFS(N625&gt;0.61, "High Humidity", N625&gt;=0.6, "Humid", N625&gt;0.4, "Less Humidity", TRUE, "Dry")</f>
        <v>High Humidity</v>
      </c>
      <c r="P625" s="35">
        <v>0.1343</v>
      </c>
      <c r="Q625" s="35" t="str" cm="1">
        <f t="array" ref="Q625">_xlfn.IFS(P625&lt;=0.2,"Low Windspeed",P625&lt;0.4,"Medium Windspeed",P625&gt;=0.41,"High Windspeed")</f>
        <v>Low Windspeed</v>
      </c>
      <c r="R625" s="35">
        <v>0</v>
      </c>
      <c r="S625" s="35">
        <v>2</v>
      </c>
      <c r="T625" s="40">
        <v>2</v>
      </c>
      <c r="U625" s="39" t="str" cm="1">
        <f t="array" ref="U625">_xlfn.IFS(T625&lt;=70,"Low",T625&lt;=160,"Medium",T625&gt;=161,"High")</f>
        <v>Low</v>
      </c>
    </row>
    <row r="626" spans="1:21" x14ac:dyDescent="0.25">
      <c r="A626" s="33">
        <v>625</v>
      </c>
      <c r="B626" s="34">
        <v>40572</v>
      </c>
      <c r="C626" s="35">
        <v>1</v>
      </c>
      <c r="D626" s="35">
        <v>0</v>
      </c>
      <c r="E626" s="35">
        <v>1</v>
      </c>
      <c r="F626" s="35">
        <v>7</v>
      </c>
      <c r="G626" s="35" t="str" cm="1">
        <f t="array" ref="G626">_xlfn.IFS(F626&lt;4,"Night",F626&lt;=6,"Early Morning",F626&lt;11,"Morning",F626&lt;12,"Afternoon",F626&lt;=16,"Afternoon",F626&lt;=20,"Evening",F626&gt;=21,"Night")</f>
        <v>Morning</v>
      </c>
      <c r="H626" s="35" t="b">
        <v>0</v>
      </c>
      <c r="I626" s="35">
        <v>6</v>
      </c>
      <c r="J626" s="35">
        <v>1</v>
      </c>
      <c r="K626" s="35">
        <v>0.16</v>
      </c>
      <c r="L626" s="31" t="str" cm="1">
        <f t="array" ref="L626">_xlfn.IFS(K626&lt;0.15,"Cold",K626&lt;0.25,"Mild",K626&lt;=0.32,"Warm",K626&gt;=0.33,"Hot")</f>
        <v>Mild</v>
      </c>
      <c r="M626" s="35">
        <v>0.18179999999999999</v>
      </c>
      <c r="N626" s="35">
        <v>0.59</v>
      </c>
      <c r="O626" s="35" t="str" cm="1">
        <f t="array" ref="O626">_xlfn.IFS(N626&gt;0.61, "High Humidity", N626&gt;=0.6, "Humid", N626&gt;0.4, "Less Humidity", TRUE, "Dry")</f>
        <v>Less Humidity</v>
      </c>
      <c r="P626" s="35">
        <v>0.1045</v>
      </c>
      <c r="Q626" s="35" t="str" cm="1">
        <f t="array" ref="Q626">_xlfn.IFS(P626&lt;=0.2,"Low Windspeed",P626&lt;0.4,"Medium Windspeed",P626&gt;=0.41,"High Windspeed")</f>
        <v>Low Windspeed</v>
      </c>
      <c r="R626" s="35">
        <v>1</v>
      </c>
      <c r="S626" s="35">
        <v>4</v>
      </c>
      <c r="T626" s="40">
        <v>5</v>
      </c>
      <c r="U626" s="39" t="str" cm="1">
        <f t="array" ref="U626">_xlfn.IFS(T626&lt;=70,"Low",T626&lt;=160,"Medium",T626&gt;=161,"High")</f>
        <v>Low</v>
      </c>
    </row>
    <row r="627" spans="1:21" x14ac:dyDescent="0.25">
      <c r="A627" s="33">
        <v>626</v>
      </c>
      <c r="B627" s="34">
        <v>40572</v>
      </c>
      <c r="C627" s="35">
        <v>1</v>
      </c>
      <c r="D627" s="35">
        <v>0</v>
      </c>
      <c r="E627" s="35">
        <v>1</v>
      </c>
      <c r="F627" s="35">
        <v>8</v>
      </c>
      <c r="G627" s="35" t="str" cm="1">
        <f t="array" ref="G627">_xlfn.IFS(F627&lt;4,"Night",F627&lt;=6,"Early Morning",F627&lt;11,"Morning",F627&lt;12,"Afternoon",F627&lt;=16,"Afternoon",F627&lt;=20,"Evening",F627&gt;=21,"Night")</f>
        <v>Morning</v>
      </c>
      <c r="H627" s="35" t="b">
        <v>0</v>
      </c>
      <c r="I627" s="35">
        <v>6</v>
      </c>
      <c r="J627" s="35">
        <v>1</v>
      </c>
      <c r="K627" s="35">
        <v>0.18</v>
      </c>
      <c r="L627" s="31" t="str" cm="1">
        <f t="array" ref="L627">_xlfn.IFS(K627&lt;0.15,"Cold",K627&lt;0.25,"Mild",K627&lt;=0.32,"Warm",K627&gt;=0.33,"Hot")</f>
        <v>Mild</v>
      </c>
      <c r="M627" s="35">
        <v>0.19700000000000001</v>
      </c>
      <c r="N627" s="35">
        <v>0.55000000000000004</v>
      </c>
      <c r="O627" s="35" t="str" cm="1">
        <f t="array" ref="O627">_xlfn.IFS(N627&gt;0.61, "High Humidity", N627&gt;=0.6, "Humid", N627&gt;0.4, "Less Humidity", TRUE, "Dry")</f>
        <v>Less Humidity</v>
      </c>
      <c r="P627" s="35">
        <v>0.16420000000000001</v>
      </c>
      <c r="Q627" s="35" t="str" cm="1">
        <f t="array" ref="Q627">_xlfn.IFS(P627&lt;=0.2,"Low Windspeed",P627&lt;0.4,"Medium Windspeed",P627&gt;=0.41,"High Windspeed")</f>
        <v>Low Windspeed</v>
      </c>
      <c r="R627" s="35">
        <v>3</v>
      </c>
      <c r="S627" s="35">
        <v>31</v>
      </c>
      <c r="T627" s="40">
        <v>34</v>
      </c>
      <c r="U627" s="39" t="str" cm="1">
        <f t="array" ref="U627">_xlfn.IFS(T627&lt;=70,"Low",T627&lt;=160,"Medium",T627&gt;=161,"High")</f>
        <v>Low</v>
      </c>
    </row>
    <row r="628" spans="1:21" x14ac:dyDescent="0.25">
      <c r="A628" s="33">
        <v>627</v>
      </c>
      <c r="B628" s="34">
        <v>40572</v>
      </c>
      <c r="C628" s="35">
        <v>1</v>
      </c>
      <c r="D628" s="35">
        <v>0</v>
      </c>
      <c r="E628" s="35">
        <v>1</v>
      </c>
      <c r="F628" s="35">
        <v>9</v>
      </c>
      <c r="G628" s="35" t="str" cm="1">
        <f t="array" ref="G628">_xlfn.IFS(F628&lt;4,"Night",F628&lt;=6,"Early Morning",F628&lt;11,"Morning",F628&lt;12,"Afternoon",F628&lt;=16,"Afternoon",F628&lt;=20,"Evening",F628&gt;=21,"Night")</f>
        <v>Morning</v>
      </c>
      <c r="H628" s="35" t="b">
        <v>0</v>
      </c>
      <c r="I628" s="35">
        <v>6</v>
      </c>
      <c r="J628" s="35">
        <v>1</v>
      </c>
      <c r="K628" s="35">
        <v>0.18</v>
      </c>
      <c r="L628" s="31" t="str" cm="1">
        <f t="array" ref="L628">_xlfn.IFS(K628&lt;0.15,"Cold",K628&lt;0.25,"Mild",K628&lt;=0.32,"Warm",K628&gt;=0.33,"Hot")</f>
        <v>Mild</v>
      </c>
      <c r="M628" s="35">
        <v>0.21210000000000001</v>
      </c>
      <c r="N628" s="35">
        <v>0.59</v>
      </c>
      <c r="O628" s="35" t="str" cm="1">
        <f t="array" ref="O628">_xlfn.IFS(N628&gt;0.61, "High Humidity", N628&gt;=0.6, "Humid", N628&gt;0.4, "Less Humidity", TRUE, "Dry")</f>
        <v>Less Humidity</v>
      </c>
      <c r="P628" s="35">
        <v>8.9599999999999999E-2</v>
      </c>
      <c r="Q628" s="35" t="str" cm="1">
        <f t="array" ref="Q628">_xlfn.IFS(P628&lt;=0.2,"Low Windspeed",P628&lt;0.4,"Medium Windspeed",P628&gt;=0.41,"High Windspeed")</f>
        <v>Low Windspeed</v>
      </c>
      <c r="R628" s="35">
        <v>0</v>
      </c>
      <c r="S628" s="35">
        <v>34</v>
      </c>
      <c r="T628" s="40">
        <v>34</v>
      </c>
      <c r="U628" s="39" t="str" cm="1">
        <f t="array" ref="U628">_xlfn.IFS(T628&lt;=70,"Low",T628&lt;=160,"Medium",T628&gt;=161,"High")</f>
        <v>Low</v>
      </c>
    </row>
    <row r="629" spans="1:21" x14ac:dyDescent="0.25">
      <c r="A629" s="33">
        <v>628</v>
      </c>
      <c r="B629" s="34">
        <v>40572</v>
      </c>
      <c r="C629" s="35">
        <v>1</v>
      </c>
      <c r="D629" s="35">
        <v>0</v>
      </c>
      <c r="E629" s="35">
        <v>1</v>
      </c>
      <c r="F629" s="35">
        <v>10</v>
      </c>
      <c r="G629" s="35" t="str" cm="1">
        <f t="array" ref="G629">_xlfn.IFS(F629&lt;4,"Night",F629&lt;=6,"Early Morning",F629&lt;11,"Morning",F629&lt;12,"Afternoon",F629&lt;=16,"Afternoon",F629&lt;=20,"Evening",F629&gt;=21,"Night")</f>
        <v>Morning</v>
      </c>
      <c r="H629" s="35" t="b">
        <v>0</v>
      </c>
      <c r="I629" s="35">
        <v>6</v>
      </c>
      <c r="J629" s="35">
        <v>2</v>
      </c>
      <c r="K629" s="35">
        <v>0.18</v>
      </c>
      <c r="L629" s="31" t="str" cm="1">
        <f t="array" ref="L629">_xlfn.IFS(K629&lt;0.15,"Cold",K629&lt;0.25,"Mild",K629&lt;=0.32,"Warm",K629&gt;=0.33,"Hot")</f>
        <v>Mild</v>
      </c>
      <c r="M629" s="35">
        <v>0.21210000000000001</v>
      </c>
      <c r="N629" s="35">
        <v>0.64</v>
      </c>
      <c r="O629" s="35" t="str" cm="1">
        <f t="array" ref="O629">_xlfn.IFS(N629&gt;0.61, "High Humidity", N629&gt;=0.6, "Humid", N629&gt;0.4, "Less Humidity", TRUE, "Dry")</f>
        <v>High Humidity</v>
      </c>
      <c r="P629" s="35">
        <v>0.1045</v>
      </c>
      <c r="Q629" s="35" t="str" cm="1">
        <f t="array" ref="Q629">_xlfn.IFS(P629&lt;=0.2,"Low Windspeed",P629&lt;0.4,"Medium Windspeed",P629&gt;=0.41,"High Windspeed")</f>
        <v>Low Windspeed</v>
      </c>
      <c r="R629" s="35">
        <v>4</v>
      </c>
      <c r="S629" s="35">
        <v>51</v>
      </c>
      <c r="T629" s="40">
        <v>55</v>
      </c>
      <c r="U629" s="39" t="str" cm="1">
        <f t="array" ref="U629">_xlfn.IFS(T629&lt;=70,"Low",T629&lt;=160,"Medium",T629&gt;=161,"High")</f>
        <v>Low</v>
      </c>
    </row>
    <row r="630" spans="1:21" x14ac:dyDescent="0.25">
      <c r="A630" s="33">
        <v>629</v>
      </c>
      <c r="B630" s="34">
        <v>40572</v>
      </c>
      <c r="C630" s="35">
        <v>1</v>
      </c>
      <c r="D630" s="35">
        <v>0</v>
      </c>
      <c r="E630" s="35">
        <v>1</v>
      </c>
      <c r="F630" s="35">
        <v>11</v>
      </c>
      <c r="G630" s="35" t="str" cm="1">
        <f t="array" ref="G630">_xlfn.IFS(F630&lt;4,"Night",F630&lt;=6,"Early Morning",F630&lt;11,"Morning",F630&lt;12,"Afternoon",F630&lt;=16,"Afternoon",F630&lt;=20,"Evening",F630&gt;=21,"Night")</f>
        <v>Afternoon</v>
      </c>
      <c r="H630" s="35" t="b">
        <v>0</v>
      </c>
      <c r="I630" s="35">
        <v>6</v>
      </c>
      <c r="J630" s="35">
        <v>2</v>
      </c>
      <c r="K630" s="35">
        <v>0.18</v>
      </c>
      <c r="L630" s="31" t="str" cm="1">
        <f t="array" ref="L630">_xlfn.IFS(K630&lt;0.15,"Cold",K630&lt;0.25,"Mild",K630&lt;=0.32,"Warm",K630&gt;=0.33,"Hot")</f>
        <v>Mild</v>
      </c>
      <c r="M630" s="35">
        <v>0.19700000000000001</v>
      </c>
      <c r="N630" s="35">
        <v>0.64</v>
      </c>
      <c r="O630" s="35" t="str" cm="1">
        <f t="array" ref="O630">_xlfn.IFS(N630&gt;0.61, "High Humidity", N630&gt;=0.6, "Humid", N630&gt;0.4, "Less Humidity", TRUE, "Dry")</f>
        <v>High Humidity</v>
      </c>
      <c r="P630" s="35">
        <v>0.1343</v>
      </c>
      <c r="Q630" s="35" t="str" cm="1">
        <f t="array" ref="Q630">_xlfn.IFS(P630&lt;=0.2,"Low Windspeed",P630&lt;0.4,"Medium Windspeed",P630&gt;=0.41,"High Windspeed")</f>
        <v>Low Windspeed</v>
      </c>
      <c r="R630" s="35">
        <v>4</v>
      </c>
      <c r="S630" s="35">
        <v>60</v>
      </c>
      <c r="T630" s="40">
        <v>64</v>
      </c>
      <c r="U630" s="39" t="str" cm="1">
        <f t="array" ref="U630">_xlfn.IFS(T630&lt;=70,"Low",T630&lt;=160,"Medium",T630&gt;=161,"High")</f>
        <v>Low</v>
      </c>
    </row>
    <row r="631" spans="1:21" x14ac:dyDescent="0.25">
      <c r="A631" s="33">
        <v>630</v>
      </c>
      <c r="B631" s="34">
        <v>40572</v>
      </c>
      <c r="C631" s="35">
        <v>1</v>
      </c>
      <c r="D631" s="35">
        <v>0</v>
      </c>
      <c r="E631" s="35">
        <v>1</v>
      </c>
      <c r="F631" s="35">
        <v>12</v>
      </c>
      <c r="G631" s="35" t="str" cm="1">
        <f t="array" ref="G631">_xlfn.IFS(F631&lt;4,"Night",F631&lt;=6,"Early Morning",F631&lt;11,"Morning",F631&lt;12,"Afternoon",F631&lt;=16,"Afternoon",F631&lt;=20,"Evening",F631&gt;=21,"Night")</f>
        <v>Afternoon</v>
      </c>
      <c r="H631" s="35" t="b">
        <v>0</v>
      </c>
      <c r="I631" s="35">
        <v>6</v>
      </c>
      <c r="J631" s="35">
        <v>2</v>
      </c>
      <c r="K631" s="35">
        <v>0.2</v>
      </c>
      <c r="L631" s="31" t="str" cm="1">
        <f t="array" ref="L631">_xlfn.IFS(K631&lt;0.15,"Cold",K631&lt;0.25,"Mild",K631&lt;=0.32,"Warm",K631&gt;=0.33,"Hot")</f>
        <v>Mild</v>
      </c>
      <c r="M631" s="35">
        <v>0.19700000000000001</v>
      </c>
      <c r="N631" s="35">
        <v>0.59</v>
      </c>
      <c r="O631" s="35" t="str" cm="1">
        <f t="array" ref="O631">_xlfn.IFS(N631&gt;0.61, "High Humidity", N631&gt;=0.6, "Humid", N631&gt;0.4, "Less Humidity", TRUE, "Dry")</f>
        <v>Less Humidity</v>
      </c>
      <c r="P631" s="35">
        <v>0.19400000000000001</v>
      </c>
      <c r="Q631" s="35" t="str" cm="1">
        <f t="array" ref="Q631">_xlfn.IFS(P631&lt;=0.2,"Low Windspeed",P631&lt;0.4,"Medium Windspeed",P631&gt;=0.41,"High Windspeed")</f>
        <v>Low Windspeed</v>
      </c>
      <c r="R631" s="35">
        <v>12</v>
      </c>
      <c r="S631" s="35">
        <v>66</v>
      </c>
      <c r="T631" s="40">
        <v>78</v>
      </c>
      <c r="U631" s="39" t="str" cm="1">
        <f t="array" ref="U631">_xlfn.IFS(T631&lt;=70,"Low",T631&lt;=160,"Medium",T631&gt;=161,"High")</f>
        <v>Medium</v>
      </c>
    </row>
    <row r="632" spans="1:21" x14ac:dyDescent="0.25">
      <c r="A632" s="33">
        <v>631</v>
      </c>
      <c r="B632" s="34">
        <v>40572</v>
      </c>
      <c r="C632" s="35">
        <v>1</v>
      </c>
      <c r="D632" s="35">
        <v>0</v>
      </c>
      <c r="E632" s="35">
        <v>1</v>
      </c>
      <c r="F632" s="35">
        <v>13</v>
      </c>
      <c r="G632" s="35" t="str" cm="1">
        <f t="array" ref="G632">_xlfn.IFS(F632&lt;4,"Night",F632&lt;=6,"Early Morning",F632&lt;11,"Morning",F632&lt;12,"Afternoon",F632&lt;=16,"Afternoon",F632&lt;=20,"Evening",F632&gt;=21,"Night")</f>
        <v>Afternoon</v>
      </c>
      <c r="H632" s="35" t="b">
        <v>0</v>
      </c>
      <c r="I632" s="35">
        <v>6</v>
      </c>
      <c r="J632" s="35">
        <v>2</v>
      </c>
      <c r="K632" s="35">
        <v>0.22</v>
      </c>
      <c r="L632" s="31" t="str" cm="1">
        <f t="array" ref="L632">_xlfn.IFS(K632&lt;0.15,"Cold",K632&lt;0.25,"Mild",K632&lt;=0.32,"Warm",K632&gt;=0.33,"Hot")</f>
        <v>Mild</v>
      </c>
      <c r="M632" s="35">
        <v>0.2273</v>
      </c>
      <c r="N632" s="35">
        <v>0.55000000000000004</v>
      </c>
      <c r="O632" s="35" t="str" cm="1">
        <f t="array" ref="O632">_xlfn.IFS(N632&gt;0.61, "High Humidity", N632&gt;=0.6, "Humid", N632&gt;0.4, "Less Humidity", TRUE, "Dry")</f>
        <v>Less Humidity</v>
      </c>
      <c r="P632" s="35">
        <v>0.16420000000000001</v>
      </c>
      <c r="Q632" s="35" t="str" cm="1">
        <f t="array" ref="Q632">_xlfn.IFS(P632&lt;=0.2,"Low Windspeed",P632&lt;0.4,"Medium Windspeed",P632&gt;=0.41,"High Windspeed")</f>
        <v>Low Windspeed</v>
      </c>
      <c r="R632" s="35">
        <v>9</v>
      </c>
      <c r="S632" s="35">
        <v>56</v>
      </c>
      <c r="T632" s="40">
        <v>65</v>
      </c>
      <c r="U632" s="39" t="str" cm="1">
        <f t="array" ref="U632">_xlfn.IFS(T632&lt;=70,"Low",T632&lt;=160,"Medium",T632&gt;=161,"High")</f>
        <v>Low</v>
      </c>
    </row>
    <row r="633" spans="1:21" x14ac:dyDescent="0.25">
      <c r="A633" s="33">
        <v>632</v>
      </c>
      <c r="B633" s="34">
        <v>40572</v>
      </c>
      <c r="C633" s="35">
        <v>1</v>
      </c>
      <c r="D633" s="35">
        <v>0</v>
      </c>
      <c r="E633" s="35">
        <v>1</v>
      </c>
      <c r="F633" s="35">
        <v>14</v>
      </c>
      <c r="G633" s="35" t="str" cm="1">
        <f t="array" ref="G633">_xlfn.IFS(F633&lt;4,"Night",F633&lt;=6,"Early Morning",F633&lt;11,"Morning",F633&lt;12,"Afternoon",F633&lt;=16,"Afternoon",F633&lt;=20,"Evening",F633&gt;=21,"Night")</f>
        <v>Afternoon</v>
      </c>
      <c r="H633" s="35" t="b">
        <v>0</v>
      </c>
      <c r="I633" s="35">
        <v>6</v>
      </c>
      <c r="J633" s="35">
        <v>2</v>
      </c>
      <c r="K633" s="35">
        <v>0.22</v>
      </c>
      <c r="L633" s="31" t="str" cm="1">
        <f t="array" ref="L633">_xlfn.IFS(K633&lt;0.15,"Cold",K633&lt;0.25,"Mild",K633&lt;=0.32,"Warm",K633&gt;=0.33,"Hot")</f>
        <v>Mild</v>
      </c>
      <c r="M633" s="35">
        <v>0.2273</v>
      </c>
      <c r="N633" s="35">
        <v>0.6</v>
      </c>
      <c r="O633" s="35" t="str" cm="1">
        <f t="array" ref="O633">_xlfn.IFS(N633&gt;0.61, "High Humidity", N633&gt;=0.6, "Humid", N633&gt;0.4, "Less Humidity", TRUE, "Dry")</f>
        <v>Humid</v>
      </c>
      <c r="P633" s="35">
        <v>0.1343</v>
      </c>
      <c r="Q633" s="35" t="str" cm="1">
        <f t="array" ref="Q633">_xlfn.IFS(P633&lt;=0.2,"Low Windspeed",P633&lt;0.4,"Medium Windspeed",P633&gt;=0.41,"High Windspeed")</f>
        <v>Low Windspeed</v>
      </c>
      <c r="R633" s="35">
        <v>10</v>
      </c>
      <c r="S633" s="35">
        <v>89</v>
      </c>
      <c r="T633" s="40">
        <v>99</v>
      </c>
      <c r="U633" s="39" t="str" cm="1">
        <f t="array" ref="U633">_xlfn.IFS(T633&lt;=70,"Low",T633&lt;=160,"Medium",T633&gt;=161,"High")</f>
        <v>Medium</v>
      </c>
    </row>
    <row r="634" spans="1:21" x14ac:dyDescent="0.25">
      <c r="A634" s="33">
        <v>633</v>
      </c>
      <c r="B634" s="34">
        <v>40572</v>
      </c>
      <c r="C634" s="35">
        <v>1</v>
      </c>
      <c r="D634" s="35">
        <v>0</v>
      </c>
      <c r="E634" s="35">
        <v>1</v>
      </c>
      <c r="F634" s="35">
        <v>15</v>
      </c>
      <c r="G634" s="35" t="str" cm="1">
        <f t="array" ref="G634">_xlfn.IFS(F634&lt;4,"Night",F634&lt;=6,"Early Morning",F634&lt;11,"Morning",F634&lt;12,"Afternoon",F634&lt;=16,"Afternoon",F634&lt;=20,"Evening",F634&gt;=21,"Night")</f>
        <v>Afternoon</v>
      </c>
      <c r="H634" s="35" t="b">
        <v>0</v>
      </c>
      <c r="I634" s="35">
        <v>6</v>
      </c>
      <c r="J634" s="35">
        <v>1</v>
      </c>
      <c r="K634" s="35">
        <v>0.22</v>
      </c>
      <c r="L634" s="31" t="str" cm="1">
        <f t="array" ref="L634">_xlfn.IFS(K634&lt;0.15,"Cold",K634&lt;0.25,"Mild",K634&lt;=0.32,"Warm",K634&gt;=0.33,"Hot")</f>
        <v>Mild</v>
      </c>
      <c r="M634" s="35">
        <v>0.21210000000000001</v>
      </c>
      <c r="N634" s="35">
        <v>0.69</v>
      </c>
      <c r="O634" s="35" t="str" cm="1">
        <f t="array" ref="O634">_xlfn.IFS(N634&gt;0.61, "High Humidity", N634&gt;=0.6, "Humid", N634&gt;0.4, "Less Humidity", TRUE, "Dry")</f>
        <v>High Humidity</v>
      </c>
      <c r="P634" s="35">
        <v>0.25369999999999998</v>
      </c>
      <c r="Q634" s="35" t="str" cm="1">
        <f t="array" ref="Q634">_xlfn.IFS(P634&lt;=0.2,"Low Windspeed",P634&lt;0.4,"Medium Windspeed",P634&gt;=0.41,"High Windspeed")</f>
        <v>Medium Windspeed</v>
      </c>
      <c r="R634" s="35">
        <v>22</v>
      </c>
      <c r="S634" s="35">
        <v>98</v>
      </c>
      <c r="T634" s="40">
        <v>120</v>
      </c>
      <c r="U634" s="39" t="str" cm="1">
        <f t="array" ref="U634">_xlfn.IFS(T634&lt;=70,"Low",T634&lt;=160,"Medium",T634&gt;=161,"High")</f>
        <v>Medium</v>
      </c>
    </row>
    <row r="635" spans="1:21" x14ac:dyDescent="0.25">
      <c r="A635" s="33">
        <v>634</v>
      </c>
      <c r="B635" s="34">
        <v>40572</v>
      </c>
      <c r="C635" s="35">
        <v>1</v>
      </c>
      <c r="D635" s="35">
        <v>0</v>
      </c>
      <c r="E635" s="35">
        <v>1</v>
      </c>
      <c r="F635" s="35">
        <v>16</v>
      </c>
      <c r="G635" s="35" t="str" cm="1">
        <f t="array" ref="G635">_xlfn.IFS(F635&lt;4,"Night",F635&lt;=6,"Early Morning",F635&lt;11,"Morning",F635&lt;12,"Afternoon",F635&lt;=16,"Afternoon",F635&lt;=20,"Evening",F635&gt;=21,"Night")</f>
        <v>Afternoon</v>
      </c>
      <c r="H635" s="35" t="b">
        <v>0</v>
      </c>
      <c r="I635" s="35">
        <v>6</v>
      </c>
      <c r="J635" s="35">
        <v>1</v>
      </c>
      <c r="K635" s="35">
        <v>0.24</v>
      </c>
      <c r="L635" s="31" t="str" cm="1">
        <f t="array" ref="L635">_xlfn.IFS(K635&lt;0.15,"Cold",K635&lt;0.25,"Mild",K635&lt;=0.32,"Warm",K635&gt;=0.33,"Hot")</f>
        <v>Mild</v>
      </c>
      <c r="M635" s="35">
        <v>0.2424</v>
      </c>
      <c r="N635" s="35">
        <v>0.6</v>
      </c>
      <c r="O635" s="35" t="str" cm="1">
        <f t="array" ref="O635">_xlfn.IFS(N635&gt;0.61, "High Humidity", N635&gt;=0.6, "Humid", N635&gt;0.4, "Less Humidity", TRUE, "Dry")</f>
        <v>Humid</v>
      </c>
      <c r="P635" s="35">
        <v>0.16420000000000001</v>
      </c>
      <c r="Q635" s="35" t="str" cm="1">
        <f t="array" ref="Q635">_xlfn.IFS(P635&lt;=0.2,"Low Windspeed",P635&lt;0.4,"Medium Windspeed",P635&gt;=0.41,"High Windspeed")</f>
        <v>Low Windspeed</v>
      </c>
      <c r="R635" s="35">
        <v>19</v>
      </c>
      <c r="S635" s="35">
        <v>88</v>
      </c>
      <c r="T635" s="40">
        <v>107</v>
      </c>
      <c r="U635" s="39" t="str" cm="1">
        <f t="array" ref="U635">_xlfn.IFS(T635&lt;=70,"Low",T635&lt;=160,"Medium",T635&gt;=161,"High")</f>
        <v>Medium</v>
      </c>
    </row>
    <row r="636" spans="1:21" x14ac:dyDescent="0.25">
      <c r="A636" s="33">
        <v>635</v>
      </c>
      <c r="B636" s="34">
        <v>40572</v>
      </c>
      <c r="C636" s="35">
        <v>1</v>
      </c>
      <c r="D636" s="35">
        <v>0</v>
      </c>
      <c r="E636" s="35">
        <v>1</v>
      </c>
      <c r="F636" s="35">
        <v>17</v>
      </c>
      <c r="G636" s="35" t="str" cm="1">
        <f t="array" ref="G636">_xlfn.IFS(F636&lt;4,"Night",F636&lt;=6,"Early Morning",F636&lt;11,"Morning",F636&lt;12,"Afternoon",F636&lt;=16,"Afternoon",F636&lt;=20,"Evening",F636&gt;=21,"Night")</f>
        <v>Evening</v>
      </c>
      <c r="H636" s="35" t="b">
        <v>0</v>
      </c>
      <c r="I636" s="35">
        <v>6</v>
      </c>
      <c r="J636" s="35">
        <v>1</v>
      </c>
      <c r="K636" s="35">
        <v>0.24</v>
      </c>
      <c r="L636" s="31" t="str" cm="1">
        <f t="array" ref="L636">_xlfn.IFS(K636&lt;0.15,"Cold",K636&lt;0.25,"Mild",K636&lt;=0.32,"Warm",K636&gt;=0.33,"Hot")</f>
        <v>Mild</v>
      </c>
      <c r="M636" s="35">
        <v>0.28789999999999999</v>
      </c>
      <c r="N636" s="35">
        <v>0.6</v>
      </c>
      <c r="O636" s="35" t="str" cm="1">
        <f t="array" ref="O636">_xlfn.IFS(N636&gt;0.61, "High Humidity", N636&gt;=0.6, "Humid", N636&gt;0.4, "Less Humidity", TRUE, "Dry")</f>
        <v>Humid</v>
      </c>
      <c r="P636" s="35">
        <v>0</v>
      </c>
      <c r="Q636" s="35" t="str" cm="1">
        <f t="array" ref="Q636">_xlfn.IFS(P636&lt;=0.2,"Low Windspeed",P636&lt;0.4,"Medium Windspeed",P636&gt;=0.41,"High Windspeed")</f>
        <v>Low Windspeed</v>
      </c>
      <c r="R636" s="35">
        <v>9</v>
      </c>
      <c r="S636" s="35">
        <v>82</v>
      </c>
      <c r="T636" s="40">
        <v>91</v>
      </c>
      <c r="U636" s="39" t="str" cm="1">
        <f t="array" ref="U636">_xlfn.IFS(T636&lt;=70,"Low",T636&lt;=160,"Medium",T636&gt;=161,"High")</f>
        <v>Medium</v>
      </c>
    </row>
    <row r="637" spans="1:21" x14ac:dyDescent="0.25">
      <c r="A637" s="33">
        <v>636</v>
      </c>
      <c r="B637" s="34">
        <v>40572</v>
      </c>
      <c r="C637" s="35">
        <v>1</v>
      </c>
      <c r="D637" s="35">
        <v>0</v>
      </c>
      <c r="E637" s="35">
        <v>1</v>
      </c>
      <c r="F637" s="35">
        <v>18</v>
      </c>
      <c r="G637" s="35" t="str" cm="1">
        <f t="array" ref="G637">_xlfn.IFS(F637&lt;4,"Night",F637&lt;=6,"Early Morning",F637&lt;11,"Morning",F637&lt;12,"Afternoon",F637&lt;=16,"Afternoon",F637&lt;=20,"Evening",F637&gt;=21,"Night")</f>
        <v>Evening</v>
      </c>
      <c r="H637" s="35" t="b">
        <v>0</v>
      </c>
      <c r="I637" s="35">
        <v>6</v>
      </c>
      <c r="J637" s="35">
        <v>1</v>
      </c>
      <c r="K637" s="35">
        <v>0.22</v>
      </c>
      <c r="L637" s="31" t="str" cm="1">
        <f t="array" ref="L637">_xlfn.IFS(K637&lt;0.15,"Cold",K637&lt;0.25,"Mild",K637&lt;=0.32,"Warm",K637&gt;=0.33,"Hot")</f>
        <v>Mild</v>
      </c>
      <c r="M637" s="35">
        <v>0.2273</v>
      </c>
      <c r="N637" s="35">
        <v>0.69</v>
      </c>
      <c r="O637" s="35" t="str" cm="1">
        <f t="array" ref="O637">_xlfn.IFS(N637&gt;0.61, "High Humidity", N637&gt;=0.6, "Humid", N637&gt;0.4, "Less Humidity", TRUE, "Dry")</f>
        <v>High Humidity</v>
      </c>
      <c r="P637" s="35">
        <v>0.1343</v>
      </c>
      <c r="Q637" s="35" t="str" cm="1">
        <f t="array" ref="Q637">_xlfn.IFS(P637&lt;=0.2,"Low Windspeed",P637&lt;0.4,"Medium Windspeed",P637&gt;=0.41,"High Windspeed")</f>
        <v>Low Windspeed</v>
      </c>
      <c r="R637" s="35">
        <v>9</v>
      </c>
      <c r="S637" s="35">
        <v>59</v>
      </c>
      <c r="T637" s="40">
        <v>68</v>
      </c>
      <c r="U637" s="39" t="str" cm="1">
        <f t="array" ref="U637">_xlfn.IFS(T637&lt;=70,"Low",T637&lt;=160,"Medium",T637&gt;=161,"High")</f>
        <v>Low</v>
      </c>
    </row>
    <row r="638" spans="1:21" x14ac:dyDescent="0.25">
      <c r="A638" s="33">
        <v>637</v>
      </c>
      <c r="B638" s="34">
        <v>40572</v>
      </c>
      <c r="C638" s="35">
        <v>1</v>
      </c>
      <c r="D638" s="35">
        <v>0</v>
      </c>
      <c r="E638" s="35">
        <v>1</v>
      </c>
      <c r="F638" s="35">
        <v>19</v>
      </c>
      <c r="G638" s="35" t="str" cm="1">
        <f t="array" ref="G638">_xlfn.IFS(F638&lt;4,"Night",F638&lt;=6,"Early Morning",F638&lt;11,"Morning",F638&lt;12,"Afternoon",F638&lt;=16,"Afternoon",F638&lt;=20,"Evening",F638&gt;=21,"Night")</f>
        <v>Evening</v>
      </c>
      <c r="H638" s="35" t="b">
        <v>0</v>
      </c>
      <c r="I638" s="35">
        <v>6</v>
      </c>
      <c r="J638" s="35">
        <v>2</v>
      </c>
      <c r="K638" s="35">
        <v>0.22</v>
      </c>
      <c r="L638" s="31" t="str" cm="1">
        <f t="array" ref="L638">_xlfn.IFS(K638&lt;0.15,"Cold",K638&lt;0.25,"Mild",K638&lt;=0.32,"Warm",K638&gt;=0.33,"Hot")</f>
        <v>Mild</v>
      </c>
      <c r="M638" s="35">
        <v>0.21210000000000001</v>
      </c>
      <c r="N638" s="35">
        <v>0.69</v>
      </c>
      <c r="O638" s="35" t="str" cm="1">
        <f t="array" ref="O638">_xlfn.IFS(N638&gt;0.61, "High Humidity", N638&gt;=0.6, "Humid", N638&gt;0.4, "Less Humidity", TRUE, "Dry")</f>
        <v>High Humidity</v>
      </c>
      <c r="P638" s="35">
        <v>0.25369999999999998</v>
      </c>
      <c r="Q638" s="35" t="str" cm="1">
        <f t="array" ref="Q638">_xlfn.IFS(P638&lt;=0.2,"Low Windspeed",P638&lt;0.4,"Medium Windspeed",P638&gt;=0.41,"High Windspeed")</f>
        <v>Medium Windspeed</v>
      </c>
      <c r="R638" s="35">
        <v>6</v>
      </c>
      <c r="S638" s="35">
        <v>52</v>
      </c>
      <c r="T638" s="40">
        <v>58</v>
      </c>
      <c r="U638" s="39" t="str" cm="1">
        <f t="array" ref="U638">_xlfn.IFS(T638&lt;=70,"Low",T638&lt;=160,"Medium",T638&gt;=161,"High")</f>
        <v>Low</v>
      </c>
    </row>
    <row r="639" spans="1:21" x14ac:dyDescent="0.25">
      <c r="A639" s="33">
        <v>638</v>
      </c>
      <c r="B639" s="34">
        <v>40572</v>
      </c>
      <c r="C639" s="35">
        <v>1</v>
      </c>
      <c r="D639" s="35">
        <v>0</v>
      </c>
      <c r="E639" s="35">
        <v>1</v>
      </c>
      <c r="F639" s="35">
        <v>20</v>
      </c>
      <c r="G639" s="35" t="str" cm="1">
        <f t="array" ref="G639">_xlfn.IFS(F639&lt;4,"Night",F639&lt;=6,"Early Morning",F639&lt;11,"Morning",F639&lt;12,"Afternoon",F639&lt;=16,"Afternoon",F639&lt;=20,"Evening",F639&gt;=21,"Night")</f>
        <v>Evening</v>
      </c>
      <c r="H639" s="35" t="b">
        <v>0</v>
      </c>
      <c r="I639" s="35">
        <v>6</v>
      </c>
      <c r="J639" s="35">
        <v>1</v>
      </c>
      <c r="K639" s="35">
        <v>0.18</v>
      </c>
      <c r="L639" s="31" t="str" cm="1">
        <f t="array" ref="L639">_xlfn.IFS(K639&lt;0.15,"Cold",K639&lt;0.25,"Mild",K639&lt;=0.32,"Warm",K639&gt;=0.33,"Hot")</f>
        <v>Mild</v>
      </c>
      <c r="M639" s="35">
        <v>0.21210000000000001</v>
      </c>
      <c r="N639" s="35">
        <v>0.74</v>
      </c>
      <c r="O639" s="35" t="str" cm="1">
        <f t="array" ref="O639">_xlfn.IFS(N639&gt;0.61, "High Humidity", N639&gt;=0.6, "Humid", N639&gt;0.4, "Less Humidity", TRUE, "Dry")</f>
        <v>High Humidity</v>
      </c>
      <c r="P639" s="35">
        <v>8.9599999999999999E-2</v>
      </c>
      <c r="Q639" s="35" t="str" cm="1">
        <f t="array" ref="Q639">_xlfn.IFS(P639&lt;=0.2,"Low Windspeed",P639&lt;0.4,"Medium Windspeed",P639&gt;=0.41,"High Windspeed")</f>
        <v>Low Windspeed</v>
      </c>
      <c r="R639" s="35">
        <v>1</v>
      </c>
      <c r="S639" s="35">
        <v>42</v>
      </c>
      <c r="T639" s="40">
        <v>43</v>
      </c>
      <c r="U639" s="39" t="str" cm="1">
        <f t="array" ref="U639">_xlfn.IFS(T639&lt;=70,"Low",T639&lt;=160,"Medium",T639&gt;=161,"High")</f>
        <v>Low</v>
      </c>
    </row>
    <row r="640" spans="1:21" x14ac:dyDescent="0.25">
      <c r="A640" s="33">
        <v>639</v>
      </c>
      <c r="B640" s="34">
        <v>40572</v>
      </c>
      <c r="C640" s="35">
        <v>1</v>
      </c>
      <c r="D640" s="35">
        <v>0</v>
      </c>
      <c r="E640" s="35">
        <v>1</v>
      </c>
      <c r="F640" s="35">
        <v>21</v>
      </c>
      <c r="G640" s="35" t="str" cm="1">
        <f t="array" ref="G640">_xlfn.IFS(F640&lt;4,"Night",F640&lt;=6,"Early Morning",F640&lt;11,"Morning",F640&lt;12,"Afternoon",F640&lt;=16,"Afternoon",F640&lt;=20,"Evening",F640&gt;=21,"Night")</f>
        <v>Night</v>
      </c>
      <c r="H640" s="35" t="b">
        <v>0</v>
      </c>
      <c r="I640" s="35">
        <v>6</v>
      </c>
      <c r="J640" s="35">
        <v>1</v>
      </c>
      <c r="K640" s="35">
        <v>0.18</v>
      </c>
      <c r="L640" s="31" t="str" cm="1">
        <f t="array" ref="L640">_xlfn.IFS(K640&lt;0.15,"Cold",K640&lt;0.25,"Mild",K640&lt;=0.32,"Warm",K640&gt;=0.33,"Hot")</f>
        <v>Mild</v>
      </c>
      <c r="M640" s="35">
        <v>0.21210000000000001</v>
      </c>
      <c r="N640" s="35">
        <v>0.74</v>
      </c>
      <c r="O640" s="35" t="str" cm="1">
        <f t="array" ref="O640">_xlfn.IFS(N640&gt;0.61, "High Humidity", N640&gt;=0.6, "Humid", N640&gt;0.4, "Less Humidity", TRUE, "Dry")</f>
        <v>High Humidity</v>
      </c>
      <c r="P640" s="35">
        <v>8.9599999999999999E-2</v>
      </c>
      <c r="Q640" s="35" t="str" cm="1">
        <f t="array" ref="Q640">_xlfn.IFS(P640&lt;=0.2,"Low Windspeed",P640&lt;0.4,"Medium Windspeed",P640&gt;=0.41,"High Windspeed")</f>
        <v>Low Windspeed</v>
      </c>
      <c r="R640" s="35">
        <v>1</v>
      </c>
      <c r="S640" s="35">
        <v>35</v>
      </c>
      <c r="T640" s="40">
        <v>36</v>
      </c>
      <c r="U640" s="39" t="str" cm="1">
        <f t="array" ref="U640">_xlfn.IFS(T640&lt;=70,"Low",T640&lt;=160,"Medium",T640&gt;=161,"High")</f>
        <v>Low</v>
      </c>
    </row>
    <row r="641" spans="1:21" x14ac:dyDescent="0.25">
      <c r="A641" s="33">
        <v>640</v>
      </c>
      <c r="B641" s="34">
        <v>40572</v>
      </c>
      <c r="C641" s="35">
        <v>1</v>
      </c>
      <c r="D641" s="35">
        <v>0</v>
      </c>
      <c r="E641" s="35">
        <v>1</v>
      </c>
      <c r="F641" s="35">
        <v>22</v>
      </c>
      <c r="G641" s="35" t="str" cm="1">
        <f t="array" ref="G641">_xlfn.IFS(F641&lt;4,"Night",F641&lt;=6,"Early Morning",F641&lt;11,"Morning",F641&lt;12,"Afternoon",F641&lt;=16,"Afternoon",F641&lt;=20,"Evening",F641&gt;=21,"Night")</f>
        <v>Night</v>
      </c>
      <c r="H641" s="35" t="b">
        <v>0</v>
      </c>
      <c r="I641" s="35">
        <v>6</v>
      </c>
      <c r="J641" s="35">
        <v>1</v>
      </c>
      <c r="K641" s="35">
        <v>0.16</v>
      </c>
      <c r="L641" s="31" t="str" cm="1">
        <f t="array" ref="L641">_xlfn.IFS(K641&lt;0.15,"Cold",K641&lt;0.25,"Mild",K641&lt;=0.32,"Warm",K641&gt;=0.33,"Hot")</f>
        <v>Mild</v>
      </c>
      <c r="M641" s="35">
        <v>0.19700000000000001</v>
      </c>
      <c r="N641" s="35">
        <v>0.8</v>
      </c>
      <c r="O641" s="35" t="str" cm="1">
        <f t="array" ref="O641">_xlfn.IFS(N641&gt;0.61, "High Humidity", N641&gt;=0.6, "Humid", N641&gt;0.4, "Less Humidity", TRUE, "Dry")</f>
        <v>High Humidity</v>
      </c>
      <c r="P641" s="35">
        <v>8.9599999999999999E-2</v>
      </c>
      <c r="Q641" s="35" t="str" cm="1">
        <f t="array" ref="Q641">_xlfn.IFS(P641&lt;=0.2,"Low Windspeed",P641&lt;0.4,"Medium Windspeed",P641&gt;=0.41,"High Windspeed")</f>
        <v>Low Windspeed</v>
      </c>
      <c r="R641" s="35">
        <v>4</v>
      </c>
      <c r="S641" s="35">
        <v>28</v>
      </c>
      <c r="T641" s="40">
        <v>32</v>
      </c>
      <c r="U641" s="39" t="str" cm="1">
        <f t="array" ref="U641">_xlfn.IFS(T641&lt;=70,"Low",T641&lt;=160,"Medium",T641&gt;=161,"High")</f>
        <v>Low</v>
      </c>
    </row>
    <row r="642" spans="1:21" x14ac:dyDescent="0.25">
      <c r="A642" s="33">
        <v>641</v>
      </c>
      <c r="B642" s="34">
        <v>40572</v>
      </c>
      <c r="C642" s="35">
        <v>1</v>
      </c>
      <c r="D642" s="35">
        <v>0</v>
      </c>
      <c r="E642" s="35">
        <v>1</v>
      </c>
      <c r="F642" s="35">
        <v>23</v>
      </c>
      <c r="G642" s="35" t="str" cm="1">
        <f t="array" ref="G642">_xlfn.IFS(F642&lt;4,"Night",F642&lt;=6,"Early Morning",F642&lt;11,"Morning",F642&lt;12,"Afternoon",F642&lt;=16,"Afternoon",F642&lt;=20,"Evening",F642&gt;=21,"Night")</f>
        <v>Night</v>
      </c>
      <c r="H642" s="35" t="b">
        <v>0</v>
      </c>
      <c r="I642" s="35">
        <v>6</v>
      </c>
      <c r="J642" s="35">
        <v>1</v>
      </c>
      <c r="K642" s="35">
        <v>0.16</v>
      </c>
      <c r="L642" s="31" t="str" cm="1">
        <f t="array" ref="L642">_xlfn.IFS(K642&lt;0.15,"Cold",K642&lt;0.25,"Mild",K642&lt;=0.32,"Warm",K642&gt;=0.33,"Hot")</f>
        <v>Mild</v>
      </c>
      <c r="M642" s="35">
        <v>0.19700000000000001</v>
      </c>
      <c r="N642" s="35">
        <v>0.8</v>
      </c>
      <c r="O642" s="35" t="str" cm="1">
        <f t="array" ref="O642">_xlfn.IFS(N642&gt;0.61, "High Humidity", N642&gt;=0.6, "Humid", N642&gt;0.4, "Less Humidity", TRUE, "Dry")</f>
        <v>High Humidity</v>
      </c>
      <c r="P642" s="35">
        <v>8.9599999999999999E-2</v>
      </c>
      <c r="Q642" s="35" t="str" cm="1">
        <f t="array" ref="Q642">_xlfn.IFS(P642&lt;=0.2,"Low Windspeed",P642&lt;0.4,"Medium Windspeed",P642&gt;=0.41,"High Windspeed")</f>
        <v>Low Windspeed</v>
      </c>
      <c r="R642" s="35">
        <v>3</v>
      </c>
      <c r="S642" s="35">
        <v>30</v>
      </c>
      <c r="T642" s="40">
        <v>33</v>
      </c>
      <c r="U642" s="39" t="str" cm="1">
        <f t="array" ref="U642">_xlfn.IFS(T642&lt;=70,"Low",T642&lt;=160,"Medium",T642&gt;=161,"High")</f>
        <v>Low</v>
      </c>
    </row>
    <row r="643" spans="1:21" x14ac:dyDescent="0.25">
      <c r="A643" s="33">
        <v>642</v>
      </c>
      <c r="B643" s="34">
        <v>40573</v>
      </c>
      <c r="C643" s="35">
        <v>1</v>
      </c>
      <c r="D643" s="35">
        <v>0</v>
      </c>
      <c r="E643" s="35">
        <v>1</v>
      </c>
      <c r="F643" s="35">
        <v>0</v>
      </c>
      <c r="G643" s="35" t="str" cm="1">
        <f t="array" ref="G643">_xlfn.IFS(F643&lt;4,"Night",F643&lt;=6,"Early Morning",F643&lt;11,"Morning",F643&lt;12,"Afternoon",F643&lt;=16,"Afternoon",F643&lt;=20,"Evening",F643&gt;=21,"Night")</f>
        <v>Night</v>
      </c>
      <c r="H643" s="35" t="b">
        <v>0</v>
      </c>
      <c r="I643" s="35">
        <v>0</v>
      </c>
      <c r="J643" s="35">
        <v>1</v>
      </c>
      <c r="K643" s="35">
        <v>0.16</v>
      </c>
      <c r="L643" s="31" t="str" cm="1">
        <f t="array" ref="L643">_xlfn.IFS(K643&lt;0.15,"Cold",K643&lt;0.25,"Mild",K643&lt;=0.32,"Warm",K643&gt;=0.33,"Hot")</f>
        <v>Mild</v>
      </c>
      <c r="M643" s="35">
        <v>0.18179999999999999</v>
      </c>
      <c r="N643" s="35">
        <v>0.8</v>
      </c>
      <c r="O643" s="35" t="str" cm="1">
        <f t="array" ref="O643">_xlfn.IFS(N643&gt;0.61, "High Humidity", N643&gt;=0.6, "Humid", N643&gt;0.4, "Less Humidity", TRUE, "Dry")</f>
        <v>High Humidity</v>
      </c>
      <c r="P643" s="35">
        <v>0.1045</v>
      </c>
      <c r="Q643" s="35" t="str" cm="1">
        <f t="array" ref="Q643">_xlfn.IFS(P643&lt;=0.2,"Low Windspeed",P643&lt;0.4,"Medium Windspeed",P643&gt;=0.41,"High Windspeed")</f>
        <v>Low Windspeed</v>
      </c>
      <c r="R643" s="35">
        <v>0</v>
      </c>
      <c r="S643" s="35">
        <v>33</v>
      </c>
      <c r="T643" s="40">
        <v>33</v>
      </c>
      <c r="U643" s="39" t="str" cm="1">
        <f t="array" ref="U643">_xlfn.IFS(T643&lt;=70,"Low",T643&lt;=160,"Medium",T643&gt;=161,"High")</f>
        <v>Low</v>
      </c>
    </row>
    <row r="644" spans="1:21" x14ac:dyDescent="0.25">
      <c r="A644" s="33">
        <v>643</v>
      </c>
      <c r="B644" s="34">
        <v>40573</v>
      </c>
      <c r="C644" s="35">
        <v>1</v>
      </c>
      <c r="D644" s="35">
        <v>0</v>
      </c>
      <c r="E644" s="35">
        <v>1</v>
      </c>
      <c r="F644" s="35">
        <v>1</v>
      </c>
      <c r="G644" s="35" t="str" cm="1">
        <f t="array" ref="G644">_xlfn.IFS(F644&lt;4,"Night",F644&lt;=6,"Early Morning",F644&lt;11,"Morning",F644&lt;12,"Afternoon",F644&lt;=16,"Afternoon",F644&lt;=20,"Evening",F644&gt;=21,"Night")</f>
        <v>Night</v>
      </c>
      <c r="H644" s="35" t="b">
        <v>0</v>
      </c>
      <c r="I644" s="35">
        <v>0</v>
      </c>
      <c r="J644" s="35">
        <v>1</v>
      </c>
      <c r="K644" s="35">
        <v>0.14000000000000001</v>
      </c>
      <c r="L644" s="31" t="str" cm="1">
        <f t="array" ref="L644">_xlfn.IFS(K644&lt;0.15,"Cold",K644&lt;0.25,"Mild",K644&lt;=0.32,"Warm",K644&gt;=0.33,"Hot")</f>
        <v>Cold</v>
      </c>
      <c r="M644" s="35">
        <v>0.21210000000000001</v>
      </c>
      <c r="N644" s="35">
        <v>0.8</v>
      </c>
      <c r="O644" s="35" t="str" cm="1">
        <f t="array" ref="O644">_xlfn.IFS(N644&gt;0.61, "High Humidity", N644&gt;=0.6, "Humid", N644&gt;0.4, "Less Humidity", TRUE, "Dry")</f>
        <v>High Humidity</v>
      </c>
      <c r="P644" s="35">
        <v>0</v>
      </c>
      <c r="Q644" s="35" t="str" cm="1">
        <f t="array" ref="Q644">_xlfn.IFS(P644&lt;=0.2,"Low Windspeed",P644&lt;0.4,"Medium Windspeed",P644&gt;=0.41,"High Windspeed")</f>
        <v>Low Windspeed</v>
      </c>
      <c r="R644" s="35">
        <v>7</v>
      </c>
      <c r="S644" s="35">
        <v>22</v>
      </c>
      <c r="T644" s="40">
        <v>29</v>
      </c>
      <c r="U644" s="39" t="str" cm="1">
        <f t="array" ref="U644">_xlfn.IFS(T644&lt;=70,"Low",T644&lt;=160,"Medium",T644&gt;=161,"High")</f>
        <v>Low</v>
      </c>
    </row>
    <row r="645" spans="1:21" x14ac:dyDescent="0.25">
      <c r="A645" s="33">
        <v>644</v>
      </c>
      <c r="B645" s="34">
        <v>40573</v>
      </c>
      <c r="C645" s="35">
        <v>1</v>
      </c>
      <c r="D645" s="35">
        <v>0</v>
      </c>
      <c r="E645" s="35">
        <v>1</v>
      </c>
      <c r="F645" s="35">
        <v>2</v>
      </c>
      <c r="G645" s="35" t="str" cm="1">
        <f t="array" ref="G645">_xlfn.IFS(F645&lt;4,"Night",F645&lt;=6,"Early Morning",F645&lt;11,"Morning",F645&lt;12,"Afternoon",F645&lt;=16,"Afternoon",F645&lt;=20,"Evening",F645&gt;=21,"Night")</f>
        <v>Night</v>
      </c>
      <c r="H645" s="35" t="b">
        <v>0</v>
      </c>
      <c r="I645" s="35">
        <v>0</v>
      </c>
      <c r="J645" s="35">
        <v>1</v>
      </c>
      <c r="K645" s="35">
        <v>0.16</v>
      </c>
      <c r="L645" s="31" t="str" cm="1">
        <f t="array" ref="L645">_xlfn.IFS(K645&lt;0.15,"Cold",K645&lt;0.25,"Mild",K645&lt;=0.32,"Warm",K645&gt;=0.33,"Hot")</f>
        <v>Mild</v>
      </c>
      <c r="M645" s="35">
        <v>0.2273</v>
      </c>
      <c r="N645" s="35">
        <v>0.8</v>
      </c>
      <c r="O645" s="35" t="str" cm="1">
        <f t="array" ref="O645">_xlfn.IFS(N645&gt;0.61, "High Humidity", N645&gt;=0.6, "Humid", N645&gt;0.4, "Less Humidity", TRUE, "Dry")</f>
        <v>High Humidity</v>
      </c>
      <c r="P645" s="35">
        <v>0</v>
      </c>
      <c r="Q645" s="35" t="str" cm="1">
        <f t="array" ref="Q645">_xlfn.IFS(P645&lt;=0.2,"Low Windspeed",P645&lt;0.4,"Medium Windspeed",P645&gt;=0.41,"High Windspeed")</f>
        <v>Low Windspeed</v>
      </c>
      <c r="R645" s="35">
        <v>1</v>
      </c>
      <c r="S645" s="35">
        <v>10</v>
      </c>
      <c r="T645" s="40">
        <v>11</v>
      </c>
      <c r="U645" s="39" t="str" cm="1">
        <f t="array" ref="U645">_xlfn.IFS(T645&lt;=70,"Low",T645&lt;=160,"Medium",T645&gt;=161,"High")</f>
        <v>Low</v>
      </c>
    </row>
    <row r="646" spans="1:21" x14ac:dyDescent="0.25">
      <c r="A646" s="33">
        <v>645</v>
      </c>
      <c r="B646" s="34">
        <v>40573</v>
      </c>
      <c r="C646" s="35">
        <v>1</v>
      </c>
      <c r="D646" s="35">
        <v>0</v>
      </c>
      <c r="E646" s="35">
        <v>1</v>
      </c>
      <c r="F646" s="35">
        <v>3</v>
      </c>
      <c r="G646" s="35" t="str" cm="1">
        <f t="array" ref="G646">_xlfn.IFS(F646&lt;4,"Night",F646&lt;=6,"Early Morning",F646&lt;11,"Morning",F646&lt;12,"Afternoon",F646&lt;=16,"Afternoon",F646&lt;=20,"Evening",F646&gt;=21,"Night")</f>
        <v>Night</v>
      </c>
      <c r="H646" s="35" t="b">
        <v>0</v>
      </c>
      <c r="I646" s="35">
        <v>0</v>
      </c>
      <c r="J646" s="35">
        <v>1</v>
      </c>
      <c r="K646" s="35">
        <v>0.14000000000000001</v>
      </c>
      <c r="L646" s="31" t="str" cm="1">
        <f t="array" ref="L646">_xlfn.IFS(K646&lt;0.15,"Cold",K646&lt;0.25,"Mild",K646&lt;=0.32,"Warm",K646&gt;=0.33,"Hot")</f>
        <v>Cold</v>
      </c>
      <c r="M646" s="35">
        <v>0.21210000000000001</v>
      </c>
      <c r="N646" s="35">
        <v>0.93</v>
      </c>
      <c r="O646" s="35" t="str" cm="1">
        <f t="array" ref="O646">_xlfn.IFS(N646&gt;0.61, "High Humidity", N646&gt;=0.6, "Humid", N646&gt;0.4, "Less Humidity", TRUE, "Dry")</f>
        <v>High Humidity</v>
      </c>
      <c r="P646" s="35">
        <v>0</v>
      </c>
      <c r="Q646" s="35" t="str" cm="1">
        <f t="array" ref="Q646">_xlfn.IFS(P646&lt;=0.2,"Low Windspeed",P646&lt;0.4,"Medium Windspeed",P646&gt;=0.41,"High Windspeed")</f>
        <v>Low Windspeed</v>
      </c>
      <c r="R646" s="35">
        <v>1</v>
      </c>
      <c r="S646" s="35">
        <v>7</v>
      </c>
      <c r="T646" s="40">
        <v>8</v>
      </c>
      <c r="U646" s="39" t="str" cm="1">
        <f t="array" ref="U646">_xlfn.IFS(T646&lt;=70,"Low",T646&lt;=160,"Medium",T646&gt;=161,"High")</f>
        <v>Low</v>
      </c>
    </row>
    <row r="647" spans="1:21" x14ac:dyDescent="0.25">
      <c r="A647" s="33">
        <v>646</v>
      </c>
      <c r="B647" s="34">
        <v>40573</v>
      </c>
      <c r="C647" s="35">
        <v>1</v>
      </c>
      <c r="D647" s="35">
        <v>0</v>
      </c>
      <c r="E647" s="35">
        <v>1</v>
      </c>
      <c r="F647" s="35">
        <v>4</v>
      </c>
      <c r="G647" s="35" t="str" cm="1">
        <f t="array" ref="G647">_xlfn.IFS(F647&lt;4,"Night",F647&lt;=6,"Early Morning",F647&lt;11,"Morning",F647&lt;12,"Afternoon",F647&lt;=16,"Afternoon",F647&lt;=20,"Evening",F647&gt;=21,"Night")</f>
        <v>Early Morning</v>
      </c>
      <c r="H647" s="35" t="b">
        <v>0</v>
      </c>
      <c r="I647" s="35">
        <v>0</v>
      </c>
      <c r="J647" s="35">
        <v>1</v>
      </c>
      <c r="K647" s="35">
        <v>0.14000000000000001</v>
      </c>
      <c r="L647" s="31" t="str" cm="1">
        <f t="array" ref="L647">_xlfn.IFS(K647&lt;0.15,"Cold",K647&lt;0.25,"Mild",K647&lt;=0.32,"Warm",K647&gt;=0.33,"Hot")</f>
        <v>Cold</v>
      </c>
      <c r="M647" s="35">
        <v>0.21210000000000001</v>
      </c>
      <c r="N647" s="35">
        <v>0.93</v>
      </c>
      <c r="O647" s="35" t="str" cm="1">
        <f t="array" ref="O647">_xlfn.IFS(N647&gt;0.61, "High Humidity", N647&gt;=0.6, "Humid", N647&gt;0.4, "Less Humidity", TRUE, "Dry")</f>
        <v>High Humidity</v>
      </c>
      <c r="P647" s="35">
        <v>0</v>
      </c>
      <c r="Q647" s="35" t="str" cm="1">
        <f t="array" ref="Q647">_xlfn.IFS(P647&lt;=0.2,"Low Windspeed",P647&lt;0.4,"Medium Windspeed",P647&gt;=0.41,"High Windspeed")</f>
        <v>Low Windspeed</v>
      </c>
      <c r="R647" s="35">
        <v>0</v>
      </c>
      <c r="S647" s="35">
        <v>1</v>
      </c>
      <c r="T647" s="40">
        <v>1</v>
      </c>
      <c r="U647" s="39" t="str" cm="1">
        <f t="array" ref="U647">_xlfn.IFS(T647&lt;=70,"Low",T647&lt;=160,"Medium",T647&gt;=161,"High")</f>
        <v>Low</v>
      </c>
    </row>
    <row r="648" spans="1:21" x14ac:dyDescent="0.25">
      <c r="A648" s="33">
        <v>647</v>
      </c>
      <c r="B648" s="34">
        <v>40573</v>
      </c>
      <c r="C648" s="35">
        <v>1</v>
      </c>
      <c r="D648" s="35">
        <v>0</v>
      </c>
      <c r="E648" s="35">
        <v>1</v>
      </c>
      <c r="F648" s="35">
        <v>5</v>
      </c>
      <c r="G648" s="35" t="str" cm="1">
        <f t="array" ref="G648">_xlfn.IFS(F648&lt;4,"Night",F648&lt;=6,"Early Morning",F648&lt;11,"Morning",F648&lt;12,"Afternoon",F648&lt;=16,"Afternoon",F648&lt;=20,"Evening",F648&gt;=21,"Night")</f>
        <v>Early Morning</v>
      </c>
      <c r="H648" s="35" t="b">
        <v>0</v>
      </c>
      <c r="I648" s="35">
        <v>0</v>
      </c>
      <c r="J648" s="35">
        <v>1</v>
      </c>
      <c r="K648" s="35">
        <v>0.14000000000000001</v>
      </c>
      <c r="L648" s="31" t="str" cm="1">
        <f t="array" ref="L648">_xlfn.IFS(K648&lt;0.15,"Cold",K648&lt;0.25,"Mild",K648&lt;=0.32,"Warm",K648&gt;=0.33,"Hot")</f>
        <v>Cold</v>
      </c>
      <c r="M648" s="35">
        <v>0.21210000000000001</v>
      </c>
      <c r="N648" s="35">
        <v>0.86</v>
      </c>
      <c r="O648" s="35" t="str" cm="1">
        <f t="array" ref="O648">_xlfn.IFS(N648&gt;0.61, "High Humidity", N648&gt;=0.6, "Humid", N648&gt;0.4, "Less Humidity", TRUE, "Dry")</f>
        <v>High Humidity</v>
      </c>
      <c r="P648" s="35">
        <v>0</v>
      </c>
      <c r="Q648" s="35" t="str" cm="1">
        <f t="array" ref="Q648">_xlfn.IFS(P648&lt;=0.2,"Low Windspeed",P648&lt;0.4,"Medium Windspeed",P648&gt;=0.41,"High Windspeed")</f>
        <v>Low Windspeed</v>
      </c>
      <c r="R648" s="35">
        <v>0</v>
      </c>
      <c r="S648" s="35">
        <v>3</v>
      </c>
      <c r="T648" s="40">
        <v>3</v>
      </c>
      <c r="U648" s="39" t="str" cm="1">
        <f t="array" ref="U648">_xlfn.IFS(T648&lt;=70,"Low",T648&lt;=160,"Medium",T648&gt;=161,"High")</f>
        <v>Low</v>
      </c>
    </row>
    <row r="649" spans="1:21" x14ac:dyDescent="0.25">
      <c r="A649" s="33">
        <v>648</v>
      </c>
      <c r="B649" s="34">
        <v>40573</v>
      </c>
      <c r="C649" s="35">
        <v>1</v>
      </c>
      <c r="D649" s="35">
        <v>0</v>
      </c>
      <c r="E649" s="35">
        <v>1</v>
      </c>
      <c r="F649" s="35">
        <v>7</v>
      </c>
      <c r="G649" s="35" t="str" cm="1">
        <f t="array" ref="G649">_xlfn.IFS(F649&lt;4,"Night",F649&lt;=6,"Early Morning",F649&lt;11,"Morning",F649&lt;12,"Afternoon",F649&lt;=16,"Afternoon",F649&lt;=20,"Evening",F649&gt;=21,"Night")</f>
        <v>Morning</v>
      </c>
      <c r="H649" s="35" t="b">
        <v>0</v>
      </c>
      <c r="I649" s="35">
        <v>0</v>
      </c>
      <c r="J649" s="35">
        <v>1</v>
      </c>
      <c r="K649" s="35">
        <v>0.14000000000000001</v>
      </c>
      <c r="L649" s="31" t="str" cm="1">
        <f t="array" ref="L649">_xlfn.IFS(K649&lt;0.15,"Cold",K649&lt;0.25,"Mild",K649&lt;=0.32,"Warm",K649&gt;=0.33,"Hot")</f>
        <v>Cold</v>
      </c>
      <c r="M649" s="35">
        <v>0.21210000000000001</v>
      </c>
      <c r="N649" s="35">
        <v>0.86</v>
      </c>
      <c r="O649" s="35" t="str" cm="1">
        <f t="array" ref="O649">_xlfn.IFS(N649&gt;0.61, "High Humidity", N649&gt;=0.6, "Humid", N649&gt;0.4, "Less Humidity", TRUE, "Dry")</f>
        <v>High Humidity</v>
      </c>
      <c r="P649" s="35">
        <v>0</v>
      </c>
      <c r="Q649" s="35" t="str" cm="1">
        <f t="array" ref="Q649">_xlfn.IFS(P649&lt;=0.2,"Low Windspeed",P649&lt;0.4,"Medium Windspeed",P649&gt;=0.41,"High Windspeed")</f>
        <v>Low Windspeed</v>
      </c>
      <c r="R649" s="35">
        <v>0</v>
      </c>
      <c r="S649" s="35">
        <v>3</v>
      </c>
      <c r="T649" s="40">
        <v>3</v>
      </c>
      <c r="U649" s="39" t="str" cm="1">
        <f t="array" ref="U649">_xlfn.IFS(T649&lt;=70,"Low",T649&lt;=160,"Medium",T649&gt;=161,"High")</f>
        <v>Low</v>
      </c>
    </row>
    <row r="650" spans="1:21" x14ac:dyDescent="0.25">
      <c r="A650" s="33">
        <v>649</v>
      </c>
      <c r="B650" s="34">
        <v>40573</v>
      </c>
      <c r="C650" s="35">
        <v>1</v>
      </c>
      <c r="D650" s="35">
        <v>0</v>
      </c>
      <c r="E650" s="35">
        <v>1</v>
      </c>
      <c r="F650" s="35">
        <v>8</v>
      </c>
      <c r="G650" s="35" t="str" cm="1">
        <f t="array" ref="G650">_xlfn.IFS(F650&lt;4,"Night",F650&lt;=6,"Early Morning",F650&lt;11,"Morning",F650&lt;12,"Afternoon",F650&lt;=16,"Afternoon",F650&lt;=20,"Evening",F650&gt;=21,"Night")</f>
        <v>Morning</v>
      </c>
      <c r="H650" s="35" t="b">
        <v>0</v>
      </c>
      <c r="I650" s="35">
        <v>0</v>
      </c>
      <c r="J650" s="35">
        <v>2</v>
      </c>
      <c r="K650" s="35">
        <v>0.14000000000000001</v>
      </c>
      <c r="L650" s="31" t="str" cm="1">
        <f t="array" ref="L650">_xlfn.IFS(K650&lt;0.15,"Cold",K650&lt;0.25,"Mild",K650&lt;=0.32,"Warm",K650&gt;=0.33,"Hot")</f>
        <v>Cold</v>
      </c>
      <c r="M650" s="35">
        <v>0.21210000000000001</v>
      </c>
      <c r="N650" s="35">
        <v>0.86</v>
      </c>
      <c r="O650" s="35" t="str" cm="1">
        <f t="array" ref="O650">_xlfn.IFS(N650&gt;0.61, "High Humidity", N650&gt;=0.6, "Humid", N650&gt;0.4, "Less Humidity", TRUE, "Dry")</f>
        <v>High Humidity</v>
      </c>
      <c r="P650" s="35">
        <v>0</v>
      </c>
      <c r="Q650" s="35" t="str" cm="1">
        <f t="array" ref="Q650">_xlfn.IFS(P650&lt;=0.2,"Low Windspeed",P650&lt;0.4,"Medium Windspeed",P650&gt;=0.41,"High Windspeed")</f>
        <v>Low Windspeed</v>
      </c>
      <c r="R650" s="35">
        <v>1</v>
      </c>
      <c r="S650" s="35">
        <v>11</v>
      </c>
      <c r="T650" s="40">
        <v>12</v>
      </c>
      <c r="U650" s="39" t="str" cm="1">
        <f t="array" ref="U650">_xlfn.IFS(T650&lt;=70,"Low",T650&lt;=160,"Medium",T650&gt;=161,"High")</f>
        <v>Low</v>
      </c>
    </row>
    <row r="651" spans="1:21" x14ac:dyDescent="0.25">
      <c r="A651" s="33">
        <v>650</v>
      </c>
      <c r="B651" s="34">
        <v>40573</v>
      </c>
      <c r="C651" s="35">
        <v>1</v>
      </c>
      <c r="D651" s="35">
        <v>0</v>
      </c>
      <c r="E651" s="35">
        <v>1</v>
      </c>
      <c r="F651" s="35">
        <v>9</v>
      </c>
      <c r="G651" s="35" t="str" cm="1">
        <f t="array" ref="G651">_xlfn.IFS(F651&lt;4,"Night",F651&lt;=6,"Early Morning",F651&lt;11,"Morning",F651&lt;12,"Afternoon",F651&lt;=16,"Afternoon",F651&lt;=20,"Evening",F651&gt;=21,"Night")</f>
        <v>Morning</v>
      </c>
      <c r="H651" s="35" t="b">
        <v>0</v>
      </c>
      <c r="I651" s="35">
        <v>0</v>
      </c>
      <c r="J651" s="35">
        <v>2</v>
      </c>
      <c r="K651" s="35">
        <v>0.16</v>
      </c>
      <c r="L651" s="31" t="str" cm="1">
        <f t="array" ref="L651">_xlfn.IFS(K651&lt;0.15,"Cold",K651&lt;0.25,"Mild",K651&lt;=0.32,"Warm",K651&gt;=0.33,"Hot")</f>
        <v>Mild</v>
      </c>
      <c r="M651" s="35">
        <v>0.2273</v>
      </c>
      <c r="N651" s="35">
        <v>0.8</v>
      </c>
      <c r="O651" s="35" t="str" cm="1">
        <f t="array" ref="O651">_xlfn.IFS(N651&gt;0.61, "High Humidity", N651&gt;=0.6, "Humid", N651&gt;0.4, "Less Humidity", TRUE, "Dry")</f>
        <v>High Humidity</v>
      </c>
      <c r="P651" s="35">
        <v>0</v>
      </c>
      <c r="Q651" s="35" t="str" cm="1">
        <f t="array" ref="Q651">_xlfn.IFS(P651&lt;=0.2,"Low Windspeed",P651&lt;0.4,"Medium Windspeed",P651&gt;=0.41,"High Windspeed")</f>
        <v>Low Windspeed</v>
      </c>
      <c r="R651" s="35">
        <v>4</v>
      </c>
      <c r="S651" s="35">
        <v>34</v>
      </c>
      <c r="T651" s="40">
        <v>38</v>
      </c>
      <c r="U651" s="39" t="str" cm="1">
        <f t="array" ref="U651">_xlfn.IFS(T651&lt;=70,"Low",T651&lt;=160,"Medium",T651&gt;=161,"High")</f>
        <v>Low</v>
      </c>
    </row>
    <row r="652" spans="1:21" x14ac:dyDescent="0.25">
      <c r="A652" s="33">
        <v>651</v>
      </c>
      <c r="B652" s="34">
        <v>40573</v>
      </c>
      <c r="C652" s="35">
        <v>1</v>
      </c>
      <c r="D652" s="35">
        <v>0</v>
      </c>
      <c r="E652" s="35">
        <v>1</v>
      </c>
      <c r="F652" s="35">
        <v>10</v>
      </c>
      <c r="G652" s="35" t="str" cm="1">
        <f t="array" ref="G652">_xlfn.IFS(F652&lt;4,"Night",F652&lt;=6,"Early Morning",F652&lt;11,"Morning",F652&lt;12,"Afternoon",F652&lt;=16,"Afternoon",F652&lt;=20,"Evening",F652&gt;=21,"Night")</f>
        <v>Morning</v>
      </c>
      <c r="H652" s="35" t="b">
        <v>0</v>
      </c>
      <c r="I652" s="35">
        <v>0</v>
      </c>
      <c r="J652" s="35">
        <v>2</v>
      </c>
      <c r="K652" s="35">
        <v>0.18</v>
      </c>
      <c r="L652" s="31" t="str" cm="1">
        <f t="array" ref="L652">_xlfn.IFS(K652&lt;0.15,"Cold",K652&lt;0.25,"Mild",K652&lt;=0.32,"Warm",K652&gt;=0.33,"Hot")</f>
        <v>Mild</v>
      </c>
      <c r="M652" s="35">
        <v>0.2424</v>
      </c>
      <c r="N652" s="35">
        <v>0.8</v>
      </c>
      <c r="O652" s="35" t="str" cm="1">
        <f t="array" ref="O652">_xlfn.IFS(N652&gt;0.61, "High Humidity", N652&gt;=0.6, "Humid", N652&gt;0.4, "Less Humidity", TRUE, "Dry")</f>
        <v>High Humidity</v>
      </c>
      <c r="P652" s="35">
        <v>0</v>
      </c>
      <c r="Q652" s="35" t="str" cm="1">
        <f t="array" ref="Q652">_xlfn.IFS(P652&lt;=0.2,"Low Windspeed",P652&lt;0.4,"Medium Windspeed",P652&gt;=0.41,"High Windspeed")</f>
        <v>Low Windspeed</v>
      </c>
      <c r="R652" s="35">
        <v>7</v>
      </c>
      <c r="S652" s="35">
        <v>57</v>
      </c>
      <c r="T652" s="40">
        <v>64</v>
      </c>
      <c r="U652" s="39" t="str" cm="1">
        <f t="array" ref="U652">_xlfn.IFS(T652&lt;=70,"Low",T652&lt;=160,"Medium",T652&gt;=161,"High")</f>
        <v>Low</v>
      </c>
    </row>
    <row r="653" spans="1:21" x14ac:dyDescent="0.25">
      <c r="A653" s="33">
        <v>652</v>
      </c>
      <c r="B653" s="34">
        <v>40573</v>
      </c>
      <c r="C653" s="35">
        <v>1</v>
      </c>
      <c r="D653" s="35">
        <v>0</v>
      </c>
      <c r="E653" s="35">
        <v>1</v>
      </c>
      <c r="F653" s="35">
        <v>11</v>
      </c>
      <c r="G653" s="35" t="str" cm="1">
        <f t="array" ref="G653">_xlfn.IFS(F653&lt;4,"Night",F653&lt;=6,"Early Morning",F653&lt;11,"Morning",F653&lt;12,"Afternoon",F653&lt;=16,"Afternoon",F653&lt;=20,"Evening",F653&gt;=21,"Night")</f>
        <v>Afternoon</v>
      </c>
      <c r="H653" s="35" t="b">
        <v>0</v>
      </c>
      <c r="I653" s="35">
        <v>0</v>
      </c>
      <c r="J653" s="35">
        <v>1</v>
      </c>
      <c r="K653" s="35">
        <v>0.22</v>
      </c>
      <c r="L653" s="31" t="str" cm="1">
        <f t="array" ref="L653">_xlfn.IFS(K653&lt;0.15,"Cold",K653&lt;0.25,"Mild",K653&lt;=0.32,"Warm",K653&gt;=0.33,"Hot")</f>
        <v>Mild</v>
      </c>
      <c r="M653" s="35">
        <v>0.2727</v>
      </c>
      <c r="N653" s="35">
        <v>0.75</v>
      </c>
      <c r="O653" s="35" t="str" cm="1">
        <f t="array" ref="O653">_xlfn.IFS(N653&gt;0.61, "High Humidity", N653&gt;=0.6, "Humid", N653&gt;0.4, "Less Humidity", TRUE, "Dry")</f>
        <v>High Humidity</v>
      </c>
      <c r="P653" s="35">
        <v>0</v>
      </c>
      <c r="Q653" s="35" t="str" cm="1">
        <f t="array" ref="Q653">_xlfn.IFS(P653&lt;=0.2,"Low Windspeed",P653&lt;0.4,"Medium Windspeed",P653&gt;=0.41,"High Windspeed")</f>
        <v>Low Windspeed</v>
      </c>
      <c r="R653" s="35">
        <v>9</v>
      </c>
      <c r="S653" s="35">
        <v>50</v>
      </c>
      <c r="T653" s="40">
        <v>59</v>
      </c>
      <c r="U653" s="39" t="str" cm="1">
        <f t="array" ref="U653">_xlfn.IFS(T653&lt;=70,"Low",T653&lt;=160,"Medium",T653&gt;=161,"High")</f>
        <v>Low</v>
      </c>
    </row>
    <row r="654" spans="1:21" x14ac:dyDescent="0.25">
      <c r="A654" s="33">
        <v>653</v>
      </c>
      <c r="B654" s="34">
        <v>40573</v>
      </c>
      <c r="C654" s="35">
        <v>1</v>
      </c>
      <c r="D654" s="35">
        <v>0</v>
      </c>
      <c r="E654" s="35">
        <v>1</v>
      </c>
      <c r="F654" s="35">
        <v>12</v>
      </c>
      <c r="G654" s="35" t="str" cm="1">
        <f t="array" ref="G654">_xlfn.IFS(F654&lt;4,"Night",F654&lt;=6,"Early Morning",F654&lt;11,"Morning",F654&lt;12,"Afternoon",F654&lt;=16,"Afternoon",F654&lt;=20,"Evening",F654&gt;=21,"Night")</f>
        <v>Afternoon</v>
      </c>
      <c r="H654" s="35" t="b">
        <v>0</v>
      </c>
      <c r="I654" s="35">
        <v>0</v>
      </c>
      <c r="J654" s="35">
        <v>1</v>
      </c>
      <c r="K654" s="35">
        <v>0.3</v>
      </c>
      <c r="L654" s="31" t="str" cm="1">
        <f t="array" ref="L654">_xlfn.IFS(K654&lt;0.15,"Cold",K654&lt;0.25,"Mild",K654&lt;=0.32,"Warm",K654&gt;=0.33,"Hot")</f>
        <v>Warm</v>
      </c>
      <c r="M654" s="35">
        <v>0.31819999999999998</v>
      </c>
      <c r="N654" s="35">
        <v>0.52</v>
      </c>
      <c r="O654" s="35" t="str" cm="1">
        <f t="array" ref="O654">_xlfn.IFS(N654&gt;0.61, "High Humidity", N654&gt;=0.6, "Humid", N654&gt;0.4, "Less Humidity", TRUE, "Dry")</f>
        <v>Less Humidity</v>
      </c>
      <c r="P654" s="35">
        <v>0.1045</v>
      </c>
      <c r="Q654" s="35" t="str" cm="1">
        <f t="array" ref="Q654">_xlfn.IFS(P654&lt;=0.2,"Low Windspeed",P654&lt;0.4,"Medium Windspeed",P654&gt;=0.41,"High Windspeed")</f>
        <v>Low Windspeed</v>
      </c>
      <c r="R654" s="35">
        <v>10</v>
      </c>
      <c r="S654" s="35">
        <v>87</v>
      </c>
      <c r="T654" s="40">
        <v>97</v>
      </c>
      <c r="U654" s="39" t="str" cm="1">
        <f t="array" ref="U654">_xlfn.IFS(T654&lt;=70,"Low",T654&lt;=160,"Medium",T654&gt;=161,"High")</f>
        <v>Medium</v>
      </c>
    </row>
    <row r="655" spans="1:21" x14ac:dyDescent="0.25">
      <c r="A655" s="33">
        <v>654</v>
      </c>
      <c r="B655" s="34">
        <v>40573</v>
      </c>
      <c r="C655" s="35">
        <v>1</v>
      </c>
      <c r="D655" s="35">
        <v>0</v>
      </c>
      <c r="E655" s="35">
        <v>1</v>
      </c>
      <c r="F655" s="35">
        <v>13</v>
      </c>
      <c r="G655" s="35" t="str" cm="1">
        <f t="array" ref="G655">_xlfn.IFS(F655&lt;4,"Night",F655&lt;=6,"Early Morning",F655&lt;11,"Morning",F655&lt;12,"Afternoon",F655&lt;=16,"Afternoon",F655&lt;=20,"Evening",F655&gt;=21,"Night")</f>
        <v>Afternoon</v>
      </c>
      <c r="H655" s="35" t="b">
        <v>0</v>
      </c>
      <c r="I655" s="35">
        <v>0</v>
      </c>
      <c r="J655" s="35">
        <v>1</v>
      </c>
      <c r="K655" s="35">
        <v>0.28000000000000003</v>
      </c>
      <c r="L655" s="31" t="str" cm="1">
        <f t="array" ref="L655">_xlfn.IFS(K655&lt;0.15,"Cold",K655&lt;0.25,"Mild",K655&lt;=0.32,"Warm",K655&gt;=0.33,"Hot")</f>
        <v>Warm</v>
      </c>
      <c r="M655" s="35">
        <v>0.28789999999999999</v>
      </c>
      <c r="N655" s="35">
        <v>0.61</v>
      </c>
      <c r="O655" s="35" t="str" cm="1">
        <f t="array" ref="O655">_xlfn.IFS(N655&gt;0.61, "High Humidity", N655&gt;=0.6, "Humid", N655&gt;0.4, "Less Humidity", TRUE, "Dry")</f>
        <v>Humid</v>
      </c>
      <c r="P655" s="35">
        <v>0.1045</v>
      </c>
      <c r="Q655" s="35" t="str" cm="1">
        <f t="array" ref="Q655">_xlfn.IFS(P655&lt;=0.2,"Low Windspeed",P655&lt;0.4,"Medium Windspeed",P655&gt;=0.41,"High Windspeed")</f>
        <v>Low Windspeed</v>
      </c>
      <c r="R655" s="35">
        <v>13</v>
      </c>
      <c r="S655" s="35">
        <v>71</v>
      </c>
      <c r="T655" s="40">
        <v>84</v>
      </c>
      <c r="U655" s="39" t="str" cm="1">
        <f t="array" ref="U655">_xlfn.IFS(T655&lt;=70,"Low",T655&lt;=160,"Medium",T655&gt;=161,"High")</f>
        <v>Medium</v>
      </c>
    </row>
    <row r="656" spans="1:21" x14ac:dyDescent="0.25">
      <c r="A656" s="33">
        <v>655</v>
      </c>
      <c r="B656" s="34">
        <v>40573</v>
      </c>
      <c r="C656" s="35">
        <v>1</v>
      </c>
      <c r="D656" s="35">
        <v>0</v>
      </c>
      <c r="E656" s="35">
        <v>1</v>
      </c>
      <c r="F656" s="35">
        <v>14</v>
      </c>
      <c r="G656" s="35" t="str" cm="1">
        <f t="array" ref="G656">_xlfn.IFS(F656&lt;4,"Night",F656&lt;=6,"Early Morning",F656&lt;11,"Morning",F656&lt;12,"Afternoon",F656&lt;=16,"Afternoon",F656&lt;=20,"Evening",F656&gt;=21,"Night")</f>
        <v>Afternoon</v>
      </c>
      <c r="H656" s="35" t="b">
        <v>0</v>
      </c>
      <c r="I656" s="35">
        <v>0</v>
      </c>
      <c r="J656" s="35">
        <v>1</v>
      </c>
      <c r="K656" s="35">
        <v>0.28000000000000003</v>
      </c>
      <c r="L656" s="31" t="str" cm="1">
        <f t="array" ref="L656">_xlfn.IFS(K656&lt;0.15,"Cold",K656&lt;0.25,"Mild",K656&lt;=0.32,"Warm",K656&gt;=0.33,"Hot")</f>
        <v>Warm</v>
      </c>
      <c r="M656" s="35">
        <v>0.30299999999999999</v>
      </c>
      <c r="N656" s="35">
        <v>0.61</v>
      </c>
      <c r="O656" s="35" t="str" cm="1">
        <f t="array" ref="O656">_xlfn.IFS(N656&gt;0.61, "High Humidity", N656&gt;=0.6, "Humid", N656&gt;0.4, "Less Humidity", TRUE, "Dry")</f>
        <v>Humid</v>
      </c>
      <c r="P656" s="35">
        <v>8.9599999999999999E-2</v>
      </c>
      <c r="Q656" s="35" t="str" cm="1">
        <f t="array" ref="Q656">_xlfn.IFS(P656&lt;=0.2,"Low Windspeed",P656&lt;0.4,"Medium Windspeed",P656&gt;=0.41,"High Windspeed")</f>
        <v>Low Windspeed</v>
      </c>
      <c r="R656" s="35">
        <v>18</v>
      </c>
      <c r="S656" s="35">
        <v>104</v>
      </c>
      <c r="T656" s="40">
        <v>122</v>
      </c>
      <c r="U656" s="39" t="str" cm="1">
        <f t="array" ref="U656">_xlfn.IFS(T656&lt;=70,"Low",T656&lt;=160,"Medium",T656&gt;=161,"High")</f>
        <v>Medium</v>
      </c>
    </row>
    <row r="657" spans="1:21" x14ac:dyDescent="0.25">
      <c r="A657" s="33">
        <v>656</v>
      </c>
      <c r="B657" s="34">
        <v>40573</v>
      </c>
      <c r="C657" s="35">
        <v>1</v>
      </c>
      <c r="D657" s="35">
        <v>0</v>
      </c>
      <c r="E657" s="35">
        <v>1</v>
      </c>
      <c r="F657" s="35">
        <v>15</v>
      </c>
      <c r="G657" s="35" t="str" cm="1">
        <f t="array" ref="G657">_xlfn.IFS(F657&lt;4,"Night",F657&lt;=6,"Early Morning",F657&lt;11,"Morning",F657&lt;12,"Afternoon",F657&lt;=16,"Afternoon",F657&lt;=20,"Evening",F657&gt;=21,"Night")</f>
        <v>Afternoon</v>
      </c>
      <c r="H657" s="35" t="b">
        <v>0</v>
      </c>
      <c r="I657" s="35">
        <v>0</v>
      </c>
      <c r="J657" s="35">
        <v>1</v>
      </c>
      <c r="K657" s="35">
        <v>0.3</v>
      </c>
      <c r="L657" s="31" t="str" cm="1">
        <f t="array" ref="L657">_xlfn.IFS(K657&lt;0.15,"Cold",K657&lt;0.25,"Mild",K657&lt;=0.32,"Warm",K657&gt;=0.33,"Hot")</f>
        <v>Warm</v>
      </c>
      <c r="M657" s="35">
        <v>0.33329999999999999</v>
      </c>
      <c r="N657" s="35">
        <v>0.56000000000000005</v>
      </c>
      <c r="O657" s="35" t="str" cm="1">
        <f t="array" ref="O657">_xlfn.IFS(N657&gt;0.61, "High Humidity", N657&gt;=0.6, "Humid", N657&gt;0.4, "Less Humidity", TRUE, "Dry")</f>
        <v>Less Humidity</v>
      </c>
      <c r="P657" s="35">
        <v>0</v>
      </c>
      <c r="Q657" s="35" t="str" cm="1">
        <f t="array" ref="Q657">_xlfn.IFS(P657&lt;=0.2,"Low Windspeed",P657&lt;0.4,"Medium Windspeed",P657&gt;=0.41,"High Windspeed")</f>
        <v>Low Windspeed</v>
      </c>
      <c r="R657" s="35">
        <v>14</v>
      </c>
      <c r="S657" s="35">
        <v>95</v>
      </c>
      <c r="T657" s="40">
        <v>109</v>
      </c>
      <c r="U657" s="39" t="str" cm="1">
        <f t="array" ref="U657">_xlfn.IFS(T657&lt;=70,"Low",T657&lt;=160,"Medium",T657&gt;=161,"High")</f>
        <v>Medium</v>
      </c>
    </row>
    <row r="658" spans="1:21" x14ac:dyDescent="0.25">
      <c r="A658" s="33">
        <v>657</v>
      </c>
      <c r="B658" s="34">
        <v>40573</v>
      </c>
      <c r="C658" s="35">
        <v>1</v>
      </c>
      <c r="D658" s="35">
        <v>0</v>
      </c>
      <c r="E658" s="35">
        <v>1</v>
      </c>
      <c r="F658" s="35">
        <v>16</v>
      </c>
      <c r="G658" s="35" t="str" cm="1">
        <f t="array" ref="G658">_xlfn.IFS(F658&lt;4,"Night",F658&lt;=6,"Early Morning",F658&lt;11,"Morning",F658&lt;12,"Afternoon",F658&lt;=16,"Afternoon",F658&lt;=20,"Evening",F658&gt;=21,"Night")</f>
        <v>Afternoon</v>
      </c>
      <c r="H658" s="35" t="b">
        <v>0</v>
      </c>
      <c r="I658" s="35">
        <v>0</v>
      </c>
      <c r="J658" s="35">
        <v>1</v>
      </c>
      <c r="K658" s="35">
        <v>0.3</v>
      </c>
      <c r="L658" s="31" t="str" cm="1">
        <f t="array" ref="L658">_xlfn.IFS(K658&lt;0.15,"Cold",K658&lt;0.25,"Mild",K658&lt;=0.32,"Warm",K658&gt;=0.33,"Hot")</f>
        <v>Warm</v>
      </c>
      <c r="M658" s="35">
        <v>0.33329999999999999</v>
      </c>
      <c r="N658" s="35">
        <v>0.56000000000000005</v>
      </c>
      <c r="O658" s="35" t="str" cm="1">
        <f t="array" ref="O658">_xlfn.IFS(N658&gt;0.61, "High Humidity", N658&gt;=0.6, "Humid", N658&gt;0.4, "Less Humidity", TRUE, "Dry")</f>
        <v>Less Humidity</v>
      </c>
      <c r="P658" s="35">
        <v>0</v>
      </c>
      <c r="Q658" s="35" t="str" cm="1">
        <f t="array" ref="Q658">_xlfn.IFS(P658&lt;=0.2,"Low Windspeed",P658&lt;0.4,"Medium Windspeed",P658&gt;=0.41,"High Windspeed")</f>
        <v>Low Windspeed</v>
      </c>
      <c r="R658" s="35">
        <v>19</v>
      </c>
      <c r="S658" s="35">
        <v>104</v>
      </c>
      <c r="T658" s="40">
        <v>123</v>
      </c>
      <c r="U658" s="39" t="str" cm="1">
        <f t="array" ref="U658">_xlfn.IFS(T658&lt;=70,"Low",T658&lt;=160,"Medium",T658&gt;=161,"High")</f>
        <v>Medium</v>
      </c>
    </row>
    <row r="659" spans="1:21" x14ac:dyDescent="0.25">
      <c r="A659" s="33">
        <v>658</v>
      </c>
      <c r="B659" s="34">
        <v>40573</v>
      </c>
      <c r="C659" s="35">
        <v>1</v>
      </c>
      <c r="D659" s="35">
        <v>0</v>
      </c>
      <c r="E659" s="35">
        <v>1</v>
      </c>
      <c r="F659" s="35">
        <v>17</v>
      </c>
      <c r="G659" s="35" t="str" cm="1">
        <f t="array" ref="G659">_xlfn.IFS(F659&lt;4,"Night",F659&lt;=6,"Early Morning",F659&lt;11,"Morning",F659&lt;12,"Afternoon",F659&lt;=16,"Afternoon",F659&lt;=20,"Evening",F659&gt;=21,"Night")</f>
        <v>Evening</v>
      </c>
      <c r="H659" s="35" t="b">
        <v>0</v>
      </c>
      <c r="I659" s="35">
        <v>0</v>
      </c>
      <c r="J659" s="35">
        <v>1</v>
      </c>
      <c r="K659" s="35">
        <v>0.3</v>
      </c>
      <c r="L659" s="31" t="str" cm="1">
        <f t="array" ref="L659">_xlfn.IFS(K659&lt;0.15,"Cold",K659&lt;0.25,"Mild",K659&lt;=0.32,"Warm",K659&gt;=0.33,"Hot")</f>
        <v>Warm</v>
      </c>
      <c r="M659" s="35">
        <v>0.28789999999999999</v>
      </c>
      <c r="N659" s="35">
        <v>0.56000000000000005</v>
      </c>
      <c r="O659" s="35" t="str" cm="1">
        <f t="array" ref="O659">_xlfn.IFS(N659&gt;0.61, "High Humidity", N659&gt;=0.6, "Humid", N659&gt;0.4, "Less Humidity", TRUE, "Dry")</f>
        <v>Less Humidity</v>
      </c>
      <c r="P659" s="35">
        <v>0.19400000000000001</v>
      </c>
      <c r="Q659" s="35" t="str" cm="1">
        <f t="array" ref="Q659">_xlfn.IFS(P659&lt;=0.2,"Low Windspeed",P659&lt;0.4,"Medium Windspeed",P659&gt;=0.41,"High Windspeed")</f>
        <v>Low Windspeed</v>
      </c>
      <c r="R659" s="35">
        <v>6</v>
      </c>
      <c r="S659" s="35">
        <v>71</v>
      </c>
      <c r="T659" s="40">
        <v>77</v>
      </c>
      <c r="U659" s="39" t="str" cm="1">
        <f t="array" ref="U659">_xlfn.IFS(T659&lt;=70,"Low",T659&lt;=160,"Medium",T659&gt;=161,"High")</f>
        <v>Medium</v>
      </c>
    </row>
    <row r="660" spans="1:21" x14ac:dyDescent="0.25">
      <c r="A660" s="33">
        <v>659</v>
      </c>
      <c r="B660" s="34">
        <v>40573</v>
      </c>
      <c r="C660" s="35">
        <v>1</v>
      </c>
      <c r="D660" s="35">
        <v>0</v>
      </c>
      <c r="E660" s="35">
        <v>1</v>
      </c>
      <c r="F660" s="35">
        <v>18</v>
      </c>
      <c r="G660" s="35" t="str" cm="1">
        <f t="array" ref="G660">_xlfn.IFS(F660&lt;4,"Night",F660&lt;=6,"Early Morning",F660&lt;11,"Morning",F660&lt;12,"Afternoon",F660&lt;=16,"Afternoon",F660&lt;=20,"Evening",F660&gt;=21,"Night")</f>
        <v>Evening</v>
      </c>
      <c r="H660" s="35" t="b">
        <v>0</v>
      </c>
      <c r="I660" s="35">
        <v>0</v>
      </c>
      <c r="J660" s="35">
        <v>1</v>
      </c>
      <c r="K660" s="35">
        <v>0.26</v>
      </c>
      <c r="L660" s="31" t="str" cm="1">
        <f t="array" ref="L660">_xlfn.IFS(K660&lt;0.15,"Cold",K660&lt;0.25,"Mild",K660&lt;=0.32,"Warm",K660&gt;=0.33,"Hot")</f>
        <v>Warm</v>
      </c>
      <c r="M660" s="35">
        <v>0.2576</v>
      </c>
      <c r="N660" s="35">
        <v>0.65</v>
      </c>
      <c r="O660" s="35" t="str" cm="1">
        <f t="array" ref="O660">_xlfn.IFS(N660&gt;0.61, "High Humidity", N660&gt;=0.6, "Humid", N660&gt;0.4, "Less Humidity", TRUE, "Dry")</f>
        <v>High Humidity</v>
      </c>
      <c r="P660" s="35">
        <v>0.16420000000000001</v>
      </c>
      <c r="Q660" s="35" t="str" cm="1">
        <f t="array" ref="Q660">_xlfn.IFS(P660&lt;=0.2,"Low Windspeed",P660&lt;0.4,"Medium Windspeed",P660&gt;=0.41,"High Windspeed")</f>
        <v>Low Windspeed</v>
      </c>
      <c r="R660" s="35">
        <v>8</v>
      </c>
      <c r="S660" s="35">
        <v>57</v>
      </c>
      <c r="T660" s="40">
        <v>65</v>
      </c>
      <c r="U660" s="39" t="str" cm="1">
        <f t="array" ref="U660">_xlfn.IFS(T660&lt;=70,"Low",T660&lt;=160,"Medium",T660&gt;=161,"High")</f>
        <v>Low</v>
      </c>
    </row>
    <row r="661" spans="1:21" x14ac:dyDescent="0.25">
      <c r="A661" s="33">
        <v>660</v>
      </c>
      <c r="B661" s="34">
        <v>40573</v>
      </c>
      <c r="C661" s="35">
        <v>1</v>
      </c>
      <c r="D661" s="35">
        <v>0</v>
      </c>
      <c r="E661" s="35">
        <v>1</v>
      </c>
      <c r="F661" s="35">
        <v>19</v>
      </c>
      <c r="G661" s="35" t="str" cm="1">
        <f t="array" ref="G661">_xlfn.IFS(F661&lt;4,"Night",F661&lt;=6,"Early Morning",F661&lt;11,"Morning",F661&lt;12,"Afternoon",F661&lt;=16,"Afternoon",F661&lt;=20,"Evening",F661&gt;=21,"Night")</f>
        <v>Evening</v>
      </c>
      <c r="H661" s="35" t="b">
        <v>0</v>
      </c>
      <c r="I661" s="35">
        <v>0</v>
      </c>
      <c r="J661" s="35">
        <v>1</v>
      </c>
      <c r="K661" s="35">
        <v>0.26</v>
      </c>
      <c r="L661" s="31" t="str" cm="1">
        <f t="array" ref="L661">_xlfn.IFS(K661&lt;0.15,"Cold",K661&lt;0.25,"Mild",K661&lt;=0.32,"Warm",K661&gt;=0.33,"Hot")</f>
        <v>Warm</v>
      </c>
      <c r="M661" s="35">
        <v>0.2576</v>
      </c>
      <c r="N661" s="35">
        <v>0.65</v>
      </c>
      <c r="O661" s="35" t="str" cm="1">
        <f t="array" ref="O661">_xlfn.IFS(N661&gt;0.61, "High Humidity", N661&gt;=0.6, "Humid", N661&gt;0.4, "Less Humidity", TRUE, "Dry")</f>
        <v>High Humidity</v>
      </c>
      <c r="P661" s="35">
        <v>0.19400000000000001</v>
      </c>
      <c r="Q661" s="35" t="str" cm="1">
        <f t="array" ref="Q661">_xlfn.IFS(P661&lt;=0.2,"Low Windspeed",P661&lt;0.4,"Medium Windspeed",P661&gt;=0.41,"High Windspeed")</f>
        <v>Low Windspeed</v>
      </c>
      <c r="R661" s="35">
        <v>9</v>
      </c>
      <c r="S661" s="35">
        <v>46</v>
      </c>
      <c r="T661" s="40">
        <v>55</v>
      </c>
      <c r="U661" s="39" t="str" cm="1">
        <f t="array" ref="U661">_xlfn.IFS(T661&lt;=70,"Low",T661&lt;=160,"Medium",T661&gt;=161,"High")</f>
        <v>Low</v>
      </c>
    </row>
    <row r="662" spans="1:21" x14ac:dyDescent="0.25">
      <c r="A662" s="33">
        <v>661</v>
      </c>
      <c r="B662" s="34">
        <v>40573</v>
      </c>
      <c r="C662" s="35">
        <v>1</v>
      </c>
      <c r="D662" s="35">
        <v>0</v>
      </c>
      <c r="E662" s="35">
        <v>1</v>
      </c>
      <c r="F662" s="35">
        <v>20</v>
      </c>
      <c r="G662" s="35" t="str" cm="1">
        <f t="array" ref="G662">_xlfn.IFS(F662&lt;4,"Night",F662&lt;=6,"Early Morning",F662&lt;11,"Morning",F662&lt;12,"Afternoon",F662&lt;=16,"Afternoon",F662&lt;=20,"Evening",F662&gt;=21,"Night")</f>
        <v>Evening</v>
      </c>
      <c r="H662" s="35" t="b">
        <v>0</v>
      </c>
      <c r="I662" s="35">
        <v>0</v>
      </c>
      <c r="J662" s="35">
        <v>2</v>
      </c>
      <c r="K662" s="35">
        <v>0.26</v>
      </c>
      <c r="L662" s="31" t="str" cm="1">
        <f t="array" ref="L662">_xlfn.IFS(K662&lt;0.15,"Cold",K662&lt;0.25,"Mild",K662&lt;=0.32,"Warm",K662&gt;=0.33,"Hot")</f>
        <v>Warm</v>
      </c>
      <c r="M662" s="35">
        <v>0.2727</v>
      </c>
      <c r="N662" s="35">
        <v>0.65</v>
      </c>
      <c r="O662" s="35" t="str" cm="1">
        <f t="array" ref="O662">_xlfn.IFS(N662&gt;0.61, "High Humidity", N662&gt;=0.6, "Humid", N662&gt;0.4, "Less Humidity", TRUE, "Dry")</f>
        <v>High Humidity</v>
      </c>
      <c r="P662" s="35">
        <v>0.1045</v>
      </c>
      <c r="Q662" s="35" t="str" cm="1">
        <f t="array" ref="Q662">_xlfn.IFS(P662&lt;=0.2,"Low Windspeed",P662&lt;0.4,"Medium Windspeed",P662&gt;=0.41,"High Windspeed")</f>
        <v>Low Windspeed</v>
      </c>
      <c r="R662" s="35">
        <v>3</v>
      </c>
      <c r="S662" s="35">
        <v>30</v>
      </c>
      <c r="T662" s="40">
        <v>33</v>
      </c>
      <c r="U662" s="39" t="str" cm="1">
        <f t="array" ref="U662">_xlfn.IFS(T662&lt;=70,"Low",T662&lt;=160,"Medium",T662&gt;=161,"High")</f>
        <v>Low</v>
      </c>
    </row>
    <row r="663" spans="1:21" x14ac:dyDescent="0.25">
      <c r="A663" s="33">
        <v>662</v>
      </c>
      <c r="B663" s="34">
        <v>40573</v>
      </c>
      <c r="C663" s="35">
        <v>1</v>
      </c>
      <c r="D663" s="35">
        <v>0</v>
      </c>
      <c r="E663" s="35">
        <v>1</v>
      </c>
      <c r="F663" s="35">
        <v>21</v>
      </c>
      <c r="G663" s="35" t="str" cm="1">
        <f t="array" ref="G663">_xlfn.IFS(F663&lt;4,"Night",F663&lt;=6,"Early Morning",F663&lt;11,"Morning",F663&lt;12,"Afternoon",F663&lt;=16,"Afternoon",F663&lt;=20,"Evening",F663&gt;=21,"Night")</f>
        <v>Night</v>
      </c>
      <c r="H663" s="35" t="b">
        <v>0</v>
      </c>
      <c r="I663" s="35">
        <v>0</v>
      </c>
      <c r="J663" s="35">
        <v>2</v>
      </c>
      <c r="K663" s="35">
        <v>0.24</v>
      </c>
      <c r="L663" s="31" t="str" cm="1">
        <f t="array" ref="L663">_xlfn.IFS(K663&lt;0.15,"Cold",K663&lt;0.25,"Mild",K663&lt;=0.32,"Warm",K663&gt;=0.33,"Hot")</f>
        <v>Mild</v>
      </c>
      <c r="M663" s="35">
        <v>0.2424</v>
      </c>
      <c r="N663" s="35">
        <v>0.7</v>
      </c>
      <c r="O663" s="35" t="str" cm="1">
        <f t="array" ref="O663">_xlfn.IFS(N663&gt;0.61, "High Humidity", N663&gt;=0.6, "Humid", N663&gt;0.4, "Less Humidity", TRUE, "Dry")</f>
        <v>High Humidity</v>
      </c>
      <c r="P663" s="35">
        <v>0.16420000000000001</v>
      </c>
      <c r="Q663" s="35" t="str" cm="1">
        <f t="array" ref="Q663">_xlfn.IFS(P663&lt;=0.2,"Low Windspeed",P663&lt;0.4,"Medium Windspeed",P663&gt;=0.41,"High Windspeed")</f>
        <v>Low Windspeed</v>
      </c>
      <c r="R663" s="35">
        <v>3</v>
      </c>
      <c r="S663" s="35">
        <v>25</v>
      </c>
      <c r="T663" s="40">
        <v>28</v>
      </c>
      <c r="U663" s="39" t="str" cm="1">
        <f t="array" ref="U663">_xlfn.IFS(T663&lt;=70,"Low",T663&lt;=160,"Medium",T663&gt;=161,"High")</f>
        <v>Low</v>
      </c>
    </row>
    <row r="664" spans="1:21" x14ac:dyDescent="0.25">
      <c r="A664" s="33">
        <v>663</v>
      </c>
      <c r="B664" s="34">
        <v>40573</v>
      </c>
      <c r="C664" s="35">
        <v>1</v>
      </c>
      <c r="D664" s="35">
        <v>0</v>
      </c>
      <c r="E664" s="35">
        <v>1</v>
      </c>
      <c r="F664" s="35">
        <v>22</v>
      </c>
      <c r="G664" s="35" t="str" cm="1">
        <f t="array" ref="G664">_xlfn.IFS(F664&lt;4,"Night",F664&lt;=6,"Early Morning",F664&lt;11,"Morning",F664&lt;12,"Afternoon",F664&lt;=16,"Afternoon",F664&lt;=20,"Evening",F664&gt;=21,"Night")</f>
        <v>Night</v>
      </c>
      <c r="H664" s="35" t="b">
        <v>0</v>
      </c>
      <c r="I664" s="35">
        <v>0</v>
      </c>
      <c r="J664" s="35">
        <v>2</v>
      </c>
      <c r="K664" s="35">
        <v>0.24</v>
      </c>
      <c r="L664" s="31" t="str" cm="1">
        <f t="array" ref="L664">_xlfn.IFS(K664&lt;0.15,"Cold",K664&lt;0.25,"Mild",K664&lt;=0.32,"Warm",K664&gt;=0.33,"Hot")</f>
        <v>Mild</v>
      </c>
      <c r="M664" s="35">
        <v>0.2273</v>
      </c>
      <c r="N664" s="35">
        <v>0.7</v>
      </c>
      <c r="O664" s="35" t="str" cm="1">
        <f t="array" ref="O664">_xlfn.IFS(N664&gt;0.61, "High Humidity", N664&gt;=0.6, "Humid", N664&gt;0.4, "Less Humidity", TRUE, "Dry")</f>
        <v>High Humidity</v>
      </c>
      <c r="P664" s="35">
        <v>0.19400000000000001</v>
      </c>
      <c r="Q664" s="35" t="str" cm="1">
        <f t="array" ref="Q664">_xlfn.IFS(P664&lt;=0.2,"Low Windspeed",P664&lt;0.4,"Medium Windspeed",P664&gt;=0.41,"High Windspeed")</f>
        <v>Low Windspeed</v>
      </c>
      <c r="R664" s="35">
        <v>2</v>
      </c>
      <c r="S664" s="35">
        <v>19</v>
      </c>
      <c r="T664" s="40">
        <v>21</v>
      </c>
      <c r="U664" s="39" t="str" cm="1">
        <f t="array" ref="U664">_xlfn.IFS(T664&lt;=70,"Low",T664&lt;=160,"Medium",T664&gt;=161,"High")</f>
        <v>Low</v>
      </c>
    </row>
    <row r="665" spans="1:21" x14ac:dyDescent="0.25">
      <c r="A665" s="33">
        <v>664</v>
      </c>
      <c r="B665" s="34">
        <v>40573</v>
      </c>
      <c r="C665" s="35">
        <v>1</v>
      </c>
      <c r="D665" s="35">
        <v>0</v>
      </c>
      <c r="E665" s="35">
        <v>1</v>
      </c>
      <c r="F665" s="35">
        <v>23</v>
      </c>
      <c r="G665" s="35" t="str" cm="1">
        <f t="array" ref="G665">_xlfn.IFS(F665&lt;4,"Night",F665&lt;=6,"Early Morning",F665&lt;11,"Morning",F665&lt;12,"Afternoon",F665&lt;=16,"Afternoon",F665&lt;=20,"Evening",F665&gt;=21,"Night")</f>
        <v>Night</v>
      </c>
      <c r="H665" s="35" t="b">
        <v>0</v>
      </c>
      <c r="I665" s="35">
        <v>0</v>
      </c>
      <c r="J665" s="35">
        <v>2</v>
      </c>
      <c r="K665" s="35">
        <v>0.24</v>
      </c>
      <c r="L665" s="31" t="str" cm="1">
        <f t="array" ref="L665">_xlfn.IFS(K665&lt;0.15,"Cold",K665&lt;0.25,"Mild",K665&lt;=0.32,"Warm",K665&gt;=0.33,"Hot")</f>
        <v>Mild</v>
      </c>
      <c r="M665" s="35">
        <v>0.21210000000000001</v>
      </c>
      <c r="N665" s="35">
        <v>0.65</v>
      </c>
      <c r="O665" s="35" t="str" cm="1">
        <f t="array" ref="O665">_xlfn.IFS(N665&gt;0.61, "High Humidity", N665&gt;=0.6, "Humid", N665&gt;0.4, "Less Humidity", TRUE, "Dry")</f>
        <v>High Humidity</v>
      </c>
      <c r="P665" s="35">
        <v>0.28360000000000002</v>
      </c>
      <c r="Q665" s="35" t="str" cm="1">
        <f t="array" ref="Q665">_xlfn.IFS(P665&lt;=0.2,"Low Windspeed",P665&lt;0.4,"Medium Windspeed",P665&gt;=0.41,"High Windspeed")</f>
        <v>Medium Windspeed</v>
      </c>
      <c r="R665" s="35">
        <v>5</v>
      </c>
      <c r="S665" s="35">
        <v>16</v>
      </c>
      <c r="T665" s="40">
        <v>21</v>
      </c>
      <c r="U665" s="39" t="str" cm="1">
        <f t="array" ref="U665">_xlfn.IFS(T665&lt;=70,"Low",T665&lt;=160,"Medium",T665&gt;=161,"High")</f>
        <v>Low</v>
      </c>
    </row>
    <row r="666" spans="1:21" x14ac:dyDescent="0.25">
      <c r="A666" s="33">
        <v>665</v>
      </c>
      <c r="B666" s="34">
        <v>40574</v>
      </c>
      <c r="C666" s="35">
        <v>1</v>
      </c>
      <c r="D666" s="35">
        <v>0</v>
      </c>
      <c r="E666" s="35">
        <v>1</v>
      </c>
      <c r="F666" s="35">
        <v>0</v>
      </c>
      <c r="G666" s="35" t="str" cm="1">
        <f t="array" ref="G666">_xlfn.IFS(F666&lt;4,"Night",F666&lt;=6,"Early Morning",F666&lt;11,"Morning",F666&lt;12,"Afternoon",F666&lt;=16,"Afternoon",F666&lt;=20,"Evening",F666&gt;=21,"Night")</f>
        <v>Night</v>
      </c>
      <c r="H666" s="35" t="b">
        <v>0</v>
      </c>
      <c r="I666" s="35">
        <v>1</v>
      </c>
      <c r="J666" s="35">
        <v>2</v>
      </c>
      <c r="K666" s="35">
        <v>0.24</v>
      </c>
      <c r="L666" s="31" t="str" cm="1">
        <f t="array" ref="L666">_xlfn.IFS(K666&lt;0.15,"Cold",K666&lt;0.25,"Mild",K666&lt;=0.32,"Warm",K666&gt;=0.33,"Hot")</f>
        <v>Mild</v>
      </c>
      <c r="M666" s="35">
        <v>0.2273</v>
      </c>
      <c r="N666" s="35">
        <v>0.65</v>
      </c>
      <c r="O666" s="35" t="str" cm="1">
        <f t="array" ref="O666">_xlfn.IFS(N666&gt;0.61, "High Humidity", N666&gt;=0.6, "Humid", N666&gt;0.4, "Less Humidity", TRUE, "Dry")</f>
        <v>High Humidity</v>
      </c>
      <c r="P666" s="35">
        <v>0.22389999999999999</v>
      </c>
      <c r="Q666" s="35" t="str" cm="1">
        <f t="array" ref="Q666">_xlfn.IFS(P666&lt;=0.2,"Low Windspeed",P666&lt;0.4,"Medium Windspeed",P666&gt;=0.41,"High Windspeed")</f>
        <v>Medium Windspeed</v>
      </c>
      <c r="R666" s="35">
        <v>1</v>
      </c>
      <c r="S666" s="35">
        <v>6</v>
      </c>
      <c r="T666" s="40">
        <v>7</v>
      </c>
      <c r="U666" s="39" t="str" cm="1">
        <f t="array" ref="U666">_xlfn.IFS(T666&lt;=70,"Low",T666&lt;=160,"Medium",T666&gt;=161,"High")</f>
        <v>Low</v>
      </c>
    </row>
    <row r="667" spans="1:21" x14ac:dyDescent="0.25">
      <c r="A667" s="33">
        <v>666</v>
      </c>
      <c r="B667" s="34">
        <v>40574</v>
      </c>
      <c r="C667" s="35">
        <v>1</v>
      </c>
      <c r="D667" s="35">
        <v>0</v>
      </c>
      <c r="E667" s="35">
        <v>1</v>
      </c>
      <c r="F667" s="35">
        <v>1</v>
      </c>
      <c r="G667" s="35" t="str" cm="1">
        <f t="array" ref="G667">_xlfn.IFS(F667&lt;4,"Night",F667&lt;=6,"Early Morning",F667&lt;11,"Morning",F667&lt;12,"Afternoon",F667&lt;=16,"Afternoon",F667&lt;=20,"Evening",F667&gt;=21,"Night")</f>
        <v>Night</v>
      </c>
      <c r="H667" s="35" t="b">
        <v>0</v>
      </c>
      <c r="I667" s="35">
        <v>1</v>
      </c>
      <c r="J667" s="35">
        <v>1</v>
      </c>
      <c r="K667" s="35">
        <v>0.22</v>
      </c>
      <c r="L667" s="31" t="str" cm="1">
        <f t="array" ref="L667">_xlfn.IFS(K667&lt;0.15,"Cold",K667&lt;0.25,"Mild",K667&lt;=0.32,"Warm",K667&gt;=0.33,"Hot")</f>
        <v>Mild</v>
      </c>
      <c r="M667" s="35">
        <v>0.21210000000000001</v>
      </c>
      <c r="N667" s="35">
        <v>0.64</v>
      </c>
      <c r="O667" s="35" t="str" cm="1">
        <f t="array" ref="O667">_xlfn.IFS(N667&gt;0.61, "High Humidity", N667&gt;=0.6, "Humid", N667&gt;0.4, "Less Humidity", TRUE, "Dry")</f>
        <v>High Humidity</v>
      </c>
      <c r="P667" s="35">
        <v>0.25369999999999998</v>
      </c>
      <c r="Q667" s="35" t="str" cm="1">
        <f t="array" ref="Q667">_xlfn.IFS(P667&lt;=0.2,"Low Windspeed",P667&lt;0.4,"Medium Windspeed",P667&gt;=0.41,"High Windspeed")</f>
        <v>Medium Windspeed</v>
      </c>
      <c r="R667" s="35">
        <v>2</v>
      </c>
      <c r="S667" s="35">
        <v>5</v>
      </c>
      <c r="T667" s="40">
        <v>7</v>
      </c>
      <c r="U667" s="39" t="str" cm="1">
        <f t="array" ref="U667">_xlfn.IFS(T667&lt;=70,"Low",T667&lt;=160,"Medium",T667&gt;=161,"High")</f>
        <v>Low</v>
      </c>
    </row>
    <row r="668" spans="1:21" x14ac:dyDescent="0.25">
      <c r="A668" s="33">
        <v>667</v>
      </c>
      <c r="B668" s="34">
        <v>40574</v>
      </c>
      <c r="C668" s="35">
        <v>1</v>
      </c>
      <c r="D668" s="35">
        <v>0</v>
      </c>
      <c r="E668" s="35">
        <v>1</v>
      </c>
      <c r="F668" s="35">
        <v>2</v>
      </c>
      <c r="G668" s="35" t="str" cm="1">
        <f t="array" ref="G668">_xlfn.IFS(F668&lt;4,"Night",F668&lt;=6,"Early Morning",F668&lt;11,"Morning",F668&lt;12,"Afternoon",F668&lt;=16,"Afternoon",F668&lt;=20,"Evening",F668&gt;=21,"Night")</f>
        <v>Night</v>
      </c>
      <c r="H668" s="35" t="b">
        <v>0</v>
      </c>
      <c r="I668" s="35">
        <v>1</v>
      </c>
      <c r="J668" s="35">
        <v>1</v>
      </c>
      <c r="K668" s="35">
        <v>0.22</v>
      </c>
      <c r="L668" s="31" t="str" cm="1">
        <f t="array" ref="L668">_xlfn.IFS(K668&lt;0.15,"Cold",K668&lt;0.25,"Mild",K668&lt;=0.32,"Warm",K668&gt;=0.33,"Hot")</f>
        <v>Mild</v>
      </c>
      <c r="M668" s="35">
        <v>0.2273</v>
      </c>
      <c r="N668" s="35">
        <v>0.64</v>
      </c>
      <c r="O668" s="35" t="str" cm="1">
        <f t="array" ref="O668">_xlfn.IFS(N668&gt;0.61, "High Humidity", N668&gt;=0.6, "Humid", N668&gt;0.4, "Less Humidity", TRUE, "Dry")</f>
        <v>High Humidity</v>
      </c>
      <c r="P668" s="35">
        <v>0.19400000000000001</v>
      </c>
      <c r="Q668" s="35" t="str" cm="1">
        <f t="array" ref="Q668">_xlfn.IFS(P668&lt;=0.2,"Low Windspeed",P668&lt;0.4,"Medium Windspeed",P668&gt;=0.41,"High Windspeed")</f>
        <v>Low Windspeed</v>
      </c>
      <c r="R668" s="35">
        <v>0</v>
      </c>
      <c r="S668" s="35">
        <v>1</v>
      </c>
      <c r="T668" s="40">
        <v>1</v>
      </c>
      <c r="U668" s="39" t="str" cm="1">
        <f t="array" ref="U668">_xlfn.IFS(T668&lt;=70,"Low",T668&lt;=160,"Medium",T668&gt;=161,"High")</f>
        <v>Low</v>
      </c>
    </row>
    <row r="669" spans="1:21" x14ac:dyDescent="0.25">
      <c r="A669" s="33">
        <v>668</v>
      </c>
      <c r="B669" s="34">
        <v>40574</v>
      </c>
      <c r="C669" s="35">
        <v>1</v>
      </c>
      <c r="D669" s="35">
        <v>0</v>
      </c>
      <c r="E669" s="35">
        <v>1</v>
      </c>
      <c r="F669" s="35">
        <v>3</v>
      </c>
      <c r="G669" s="35" t="str" cm="1">
        <f t="array" ref="G669">_xlfn.IFS(F669&lt;4,"Night",F669&lt;=6,"Early Morning",F669&lt;11,"Morning",F669&lt;12,"Afternoon",F669&lt;=16,"Afternoon",F669&lt;=20,"Evening",F669&gt;=21,"Night")</f>
        <v>Night</v>
      </c>
      <c r="H669" s="35" t="b">
        <v>0</v>
      </c>
      <c r="I669" s="35">
        <v>1</v>
      </c>
      <c r="J669" s="35">
        <v>1</v>
      </c>
      <c r="K669" s="35">
        <v>0.22</v>
      </c>
      <c r="L669" s="31" t="str" cm="1">
        <f t="array" ref="L669">_xlfn.IFS(K669&lt;0.15,"Cold",K669&lt;0.25,"Mild",K669&lt;=0.32,"Warm",K669&gt;=0.33,"Hot")</f>
        <v>Mild</v>
      </c>
      <c r="M669" s="35">
        <v>0.2273</v>
      </c>
      <c r="N669" s="35">
        <v>0.64</v>
      </c>
      <c r="O669" s="35" t="str" cm="1">
        <f t="array" ref="O669">_xlfn.IFS(N669&gt;0.61, "High Humidity", N669&gt;=0.6, "Humid", N669&gt;0.4, "Less Humidity", TRUE, "Dry")</f>
        <v>High Humidity</v>
      </c>
      <c r="P669" s="35">
        <v>0.19400000000000001</v>
      </c>
      <c r="Q669" s="35" t="str" cm="1">
        <f t="array" ref="Q669">_xlfn.IFS(P669&lt;=0.2,"Low Windspeed",P669&lt;0.4,"Medium Windspeed",P669&gt;=0.41,"High Windspeed")</f>
        <v>Low Windspeed</v>
      </c>
      <c r="R669" s="35">
        <v>0</v>
      </c>
      <c r="S669" s="35">
        <v>2</v>
      </c>
      <c r="T669" s="40">
        <v>2</v>
      </c>
      <c r="U669" s="39" t="str" cm="1">
        <f t="array" ref="U669">_xlfn.IFS(T669&lt;=70,"Low",T669&lt;=160,"Medium",T669&gt;=161,"High")</f>
        <v>Low</v>
      </c>
    </row>
    <row r="670" spans="1:21" x14ac:dyDescent="0.25">
      <c r="A670" s="33">
        <v>669</v>
      </c>
      <c r="B670" s="34">
        <v>40574</v>
      </c>
      <c r="C670" s="35">
        <v>1</v>
      </c>
      <c r="D670" s="35">
        <v>0</v>
      </c>
      <c r="E670" s="35">
        <v>1</v>
      </c>
      <c r="F670" s="35">
        <v>4</v>
      </c>
      <c r="G670" s="35" t="str" cm="1">
        <f t="array" ref="G670">_xlfn.IFS(F670&lt;4,"Night",F670&lt;=6,"Early Morning",F670&lt;11,"Morning",F670&lt;12,"Afternoon",F670&lt;=16,"Afternoon",F670&lt;=20,"Evening",F670&gt;=21,"Night")</f>
        <v>Early Morning</v>
      </c>
      <c r="H670" s="35" t="b">
        <v>0</v>
      </c>
      <c r="I670" s="35">
        <v>1</v>
      </c>
      <c r="J670" s="35">
        <v>1</v>
      </c>
      <c r="K670" s="35">
        <v>0.2</v>
      </c>
      <c r="L670" s="31" t="str" cm="1">
        <f t="array" ref="L670">_xlfn.IFS(K670&lt;0.15,"Cold",K670&lt;0.25,"Mild",K670&lt;=0.32,"Warm",K670&gt;=0.33,"Hot")</f>
        <v>Mild</v>
      </c>
      <c r="M670" s="35">
        <v>0.19700000000000001</v>
      </c>
      <c r="N670" s="35">
        <v>0.59</v>
      </c>
      <c r="O670" s="35" t="str" cm="1">
        <f t="array" ref="O670">_xlfn.IFS(N670&gt;0.61, "High Humidity", N670&gt;=0.6, "Humid", N670&gt;0.4, "Less Humidity", TRUE, "Dry")</f>
        <v>Less Humidity</v>
      </c>
      <c r="P670" s="35">
        <v>0.22389999999999999</v>
      </c>
      <c r="Q670" s="35" t="str" cm="1">
        <f t="array" ref="Q670">_xlfn.IFS(P670&lt;=0.2,"Low Windspeed",P670&lt;0.4,"Medium Windspeed",P670&gt;=0.41,"High Windspeed")</f>
        <v>Medium Windspeed</v>
      </c>
      <c r="R670" s="35">
        <v>0</v>
      </c>
      <c r="S670" s="35">
        <v>2</v>
      </c>
      <c r="T670" s="40">
        <v>2</v>
      </c>
      <c r="U670" s="39" t="str" cm="1">
        <f t="array" ref="U670">_xlfn.IFS(T670&lt;=70,"Low",T670&lt;=160,"Medium",T670&gt;=161,"High")</f>
        <v>Low</v>
      </c>
    </row>
    <row r="671" spans="1:21" x14ac:dyDescent="0.25">
      <c r="A671" s="33">
        <v>670</v>
      </c>
      <c r="B671" s="34">
        <v>40574</v>
      </c>
      <c r="C671" s="35">
        <v>1</v>
      </c>
      <c r="D671" s="35">
        <v>0</v>
      </c>
      <c r="E671" s="35">
        <v>1</v>
      </c>
      <c r="F671" s="35">
        <v>5</v>
      </c>
      <c r="G671" s="35" t="str" cm="1">
        <f t="array" ref="G671">_xlfn.IFS(F671&lt;4,"Night",F671&lt;=6,"Early Morning",F671&lt;11,"Morning",F671&lt;12,"Afternoon",F671&lt;=16,"Afternoon",F671&lt;=20,"Evening",F671&gt;=21,"Night")</f>
        <v>Early Morning</v>
      </c>
      <c r="H671" s="35" t="b">
        <v>0</v>
      </c>
      <c r="I671" s="35">
        <v>1</v>
      </c>
      <c r="J671" s="35">
        <v>1</v>
      </c>
      <c r="K671" s="35">
        <v>0.18</v>
      </c>
      <c r="L671" s="31" t="str" cm="1">
        <f t="array" ref="L671">_xlfn.IFS(K671&lt;0.15,"Cold",K671&lt;0.25,"Mild",K671&lt;=0.32,"Warm",K671&gt;=0.33,"Hot")</f>
        <v>Mild</v>
      </c>
      <c r="M671" s="35">
        <v>0.16669999999999999</v>
      </c>
      <c r="N671" s="35">
        <v>0.64</v>
      </c>
      <c r="O671" s="35" t="str" cm="1">
        <f t="array" ref="O671">_xlfn.IFS(N671&gt;0.61, "High Humidity", N671&gt;=0.6, "Humid", N671&gt;0.4, "Less Humidity", TRUE, "Dry")</f>
        <v>High Humidity</v>
      </c>
      <c r="P671" s="35">
        <v>0.28360000000000002</v>
      </c>
      <c r="Q671" s="35" t="str" cm="1">
        <f t="array" ref="Q671">_xlfn.IFS(P671&lt;=0.2,"Low Windspeed",P671&lt;0.4,"Medium Windspeed",P671&gt;=0.41,"High Windspeed")</f>
        <v>Medium Windspeed</v>
      </c>
      <c r="R671" s="35">
        <v>0</v>
      </c>
      <c r="S671" s="35">
        <v>8</v>
      </c>
      <c r="T671" s="40">
        <v>8</v>
      </c>
      <c r="U671" s="39" t="str" cm="1">
        <f t="array" ref="U671">_xlfn.IFS(T671&lt;=70,"Low",T671&lt;=160,"Medium",T671&gt;=161,"High")</f>
        <v>Low</v>
      </c>
    </row>
    <row r="672" spans="1:21" x14ac:dyDescent="0.25">
      <c r="A672" s="33">
        <v>671</v>
      </c>
      <c r="B672" s="34">
        <v>40574</v>
      </c>
      <c r="C672" s="35">
        <v>1</v>
      </c>
      <c r="D672" s="35">
        <v>0</v>
      </c>
      <c r="E672" s="35">
        <v>1</v>
      </c>
      <c r="F672" s="35">
        <v>6</v>
      </c>
      <c r="G672" s="35" t="str" cm="1">
        <f t="array" ref="G672">_xlfn.IFS(F672&lt;4,"Night",F672&lt;=6,"Early Morning",F672&lt;11,"Morning",F672&lt;12,"Afternoon",F672&lt;=16,"Afternoon",F672&lt;=20,"Evening",F672&gt;=21,"Night")</f>
        <v>Early Morning</v>
      </c>
      <c r="H672" s="35" t="b">
        <v>0</v>
      </c>
      <c r="I672" s="35">
        <v>1</v>
      </c>
      <c r="J672" s="35">
        <v>1</v>
      </c>
      <c r="K672" s="35">
        <v>0.16</v>
      </c>
      <c r="L672" s="31" t="str" cm="1">
        <f t="array" ref="L672">_xlfn.IFS(K672&lt;0.15,"Cold",K672&lt;0.25,"Mild",K672&lt;=0.32,"Warm",K672&gt;=0.33,"Hot")</f>
        <v>Mild</v>
      </c>
      <c r="M672" s="35">
        <v>0.13639999999999999</v>
      </c>
      <c r="N672" s="35">
        <v>0.69</v>
      </c>
      <c r="O672" s="35" t="str" cm="1">
        <f t="array" ref="O672">_xlfn.IFS(N672&gt;0.61, "High Humidity", N672&gt;=0.6, "Humid", N672&gt;0.4, "Less Humidity", TRUE, "Dry")</f>
        <v>High Humidity</v>
      </c>
      <c r="P672" s="35">
        <v>0.32840000000000003</v>
      </c>
      <c r="Q672" s="35" t="str" cm="1">
        <f t="array" ref="Q672">_xlfn.IFS(P672&lt;=0.2,"Low Windspeed",P672&lt;0.4,"Medium Windspeed",P672&gt;=0.41,"High Windspeed")</f>
        <v>Medium Windspeed</v>
      </c>
      <c r="R672" s="35">
        <v>0</v>
      </c>
      <c r="S672" s="35">
        <v>37</v>
      </c>
      <c r="T672" s="40">
        <v>37</v>
      </c>
      <c r="U672" s="39" t="str" cm="1">
        <f t="array" ref="U672">_xlfn.IFS(T672&lt;=70,"Low",T672&lt;=160,"Medium",T672&gt;=161,"High")</f>
        <v>Low</v>
      </c>
    </row>
    <row r="673" spans="1:21" x14ac:dyDescent="0.25">
      <c r="A673" s="33">
        <v>672</v>
      </c>
      <c r="B673" s="34">
        <v>40574</v>
      </c>
      <c r="C673" s="35">
        <v>1</v>
      </c>
      <c r="D673" s="35">
        <v>0</v>
      </c>
      <c r="E673" s="35">
        <v>1</v>
      </c>
      <c r="F673" s="35">
        <v>7</v>
      </c>
      <c r="G673" s="35" t="str" cm="1">
        <f t="array" ref="G673">_xlfn.IFS(F673&lt;4,"Night",F673&lt;=6,"Early Morning",F673&lt;11,"Morning",F673&lt;12,"Afternoon",F673&lt;=16,"Afternoon",F673&lt;=20,"Evening",F673&gt;=21,"Night")</f>
        <v>Morning</v>
      </c>
      <c r="H673" s="35" t="b">
        <v>0</v>
      </c>
      <c r="I673" s="35">
        <v>1</v>
      </c>
      <c r="J673" s="35">
        <v>2</v>
      </c>
      <c r="K673" s="35">
        <v>0.16</v>
      </c>
      <c r="L673" s="31" t="str" cm="1">
        <f t="array" ref="L673">_xlfn.IFS(K673&lt;0.15,"Cold",K673&lt;0.25,"Mild",K673&lt;=0.32,"Warm",K673&gt;=0.33,"Hot")</f>
        <v>Mild</v>
      </c>
      <c r="M673" s="35">
        <v>0.13639999999999999</v>
      </c>
      <c r="N673" s="35">
        <v>0.64</v>
      </c>
      <c r="O673" s="35" t="str" cm="1">
        <f t="array" ref="O673">_xlfn.IFS(N673&gt;0.61, "High Humidity", N673&gt;=0.6, "Humid", N673&gt;0.4, "Less Humidity", TRUE, "Dry")</f>
        <v>High Humidity</v>
      </c>
      <c r="P673" s="35">
        <v>0.28360000000000002</v>
      </c>
      <c r="Q673" s="35" t="str" cm="1">
        <f t="array" ref="Q673">_xlfn.IFS(P673&lt;=0.2,"Low Windspeed",P673&lt;0.4,"Medium Windspeed",P673&gt;=0.41,"High Windspeed")</f>
        <v>Medium Windspeed</v>
      </c>
      <c r="R673" s="35">
        <v>1</v>
      </c>
      <c r="S673" s="35">
        <v>71</v>
      </c>
      <c r="T673" s="40">
        <v>72</v>
      </c>
      <c r="U673" s="39" t="str" cm="1">
        <f t="array" ref="U673">_xlfn.IFS(T673&lt;=70,"Low",T673&lt;=160,"Medium",T673&gt;=161,"High")</f>
        <v>Medium</v>
      </c>
    </row>
    <row r="674" spans="1:21" x14ac:dyDescent="0.25">
      <c r="A674" s="33">
        <v>673</v>
      </c>
      <c r="B674" s="34">
        <v>40574</v>
      </c>
      <c r="C674" s="35">
        <v>1</v>
      </c>
      <c r="D674" s="35">
        <v>0</v>
      </c>
      <c r="E674" s="35">
        <v>1</v>
      </c>
      <c r="F674" s="35">
        <v>8</v>
      </c>
      <c r="G674" s="35" t="str" cm="1">
        <f t="array" ref="G674">_xlfn.IFS(F674&lt;4,"Night",F674&lt;=6,"Early Morning",F674&lt;11,"Morning",F674&lt;12,"Afternoon",F674&lt;=16,"Afternoon",F674&lt;=20,"Evening",F674&gt;=21,"Night")</f>
        <v>Morning</v>
      </c>
      <c r="H674" s="35" t="b">
        <v>0</v>
      </c>
      <c r="I674" s="35">
        <v>1</v>
      </c>
      <c r="J674" s="35">
        <v>2</v>
      </c>
      <c r="K674" s="35">
        <v>0.16</v>
      </c>
      <c r="L674" s="31" t="str" cm="1">
        <f t="array" ref="L674">_xlfn.IFS(K674&lt;0.15,"Cold",K674&lt;0.25,"Mild",K674&lt;=0.32,"Warm",K674&gt;=0.33,"Hot")</f>
        <v>Mild</v>
      </c>
      <c r="M674" s="35">
        <v>0.13639999999999999</v>
      </c>
      <c r="N674" s="35">
        <v>0.59</v>
      </c>
      <c r="O674" s="35" t="str" cm="1">
        <f t="array" ref="O674">_xlfn.IFS(N674&gt;0.61, "High Humidity", N674&gt;=0.6, "Humid", N674&gt;0.4, "Less Humidity", TRUE, "Dry")</f>
        <v>Less Humidity</v>
      </c>
      <c r="P674" s="35">
        <v>0.28360000000000002</v>
      </c>
      <c r="Q674" s="35" t="str" cm="1">
        <f t="array" ref="Q674">_xlfn.IFS(P674&lt;=0.2,"Low Windspeed",P674&lt;0.4,"Medium Windspeed",P674&gt;=0.41,"High Windspeed")</f>
        <v>Medium Windspeed</v>
      </c>
      <c r="R674" s="35">
        <v>3</v>
      </c>
      <c r="S674" s="35">
        <v>182</v>
      </c>
      <c r="T674" s="40">
        <v>185</v>
      </c>
      <c r="U674" s="39" t="str" cm="1">
        <f t="array" ref="U674">_xlfn.IFS(T674&lt;=70,"Low",T674&lt;=160,"Medium",T674&gt;=161,"High")</f>
        <v>High</v>
      </c>
    </row>
    <row r="675" spans="1:21" x14ac:dyDescent="0.25">
      <c r="A675" s="33">
        <v>674</v>
      </c>
      <c r="B675" s="34">
        <v>40574</v>
      </c>
      <c r="C675" s="35">
        <v>1</v>
      </c>
      <c r="D675" s="35">
        <v>0</v>
      </c>
      <c r="E675" s="35">
        <v>1</v>
      </c>
      <c r="F675" s="35">
        <v>9</v>
      </c>
      <c r="G675" s="35" t="str" cm="1">
        <f t="array" ref="G675">_xlfn.IFS(F675&lt;4,"Night",F675&lt;=6,"Early Morning",F675&lt;11,"Morning",F675&lt;12,"Afternoon",F675&lt;=16,"Afternoon",F675&lt;=20,"Evening",F675&gt;=21,"Night")</f>
        <v>Morning</v>
      </c>
      <c r="H675" s="35" t="b">
        <v>0</v>
      </c>
      <c r="I675" s="35">
        <v>1</v>
      </c>
      <c r="J675" s="35">
        <v>2</v>
      </c>
      <c r="K675" s="35">
        <v>0.16</v>
      </c>
      <c r="L675" s="31" t="str" cm="1">
        <f t="array" ref="L675">_xlfn.IFS(K675&lt;0.15,"Cold",K675&lt;0.25,"Mild",K675&lt;=0.32,"Warm",K675&gt;=0.33,"Hot")</f>
        <v>Mild</v>
      </c>
      <c r="M675" s="35">
        <v>0.13639999999999999</v>
      </c>
      <c r="N675" s="35">
        <v>0.59</v>
      </c>
      <c r="O675" s="35" t="str" cm="1">
        <f t="array" ref="O675">_xlfn.IFS(N675&gt;0.61, "High Humidity", N675&gt;=0.6, "Humid", N675&gt;0.4, "Less Humidity", TRUE, "Dry")</f>
        <v>Less Humidity</v>
      </c>
      <c r="P675" s="35">
        <v>0.29849999999999999</v>
      </c>
      <c r="Q675" s="35" t="str" cm="1">
        <f t="array" ref="Q675">_xlfn.IFS(P675&lt;=0.2,"Low Windspeed",P675&lt;0.4,"Medium Windspeed",P675&gt;=0.41,"High Windspeed")</f>
        <v>Medium Windspeed</v>
      </c>
      <c r="R675" s="35">
        <v>0</v>
      </c>
      <c r="S675" s="35">
        <v>112</v>
      </c>
      <c r="T675" s="40">
        <v>112</v>
      </c>
      <c r="U675" s="39" t="str" cm="1">
        <f t="array" ref="U675">_xlfn.IFS(T675&lt;=70,"Low",T675&lt;=160,"Medium",T675&gt;=161,"High")</f>
        <v>Medium</v>
      </c>
    </row>
    <row r="676" spans="1:21" x14ac:dyDescent="0.25">
      <c r="A676" s="33">
        <v>675</v>
      </c>
      <c r="B676" s="34">
        <v>40574</v>
      </c>
      <c r="C676" s="35">
        <v>1</v>
      </c>
      <c r="D676" s="35">
        <v>0</v>
      </c>
      <c r="E676" s="35">
        <v>1</v>
      </c>
      <c r="F676" s="35">
        <v>10</v>
      </c>
      <c r="G676" s="35" t="str" cm="1">
        <f t="array" ref="G676">_xlfn.IFS(F676&lt;4,"Night",F676&lt;=6,"Early Morning",F676&lt;11,"Morning",F676&lt;12,"Afternoon",F676&lt;=16,"Afternoon",F676&lt;=20,"Evening",F676&gt;=21,"Night")</f>
        <v>Morning</v>
      </c>
      <c r="H676" s="35" t="b">
        <v>0</v>
      </c>
      <c r="I676" s="35">
        <v>1</v>
      </c>
      <c r="J676" s="35">
        <v>2</v>
      </c>
      <c r="K676" s="35">
        <v>0.16</v>
      </c>
      <c r="L676" s="31" t="str" cm="1">
        <f t="array" ref="L676">_xlfn.IFS(K676&lt;0.15,"Cold",K676&lt;0.25,"Mild",K676&lt;=0.32,"Warm",K676&gt;=0.33,"Hot")</f>
        <v>Mild</v>
      </c>
      <c r="M676" s="35">
        <v>0.1515</v>
      </c>
      <c r="N676" s="35">
        <v>0.59</v>
      </c>
      <c r="O676" s="35" t="str" cm="1">
        <f t="array" ref="O676">_xlfn.IFS(N676&gt;0.61, "High Humidity", N676&gt;=0.6, "Humid", N676&gt;0.4, "Less Humidity", TRUE, "Dry")</f>
        <v>Less Humidity</v>
      </c>
      <c r="P676" s="35">
        <v>0.19400000000000001</v>
      </c>
      <c r="Q676" s="35" t="str" cm="1">
        <f t="array" ref="Q676">_xlfn.IFS(P676&lt;=0.2,"Low Windspeed",P676&lt;0.4,"Medium Windspeed",P676&gt;=0.41,"High Windspeed")</f>
        <v>Low Windspeed</v>
      </c>
      <c r="R676" s="35">
        <v>1</v>
      </c>
      <c r="S676" s="35">
        <v>68</v>
      </c>
      <c r="T676" s="40">
        <v>69</v>
      </c>
      <c r="U676" s="39" t="str" cm="1">
        <f t="array" ref="U676">_xlfn.IFS(T676&lt;=70,"Low",T676&lt;=160,"Medium",T676&gt;=161,"High")</f>
        <v>Low</v>
      </c>
    </row>
    <row r="677" spans="1:21" x14ac:dyDescent="0.25">
      <c r="A677" s="33">
        <v>676</v>
      </c>
      <c r="B677" s="34">
        <v>40574</v>
      </c>
      <c r="C677" s="35">
        <v>1</v>
      </c>
      <c r="D677" s="35">
        <v>0</v>
      </c>
      <c r="E677" s="35">
        <v>1</v>
      </c>
      <c r="F677" s="35">
        <v>11</v>
      </c>
      <c r="G677" s="35" t="str" cm="1">
        <f t="array" ref="G677">_xlfn.IFS(F677&lt;4,"Night",F677&lt;=6,"Early Morning",F677&lt;11,"Morning",F677&lt;12,"Afternoon",F677&lt;=16,"Afternoon",F677&lt;=20,"Evening",F677&gt;=21,"Night")</f>
        <v>Afternoon</v>
      </c>
      <c r="H677" s="35" t="b">
        <v>0</v>
      </c>
      <c r="I677" s="35">
        <v>1</v>
      </c>
      <c r="J677" s="35">
        <v>2</v>
      </c>
      <c r="K677" s="35">
        <v>0.16</v>
      </c>
      <c r="L677" s="31" t="str" cm="1">
        <f t="array" ref="L677">_xlfn.IFS(K677&lt;0.15,"Cold",K677&lt;0.25,"Mild",K677&lt;=0.32,"Warm",K677&gt;=0.33,"Hot")</f>
        <v>Mild</v>
      </c>
      <c r="M677" s="35">
        <v>0.1515</v>
      </c>
      <c r="N677" s="35">
        <v>0.59</v>
      </c>
      <c r="O677" s="35" t="str" cm="1">
        <f t="array" ref="O677">_xlfn.IFS(N677&gt;0.61, "High Humidity", N677&gt;=0.6, "Humid", N677&gt;0.4, "Less Humidity", TRUE, "Dry")</f>
        <v>Less Humidity</v>
      </c>
      <c r="P677" s="35">
        <v>0.19400000000000001</v>
      </c>
      <c r="Q677" s="35" t="str" cm="1">
        <f t="array" ref="Q677">_xlfn.IFS(P677&lt;=0.2,"Low Windspeed",P677&lt;0.4,"Medium Windspeed",P677&gt;=0.41,"High Windspeed")</f>
        <v>Low Windspeed</v>
      </c>
      <c r="R677" s="35">
        <v>2</v>
      </c>
      <c r="S677" s="35">
        <v>46</v>
      </c>
      <c r="T677" s="40">
        <v>48</v>
      </c>
      <c r="U677" s="39" t="str" cm="1">
        <f t="array" ref="U677">_xlfn.IFS(T677&lt;=70,"Low",T677&lt;=160,"Medium",T677&gt;=161,"High")</f>
        <v>Low</v>
      </c>
    </row>
    <row r="678" spans="1:21" x14ac:dyDescent="0.25">
      <c r="A678" s="33">
        <v>677</v>
      </c>
      <c r="B678" s="34">
        <v>40574</v>
      </c>
      <c r="C678" s="35">
        <v>1</v>
      </c>
      <c r="D678" s="35">
        <v>0</v>
      </c>
      <c r="E678" s="35">
        <v>1</v>
      </c>
      <c r="F678" s="35">
        <v>12</v>
      </c>
      <c r="G678" s="35" t="str" cm="1">
        <f t="array" ref="G678">_xlfn.IFS(F678&lt;4,"Night",F678&lt;=6,"Early Morning",F678&lt;11,"Morning",F678&lt;12,"Afternoon",F678&lt;=16,"Afternoon",F678&lt;=20,"Evening",F678&gt;=21,"Night")</f>
        <v>Afternoon</v>
      </c>
      <c r="H678" s="35" t="b">
        <v>0</v>
      </c>
      <c r="I678" s="35">
        <v>1</v>
      </c>
      <c r="J678" s="35">
        <v>2</v>
      </c>
      <c r="K678" s="35">
        <v>0.18</v>
      </c>
      <c r="L678" s="31" t="str" cm="1">
        <f t="array" ref="L678">_xlfn.IFS(K678&lt;0.15,"Cold",K678&lt;0.25,"Mild",K678&lt;=0.32,"Warm",K678&gt;=0.33,"Hot")</f>
        <v>Mild</v>
      </c>
      <c r="M678" s="35">
        <v>0.21210000000000001</v>
      </c>
      <c r="N678" s="35">
        <v>0.55000000000000004</v>
      </c>
      <c r="O678" s="35" t="str" cm="1">
        <f t="array" ref="O678">_xlfn.IFS(N678&gt;0.61, "High Humidity", N678&gt;=0.6, "Humid", N678&gt;0.4, "Less Humidity", TRUE, "Dry")</f>
        <v>Less Humidity</v>
      </c>
      <c r="P678" s="35">
        <v>0.1045</v>
      </c>
      <c r="Q678" s="35" t="str" cm="1">
        <f t="array" ref="Q678">_xlfn.IFS(P678&lt;=0.2,"Low Windspeed",P678&lt;0.4,"Medium Windspeed",P678&gt;=0.41,"High Windspeed")</f>
        <v>Low Windspeed</v>
      </c>
      <c r="R678" s="35">
        <v>6</v>
      </c>
      <c r="S678" s="35">
        <v>62</v>
      </c>
      <c r="T678" s="40">
        <v>68</v>
      </c>
      <c r="U678" s="39" t="str" cm="1">
        <f t="array" ref="U678">_xlfn.IFS(T678&lt;=70,"Low",T678&lt;=160,"Medium",T678&gt;=161,"High")</f>
        <v>Low</v>
      </c>
    </row>
    <row r="679" spans="1:21" x14ac:dyDescent="0.25">
      <c r="A679" s="33">
        <v>678</v>
      </c>
      <c r="B679" s="34">
        <v>40574</v>
      </c>
      <c r="C679" s="35">
        <v>1</v>
      </c>
      <c r="D679" s="35">
        <v>0</v>
      </c>
      <c r="E679" s="35">
        <v>1</v>
      </c>
      <c r="F679" s="35">
        <v>13</v>
      </c>
      <c r="G679" s="35" t="str" cm="1">
        <f t="array" ref="G679">_xlfn.IFS(F679&lt;4,"Night",F679&lt;=6,"Early Morning",F679&lt;11,"Morning",F679&lt;12,"Afternoon",F679&lt;=16,"Afternoon",F679&lt;=20,"Evening",F679&gt;=21,"Night")</f>
        <v>Afternoon</v>
      </c>
      <c r="H679" s="35" t="b">
        <v>0</v>
      </c>
      <c r="I679" s="35">
        <v>1</v>
      </c>
      <c r="J679" s="35">
        <v>2</v>
      </c>
      <c r="K679" s="35">
        <v>0.16</v>
      </c>
      <c r="L679" s="31" t="str" cm="1">
        <f t="array" ref="L679">_xlfn.IFS(K679&lt;0.15,"Cold",K679&lt;0.25,"Mild",K679&lt;=0.32,"Warm",K679&gt;=0.33,"Hot")</f>
        <v>Mild</v>
      </c>
      <c r="M679" s="35">
        <v>0.2273</v>
      </c>
      <c r="N679" s="35">
        <v>0.59</v>
      </c>
      <c r="O679" s="35" t="str" cm="1">
        <f t="array" ref="O679">_xlfn.IFS(N679&gt;0.61, "High Humidity", N679&gt;=0.6, "Humid", N679&gt;0.4, "Less Humidity", TRUE, "Dry")</f>
        <v>Less Humidity</v>
      </c>
      <c r="P679" s="35">
        <v>0</v>
      </c>
      <c r="Q679" s="35" t="str" cm="1">
        <f t="array" ref="Q679">_xlfn.IFS(P679&lt;=0.2,"Low Windspeed",P679&lt;0.4,"Medium Windspeed",P679&gt;=0.41,"High Windspeed")</f>
        <v>Low Windspeed</v>
      </c>
      <c r="R679" s="35">
        <v>2</v>
      </c>
      <c r="S679" s="35">
        <v>52</v>
      </c>
      <c r="T679" s="40">
        <v>54</v>
      </c>
      <c r="U679" s="39" t="str" cm="1">
        <f t="array" ref="U679">_xlfn.IFS(T679&lt;=70,"Low",T679&lt;=160,"Medium",T679&gt;=161,"High")</f>
        <v>Low</v>
      </c>
    </row>
    <row r="680" spans="1:21" x14ac:dyDescent="0.25">
      <c r="A680" s="33">
        <v>679</v>
      </c>
      <c r="B680" s="34">
        <v>40574</v>
      </c>
      <c r="C680" s="35">
        <v>1</v>
      </c>
      <c r="D680" s="35">
        <v>0</v>
      </c>
      <c r="E680" s="35">
        <v>1</v>
      </c>
      <c r="F680" s="35">
        <v>14</v>
      </c>
      <c r="G680" s="35" t="str" cm="1">
        <f t="array" ref="G680">_xlfn.IFS(F680&lt;4,"Night",F680&lt;=6,"Early Morning",F680&lt;11,"Morning",F680&lt;12,"Afternoon",F680&lt;=16,"Afternoon",F680&lt;=20,"Evening",F680&gt;=21,"Night")</f>
        <v>Afternoon</v>
      </c>
      <c r="H680" s="35" t="b">
        <v>0</v>
      </c>
      <c r="I680" s="35">
        <v>1</v>
      </c>
      <c r="J680" s="35">
        <v>2</v>
      </c>
      <c r="K680" s="35">
        <v>0.18</v>
      </c>
      <c r="L680" s="31" t="str" cm="1">
        <f t="array" ref="L680">_xlfn.IFS(K680&lt;0.15,"Cold",K680&lt;0.25,"Mild",K680&lt;=0.32,"Warm",K680&gt;=0.33,"Hot")</f>
        <v>Mild</v>
      </c>
      <c r="M680" s="35">
        <v>0.19700000000000001</v>
      </c>
      <c r="N680" s="35">
        <v>0.55000000000000004</v>
      </c>
      <c r="O680" s="35" t="str" cm="1">
        <f t="array" ref="O680">_xlfn.IFS(N680&gt;0.61, "High Humidity", N680&gt;=0.6, "Humid", N680&gt;0.4, "Less Humidity", TRUE, "Dry")</f>
        <v>Less Humidity</v>
      </c>
      <c r="P680" s="35">
        <v>0.1343</v>
      </c>
      <c r="Q680" s="35" t="str" cm="1">
        <f t="array" ref="Q680">_xlfn.IFS(P680&lt;=0.2,"Low Windspeed",P680&lt;0.4,"Medium Windspeed",P680&gt;=0.41,"High Windspeed")</f>
        <v>Low Windspeed</v>
      </c>
      <c r="R680" s="35">
        <v>1</v>
      </c>
      <c r="S680" s="35">
        <v>85</v>
      </c>
      <c r="T680" s="40">
        <v>86</v>
      </c>
      <c r="U680" s="39" t="str" cm="1">
        <f t="array" ref="U680">_xlfn.IFS(T680&lt;=70,"Low",T680&lt;=160,"Medium",T680&gt;=161,"High")</f>
        <v>Medium</v>
      </c>
    </row>
    <row r="681" spans="1:21" x14ac:dyDescent="0.25">
      <c r="A681" s="33">
        <v>680</v>
      </c>
      <c r="B681" s="34">
        <v>40574</v>
      </c>
      <c r="C681" s="35">
        <v>1</v>
      </c>
      <c r="D681" s="35">
        <v>0</v>
      </c>
      <c r="E681" s="35">
        <v>1</v>
      </c>
      <c r="F681" s="35">
        <v>15</v>
      </c>
      <c r="G681" s="35" t="str" cm="1">
        <f t="array" ref="G681">_xlfn.IFS(F681&lt;4,"Night",F681&lt;=6,"Early Morning",F681&lt;11,"Morning",F681&lt;12,"Afternoon",F681&lt;=16,"Afternoon",F681&lt;=20,"Evening",F681&gt;=21,"Night")</f>
        <v>Afternoon</v>
      </c>
      <c r="H681" s="35" t="b">
        <v>0</v>
      </c>
      <c r="I681" s="35">
        <v>1</v>
      </c>
      <c r="J681" s="35">
        <v>2</v>
      </c>
      <c r="K681" s="35">
        <v>0.16</v>
      </c>
      <c r="L681" s="31" t="str" cm="1">
        <f t="array" ref="L681">_xlfn.IFS(K681&lt;0.15,"Cold",K681&lt;0.25,"Mild",K681&lt;=0.32,"Warm",K681&gt;=0.33,"Hot")</f>
        <v>Mild</v>
      </c>
      <c r="M681" s="35">
        <v>0.18179999999999999</v>
      </c>
      <c r="N681" s="35">
        <v>0.59</v>
      </c>
      <c r="O681" s="35" t="str" cm="1">
        <f t="array" ref="O681">_xlfn.IFS(N681&gt;0.61, "High Humidity", N681&gt;=0.6, "Humid", N681&gt;0.4, "Less Humidity", TRUE, "Dry")</f>
        <v>Less Humidity</v>
      </c>
      <c r="P681" s="35">
        <v>0.1343</v>
      </c>
      <c r="Q681" s="35" t="str" cm="1">
        <f t="array" ref="Q681">_xlfn.IFS(P681&lt;=0.2,"Low Windspeed",P681&lt;0.4,"Medium Windspeed",P681&gt;=0.41,"High Windspeed")</f>
        <v>Low Windspeed</v>
      </c>
      <c r="R681" s="35">
        <v>3</v>
      </c>
      <c r="S681" s="35">
        <v>41</v>
      </c>
      <c r="T681" s="40">
        <v>44</v>
      </c>
      <c r="U681" s="39" t="str" cm="1">
        <f t="array" ref="U681">_xlfn.IFS(T681&lt;=70,"Low",T681&lt;=160,"Medium",T681&gt;=161,"High")</f>
        <v>Low</v>
      </c>
    </row>
    <row r="682" spans="1:21" x14ac:dyDescent="0.25">
      <c r="A682" s="33">
        <v>681</v>
      </c>
      <c r="B682" s="34">
        <v>40574</v>
      </c>
      <c r="C682" s="35">
        <v>1</v>
      </c>
      <c r="D682" s="35">
        <v>0</v>
      </c>
      <c r="E682" s="35">
        <v>1</v>
      </c>
      <c r="F682" s="35">
        <v>16</v>
      </c>
      <c r="G682" s="35" t="str" cm="1">
        <f t="array" ref="G682">_xlfn.IFS(F682&lt;4,"Night",F682&lt;=6,"Early Morning",F682&lt;11,"Morning",F682&lt;12,"Afternoon",F682&lt;=16,"Afternoon",F682&lt;=20,"Evening",F682&gt;=21,"Night")</f>
        <v>Afternoon</v>
      </c>
      <c r="H682" s="35" t="b">
        <v>0</v>
      </c>
      <c r="I682" s="35">
        <v>1</v>
      </c>
      <c r="J682" s="35">
        <v>2</v>
      </c>
      <c r="K682" s="35">
        <v>0.16</v>
      </c>
      <c r="L682" s="31" t="str" cm="1">
        <f t="array" ref="L682">_xlfn.IFS(K682&lt;0.15,"Cold",K682&lt;0.25,"Mild",K682&lt;=0.32,"Warm",K682&gt;=0.33,"Hot")</f>
        <v>Mild</v>
      </c>
      <c r="M682" s="35">
        <v>0.18179999999999999</v>
      </c>
      <c r="N682" s="35">
        <v>0.56000000000000005</v>
      </c>
      <c r="O682" s="35" t="str" cm="1">
        <f t="array" ref="O682">_xlfn.IFS(N682&gt;0.61, "High Humidity", N682&gt;=0.6, "Humid", N682&gt;0.4, "Less Humidity", TRUE, "Dry")</f>
        <v>Less Humidity</v>
      </c>
      <c r="P682" s="35">
        <v>0.19400000000000001</v>
      </c>
      <c r="Q682" s="35" t="str" cm="1">
        <f t="array" ref="Q682">_xlfn.IFS(P682&lt;=0.2,"Low Windspeed",P682&lt;0.4,"Medium Windspeed",P682&gt;=0.41,"High Windspeed")</f>
        <v>Low Windspeed</v>
      </c>
      <c r="R682" s="35">
        <v>3</v>
      </c>
      <c r="S682" s="35">
        <v>83</v>
      </c>
      <c r="T682" s="40">
        <v>86</v>
      </c>
      <c r="U682" s="39" t="str" cm="1">
        <f t="array" ref="U682">_xlfn.IFS(T682&lt;=70,"Low",T682&lt;=160,"Medium",T682&gt;=161,"High")</f>
        <v>Medium</v>
      </c>
    </row>
    <row r="683" spans="1:21" x14ac:dyDescent="0.25">
      <c r="A683" s="33">
        <v>682</v>
      </c>
      <c r="B683" s="34">
        <v>40574</v>
      </c>
      <c r="C683" s="35">
        <v>1</v>
      </c>
      <c r="D683" s="35">
        <v>0</v>
      </c>
      <c r="E683" s="35">
        <v>1</v>
      </c>
      <c r="F683" s="35">
        <v>17</v>
      </c>
      <c r="G683" s="35" t="str" cm="1">
        <f t="array" ref="G683">_xlfn.IFS(F683&lt;4,"Night",F683&lt;=6,"Early Morning",F683&lt;11,"Morning",F683&lt;12,"Afternoon",F683&lt;=16,"Afternoon",F683&lt;=20,"Evening",F683&gt;=21,"Night")</f>
        <v>Evening</v>
      </c>
      <c r="H683" s="35" t="b">
        <v>0</v>
      </c>
      <c r="I683" s="35">
        <v>1</v>
      </c>
      <c r="J683" s="35">
        <v>2</v>
      </c>
      <c r="K683" s="35">
        <v>0.16</v>
      </c>
      <c r="L683" s="31" t="str" cm="1">
        <f t="array" ref="L683">_xlfn.IFS(K683&lt;0.15,"Cold",K683&lt;0.25,"Mild",K683&lt;=0.32,"Warm",K683&gt;=0.33,"Hot")</f>
        <v>Mild</v>
      </c>
      <c r="M683" s="35">
        <v>0.1515</v>
      </c>
      <c r="N683" s="35">
        <v>0.59</v>
      </c>
      <c r="O683" s="35" t="str" cm="1">
        <f t="array" ref="O683">_xlfn.IFS(N683&gt;0.61, "High Humidity", N683&gt;=0.6, "Humid", N683&gt;0.4, "Less Humidity", TRUE, "Dry")</f>
        <v>Less Humidity</v>
      </c>
      <c r="P683" s="35">
        <v>0.19400000000000001</v>
      </c>
      <c r="Q683" s="35" t="str" cm="1">
        <f t="array" ref="Q683">_xlfn.IFS(P683&lt;=0.2,"Low Windspeed",P683&lt;0.4,"Medium Windspeed",P683&gt;=0.41,"High Windspeed")</f>
        <v>Low Windspeed</v>
      </c>
      <c r="R683" s="35">
        <v>6</v>
      </c>
      <c r="S683" s="35">
        <v>155</v>
      </c>
      <c r="T683" s="40">
        <v>161</v>
      </c>
      <c r="U683" s="39" t="str" cm="1">
        <f t="array" ref="U683">_xlfn.IFS(T683&lt;=70,"Low",T683&lt;=160,"Medium",T683&gt;=161,"High")</f>
        <v>High</v>
      </c>
    </row>
    <row r="684" spans="1:21" x14ac:dyDescent="0.25">
      <c r="A684" s="33">
        <v>683</v>
      </c>
      <c r="B684" s="34">
        <v>40574</v>
      </c>
      <c r="C684" s="35">
        <v>1</v>
      </c>
      <c r="D684" s="35">
        <v>0</v>
      </c>
      <c r="E684" s="35">
        <v>1</v>
      </c>
      <c r="F684" s="35">
        <v>18</v>
      </c>
      <c r="G684" s="35" t="str" cm="1">
        <f t="array" ref="G684">_xlfn.IFS(F684&lt;4,"Night",F684&lt;=6,"Early Morning",F684&lt;11,"Morning",F684&lt;12,"Afternoon",F684&lt;=16,"Afternoon",F684&lt;=20,"Evening",F684&gt;=21,"Night")</f>
        <v>Evening</v>
      </c>
      <c r="H684" s="35" t="b">
        <v>0</v>
      </c>
      <c r="I684" s="35">
        <v>1</v>
      </c>
      <c r="J684" s="35">
        <v>2</v>
      </c>
      <c r="K684" s="35">
        <v>0.16</v>
      </c>
      <c r="L684" s="31" t="str" cm="1">
        <f t="array" ref="L684">_xlfn.IFS(K684&lt;0.15,"Cold",K684&lt;0.25,"Mild",K684&lt;=0.32,"Warm",K684&gt;=0.33,"Hot")</f>
        <v>Mild</v>
      </c>
      <c r="M684" s="35">
        <v>0.1515</v>
      </c>
      <c r="N684" s="35">
        <v>0.55000000000000004</v>
      </c>
      <c r="O684" s="35" t="str" cm="1">
        <f t="array" ref="O684">_xlfn.IFS(N684&gt;0.61, "High Humidity", N684&gt;=0.6, "Humid", N684&gt;0.4, "Less Humidity", TRUE, "Dry")</f>
        <v>Less Humidity</v>
      </c>
      <c r="P684" s="35">
        <v>0.22389999999999999</v>
      </c>
      <c r="Q684" s="35" t="str" cm="1">
        <f t="array" ref="Q684">_xlfn.IFS(P684&lt;=0.2,"Low Windspeed",P684&lt;0.4,"Medium Windspeed",P684&gt;=0.41,"High Windspeed")</f>
        <v>Medium Windspeed</v>
      </c>
      <c r="R684" s="35">
        <v>3</v>
      </c>
      <c r="S684" s="35">
        <v>153</v>
      </c>
      <c r="T684" s="40">
        <v>156</v>
      </c>
      <c r="U684" s="39" t="str" cm="1">
        <f t="array" ref="U684">_xlfn.IFS(T684&lt;=70,"Low",T684&lt;=160,"Medium",T684&gt;=161,"High")</f>
        <v>Medium</v>
      </c>
    </row>
    <row r="685" spans="1:21" x14ac:dyDescent="0.25">
      <c r="A685" s="33">
        <v>684</v>
      </c>
      <c r="B685" s="34">
        <v>40574</v>
      </c>
      <c r="C685" s="35">
        <v>1</v>
      </c>
      <c r="D685" s="35">
        <v>0</v>
      </c>
      <c r="E685" s="35">
        <v>1</v>
      </c>
      <c r="F685" s="35">
        <v>19</v>
      </c>
      <c r="G685" s="35" t="str" cm="1">
        <f t="array" ref="G685">_xlfn.IFS(F685&lt;4,"Night",F685&lt;=6,"Early Morning",F685&lt;11,"Morning",F685&lt;12,"Afternoon",F685&lt;=16,"Afternoon",F685&lt;=20,"Evening",F685&gt;=21,"Night")</f>
        <v>Evening</v>
      </c>
      <c r="H685" s="35" t="b">
        <v>0</v>
      </c>
      <c r="I685" s="35">
        <v>1</v>
      </c>
      <c r="J685" s="35">
        <v>1</v>
      </c>
      <c r="K685" s="35">
        <v>0.3</v>
      </c>
      <c r="L685" s="31" t="str" cm="1">
        <f t="array" ref="L685">_xlfn.IFS(K685&lt;0.15,"Cold",K685&lt;0.25,"Mild",K685&lt;=0.32,"Warm",K685&gt;=0.33,"Hot")</f>
        <v>Warm</v>
      </c>
      <c r="M685" s="35">
        <v>0.31819999999999998</v>
      </c>
      <c r="N685" s="35">
        <v>0.61</v>
      </c>
      <c r="O685" s="35" t="str" cm="1">
        <f t="array" ref="O685">_xlfn.IFS(N685&gt;0.61, "High Humidity", N685&gt;=0.6, "Humid", N685&gt;0.4, "Less Humidity", TRUE, "Dry")</f>
        <v>Humid</v>
      </c>
      <c r="P685" s="35">
        <v>0.1045</v>
      </c>
      <c r="Q685" s="35" t="str" cm="1">
        <f t="array" ref="Q685">_xlfn.IFS(P685&lt;=0.2,"Low Windspeed",P685&lt;0.4,"Medium Windspeed",P685&gt;=0.41,"High Windspeed")</f>
        <v>Low Windspeed</v>
      </c>
      <c r="R685" s="35">
        <v>3</v>
      </c>
      <c r="S685" s="35">
        <v>108</v>
      </c>
      <c r="T685" s="40">
        <v>111</v>
      </c>
      <c r="U685" s="39" t="str" cm="1">
        <f t="array" ref="U685">_xlfn.IFS(T685&lt;=70,"Low",T685&lt;=160,"Medium",T685&gt;=161,"High")</f>
        <v>Medium</v>
      </c>
    </row>
    <row r="686" spans="1:21" x14ac:dyDescent="0.25">
      <c r="A686" s="33">
        <v>685</v>
      </c>
      <c r="B686" s="34">
        <v>40574</v>
      </c>
      <c r="C686" s="35">
        <v>1</v>
      </c>
      <c r="D686" s="35">
        <v>0</v>
      </c>
      <c r="E686" s="35">
        <v>1</v>
      </c>
      <c r="F686" s="35">
        <v>20</v>
      </c>
      <c r="G686" s="35" t="str" cm="1">
        <f t="array" ref="G686">_xlfn.IFS(F686&lt;4,"Night",F686&lt;=6,"Early Morning",F686&lt;11,"Morning",F686&lt;12,"Afternoon",F686&lt;=16,"Afternoon",F686&lt;=20,"Evening",F686&gt;=21,"Night")</f>
        <v>Evening</v>
      </c>
      <c r="H686" s="35" t="b">
        <v>0</v>
      </c>
      <c r="I686" s="35">
        <v>1</v>
      </c>
      <c r="J686" s="35">
        <v>3</v>
      </c>
      <c r="K686" s="35">
        <v>0.16</v>
      </c>
      <c r="L686" s="31" t="str" cm="1">
        <f t="array" ref="L686">_xlfn.IFS(K686&lt;0.15,"Cold",K686&lt;0.25,"Mild",K686&lt;=0.32,"Warm",K686&gt;=0.33,"Hot")</f>
        <v>Mild</v>
      </c>
      <c r="M686" s="35">
        <v>0.16669999999999999</v>
      </c>
      <c r="N686" s="35">
        <v>0.59</v>
      </c>
      <c r="O686" s="35" t="str" cm="1">
        <f t="array" ref="O686">_xlfn.IFS(N686&gt;0.61, "High Humidity", N686&gt;=0.6, "Humid", N686&gt;0.4, "Less Humidity", TRUE, "Dry")</f>
        <v>Less Humidity</v>
      </c>
      <c r="P686" s="35">
        <v>0.16420000000000001</v>
      </c>
      <c r="Q686" s="35" t="str" cm="1">
        <f t="array" ref="Q686">_xlfn.IFS(P686&lt;=0.2,"Low Windspeed",P686&lt;0.4,"Medium Windspeed",P686&gt;=0.41,"High Windspeed")</f>
        <v>Low Windspeed</v>
      </c>
      <c r="R686" s="35">
        <v>0</v>
      </c>
      <c r="S686" s="35">
        <v>78</v>
      </c>
      <c r="T686" s="40">
        <v>78</v>
      </c>
      <c r="U686" s="39" t="str" cm="1">
        <f t="array" ref="U686">_xlfn.IFS(T686&lt;=70,"Low",T686&lt;=160,"Medium",T686&gt;=161,"High")</f>
        <v>Medium</v>
      </c>
    </row>
    <row r="687" spans="1:21" x14ac:dyDescent="0.25">
      <c r="A687" s="33">
        <v>686</v>
      </c>
      <c r="B687" s="34">
        <v>40574</v>
      </c>
      <c r="C687" s="35">
        <v>1</v>
      </c>
      <c r="D687" s="35">
        <v>0</v>
      </c>
      <c r="E687" s="35">
        <v>1</v>
      </c>
      <c r="F687" s="35">
        <v>21</v>
      </c>
      <c r="G687" s="35" t="str" cm="1">
        <f t="array" ref="G687">_xlfn.IFS(F687&lt;4,"Night",F687&lt;=6,"Early Morning",F687&lt;11,"Morning",F687&lt;12,"Afternoon",F687&lt;=16,"Afternoon",F687&lt;=20,"Evening",F687&gt;=21,"Night")</f>
        <v>Night</v>
      </c>
      <c r="H687" s="35" t="b">
        <v>0</v>
      </c>
      <c r="I687" s="35">
        <v>1</v>
      </c>
      <c r="J687" s="35">
        <v>3</v>
      </c>
      <c r="K687" s="35">
        <v>0.16</v>
      </c>
      <c r="L687" s="31" t="str" cm="1">
        <f t="array" ref="L687">_xlfn.IFS(K687&lt;0.15,"Cold",K687&lt;0.25,"Mild",K687&lt;=0.32,"Warm",K687&gt;=0.33,"Hot")</f>
        <v>Mild</v>
      </c>
      <c r="M687" s="35">
        <v>0.19700000000000001</v>
      </c>
      <c r="N687" s="35">
        <v>0.59</v>
      </c>
      <c r="O687" s="35" t="str" cm="1">
        <f t="array" ref="O687">_xlfn.IFS(N687&gt;0.61, "High Humidity", N687&gt;=0.6, "Humid", N687&gt;0.4, "Less Humidity", TRUE, "Dry")</f>
        <v>Less Humidity</v>
      </c>
      <c r="P687" s="35">
        <v>8.9599999999999999E-2</v>
      </c>
      <c r="Q687" s="35" t="str" cm="1">
        <f t="array" ref="Q687">_xlfn.IFS(P687&lt;=0.2,"Low Windspeed",P687&lt;0.4,"Medium Windspeed",P687&gt;=0.41,"High Windspeed")</f>
        <v>Low Windspeed</v>
      </c>
      <c r="R687" s="35">
        <v>3</v>
      </c>
      <c r="S687" s="35">
        <v>53</v>
      </c>
      <c r="T687" s="40">
        <v>56</v>
      </c>
      <c r="U687" s="39" t="str" cm="1">
        <f t="array" ref="U687">_xlfn.IFS(T687&lt;=70,"Low",T687&lt;=160,"Medium",T687&gt;=161,"High")</f>
        <v>Low</v>
      </c>
    </row>
    <row r="688" spans="1:21" x14ac:dyDescent="0.25">
      <c r="A688" s="33">
        <v>687</v>
      </c>
      <c r="B688" s="34">
        <v>40574</v>
      </c>
      <c r="C688" s="35">
        <v>1</v>
      </c>
      <c r="D688" s="35">
        <v>0</v>
      </c>
      <c r="E688" s="35">
        <v>1</v>
      </c>
      <c r="F688" s="35">
        <v>22</v>
      </c>
      <c r="G688" s="35" t="str" cm="1">
        <f t="array" ref="G688">_xlfn.IFS(F688&lt;4,"Night",F688&lt;=6,"Early Morning",F688&lt;11,"Morning",F688&lt;12,"Afternoon",F688&lt;=16,"Afternoon",F688&lt;=20,"Evening",F688&gt;=21,"Night")</f>
        <v>Night</v>
      </c>
      <c r="H688" s="35" t="b">
        <v>0</v>
      </c>
      <c r="I688" s="35">
        <v>1</v>
      </c>
      <c r="J688" s="35">
        <v>2</v>
      </c>
      <c r="K688" s="35">
        <v>0.16</v>
      </c>
      <c r="L688" s="31" t="str" cm="1">
        <f t="array" ref="L688">_xlfn.IFS(K688&lt;0.15,"Cold",K688&lt;0.25,"Mild",K688&lt;=0.32,"Warm",K688&gt;=0.33,"Hot")</f>
        <v>Mild</v>
      </c>
      <c r="M688" s="35">
        <v>0.18179999999999999</v>
      </c>
      <c r="N688" s="35">
        <v>0.59</v>
      </c>
      <c r="O688" s="35" t="str" cm="1">
        <f t="array" ref="O688">_xlfn.IFS(N688&gt;0.61, "High Humidity", N688&gt;=0.6, "Humid", N688&gt;0.4, "Less Humidity", TRUE, "Dry")</f>
        <v>Less Humidity</v>
      </c>
      <c r="P688" s="35">
        <v>0.1045</v>
      </c>
      <c r="Q688" s="35" t="str" cm="1">
        <f t="array" ref="Q688">_xlfn.IFS(P688&lt;=0.2,"Low Windspeed",P688&lt;0.4,"Medium Windspeed",P688&gt;=0.41,"High Windspeed")</f>
        <v>Low Windspeed</v>
      </c>
      <c r="R688" s="35">
        <v>0</v>
      </c>
      <c r="S688" s="35">
        <v>34</v>
      </c>
      <c r="T688" s="40">
        <v>34</v>
      </c>
      <c r="U688" s="39" t="str" cm="1">
        <f t="array" ref="U688">_xlfn.IFS(T688&lt;=70,"Low",T688&lt;=160,"Medium",T688&gt;=161,"High")</f>
        <v>Low</v>
      </c>
    </row>
    <row r="689" spans="1:21" x14ac:dyDescent="0.25">
      <c r="A689" s="33">
        <v>688</v>
      </c>
      <c r="B689" s="34">
        <v>40574</v>
      </c>
      <c r="C689" s="35">
        <v>1</v>
      </c>
      <c r="D689" s="35">
        <v>0</v>
      </c>
      <c r="E689" s="35">
        <v>1</v>
      </c>
      <c r="F689" s="35">
        <v>23</v>
      </c>
      <c r="G689" s="35" t="str" cm="1">
        <f t="array" ref="G689">_xlfn.IFS(F689&lt;4,"Night",F689&lt;=6,"Early Morning",F689&lt;11,"Morning",F689&lt;12,"Afternoon",F689&lt;=16,"Afternoon",F689&lt;=20,"Evening",F689&gt;=21,"Night")</f>
        <v>Night</v>
      </c>
      <c r="H689" s="35" t="b">
        <v>0</v>
      </c>
      <c r="I689" s="35">
        <v>1</v>
      </c>
      <c r="J689" s="35">
        <v>2</v>
      </c>
      <c r="K689" s="35">
        <v>0.16</v>
      </c>
      <c r="L689" s="31" t="str" cm="1">
        <f t="array" ref="L689">_xlfn.IFS(K689&lt;0.15,"Cold",K689&lt;0.25,"Mild",K689&lt;=0.32,"Warm",K689&gt;=0.33,"Hot")</f>
        <v>Mild</v>
      </c>
      <c r="M689" s="35">
        <v>0.19700000000000001</v>
      </c>
      <c r="N689" s="35">
        <v>0.64</v>
      </c>
      <c r="O689" s="35" t="str" cm="1">
        <f t="array" ref="O689">_xlfn.IFS(N689&gt;0.61, "High Humidity", N689&gt;=0.6, "Humid", N689&gt;0.4, "Less Humidity", TRUE, "Dry")</f>
        <v>High Humidity</v>
      </c>
      <c r="P689" s="35">
        <v>8.9599999999999999E-2</v>
      </c>
      <c r="Q689" s="35" t="str" cm="1">
        <f t="array" ref="Q689">_xlfn.IFS(P689&lt;=0.2,"Low Windspeed",P689&lt;0.4,"Medium Windspeed",P689&gt;=0.41,"High Windspeed")</f>
        <v>Low Windspeed</v>
      </c>
      <c r="R689" s="35">
        <v>2</v>
      </c>
      <c r="S689" s="35">
        <v>15</v>
      </c>
      <c r="T689" s="40">
        <v>17</v>
      </c>
      <c r="U689" s="39" t="str" cm="1">
        <f t="array" ref="U689">_xlfn.IFS(T689&lt;=70,"Low",T689&lt;=160,"Medium",T689&gt;=161,"High")</f>
        <v>Low</v>
      </c>
    </row>
    <row r="690" spans="1:21" x14ac:dyDescent="0.25">
      <c r="A690" s="33">
        <v>689</v>
      </c>
      <c r="B690" s="34">
        <v>40575</v>
      </c>
      <c r="C690" s="35">
        <v>1</v>
      </c>
      <c r="D690" s="35">
        <v>0</v>
      </c>
      <c r="E690" s="35">
        <v>2</v>
      </c>
      <c r="F690" s="35">
        <v>0</v>
      </c>
      <c r="G690" s="35" t="str" cm="1">
        <f t="array" ref="G690">_xlfn.IFS(F690&lt;4,"Night",F690&lt;=6,"Early Morning",F690&lt;11,"Morning",F690&lt;12,"Afternoon",F690&lt;=16,"Afternoon",F690&lt;=20,"Evening",F690&gt;=21,"Night")</f>
        <v>Night</v>
      </c>
      <c r="H690" s="35" t="b">
        <v>0</v>
      </c>
      <c r="I690" s="35">
        <v>2</v>
      </c>
      <c r="J690" s="35">
        <v>2</v>
      </c>
      <c r="K690" s="35">
        <v>0.16</v>
      </c>
      <c r="L690" s="31" t="str" cm="1">
        <f t="array" ref="L690">_xlfn.IFS(K690&lt;0.15,"Cold",K690&lt;0.25,"Mild",K690&lt;=0.32,"Warm",K690&gt;=0.33,"Hot")</f>
        <v>Mild</v>
      </c>
      <c r="M690" s="35">
        <v>0.18179999999999999</v>
      </c>
      <c r="N690" s="35">
        <v>0.64</v>
      </c>
      <c r="O690" s="35" t="str" cm="1">
        <f t="array" ref="O690">_xlfn.IFS(N690&gt;0.61, "High Humidity", N690&gt;=0.6, "Humid", N690&gt;0.4, "Less Humidity", TRUE, "Dry")</f>
        <v>High Humidity</v>
      </c>
      <c r="P690" s="35">
        <v>0.1045</v>
      </c>
      <c r="Q690" s="35" t="str" cm="1">
        <f t="array" ref="Q690">_xlfn.IFS(P690&lt;=0.2,"Low Windspeed",P690&lt;0.4,"Medium Windspeed",P690&gt;=0.41,"High Windspeed")</f>
        <v>Low Windspeed</v>
      </c>
      <c r="R690" s="35">
        <v>2</v>
      </c>
      <c r="S690" s="35">
        <v>6</v>
      </c>
      <c r="T690" s="40">
        <v>8</v>
      </c>
      <c r="U690" s="39" t="str" cm="1">
        <f t="array" ref="U690">_xlfn.IFS(T690&lt;=70,"Low",T690&lt;=160,"Medium",T690&gt;=161,"High")</f>
        <v>Low</v>
      </c>
    </row>
    <row r="691" spans="1:21" x14ac:dyDescent="0.25">
      <c r="A691" s="33">
        <v>690</v>
      </c>
      <c r="B691" s="34">
        <v>40575</v>
      </c>
      <c r="C691" s="35">
        <v>1</v>
      </c>
      <c r="D691" s="35">
        <v>0</v>
      </c>
      <c r="E691" s="35">
        <v>2</v>
      </c>
      <c r="F691" s="35">
        <v>1</v>
      </c>
      <c r="G691" s="35" t="str" cm="1">
        <f t="array" ref="G691">_xlfn.IFS(F691&lt;4,"Night",F691&lt;=6,"Early Morning",F691&lt;11,"Morning",F691&lt;12,"Afternoon",F691&lt;=16,"Afternoon",F691&lt;=20,"Evening",F691&gt;=21,"Night")</f>
        <v>Night</v>
      </c>
      <c r="H691" s="35" t="b">
        <v>0</v>
      </c>
      <c r="I691" s="35">
        <v>2</v>
      </c>
      <c r="J691" s="35">
        <v>2</v>
      </c>
      <c r="K691" s="35">
        <v>0.16</v>
      </c>
      <c r="L691" s="31" t="str" cm="1">
        <f t="array" ref="L691">_xlfn.IFS(K691&lt;0.15,"Cold",K691&lt;0.25,"Mild",K691&lt;=0.32,"Warm",K691&gt;=0.33,"Hot")</f>
        <v>Mild</v>
      </c>
      <c r="M691" s="35">
        <v>0.18179999999999999</v>
      </c>
      <c r="N691" s="35">
        <v>0.69</v>
      </c>
      <c r="O691" s="35" t="str" cm="1">
        <f t="array" ref="O691">_xlfn.IFS(N691&gt;0.61, "High Humidity", N691&gt;=0.6, "Humid", N691&gt;0.4, "Less Humidity", TRUE, "Dry")</f>
        <v>High Humidity</v>
      </c>
      <c r="P691" s="35">
        <v>0.1045</v>
      </c>
      <c r="Q691" s="35" t="str" cm="1">
        <f t="array" ref="Q691">_xlfn.IFS(P691&lt;=0.2,"Low Windspeed",P691&lt;0.4,"Medium Windspeed",P691&gt;=0.41,"High Windspeed")</f>
        <v>Low Windspeed</v>
      </c>
      <c r="R691" s="35">
        <v>0</v>
      </c>
      <c r="S691" s="35">
        <v>3</v>
      </c>
      <c r="T691" s="40">
        <v>3</v>
      </c>
      <c r="U691" s="39" t="str" cm="1">
        <f t="array" ref="U691">_xlfn.IFS(T691&lt;=70,"Low",T691&lt;=160,"Medium",T691&gt;=161,"High")</f>
        <v>Low</v>
      </c>
    </row>
    <row r="692" spans="1:21" x14ac:dyDescent="0.25">
      <c r="A692" s="33">
        <v>691</v>
      </c>
      <c r="B692" s="34">
        <v>40575</v>
      </c>
      <c r="C692" s="35">
        <v>1</v>
      </c>
      <c r="D692" s="35">
        <v>0</v>
      </c>
      <c r="E692" s="35">
        <v>2</v>
      </c>
      <c r="F692" s="35">
        <v>2</v>
      </c>
      <c r="G692" s="35" t="str" cm="1">
        <f t="array" ref="G692">_xlfn.IFS(F692&lt;4,"Night",F692&lt;=6,"Early Morning",F692&lt;11,"Morning",F692&lt;12,"Afternoon",F692&lt;=16,"Afternoon",F692&lt;=20,"Evening",F692&gt;=21,"Night")</f>
        <v>Night</v>
      </c>
      <c r="H692" s="35" t="b">
        <v>0</v>
      </c>
      <c r="I692" s="35">
        <v>2</v>
      </c>
      <c r="J692" s="35">
        <v>2</v>
      </c>
      <c r="K692" s="35">
        <v>0.16</v>
      </c>
      <c r="L692" s="31" t="str" cm="1">
        <f t="array" ref="L692">_xlfn.IFS(K692&lt;0.15,"Cold",K692&lt;0.25,"Mild",K692&lt;=0.32,"Warm",K692&gt;=0.33,"Hot")</f>
        <v>Mild</v>
      </c>
      <c r="M692" s="35">
        <v>0.2273</v>
      </c>
      <c r="N692" s="35">
        <v>0.69</v>
      </c>
      <c r="O692" s="35" t="str" cm="1">
        <f t="array" ref="O692">_xlfn.IFS(N692&gt;0.61, "High Humidity", N692&gt;=0.6, "Humid", N692&gt;0.4, "Less Humidity", TRUE, "Dry")</f>
        <v>High Humidity</v>
      </c>
      <c r="P692" s="35">
        <v>0</v>
      </c>
      <c r="Q692" s="35" t="str" cm="1">
        <f t="array" ref="Q692">_xlfn.IFS(P692&lt;=0.2,"Low Windspeed",P692&lt;0.4,"Medium Windspeed",P692&gt;=0.41,"High Windspeed")</f>
        <v>Low Windspeed</v>
      </c>
      <c r="R692" s="35">
        <v>0</v>
      </c>
      <c r="S692" s="35">
        <v>2</v>
      </c>
      <c r="T692" s="40">
        <v>2</v>
      </c>
      <c r="U692" s="39" t="str" cm="1">
        <f t="array" ref="U692">_xlfn.IFS(T692&lt;=70,"Low",T692&lt;=160,"Medium",T692&gt;=161,"High")</f>
        <v>Low</v>
      </c>
    </row>
    <row r="693" spans="1:21" x14ac:dyDescent="0.25">
      <c r="A693" s="33">
        <v>692</v>
      </c>
      <c r="B693" s="34">
        <v>40575</v>
      </c>
      <c r="C693" s="35">
        <v>1</v>
      </c>
      <c r="D693" s="35">
        <v>0</v>
      </c>
      <c r="E693" s="35">
        <v>2</v>
      </c>
      <c r="F693" s="35">
        <v>3</v>
      </c>
      <c r="G693" s="35" t="str" cm="1">
        <f t="array" ref="G693">_xlfn.IFS(F693&lt;4,"Night",F693&lt;=6,"Early Morning",F693&lt;11,"Morning",F693&lt;12,"Afternoon",F693&lt;=16,"Afternoon",F693&lt;=20,"Evening",F693&gt;=21,"Night")</f>
        <v>Night</v>
      </c>
      <c r="H693" s="35" t="b">
        <v>0</v>
      </c>
      <c r="I693" s="35">
        <v>2</v>
      </c>
      <c r="J693" s="35">
        <v>2</v>
      </c>
      <c r="K693" s="35">
        <v>0.16</v>
      </c>
      <c r="L693" s="31" t="str" cm="1">
        <f t="array" ref="L693">_xlfn.IFS(K693&lt;0.15,"Cold",K693&lt;0.25,"Mild",K693&lt;=0.32,"Warm",K693&gt;=0.33,"Hot")</f>
        <v>Mild</v>
      </c>
      <c r="M693" s="35">
        <v>0.2273</v>
      </c>
      <c r="N693" s="35">
        <v>0.69</v>
      </c>
      <c r="O693" s="35" t="str" cm="1">
        <f t="array" ref="O693">_xlfn.IFS(N693&gt;0.61, "High Humidity", N693&gt;=0.6, "Humid", N693&gt;0.4, "Less Humidity", TRUE, "Dry")</f>
        <v>High Humidity</v>
      </c>
      <c r="P693" s="35">
        <v>0</v>
      </c>
      <c r="Q693" s="35" t="str" cm="1">
        <f t="array" ref="Q693">_xlfn.IFS(P693&lt;=0.2,"Low Windspeed",P693&lt;0.4,"Medium Windspeed",P693&gt;=0.41,"High Windspeed")</f>
        <v>Low Windspeed</v>
      </c>
      <c r="R693" s="35">
        <v>0</v>
      </c>
      <c r="S693" s="35">
        <v>2</v>
      </c>
      <c r="T693" s="40">
        <v>2</v>
      </c>
      <c r="U693" s="39" t="str" cm="1">
        <f t="array" ref="U693">_xlfn.IFS(T693&lt;=70,"Low",T693&lt;=160,"Medium",T693&gt;=161,"High")</f>
        <v>Low</v>
      </c>
    </row>
    <row r="694" spans="1:21" x14ac:dyDescent="0.25">
      <c r="A694" s="33">
        <v>693</v>
      </c>
      <c r="B694" s="34">
        <v>40575</v>
      </c>
      <c r="C694" s="35">
        <v>1</v>
      </c>
      <c r="D694" s="35">
        <v>0</v>
      </c>
      <c r="E694" s="35">
        <v>2</v>
      </c>
      <c r="F694" s="35">
        <v>5</v>
      </c>
      <c r="G694" s="35" t="str" cm="1">
        <f t="array" ref="G694">_xlfn.IFS(F694&lt;4,"Night",F694&lt;=6,"Early Morning",F694&lt;11,"Morning",F694&lt;12,"Afternoon",F694&lt;=16,"Afternoon",F694&lt;=20,"Evening",F694&gt;=21,"Night")</f>
        <v>Early Morning</v>
      </c>
      <c r="H694" s="35" t="b">
        <v>0</v>
      </c>
      <c r="I694" s="35">
        <v>2</v>
      </c>
      <c r="J694" s="35">
        <v>3</v>
      </c>
      <c r="K694" s="35">
        <v>0.14000000000000001</v>
      </c>
      <c r="L694" s="31" t="str" cm="1">
        <f t="array" ref="L694">_xlfn.IFS(K694&lt;0.15,"Cold",K694&lt;0.25,"Mild",K694&lt;=0.32,"Warm",K694&gt;=0.33,"Hot")</f>
        <v>Cold</v>
      </c>
      <c r="M694" s="35">
        <v>0.21210000000000001</v>
      </c>
      <c r="N694" s="35">
        <v>0.93</v>
      </c>
      <c r="O694" s="35" t="str" cm="1">
        <f t="array" ref="O694">_xlfn.IFS(N694&gt;0.61, "High Humidity", N694&gt;=0.6, "Humid", N694&gt;0.4, "Less Humidity", TRUE, "Dry")</f>
        <v>High Humidity</v>
      </c>
      <c r="P694" s="35">
        <v>0</v>
      </c>
      <c r="Q694" s="35" t="str" cm="1">
        <f t="array" ref="Q694">_xlfn.IFS(P694&lt;=0.2,"Low Windspeed",P694&lt;0.4,"Medium Windspeed",P694&gt;=0.41,"High Windspeed")</f>
        <v>Low Windspeed</v>
      </c>
      <c r="R694" s="35">
        <v>0</v>
      </c>
      <c r="S694" s="35">
        <v>3</v>
      </c>
      <c r="T694" s="40">
        <v>3</v>
      </c>
      <c r="U694" s="39" t="str" cm="1">
        <f t="array" ref="U694">_xlfn.IFS(T694&lt;=70,"Low",T694&lt;=160,"Medium",T694&gt;=161,"High")</f>
        <v>Low</v>
      </c>
    </row>
    <row r="695" spans="1:21" x14ac:dyDescent="0.25">
      <c r="A695" s="33">
        <v>694</v>
      </c>
      <c r="B695" s="34">
        <v>40575</v>
      </c>
      <c r="C695" s="35">
        <v>1</v>
      </c>
      <c r="D695" s="35">
        <v>0</v>
      </c>
      <c r="E695" s="35">
        <v>2</v>
      </c>
      <c r="F695" s="35">
        <v>6</v>
      </c>
      <c r="G695" s="35" t="str" cm="1">
        <f t="array" ref="G695">_xlfn.IFS(F695&lt;4,"Night",F695&lt;=6,"Early Morning",F695&lt;11,"Morning",F695&lt;12,"Afternoon",F695&lt;=16,"Afternoon",F695&lt;=20,"Evening",F695&gt;=21,"Night")</f>
        <v>Early Morning</v>
      </c>
      <c r="H695" s="35" t="b">
        <v>0</v>
      </c>
      <c r="I695" s="35">
        <v>2</v>
      </c>
      <c r="J695" s="35">
        <v>3</v>
      </c>
      <c r="K695" s="35">
        <v>0.14000000000000001</v>
      </c>
      <c r="L695" s="31" t="str" cm="1">
        <f t="array" ref="L695">_xlfn.IFS(K695&lt;0.15,"Cold",K695&lt;0.25,"Mild",K695&lt;=0.32,"Warm",K695&gt;=0.33,"Hot")</f>
        <v>Cold</v>
      </c>
      <c r="M695" s="35">
        <v>0.21210000000000001</v>
      </c>
      <c r="N695" s="35">
        <v>0.93</v>
      </c>
      <c r="O695" s="35" t="str" cm="1">
        <f t="array" ref="O695">_xlfn.IFS(N695&gt;0.61, "High Humidity", N695&gt;=0.6, "Humid", N695&gt;0.4, "Less Humidity", TRUE, "Dry")</f>
        <v>High Humidity</v>
      </c>
      <c r="P695" s="35">
        <v>0</v>
      </c>
      <c r="Q695" s="35" t="str" cm="1">
        <f t="array" ref="Q695">_xlfn.IFS(P695&lt;=0.2,"Low Windspeed",P695&lt;0.4,"Medium Windspeed",P695&gt;=0.41,"High Windspeed")</f>
        <v>Low Windspeed</v>
      </c>
      <c r="R695" s="35">
        <v>0</v>
      </c>
      <c r="S695" s="35">
        <v>22</v>
      </c>
      <c r="T695" s="40">
        <v>22</v>
      </c>
      <c r="U695" s="39" t="str" cm="1">
        <f t="array" ref="U695">_xlfn.IFS(T695&lt;=70,"Low",T695&lt;=160,"Medium",T695&gt;=161,"High")</f>
        <v>Low</v>
      </c>
    </row>
    <row r="696" spans="1:21" x14ac:dyDescent="0.25">
      <c r="A696" s="33">
        <v>695</v>
      </c>
      <c r="B696" s="34">
        <v>40575</v>
      </c>
      <c r="C696" s="35">
        <v>1</v>
      </c>
      <c r="D696" s="35">
        <v>0</v>
      </c>
      <c r="E696" s="35">
        <v>2</v>
      </c>
      <c r="F696" s="35">
        <v>7</v>
      </c>
      <c r="G696" s="35" t="str" cm="1">
        <f t="array" ref="G696">_xlfn.IFS(F696&lt;4,"Night",F696&lt;=6,"Early Morning",F696&lt;11,"Morning",F696&lt;12,"Afternoon",F696&lt;=16,"Afternoon",F696&lt;=20,"Evening",F696&gt;=21,"Night")</f>
        <v>Morning</v>
      </c>
      <c r="H696" s="35" t="b">
        <v>0</v>
      </c>
      <c r="I696" s="35">
        <v>2</v>
      </c>
      <c r="J696" s="35">
        <v>3</v>
      </c>
      <c r="K696" s="35">
        <v>0.16</v>
      </c>
      <c r="L696" s="31" t="str" cm="1">
        <f t="array" ref="L696">_xlfn.IFS(K696&lt;0.15,"Cold",K696&lt;0.25,"Mild",K696&lt;=0.32,"Warm",K696&gt;=0.33,"Hot")</f>
        <v>Mild</v>
      </c>
      <c r="M696" s="35">
        <v>0.2273</v>
      </c>
      <c r="N696" s="35">
        <v>0.93</v>
      </c>
      <c r="O696" s="35" t="str" cm="1">
        <f t="array" ref="O696">_xlfn.IFS(N696&gt;0.61, "High Humidity", N696&gt;=0.6, "Humid", N696&gt;0.4, "Less Humidity", TRUE, "Dry")</f>
        <v>High Humidity</v>
      </c>
      <c r="P696" s="35">
        <v>0</v>
      </c>
      <c r="Q696" s="35" t="str" cm="1">
        <f t="array" ref="Q696">_xlfn.IFS(P696&lt;=0.2,"Low Windspeed",P696&lt;0.4,"Medium Windspeed",P696&gt;=0.41,"High Windspeed")</f>
        <v>Low Windspeed</v>
      </c>
      <c r="R696" s="35">
        <v>0</v>
      </c>
      <c r="S696" s="35">
        <v>52</v>
      </c>
      <c r="T696" s="40">
        <v>52</v>
      </c>
      <c r="U696" s="39" t="str" cm="1">
        <f t="array" ref="U696">_xlfn.IFS(T696&lt;=70,"Low",T696&lt;=160,"Medium",T696&gt;=161,"High")</f>
        <v>Low</v>
      </c>
    </row>
    <row r="697" spans="1:21" x14ac:dyDescent="0.25">
      <c r="A697" s="33">
        <v>696</v>
      </c>
      <c r="B697" s="34">
        <v>40575</v>
      </c>
      <c r="C697" s="35">
        <v>1</v>
      </c>
      <c r="D697" s="35">
        <v>0</v>
      </c>
      <c r="E697" s="35">
        <v>2</v>
      </c>
      <c r="F697" s="35">
        <v>8</v>
      </c>
      <c r="G697" s="35" t="str" cm="1">
        <f t="array" ref="G697">_xlfn.IFS(F697&lt;4,"Night",F697&lt;=6,"Early Morning",F697&lt;11,"Morning",F697&lt;12,"Afternoon",F697&lt;=16,"Afternoon",F697&lt;=20,"Evening",F697&gt;=21,"Night")</f>
        <v>Morning</v>
      </c>
      <c r="H697" s="35" t="b">
        <v>0</v>
      </c>
      <c r="I697" s="35">
        <v>2</v>
      </c>
      <c r="J697" s="35">
        <v>3</v>
      </c>
      <c r="K697" s="35">
        <v>0.16</v>
      </c>
      <c r="L697" s="31" t="str" cm="1">
        <f t="array" ref="L697">_xlfn.IFS(K697&lt;0.15,"Cold",K697&lt;0.25,"Mild",K697&lt;=0.32,"Warm",K697&gt;=0.33,"Hot")</f>
        <v>Mild</v>
      </c>
      <c r="M697" s="35">
        <v>0.2273</v>
      </c>
      <c r="N697" s="35">
        <v>0.93</v>
      </c>
      <c r="O697" s="35" t="str" cm="1">
        <f t="array" ref="O697">_xlfn.IFS(N697&gt;0.61, "High Humidity", N697&gt;=0.6, "Humid", N697&gt;0.4, "Less Humidity", TRUE, "Dry")</f>
        <v>High Humidity</v>
      </c>
      <c r="P697" s="35">
        <v>0</v>
      </c>
      <c r="Q697" s="35" t="str" cm="1">
        <f t="array" ref="Q697">_xlfn.IFS(P697&lt;=0.2,"Low Windspeed",P697&lt;0.4,"Medium Windspeed",P697&gt;=0.41,"High Windspeed")</f>
        <v>Low Windspeed</v>
      </c>
      <c r="R697" s="35">
        <v>3</v>
      </c>
      <c r="S697" s="35">
        <v>132</v>
      </c>
      <c r="T697" s="40">
        <v>135</v>
      </c>
      <c r="U697" s="39" t="str" cm="1">
        <f t="array" ref="U697">_xlfn.IFS(T697&lt;=70,"Low",T697&lt;=160,"Medium",T697&gt;=161,"High")</f>
        <v>Medium</v>
      </c>
    </row>
    <row r="698" spans="1:21" x14ac:dyDescent="0.25">
      <c r="A698" s="33">
        <v>697</v>
      </c>
      <c r="B698" s="34">
        <v>40575</v>
      </c>
      <c r="C698" s="35">
        <v>1</v>
      </c>
      <c r="D698" s="35">
        <v>0</v>
      </c>
      <c r="E698" s="35">
        <v>2</v>
      </c>
      <c r="F698" s="35">
        <v>9</v>
      </c>
      <c r="G698" s="35" t="str" cm="1">
        <f t="array" ref="G698">_xlfn.IFS(F698&lt;4,"Night",F698&lt;=6,"Early Morning",F698&lt;11,"Morning",F698&lt;12,"Afternoon",F698&lt;=16,"Afternoon",F698&lt;=20,"Evening",F698&gt;=21,"Night")</f>
        <v>Morning</v>
      </c>
      <c r="H698" s="35" t="b">
        <v>0</v>
      </c>
      <c r="I698" s="35">
        <v>2</v>
      </c>
      <c r="J698" s="35">
        <v>2</v>
      </c>
      <c r="K698" s="35">
        <v>0.16</v>
      </c>
      <c r="L698" s="31" t="str" cm="1">
        <f t="array" ref="L698">_xlfn.IFS(K698&lt;0.15,"Cold",K698&lt;0.25,"Mild",K698&lt;=0.32,"Warm",K698&gt;=0.33,"Hot")</f>
        <v>Mild</v>
      </c>
      <c r="M698" s="35">
        <v>0.2273</v>
      </c>
      <c r="N698" s="35">
        <v>0.93</v>
      </c>
      <c r="O698" s="35" t="str" cm="1">
        <f t="array" ref="O698">_xlfn.IFS(N698&gt;0.61, "High Humidity", N698&gt;=0.6, "Humid", N698&gt;0.4, "Less Humidity", TRUE, "Dry")</f>
        <v>High Humidity</v>
      </c>
      <c r="P698" s="35">
        <v>0</v>
      </c>
      <c r="Q698" s="35" t="str" cm="1">
        <f t="array" ref="Q698">_xlfn.IFS(P698&lt;=0.2,"Low Windspeed",P698&lt;0.4,"Medium Windspeed",P698&gt;=0.41,"High Windspeed")</f>
        <v>Low Windspeed</v>
      </c>
      <c r="R698" s="35">
        <v>2</v>
      </c>
      <c r="S698" s="35">
        <v>114</v>
      </c>
      <c r="T698" s="40">
        <v>116</v>
      </c>
      <c r="U698" s="39" t="str" cm="1">
        <f t="array" ref="U698">_xlfn.IFS(T698&lt;=70,"Low",T698&lt;=160,"Medium",T698&gt;=161,"High")</f>
        <v>Medium</v>
      </c>
    </row>
    <row r="699" spans="1:21" x14ac:dyDescent="0.25">
      <c r="A699" s="33">
        <v>698</v>
      </c>
      <c r="B699" s="34">
        <v>40575</v>
      </c>
      <c r="C699" s="35">
        <v>1</v>
      </c>
      <c r="D699" s="35">
        <v>0</v>
      </c>
      <c r="E699" s="35">
        <v>2</v>
      </c>
      <c r="F699" s="35">
        <v>10</v>
      </c>
      <c r="G699" s="35" t="str" cm="1">
        <f t="array" ref="G699">_xlfn.IFS(F699&lt;4,"Night",F699&lt;=6,"Early Morning",F699&lt;11,"Morning",F699&lt;12,"Afternoon",F699&lt;=16,"Afternoon",F699&lt;=20,"Evening",F699&gt;=21,"Night")</f>
        <v>Morning</v>
      </c>
      <c r="H699" s="35" t="b">
        <v>0</v>
      </c>
      <c r="I699" s="35">
        <v>2</v>
      </c>
      <c r="J699" s="35">
        <v>2</v>
      </c>
      <c r="K699" s="35">
        <v>0.16</v>
      </c>
      <c r="L699" s="31" t="str" cm="1">
        <f t="array" ref="L699">_xlfn.IFS(K699&lt;0.15,"Cold",K699&lt;0.25,"Mild",K699&lt;=0.32,"Warm",K699&gt;=0.33,"Hot")</f>
        <v>Mild</v>
      </c>
      <c r="M699" s="35">
        <v>0.2273</v>
      </c>
      <c r="N699" s="35">
        <v>0.93</v>
      </c>
      <c r="O699" s="35" t="str" cm="1">
        <f t="array" ref="O699">_xlfn.IFS(N699&gt;0.61, "High Humidity", N699&gt;=0.6, "Humid", N699&gt;0.4, "Less Humidity", TRUE, "Dry")</f>
        <v>High Humidity</v>
      </c>
      <c r="P699" s="35">
        <v>0</v>
      </c>
      <c r="Q699" s="35" t="str" cm="1">
        <f t="array" ref="Q699">_xlfn.IFS(P699&lt;=0.2,"Low Windspeed",P699&lt;0.4,"Medium Windspeed",P699&gt;=0.41,"High Windspeed")</f>
        <v>Low Windspeed</v>
      </c>
      <c r="R699" s="35">
        <v>0</v>
      </c>
      <c r="S699" s="35">
        <v>47</v>
      </c>
      <c r="T699" s="40">
        <v>47</v>
      </c>
      <c r="U699" s="39" t="str" cm="1">
        <f t="array" ref="U699">_xlfn.IFS(T699&lt;=70,"Low",T699&lt;=160,"Medium",T699&gt;=161,"High")</f>
        <v>Low</v>
      </c>
    </row>
    <row r="700" spans="1:21" x14ac:dyDescent="0.25">
      <c r="A700" s="33">
        <v>699</v>
      </c>
      <c r="B700" s="34">
        <v>40575</v>
      </c>
      <c r="C700" s="35">
        <v>1</v>
      </c>
      <c r="D700" s="35">
        <v>0</v>
      </c>
      <c r="E700" s="35">
        <v>2</v>
      </c>
      <c r="F700" s="35">
        <v>11</v>
      </c>
      <c r="G700" s="35" t="str" cm="1">
        <f t="array" ref="G700">_xlfn.IFS(F700&lt;4,"Night",F700&lt;=6,"Early Morning",F700&lt;11,"Morning",F700&lt;12,"Afternoon",F700&lt;=16,"Afternoon",F700&lt;=20,"Evening",F700&gt;=21,"Night")</f>
        <v>Afternoon</v>
      </c>
      <c r="H700" s="35" t="b">
        <v>0</v>
      </c>
      <c r="I700" s="35">
        <v>2</v>
      </c>
      <c r="J700" s="35">
        <v>2</v>
      </c>
      <c r="K700" s="35">
        <v>0.18</v>
      </c>
      <c r="L700" s="31" t="str" cm="1">
        <f t="array" ref="L700">_xlfn.IFS(K700&lt;0.15,"Cold",K700&lt;0.25,"Mild",K700&lt;=0.32,"Warm",K700&gt;=0.33,"Hot")</f>
        <v>Mild</v>
      </c>
      <c r="M700" s="35">
        <v>0.2424</v>
      </c>
      <c r="N700" s="35">
        <v>0.86</v>
      </c>
      <c r="O700" s="35" t="str" cm="1">
        <f t="array" ref="O700">_xlfn.IFS(N700&gt;0.61, "High Humidity", N700&gt;=0.6, "Humid", N700&gt;0.4, "Less Humidity", TRUE, "Dry")</f>
        <v>High Humidity</v>
      </c>
      <c r="P700" s="35">
        <v>0</v>
      </c>
      <c r="Q700" s="35" t="str" cm="1">
        <f t="array" ref="Q700">_xlfn.IFS(P700&lt;=0.2,"Low Windspeed",P700&lt;0.4,"Medium Windspeed",P700&gt;=0.41,"High Windspeed")</f>
        <v>Low Windspeed</v>
      </c>
      <c r="R700" s="35">
        <v>2</v>
      </c>
      <c r="S700" s="35">
        <v>49</v>
      </c>
      <c r="T700" s="40">
        <v>51</v>
      </c>
      <c r="U700" s="39" t="str" cm="1">
        <f t="array" ref="U700">_xlfn.IFS(T700&lt;=70,"Low",T700&lt;=160,"Medium",T700&gt;=161,"High")</f>
        <v>Low</v>
      </c>
    </row>
    <row r="701" spans="1:21" x14ac:dyDescent="0.25">
      <c r="A701" s="33">
        <v>700</v>
      </c>
      <c r="B701" s="34">
        <v>40575</v>
      </c>
      <c r="C701" s="35">
        <v>1</v>
      </c>
      <c r="D701" s="35">
        <v>0</v>
      </c>
      <c r="E701" s="35">
        <v>2</v>
      </c>
      <c r="F701" s="35">
        <v>12</v>
      </c>
      <c r="G701" s="35" t="str" cm="1">
        <f t="array" ref="G701">_xlfn.IFS(F701&lt;4,"Night",F701&lt;=6,"Early Morning",F701&lt;11,"Morning",F701&lt;12,"Afternoon",F701&lt;=16,"Afternoon",F701&lt;=20,"Evening",F701&gt;=21,"Night")</f>
        <v>Afternoon</v>
      </c>
      <c r="H701" s="35" t="b">
        <v>0</v>
      </c>
      <c r="I701" s="35">
        <v>2</v>
      </c>
      <c r="J701" s="35">
        <v>2</v>
      </c>
      <c r="K701" s="35">
        <v>0.2</v>
      </c>
      <c r="L701" s="31" t="str" cm="1">
        <f t="array" ref="L701">_xlfn.IFS(K701&lt;0.15,"Cold",K701&lt;0.25,"Mild",K701&lt;=0.32,"Warm",K701&gt;=0.33,"Hot")</f>
        <v>Mild</v>
      </c>
      <c r="M701" s="35">
        <v>0.2576</v>
      </c>
      <c r="N701" s="35">
        <v>0.86</v>
      </c>
      <c r="O701" s="35" t="str" cm="1">
        <f t="array" ref="O701">_xlfn.IFS(N701&gt;0.61, "High Humidity", N701&gt;=0.6, "Humid", N701&gt;0.4, "Less Humidity", TRUE, "Dry")</f>
        <v>High Humidity</v>
      </c>
      <c r="P701" s="35">
        <v>0</v>
      </c>
      <c r="Q701" s="35" t="str" cm="1">
        <f t="array" ref="Q701">_xlfn.IFS(P701&lt;=0.2,"Low Windspeed",P701&lt;0.4,"Medium Windspeed",P701&gt;=0.41,"High Windspeed")</f>
        <v>Low Windspeed</v>
      </c>
      <c r="R701" s="35">
        <v>2</v>
      </c>
      <c r="S701" s="35">
        <v>53</v>
      </c>
      <c r="T701" s="40">
        <v>55</v>
      </c>
      <c r="U701" s="39" t="str" cm="1">
        <f t="array" ref="U701">_xlfn.IFS(T701&lt;=70,"Low",T701&lt;=160,"Medium",T701&gt;=161,"High")</f>
        <v>Low</v>
      </c>
    </row>
    <row r="702" spans="1:21" x14ac:dyDescent="0.25">
      <c r="A702" s="33">
        <v>701</v>
      </c>
      <c r="B702" s="34">
        <v>40575</v>
      </c>
      <c r="C702" s="35">
        <v>1</v>
      </c>
      <c r="D702" s="35">
        <v>0</v>
      </c>
      <c r="E702" s="35">
        <v>2</v>
      </c>
      <c r="F702" s="35">
        <v>13</v>
      </c>
      <c r="G702" s="35" t="str" cm="1">
        <f t="array" ref="G702">_xlfn.IFS(F702&lt;4,"Night",F702&lt;=6,"Early Morning",F702&lt;11,"Morning",F702&lt;12,"Afternoon",F702&lt;=16,"Afternoon",F702&lt;=20,"Evening",F702&gt;=21,"Night")</f>
        <v>Afternoon</v>
      </c>
      <c r="H702" s="35" t="b">
        <v>0</v>
      </c>
      <c r="I702" s="35">
        <v>2</v>
      </c>
      <c r="J702" s="35">
        <v>2</v>
      </c>
      <c r="K702" s="35">
        <v>0.2</v>
      </c>
      <c r="L702" s="31" t="str" cm="1">
        <f t="array" ref="L702">_xlfn.IFS(K702&lt;0.15,"Cold",K702&lt;0.25,"Mild",K702&lt;=0.32,"Warm",K702&gt;=0.33,"Hot")</f>
        <v>Mild</v>
      </c>
      <c r="M702" s="35">
        <v>0.2576</v>
      </c>
      <c r="N702" s="35">
        <v>0.86</v>
      </c>
      <c r="O702" s="35" t="str" cm="1">
        <f t="array" ref="O702">_xlfn.IFS(N702&gt;0.61, "High Humidity", N702&gt;=0.6, "Humid", N702&gt;0.4, "Less Humidity", TRUE, "Dry")</f>
        <v>High Humidity</v>
      </c>
      <c r="P702" s="35">
        <v>0</v>
      </c>
      <c r="Q702" s="35" t="str" cm="1">
        <f t="array" ref="Q702">_xlfn.IFS(P702&lt;=0.2,"Low Windspeed",P702&lt;0.4,"Medium Windspeed",P702&gt;=0.41,"High Windspeed")</f>
        <v>Low Windspeed</v>
      </c>
      <c r="R702" s="35">
        <v>3</v>
      </c>
      <c r="S702" s="35">
        <v>49</v>
      </c>
      <c r="T702" s="40">
        <v>52</v>
      </c>
      <c r="U702" s="39" t="str" cm="1">
        <f t="array" ref="U702">_xlfn.IFS(T702&lt;=70,"Low",T702&lt;=160,"Medium",T702&gt;=161,"High")</f>
        <v>Low</v>
      </c>
    </row>
    <row r="703" spans="1:21" x14ac:dyDescent="0.25">
      <c r="A703" s="33">
        <v>702</v>
      </c>
      <c r="B703" s="34">
        <v>40575</v>
      </c>
      <c r="C703" s="35">
        <v>1</v>
      </c>
      <c r="D703" s="35">
        <v>0</v>
      </c>
      <c r="E703" s="35">
        <v>2</v>
      </c>
      <c r="F703" s="35">
        <v>14</v>
      </c>
      <c r="G703" s="35" t="str" cm="1">
        <f t="array" ref="G703">_xlfn.IFS(F703&lt;4,"Night",F703&lt;=6,"Early Morning",F703&lt;11,"Morning",F703&lt;12,"Afternoon",F703&lt;=16,"Afternoon",F703&lt;=20,"Evening",F703&gt;=21,"Night")</f>
        <v>Afternoon</v>
      </c>
      <c r="H703" s="35" t="b">
        <v>0</v>
      </c>
      <c r="I703" s="35">
        <v>2</v>
      </c>
      <c r="J703" s="35">
        <v>2</v>
      </c>
      <c r="K703" s="35">
        <v>0.22</v>
      </c>
      <c r="L703" s="31" t="str" cm="1">
        <f t="array" ref="L703">_xlfn.IFS(K703&lt;0.15,"Cold",K703&lt;0.25,"Mild",K703&lt;=0.32,"Warm",K703&gt;=0.33,"Hot")</f>
        <v>Mild</v>
      </c>
      <c r="M703" s="35">
        <v>0.2576</v>
      </c>
      <c r="N703" s="35">
        <v>0.8</v>
      </c>
      <c r="O703" s="35" t="str" cm="1">
        <f t="array" ref="O703">_xlfn.IFS(N703&gt;0.61, "High Humidity", N703&gt;=0.6, "Humid", N703&gt;0.4, "Less Humidity", TRUE, "Dry")</f>
        <v>High Humidity</v>
      </c>
      <c r="P703" s="35">
        <v>8.9599999999999999E-2</v>
      </c>
      <c r="Q703" s="35" t="str" cm="1">
        <f t="array" ref="Q703">_xlfn.IFS(P703&lt;=0.2,"Low Windspeed",P703&lt;0.4,"Medium Windspeed",P703&gt;=0.41,"High Windspeed")</f>
        <v>Low Windspeed</v>
      </c>
      <c r="R703" s="35">
        <v>5</v>
      </c>
      <c r="S703" s="35">
        <v>49</v>
      </c>
      <c r="T703" s="40">
        <v>54</v>
      </c>
      <c r="U703" s="39" t="str" cm="1">
        <f t="array" ref="U703">_xlfn.IFS(T703&lt;=70,"Low",T703&lt;=160,"Medium",T703&gt;=161,"High")</f>
        <v>Low</v>
      </c>
    </row>
    <row r="704" spans="1:21" x14ac:dyDescent="0.25">
      <c r="A704" s="33">
        <v>703</v>
      </c>
      <c r="B704" s="34">
        <v>40575</v>
      </c>
      <c r="C704" s="35">
        <v>1</v>
      </c>
      <c r="D704" s="35">
        <v>0</v>
      </c>
      <c r="E704" s="35">
        <v>2</v>
      </c>
      <c r="F704" s="35">
        <v>15</v>
      </c>
      <c r="G704" s="35" t="str" cm="1">
        <f t="array" ref="G704">_xlfn.IFS(F704&lt;4,"Night",F704&lt;=6,"Early Morning",F704&lt;11,"Morning",F704&lt;12,"Afternoon",F704&lt;=16,"Afternoon",F704&lt;=20,"Evening",F704&gt;=21,"Night")</f>
        <v>Afternoon</v>
      </c>
      <c r="H704" s="35" t="b">
        <v>0</v>
      </c>
      <c r="I704" s="35">
        <v>2</v>
      </c>
      <c r="J704" s="35">
        <v>2</v>
      </c>
      <c r="K704" s="35">
        <v>0.24</v>
      </c>
      <c r="L704" s="31" t="str" cm="1">
        <f t="array" ref="L704">_xlfn.IFS(K704&lt;0.15,"Cold",K704&lt;0.25,"Mild",K704&lt;=0.32,"Warm",K704&gt;=0.33,"Hot")</f>
        <v>Mild</v>
      </c>
      <c r="M704" s="35">
        <v>0.28789999999999999</v>
      </c>
      <c r="N704" s="35">
        <v>0.75</v>
      </c>
      <c r="O704" s="35" t="str" cm="1">
        <f t="array" ref="O704">_xlfn.IFS(N704&gt;0.61, "High Humidity", N704&gt;=0.6, "Humid", N704&gt;0.4, "Less Humidity", TRUE, "Dry")</f>
        <v>High Humidity</v>
      </c>
      <c r="P704" s="35">
        <v>0</v>
      </c>
      <c r="Q704" s="35" t="str" cm="1">
        <f t="array" ref="Q704">_xlfn.IFS(P704&lt;=0.2,"Low Windspeed",P704&lt;0.4,"Medium Windspeed",P704&gt;=0.41,"High Windspeed")</f>
        <v>Low Windspeed</v>
      </c>
      <c r="R704" s="35">
        <v>7</v>
      </c>
      <c r="S704" s="35">
        <v>45</v>
      </c>
      <c r="T704" s="40">
        <v>52</v>
      </c>
      <c r="U704" s="39" t="str" cm="1">
        <f t="array" ref="U704">_xlfn.IFS(T704&lt;=70,"Low",T704&lt;=160,"Medium",T704&gt;=161,"High")</f>
        <v>Low</v>
      </c>
    </row>
    <row r="705" spans="1:21" x14ac:dyDescent="0.25">
      <c r="A705" s="33">
        <v>704</v>
      </c>
      <c r="B705" s="34">
        <v>40575</v>
      </c>
      <c r="C705" s="35">
        <v>1</v>
      </c>
      <c r="D705" s="35">
        <v>0</v>
      </c>
      <c r="E705" s="35">
        <v>2</v>
      </c>
      <c r="F705" s="35">
        <v>16</v>
      </c>
      <c r="G705" s="35" t="str" cm="1">
        <f t="array" ref="G705">_xlfn.IFS(F705&lt;4,"Night",F705&lt;=6,"Early Morning",F705&lt;11,"Morning",F705&lt;12,"Afternoon",F705&lt;=16,"Afternoon",F705&lt;=20,"Evening",F705&gt;=21,"Night")</f>
        <v>Afternoon</v>
      </c>
      <c r="H705" s="35" t="b">
        <v>0</v>
      </c>
      <c r="I705" s="35">
        <v>2</v>
      </c>
      <c r="J705" s="35">
        <v>2</v>
      </c>
      <c r="K705" s="35">
        <v>0.24</v>
      </c>
      <c r="L705" s="31" t="str" cm="1">
        <f t="array" ref="L705">_xlfn.IFS(K705&lt;0.15,"Cold",K705&lt;0.25,"Mild",K705&lt;=0.32,"Warm",K705&gt;=0.33,"Hot")</f>
        <v>Mild</v>
      </c>
      <c r="M705" s="35">
        <v>0.2424</v>
      </c>
      <c r="N705" s="35">
        <v>0.75</v>
      </c>
      <c r="O705" s="35" t="str" cm="1">
        <f t="array" ref="O705">_xlfn.IFS(N705&gt;0.61, "High Humidity", N705&gt;=0.6, "Humid", N705&gt;0.4, "Less Humidity", TRUE, "Dry")</f>
        <v>High Humidity</v>
      </c>
      <c r="P705" s="35">
        <v>0.1343</v>
      </c>
      <c r="Q705" s="35" t="str" cm="1">
        <f t="array" ref="Q705">_xlfn.IFS(P705&lt;=0.2,"Low Windspeed",P705&lt;0.4,"Medium Windspeed",P705&gt;=0.41,"High Windspeed")</f>
        <v>Low Windspeed</v>
      </c>
      <c r="R705" s="35">
        <v>3</v>
      </c>
      <c r="S705" s="35">
        <v>61</v>
      </c>
      <c r="T705" s="40">
        <v>64</v>
      </c>
      <c r="U705" s="39" t="str" cm="1">
        <f t="array" ref="U705">_xlfn.IFS(T705&lt;=70,"Low",T705&lt;=160,"Medium",T705&gt;=161,"High")</f>
        <v>Low</v>
      </c>
    </row>
    <row r="706" spans="1:21" x14ac:dyDescent="0.25">
      <c r="A706" s="33">
        <v>705</v>
      </c>
      <c r="B706" s="34">
        <v>40575</v>
      </c>
      <c r="C706" s="35">
        <v>1</v>
      </c>
      <c r="D706" s="35">
        <v>0</v>
      </c>
      <c r="E706" s="35">
        <v>2</v>
      </c>
      <c r="F706" s="35">
        <v>17</v>
      </c>
      <c r="G706" s="35" t="str" cm="1">
        <f t="array" ref="G706">_xlfn.IFS(F706&lt;4,"Night",F706&lt;=6,"Early Morning",F706&lt;11,"Morning",F706&lt;12,"Afternoon",F706&lt;=16,"Afternoon",F706&lt;=20,"Evening",F706&gt;=21,"Night")</f>
        <v>Evening</v>
      </c>
      <c r="H706" s="35" t="b">
        <v>0</v>
      </c>
      <c r="I706" s="35">
        <v>2</v>
      </c>
      <c r="J706" s="35">
        <v>2</v>
      </c>
      <c r="K706" s="35">
        <v>0.24</v>
      </c>
      <c r="L706" s="31" t="str" cm="1">
        <f t="array" ref="L706">_xlfn.IFS(K706&lt;0.15,"Cold",K706&lt;0.25,"Mild",K706&lt;=0.32,"Warm",K706&gt;=0.33,"Hot")</f>
        <v>Mild</v>
      </c>
      <c r="M706" s="35">
        <v>0.28789999999999999</v>
      </c>
      <c r="N706" s="35">
        <v>0.75</v>
      </c>
      <c r="O706" s="35" t="str" cm="1">
        <f t="array" ref="O706">_xlfn.IFS(N706&gt;0.61, "High Humidity", N706&gt;=0.6, "Humid", N706&gt;0.4, "Less Humidity", TRUE, "Dry")</f>
        <v>High Humidity</v>
      </c>
      <c r="P706" s="35">
        <v>0</v>
      </c>
      <c r="Q706" s="35" t="str" cm="1">
        <f t="array" ref="Q706">_xlfn.IFS(P706&lt;=0.2,"Low Windspeed",P706&lt;0.4,"Medium Windspeed",P706&gt;=0.41,"High Windspeed")</f>
        <v>Low Windspeed</v>
      </c>
      <c r="R706" s="35">
        <v>4</v>
      </c>
      <c r="S706" s="35">
        <v>172</v>
      </c>
      <c r="T706" s="40">
        <v>176</v>
      </c>
      <c r="U706" s="39" t="str" cm="1">
        <f t="array" ref="U706">_xlfn.IFS(T706&lt;=70,"Low",T706&lt;=160,"Medium",T706&gt;=161,"High")</f>
        <v>High</v>
      </c>
    </row>
    <row r="707" spans="1:21" x14ac:dyDescent="0.25">
      <c r="A707" s="33">
        <v>706</v>
      </c>
      <c r="B707" s="34">
        <v>40575</v>
      </c>
      <c r="C707" s="35">
        <v>1</v>
      </c>
      <c r="D707" s="35">
        <v>0</v>
      </c>
      <c r="E707" s="35">
        <v>2</v>
      </c>
      <c r="F707" s="35">
        <v>18</v>
      </c>
      <c r="G707" s="35" t="str" cm="1">
        <f t="array" ref="G707">_xlfn.IFS(F707&lt;4,"Night",F707&lt;=6,"Early Morning",F707&lt;11,"Morning",F707&lt;12,"Afternoon",F707&lt;=16,"Afternoon",F707&lt;=20,"Evening",F707&gt;=21,"Night")</f>
        <v>Evening</v>
      </c>
      <c r="H707" s="35" t="b">
        <v>0</v>
      </c>
      <c r="I707" s="35">
        <v>2</v>
      </c>
      <c r="J707" s="35">
        <v>2</v>
      </c>
      <c r="K707" s="35">
        <v>0.24</v>
      </c>
      <c r="L707" s="31" t="str" cm="1">
        <f t="array" ref="L707">_xlfn.IFS(K707&lt;0.15,"Cold",K707&lt;0.25,"Mild",K707&lt;=0.32,"Warm",K707&gt;=0.33,"Hot")</f>
        <v>Mild</v>
      </c>
      <c r="M707" s="35">
        <v>0.2576</v>
      </c>
      <c r="N707" s="35">
        <v>0.81</v>
      </c>
      <c r="O707" s="35" t="str" cm="1">
        <f t="array" ref="O707">_xlfn.IFS(N707&gt;0.61, "High Humidity", N707&gt;=0.6, "Humid", N707&gt;0.4, "Less Humidity", TRUE, "Dry")</f>
        <v>High Humidity</v>
      </c>
      <c r="P707" s="35">
        <v>0.1045</v>
      </c>
      <c r="Q707" s="35" t="str" cm="1">
        <f t="array" ref="Q707">_xlfn.IFS(P707&lt;=0.2,"Low Windspeed",P707&lt;0.4,"Medium Windspeed",P707&gt;=0.41,"High Windspeed")</f>
        <v>Low Windspeed</v>
      </c>
      <c r="R707" s="35">
        <v>3</v>
      </c>
      <c r="S707" s="35">
        <v>165</v>
      </c>
      <c r="T707" s="40">
        <v>168</v>
      </c>
      <c r="U707" s="39" t="str" cm="1">
        <f t="array" ref="U707">_xlfn.IFS(T707&lt;=70,"Low",T707&lt;=160,"Medium",T707&gt;=161,"High")</f>
        <v>High</v>
      </c>
    </row>
    <row r="708" spans="1:21" x14ac:dyDescent="0.25">
      <c r="A708" s="33">
        <v>707</v>
      </c>
      <c r="B708" s="34">
        <v>40575</v>
      </c>
      <c r="C708" s="35">
        <v>1</v>
      </c>
      <c r="D708" s="35">
        <v>0</v>
      </c>
      <c r="E708" s="35">
        <v>2</v>
      </c>
      <c r="F708" s="35">
        <v>19</v>
      </c>
      <c r="G708" s="35" t="str" cm="1">
        <f t="array" ref="G708">_xlfn.IFS(F708&lt;4,"Night",F708&lt;=6,"Early Morning",F708&lt;11,"Morning",F708&lt;12,"Afternoon",F708&lt;=16,"Afternoon",F708&lt;=20,"Evening",F708&gt;=21,"Night")</f>
        <v>Evening</v>
      </c>
      <c r="H708" s="35" t="b">
        <v>0</v>
      </c>
      <c r="I708" s="35">
        <v>2</v>
      </c>
      <c r="J708" s="35">
        <v>2</v>
      </c>
      <c r="K708" s="35">
        <v>0.24</v>
      </c>
      <c r="L708" s="31" t="str" cm="1">
        <f t="array" ref="L708">_xlfn.IFS(K708&lt;0.15,"Cold",K708&lt;0.25,"Mild",K708&lt;=0.32,"Warm",K708&gt;=0.33,"Hot")</f>
        <v>Mild</v>
      </c>
      <c r="M708" s="35">
        <v>0.2424</v>
      </c>
      <c r="N708" s="35">
        <v>0.81</v>
      </c>
      <c r="O708" s="35" t="str" cm="1">
        <f t="array" ref="O708">_xlfn.IFS(N708&gt;0.61, "High Humidity", N708&gt;=0.6, "Humid", N708&gt;0.4, "Less Humidity", TRUE, "Dry")</f>
        <v>High Humidity</v>
      </c>
      <c r="P708" s="35">
        <v>0.1343</v>
      </c>
      <c r="Q708" s="35" t="str" cm="1">
        <f t="array" ref="Q708">_xlfn.IFS(P708&lt;=0.2,"Low Windspeed",P708&lt;0.4,"Medium Windspeed",P708&gt;=0.41,"High Windspeed")</f>
        <v>Low Windspeed</v>
      </c>
      <c r="R708" s="35">
        <v>3</v>
      </c>
      <c r="S708" s="35">
        <v>105</v>
      </c>
      <c r="T708" s="40">
        <v>108</v>
      </c>
      <c r="U708" s="39" t="str" cm="1">
        <f t="array" ref="U708">_xlfn.IFS(T708&lt;=70,"Low",T708&lt;=160,"Medium",T708&gt;=161,"High")</f>
        <v>Medium</v>
      </c>
    </row>
    <row r="709" spans="1:21" x14ac:dyDescent="0.25">
      <c r="A709" s="33">
        <v>708</v>
      </c>
      <c r="B709" s="34">
        <v>40575</v>
      </c>
      <c r="C709" s="35">
        <v>1</v>
      </c>
      <c r="D709" s="35">
        <v>0</v>
      </c>
      <c r="E709" s="35">
        <v>2</v>
      </c>
      <c r="F709" s="35">
        <v>20</v>
      </c>
      <c r="G709" s="35" t="str" cm="1">
        <f t="array" ref="G709">_xlfn.IFS(F709&lt;4,"Night",F709&lt;=6,"Early Morning",F709&lt;11,"Morning",F709&lt;12,"Afternoon",F709&lt;=16,"Afternoon",F709&lt;=20,"Evening",F709&gt;=21,"Night")</f>
        <v>Evening</v>
      </c>
      <c r="H709" s="35" t="b">
        <v>0</v>
      </c>
      <c r="I709" s="35">
        <v>2</v>
      </c>
      <c r="J709" s="35">
        <v>2</v>
      </c>
      <c r="K709" s="35">
        <v>0.22</v>
      </c>
      <c r="L709" s="31" t="str" cm="1">
        <f t="array" ref="L709">_xlfn.IFS(K709&lt;0.15,"Cold",K709&lt;0.25,"Mild",K709&lt;=0.32,"Warm",K709&gt;=0.33,"Hot")</f>
        <v>Mild</v>
      </c>
      <c r="M709" s="35">
        <v>0.2273</v>
      </c>
      <c r="N709" s="35">
        <v>0.87</v>
      </c>
      <c r="O709" s="35" t="str" cm="1">
        <f t="array" ref="O709">_xlfn.IFS(N709&gt;0.61, "High Humidity", N709&gt;=0.6, "Humid", N709&gt;0.4, "Less Humidity", TRUE, "Dry")</f>
        <v>High Humidity</v>
      </c>
      <c r="P709" s="35">
        <v>0.1343</v>
      </c>
      <c r="Q709" s="35" t="str" cm="1">
        <f t="array" ref="Q709">_xlfn.IFS(P709&lt;=0.2,"Low Windspeed",P709&lt;0.4,"Medium Windspeed",P709&gt;=0.41,"High Windspeed")</f>
        <v>Low Windspeed</v>
      </c>
      <c r="R709" s="35">
        <v>5</v>
      </c>
      <c r="S709" s="35">
        <v>69</v>
      </c>
      <c r="T709" s="40">
        <v>74</v>
      </c>
      <c r="U709" s="39" t="str" cm="1">
        <f t="array" ref="U709">_xlfn.IFS(T709&lt;=70,"Low",T709&lt;=160,"Medium",T709&gt;=161,"High")</f>
        <v>Medium</v>
      </c>
    </row>
    <row r="710" spans="1:21" x14ac:dyDescent="0.25">
      <c r="A710" s="33">
        <v>709</v>
      </c>
      <c r="B710" s="34">
        <v>40575</v>
      </c>
      <c r="C710" s="35">
        <v>1</v>
      </c>
      <c r="D710" s="35">
        <v>0</v>
      </c>
      <c r="E710" s="35">
        <v>2</v>
      </c>
      <c r="F710" s="35">
        <v>21</v>
      </c>
      <c r="G710" s="35" t="str" cm="1">
        <f t="array" ref="G710">_xlfn.IFS(F710&lt;4,"Night",F710&lt;=6,"Early Morning",F710&lt;11,"Morning",F710&lt;12,"Afternoon",F710&lt;=16,"Afternoon",F710&lt;=20,"Evening",F710&gt;=21,"Night")</f>
        <v>Night</v>
      </c>
      <c r="H710" s="35" t="b">
        <v>0</v>
      </c>
      <c r="I710" s="35">
        <v>2</v>
      </c>
      <c r="J710" s="35">
        <v>2</v>
      </c>
      <c r="K710" s="35">
        <v>0.22</v>
      </c>
      <c r="L710" s="31" t="str" cm="1">
        <f t="array" ref="L710">_xlfn.IFS(K710&lt;0.15,"Cold",K710&lt;0.25,"Mild",K710&lt;=0.32,"Warm",K710&gt;=0.33,"Hot")</f>
        <v>Mild</v>
      </c>
      <c r="M710" s="35">
        <v>0.2273</v>
      </c>
      <c r="N710" s="35">
        <v>0.87</v>
      </c>
      <c r="O710" s="35" t="str" cm="1">
        <f t="array" ref="O710">_xlfn.IFS(N710&gt;0.61, "High Humidity", N710&gt;=0.6, "Humid", N710&gt;0.4, "Less Humidity", TRUE, "Dry")</f>
        <v>High Humidity</v>
      </c>
      <c r="P710" s="35">
        <v>0.1343</v>
      </c>
      <c r="Q710" s="35" t="str" cm="1">
        <f t="array" ref="Q710">_xlfn.IFS(P710&lt;=0.2,"Low Windspeed",P710&lt;0.4,"Medium Windspeed",P710&gt;=0.41,"High Windspeed")</f>
        <v>Low Windspeed</v>
      </c>
      <c r="R710" s="35">
        <v>0</v>
      </c>
      <c r="S710" s="35">
        <v>64</v>
      </c>
      <c r="T710" s="40">
        <v>64</v>
      </c>
      <c r="U710" s="39" t="str" cm="1">
        <f t="array" ref="U710">_xlfn.IFS(T710&lt;=70,"Low",T710&lt;=160,"Medium",T710&gt;=161,"High")</f>
        <v>Low</v>
      </c>
    </row>
    <row r="711" spans="1:21" x14ac:dyDescent="0.25">
      <c r="A711" s="33">
        <v>710</v>
      </c>
      <c r="B711" s="34">
        <v>40575</v>
      </c>
      <c r="C711" s="35">
        <v>1</v>
      </c>
      <c r="D711" s="35">
        <v>0</v>
      </c>
      <c r="E711" s="35">
        <v>2</v>
      </c>
      <c r="F711" s="35">
        <v>22</v>
      </c>
      <c r="G711" s="35" t="str" cm="1">
        <f t="array" ref="G711">_xlfn.IFS(F711&lt;4,"Night",F711&lt;=6,"Early Morning",F711&lt;11,"Morning",F711&lt;12,"Afternoon",F711&lt;=16,"Afternoon",F711&lt;=20,"Evening",F711&gt;=21,"Night")</f>
        <v>Night</v>
      </c>
      <c r="H711" s="35" t="b">
        <v>0</v>
      </c>
      <c r="I711" s="35">
        <v>2</v>
      </c>
      <c r="J711" s="35">
        <v>2</v>
      </c>
      <c r="K711" s="35">
        <v>0.22</v>
      </c>
      <c r="L711" s="31" t="str" cm="1">
        <f t="array" ref="L711">_xlfn.IFS(K711&lt;0.15,"Cold",K711&lt;0.25,"Mild",K711&lt;=0.32,"Warm",K711&gt;=0.33,"Hot")</f>
        <v>Mild</v>
      </c>
      <c r="M711" s="35">
        <v>0.2576</v>
      </c>
      <c r="N711" s="35">
        <v>0.87</v>
      </c>
      <c r="O711" s="35" t="str" cm="1">
        <f t="array" ref="O711">_xlfn.IFS(N711&gt;0.61, "High Humidity", N711&gt;=0.6, "Humid", N711&gt;0.4, "Less Humidity", TRUE, "Dry")</f>
        <v>High Humidity</v>
      </c>
      <c r="P711" s="35">
        <v>8.9599999999999999E-2</v>
      </c>
      <c r="Q711" s="35" t="str" cm="1">
        <f t="array" ref="Q711">_xlfn.IFS(P711&lt;=0.2,"Low Windspeed",P711&lt;0.4,"Medium Windspeed",P711&gt;=0.41,"High Windspeed")</f>
        <v>Low Windspeed</v>
      </c>
      <c r="R711" s="35">
        <v>2</v>
      </c>
      <c r="S711" s="35">
        <v>34</v>
      </c>
      <c r="T711" s="40">
        <v>36</v>
      </c>
      <c r="U711" s="39" t="str" cm="1">
        <f t="array" ref="U711">_xlfn.IFS(T711&lt;=70,"Low",T711&lt;=160,"Medium",T711&gt;=161,"High")</f>
        <v>Low</v>
      </c>
    </row>
    <row r="712" spans="1:21" x14ac:dyDescent="0.25">
      <c r="A712" s="33">
        <v>711</v>
      </c>
      <c r="B712" s="34">
        <v>40575</v>
      </c>
      <c r="C712" s="35">
        <v>1</v>
      </c>
      <c r="D712" s="35">
        <v>0</v>
      </c>
      <c r="E712" s="35">
        <v>2</v>
      </c>
      <c r="F712" s="35">
        <v>23</v>
      </c>
      <c r="G712" s="35" t="str" cm="1">
        <f t="array" ref="G712">_xlfn.IFS(F712&lt;4,"Night",F712&lt;=6,"Early Morning",F712&lt;11,"Morning",F712&lt;12,"Afternoon",F712&lt;=16,"Afternoon",F712&lt;=20,"Evening",F712&gt;=21,"Night")</f>
        <v>Night</v>
      </c>
      <c r="H712" s="35" t="b">
        <v>0</v>
      </c>
      <c r="I712" s="35">
        <v>2</v>
      </c>
      <c r="J712" s="35">
        <v>3</v>
      </c>
      <c r="K712" s="35">
        <v>0.2</v>
      </c>
      <c r="L712" s="31" t="str" cm="1">
        <f t="array" ref="L712">_xlfn.IFS(K712&lt;0.15,"Cold",K712&lt;0.25,"Mild",K712&lt;=0.32,"Warm",K712&gt;=0.33,"Hot")</f>
        <v>Mild</v>
      </c>
      <c r="M712" s="35">
        <v>0.19700000000000001</v>
      </c>
      <c r="N712" s="35">
        <v>0.93</v>
      </c>
      <c r="O712" s="35" t="str" cm="1">
        <f t="array" ref="O712">_xlfn.IFS(N712&gt;0.61, "High Humidity", N712&gt;=0.6, "Humid", N712&gt;0.4, "Less Humidity", TRUE, "Dry")</f>
        <v>High Humidity</v>
      </c>
      <c r="P712" s="35">
        <v>0.19400000000000001</v>
      </c>
      <c r="Q712" s="35" t="str" cm="1">
        <f t="array" ref="Q712">_xlfn.IFS(P712&lt;=0.2,"Low Windspeed",P712&lt;0.4,"Medium Windspeed",P712&gt;=0.41,"High Windspeed")</f>
        <v>Low Windspeed</v>
      </c>
      <c r="R712" s="35">
        <v>1</v>
      </c>
      <c r="S712" s="35">
        <v>15</v>
      </c>
      <c r="T712" s="40">
        <v>16</v>
      </c>
      <c r="U712" s="39" t="str" cm="1">
        <f t="array" ref="U712">_xlfn.IFS(T712&lt;=70,"Low",T712&lt;=160,"Medium",T712&gt;=161,"High")</f>
        <v>Low</v>
      </c>
    </row>
    <row r="713" spans="1:21" x14ac:dyDescent="0.25">
      <c r="A713" s="33">
        <v>712</v>
      </c>
      <c r="B713" s="34">
        <v>40576</v>
      </c>
      <c r="C713" s="35">
        <v>1</v>
      </c>
      <c r="D713" s="35">
        <v>0</v>
      </c>
      <c r="E713" s="35">
        <v>2</v>
      </c>
      <c r="F713" s="35">
        <v>0</v>
      </c>
      <c r="G713" s="35" t="str" cm="1">
        <f t="array" ref="G713">_xlfn.IFS(F713&lt;4,"Night",F713&lt;=6,"Early Morning",F713&lt;11,"Morning",F713&lt;12,"Afternoon",F713&lt;=16,"Afternoon",F713&lt;=20,"Evening",F713&gt;=21,"Night")</f>
        <v>Night</v>
      </c>
      <c r="H713" s="35" t="b">
        <v>0</v>
      </c>
      <c r="I713" s="35">
        <v>3</v>
      </c>
      <c r="J713" s="35">
        <v>3</v>
      </c>
      <c r="K713" s="35">
        <v>0.22</v>
      </c>
      <c r="L713" s="31" t="str" cm="1">
        <f t="array" ref="L713">_xlfn.IFS(K713&lt;0.15,"Cold",K713&lt;0.25,"Mild",K713&lt;=0.32,"Warm",K713&gt;=0.33,"Hot")</f>
        <v>Mild</v>
      </c>
      <c r="M713" s="35">
        <v>0.2424</v>
      </c>
      <c r="N713" s="35">
        <v>0.93</v>
      </c>
      <c r="O713" s="35" t="str" cm="1">
        <f t="array" ref="O713">_xlfn.IFS(N713&gt;0.61, "High Humidity", N713&gt;=0.6, "Humid", N713&gt;0.4, "Less Humidity", TRUE, "Dry")</f>
        <v>High Humidity</v>
      </c>
      <c r="P713" s="35">
        <v>0.1045</v>
      </c>
      <c r="Q713" s="35" t="str" cm="1">
        <f t="array" ref="Q713">_xlfn.IFS(P713&lt;=0.2,"Low Windspeed",P713&lt;0.4,"Medium Windspeed",P713&gt;=0.41,"High Windspeed")</f>
        <v>Low Windspeed</v>
      </c>
      <c r="R713" s="35">
        <v>0</v>
      </c>
      <c r="S713" s="35">
        <v>2</v>
      </c>
      <c r="T713" s="40">
        <v>2</v>
      </c>
      <c r="U713" s="39" t="str" cm="1">
        <f t="array" ref="U713">_xlfn.IFS(T713&lt;=70,"Low",T713&lt;=160,"Medium",T713&gt;=161,"High")</f>
        <v>Low</v>
      </c>
    </row>
    <row r="714" spans="1:21" x14ac:dyDescent="0.25">
      <c r="A714" s="33">
        <v>713</v>
      </c>
      <c r="B714" s="34">
        <v>40576</v>
      </c>
      <c r="C714" s="35">
        <v>1</v>
      </c>
      <c r="D714" s="35">
        <v>0</v>
      </c>
      <c r="E714" s="35">
        <v>2</v>
      </c>
      <c r="F714" s="35">
        <v>1</v>
      </c>
      <c r="G714" s="35" t="str" cm="1">
        <f t="array" ref="G714">_xlfn.IFS(F714&lt;4,"Night",F714&lt;=6,"Early Morning",F714&lt;11,"Morning",F714&lt;12,"Afternoon",F714&lt;=16,"Afternoon",F714&lt;=20,"Evening",F714&gt;=21,"Night")</f>
        <v>Night</v>
      </c>
      <c r="H714" s="35" t="b">
        <v>0</v>
      </c>
      <c r="I714" s="35">
        <v>3</v>
      </c>
      <c r="J714" s="35">
        <v>3</v>
      </c>
      <c r="K714" s="35">
        <v>0.22</v>
      </c>
      <c r="L714" s="31" t="str" cm="1">
        <f t="array" ref="L714">_xlfn.IFS(K714&lt;0.15,"Cold",K714&lt;0.25,"Mild",K714&lt;=0.32,"Warm",K714&gt;=0.33,"Hot")</f>
        <v>Mild</v>
      </c>
      <c r="M714" s="35">
        <v>0.2273</v>
      </c>
      <c r="N714" s="35">
        <v>0.93</v>
      </c>
      <c r="O714" s="35" t="str" cm="1">
        <f t="array" ref="O714">_xlfn.IFS(N714&gt;0.61, "High Humidity", N714&gt;=0.6, "Humid", N714&gt;0.4, "Less Humidity", TRUE, "Dry")</f>
        <v>High Humidity</v>
      </c>
      <c r="P714" s="35">
        <v>0.19400000000000001</v>
      </c>
      <c r="Q714" s="35" t="str" cm="1">
        <f t="array" ref="Q714">_xlfn.IFS(P714&lt;=0.2,"Low Windspeed",P714&lt;0.4,"Medium Windspeed",P714&gt;=0.41,"High Windspeed")</f>
        <v>Low Windspeed</v>
      </c>
      <c r="R714" s="35">
        <v>0</v>
      </c>
      <c r="S714" s="35">
        <v>3</v>
      </c>
      <c r="T714" s="40">
        <v>3</v>
      </c>
      <c r="U714" s="39" t="str" cm="1">
        <f t="array" ref="U714">_xlfn.IFS(T714&lt;=70,"Low",T714&lt;=160,"Medium",T714&gt;=161,"High")</f>
        <v>Low</v>
      </c>
    </row>
    <row r="715" spans="1:21" x14ac:dyDescent="0.25">
      <c r="A715" s="33">
        <v>714</v>
      </c>
      <c r="B715" s="34">
        <v>40576</v>
      </c>
      <c r="C715" s="35">
        <v>1</v>
      </c>
      <c r="D715" s="35">
        <v>0</v>
      </c>
      <c r="E715" s="35">
        <v>2</v>
      </c>
      <c r="F715" s="35">
        <v>2</v>
      </c>
      <c r="G715" s="35" t="str" cm="1">
        <f t="array" ref="G715">_xlfn.IFS(F715&lt;4,"Night",F715&lt;=6,"Early Morning",F715&lt;11,"Morning",F715&lt;12,"Afternoon",F715&lt;=16,"Afternoon",F715&lt;=20,"Evening",F715&gt;=21,"Night")</f>
        <v>Night</v>
      </c>
      <c r="H715" s="35" t="b">
        <v>0</v>
      </c>
      <c r="I715" s="35">
        <v>3</v>
      </c>
      <c r="J715" s="35">
        <v>3</v>
      </c>
      <c r="K715" s="35">
        <v>0.22</v>
      </c>
      <c r="L715" s="31" t="str" cm="1">
        <f t="array" ref="L715">_xlfn.IFS(K715&lt;0.15,"Cold",K715&lt;0.25,"Mild",K715&lt;=0.32,"Warm",K715&gt;=0.33,"Hot")</f>
        <v>Mild</v>
      </c>
      <c r="M715" s="35">
        <v>0.2273</v>
      </c>
      <c r="N715" s="35">
        <v>0.93</v>
      </c>
      <c r="O715" s="35" t="str" cm="1">
        <f t="array" ref="O715">_xlfn.IFS(N715&gt;0.61, "High Humidity", N715&gt;=0.6, "Humid", N715&gt;0.4, "Less Humidity", TRUE, "Dry")</f>
        <v>High Humidity</v>
      </c>
      <c r="P715" s="35">
        <v>0.1343</v>
      </c>
      <c r="Q715" s="35" t="str" cm="1">
        <f t="array" ref="Q715">_xlfn.IFS(P715&lt;=0.2,"Low Windspeed",P715&lt;0.4,"Medium Windspeed",P715&gt;=0.41,"High Windspeed")</f>
        <v>Low Windspeed</v>
      </c>
      <c r="R715" s="35">
        <v>4</v>
      </c>
      <c r="S715" s="35">
        <v>0</v>
      </c>
      <c r="T715" s="40">
        <v>4</v>
      </c>
      <c r="U715" s="39" t="str" cm="1">
        <f t="array" ref="U715">_xlfn.IFS(T715&lt;=70,"Low",T715&lt;=160,"Medium",T715&gt;=161,"High")</f>
        <v>Low</v>
      </c>
    </row>
    <row r="716" spans="1:21" x14ac:dyDescent="0.25">
      <c r="A716" s="33">
        <v>715</v>
      </c>
      <c r="B716" s="34">
        <v>40576</v>
      </c>
      <c r="C716" s="35">
        <v>1</v>
      </c>
      <c r="D716" s="35">
        <v>0</v>
      </c>
      <c r="E716" s="35">
        <v>2</v>
      </c>
      <c r="F716" s="35">
        <v>3</v>
      </c>
      <c r="G716" s="35" t="str" cm="1">
        <f t="array" ref="G716">_xlfn.IFS(F716&lt;4,"Night",F716&lt;=6,"Early Morning",F716&lt;11,"Morning",F716&lt;12,"Afternoon",F716&lt;=16,"Afternoon",F716&lt;=20,"Evening",F716&gt;=21,"Night")</f>
        <v>Night</v>
      </c>
      <c r="H716" s="35" t="b">
        <v>0</v>
      </c>
      <c r="I716" s="35">
        <v>3</v>
      </c>
      <c r="J716" s="35">
        <v>3</v>
      </c>
      <c r="K716" s="35">
        <v>0.22</v>
      </c>
      <c r="L716" s="31" t="str" cm="1">
        <f t="array" ref="L716">_xlfn.IFS(K716&lt;0.15,"Cold",K716&lt;0.25,"Mild",K716&lt;=0.32,"Warm",K716&gt;=0.33,"Hot")</f>
        <v>Mild</v>
      </c>
      <c r="M716" s="35">
        <v>0.2273</v>
      </c>
      <c r="N716" s="35">
        <v>0.93</v>
      </c>
      <c r="O716" s="35" t="str" cm="1">
        <f t="array" ref="O716">_xlfn.IFS(N716&gt;0.61, "High Humidity", N716&gt;=0.6, "Humid", N716&gt;0.4, "Less Humidity", TRUE, "Dry")</f>
        <v>High Humidity</v>
      </c>
      <c r="P716" s="35">
        <v>0.1343</v>
      </c>
      <c r="Q716" s="35" t="str" cm="1">
        <f t="array" ref="Q716">_xlfn.IFS(P716&lt;=0.2,"Low Windspeed",P716&lt;0.4,"Medium Windspeed",P716&gt;=0.41,"High Windspeed")</f>
        <v>Low Windspeed</v>
      </c>
      <c r="R716" s="35">
        <v>0</v>
      </c>
      <c r="S716" s="35">
        <v>1</v>
      </c>
      <c r="T716" s="40">
        <v>1</v>
      </c>
      <c r="U716" s="39" t="str" cm="1">
        <f t="array" ref="U716">_xlfn.IFS(T716&lt;=70,"Low",T716&lt;=160,"Medium",T716&gt;=161,"High")</f>
        <v>Low</v>
      </c>
    </row>
    <row r="717" spans="1:21" x14ac:dyDescent="0.25">
      <c r="A717" s="33">
        <v>716</v>
      </c>
      <c r="B717" s="34">
        <v>40576</v>
      </c>
      <c r="C717" s="35">
        <v>1</v>
      </c>
      <c r="D717" s="35">
        <v>0</v>
      </c>
      <c r="E717" s="35">
        <v>2</v>
      </c>
      <c r="F717" s="35">
        <v>4</v>
      </c>
      <c r="G717" s="35" t="str" cm="1">
        <f t="array" ref="G717">_xlfn.IFS(F717&lt;4,"Night",F717&lt;=6,"Early Morning",F717&lt;11,"Morning",F717&lt;12,"Afternoon",F717&lt;=16,"Afternoon",F717&lt;=20,"Evening",F717&gt;=21,"Night")</f>
        <v>Early Morning</v>
      </c>
      <c r="H717" s="35" t="b">
        <v>0</v>
      </c>
      <c r="I717" s="35">
        <v>3</v>
      </c>
      <c r="J717" s="35">
        <v>3</v>
      </c>
      <c r="K717" s="35">
        <v>0.22</v>
      </c>
      <c r="L717" s="31" t="str" cm="1">
        <f t="array" ref="L717">_xlfn.IFS(K717&lt;0.15,"Cold",K717&lt;0.25,"Mild",K717&lt;=0.32,"Warm",K717&gt;=0.33,"Hot")</f>
        <v>Mild</v>
      </c>
      <c r="M717" s="35">
        <v>0.21210000000000001</v>
      </c>
      <c r="N717" s="35">
        <v>0.93</v>
      </c>
      <c r="O717" s="35" t="str" cm="1">
        <f t="array" ref="O717">_xlfn.IFS(N717&gt;0.61, "High Humidity", N717&gt;=0.6, "Humid", N717&gt;0.4, "Less Humidity", TRUE, "Dry")</f>
        <v>High Humidity</v>
      </c>
      <c r="P717" s="35">
        <v>0.28360000000000002</v>
      </c>
      <c r="Q717" s="35" t="str" cm="1">
        <f t="array" ref="Q717">_xlfn.IFS(P717&lt;=0.2,"Low Windspeed",P717&lt;0.4,"Medium Windspeed",P717&gt;=0.41,"High Windspeed")</f>
        <v>Medium Windspeed</v>
      </c>
      <c r="R717" s="35">
        <v>0</v>
      </c>
      <c r="S717" s="35">
        <v>1</v>
      </c>
      <c r="T717" s="40">
        <v>1</v>
      </c>
      <c r="U717" s="39" t="str" cm="1">
        <f t="array" ref="U717">_xlfn.IFS(T717&lt;=70,"Low",T717&lt;=160,"Medium",T717&gt;=161,"High")</f>
        <v>Low</v>
      </c>
    </row>
    <row r="718" spans="1:21" x14ac:dyDescent="0.25">
      <c r="A718" s="33">
        <v>717</v>
      </c>
      <c r="B718" s="34">
        <v>40576</v>
      </c>
      <c r="C718" s="35">
        <v>1</v>
      </c>
      <c r="D718" s="35">
        <v>0</v>
      </c>
      <c r="E718" s="35">
        <v>2</v>
      </c>
      <c r="F718" s="35">
        <v>5</v>
      </c>
      <c r="G718" s="35" t="str" cm="1">
        <f t="array" ref="G718">_xlfn.IFS(F718&lt;4,"Night",F718&lt;=6,"Early Morning",F718&lt;11,"Morning",F718&lt;12,"Afternoon",F718&lt;=16,"Afternoon",F718&lt;=20,"Evening",F718&gt;=21,"Night")</f>
        <v>Early Morning</v>
      </c>
      <c r="H718" s="35" t="b">
        <v>0</v>
      </c>
      <c r="I718" s="35">
        <v>3</v>
      </c>
      <c r="J718" s="35">
        <v>3</v>
      </c>
      <c r="K718" s="35">
        <v>0.22</v>
      </c>
      <c r="L718" s="31" t="str" cm="1">
        <f t="array" ref="L718">_xlfn.IFS(K718&lt;0.15,"Cold",K718&lt;0.25,"Mild",K718&lt;=0.32,"Warm",K718&gt;=0.33,"Hot")</f>
        <v>Mild</v>
      </c>
      <c r="M718" s="35">
        <v>0.2424</v>
      </c>
      <c r="N718" s="35">
        <v>0.93</v>
      </c>
      <c r="O718" s="35" t="str" cm="1">
        <f t="array" ref="O718">_xlfn.IFS(N718&gt;0.61, "High Humidity", N718&gt;=0.6, "Humid", N718&gt;0.4, "Less Humidity", TRUE, "Dry")</f>
        <v>High Humidity</v>
      </c>
      <c r="P718" s="35">
        <v>0.1045</v>
      </c>
      <c r="Q718" s="35" t="str" cm="1">
        <f t="array" ref="Q718">_xlfn.IFS(P718&lt;=0.2,"Low Windspeed",P718&lt;0.4,"Medium Windspeed",P718&gt;=0.41,"High Windspeed")</f>
        <v>Low Windspeed</v>
      </c>
      <c r="R718" s="35">
        <v>0</v>
      </c>
      <c r="S718" s="35">
        <v>3</v>
      </c>
      <c r="T718" s="40">
        <v>3</v>
      </c>
      <c r="U718" s="39" t="str" cm="1">
        <f t="array" ref="U718">_xlfn.IFS(T718&lt;=70,"Low",T718&lt;=160,"Medium",T718&gt;=161,"High")</f>
        <v>Low</v>
      </c>
    </row>
    <row r="719" spans="1:21" x14ac:dyDescent="0.25">
      <c r="A719" s="33">
        <v>718</v>
      </c>
      <c r="B719" s="34">
        <v>40576</v>
      </c>
      <c r="C719" s="35">
        <v>1</v>
      </c>
      <c r="D719" s="35">
        <v>0</v>
      </c>
      <c r="E719" s="35">
        <v>2</v>
      </c>
      <c r="F719" s="35">
        <v>6</v>
      </c>
      <c r="G719" s="35" t="str" cm="1">
        <f t="array" ref="G719">_xlfn.IFS(F719&lt;4,"Night",F719&lt;=6,"Early Morning",F719&lt;11,"Morning",F719&lt;12,"Afternoon",F719&lt;=16,"Afternoon",F719&lt;=20,"Evening",F719&gt;=21,"Night")</f>
        <v>Early Morning</v>
      </c>
      <c r="H719" s="35" t="b">
        <v>0</v>
      </c>
      <c r="I719" s="35">
        <v>3</v>
      </c>
      <c r="J719" s="35">
        <v>3</v>
      </c>
      <c r="K719" s="35">
        <v>0.22</v>
      </c>
      <c r="L719" s="31" t="str" cm="1">
        <f t="array" ref="L719">_xlfn.IFS(K719&lt;0.15,"Cold",K719&lt;0.25,"Mild",K719&lt;=0.32,"Warm",K719&gt;=0.33,"Hot")</f>
        <v>Mild</v>
      </c>
      <c r="M719" s="35">
        <v>0.2424</v>
      </c>
      <c r="N719" s="35">
        <v>0.93</v>
      </c>
      <c r="O719" s="35" t="str" cm="1">
        <f t="array" ref="O719">_xlfn.IFS(N719&gt;0.61, "High Humidity", N719&gt;=0.6, "Humid", N719&gt;0.4, "Less Humidity", TRUE, "Dry")</f>
        <v>High Humidity</v>
      </c>
      <c r="P719" s="35">
        <v>0.1045</v>
      </c>
      <c r="Q719" s="35" t="str" cm="1">
        <f t="array" ref="Q719">_xlfn.IFS(P719&lt;=0.2,"Low Windspeed",P719&lt;0.4,"Medium Windspeed",P719&gt;=0.41,"High Windspeed")</f>
        <v>Low Windspeed</v>
      </c>
      <c r="R719" s="35">
        <v>1</v>
      </c>
      <c r="S719" s="35">
        <v>17</v>
      </c>
      <c r="T719" s="40">
        <v>18</v>
      </c>
      <c r="U719" s="39" t="str" cm="1">
        <f t="array" ref="U719">_xlfn.IFS(T719&lt;=70,"Low",T719&lt;=160,"Medium",T719&gt;=161,"High")</f>
        <v>Low</v>
      </c>
    </row>
    <row r="720" spans="1:21" x14ac:dyDescent="0.25">
      <c r="A720" s="33">
        <v>719</v>
      </c>
      <c r="B720" s="34">
        <v>40576</v>
      </c>
      <c r="C720" s="35">
        <v>1</v>
      </c>
      <c r="D720" s="35">
        <v>0</v>
      </c>
      <c r="E720" s="35">
        <v>2</v>
      </c>
      <c r="F720" s="35">
        <v>7</v>
      </c>
      <c r="G720" s="35" t="str" cm="1">
        <f t="array" ref="G720">_xlfn.IFS(F720&lt;4,"Night",F720&lt;=6,"Early Morning",F720&lt;11,"Morning",F720&lt;12,"Afternoon",F720&lt;=16,"Afternoon",F720&lt;=20,"Evening",F720&gt;=21,"Night")</f>
        <v>Morning</v>
      </c>
      <c r="H720" s="35" t="b">
        <v>0</v>
      </c>
      <c r="I720" s="35">
        <v>3</v>
      </c>
      <c r="J720" s="35">
        <v>3</v>
      </c>
      <c r="K720" s="35">
        <v>0.22</v>
      </c>
      <c r="L720" s="31" t="str" cm="1">
        <f t="array" ref="L720">_xlfn.IFS(K720&lt;0.15,"Cold",K720&lt;0.25,"Mild",K720&lt;=0.32,"Warm",K720&gt;=0.33,"Hot")</f>
        <v>Mild</v>
      </c>
      <c r="M720" s="35">
        <v>0.21210000000000001</v>
      </c>
      <c r="N720" s="35">
        <v>0.93</v>
      </c>
      <c r="O720" s="35" t="str" cm="1">
        <f t="array" ref="O720">_xlfn.IFS(N720&gt;0.61, "High Humidity", N720&gt;=0.6, "Humid", N720&gt;0.4, "Less Humidity", TRUE, "Dry")</f>
        <v>High Humidity</v>
      </c>
      <c r="P720" s="35">
        <v>0.22389999999999999</v>
      </c>
      <c r="Q720" s="35" t="str" cm="1">
        <f t="array" ref="Q720">_xlfn.IFS(P720&lt;=0.2,"Low Windspeed",P720&lt;0.4,"Medium Windspeed",P720&gt;=0.41,"High Windspeed")</f>
        <v>Medium Windspeed</v>
      </c>
      <c r="R720" s="35">
        <v>1</v>
      </c>
      <c r="S720" s="35">
        <v>48</v>
      </c>
      <c r="T720" s="40">
        <v>49</v>
      </c>
      <c r="U720" s="39" t="str" cm="1">
        <f t="array" ref="U720">_xlfn.IFS(T720&lt;=70,"Low",T720&lt;=160,"Medium",T720&gt;=161,"High")</f>
        <v>Low</v>
      </c>
    </row>
    <row r="721" spans="1:21" x14ac:dyDescent="0.25">
      <c r="A721" s="33">
        <v>720</v>
      </c>
      <c r="B721" s="34">
        <v>40576</v>
      </c>
      <c r="C721" s="35">
        <v>1</v>
      </c>
      <c r="D721" s="35">
        <v>0</v>
      </c>
      <c r="E721" s="35">
        <v>2</v>
      </c>
      <c r="F721" s="35">
        <v>8</v>
      </c>
      <c r="G721" s="35" t="str" cm="1">
        <f t="array" ref="G721">_xlfn.IFS(F721&lt;4,"Night",F721&lt;=6,"Early Morning",F721&lt;11,"Morning",F721&lt;12,"Afternoon",F721&lt;=16,"Afternoon",F721&lt;=20,"Evening",F721&gt;=21,"Night")</f>
        <v>Morning</v>
      </c>
      <c r="H721" s="35" t="b">
        <v>0</v>
      </c>
      <c r="I721" s="35">
        <v>3</v>
      </c>
      <c r="J721" s="35">
        <v>3</v>
      </c>
      <c r="K721" s="35">
        <v>0.22</v>
      </c>
      <c r="L721" s="31" t="str" cm="1">
        <f t="array" ref="L721">_xlfn.IFS(K721&lt;0.15,"Cold",K721&lt;0.25,"Mild",K721&lt;=0.32,"Warm",K721&gt;=0.33,"Hot")</f>
        <v>Mild</v>
      </c>
      <c r="M721" s="35">
        <v>0.21210000000000001</v>
      </c>
      <c r="N721" s="35">
        <v>0.93</v>
      </c>
      <c r="O721" s="35" t="str" cm="1">
        <f t="array" ref="O721">_xlfn.IFS(N721&gt;0.61, "High Humidity", N721&gt;=0.6, "Humid", N721&gt;0.4, "Less Humidity", TRUE, "Dry")</f>
        <v>High Humidity</v>
      </c>
      <c r="P721" s="35">
        <v>0.22389999999999999</v>
      </c>
      <c r="Q721" s="35" t="str" cm="1">
        <f t="array" ref="Q721">_xlfn.IFS(P721&lt;=0.2,"Low Windspeed",P721&lt;0.4,"Medium Windspeed",P721&gt;=0.41,"High Windspeed")</f>
        <v>Medium Windspeed</v>
      </c>
      <c r="R721" s="35">
        <v>1</v>
      </c>
      <c r="S721" s="35">
        <v>154</v>
      </c>
      <c r="T721" s="40">
        <v>155</v>
      </c>
      <c r="U721" s="39" t="str" cm="1">
        <f t="array" ref="U721">_xlfn.IFS(T721&lt;=70,"Low",T721&lt;=160,"Medium",T721&gt;=161,"High")</f>
        <v>Medium</v>
      </c>
    </row>
    <row r="722" spans="1:21" x14ac:dyDescent="0.25">
      <c r="A722" s="33">
        <v>721</v>
      </c>
      <c r="B722" s="34">
        <v>40576</v>
      </c>
      <c r="C722" s="35">
        <v>1</v>
      </c>
      <c r="D722" s="35">
        <v>0</v>
      </c>
      <c r="E722" s="35">
        <v>2</v>
      </c>
      <c r="F722" s="35">
        <v>9</v>
      </c>
      <c r="G722" s="35" t="str" cm="1">
        <f t="array" ref="G722">_xlfn.IFS(F722&lt;4,"Night",F722&lt;=6,"Early Morning",F722&lt;11,"Morning",F722&lt;12,"Afternoon",F722&lt;=16,"Afternoon",F722&lt;=20,"Evening",F722&gt;=21,"Night")</f>
        <v>Morning</v>
      </c>
      <c r="H722" s="35" t="b">
        <v>0</v>
      </c>
      <c r="I722" s="35">
        <v>3</v>
      </c>
      <c r="J722" s="35">
        <v>2</v>
      </c>
      <c r="K722" s="35">
        <v>0.24</v>
      </c>
      <c r="L722" s="31" t="str" cm="1">
        <f t="array" ref="L722">_xlfn.IFS(K722&lt;0.15,"Cold",K722&lt;0.25,"Mild",K722&lt;=0.32,"Warm",K722&gt;=0.33,"Hot")</f>
        <v>Mild</v>
      </c>
      <c r="M722" s="35">
        <v>0.2576</v>
      </c>
      <c r="N722" s="35">
        <v>0.93</v>
      </c>
      <c r="O722" s="35" t="str" cm="1">
        <f t="array" ref="O722">_xlfn.IFS(N722&gt;0.61, "High Humidity", N722&gt;=0.6, "Humid", N722&gt;0.4, "Less Humidity", TRUE, "Dry")</f>
        <v>High Humidity</v>
      </c>
      <c r="P722" s="35">
        <v>8.9599999999999999E-2</v>
      </c>
      <c r="Q722" s="35" t="str" cm="1">
        <f t="array" ref="Q722">_xlfn.IFS(P722&lt;=0.2,"Low Windspeed",P722&lt;0.4,"Medium Windspeed",P722&gt;=0.41,"High Windspeed")</f>
        <v>Low Windspeed</v>
      </c>
      <c r="R722" s="35">
        <v>4</v>
      </c>
      <c r="S722" s="35">
        <v>119</v>
      </c>
      <c r="T722" s="40">
        <v>123</v>
      </c>
      <c r="U722" s="39" t="str" cm="1">
        <f t="array" ref="U722">_xlfn.IFS(T722&lt;=70,"Low",T722&lt;=160,"Medium",T722&gt;=161,"High")</f>
        <v>Medium</v>
      </c>
    </row>
    <row r="723" spans="1:21" x14ac:dyDescent="0.25">
      <c r="A723" s="33">
        <v>722</v>
      </c>
      <c r="B723" s="34">
        <v>40576</v>
      </c>
      <c r="C723" s="35">
        <v>1</v>
      </c>
      <c r="D723" s="35">
        <v>0</v>
      </c>
      <c r="E723" s="35">
        <v>2</v>
      </c>
      <c r="F723" s="35">
        <v>10</v>
      </c>
      <c r="G723" s="35" t="str" cm="1">
        <f t="array" ref="G723">_xlfn.IFS(F723&lt;4,"Night",F723&lt;=6,"Early Morning",F723&lt;11,"Morning",F723&lt;12,"Afternoon",F723&lt;=16,"Afternoon",F723&lt;=20,"Evening",F723&gt;=21,"Night")</f>
        <v>Morning</v>
      </c>
      <c r="H723" s="35" t="b">
        <v>0</v>
      </c>
      <c r="I723" s="35">
        <v>3</v>
      </c>
      <c r="J723" s="35">
        <v>2</v>
      </c>
      <c r="K723" s="35">
        <v>0.22</v>
      </c>
      <c r="L723" s="31" t="str" cm="1">
        <f t="array" ref="L723">_xlfn.IFS(K723&lt;0.15,"Cold",K723&lt;0.25,"Mild",K723&lt;=0.32,"Warm",K723&gt;=0.33,"Hot")</f>
        <v>Mild</v>
      </c>
      <c r="M723" s="35">
        <v>0.2727</v>
      </c>
      <c r="N723" s="35">
        <v>1</v>
      </c>
      <c r="O723" s="35" t="str" cm="1">
        <f t="array" ref="O723">_xlfn.IFS(N723&gt;0.61, "High Humidity", N723&gt;=0.6, "Humid", N723&gt;0.4, "Less Humidity", TRUE, "Dry")</f>
        <v>High Humidity</v>
      </c>
      <c r="P723" s="35">
        <v>0</v>
      </c>
      <c r="Q723" s="35" t="str" cm="1">
        <f t="array" ref="Q723">_xlfn.IFS(P723&lt;=0.2,"Low Windspeed",P723&lt;0.4,"Medium Windspeed",P723&gt;=0.41,"High Windspeed")</f>
        <v>Low Windspeed</v>
      </c>
      <c r="R723" s="35">
        <v>2</v>
      </c>
      <c r="S723" s="35">
        <v>59</v>
      </c>
      <c r="T723" s="40">
        <v>61</v>
      </c>
      <c r="U723" s="39" t="str" cm="1">
        <f t="array" ref="U723">_xlfn.IFS(T723&lt;=70,"Low",T723&lt;=160,"Medium",T723&gt;=161,"High")</f>
        <v>Low</v>
      </c>
    </row>
    <row r="724" spans="1:21" x14ac:dyDescent="0.25">
      <c r="A724" s="33">
        <v>723</v>
      </c>
      <c r="B724" s="34">
        <v>40576</v>
      </c>
      <c r="C724" s="35">
        <v>1</v>
      </c>
      <c r="D724" s="35">
        <v>0</v>
      </c>
      <c r="E724" s="35">
        <v>2</v>
      </c>
      <c r="F724" s="35">
        <v>11</v>
      </c>
      <c r="G724" s="35" t="str" cm="1">
        <f t="array" ref="G724">_xlfn.IFS(F724&lt;4,"Night",F724&lt;=6,"Early Morning",F724&lt;11,"Morning",F724&lt;12,"Afternoon",F724&lt;=16,"Afternoon",F724&lt;=20,"Evening",F724&gt;=21,"Night")</f>
        <v>Afternoon</v>
      </c>
      <c r="H724" s="35" t="b">
        <v>0</v>
      </c>
      <c r="I724" s="35">
        <v>3</v>
      </c>
      <c r="J724" s="35">
        <v>2</v>
      </c>
      <c r="K724" s="35">
        <v>0.24</v>
      </c>
      <c r="L724" s="31" t="str" cm="1">
        <f t="array" ref="L724">_xlfn.IFS(K724&lt;0.15,"Cold",K724&lt;0.25,"Mild",K724&lt;=0.32,"Warm",K724&gt;=0.33,"Hot")</f>
        <v>Mild</v>
      </c>
      <c r="M724" s="35">
        <v>0.2273</v>
      </c>
      <c r="N724" s="35">
        <v>0.93</v>
      </c>
      <c r="O724" s="35" t="str" cm="1">
        <f t="array" ref="O724">_xlfn.IFS(N724&gt;0.61, "High Humidity", N724&gt;=0.6, "Humid", N724&gt;0.4, "Less Humidity", TRUE, "Dry")</f>
        <v>High Humidity</v>
      </c>
      <c r="P724" s="35">
        <v>0.19400000000000001</v>
      </c>
      <c r="Q724" s="35" t="str" cm="1">
        <f t="array" ref="Q724">_xlfn.IFS(P724&lt;=0.2,"Low Windspeed",P724&lt;0.4,"Medium Windspeed",P724&gt;=0.41,"High Windspeed")</f>
        <v>Low Windspeed</v>
      </c>
      <c r="R724" s="35">
        <v>5</v>
      </c>
      <c r="S724" s="35">
        <v>47</v>
      </c>
      <c r="T724" s="40">
        <v>52</v>
      </c>
      <c r="U724" s="39" t="str" cm="1">
        <f t="array" ref="U724">_xlfn.IFS(T724&lt;=70,"Low",T724&lt;=160,"Medium",T724&gt;=161,"High")</f>
        <v>Low</v>
      </c>
    </row>
    <row r="725" spans="1:21" x14ac:dyDescent="0.25">
      <c r="A725" s="33">
        <v>724</v>
      </c>
      <c r="B725" s="34">
        <v>40576</v>
      </c>
      <c r="C725" s="35">
        <v>1</v>
      </c>
      <c r="D725" s="35">
        <v>0</v>
      </c>
      <c r="E725" s="35">
        <v>2</v>
      </c>
      <c r="F725" s="35">
        <v>12</v>
      </c>
      <c r="G725" s="35" t="str" cm="1">
        <f t="array" ref="G725">_xlfn.IFS(F725&lt;4,"Night",F725&lt;=6,"Early Morning",F725&lt;11,"Morning",F725&lt;12,"Afternoon",F725&lt;=16,"Afternoon",F725&lt;=20,"Evening",F725&gt;=21,"Night")</f>
        <v>Afternoon</v>
      </c>
      <c r="H725" s="35" t="b">
        <v>0</v>
      </c>
      <c r="I725" s="35">
        <v>3</v>
      </c>
      <c r="J725" s="35">
        <v>2</v>
      </c>
      <c r="K725" s="35">
        <v>0.24</v>
      </c>
      <c r="L725" s="31" t="str" cm="1">
        <f t="array" ref="L725">_xlfn.IFS(K725&lt;0.15,"Cold",K725&lt;0.25,"Mild",K725&lt;=0.32,"Warm",K725&gt;=0.33,"Hot")</f>
        <v>Mild</v>
      </c>
      <c r="M725" s="35">
        <v>0.2273</v>
      </c>
      <c r="N725" s="35">
        <v>0.93</v>
      </c>
      <c r="O725" s="35" t="str" cm="1">
        <f t="array" ref="O725">_xlfn.IFS(N725&gt;0.61, "High Humidity", N725&gt;=0.6, "Humid", N725&gt;0.4, "Less Humidity", TRUE, "Dry")</f>
        <v>High Humidity</v>
      </c>
      <c r="P725" s="35">
        <v>0.22389999999999999</v>
      </c>
      <c r="Q725" s="35" t="str" cm="1">
        <f t="array" ref="Q725">_xlfn.IFS(P725&lt;=0.2,"Low Windspeed",P725&lt;0.4,"Medium Windspeed",P725&gt;=0.41,"High Windspeed")</f>
        <v>Medium Windspeed</v>
      </c>
      <c r="R725" s="35">
        <v>3</v>
      </c>
      <c r="S725" s="35">
        <v>61</v>
      </c>
      <c r="T725" s="40">
        <v>64</v>
      </c>
      <c r="U725" s="39" t="str" cm="1">
        <f t="array" ref="U725">_xlfn.IFS(T725&lt;=70,"Low",T725&lt;=160,"Medium",T725&gt;=161,"High")</f>
        <v>Low</v>
      </c>
    </row>
    <row r="726" spans="1:21" x14ac:dyDescent="0.25">
      <c r="A726" s="33">
        <v>725</v>
      </c>
      <c r="B726" s="34">
        <v>40576</v>
      </c>
      <c r="C726" s="35">
        <v>1</v>
      </c>
      <c r="D726" s="35">
        <v>0</v>
      </c>
      <c r="E726" s="35">
        <v>2</v>
      </c>
      <c r="F726" s="35">
        <v>13</v>
      </c>
      <c r="G726" s="35" t="str" cm="1">
        <f t="array" ref="G726">_xlfn.IFS(F726&lt;4,"Night",F726&lt;=6,"Early Morning",F726&lt;11,"Morning",F726&lt;12,"Afternoon",F726&lt;=16,"Afternoon",F726&lt;=20,"Evening",F726&gt;=21,"Night")</f>
        <v>Afternoon</v>
      </c>
      <c r="H726" s="35" t="b">
        <v>0</v>
      </c>
      <c r="I726" s="35">
        <v>3</v>
      </c>
      <c r="J726" s="35">
        <v>1</v>
      </c>
      <c r="K726" s="35">
        <v>0.34</v>
      </c>
      <c r="L726" s="31" t="str" cm="1">
        <f t="array" ref="L726">_xlfn.IFS(K726&lt;0.15,"Cold",K726&lt;0.25,"Mild",K726&lt;=0.32,"Warm",K726&gt;=0.33,"Hot")</f>
        <v>Hot</v>
      </c>
      <c r="M726" s="35">
        <v>0.33329999999999999</v>
      </c>
      <c r="N726" s="35">
        <v>0.93</v>
      </c>
      <c r="O726" s="35" t="str" cm="1">
        <f t="array" ref="O726">_xlfn.IFS(N726&gt;0.61, "High Humidity", N726&gt;=0.6, "Humid", N726&gt;0.4, "Less Humidity", TRUE, "Dry")</f>
        <v>High Humidity</v>
      </c>
      <c r="P726" s="35">
        <v>0.16420000000000001</v>
      </c>
      <c r="Q726" s="35" t="str" cm="1">
        <f t="array" ref="Q726">_xlfn.IFS(P726&lt;=0.2,"Low Windspeed",P726&lt;0.4,"Medium Windspeed",P726&gt;=0.41,"High Windspeed")</f>
        <v>Low Windspeed</v>
      </c>
      <c r="R726" s="35">
        <v>1</v>
      </c>
      <c r="S726" s="35">
        <v>74</v>
      </c>
      <c r="T726" s="40">
        <v>75</v>
      </c>
      <c r="U726" s="39" t="str" cm="1">
        <f t="array" ref="U726">_xlfn.IFS(T726&lt;=70,"Low",T726&lt;=160,"Medium",T726&gt;=161,"High")</f>
        <v>Medium</v>
      </c>
    </row>
    <row r="727" spans="1:21" x14ac:dyDescent="0.25">
      <c r="A727" s="33">
        <v>726</v>
      </c>
      <c r="B727" s="34">
        <v>40576</v>
      </c>
      <c r="C727" s="35">
        <v>1</v>
      </c>
      <c r="D727" s="35">
        <v>0</v>
      </c>
      <c r="E727" s="35">
        <v>2</v>
      </c>
      <c r="F727" s="35">
        <v>14</v>
      </c>
      <c r="G727" s="35" t="str" cm="1">
        <f t="array" ref="G727">_xlfn.IFS(F727&lt;4,"Night",F727&lt;=6,"Early Morning",F727&lt;11,"Morning",F727&lt;12,"Afternoon",F727&lt;=16,"Afternoon",F727&lt;=20,"Evening",F727&gt;=21,"Night")</f>
        <v>Afternoon</v>
      </c>
      <c r="H727" s="35" t="b">
        <v>0</v>
      </c>
      <c r="I727" s="35">
        <v>3</v>
      </c>
      <c r="J727" s="35">
        <v>1</v>
      </c>
      <c r="K727" s="35">
        <v>0.38</v>
      </c>
      <c r="L727" s="31" t="str" cm="1">
        <f t="array" ref="L727">_xlfn.IFS(K727&lt;0.15,"Cold",K727&lt;0.25,"Mild",K727&lt;=0.32,"Warm",K727&gt;=0.33,"Hot")</f>
        <v>Hot</v>
      </c>
      <c r="M727" s="35">
        <v>0.39389999999999997</v>
      </c>
      <c r="N727" s="35">
        <v>0.82</v>
      </c>
      <c r="O727" s="35" t="str" cm="1">
        <f t="array" ref="O727">_xlfn.IFS(N727&gt;0.61, "High Humidity", N727&gt;=0.6, "Humid", N727&gt;0.4, "Less Humidity", TRUE, "Dry")</f>
        <v>High Humidity</v>
      </c>
      <c r="P727" s="35">
        <v>0.3881</v>
      </c>
      <c r="Q727" s="35" t="str" cm="1">
        <f t="array" ref="Q727">_xlfn.IFS(P727&lt;=0.2,"Low Windspeed",P727&lt;0.4,"Medium Windspeed",P727&gt;=0.41,"High Windspeed")</f>
        <v>Medium Windspeed</v>
      </c>
      <c r="R727" s="35">
        <v>2</v>
      </c>
      <c r="S727" s="35">
        <v>61</v>
      </c>
      <c r="T727" s="40">
        <v>63</v>
      </c>
      <c r="U727" s="39" t="str" cm="1">
        <f t="array" ref="U727">_xlfn.IFS(T727&lt;=70,"Low",T727&lt;=160,"Medium",T727&gt;=161,"High")</f>
        <v>Low</v>
      </c>
    </row>
    <row r="728" spans="1:21" x14ac:dyDescent="0.25">
      <c r="A728" s="33">
        <v>727</v>
      </c>
      <c r="B728" s="34">
        <v>40576</v>
      </c>
      <c r="C728" s="35">
        <v>1</v>
      </c>
      <c r="D728" s="35">
        <v>0</v>
      </c>
      <c r="E728" s="35">
        <v>2</v>
      </c>
      <c r="F728" s="35">
        <v>15</v>
      </c>
      <c r="G728" s="35" t="str" cm="1">
        <f t="array" ref="G728">_xlfn.IFS(F728&lt;4,"Night",F728&lt;=6,"Early Morning",F728&lt;11,"Morning",F728&lt;12,"Afternoon",F728&lt;=16,"Afternoon",F728&lt;=20,"Evening",F728&gt;=21,"Night")</f>
        <v>Afternoon</v>
      </c>
      <c r="H728" s="35" t="b">
        <v>0</v>
      </c>
      <c r="I728" s="35">
        <v>3</v>
      </c>
      <c r="J728" s="35">
        <v>1</v>
      </c>
      <c r="K728" s="35">
        <v>0.38</v>
      </c>
      <c r="L728" s="31" t="str" cm="1">
        <f t="array" ref="L728">_xlfn.IFS(K728&lt;0.15,"Cold",K728&lt;0.25,"Mild",K728&lt;=0.32,"Warm",K728&gt;=0.33,"Hot")</f>
        <v>Hot</v>
      </c>
      <c r="M728" s="35">
        <v>0.39389999999999997</v>
      </c>
      <c r="N728" s="35">
        <v>0.76</v>
      </c>
      <c r="O728" s="35" t="str" cm="1">
        <f t="array" ref="O728">_xlfn.IFS(N728&gt;0.61, "High Humidity", N728&gt;=0.6, "Humid", N728&gt;0.4, "Less Humidity", TRUE, "Dry")</f>
        <v>High Humidity</v>
      </c>
      <c r="P728" s="35">
        <v>0.32840000000000003</v>
      </c>
      <c r="Q728" s="35" t="str" cm="1">
        <f t="array" ref="Q728">_xlfn.IFS(P728&lt;=0.2,"Low Windspeed",P728&lt;0.4,"Medium Windspeed",P728&gt;=0.41,"High Windspeed")</f>
        <v>Medium Windspeed</v>
      </c>
      <c r="R728" s="35">
        <v>10</v>
      </c>
      <c r="S728" s="35">
        <v>66</v>
      </c>
      <c r="T728" s="40">
        <v>76</v>
      </c>
      <c r="U728" s="39" t="str" cm="1">
        <f t="array" ref="U728">_xlfn.IFS(T728&lt;=70,"Low",T728&lt;=160,"Medium",T728&gt;=161,"High")</f>
        <v>Medium</v>
      </c>
    </row>
    <row r="729" spans="1:21" x14ac:dyDescent="0.25">
      <c r="A729" s="33">
        <v>728</v>
      </c>
      <c r="B729" s="34">
        <v>40576</v>
      </c>
      <c r="C729" s="35">
        <v>1</v>
      </c>
      <c r="D729" s="35">
        <v>0</v>
      </c>
      <c r="E729" s="35">
        <v>2</v>
      </c>
      <c r="F729" s="35">
        <v>16</v>
      </c>
      <c r="G729" s="35" t="str" cm="1">
        <f t="array" ref="G729">_xlfn.IFS(F729&lt;4,"Night",F729&lt;=6,"Early Morning",F729&lt;11,"Morning",F729&lt;12,"Afternoon",F729&lt;=16,"Afternoon",F729&lt;=20,"Evening",F729&gt;=21,"Night")</f>
        <v>Afternoon</v>
      </c>
      <c r="H729" s="35" t="b">
        <v>0</v>
      </c>
      <c r="I729" s="35">
        <v>3</v>
      </c>
      <c r="J729" s="35">
        <v>1</v>
      </c>
      <c r="K729" s="35">
        <v>0.36</v>
      </c>
      <c r="L729" s="31" t="str" cm="1">
        <f t="array" ref="L729">_xlfn.IFS(K729&lt;0.15,"Cold",K729&lt;0.25,"Mild",K729&lt;=0.32,"Warm",K729&gt;=0.33,"Hot")</f>
        <v>Hot</v>
      </c>
      <c r="M729" s="35">
        <v>0.33329999999999999</v>
      </c>
      <c r="N729" s="35">
        <v>0.71</v>
      </c>
      <c r="O729" s="35" t="str" cm="1">
        <f t="array" ref="O729">_xlfn.IFS(N729&gt;0.61, "High Humidity", N729&gt;=0.6, "Humid", N729&gt;0.4, "Less Humidity", TRUE, "Dry")</f>
        <v>High Humidity</v>
      </c>
      <c r="P729" s="35">
        <v>0.29849999999999999</v>
      </c>
      <c r="Q729" s="35" t="str" cm="1">
        <f t="array" ref="Q729">_xlfn.IFS(P729&lt;=0.2,"Low Windspeed",P729&lt;0.4,"Medium Windspeed",P729&gt;=0.41,"High Windspeed")</f>
        <v>Medium Windspeed</v>
      </c>
      <c r="R729" s="35">
        <v>8</v>
      </c>
      <c r="S729" s="35">
        <v>95</v>
      </c>
      <c r="T729" s="40">
        <v>103</v>
      </c>
      <c r="U729" s="39" t="str" cm="1">
        <f t="array" ref="U729">_xlfn.IFS(T729&lt;=70,"Low",T729&lt;=160,"Medium",T729&gt;=161,"High")</f>
        <v>Medium</v>
      </c>
    </row>
    <row r="730" spans="1:21" x14ac:dyDescent="0.25">
      <c r="A730" s="33">
        <v>729</v>
      </c>
      <c r="B730" s="34">
        <v>40576</v>
      </c>
      <c r="C730" s="35">
        <v>1</v>
      </c>
      <c r="D730" s="35">
        <v>0</v>
      </c>
      <c r="E730" s="35">
        <v>2</v>
      </c>
      <c r="F730" s="35">
        <v>17</v>
      </c>
      <c r="G730" s="35" t="str" cm="1">
        <f t="array" ref="G730">_xlfn.IFS(F730&lt;4,"Night",F730&lt;=6,"Early Morning",F730&lt;11,"Morning",F730&lt;12,"Afternoon",F730&lt;=16,"Afternoon",F730&lt;=20,"Evening",F730&gt;=21,"Night")</f>
        <v>Evening</v>
      </c>
      <c r="H730" s="35" t="b">
        <v>0</v>
      </c>
      <c r="I730" s="35">
        <v>3</v>
      </c>
      <c r="J730" s="35">
        <v>1</v>
      </c>
      <c r="K730" s="35">
        <v>0.36</v>
      </c>
      <c r="L730" s="31" t="str" cm="1">
        <f t="array" ref="L730">_xlfn.IFS(K730&lt;0.15,"Cold",K730&lt;0.25,"Mild",K730&lt;=0.32,"Warm",K730&gt;=0.33,"Hot")</f>
        <v>Hot</v>
      </c>
      <c r="M730" s="35">
        <v>0.31819999999999998</v>
      </c>
      <c r="N730" s="35">
        <v>0.53</v>
      </c>
      <c r="O730" s="35" t="str" cm="1">
        <f t="array" ref="O730">_xlfn.IFS(N730&gt;0.61, "High Humidity", N730&gt;=0.6, "Humid", N730&gt;0.4, "Less Humidity", TRUE, "Dry")</f>
        <v>Less Humidity</v>
      </c>
      <c r="P730" s="35">
        <v>0.52239999999999998</v>
      </c>
      <c r="Q730" s="35" t="str" cm="1">
        <f t="array" ref="Q730">_xlfn.IFS(P730&lt;=0.2,"Low Windspeed",P730&lt;0.4,"Medium Windspeed",P730&gt;=0.41,"High Windspeed")</f>
        <v>High Windspeed</v>
      </c>
      <c r="R730" s="35">
        <v>7</v>
      </c>
      <c r="S730" s="35">
        <v>183</v>
      </c>
      <c r="T730" s="40">
        <v>190</v>
      </c>
      <c r="U730" s="39" t="str" cm="1">
        <f t="array" ref="U730">_xlfn.IFS(T730&lt;=70,"Low",T730&lt;=160,"Medium",T730&gt;=161,"High")</f>
        <v>High</v>
      </c>
    </row>
    <row r="731" spans="1:21" x14ac:dyDescent="0.25">
      <c r="A731" s="33">
        <v>730</v>
      </c>
      <c r="B731" s="34">
        <v>40576</v>
      </c>
      <c r="C731" s="35">
        <v>1</v>
      </c>
      <c r="D731" s="35">
        <v>0</v>
      </c>
      <c r="E731" s="35">
        <v>2</v>
      </c>
      <c r="F731" s="35">
        <v>18</v>
      </c>
      <c r="G731" s="35" t="str" cm="1">
        <f t="array" ref="G731">_xlfn.IFS(F731&lt;4,"Night",F731&lt;=6,"Early Morning",F731&lt;11,"Morning",F731&lt;12,"Afternoon",F731&lt;=16,"Afternoon",F731&lt;=20,"Evening",F731&gt;=21,"Night")</f>
        <v>Evening</v>
      </c>
      <c r="H731" s="35" t="b">
        <v>0</v>
      </c>
      <c r="I731" s="35">
        <v>3</v>
      </c>
      <c r="J731" s="35">
        <v>1</v>
      </c>
      <c r="K731" s="35">
        <v>0.34</v>
      </c>
      <c r="L731" s="31" t="str" cm="1">
        <f t="array" ref="L731">_xlfn.IFS(K731&lt;0.15,"Cold",K731&lt;0.25,"Mild",K731&lt;=0.32,"Warm",K731&gt;=0.33,"Hot")</f>
        <v>Hot</v>
      </c>
      <c r="M731" s="35">
        <v>0.28789999999999999</v>
      </c>
      <c r="N731" s="35">
        <v>0.42</v>
      </c>
      <c r="O731" s="35" t="str" cm="1">
        <f t="array" ref="O731">_xlfn.IFS(N731&gt;0.61, "High Humidity", N731&gt;=0.6, "Humid", N731&gt;0.4, "Less Humidity", TRUE, "Dry")</f>
        <v>Less Humidity</v>
      </c>
      <c r="P731" s="35">
        <v>0.55220000000000002</v>
      </c>
      <c r="Q731" s="35" t="str" cm="1">
        <f t="array" ref="Q731">_xlfn.IFS(P731&lt;=0.2,"Low Windspeed",P731&lt;0.4,"Medium Windspeed",P731&gt;=0.41,"High Windspeed")</f>
        <v>High Windspeed</v>
      </c>
      <c r="R731" s="35">
        <v>7</v>
      </c>
      <c r="S731" s="35">
        <v>175</v>
      </c>
      <c r="T731" s="40">
        <v>182</v>
      </c>
      <c r="U731" s="39" t="str" cm="1">
        <f t="array" ref="U731">_xlfn.IFS(T731&lt;=70,"Low",T731&lt;=160,"Medium",T731&gt;=161,"High")</f>
        <v>High</v>
      </c>
    </row>
    <row r="732" spans="1:21" x14ac:dyDescent="0.25">
      <c r="A732" s="33">
        <v>731</v>
      </c>
      <c r="B732" s="34">
        <v>40576</v>
      </c>
      <c r="C732" s="35">
        <v>1</v>
      </c>
      <c r="D732" s="35">
        <v>0</v>
      </c>
      <c r="E732" s="35">
        <v>2</v>
      </c>
      <c r="F732" s="35">
        <v>19</v>
      </c>
      <c r="G732" s="35" t="str" cm="1">
        <f t="array" ref="G732">_xlfn.IFS(F732&lt;4,"Night",F732&lt;=6,"Early Morning",F732&lt;11,"Morning",F732&lt;12,"Afternoon",F732&lt;=16,"Afternoon",F732&lt;=20,"Evening",F732&gt;=21,"Night")</f>
        <v>Evening</v>
      </c>
      <c r="H732" s="35" t="b">
        <v>0</v>
      </c>
      <c r="I732" s="35">
        <v>3</v>
      </c>
      <c r="J732" s="35">
        <v>1</v>
      </c>
      <c r="K732" s="35">
        <v>0.28000000000000003</v>
      </c>
      <c r="L732" s="31" t="str" cm="1">
        <f t="array" ref="L732">_xlfn.IFS(K732&lt;0.15,"Cold",K732&lt;0.25,"Mild",K732&lt;=0.32,"Warm",K732&gt;=0.33,"Hot")</f>
        <v>Warm</v>
      </c>
      <c r="M732" s="35">
        <v>0.2424</v>
      </c>
      <c r="N732" s="35">
        <v>0.45</v>
      </c>
      <c r="O732" s="35" t="str" cm="1">
        <f t="array" ref="O732">_xlfn.IFS(N732&gt;0.61, "High Humidity", N732&gt;=0.6, "Humid", N732&gt;0.4, "Less Humidity", TRUE, "Dry")</f>
        <v>Less Humidity</v>
      </c>
      <c r="P732" s="35">
        <v>0.49249999999999999</v>
      </c>
      <c r="Q732" s="35" t="str" cm="1">
        <f t="array" ref="Q732">_xlfn.IFS(P732&lt;=0.2,"Low Windspeed",P732&lt;0.4,"Medium Windspeed",P732&gt;=0.41,"High Windspeed")</f>
        <v>High Windspeed</v>
      </c>
      <c r="R732" s="35">
        <v>3</v>
      </c>
      <c r="S732" s="35">
        <v>88</v>
      </c>
      <c r="T732" s="40">
        <v>91</v>
      </c>
      <c r="U732" s="39" t="str" cm="1">
        <f t="array" ref="U732">_xlfn.IFS(T732&lt;=70,"Low",T732&lt;=160,"Medium",T732&gt;=161,"High")</f>
        <v>Medium</v>
      </c>
    </row>
    <row r="733" spans="1:21" x14ac:dyDescent="0.25">
      <c r="A733" s="33">
        <v>732</v>
      </c>
      <c r="B733" s="34">
        <v>40576</v>
      </c>
      <c r="C733" s="35">
        <v>1</v>
      </c>
      <c r="D733" s="35">
        <v>0</v>
      </c>
      <c r="E733" s="35">
        <v>2</v>
      </c>
      <c r="F733" s="35">
        <v>20</v>
      </c>
      <c r="G733" s="35" t="str" cm="1">
        <f t="array" ref="G733">_xlfn.IFS(F733&lt;4,"Night",F733&lt;=6,"Early Morning",F733&lt;11,"Morning",F733&lt;12,"Afternoon",F733&lt;=16,"Afternoon",F733&lt;=20,"Evening",F733&gt;=21,"Night")</f>
        <v>Evening</v>
      </c>
      <c r="H733" s="35" t="b">
        <v>0</v>
      </c>
      <c r="I733" s="35">
        <v>3</v>
      </c>
      <c r="J733" s="35">
        <v>1</v>
      </c>
      <c r="K733" s="35">
        <v>0.24</v>
      </c>
      <c r="L733" s="31" t="str" cm="1">
        <f t="array" ref="L733">_xlfn.IFS(K733&lt;0.15,"Cold",K733&lt;0.25,"Mild",K733&lt;=0.32,"Warm",K733&gt;=0.33,"Hot")</f>
        <v>Mild</v>
      </c>
      <c r="M733" s="35">
        <v>0.19700000000000001</v>
      </c>
      <c r="N733" s="35">
        <v>0.48</v>
      </c>
      <c r="O733" s="35" t="str" cm="1">
        <f t="array" ref="O733">_xlfn.IFS(N733&gt;0.61, "High Humidity", N733&gt;=0.6, "Humid", N733&gt;0.4, "Less Humidity", TRUE, "Dry")</f>
        <v>Less Humidity</v>
      </c>
      <c r="P733" s="35">
        <v>0.55220000000000002</v>
      </c>
      <c r="Q733" s="35" t="str" cm="1">
        <f t="array" ref="Q733">_xlfn.IFS(P733&lt;=0.2,"Low Windspeed",P733&lt;0.4,"Medium Windspeed",P733&gt;=0.41,"High Windspeed")</f>
        <v>High Windspeed</v>
      </c>
      <c r="R733" s="35">
        <v>4</v>
      </c>
      <c r="S733" s="35">
        <v>71</v>
      </c>
      <c r="T733" s="40">
        <v>75</v>
      </c>
      <c r="U733" s="39" t="str" cm="1">
        <f t="array" ref="U733">_xlfn.IFS(T733&lt;=70,"Low",T733&lt;=160,"Medium",T733&gt;=161,"High")</f>
        <v>Medium</v>
      </c>
    </row>
    <row r="734" spans="1:21" x14ac:dyDescent="0.25">
      <c r="A734" s="33">
        <v>733</v>
      </c>
      <c r="B734" s="34">
        <v>40576</v>
      </c>
      <c r="C734" s="35">
        <v>1</v>
      </c>
      <c r="D734" s="35">
        <v>0</v>
      </c>
      <c r="E734" s="35">
        <v>2</v>
      </c>
      <c r="F734" s="35">
        <v>21</v>
      </c>
      <c r="G734" s="35" t="str" cm="1">
        <f t="array" ref="G734">_xlfn.IFS(F734&lt;4,"Night",F734&lt;=6,"Early Morning",F734&lt;11,"Morning",F734&lt;12,"Afternoon",F734&lt;=16,"Afternoon",F734&lt;=20,"Evening",F734&gt;=21,"Night")</f>
        <v>Night</v>
      </c>
      <c r="H734" s="35" t="b">
        <v>0</v>
      </c>
      <c r="I734" s="35">
        <v>3</v>
      </c>
      <c r="J734" s="35">
        <v>1</v>
      </c>
      <c r="K734" s="35">
        <v>0.22</v>
      </c>
      <c r="L734" s="31" t="str" cm="1">
        <f t="array" ref="L734">_xlfn.IFS(K734&lt;0.15,"Cold",K734&lt;0.25,"Mild",K734&lt;=0.32,"Warm",K734&gt;=0.33,"Hot")</f>
        <v>Mild</v>
      </c>
      <c r="M734" s="35">
        <v>0.19700000000000001</v>
      </c>
      <c r="N734" s="35">
        <v>0.47</v>
      </c>
      <c r="O734" s="35" t="str" cm="1">
        <f t="array" ref="O734">_xlfn.IFS(N734&gt;0.61, "High Humidity", N734&gt;=0.6, "Humid", N734&gt;0.4, "Less Humidity", TRUE, "Dry")</f>
        <v>Less Humidity</v>
      </c>
      <c r="P734" s="35">
        <v>0.32840000000000003</v>
      </c>
      <c r="Q734" s="35" t="str" cm="1">
        <f t="array" ref="Q734">_xlfn.IFS(P734&lt;=0.2,"Low Windspeed",P734&lt;0.4,"Medium Windspeed",P734&gt;=0.41,"High Windspeed")</f>
        <v>Medium Windspeed</v>
      </c>
      <c r="R734" s="35">
        <v>1</v>
      </c>
      <c r="S734" s="35">
        <v>62</v>
      </c>
      <c r="T734" s="40">
        <v>63</v>
      </c>
      <c r="U734" s="39" t="str" cm="1">
        <f t="array" ref="U734">_xlfn.IFS(T734&lt;=70,"Low",T734&lt;=160,"Medium",T734&gt;=161,"High")</f>
        <v>Low</v>
      </c>
    </row>
    <row r="735" spans="1:21" x14ac:dyDescent="0.25">
      <c r="A735" s="33">
        <v>734</v>
      </c>
      <c r="B735" s="34">
        <v>40576</v>
      </c>
      <c r="C735" s="35">
        <v>1</v>
      </c>
      <c r="D735" s="35">
        <v>0</v>
      </c>
      <c r="E735" s="35">
        <v>2</v>
      </c>
      <c r="F735" s="35">
        <v>22</v>
      </c>
      <c r="G735" s="35" t="str" cm="1">
        <f t="array" ref="G735">_xlfn.IFS(F735&lt;4,"Night",F735&lt;=6,"Early Morning",F735&lt;11,"Morning",F735&lt;12,"Afternoon",F735&lt;=16,"Afternoon",F735&lt;=20,"Evening",F735&gt;=21,"Night")</f>
        <v>Night</v>
      </c>
      <c r="H735" s="35" t="b">
        <v>0</v>
      </c>
      <c r="I735" s="35">
        <v>3</v>
      </c>
      <c r="J735" s="35">
        <v>1</v>
      </c>
      <c r="K735" s="35">
        <v>0.22</v>
      </c>
      <c r="L735" s="31" t="str" cm="1">
        <f t="array" ref="L735">_xlfn.IFS(K735&lt;0.15,"Cold",K735&lt;0.25,"Mild",K735&lt;=0.32,"Warm",K735&gt;=0.33,"Hot")</f>
        <v>Mild</v>
      </c>
      <c r="M735" s="35">
        <v>0.21210000000000001</v>
      </c>
      <c r="N735" s="35">
        <v>0.44</v>
      </c>
      <c r="O735" s="35" t="str" cm="1">
        <f t="array" ref="O735">_xlfn.IFS(N735&gt;0.61, "High Humidity", N735&gt;=0.6, "Humid", N735&gt;0.4, "Less Humidity", TRUE, "Dry")</f>
        <v>Less Humidity</v>
      </c>
      <c r="P735" s="35">
        <v>0.25369999999999998</v>
      </c>
      <c r="Q735" s="35" t="str" cm="1">
        <f t="array" ref="Q735">_xlfn.IFS(P735&lt;=0.2,"Low Windspeed",P735&lt;0.4,"Medium Windspeed",P735&gt;=0.41,"High Windspeed")</f>
        <v>Medium Windspeed</v>
      </c>
      <c r="R735" s="35">
        <v>5</v>
      </c>
      <c r="S735" s="35">
        <v>35</v>
      </c>
      <c r="T735" s="40">
        <v>40</v>
      </c>
      <c r="U735" s="39" t="str" cm="1">
        <f t="array" ref="U735">_xlfn.IFS(T735&lt;=70,"Low",T735&lt;=160,"Medium",T735&gt;=161,"High")</f>
        <v>Low</v>
      </c>
    </row>
    <row r="736" spans="1:21" x14ac:dyDescent="0.25">
      <c r="A736" s="33">
        <v>735</v>
      </c>
      <c r="B736" s="34">
        <v>40576</v>
      </c>
      <c r="C736" s="35">
        <v>1</v>
      </c>
      <c r="D736" s="35">
        <v>0</v>
      </c>
      <c r="E736" s="35">
        <v>2</v>
      </c>
      <c r="F736" s="35">
        <v>23</v>
      </c>
      <c r="G736" s="35" t="str" cm="1">
        <f t="array" ref="G736">_xlfn.IFS(F736&lt;4,"Night",F736&lt;=6,"Early Morning",F736&lt;11,"Morning",F736&lt;12,"Afternoon",F736&lt;=16,"Afternoon",F736&lt;=20,"Evening",F736&gt;=21,"Night")</f>
        <v>Night</v>
      </c>
      <c r="H736" s="35" t="b">
        <v>0</v>
      </c>
      <c r="I736" s="35">
        <v>3</v>
      </c>
      <c r="J736" s="35">
        <v>1</v>
      </c>
      <c r="K736" s="35">
        <v>0.2</v>
      </c>
      <c r="L736" s="31" t="str" cm="1">
        <f t="array" ref="L736">_xlfn.IFS(K736&lt;0.15,"Cold",K736&lt;0.25,"Mild",K736&lt;=0.32,"Warm",K736&gt;=0.33,"Hot")</f>
        <v>Mild</v>
      </c>
      <c r="M736" s="35">
        <v>0.16669999999999999</v>
      </c>
      <c r="N736" s="35">
        <v>0.44</v>
      </c>
      <c r="O736" s="35" t="str" cm="1">
        <f t="array" ref="O736">_xlfn.IFS(N736&gt;0.61, "High Humidity", N736&gt;=0.6, "Humid", N736&gt;0.4, "Less Humidity", TRUE, "Dry")</f>
        <v>Less Humidity</v>
      </c>
      <c r="P736" s="35">
        <v>0.44779999999999998</v>
      </c>
      <c r="Q736" s="35" t="str" cm="1">
        <f t="array" ref="Q736">_xlfn.IFS(P736&lt;=0.2,"Low Windspeed",P736&lt;0.4,"Medium Windspeed",P736&gt;=0.41,"High Windspeed")</f>
        <v>High Windspeed</v>
      </c>
      <c r="R736" s="35">
        <v>3</v>
      </c>
      <c r="S736" s="35">
        <v>29</v>
      </c>
      <c r="T736" s="40">
        <v>32</v>
      </c>
      <c r="U736" s="39" t="str" cm="1">
        <f t="array" ref="U736">_xlfn.IFS(T736&lt;=70,"Low",T736&lt;=160,"Medium",T736&gt;=161,"High")</f>
        <v>Low</v>
      </c>
    </row>
    <row r="737" spans="1:21" x14ac:dyDescent="0.25">
      <c r="A737" s="33">
        <v>736</v>
      </c>
      <c r="B737" s="34">
        <v>40577</v>
      </c>
      <c r="C737" s="35">
        <v>1</v>
      </c>
      <c r="D737" s="35">
        <v>0</v>
      </c>
      <c r="E737" s="35">
        <v>2</v>
      </c>
      <c r="F737" s="35">
        <v>0</v>
      </c>
      <c r="G737" s="35" t="str" cm="1">
        <f t="array" ref="G737">_xlfn.IFS(F737&lt;4,"Night",F737&lt;=6,"Early Morning",F737&lt;11,"Morning",F737&lt;12,"Afternoon",F737&lt;=16,"Afternoon",F737&lt;=20,"Evening",F737&gt;=21,"Night")</f>
        <v>Night</v>
      </c>
      <c r="H737" s="35" t="b">
        <v>0</v>
      </c>
      <c r="I737" s="35">
        <v>4</v>
      </c>
      <c r="J737" s="35">
        <v>1</v>
      </c>
      <c r="K737" s="35">
        <v>0.2</v>
      </c>
      <c r="L737" s="31" t="str" cm="1">
        <f t="array" ref="L737">_xlfn.IFS(K737&lt;0.15,"Cold",K737&lt;0.25,"Mild",K737&lt;=0.32,"Warm",K737&gt;=0.33,"Hot")</f>
        <v>Mild</v>
      </c>
      <c r="M737" s="35">
        <v>0.16669999999999999</v>
      </c>
      <c r="N737" s="35">
        <v>0.4</v>
      </c>
      <c r="O737" s="35" t="str" cm="1">
        <f t="array" ref="O737">_xlfn.IFS(N737&gt;0.61, "High Humidity", N737&gt;=0.6, "Humid", N737&gt;0.4, "Less Humidity", TRUE, "Dry")</f>
        <v>Dry</v>
      </c>
      <c r="P737" s="35">
        <v>0.44779999999999998</v>
      </c>
      <c r="Q737" s="35" t="str" cm="1">
        <f t="array" ref="Q737">_xlfn.IFS(P737&lt;=0.2,"Low Windspeed",P737&lt;0.4,"Medium Windspeed",P737&gt;=0.41,"High Windspeed")</f>
        <v>High Windspeed</v>
      </c>
      <c r="R737" s="35">
        <v>1</v>
      </c>
      <c r="S737" s="35">
        <v>11</v>
      </c>
      <c r="T737" s="40">
        <v>12</v>
      </c>
      <c r="U737" s="39" t="str" cm="1">
        <f t="array" ref="U737">_xlfn.IFS(T737&lt;=70,"Low",T737&lt;=160,"Medium",T737&gt;=161,"High")</f>
        <v>Low</v>
      </c>
    </row>
    <row r="738" spans="1:21" x14ac:dyDescent="0.25">
      <c r="A738" s="33">
        <v>737</v>
      </c>
      <c r="B738" s="34">
        <v>40577</v>
      </c>
      <c r="C738" s="35">
        <v>1</v>
      </c>
      <c r="D738" s="35">
        <v>0</v>
      </c>
      <c r="E738" s="35">
        <v>2</v>
      </c>
      <c r="F738" s="35">
        <v>1</v>
      </c>
      <c r="G738" s="35" t="str" cm="1">
        <f t="array" ref="G738">_xlfn.IFS(F738&lt;4,"Night",F738&lt;=6,"Early Morning",F738&lt;11,"Morning",F738&lt;12,"Afternoon",F738&lt;=16,"Afternoon",F738&lt;=20,"Evening",F738&gt;=21,"Night")</f>
        <v>Night</v>
      </c>
      <c r="H738" s="35" t="b">
        <v>0</v>
      </c>
      <c r="I738" s="35">
        <v>4</v>
      </c>
      <c r="J738" s="35">
        <v>1</v>
      </c>
      <c r="K738" s="35">
        <v>0.2</v>
      </c>
      <c r="L738" s="31" t="str" cm="1">
        <f t="array" ref="L738">_xlfn.IFS(K738&lt;0.15,"Cold",K738&lt;0.25,"Mild",K738&lt;=0.32,"Warm",K738&gt;=0.33,"Hot")</f>
        <v>Mild</v>
      </c>
      <c r="M738" s="35">
        <v>0.1515</v>
      </c>
      <c r="N738" s="35">
        <v>0.44</v>
      </c>
      <c r="O738" s="35" t="str" cm="1">
        <f t="array" ref="O738">_xlfn.IFS(N738&gt;0.61, "High Humidity", N738&gt;=0.6, "Humid", N738&gt;0.4, "Less Humidity", TRUE, "Dry")</f>
        <v>Less Humidity</v>
      </c>
      <c r="P738" s="35">
        <v>0.52239999999999998</v>
      </c>
      <c r="Q738" s="35" t="str" cm="1">
        <f t="array" ref="Q738">_xlfn.IFS(P738&lt;=0.2,"Low Windspeed",P738&lt;0.4,"Medium Windspeed",P738&gt;=0.41,"High Windspeed")</f>
        <v>High Windspeed</v>
      </c>
      <c r="R738" s="35">
        <v>0</v>
      </c>
      <c r="S738" s="35">
        <v>5</v>
      </c>
      <c r="T738" s="40">
        <v>5</v>
      </c>
      <c r="U738" s="39" t="str" cm="1">
        <f t="array" ref="U738">_xlfn.IFS(T738&lt;=70,"Low",T738&lt;=160,"Medium",T738&gt;=161,"High")</f>
        <v>Low</v>
      </c>
    </row>
    <row r="739" spans="1:21" x14ac:dyDescent="0.25">
      <c r="A739" s="33">
        <v>738</v>
      </c>
      <c r="B739" s="34">
        <v>40577</v>
      </c>
      <c r="C739" s="35">
        <v>1</v>
      </c>
      <c r="D739" s="35">
        <v>0</v>
      </c>
      <c r="E739" s="35">
        <v>2</v>
      </c>
      <c r="F739" s="35">
        <v>2</v>
      </c>
      <c r="G739" s="35" t="str" cm="1">
        <f t="array" ref="G739">_xlfn.IFS(F739&lt;4,"Night",F739&lt;=6,"Early Morning",F739&lt;11,"Morning",F739&lt;12,"Afternoon",F739&lt;=16,"Afternoon",F739&lt;=20,"Evening",F739&gt;=21,"Night")</f>
        <v>Night</v>
      </c>
      <c r="H739" s="35" t="b">
        <v>0</v>
      </c>
      <c r="I739" s="35">
        <v>4</v>
      </c>
      <c r="J739" s="35">
        <v>1</v>
      </c>
      <c r="K739" s="35">
        <v>0.18</v>
      </c>
      <c r="L739" s="31" t="str" cm="1">
        <f t="array" ref="L739">_xlfn.IFS(K739&lt;0.15,"Cold",K739&lt;0.25,"Mild",K739&lt;=0.32,"Warm",K739&gt;=0.33,"Hot")</f>
        <v>Mild</v>
      </c>
      <c r="M739" s="35">
        <v>0.16669999999999999</v>
      </c>
      <c r="N739" s="35">
        <v>0.43</v>
      </c>
      <c r="O739" s="35" t="str" cm="1">
        <f t="array" ref="O739">_xlfn.IFS(N739&gt;0.61, "High Humidity", N739&gt;=0.6, "Humid", N739&gt;0.4, "Less Humidity", TRUE, "Dry")</f>
        <v>Less Humidity</v>
      </c>
      <c r="P739" s="35">
        <v>0.25369999999999998</v>
      </c>
      <c r="Q739" s="35" t="str" cm="1">
        <f t="array" ref="Q739">_xlfn.IFS(P739&lt;=0.2,"Low Windspeed",P739&lt;0.4,"Medium Windspeed",P739&gt;=0.41,"High Windspeed")</f>
        <v>Medium Windspeed</v>
      </c>
      <c r="R739" s="35">
        <v>0</v>
      </c>
      <c r="S739" s="35">
        <v>2</v>
      </c>
      <c r="T739" s="40">
        <v>2</v>
      </c>
      <c r="U739" s="39" t="str" cm="1">
        <f t="array" ref="U739">_xlfn.IFS(T739&lt;=70,"Low",T739&lt;=160,"Medium",T739&gt;=161,"High")</f>
        <v>Low</v>
      </c>
    </row>
    <row r="740" spans="1:21" x14ac:dyDescent="0.25">
      <c r="A740" s="33">
        <v>739</v>
      </c>
      <c r="B740" s="34">
        <v>40577</v>
      </c>
      <c r="C740" s="35">
        <v>1</v>
      </c>
      <c r="D740" s="35">
        <v>0</v>
      </c>
      <c r="E740" s="35">
        <v>2</v>
      </c>
      <c r="F740" s="35">
        <v>3</v>
      </c>
      <c r="G740" s="35" t="str" cm="1">
        <f t="array" ref="G740">_xlfn.IFS(F740&lt;4,"Night",F740&lt;=6,"Early Morning",F740&lt;11,"Morning",F740&lt;12,"Afternoon",F740&lt;=16,"Afternoon",F740&lt;=20,"Evening",F740&gt;=21,"Night")</f>
        <v>Night</v>
      </c>
      <c r="H740" s="35" t="b">
        <v>0</v>
      </c>
      <c r="I740" s="35">
        <v>4</v>
      </c>
      <c r="J740" s="35">
        <v>1</v>
      </c>
      <c r="K740" s="35">
        <v>0.18</v>
      </c>
      <c r="L740" s="31" t="str" cm="1">
        <f t="array" ref="L740">_xlfn.IFS(K740&lt;0.15,"Cold",K740&lt;0.25,"Mild",K740&lt;=0.32,"Warm",K740&gt;=0.33,"Hot")</f>
        <v>Mild</v>
      </c>
      <c r="M740" s="35">
        <v>0.16669999999999999</v>
      </c>
      <c r="N740" s="35">
        <v>0.43</v>
      </c>
      <c r="O740" s="35" t="str" cm="1">
        <f t="array" ref="O740">_xlfn.IFS(N740&gt;0.61, "High Humidity", N740&gt;=0.6, "Humid", N740&gt;0.4, "Less Humidity", TRUE, "Dry")</f>
        <v>Less Humidity</v>
      </c>
      <c r="P740" s="35">
        <v>0.25369999999999998</v>
      </c>
      <c r="Q740" s="35" t="str" cm="1">
        <f t="array" ref="Q740">_xlfn.IFS(P740&lt;=0.2,"Low Windspeed",P740&lt;0.4,"Medium Windspeed",P740&gt;=0.41,"High Windspeed")</f>
        <v>Medium Windspeed</v>
      </c>
      <c r="R740" s="35">
        <v>0</v>
      </c>
      <c r="S740" s="35">
        <v>1</v>
      </c>
      <c r="T740" s="40">
        <v>1</v>
      </c>
      <c r="U740" s="39" t="str" cm="1">
        <f t="array" ref="U740">_xlfn.IFS(T740&lt;=70,"Low",T740&lt;=160,"Medium",T740&gt;=161,"High")</f>
        <v>Low</v>
      </c>
    </row>
    <row r="741" spans="1:21" x14ac:dyDescent="0.25">
      <c r="A741" s="33">
        <v>740</v>
      </c>
      <c r="B741" s="34">
        <v>40577</v>
      </c>
      <c r="C741" s="35">
        <v>1</v>
      </c>
      <c r="D741" s="35">
        <v>0</v>
      </c>
      <c r="E741" s="35">
        <v>2</v>
      </c>
      <c r="F741" s="35">
        <v>5</v>
      </c>
      <c r="G741" s="35" t="str" cm="1">
        <f t="array" ref="G741">_xlfn.IFS(F741&lt;4,"Night",F741&lt;=6,"Early Morning",F741&lt;11,"Morning",F741&lt;12,"Afternoon",F741&lt;=16,"Afternoon",F741&lt;=20,"Evening",F741&gt;=21,"Night")</f>
        <v>Early Morning</v>
      </c>
      <c r="H741" s="35" t="b">
        <v>0</v>
      </c>
      <c r="I741" s="35">
        <v>4</v>
      </c>
      <c r="J741" s="35">
        <v>1</v>
      </c>
      <c r="K741" s="35">
        <v>0.16</v>
      </c>
      <c r="L741" s="31" t="str" cm="1">
        <f t="array" ref="L741">_xlfn.IFS(K741&lt;0.15,"Cold",K741&lt;0.25,"Mild",K741&lt;=0.32,"Warm",K741&gt;=0.33,"Hot")</f>
        <v>Mild</v>
      </c>
      <c r="M741" s="35">
        <v>0.13639999999999999</v>
      </c>
      <c r="N741" s="35">
        <v>0.5</v>
      </c>
      <c r="O741" s="35" t="str" cm="1">
        <f t="array" ref="O741">_xlfn.IFS(N741&gt;0.61, "High Humidity", N741&gt;=0.6, "Humid", N741&gt;0.4, "Less Humidity", TRUE, "Dry")</f>
        <v>Less Humidity</v>
      </c>
      <c r="P741" s="35">
        <v>0.29849999999999999</v>
      </c>
      <c r="Q741" s="35" t="str" cm="1">
        <f t="array" ref="Q741">_xlfn.IFS(P741&lt;=0.2,"Low Windspeed",P741&lt;0.4,"Medium Windspeed",P741&gt;=0.41,"High Windspeed")</f>
        <v>Medium Windspeed</v>
      </c>
      <c r="R741" s="35">
        <v>0</v>
      </c>
      <c r="S741" s="35">
        <v>2</v>
      </c>
      <c r="T741" s="40">
        <v>2</v>
      </c>
      <c r="U741" s="39" t="str" cm="1">
        <f t="array" ref="U741">_xlfn.IFS(T741&lt;=70,"Low",T741&lt;=160,"Medium",T741&gt;=161,"High")</f>
        <v>Low</v>
      </c>
    </row>
    <row r="742" spans="1:21" x14ac:dyDescent="0.25">
      <c r="A742" s="33">
        <v>741</v>
      </c>
      <c r="B742" s="34">
        <v>40577</v>
      </c>
      <c r="C742" s="35">
        <v>1</v>
      </c>
      <c r="D742" s="35">
        <v>0</v>
      </c>
      <c r="E742" s="35">
        <v>2</v>
      </c>
      <c r="F742" s="35">
        <v>6</v>
      </c>
      <c r="G742" s="35" t="str" cm="1">
        <f t="array" ref="G742">_xlfn.IFS(F742&lt;4,"Night",F742&lt;=6,"Early Morning",F742&lt;11,"Morning",F742&lt;12,"Afternoon",F742&lt;=16,"Afternoon",F742&lt;=20,"Evening",F742&gt;=21,"Night")</f>
        <v>Early Morning</v>
      </c>
      <c r="H742" s="35" t="b">
        <v>0</v>
      </c>
      <c r="I742" s="35">
        <v>4</v>
      </c>
      <c r="J742" s="35">
        <v>1</v>
      </c>
      <c r="K742" s="35">
        <v>0.16</v>
      </c>
      <c r="L742" s="31" t="str" cm="1">
        <f t="array" ref="L742">_xlfn.IFS(K742&lt;0.15,"Cold",K742&lt;0.25,"Mild",K742&lt;=0.32,"Warm",K742&gt;=0.33,"Hot")</f>
        <v>Mild</v>
      </c>
      <c r="M742" s="35">
        <v>0.13639999999999999</v>
      </c>
      <c r="N742" s="35">
        <v>0.43</v>
      </c>
      <c r="O742" s="35" t="str" cm="1">
        <f t="array" ref="O742">_xlfn.IFS(N742&gt;0.61, "High Humidity", N742&gt;=0.6, "Humid", N742&gt;0.4, "Less Humidity", TRUE, "Dry")</f>
        <v>Less Humidity</v>
      </c>
      <c r="P742" s="35">
        <v>0.35820000000000002</v>
      </c>
      <c r="Q742" s="35" t="str" cm="1">
        <f t="array" ref="Q742">_xlfn.IFS(P742&lt;=0.2,"Low Windspeed",P742&lt;0.4,"Medium Windspeed",P742&gt;=0.41,"High Windspeed")</f>
        <v>Medium Windspeed</v>
      </c>
      <c r="R742" s="35">
        <v>0</v>
      </c>
      <c r="S742" s="35">
        <v>39</v>
      </c>
      <c r="T742" s="40">
        <v>39</v>
      </c>
      <c r="U742" s="39" t="str" cm="1">
        <f t="array" ref="U742">_xlfn.IFS(T742&lt;=70,"Low",T742&lt;=160,"Medium",T742&gt;=161,"High")</f>
        <v>Low</v>
      </c>
    </row>
    <row r="743" spans="1:21" x14ac:dyDescent="0.25">
      <c r="A743" s="33">
        <v>742</v>
      </c>
      <c r="B743" s="34">
        <v>40577</v>
      </c>
      <c r="C743" s="35">
        <v>1</v>
      </c>
      <c r="D743" s="35">
        <v>0</v>
      </c>
      <c r="E743" s="35">
        <v>2</v>
      </c>
      <c r="F743" s="35">
        <v>7</v>
      </c>
      <c r="G743" s="35" t="str" cm="1">
        <f t="array" ref="G743">_xlfn.IFS(F743&lt;4,"Night",F743&lt;=6,"Early Morning",F743&lt;11,"Morning",F743&lt;12,"Afternoon",F743&lt;=16,"Afternoon",F743&lt;=20,"Evening",F743&gt;=21,"Night")</f>
        <v>Morning</v>
      </c>
      <c r="H743" s="35" t="b">
        <v>0</v>
      </c>
      <c r="I743" s="35">
        <v>4</v>
      </c>
      <c r="J743" s="35">
        <v>1</v>
      </c>
      <c r="K743" s="35">
        <v>0.14000000000000001</v>
      </c>
      <c r="L743" s="31" t="str" cm="1">
        <f t="array" ref="L743">_xlfn.IFS(K743&lt;0.15,"Cold",K743&lt;0.25,"Mild",K743&lt;=0.32,"Warm",K743&gt;=0.33,"Hot")</f>
        <v>Cold</v>
      </c>
      <c r="M743" s="35">
        <v>0.1212</v>
      </c>
      <c r="N743" s="35">
        <v>0.5</v>
      </c>
      <c r="O743" s="35" t="str" cm="1">
        <f t="array" ref="O743">_xlfn.IFS(N743&gt;0.61, "High Humidity", N743&gt;=0.6, "Humid", N743&gt;0.4, "Less Humidity", TRUE, "Dry")</f>
        <v>Less Humidity</v>
      </c>
      <c r="P743" s="35">
        <v>0.32840000000000003</v>
      </c>
      <c r="Q743" s="35" t="str" cm="1">
        <f t="array" ref="Q743">_xlfn.IFS(P743&lt;=0.2,"Low Windspeed",P743&lt;0.4,"Medium Windspeed",P743&gt;=0.41,"High Windspeed")</f>
        <v>Medium Windspeed</v>
      </c>
      <c r="R743" s="35">
        <v>1</v>
      </c>
      <c r="S743" s="35">
        <v>86</v>
      </c>
      <c r="T743" s="40">
        <v>87</v>
      </c>
      <c r="U743" s="39" t="str" cm="1">
        <f t="array" ref="U743">_xlfn.IFS(T743&lt;=70,"Low",T743&lt;=160,"Medium",T743&gt;=161,"High")</f>
        <v>Medium</v>
      </c>
    </row>
    <row r="744" spans="1:21" x14ac:dyDescent="0.25">
      <c r="A744" s="33">
        <v>743</v>
      </c>
      <c r="B744" s="34">
        <v>40577</v>
      </c>
      <c r="C744" s="35">
        <v>1</v>
      </c>
      <c r="D744" s="35">
        <v>0</v>
      </c>
      <c r="E744" s="35">
        <v>2</v>
      </c>
      <c r="F744" s="35">
        <v>8</v>
      </c>
      <c r="G744" s="35" t="str" cm="1">
        <f t="array" ref="G744">_xlfn.IFS(F744&lt;4,"Night",F744&lt;=6,"Early Morning",F744&lt;11,"Morning",F744&lt;12,"Afternoon",F744&lt;=16,"Afternoon",F744&lt;=20,"Evening",F744&gt;=21,"Night")</f>
        <v>Morning</v>
      </c>
      <c r="H744" s="35" t="b">
        <v>0</v>
      </c>
      <c r="I744" s="35">
        <v>4</v>
      </c>
      <c r="J744" s="35">
        <v>1</v>
      </c>
      <c r="K744" s="35">
        <v>0.14000000000000001</v>
      </c>
      <c r="L744" s="31" t="str" cm="1">
        <f t="array" ref="L744">_xlfn.IFS(K744&lt;0.15,"Cold",K744&lt;0.25,"Mild",K744&lt;=0.32,"Warm",K744&gt;=0.33,"Hot")</f>
        <v>Cold</v>
      </c>
      <c r="M744" s="35">
        <v>0.1212</v>
      </c>
      <c r="N744" s="35">
        <v>0.5</v>
      </c>
      <c r="O744" s="35" t="str" cm="1">
        <f t="array" ref="O744">_xlfn.IFS(N744&gt;0.61, "High Humidity", N744&gt;=0.6, "Humid", N744&gt;0.4, "Less Humidity", TRUE, "Dry")</f>
        <v>Less Humidity</v>
      </c>
      <c r="P744" s="35">
        <v>0.35820000000000002</v>
      </c>
      <c r="Q744" s="35" t="str" cm="1">
        <f t="array" ref="Q744">_xlfn.IFS(P744&lt;=0.2,"Low Windspeed",P744&lt;0.4,"Medium Windspeed",P744&gt;=0.41,"High Windspeed")</f>
        <v>Medium Windspeed</v>
      </c>
      <c r="R744" s="35">
        <v>4</v>
      </c>
      <c r="S744" s="35">
        <v>184</v>
      </c>
      <c r="T744" s="40">
        <v>188</v>
      </c>
      <c r="U744" s="39" t="str" cm="1">
        <f t="array" ref="U744">_xlfn.IFS(T744&lt;=70,"Low",T744&lt;=160,"Medium",T744&gt;=161,"High")</f>
        <v>High</v>
      </c>
    </row>
    <row r="745" spans="1:21" x14ac:dyDescent="0.25">
      <c r="A745" s="33">
        <v>744</v>
      </c>
      <c r="B745" s="34">
        <v>40577</v>
      </c>
      <c r="C745" s="35">
        <v>1</v>
      </c>
      <c r="D745" s="35">
        <v>0</v>
      </c>
      <c r="E745" s="35">
        <v>2</v>
      </c>
      <c r="F745" s="35">
        <v>9</v>
      </c>
      <c r="G745" s="35" t="str" cm="1">
        <f t="array" ref="G745">_xlfn.IFS(F745&lt;4,"Night",F745&lt;=6,"Early Morning",F745&lt;11,"Morning",F745&lt;12,"Afternoon",F745&lt;=16,"Afternoon",F745&lt;=20,"Evening",F745&gt;=21,"Night")</f>
        <v>Morning</v>
      </c>
      <c r="H745" s="35" t="b">
        <v>0</v>
      </c>
      <c r="I745" s="35">
        <v>4</v>
      </c>
      <c r="J745" s="35">
        <v>1</v>
      </c>
      <c r="K745" s="35">
        <v>0.16</v>
      </c>
      <c r="L745" s="31" t="str" cm="1">
        <f t="array" ref="L745">_xlfn.IFS(K745&lt;0.15,"Cold",K745&lt;0.25,"Mild",K745&lt;=0.32,"Warm",K745&gt;=0.33,"Hot")</f>
        <v>Mild</v>
      </c>
      <c r="M745" s="35">
        <v>0.13639999999999999</v>
      </c>
      <c r="N745" s="35">
        <v>0.47</v>
      </c>
      <c r="O745" s="35" t="str" cm="1">
        <f t="array" ref="O745">_xlfn.IFS(N745&gt;0.61, "High Humidity", N745&gt;=0.6, "Humid", N745&gt;0.4, "Less Humidity", TRUE, "Dry")</f>
        <v>Less Humidity</v>
      </c>
      <c r="P745" s="35">
        <v>0.29849999999999999</v>
      </c>
      <c r="Q745" s="35" t="str" cm="1">
        <f t="array" ref="Q745">_xlfn.IFS(P745&lt;=0.2,"Low Windspeed",P745&lt;0.4,"Medium Windspeed",P745&gt;=0.41,"High Windspeed")</f>
        <v>Medium Windspeed</v>
      </c>
      <c r="R745" s="35">
        <v>6</v>
      </c>
      <c r="S745" s="35">
        <v>127</v>
      </c>
      <c r="T745" s="40">
        <v>133</v>
      </c>
      <c r="U745" s="39" t="str" cm="1">
        <f t="array" ref="U745">_xlfn.IFS(T745&lt;=70,"Low",T745&lt;=160,"Medium",T745&gt;=161,"High")</f>
        <v>Medium</v>
      </c>
    </row>
    <row r="746" spans="1:21" x14ac:dyDescent="0.25">
      <c r="A746" s="33">
        <v>745</v>
      </c>
      <c r="B746" s="34">
        <v>40577</v>
      </c>
      <c r="C746" s="35">
        <v>1</v>
      </c>
      <c r="D746" s="35">
        <v>0</v>
      </c>
      <c r="E746" s="35">
        <v>2</v>
      </c>
      <c r="F746" s="35">
        <v>10</v>
      </c>
      <c r="G746" s="35" t="str" cm="1">
        <f t="array" ref="G746">_xlfn.IFS(F746&lt;4,"Night",F746&lt;=6,"Early Morning",F746&lt;11,"Morning",F746&lt;12,"Afternoon",F746&lt;=16,"Afternoon",F746&lt;=20,"Evening",F746&gt;=21,"Night")</f>
        <v>Morning</v>
      </c>
      <c r="H746" s="35" t="b">
        <v>0</v>
      </c>
      <c r="I746" s="35">
        <v>4</v>
      </c>
      <c r="J746" s="35">
        <v>1</v>
      </c>
      <c r="K746" s="35">
        <v>0.18</v>
      </c>
      <c r="L746" s="31" t="str" cm="1">
        <f t="array" ref="L746">_xlfn.IFS(K746&lt;0.15,"Cold",K746&lt;0.25,"Mild",K746&lt;=0.32,"Warm",K746&gt;=0.33,"Hot")</f>
        <v>Mild</v>
      </c>
      <c r="M746" s="35">
        <v>0.1515</v>
      </c>
      <c r="N746" s="35">
        <v>0.43</v>
      </c>
      <c r="O746" s="35" t="str" cm="1">
        <f t="array" ref="O746">_xlfn.IFS(N746&gt;0.61, "High Humidity", N746&gt;=0.6, "Humid", N746&gt;0.4, "Less Humidity", TRUE, "Dry")</f>
        <v>Less Humidity</v>
      </c>
      <c r="P746" s="35">
        <v>0.32840000000000003</v>
      </c>
      <c r="Q746" s="35" t="str" cm="1">
        <f t="array" ref="Q746">_xlfn.IFS(P746&lt;=0.2,"Low Windspeed",P746&lt;0.4,"Medium Windspeed",P746&gt;=0.41,"High Windspeed")</f>
        <v>Medium Windspeed</v>
      </c>
      <c r="R746" s="35">
        <v>2</v>
      </c>
      <c r="S746" s="35">
        <v>50</v>
      </c>
      <c r="T746" s="40">
        <v>52</v>
      </c>
      <c r="U746" s="39" t="str" cm="1">
        <f t="array" ref="U746">_xlfn.IFS(T746&lt;=70,"Low",T746&lt;=160,"Medium",T746&gt;=161,"High")</f>
        <v>Low</v>
      </c>
    </row>
    <row r="747" spans="1:21" x14ac:dyDescent="0.25">
      <c r="A747" s="33">
        <v>746</v>
      </c>
      <c r="B747" s="34">
        <v>40577</v>
      </c>
      <c r="C747" s="35">
        <v>1</v>
      </c>
      <c r="D747" s="35">
        <v>0</v>
      </c>
      <c r="E747" s="35">
        <v>2</v>
      </c>
      <c r="F747" s="35">
        <v>11</v>
      </c>
      <c r="G747" s="35" t="str" cm="1">
        <f t="array" ref="G747">_xlfn.IFS(F747&lt;4,"Night",F747&lt;=6,"Early Morning",F747&lt;11,"Morning",F747&lt;12,"Afternoon",F747&lt;=16,"Afternoon",F747&lt;=20,"Evening",F747&gt;=21,"Night")</f>
        <v>Afternoon</v>
      </c>
      <c r="H747" s="35" t="b">
        <v>0</v>
      </c>
      <c r="I747" s="35">
        <v>4</v>
      </c>
      <c r="J747" s="35">
        <v>1</v>
      </c>
      <c r="K747" s="35">
        <v>0.18</v>
      </c>
      <c r="L747" s="31" t="str" cm="1">
        <f t="array" ref="L747">_xlfn.IFS(K747&lt;0.15,"Cold",K747&lt;0.25,"Mild",K747&lt;=0.32,"Warm",K747&gt;=0.33,"Hot")</f>
        <v>Mild</v>
      </c>
      <c r="M747" s="35">
        <v>0.13639999999999999</v>
      </c>
      <c r="N747" s="35">
        <v>0.43</v>
      </c>
      <c r="O747" s="35" t="str" cm="1">
        <f t="array" ref="O747">_xlfn.IFS(N747&gt;0.61, "High Humidity", N747&gt;=0.6, "Humid", N747&gt;0.4, "Less Humidity", TRUE, "Dry")</f>
        <v>Less Humidity</v>
      </c>
      <c r="P747" s="35">
        <v>0.44779999999999998</v>
      </c>
      <c r="Q747" s="35" t="str" cm="1">
        <f t="array" ref="Q747">_xlfn.IFS(P747&lt;=0.2,"Low Windspeed",P747&lt;0.4,"Medium Windspeed",P747&gt;=0.41,"High Windspeed")</f>
        <v>High Windspeed</v>
      </c>
      <c r="R747" s="35">
        <v>9</v>
      </c>
      <c r="S747" s="35">
        <v>55</v>
      </c>
      <c r="T747" s="40">
        <v>64</v>
      </c>
      <c r="U747" s="39" t="str" cm="1">
        <f t="array" ref="U747">_xlfn.IFS(T747&lt;=70,"Low",T747&lt;=160,"Medium",T747&gt;=161,"High")</f>
        <v>Low</v>
      </c>
    </row>
    <row r="748" spans="1:21" x14ac:dyDescent="0.25">
      <c r="A748" s="33">
        <v>747</v>
      </c>
      <c r="B748" s="34">
        <v>40577</v>
      </c>
      <c r="C748" s="35">
        <v>1</v>
      </c>
      <c r="D748" s="35">
        <v>0</v>
      </c>
      <c r="E748" s="35">
        <v>2</v>
      </c>
      <c r="F748" s="35">
        <v>12</v>
      </c>
      <c r="G748" s="35" t="str" cm="1">
        <f t="array" ref="G748">_xlfn.IFS(F748&lt;4,"Night",F748&lt;=6,"Early Morning",F748&lt;11,"Morning",F748&lt;12,"Afternoon",F748&lt;=16,"Afternoon",F748&lt;=20,"Evening",F748&gt;=21,"Night")</f>
        <v>Afternoon</v>
      </c>
      <c r="H748" s="35" t="b">
        <v>0</v>
      </c>
      <c r="I748" s="35">
        <v>4</v>
      </c>
      <c r="J748" s="35">
        <v>1</v>
      </c>
      <c r="K748" s="35">
        <v>0.2</v>
      </c>
      <c r="L748" s="31" t="str" cm="1">
        <f t="array" ref="L748">_xlfn.IFS(K748&lt;0.15,"Cold",K748&lt;0.25,"Mild",K748&lt;=0.32,"Warm",K748&gt;=0.33,"Hot")</f>
        <v>Mild</v>
      </c>
      <c r="M748" s="35">
        <v>0.18179999999999999</v>
      </c>
      <c r="N748" s="35">
        <v>0.4</v>
      </c>
      <c r="O748" s="35" t="str" cm="1">
        <f t="array" ref="O748">_xlfn.IFS(N748&gt;0.61, "High Humidity", N748&gt;=0.6, "Humid", N748&gt;0.4, "Less Humidity", TRUE, "Dry")</f>
        <v>Dry</v>
      </c>
      <c r="P748" s="35">
        <v>0.35820000000000002</v>
      </c>
      <c r="Q748" s="35" t="str" cm="1">
        <f t="array" ref="Q748">_xlfn.IFS(P748&lt;=0.2,"Low Windspeed",P748&lt;0.4,"Medium Windspeed",P748&gt;=0.41,"High Windspeed")</f>
        <v>Medium Windspeed</v>
      </c>
      <c r="R748" s="35">
        <v>2</v>
      </c>
      <c r="S748" s="35">
        <v>67</v>
      </c>
      <c r="T748" s="40">
        <v>69</v>
      </c>
      <c r="U748" s="39" t="str" cm="1">
        <f t="array" ref="U748">_xlfn.IFS(T748&lt;=70,"Low",T748&lt;=160,"Medium",T748&gt;=161,"High")</f>
        <v>Low</v>
      </c>
    </row>
    <row r="749" spans="1:21" x14ac:dyDescent="0.25">
      <c r="A749" s="33">
        <v>748</v>
      </c>
      <c r="B749" s="34">
        <v>40577</v>
      </c>
      <c r="C749" s="35">
        <v>1</v>
      </c>
      <c r="D749" s="35">
        <v>0</v>
      </c>
      <c r="E749" s="35">
        <v>2</v>
      </c>
      <c r="F749" s="35">
        <v>13</v>
      </c>
      <c r="G749" s="35" t="str" cm="1">
        <f t="array" ref="G749">_xlfn.IFS(F749&lt;4,"Night",F749&lt;=6,"Early Morning",F749&lt;11,"Morning",F749&lt;12,"Afternoon",F749&lt;=16,"Afternoon",F749&lt;=20,"Evening",F749&gt;=21,"Night")</f>
        <v>Afternoon</v>
      </c>
      <c r="H749" s="35" t="b">
        <v>0</v>
      </c>
      <c r="I749" s="35">
        <v>4</v>
      </c>
      <c r="J749" s="35">
        <v>1</v>
      </c>
      <c r="K749" s="35">
        <v>0.2</v>
      </c>
      <c r="L749" s="31" t="str" cm="1">
        <f t="array" ref="L749">_xlfn.IFS(K749&lt;0.15,"Cold",K749&lt;0.25,"Mild",K749&lt;=0.32,"Warm",K749&gt;=0.33,"Hot")</f>
        <v>Mild</v>
      </c>
      <c r="M749" s="35">
        <v>0.16669999999999999</v>
      </c>
      <c r="N749" s="35">
        <v>0.4</v>
      </c>
      <c r="O749" s="35" t="str" cm="1">
        <f t="array" ref="O749">_xlfn.IFS(N749&gt;0.61, "High Humidity", N749&gt;=0.6, "Humid", N749&gt;0.4, "Less Humidity", TRUE, "Dry")</f>
        <v>Dry</v>
      </c>
      <c r="P749" s="35">
        <v>0.41789999999999999</v>
      </c>
      <c r="Q749" s="35" t="str" cm="1">
        <f t="array" ref="Q749">_xlfn.IFS(P749&lt;=0.2,"Low Windspeed",P749&lt;0.4,"Medium Windspeed",P749&gt;=0.41,"High Windspeed")</f>
        <v>High Windspeed</v>
      </c>
      <c r="R749" s="35">
        <v>4</v>
      </c>
      <c r="S749" s="35">
        <v>47</v>
      </c>
      <c r="T749" s="40">
        <v>51</v>
      </c>
      <c r="U749" s="39" t="str" cm="1">
        <f t="array" ref="U749">_xlfn.IFS(T749&lt;=70,"Low",T749&lt;=160,"Medium",T749&gt;=161,"High")</f>
        <v>Low</v>
      </c>
    </row>
    <row r="750" spans="1:21" x14ac:dyDescent="0.25">
      <c r="A750" s="33">
        <v>749</v>
      </c>
      <c r="B750" s="34">
        <v>40577</v>
      </c>
      <c r="C750" s="35">
        <v>1</v>
      </c>
      <c r="D750" s="35">
        <v>0</v>
      </c>
      <c r="E750" s="35">
        <v>2</v>
      </c>
      <c r="F750" s="35">
        <v>14</v>
      </c>
      <c r="G750" s="35" t="str" cm="1">
        <f t="array" ref="G750">_xlfn.IFS(F750&lt;4,"Night",F750&lt;=6,"Early Morning",F750&lt;11,"Morning",F750&lt;12,"Afternoon",F750&lt;=16,"Afternoon",F750&lt;=20,"Evening",F750&gt;=21,"Night")</f>
        <v>Afternoon</v>
      </c>
      <c r="H750" s="35" t="b">
        <v>0</v>
      </c>
      <c r="I750" s="35">
        <v>4</v>
      </c>
      <c r="J750" s="35">
        <v>1</v>
      </c>
      <c r="K750" s="35">
        <v>0.22</v>
      </c>
      <c r="L750" s="31" t="str" cm="1">
        <f t="array" ref="L750">_xlfn.IFS(K750&lt;0.15,"Cold",K750&lt;0.25,"Mild",K750&lt;=0.32,"Warm",K750&gt;=0.33,"Hot")</f>
        <v>Mild</v>
      </c>
      <c r="M750" s="35">
        <v>0.19700000000000001</v>
      </c>
      <c r="N750" s="35">
        <v>0.37</v>
      </c>
      <c r="O750" s="35" t="str" cm="1">
        <f t="array" ref="O750">_xlfn.IFS(N750&gt;0.61, "High Humidity", N750&gt;=0.6, "Humid", N750&gt;0.4, "Less Humidity", TRUE, "Dry")</f>
        <v>Dry</v>
      </c>
      <c r="P750" s="35">
        <v>0.3881</v>
      </c>
      <c r="Q750" s="35" t="str" cm="1">
        <f t="array" ref="Q750">_xlfn.IFS(P750&lt;=0.2,"Low Windspeed",P750&lt;0.4,"Medium Windspeed",P750&gt;=0.41,"High Windspeed")</f>
        <v>Medium Windspeed</v>
      </c>
      <c r="R750" s="35">
        <v>4</v>
      </c>
      <c r="S750" s="35">
        <v>43</v>
      </c>
      <c r="T750" s="40">
        <v>47</v>
      </c>
      <c r="U750" s="39" t="str" cm="1">
        <f t="array" ref="U750">_xlfn.IFS(T750&lt;=70,"Low",T750&lt;=160,"Medium",T750&gt;=161,"High")</f>
        <v>Low</v>
      </c>
    </row>
    <row r="751" spans="1:21" x14ac:dyDescent="0.25">
      <c r="A751" s="33">
        <v>750</v>
      </c>
      <c r="B751" s="34">
        <v>40577</v>
      </c>
      <c r="C751" s="35">
        <v>1</v>
      </c>
      <c r="D751" s="35">
        <v>0</v>
      </c>
      <c r="E751" s="35">
        <v>2</v>
      </c>
      <c r="F751" s="35">
        <v>15</v>
      </c>
      <c r="G751" s="35" t="str" cm="1">
        <f t="array" ref="G751">_xlfn.IFS(F751&lt;4,"Night",F751&lt;=6,"Early Morning",F751&lt;11,"Morning",F751&lt;12,"Afternoon",F751&lt;=16,"Afternoon",F751&lt;=20,"Evening",F751&gt;=21,"Night")</f>
        <v>Afternoon</v>
      </c>
      <c r="H751" s="35" t="b">
        <v>0</v>
      </c>
      <c r="I751" s="35">
        <v>4</v>
      </c>
      <c r="J751" s="35">
        <v>1</v>
      </c>
      <c r="K751" s="35">
        <v>0.22</v>
      </c>
      <c r="L751" s="31" t="str" cm="1">
        <f t="array" ref="L751">_xlfn.IFS(K751&lt;0.15,"Cold",K751&lt;0.25,"Mild",K751&lt;=0.32,"Warm",K751&gt;=0.33,"Hot")</f>
        <v>Mild</v>
      </c>
      <c r="M751" s="35">
        <v>0.19700000000000001</v>
      </c>
      <c r="N751" s="35">
        <v>0.37</v>
      </c>
      <c r="O751" s="35" t="str" cm="1">
        <f t="array" ref="O751">_xlfn.IFS(N751&gt;0.61, "High Humidity", N751&gt;=0.6, "Humid", N751&gt;0.4, "Less Humidity", TRUE, "Dry")</f>
        <v>Dry</v>
      </c>
      <c r="P751" s="35">
        <v>0.32840000000000003</v>
      </c>
      <c r="Q751" s="35" t="str" cm="1">
        <f t="array" ref="Q751">_xlfn.IFS(P751&lt;=0.2,"Low Windspeed",P751&lt;0.4,"Medium Windspeed",P751&gt;=0.41,"High Windspeed")</f>
        <v>Medium Windspeed</v>
      </c>
      <c r="R751" s="35">
        <v>4</v>
      </c>
      <c r="S751" s="35">
        <v>56</v>
      </c>
      <c r="T751" s="40">
        <v>60</v>
      </c>
      <c r="U751" s="39" t="str" cm="1">
        <f t="array" ref="U751">_xlfn.IFS(T751&lt;=70,"Low",T751&lt;=160,"Medium",T751&gt;=161,"High")</f>
        <v>Low</v>
      </c>
    </row>
    <row r="752" spans="1:21" x14ac:dyDescent="0.25">
      <c r="A752" s="33">
        <v>751</v>
      </c>
      <c r="B752" s="34">
        <v>40577</v>
      </c>
      <c r="C752" s="35">
        <v>1</v>
      </c>
      <c r="D752" s="35">
        <v>0</v>
      </c>
      <c r="E752" s="35">
        <v>2</v>
      </c>
      <c r="F752" s="35">
        <v>16</v>
      </c>
      <c r="G752" s="35" t="str" cm="1">
        <f t="array" ref="G752">_xlfn.IFS(F752&lt;4,"Night",F752&lt;=6,"Early Morning",F752&lt;11,"Morning",F752&lt;12,"Afternoon",F752&lt;=16,"Afternoon",F752&lt;=20,"Evening",F752&gt;=21,"Night")</f>
        <v>Afternoon</v>
      </c>
      <c r="H752" s="35" t="b">
        <v>0</v>
      </c>
      <c r="I752" s="35">
        <v>4</v>
      </c>
      <c r="J752" s="35">
        <v>1</v>
      </c>
      <c r="K752" s="35">
        <v>0.22</v>
      </c>
      <c r="L752" s="31" t="str" cm="1">
        <f t="array" ref="L752">_xlfn.IFS(K752&lt;0.15,"Cold",K752&lt;0.25,"Mild",K752&lt;=0.32,"Warm",K752&gt;=0.33,"Hot")</f>
        <v>Mild</v>
      </c>
      <c r="M752" s="35">
        <v>0.21210000000000001</v>
      </c>
      <c r="N752" s="35">
        <v>0.37</v>
      </c>
      <c r="O752" s="35" t="str" cm="1">
        <f t="array" ref="O752">_xlfn.IFS(N752&gt;0.61, "High Humidity", N752&gt;=0.6, "Humid", N752&gt;0.4, "Less Humidity", TRUE, "Dry")</f>
        <v>Dry</v>
      </c>
      <c r="P752" s="35">
        <v>0.25369999999999998</v>
      </c>
      <c r="Q752" s="35" t="str" cm="1">
        <f t="array" ref="Q752">_xlfn.IFS(P752&lt;=0.2,"Low Windspeed",P752&lt;0.4,"Medium Windspeed",P752&gt;=0.41,"High Windspeed")</f>
        <v>Medium Windspeed</v>
      </c>
      <c r="R752" s="35">
        <v>5</v>
      </c>
      <c r="S752" s="35">
        <v>73</v>
      </c>
      <c r="T752" s="40">
        <v>78</v>
      </c>
      <c r="U752" s="39" t="str" cm="1">
        <f t="array" ref="U752">_xlfn.IFS(T752&lt;=70,"Low",T752&lt;=160,"Medium",T752&gt;=161,"High")</f>
        <v>Medium</v>
      </c>
    </row>
    <row r="753" spans="1:21" x14ac:dyDescent="0.25">
      <c r="A753" s="33">
        <v>752</v>
      </c>
      <c r="B753" s="34">
        <v>40577</v>
      </c>
      <c r="C753" s="35">
        <v>1</v>
      </c>
      <c r="D753" s="35">
        <v>0</v>
      </c>
      <c r="E753" s="35">
        <v>2</v>
      </c>
      <c r="F753" s="35">
        <v>17</v>
      </c>
      <c r="G753" s="35" t="str" cm="1">
        <f t="array" ref="G753">_xlfn.IFS(F753&lt;4,"Night",F753&lt;=6,"Early Morning",F753&lt;11,"Morning",F753&lt;12,"Afternoon",F753&lt;=16,"Afternoon",F753&lt;=20,"Evening",F753&gt;=21,"Night")</f>
        <v>Evening</v>
      </c>
      <c r="H753" s="35" t="b">
        <v>0</v>
      </c>
      <c r="I753" s="35">
        <v>4</v>
      </c>
      <c r="J753" s="35">
        <v>1</v>
      </c>
      <c r="K753" s="35">
        <v>0.2</v>
      </c>
      <c r="L753" s="31" t="str" cm="1">
        <f t="array" ref="L753">_xlfn.IFS(K753&lt;0.15,"Cold",K753&lt;0.25,"Mild",K753&lt;=0.32,"Warm",K753&gt;=0.33,"Hot")</f>
        <v>Mild</v>
      </c>
      <c r="M753" s="35">
        <v>0.19700000000000001</v>
      </c>
      <c r="N753" s="35">
        <v>0.4</v>
      </c>
      <c r="O753" s="35" t="str" cm="1">
        <f t="array" ref="O753">_xlfn.IFS(N753&gt;0.61, "High Humidity", N753&gt;=0.6, "Humid", N753&gt;0.4, "Less Humidity", TRUE, "Dry")</f>
        <v>Dry</v>
      </c>
      <c r="P753" s="35">
        <v>0.19400000000000001</v>
      </c>
      <c r="Q753" s="35" t="str" cm="1">
        <f t="array" ref="Q753">_xlfn.IFS(P753&lt;=0.2,"Low Windspeed",P753&lt;0.4,"Medium Windspeed",P753&gt;=0.41,"High Windspeed")</f>
        <v>Low Windspeed</v>
      </c>
      <c r="R753" s="35">
        <v>5</v>
      </c>
      <c r="S753" s="35">
        <v>170</v>
      </c>
      <c r="T753" s="40">
        <v>175</v>
      </c>
      <c r="U753" s="39" t="str" cm="1">
        <f t="array" ref="U753">_xlfn.IFS(T753&lt;=70,"Low",T753&lt;=160,"Medium",T753&gt;=161,"High")</f>
        <v>High</v>
      </c>
    </row>
    <row r="754" spans="1:21" x14ac:dyDescent="0.25">
      <c r="A754" s="33">
        <v>753</v>
      </c>
      <c r="B754" s="34">
        <v>40577</v>
      </c>
      <c r="C754" s="35">
        <v>1</v>
      </c>
      <c r="D754" s="35">
        <v>0</v>
      </c>
      <c r="E754" s="35">
        <v>2</v>
      </c>
      <c r="F754" s="35">
        <v>18</v>
      </c>
      <c r="G754" s="35" t="str" cm="1">
        <f t="array" ref="G754">_xlfn.IFS(F754&lt;4,"Night",F754&lt;=6,"Early Morning",F754&lt;11,"Morning",F754&lt;12,"Afternoon",F754&lt;=16,"Afternoon",F754&lt;=20,"Evening",F754&gt;=21,"Night")</f>
        <v>Evening</v>
      </c>
      <c r="H754" s="35" t="b">
        <v>0</v>
      </c>
      <c r="I754" s="35">
        <v>4</v>
      </c>
      <c r="J754" s="35">
        <v>1</v>
      </c>
      <c r="K754" s="35">
        <v>0.2</v>
      </c>
      <c r="L754" s="31" t="str" cm="1">
        <f t="array" ref="L754">_xlfn.IFS(K754&lt;0.15,"Cold",K754&lt;0.25,"Mild",K754&lt;=0.32,"Warm",K754&gt;=0.33,"Hot")</f>
        <v>Mild</v>
      </c>
      <c r="M754" s="35">
        <v>0.21210000000000001</v>
      </c>
      <c r="N754" s="35">
        <v>0.4</v>
      </c>
      <c r="O754" s="35" t="str" cm="1">
        <f t="array" ref="O754">_xlfn.IFS(N754&gt;0.61, "High Humidity", N754&gt;=0.6, "Humid", N754&gt;0.4, "Less Humidity", TRUE, "Dry")</f>
        <v>Dry</v>
      </c>
      <c r="P754" s="35">
        <v>0.16420000000000001</v>
      </c>
      <c r="Q754" s="35" t="str" cm="1">
        <f t="array" ref="Q754">_xlfn.IFS(P754&lt;=0.2,"Low Windspeed",P754&lt;0.4,"Medium Windspeed",P754&gt;=0.41,"High Windspeed")</f>
        <v>Low Windspeed</v>
      </c>
      <c r="R754" s="35">
        <v>2</v>
      </c>
      <c r="S754" s="35">
        <v>145</v>
      </c>
      <c r="T754" s="40">
        <v>147</v>
      </c>
      <c r="U754" s="39" t="str" cm="1">
        <f t="array" ref="U754">_xlfn.IFS(T754&lt;=70,"Low",T754&lt;=160,"Medium",T754&gt;=161,"High")</f>
        <v>Medium</v>
      </c>
    </row>
    <row r="755" spans="1:21" x14ac:dyDescent="0.25">
      <c r="A755" s="33">
        <v>754</v>
      </c>
      <c r="B755" s="34">
        <v>40577</v>
      </c>
      <c r="C755" s="35">
        <v>1</v>
      </c>
      <c r="D755" s="35">
        <v>0</v>
      </c>
      <c r="E755" s="35">
        <v>2</v>
      </c>
      <c r="F755" s="35">
        <v>19</v>
      </c>
      <c r="G755" s="35" t="str" cm="1">
        <f t="array" ref="G755">_xlfn.IFS(F755&lt;4,"Night",F755&lt;=6,"Early Morning",F755&lt;11,"Morning",F755&lt;12,"Afternoon",F755&lt;=16,"Afternoon",F755&lt;=20,"Evening",F755&gt;=21,"Night")</f>
        <v>Evening</v>
      </c>
      <c r="H755" s="35" t="b">
        <v>0</v>
      </c>
      <c r="I755" s="35">
        <v>4</v>
      </c>
      <c r="J755" s="35">
        <v>1</v>
      </c>
      <c r="K755" s="35">
        <v>0.2</v>
      </c>
      <c r="L755" s="31" t="str" cm="1">
        <f t="array" ref="L755">_xlfn.IFS(K755&lt;0.15,"Cold",K755&lt;0.25,"Mild",K755&lt;=0.32,"Warm",K755&gt;=0.33,"Hot")</f>
        <v>Mild</v>
      </c>
      <c r="M755" s="35">
        <v>0.2576</v>
      </c>
      <c r="N755" s="35">
        <v>0.4</v>
      </c>
      <c r="O755" s="35" t="str" cm="1">
        <f t="array" ref="O755">_xlfn.IFS(N755&gt;0.61, "High Humidity", N755&gt;=0.6, "Humid", N755&gt;0.4, "Less Humidity", TRUE, "Dry")</f>
        <v>Dry</v>
      </c>
      <c r="P755" s="35">
        <v>0</v>
      </c>
      <c r="Q755" s="35" t="str" cm="1">
        <f t="array" ref="Q755">_xlfn.IFS(P755&lt;=0.2,"Low Windspeed",P755&lt;0.4,"Medium Windspeed",P755&gt;=0.41,"High Windspeed")</f>
        <v>Low Windspeed</v>
      </c>
      <c r="R755" s="35">
        <v>4</v>
      </c>
      <c r="S755" s="35">
        <v>92</v>
      </c>
      <c r="T755" s="40">
        <v>96</v>
      </c>
      <c r="U755" s="39" t="str" cm="1">
        <f t="array" ref="U755">_xlfn.IFS(T755&lt;=70,"Low",T755&lt;=160,"Medium",T755&gt;=161,"High")</f>
        <v>Medium</v>
      </c>
    </row>
    <row r="756" spans="1:21" x14ac:dyDescent="0.25">
      <c r="A756" s="33">
        <v>755</v>
      </c>
      <c r="B756" s="34">
        <v>40577</v>
      </c>
      <c r="C756" s="35">
        <v>1</v>
      </c>
      <c r="D756" s="35">
        <v>0</v>
      </c>
      <c r="E756" s="35">
        <v>2</v>
      </c>
      <c r="F756" s="35">
        <v>20</v>
      </c>
      <c r="G756" s="35" t="str" cm="1">
        <f t="array" ref="G756">_xlfn.IFS(F756&lt;4,"Night",F756&lt;=6,"Early Morning",F756&lt;11,"Morning",F756&lt;12,"Afternoon",F756&lt;=16,"Afternoon",F756&lt;=20,"Evening",F756&gt;=21,"Night")</f>
        <v>Evening</v>
      </c>
      <c r="H756" s="35" t="b">
        <v>0</v>
      </c>
      <c r="I756" s="35">
        <v>4</v>
      </c>
      <c r="J756" s="35">
        <v>1</v>
      </c>
      <c r="K756" s="35">
        <v>0.2</v>
      </c>
      <c r="L756" s="31" t="str" cm="1">
        <f t="array" ref="L756">_xlfn.IFS(K756&lt;0.15,"Cold",K756&lt;0.25,"Mild",K756&lt;=0.32,"Warm",K756&gt;=0.33,"Hot")</f>
        <v>Mild</v>
      </c>
      <c r="M756" s="35">
        <v>0.2273</v>
      </c>
      <c r="N756" s="35">
        <v>0.47</v>
      </c>
      <c r="O756" s="35" t="str" cm="1">
        <f t="array" ref="O756">_xlfn.IFS(N756&gt;0.61, "High Humidity", N756&gt;=0.6, "Humid", N756&gt;0.4, "Less Humidity", TRUE, "Dry")</f>
        <v>Less Humidity</v>
      </c>
      <c r="P756" s="35">
        <v>8.9599999999999999E-2</v>
      </c>
      <c r="Q756" s="35" t="str" cm="1">
        <f t="array" ref="Q756">_xlfn.IFS(P756&lt;=0.2,"Low Windspeed",P756&lt;0.4,"Medium Windspeed",P756&gt;=0.41,"High Windspeed")</f>
        <v>Low Windspeed</v>
      </c>
      <c r="R756" s="35">
        <v>1</v>
      </c>
      <c r="S756" s="35">
        <v>108</v>
      </c>
      <c r="T756" s="40">
        <v>109</v>
      </c>
      <c r="U756" s="39" t="str" cm="1">
        <f t="array" ref="U756">_xlfn.IFS(T756&lt;=70,"Low",T756&lt;=160,"Medium",T756&gt;=161,"High")</f>
        <v>Medium</v>
      </c>
    </row>
    <row r="757" spans="1:21" x14ac:dyDescent="0.25">
      <c r="A757" s="33">
        <v>756</v>
      </c>
      <c r="B757" s="34">
        <v>40577</v>
      </c>
      <c r="C757" s="35">
        <v>1</v>
      </c>
      <c r="D757" s="35">
        <v>0</v>
      </c>
      <c r="E757" s="35">
        <v>2</v>
      </c>
      <c r="F757" s="35">
        <v>21</v>
      </c>
      <c r="G757" s="35" t="str" cm="1">
        <f t="array" ref="G757">_xlfn.IFS(F757&lt;4,"Night",F757&lt;=6,"Early Morning",F757&lt;11,"Morning",F757&lt;12,"Afternoon",F757&lt;=16,"Afternoon",F757&lt;=20,"Evening",F757&gt;=21,"Night")</f>
        <v>Night</v>
      </c>
      <c r="H757" s="35" t="b">
        <v>0</v>
      </c>
      <c r="I757" s="35">
        <v>4</v>
      </c>
      <c r="J757" s="35">
        <v>1</v>
      </c>
      <c r="K757" s="35">
        <v>0.18</v>
      </c>
      <c r="L757" s="31" t="str" cm="1">
        <f t="array" ref="L757">_xlfn.IFS(K757&lt;0.15,"Cold",K757&lt;0.25,"Mild",K757&lt;=0.32,"Warm",K757&gt;=0.33,"Hot")</f>
        <v>Mild</v>
      </c>
      <c r="M757" s="35">
        <v>0.21210000000000001</v>
      </c>
      <c r="N757" s="35">
        <v>0.55000000000000004</v>
      </c>
      <c r="O757" s="35" t="str" cm="1">
        <f t="array" ref="O757">_xlfn.IFS(N757&gt;0.61, "High Humidity", N757&gt;=0.6, "Humid", N757&gt;0.4, "Less Humidity", TRUE, "Dry")</f>
        <v>Less Humidity</v>
      </c>
      <c r="P757" s="35">
        <v>0.1045</v>
      </c>
      <c r="Q757" s="35" t="str" cm="1">
        <f t="array" ref="Q757">_xlfn.IFS(P757&lt;=0.2,"Low Windspeed",P757&lt;0.4,"Medium Windspeed",P757&gt;=0.41,"High Windspeed")</f>
        <v>Low Windspeed</v>
      </c>
      <c r="R757" s="35">
        <v>1</v>
      </c>
      <c r="S757" s="35">
        <v>53</v>
      </c>
      <c r="T757" s="40">
        <v>54</v>
      </c>
      <c r="U757" s="39" t="str" cm="1">
        <f t="array" ref="U757">_xlfn.IFS(T757&lt;=70,"Low",T757&lt;=160,"Medium",T757&gt;=161,"High")</f>
        <v>Low</v>
      </c>
    </row>
    <row r="758" spans="1:21" x14ac:dyDescent="0.25">
      <c r="A758" s="33">
        <v>757</v>
      </c>
      <c r="B758" s="34">
        <v>40577</v>
      </c>
      <c r="C758" s="35">
        <v>1</v>
      </c>
      <c r="D758" s="35">
        <v>0</v>
      </c>
      <c r="E758" s="35">
        <v>2</v>
      </c>
      <c r="F758" s="35">
        <v>22</v>
      </c>
      <c r="G758" s="35" t="str" cm="1">
        <f t="array" ref="G758">_xlfn.IFS(F758&lt;4,"Night",F758&lt;=6,"Early Morning",F758&lt;11,"Morning",F758&lt;12,"Afternoon",F758&lt;=16,"Afternoon",F758&lt;=20,"Evening",F758&gt;=21,"Night")</f>
        <v>Night</v>
      </c>
      <c r="H758" s="35" t="b">
        <v>0</v>
      </c>
      <c r="I758" s="35">
        <v>4</v>
      </c>
      <c r="J758" s="35">
        <v>1</v>
      </c>
      <c r="K758" s="35">
        <v>0.18</v>
      </c>
      <c r="L758" s="31" t="str" cm="1">
        <f t="array" ref="L758">_xlfn.IFS(K758&lt;0.15,"Cold",K758&lt;0.25,"Mild",K758&lt;=0.32,"Warm",K758&gt;=0.33,"Hot")</f>
        <v>Mild</v>
      </c>
      <c r="M758" s="35">
        <v>0.21210000000000001</v>
      </c>
      <c r="N758" s="35">
        <v>0.51</v>
      </c>
      <c r="O758" s="35" t="str" cm="1">
        <f t="array" ref="O758">_xlfn.IFS(N758&gt;0.61, "High Humidity", N758&gt;=0.6, "Humid", N758&gt;0.4, "Less Humidity", TRUE, "Dry")</f>
        <v>Less Humidity</v>
      </c>
      <c r="P758" s="35">
        <v>8.9599999999999999E-2</v>
      </c>
      <c r="Q758" s="35" t="str" cm="1">
        <f t="array" ref="Q758">_xlfn.IFS(P758&lt;=0.2,"Low Windspeed",P758&lt;0.4,"Medium Windspeed",P758&gt;=0.41,"High Windspeed")</f>
        <v>Low Windspeed</v>
      </c>
      <c r="R758" s="35">
        <v>2</v>
      </c>
      <c r="S758" s="35">
        <v>39</v>
      </c>
      <c r="T758" s="40">
        <v>41</v>
      </c>
      <c r="U758" s="39" t="str" cm="1">
        <f t="array" ref="U758">_xlfn.IFS(T758&lt;=70,"Low",T758&lt;=160,"Medium",T758&gt;=161,"High")</f>
        <v>Low</v>
      </c>
    </row>
    <row r="759" spans="1:21" x14ac:dyDescent="0.25">
      <c r="A759" s="33">
        <v>758</v>
      </c>
      <c r="B759" s="34">
        <v>40577</v>
      </c>
      <c r="C759" s="35">
        <v>1</v>
      </c>
      <c r="D759" s="35">
        <v>0</v>
      </c>
      <c r="E759" s="35">
        <v>2</v>
      </c>
      <c r="F759" s="35">
        <v>23</v>
      </c>
      <c r="G759" s="35" t="str" cm="1">
        <f t="array" ref="G759">_xlfn.IFS(F759&lt;4,"Night",F759&lt;=6,"Early Morning",F759&lt;11,"Morning",F759&lt;12,"Afternoon",F759&lt;=16,"Afternoon",F759&lt;=20,"Evening",F759&gt;=21,"Night")</f>
        <v>Night</v>
      </c>
      <c r="H759" s="35" t="b">
        <v>0</v>
      </c>
      <c r="I759" s="35">
        <v>4</v>
      </c>
      <c r="J759" s="35">
        <v>1</v>
      </c>
      <c r="K759" s="35">
        <v>0.2</v>
      </c>
      <c r="L759" s="31" t="str" cm="1">
        <f t="array" ref="L759">_xlfn.IFS(K759&lt;0.15,"Cold",K759&lt;0.25,"Mild",K759&lt;=0.32,"Warm",K759&gt;=0.33,"Hot")</f>
        <v>Mild</v>
      </c>
      <c r="M759" s="35">
        <v>0.2273</v>
      </c>
      <c r="N759" s="35">
        <v>0.47</v>
      </c>
      <c r="O759" s="35" t="str" cm="1">
        <f t="array" ref="O759">_xlfn.IFS(N759&gt;0.61, "High Humidity", N759&gt;=0.6, "Humid", N759&gt;0.4, "Less Humidity", TRUE, "Dry")</f>
        <v>Less Humidity</v>
      </c>
      <c r="P759" s="35">
        <v>0.1045</v>
      </c>
      <c r="Q759" s="35" t="str" cm="1">
        <f t="array" ref="Q759">_xlfn.IFS(P759&lt;=0.2,"Low Windspeed",P759&lt;0.4,"Medium Windspeed",P759&gt;=0.41,"High Windspeed")</f>
        <v>Low Windspeed</v>
      </c>
      <c r="R759" s="35">
        <v>4</v>
      </c>
      <c r="S759" s="35">
        <v>34</v>
      </c>
      <c r="T759" s="40">
        <v>38</v>
      </c>
      <c r="U759" s="39" t="str" cm="1">
        <f t="array" ref="U759">_xlfn.IFS(T759&lt;=70,"Low",T759&lt;=160,"Medium",T759&gt;=161,"High")</f>
        <v>Low</v>
      </c>
    </row>
    <row r="760" spans="1:21" x14ac:dyDescent="0.25">
      <c r="A760" s="33">
        <v>759</v>
      </c>
      <c r="B760" s="34">
        <v>40578</v>
      </c>
      <c r="C760" s="35">
        <v>1</v>
      </c>
      <c r="D760" s="35">
        <v>0</v>
      </c>
      <c r="E760" s="35">
        <v>2</v>
      </c>
      <c r="F760" s="35">
        <v>0</v>
      </c>
      <c r="G760" s="35" t="str" cm="1">
        <f t="array" ref="G760">_xlfn.IFS(F760&lt;4,"Night",F760&lt;=6,"Early Morning",F760&lt;11,"Morning",F760&lt;12,"Afternoon",F760&lt;=16,"Afternoon",F760&lt;=20,"Evening",F760&gt;=21,"Night")</f>
        <v>Night</v>
      </c>
      <c r="H760" s="35" t="b">
        <v>0</v>
      </c>
      <c r="I760" s="35">
        <v>5</v>
      </c>
      <c r="J760" s="35">
        <v>2</v>
      </c>
      <c r="K760" s="35">
        <v>0.2</v>
      </c>
      <c r="L760" s="31" t="str" cm="1">
        <f t="array" ref="L760">_xlfn.IFS(K760&lt;0.15,"Cold",K760&lt;0.25,"Mild",K760&lt;=0.32,"Warm",K760&gt;=0.33,"Hot")</f>
        <v>Mild</v>
      </c>
      <c r="M760" s="35">
        <v>0.2576</v>
      </c>
      <c r="N760" s="35">
        <v>0.44</v>
      </c>
      <c r="O760" s="35" t="str" cm="1">
        <f t="array" ref="O760">_xlfn.IFS(N760&gt;0.61, "High Humidity", N760&gt;=0.6, "Humid", N760&gt;0.4, "Less Humidity", TRUE, "Dry")</f>
        <v>Less Humidity</v>
      </c>
      <c r="P760" s="35">
        <v>0</v>
      </c>
      <c r="Q760" s="35" t="str" cm="1">
        <f t="array" ref="Q760">_xlfn.IFS(P760&lt;=0.2,"Low Windspeed",P760&lt;0.4,"Medium Windspeed",P760&gt;=0.41,"High Windspeed")</f>
        <v>Low Windspeed</v>
      </c>
      <c r="R760" s="35">
        <v>3</v>
      </c>
      <c r="S760" s="35">
        <v>10</v>
      </c>
      <c r="T760" s="40">
        <v>13</v>
      </c>
      <c r="U760" s="39" t="str" cm="1">
        <f t="array" ref="U760">_xlfn.IFS(T760&lt;=70,"Low",T760&lt;=160,"Medium",T760&gt;=161,"High")</f>
        <v>Low</v>
      </c>
    </row>
    <row r="761" spans="1:21" x14ac:dyDescent="0.25">
      <c r="A761" s="33">
        <v>760</v>
      </c>
      <c r="B761" s="34">
        <v>40578</v>
      </c>
      <c r="C761" s="35">
        <v>1</v>
      </c>
      <c r="D761" s="35">
        <v>0</v>
      </c>
      <c r="E761" s="35">
        <v>2</v>
      </c>
      <c r="F761" s="35">
        <v>1</v>
      </c>
      <c r="G761" s="35" t="str" cm="1">
        <f t="array" ref="G761">_xlfn.IFS(F761&lt;4,"Night",F761&lt;=6,"Early Morning",F761&lt;11,"Morning",F761&lt;12,"Afternoon",F761&lt;=16,"Afternoon",F761&lt;=20,"Evening",F761&gt;=21,"Night")</f>
        <v>Night</v>
      </c>
      <c r="H761" s="35" t="b">
        <v>0</v>
      </c>
      <c r="I761" s="35">
        <v>5</v>
      </c>
      <c r="J761" s="35">
        <v>2</v>
      </c>
      <c r="K761" s="35">
        <v>0.16</v>
      </c>
      <c r="L761" s="31" t="str" cm="1">
        <f t="array" ref="L761">_xlfn.IFS(K761&lt;0.15,"Cold",K761&lt;0.25,"Mild",K761&lt;=0.32,"Warm",K761&gt;=0.33,"Hot")</f>
        <v>Mild</v>
      </c>
      <c r="M761" s="35">
        <v>0.2273</v>
      </c>
      <c r="N761" s="35">
        <v>0.59</v>
      </c>
      <c r="O761" s="35" t="str" cm="1">
        <f t="array" ref="O761">_xlfn.IFS(N761&gt;0.61, "High Humidity", N761&gt;=0.6, "Humid", N761&gt;0.4, "Less Humidity", TRUE, "Dry")</f>
        <v>Less Humidity</v>
      </c>
      <c r="P761" s="35">
        <v>0</v>
      </c>
      <c r="Q761" s="35" t="str" cm="1">
        <f t="array" ref="Q761">_xlfn.IFS(P761&lt;=0.2,"Low Windspeed",P761&lt;0.4,"Medium Windspeed",P761&gt;=0.41,"High Windspeed")</f>
        <v>Low Windspeed</v>
      </c>
      <c r="R761" s="35">
        <v>0</v>
      </c>
      <c r="S761" s="35">
        <v>7</v>
      </c>
      <c r="T761" s="40">
        <v>7</v>
      </c>
      <c r="U761" s="39" t="str" cm="1">
        <f t="array" ref="U761">_xlfn.IFS(T761&lt;=70,"Low",T761&lt;=160,"Medium",T761&gt;=161,"High")</f>
        <v>Low</v>
      </c>
    </row>
    <row r="762" spans="1:21" x14ac:dyDescent="0.25">
      <c r="A762" s="33">
        <v>761</v>
      </c>
      <c r="B762" s="34">
        <v>40578</v>
      </c>
      <c r="C762" s="35">
        <v>1</v>
      </c>
      <c r="D762" s="35">
        <v>0</v>
      </c>
      <c r="E762" s="35">
        <v>2</v>
      </c>
      <c r="F762" s="35">
        <v>2</v>
      </c>
      <c r="G762" s="35" t="str" cm="1">
        <f t="array" ref="G762">_xlfn.IFS(F762&lt;4,"Night",F762&lt;=6,"Early Morning",F762&lt;11,"Morning",F762&lt;12,"Afternoon",F762&lt;=16,"Afternoon",F762&lt;=20,"Evening",F762&gt;=21,"Night")</f>
        <v>Night</v>
      </c>
      <c r="H762" s="35" t="b">
        <v>0</v>
      </c>
      <c r="I762" s="35">
        <v>5</v>
      </c>
      <c r="J762" s="35">
        <v>2</v>
      </c>
      <c r="K762" s="35">
        <v>0.14000000000000001</v>
      </c>
      <c r="L762" s="31" t="str" cm="1">
        <f t="array" ref="L762">_xlfn.IFS(K762&lt;0.15,"Cold",K762&lt;0.25,"Mild",K762&lt;=0.32,"Warm",K762&gt;=0.33,"Hot")</f>
        <v>Cold</v>
      </c>
      <c r="M762" s="35">
        <v>0.16669999999999999</v>
      </c>
      <c r="N762" s="35">
        <v>0.63</v>
      </c>
      <c r="O762" s="35" t="str" cm="1">
        <f t="array" ref="O762">_xlfn.IFS(N762&gt;0.61, "High Humidity", N762&gt;=0.6, "Humid", N762&gt;0.4, "Less Humidity", TRUE, "Dry")</f>
        <v>High Humidity</v>
      </c>
      <c r="P762" s="35">
        <v>0.1045</v>
      </c>
      <c r="Q762" s="35" t="str" cm="1">
        <f t="array" ref="Q762">_xlfn.IFS(P762&lt;=0.2,"Low Windspeed",P762&lt;0.4,"Medium Windspeed",P762&gt;=0.41,"High Windspeed")</f>
        <v>Low Windspeed</v>
      </c>
      <c r="R762" s="35">
        <v>0</v>
      </c>
      <c r="S762" s="35">
        <v>1</v>
      </c>
      <c r="T762" s="40">
        <v>1</v>
      </c>
      <c r="U762" s="39" t="str" cm="1">
        <f t="array" ref="U762">_xlfn.IFS(T762&lt;=70,"Low",T762&lt;=160,"Medium",T762&gt;=161,"High")</f>
        <v>Low</v>
      </c>
    </row>
    <row r="763" spans="1:21" x14ac:dyDescent="0.25">
      <c r="A763" s="33">
        <v>762</v>
      </c>
      <c r="B763" s="34">
        <v>40578</v>
      </c>
      <c r="C763" s="35">
        <v>1</v>
      </c>
      <c r="D763" s="35">
        <v>0</v>
      </c>
      <c r="E763" s="35">
        <v>2</v>
      </c>
      <c r="F763" s="35">
        <v>3</v>
      </c>
      <c r="G763" s="35" t="str" cm="1">
        <f t="array" ref="G763">_xlfn.IFS(F763&lt;4,"Night",F763&lt;=6,"Early Morning",F763&lt;11,"Morning",F763&lt;12,"Afternoon",F763&lt;=16,"Afternoon",F763&lt;=20,"Evening",F763&gt;=21,"Night")</f>
        <v>Night</v>
      </c>
      <c r="H763" s="35" t="b">
        <v>0</v>
      </c>
      <c r="I763" s="35">
        <v>5</v>
      </c>
      <c r="J763" s="35">
        <v>2</v>
      </c>
      <c r="K763" s="35">
        <v>0.14000000000000001</v>
      </c>
      <c r="L763" s="31" t="str" cm="1">
        <f t="array" ref="L763">_xlfn.IFS(K763&lt;0.15,"Cold",K763&lt;0.25,"Mild",K763&lt;=0.32,"Warm",K763&gt;=0.33,"Hot")</f>
        <v>Cold</v>
      </c>
      <c r="M763" s="35">
        <v>0.16669999999999999</v>
      </c>
      <c r="N763" s="35">
        <v>0.63</v>
      </c>
      <c r="O763" s="35" t="str" cm="1">
        <f t="array" ref="O763">_xlfn.IFS(N763&gt;0.61, "High Humidity", N763&gt;=0.6, "Humid", N763&gt;0.4, "Less Humidity", TRUE, "Dry")</f>
        <v>High Humidity</v>
      </c>
      <c r="P763" s="35">
        <v>0.1045</v>
      </c>
      <c r="Q763" s="35" t="str" cm="1">
        <f t="array" ref="Q763">_xlfn.IFS(P763&lt;=0.2,"Low Windspeed",P763&lt;0.4,"Medium Windspeed",P763&gt;=0.41,"High Windspeed")</f>
        <v>Low Windspeed</v>
      </c>
      <c r="R763" s="35">
        <v>0</v>
      </c>
      <c r="S763" s="35">
        <v>1</v>
      </c>
      <c r="T763" s="40">
        <v>1</v>
      </c>
      <c r="U763" s="39" t="str" cm="1">
        <f t="array" ref="U763">_xlfn.IFS(T763&lt;=70,"Low",T763&lt;=160,"Medium",T763&gt;=161,"High")</f>
        <v>Low</v>
      </c>
    </row>
    <row r="764" spans="1:21" x14ac:dyDescent="0.25">
      <c r="A764" s="33">
        <v>763</v>
      </c>
      <c r="B764" s="34">
        <v>40578</v>
      </c>
      <c r="C764" s="35">
        <v>1</v>
      </c>
      <c r="D764" s="35">
        <v>0</v>
      </c>
      <c r="E764" s="35">
        <v>2</v>
      </c>
      <c r="F764" s="35">
        <v>5</v>
      </c>
      <c r="G764" s="35" t="str" cm="1">
        <f t="array" ref="G764">_xlfn.IFS(F764&lt;4,"Night",F764&lt;=6,"Early Morning",F764&lt;11,"Morning",F764&lt;12,"Afternoon",F764&lt;=16,"Afternoon",F764&lt;=20,"Evening",F764&gt;=21,"Night")</f>
        <v>Early Morning</v>
      </c>
      <c r="H764" s="35" t="b">
        <v>0</v>
      </c>
      <c r="I764" s="35">
        <v>5</v>
      </c>
      <c r="J764" s="35">
        <v>2</v>
      </c>
      <c r="K764" s="35">
        <v>0.14000000000000001</v>
      </c>
      <c r="L764" s="31" t="str" cm="1">
        <f t="array" ref="L764">_xlfn.IFS(K764&lt;0.15,"Cold",K764&lt;0.25,"Mild",K764&lt;=0.32,"Warm",K764&gt;=0.33,"Hot")</f>
        <v>Cold</v>
      </c>
      <c r="M764" s="35">
        <v>0.1515</v>
      </c>
      <c r="N764" s="35">
        <v>0.63</v>
      </c>
      <c r="O764" s="35" t="str" cm="1">
        <f t="array" ref="O764">_xlfn.IFS(N764&gt;0.61, "High Humidity", N764&gt;=0.6, "Humid", N764&gt;0.4, "Less Humidity", TRUE, "Dry")</f>
        <v>High Humidity</v>
      </c>
      <c r="P764" s="35">
        <v>0.1343</v>
      </c>
      <c r="Q764" s="35" t="str" cm="1">
        <f t="array" ref="Q764">_xlfn.IFS(P764&lt;=0.2,"Low Windspeed",P764&lt;0.4,"Medium Windspeed",P764&gt;=0.41,"High Windspeed")</f>
        <v>Low Windspeed</v>
      </c>
      <c r="R764" s="35">
        <v>0</v>
      </c>
      <c r="S764" s="35">
        <v>7</v>
      </c>
      <c r="T764" s="40">
        <v>7</v>
      </c>
      <c r="U764" s="39" t="str" cm="1">
        <f t="array" ref="U764">_xlfn.IFS(T764&lt;=70,"Low",T764&lt;=160,"Medium",T764&gt;=161,"High")</f>
        <v>Low</v>
      </c>
    </row>
    <row r="765" spans="1:21" x14ac:dyDescent="0.25">
      <c r="A765" s="33">
        <v>764</v>
      </c>
      <c r="B765" s="34">
        <v>40578</v>
      </c>
      <c r="C765" s="35">
        <v>1</v>
      </c>
      <c r="D765" s="35">
        <v>0</v>
      </c>
      <c r="E765" s="35">
        <v>2</v>
      </c>
      <c r="F765" s="35">
        <v>6</v>
      </c>
      <c r="G765" s="35" t="str" cm="1">
        <f t="array" ref="G765">_xlfn.IFS(F765&lt;4,"Night",F765&lt;=6,"Early Morning",F765&lt;11,"Morning",F765&lt;12,"Afternoon",F765&lt;=16,"Afternoon",F765&lt;=20,"Evening",F765&gt;=21,"Night")</f>
        <v>Early Morning</v>
      </c>
      <c r="H765" s="35" t="b">
        <v>0</v>
      </c>
      <c r="I765" s="35">
        <v>5</v>
      </c>
      <c r="J765" s="35">
        <v>2</v>
      </c>
      <c r="K765" s="35">
        <v>0.16</v>
      </c>
      <c r="L765" s="31" t="str" cm="1">
        <f t="array" ref="L765">_xlfn.IFS(K765&lt;0.15,"Cold",K765&lt;0.25,"Mild",K765&lt;=0.32,"Warm",K765&gt;=0.33,"Hot")</f>
        <v>Mild</v>
      </c>
      <c r="M765" s="35">
        <v>0.2273</v>
      </c>
      <c r="N765" s="35">
        <v>0.55000000000000004</v>
      </c>
      <c r="O765" s="35" t="str" cm="1">
        <f t="array" ref="O765">_xlfn.IFS(N765&gt;0.61, "High Humidity", N765&gt;=0.6, "Humid", N765&gt;0.4, "Less Humidity", TRUE, "Dry")</f>
        <v>Less Humidity</v>
      </c>
      <c r="P765" s="35">
        <v>0</v>
      </c>
      <c r="Q765" s="35" t="str" cm="1">
        <f t="array" ref="Q765">_xlfn.IFS(P765&lt;=0.2,"Low Windspeed",P765&lt;0.4,"Medium Windspeed",P765&gt;=0.41,"High Windspeed")</f>
        <v>Low Windspeed</v>
      </c>
      <c r="R765" s="35">
        <v>2</v>
      </c>
      <c r="S765" s="35">
        <v>26</v>
      </c>
      <c r="T765" s="40">
        <v>28</v>
      </c>
      <c r="U765" s="39" t="str" cm="1">
        <f t="array" ref="U765">_xlfn.IFS(T765&lt;=70,"Low",T765&lt;=160,"Medium",T765&gt;=161,"High")</f>
        <v>Low</v>
      </c>
    </row>
    <row r="766" spans="1:21" x14ac:dyDescent="0.25">
      <c r="A766" s="33">
        <v>765</v>
      </c>
      <c r="B766" s="34">
        <v>40578</v>
      </c>
      <c r="C766" s="35">
        <v>1</v>
      </c>
      <c r="D766" s="35">
        <v>0</v>
      </c>
      <c r="E766" s="35">
        <v>2</v>
      </c>
      <c r="F766" s="35">
        <v>7</v>
      </c>
      <c r="G766" s="35" t="str" cm="1">
        <f t="array" ref="G766">_xlfn.IFS(F766&lt;4,"Night",F766&lt;=6,"Early Morning",F766&lt;11,"Morning",F766&lt;12,"Afternoon",F766&lt;=16,"Afternoon",F766&lt;=20,"Evening",F766&gt;=21,"Night")</f>
        <v>Morning</v>
      </c>
      <c r="H766" s="35" t="b">
        <v>0</v>
      </c>
      <c r="I766" s="35">
        <v>5</v>
      </c>
      <c r="J766" s="35">
        <v>1</v>
      </c>
      <c r="K766" s="35">
        <v>0.14000000000000001</v>
      </c>
      <c r="L766" s="31" t="str" cm="1">
        <f t="array" ref="L766">_xlfn.IFS(K766&lt;0.15,"Cold",K766&lt;0.25,"Mild",K766&lt;=0.32,"Warm",K766&gt;=0.33,"Hot")</f>
        <v>Cold</v>
      </c>
      <c r="M766" s="35">
        <v>0.21210000000000001</v>
      </c>
      <c r="N766" s="35">
        <v>0.59</v>
      </c>
      <c r="O766" s="35" t="str" cm="1">
        <f t="array" ref="O766">_xlfn.IFS(N766&gt;0.61, "High Humidity", N766&gt;=0.6, "Humid", N766&gt;0.4, "Less Humidity", TRUE, "Dry")</f>
        <v>Less Humidity</v>
      </c>
      <c r="P766" s="35">
        <v>0</v>
      </c>
      <c r="Q766" s="35" t="str" cm="1">
        <f t="array" ref="Q766">_xlfn.IFS(P766&lt;=0.2,"Low Windspeed",P766&lt;0.4,"Medium Windspeed",P766&gt;=0.41,"High Windspeed")</f>
        <v>Low Windspeed</v>
      </c>
      <c r="R766" s="35">
        <v>0</v>
      </c>
      <c r="S766" s="35">
        <v>87</v>
      </c>
      <c r="T766" s="40">
        <v>87</v>
      </c>
      <c r="U766" s="39" t="str" cm="1">
        <f t="array" ref="U766">_xlfn.IFS(T766&lt;=70,"Low",T766&lt;=160,"Medium",T766&gt;=161,"High")</f>
        <v>Medium</v>
      </c>
    </row>
    <row r="767" spans="1:21" x14ac:dyDescent="0.25">
      <c r="A767" s="33">
        <v>766</v>
      </c>
      <c r="B767" s="34">
        <v>40578</v>
      </c>
      <c r="C767" s="35">
        <v>1</v>
      </c>
      <c r="D767" s="35">
        <v>0</v>
      </c>
      <c r="E767" s="35">
        <v>2</v>
      </c>
      <c r="F767" s="35">
        <v>8</v>
      </c>
      <c r="G767" s="35" t="str" cm="1">
        <f t="array" ref="G767">_xlfn.IFS(F767&lt;4,"Night",F767&lt;=6,"Early Morning",F767&lt;11,"Morning",F767&lt;12,"Afternoon",F767&lt;=16,"Afternoon",F767&lt;=20,"Evening",F767&gt;=21,"Night")</f>
        <v>Morning</v>
      </c>
      <c r="H767" s="35" t="b">
        <v>0</v>
      </c>
      <c r="I767" s="35">
        <v>5</v>
      </c>
      <c r="J767" s="35">
        <v>1</v>
      </c>
      <c r="K767" s="35">
        <v>0.14000000000000001</v>
      </c>
      <c r="L767" s="31" t="str" cm="1">
        <f t="array" ref="L767">_xlfn.IFS(K767&lt;0.15,"Cold",K767&lt;0.25,"Mild",K767&lt;=0.32,"Warm",K767&gt;=0.33,"Hot")</f>
        <v>Cold</v>
      </c>
      <c r="M767" s="35">
        <v>0.1515</v>
      </c>
      <c r="N767" s="35">
        <v>0.74</v>
      </c>
      <c r="O767" s="35" t="str" cm="1">
        <f t="array" ref="O767">_xlfn.IFS(N767&gt;0.61, "High Humidity", N767&gt;=0.6, "Humid", N767&gt;0.4, "Less Humidity", TRUE, "Dry")</f>
        <v>High Humidity</v>
      </c>
      <c r="P767" s="35">
        <v>0.1343</v>
      </c>
      <c r="Q767" s="35" t="str" cm="1">
        <f t="array" ref="Q767">_xlfn.IFS(P767&lt;=0.2,"Low Windspeed",P767&lt;0.4,"Medium Windspeed",P767&gt;=0.41,"High Windspeed")</f>
        <v>Low Windspeed</v>
      </c>
      <c r="R767" s="35">
        <v>3</v>
      </c>
      <c r="S767" s="35">
        <v>217</v>
      </c>
      <c r="T767" s="40">
        <v>220</v>
      </c>
      <c r="U767" s="39" t="str" cm="1">
        <f t="array" ref="U767">_xlfn.IFS(T767&lt;=70,"Low",T767&lt;=160,"Medium",T767&gt;=161,"High")</f>
        <v>High</v>
      </c>
    </row>
    <row r="768" spans="1:21" x14ac:dyDescent="0.25">
      <c r="A768" s="33">
        <v>767</v>
      </c>
      <c r="B768" s="34">
        <v>40578</v>
      </c>
      <c r="C768" s="35">
        <v>1</v>
      </c>
      <c r="D768" s="35">
        <v>0</v>
      </c>
      <c r="E768" s="35">
        <v>2</v>
      </c>
      <c r="F768" s="35">
        <v>9</v>
      </c>
      <c r="G768" s="35" t="str" cm="1">
        <f t="array" ref="G768">_xlfn.IFS(F768&lt;4,"Night",F768&lt;=6,"Early Morning",F768&lt;11,"Morning",F768&lt;12,"Afternoon",F768&lt;=16,"Afternoon",F768&lt;=20,"Evening",F768&gt;=21,"Night")</f>
        <v>Morning</v>
      </c>
      <c r="H768" s="35" t="b">
        <v>0</v>
      </c>
      <c r="I768" s="35">
        <v>5</v>
      </c>
      <c r="J768" s="35">
        <v>2</v>
      </c>
      <c r="K768" s="35">
        <v>0.16</v>
      </c>
      <c r="L768" s="31" t="str" cm="1">
        <f t="array" ref="L768">_xlfn.IFS(K768&lt;0.15,"Cold",K768&lt;0.25,"Mild",K768&lt;=0.32,"Warm",K768&gt;=0.33,"Hot")</f>
        <v>Mild</v>
      </c>
      <c r="M768" s="35">
        <v>0.18179999999999999</v>
      </c>
      <c r="N768" s="35">
        <v>0.8</v>
      </c>
      <c r="O768" s="35" t="str" cm="1">
        <f t="array" ref="O768">_xlfn.IFS(N768&gt;0.61, "High Humidity", N768&gt;=0.6, "Humid", N768&gt;0.4, "Less Humidity", TRUE, "Dry")</f>
        <v>High Humidity</v>
      </c>
      <c r="P768" s="35">
        <v>0.1343</v>
      </c>
      <c r="Q768" s="35" t="str" cm="1">
        <f t="array" ref="Q768">_xlfn.IFS(P768&lt;=0.2,"Low Windspeed",P768&lt;0.4,"Medium Windspeed",P768&gt;=0.41,"High Windspeed")</f>
        <v>Low Windspeed</v>
      </c>
      <c r="R768" s="35">
        <v>3</v>
      </c>
      <c r="S768" s="35">
        <v>124</v>
      </c>
      <c r="T768" s="40">
        <v>127</v>
      </c>
      <c r="U768" s="39" t="str" cm="1">
        <f t="array" ref="U768">_xlfn.IFS(T768&lt;=70,"Low",T768&lt;=160,"Medium",T768&gt;=161,"High")</f>
        <v>Medium</v>
      </c>
    </row>
    <row r="769" spans="1:21" x14ac:dyDescent="0.25">
      <c r="A769" s="33">
        <v>768</v>
      </c>
      <c r="B769" s="34">
        <v>40578</v>
      </c>
      <c r="C769" s="35">
        <v>1</v>
      </c>
      <c r="D769" s="35">
        <v>0</v>
      </c>
      <c r="E769" s="35">
        <v>2</v>
      </c>
      <c r="F769" s="35">
        <v>10</v>
      </c>
      <c r="G769" s="35" t="str" cm="1">
        <f t="array" ref="G769">_xlfn.IFS(F769&lt;4,"Night",F769&lt;=6,"Early Morning",F769&lt;11,"Morning",F769&lt;12,"Afternoon",F769&lt;=16,"Afternoon",F769&lt;=20,"Evening",F769&gt;=21,"Night")</f>
        <v>Morning</v>
      </c>
      <c r="H769" s="35" t="b">
        <v>0</v>
      </c>
      <c r="I769" s="35">
        <v>5</v>
      </c>
      <c r="J769" s="35">
        <v>2</v>
      </c>
      <c r="K769" s="35">
        <v>0.2</v>
      </c>
      <c r="L769" s="31" t="str" cm="1">
        <f t="array" ref="L769">_xlfn.IFS(K769&lt;0.15,"Cold",K769&lt;0.25,"Mild",K769&lt;=0.32,"Warm",K769&gt;=0.33,"Hot")</f>
        <v>Mild</v>
      </c>
      <c r="M769" s="35">
        <v>0.21210000000000001</v>
      </c>
      <c r="N769" s="35">
        <v>0.51</v>
      </c>
      <c r="O769" s="35" t="str" cm="1">
        <f t="array" ref="O769">_xlfn.IFS(N769&gt;0.61, "High Humidity", N769&gt;=0.6, "Humid", N769&gt;0.4, "Less Humidity", TRUE, "Dry")</f>
        <v>Less Humidity</v>
      </c>
      <c r="P769" s="35">
        <v>0.1343</v>
      </c>
      <c r="Q769" s="35" t="str" cm="1">
        <f t="array" ref="Q769">_xlfn.IFS(P769&lt;=0.2,"Low Windspeed",P769&lt;0.4,"Medium Windspeed",P769&gt;=0.41,"High Windspeed")</f>
        <v>Low Windspeed</v>
      </c>
      <c r="R769" s="35">
        <v>5</v>
      </c>
      <c r="S769" s="35">
        <v>46</v>
      </c>
      <c r="T769" s="40">
        <v>51</v>
      </c>
      <c r="U769" s="39" t="str" cm="1">
        <f t="array" ref="U769">_xlfn.IFS(T769&lt;=70,"Low",T769&lt;=160,"Medium",T769&gt;=161,"High")</f>
        <v>Low</v>
      </c>
    </row>
    <row r="770" spans="1:21" x14ac:dyDescent="0.25">
      <c r="A770" s="33">
        <v>769</v>
      </c>
      <c r="B770" s="34">
        <v>40578</v>
      </c>
      <c r="C770" s="35">
        <v>1</v>
      </c>
      <c r="D770" s="35">
        <v>0</v>
      </c>
      <c r="E770" s="35">
        <v>2</v>
      </c>
      <c r="F770" s="35">
        <v>11</v>
      </c>
      <c r="G770" s="35" t="str" cm="1">
        <f t="array" ref="G770">_xlfn.IFS(F770&lt;4,"Night",F770&lt;=6,"Early Morning",F770&lt;11,"Morning",F770&lt;12,"Afternoon",F770&lt;=16,"Afternoon",F770&lt;=20,"Evening",F770&gt;=21,"Night")</f>
        <v>Afternoon</v>
      </c>
      <c r="H770" s="35" t="b">
        <v>0</v>
      </c>
      <c r="I770" s="35">
        <v>5</v>
      </c>
      <c r="J770" s="35">
        <v>1</v>
      </c>
      <c r="K770" s="35">
        <v>0.22</v>
      </c>
      <c r="L770" s="31" t="str" cm="1">
        <f t="array" ref="L770">_xlfn.IFS(K770&lt;0.15,"Cold",K770&lt;0.25,"Mild",K770&lt;=0.32,"Warm",K770&gt;=0.33,"Hot")</f>
        <v>Mild</v>
      </c>
      <c r="M770" s="35">
        <v>0.2273</v>
      </c>
      <c r="N770" s="35">
        <v>0.51</v>
      </c>
      <c r="O770" s="35" t="str" cm="1">
        <f t="array" ref="O770">_xlfn.IFS(N770&gt;0.61, "High Humidity", N770&gt;=0.6, "Humid", N770&gt;0.4, "Less Humidity", TRUE, "Dry")</f>
        <v>Less Humidity</v>
      </c>
      <c r="P770" s="35">
        <v>0.16420000000000001</v>
      </c>
      <c r="Q770" s="35" t="str" cm="1">
        <f t="array" ref="Q770">_xlfn.IFS(P770&lt;=0.2,"Low Windspeed",P770&lt;0.4,"Medium Windspeed",P770&gt;=0.41,"High Windspeed")</f>
        <v>Low Windspeed</v>
      </c>
      <c r="R770" s="35">
        <v>3</v>
      </c>
      <c r="S770" s="35">
        <v>61</v>
      </c>
      <c r="T770" s="40">
        <v>64</v>
      </c>
      <c r="U770" s="39" t="str" cm="1">
        <f t="array" ref="U770">_xlfn.IFS(T770&lt;=70,"Low",T770&lt;=160,"Medium",T770&gt;=161,"High")</f>
        <v>Low</v>
      </c>
    </row>
    <row r="771" spans="1:21" x14ac:dyDescent="0.25">
      <c r="A771" s="33">
        <v>770</v>
      </c>
      <c r="B771" s="34">
        <v>40578</v>
      </c>
      <c r="C771" s="35">
        <v>1</v>
      </c>
      <c r="D771" s="35">
        <v>0</v>
      </c>
      <c r="E771" s="35">
        <v>2</v>
      </c>
      <c r="F771" s="35">
        <v>12</v>
      </c>
      <c r="G771" s="35" t="str" cm="1">
        <f t="array" ref="G771">_xlfn.IFS(F771&lt;4,"Night",F771&lt;=6,"Early Morning",F771&lt;11,"Morning",F771&lt;12,"Afternoon",F771&lt;=16,"Afternoon",F771&lt;=20,"Evening",F771&gt;=21,"Night")</f>
        <v>Afternoon</v>
      </c>
      <c r="H771" s="35" t="b">
        <v>0</v>
      </c>
      <c r="I771" s="35">
        <v>5</v>
      </c>
      <c r="J771" s="35">
        <v>2</v>
      </c>
      <c r="K771" s="35">
        <v>0.24</v>
      </c>
      <c r="L771" s="31" t="str" cm="1">
        <f t="array" ref="L771">_xlfn.IFS(K771&lt;0.15,"Cold",K771&lt;0.25,"Mild",K771&lt;=0.32,"Warm",K771&gt;=0.33,"Hot")</f>
        <v>Mild</v>
      </c>
      <c r="M771" s="35">
        <v>0.2424</v>
      </c>
      <c r="N771" s="35">
        <v>0.48</v>
      </c>
      <c r="O771" s="35" t="str" cm="1">
        <f t="array" ref="O771">_xlfn.IFS(N771&gt;0.61, "High Humidity", N771&gt;=0.6, "Humid", N771&gt;0.4, "Less Humidity", TRUE, "Dry")</f>
        <v>Less Humidity</v>
      </c>
      <c r="P771" s="35">
        <v>0.16420000000000001</v>
      </c>
      <c r="Q771" s="35" t="str" cm="1">
        <f t="array" ref="Q771">_xlfn.IFS(P771&lt;=0.2,"Low Windspeed",P771&lt;0.4,"Medium Windspeed",P771&gt;=0.41,"High Windspeed")</f>
        <v>Low Windspeed</v>
      </c>
      <c r="R771" s="35">
        <v>8</v>
      </c>
      <c r="S771" s="35">
        <v>78</v>
      </c>
      <c r="T771" s="40">
        <v>86</v>
      </c>
      <c r="U771" s="39" t="str" cm="1">
        <f t="array" ref="U771">_xlfn.IFS(T771&lt;=70,"Low",T771&lt;=160,"Medium",T771&gt;=161,"High")</f>
        <v>Medium</v>
      </c>
    </row>
    <row r="772" spans="1:21" x14ac:dyDescent="0.25">
      <c r="A772" s="33">
        <v>771</v>
      </c>
      <c r="B772" s="34">
        <v>40578</v>
      </c>
      <c r="C772" s="35">
        <v>1</v>
      </c>
      <c r="D772" s="35">
        <v>0</v>
      </c>
      <c r="E772" s="35">
        <v>2</v>
      </c>
      <c r="F772" s="35">
        <v>13</v>
      </c>
      <c r="G772" s="35" t="str" cm="1">
        <f t="array" ref="G772">_xlfn.IFS(F772&lt;4,"Night",F772&lt;=6,"Early Morning",F772&lt;11,"Morning",F772&lt;12,"Afternoon",F772&lt;=16,"Afternoon",F772&lt;=20,"Evening",F772&gt;=21,"Night")</f>
        <v>Afternoon</v>
      </c>
      <c r="H772" s="35" t="b">
        <v>0</v>
      </c>
      <c r="I772" s="35">
        <v>5</v>
      </c>
      <c r="J772" s="35">
        <v>2</v>
      </c>
      <c r="K772" s="35">
        <v>0.26</v>
      </c>
      <c r="L772" s="31" t="str" cm="1">
        <f t="array" ref="L772">_xlfn.IFS(K772&lt;0.15,"Cold",K772&lt;0.25,"Mild",K772&lt;=0.32,"Warm",K772&gt;=0.33,"Hot")</f>
        <v>Warm</v>
      </c>
      <c r="M772" s="35">
        <v>0.2576</v>
      </c>
      <c r="N772" s="35">
        <v>0.5</v>
      </c>
      <c r="O772" s="35" t="str" cm="1">
        <f t="array" ref="O772">_xlfn.IFS(N772&gt;0.61, "High Humidity", N772&gt;=0.6, "Humid", N772&gt;0.4, "Less Humidity", TRUE, "Dry")</f>
        <v>Less Humidity</v>
      </c>
      <c r="P772" s="35">
        <v>0.22389999999999999</v>
      </c>
      <c r="Q772" s="35" t="str" cm="1">
        <f t="array" ref="Q772">_xlfn.IFS(P772&lt;=0.2,"Low Windspeed",P772&lt;0.4,"Medium Windspeed",P772&gt;=0.41,"High Windspeed")</f>
        <v>Medium Windspeed</v>
      </c>
      <c r="R772" s="35">
        <v>9</v>
      </c>
      <c r="S772" s="35">
        <v>73</v>
      </c>
      <c r="T772" s="40">
        <v>82</v>
      </c>
      <c r="U772" s="39" t="str" cm="1">
        <f t="array" ref="U772">_xlfn.IFS(T772&lt;=70,"Low",T772&lt;=160,"Medium",T772&gt;=161,"High")</f>
        <v>Medium</v>
      </c>
    </row>
    <row r="773" spans="1:21" x14ac:dyDescent="0.25">
      <c r="A773" s="33">
        <v>772</v>
      </c>
      <c r="B773" s="34">
        <v>40578</v>
      </c>
      <c r="C773" s="35">
        <v>1</v>
      </c>
      <c r="D773" s="35">
        <v>0</v>
      </c>
      <c r="E773" s="35">
        <v>2</v>
      </c>
      <c r="F773" s="35">
        <v>14</v>
      </c>
      <c r="G773" s="35" t="str" cm="1">
        <f t="array" ref="G773">_xlfn.IFS(F773&lt;4,"Night",F773&lt;=6,"Early Morning",F773&lt;11,"Morning",F773&lt;12,"Afternoon",F773&lt;=16,"Afternoon",F773&lt;=20,"Evening",F773&gt;=21,"Night")</f>
        <v>Afternoon</v>
      </c>
      <c r="H773" s="35" t="b">
        <v>0</v>
      </c>
      <c r="I773" s="35">
        <v>5</v>
      </c>
      <c r="J773" s="35">
        <v>2</v>
      </c>
      <c r="K773" s="35">
        <v>0.28000000000000003</v>
      </c>
      <c r="L773" s="31" t="str" cm="1">
        <f t="array" ref="L773">_xlfn.IFS(K773&lt;0.15,"Cold",K773&lt;0.25,"Mild",K773&lt;=0.32,"Warm",K773&gt;=0.33,"Hot")</f>
        <v>Warm</v>
      </c>
      <c r="M773" s="35">
        <v>0.2727</v>
      </c>
      <c r="N773" s="35">
        <v>0.45</v>
      </c>
      <c r="O773" s="35" t="str" cm="1">
        <f t="array" ref="O773">_xlfn.IFS(N773&gt;0.61, "High Humidity", N773&gt;=0.6, "Humid", N773&gt;0.4, "Less Humidity", TRUE, "Dry")</f>
        <v>Less Humidity</v>
      </c>
      <c r="P773" s="35">
        <v>0.16420000000000001</v>
      </c>
      <c r="Q773" s="35" t="str" cm="1">
        <f t="array" ref="Q773">_xlfn.IFS(P773&lt;=0.2,"Low Windspeed",P773&lt;0.4,"Medium Windspeed",P773&gt;=0.41,"High Windspeed")</f>
        <v>Low Windspeed</v>
      </c>
      <c r="R773" s="35">
        <v>15</v>
      </c>
      <c r="S773" s="35">
        <v>76</v>
      </c>
      <c r="T773" s="40">
        <v>91</v>
      </c>
      <c r="U773" s="39" t="str" cm="1">
        <f t="array" ref="U773">_xlfn.IFS(T773&lt;=70,"Low",T773&lt;=160,"Medium",T773&gt;=161,"High")</f>
        <v>Medium</v>
      </c>
    </row>
    <row r="774" spans="1:21" x14ac:dyDescent="0.25">
      <c r="A774" s="33">
        <v>773</v>
      </c>
      <c r="B774" s="34">
        <v>40578</v>
      </c>
      <c r="C774" s="35">
        <v>1</v>
      </c>
      <c r="D774" s="35">
        <v>0</v>
      </c>
      <c r="E774" s="35">
        <v>2</v>
      </c>
      <c r="F774" s="35">
        <v>15</v>
      </c>
      <c r="G774" s="35" t="str" cm="1">
        <f t="array" ref="G774">_xlfn.IFS(F774&lt;4,"Night",F774&lt;=6,"Early Morning",F774&lt;11,"Morning",F774&lt;12,"Afternoon",F774&lt;=16,"Afternoon",F774&lt;=20,"Evening",F774&gt;=21,"Night")</f>
        <v>Afternoon</v>
      </c>
      <c r="H774" s="35" t="b">
        <v>0</v>
      </c>
      <c r="I774" s="35">
        <v>5</v>
      </c>
      <c r="J774" s="35">
        <v>2</v>
      </c>
      <c r="K774" s="35">
        <v>0.28000000000000003</v>
      </c>
      <c r="L774" s="31" t="str" cm="1">
        <f t="array" ref="L774">_xlfn.IFS(K774&lt;0.15,"Cold",K774&lt;0.25,"Mild",K774&lt;=0.32,"Warm",K774&gt;=0.33,"Hot")</f>
        <v>Warm</v>
      </c>
      <c r="M774" s="35">
        <v>0.2727</v>
      </c>
      <c r="N774" s="35">
        <v>0.48</v>
      </c>
      <c r="O774" s="35" t="str" cm="1">
        <f t="array" ref="O774">_xlfn.IFS(N774&gt;0.61, "High Humidity", N774&gt;=0.6, "Humid", N774&gt;0.4, "Less Humidity", TRUE, "Dry")</f>
        <v>Less Humidity</v>
      </c>
      <c r="P774" s="35">
        <v>0.25369999999999998</v>
      </c>
      <c r="Q774" s="35" t="str" cm="1">
        <f t="array" ref="Q774">_xlfn.IFS(P774&lt;=0.2,"Low Windspeed",P774&lt;0.4,"Medium Windspeed",P774&gt;=0.41,"High Windspeed")</f>
        <v>Medium Windspeed</v>
      </c>
      <c r="R774" s="35">
        <v>9</v>
      </c>
      <c r="S774" s="35">
        <v>81</v>
      </c>
      <c r="T774" s="40">
        <v>90</v>
      </c>
      <c r="U774" s="39" t="str" cm="1">
        <f t="array" ref="U774">_xlfn.IFS(T774&lt;=70,"Low",T774&lt;=160,"Medium",T774&gt;=161,"High")</f>
        <v>Medium</v>
      </c>
    </row>
    <row r="775" spans="1:21" x14ac:dyDescent="0.25">
      <c r="A775" s="33">
        <v>774</v>
      </c>
      <c r="B775" s="34">
        <v>40578</v>
      </c>
      <c r="C775" s="35">
        <v>1</v>
      </c>
      <c r="D775" s="35">
        <v>0</v>
      </c>
      <c r="E775" s="35">
        <v>2</v>
      </c>
      <c r="F775" s="35">
        <v>16</v>
      </c>
      <c r="G775" s="35" t="str" cm="1">
        <f t="array" ref="G775">_xlfn.IFS(F775&lt;4,"Night",F775&lt;=6,"Early Morning",F775&lt;11,"Morning",F775&lt;12,"Afternoon",F775&lt;=16,"Afternoon",F775&lt;=20,"Evening",F775&gt;=21,"Night")</f>
        <v>Afternoon</v>
      </c>
      <c r="H775" s="35" t="b">
        <v>0</v>
      </c>
      <c r="I775" s="35">
        <v>5</v>
      </c>
      <c r="J775" s="35">
        <v>2</v>
      </c>
      <c r="K775" s="35">
        <v>0.3</v>
      </c>
      <c r="L775" s="31" t="str" cm="1">
        <f t="array" ref="L775">_xlfn.IFS(K775&lt;0.15,"Cold",K775&lt;0.25,"Mild",K775&lt;=0.32,"Warm",K775&gt;=0.33,"Hot")</f>
        <v>Warm</v>
      </c>
      <c r="M775" s="35">
        <v>0.28789999999999999</v>
      </c>
      <c r="N775" s="35">
        <v>0.42</v>
      </c>
      <c r="O775" s="35" t="str" cm="1">
        <f t="array" ref="O775">_xlfn.IFS(N775&gt;0.61, "High Humidity", N775&gt;=0.6, "Humid", N775&gt;0.4, "Less Humidity", TRUE, "Dry")</f>
        <v>Less Humidity</v>
      </c>
      <c r="P775" s="35">
        <v>0.22389999999999999</v>
      </c>
      <c r="Q775" s="35" t="str" cm="1">
        <f t="array" ref="Q775">_xlfn.IFS(P775&lt;=0.2,"Low Windspeed",P775&lt;0.4,"Medium Windspeed",P775&gt;=0.41,"High Windspeed")</f>
        <v>Medium Windspeed</v>
      </c>
      <c r="R775" s="35">
        <v>8</v>
      </c>
      <c r="S775" s="35">
        <v>91</v>
      </c>
      <c r="T775" s="40">
        <v>99</v>
      </c>
      <c r="U775" s="39" t="str" cm="1">
        <f t="array" ref="U775">_xlfn.IFS(T775&lt;=70,"Low",T775&lt;=160,"Medium",T775&gt;=161,"High")</f>
        <v>Medium</v>
      </c>
    </row>
    <row r="776" spans="1:21" x14ac:dyDescent="0.25">
      <c r="A776" s="33">
        <v>775</v>
      </c>
      <c r="B776" s="34">
        <v>40578</v>
      </c>
      <c r="C776" s="35">
        <v>1</v>
      </c>
      <c r="D776" s="35">
        <v>0</v>
      </c>
      <c r="E776" s="35">
        <v>2</v>
      </c>
      <c r="F776" s="35">
        <v>17</v>
      </c>
      <c r="G776" s="35" t="str" cm="1">
        <f t="array" ref="G776">_xlfn.IFS(F776&lt;4,"Night",F776&lt;=6,"Early Morning",F776&lt;11,"Morning",F776&lt;12,"Afternoon",F776&lt;=16,"Afternoon",F776&lt;=20,"Evening",F776&gt;=21,"Night")</f>
        <v>Evening</v>
      </c>
      <c r="H776" s="35" t="b">
        <v>0</v>
      </c>
      <c r="I776" s="35">
        <v>5</v>
      </c>
      <c r="J776" s="35">
        <v>2</v>
      </c>
      <c r="K776" s="35">
        <v>0.26</v>
      </c>
      <c r="L776" s="31" t="str" cm="1">
        <f t="array" ref="L776">_xlfn.IFS(K776&lt;0.15,"Cold",K776&lt;0.25,"Mild",K776&lt;=0.32,"Warm",K776&gt;=0.33,"Hot")</f>
        <v>Warm</v>
      </c>
      <c r="M776" s="35">
        <v>0.2727</v>
      </c>
      <c r="N776" s="35">
        <v>0.56000000000000005</v>
      </c>
      <c r="O776" s="35" t="str" cm="1">
        <f t="array" ref="O776">_xlfn.IFS(N776&gt;0.61, "High Humidity", N776&gt;=0.6, "Humid", N776&gt;0.4, "Less Humidity", TRUE, "Dry")</f>
        <v>Less Humidity</v>
      </c>
      <c r="P776" s="35">
        <v>0.1343</v>
      </c>
      <c r="Q776" s="35" t="str" cm="1">
        <f t="array" ref="Q776">_xlfn.IFS(P776&lt;=0.2,"Low Windspeed",P776&lt;0.4,"Medium Windspeed",P776&gt;=0.41,"High Windspeed")</f>
        <v>Low Windspeed</v>
      </c>
      <c r="R776" s="35">
        <v>10</v>
      </c>
      <c r="S776" s="35">
        <v>195</v>
      </c>
      <c r="T776" s="40">
        <v>205</v>
      </c>
      <c r="U776" s="39" t="str" cm="1">
        <f t="array" ref="U776">_xlfn.IFS(T776&lt;=70,"Low",T776&lt;=160,"Medium",T776&gt;=161,"High")</f>
        <v>High</v>
      </c>
    </row>
    <row r="777" spans="1:21" x14ac:dyDescent="0.25">
      <c r="A777" s="33">
        <v>776</v>
      </c>
      <c r="B777" s="34">
        <v>40578</v>
      </c>
      <c r="C777" s="35">
        <v>1</v>
      </c>
      <c r="D777" s="35">
        <v>0</v>
      </c>
      <c r="E777" s="35">
        <v>2</v>
      </c>
      <c r="F777" s="35">
        <v>18</v>
      </c>
      <c r="G777" s="35" t="str" cm="1">
        <f t="array" ref="G777">_xlfn.IFS(F777&lt;4,"Night",F777&lt;=6,"Early Morning",F777&lt;11,"Morning",F777&lt;12,"Afternoon",F777&lt;=16,"Afternoon",F777&lt;=20,"Evening",F777&gt;=21,"Night")</f>
        <v>Evening</v>
      </c>
      <c r="H777" s="35" t="b">
        <v>0</v>
      </c>
      <c r="I777" s="35">
        <v>5</v>
      </c>
      <c r="J777" s="35">
        <v>2</v>
      </c>
      <c r="K777" s="35">
        <v>0.24</v>
      </c>
      <c r="L777" s="31" t="str" cm="1">
        <f t="array" ref="L777">_xlfn.IFS(K777&lt;0.15,"Cold",K777&lt;0.25,"Mild",K777&lt;=0.32,"Warm",K777&gt;=0.33,"Hot")</f>
        <v>Mild</v>
      </c>
      <c r="M777" s="35">
        <v>0.2576</v>
      </c>
      <c r="N777" s="35">
        <v>0.6</v>
      </c>
      <c r="O777" s="35" t="str" cm="1">
        <f t="array" ref="O777">_xlfn.IFS(N777&gt;0.61, "High Humidity", N777&gt;=0.6, "Humid", N777&gt;0.4, "Less Humidity", TRUE, "Dry")</f>
        <v>Humid</v>
      </c>
      <c r="P777" s="35">
        <v>0.1045</v>
      </c>
      <c r="Q777" s="35" t="str" cm="1">
        <f t="array" ref="Q777">_xlfn.IFS(P777&lt;=0.2,"Low Windspeed",P777&lt;0.4,"Medium Windspeed",P777&gt;=0.41,"High Windspeed")</f>
        <v>Low Windspeed</v>
      </c>
      <c r="R777" s="35">
        <v>3</v>
      </c>
      <c r="S777" s="35">
        <v>152</v>
      </c>
      <c r="T777" s="40">
        <v>155</v>
      </c>
      <c r="U777" s="39" t="str" cm="1">
        <f t="array" ref="U777">_xlfn.IFS(T777&lt;=70,"Low",T777&lt;=160,"Medium",T777&gt;=161,"High")</f>
        <v>Medium</v>
      </c>
    </row>
    <row r="778" spans="1:21" x14ac:dyDescent="0.25">
      <c r="A778" s="33">
        <v>777</v>
      </c>
      <c r="B778" s="34">
        <v>40578</v>
      </c>
      <c r="C778" s="35">
        <v>1</v>
      </c>
      <c r="D778" s="35">
        <v>0</v>
      </c>
      <c r="E778" s="35">
        <v>2</v>
      </c>
      <c r="F778" s="35">
        <v>19</v>
      </c>
      <c r="G778" s="35" t="str" cm="1">
        <f t="array" ref="G778">_xlfn.IFS(F778&lt;4,"Night",F778&lt;=6,"Early Morning",F778&lt;11,"Morning",F778&lt;12,"Afternoon",F778&lt;=16,"Afternoon",F778&lt;=20,"Evening",F778&gt;=21,"Night")</f>
        <v>Evening</v>
      </c>
      <c r="H778" s="35" t="b">
        <v>0</v>
      </c>
      <c r="I778" s="35">
        <v>5</v>
      </c>
      <c r="J778" s="35">
        <v>2</v>
      </c>
      <c r="K778" s="35">
        <v>0.24</v>
      </c>
      <c r="L778" s="31" t="str" cm="1">
        <f t="array" ref="L778">_xlfn.IFS(K778&lt;0.15,"Cold",K778&lt;0.25,"Mild",K778&lt;=0.32,"Warm",K778&gt;=0.33,"Hot")</f>
        <v>Mild</v>
      </c>
      <c r="M778" s="35">
        <v>0.2424</v>
      </c>
      <c r="N778" s="35">
        <v>0.65</v>
      </c>
      <c r="O778" s="35" t="str" cm="1">
        <f t="array" ref="O778">_xlfn.IFS(N778&gt;0.61, "High Humidity", N778&gt;=0.6, "Humid", N778&gt;0.4, "Less Humidity", TRUE, "Dry")</f>
        <v>High Humidity</v>
      </c>
      <c r="P778" s="35">
        <v>0.1343</v>
      </c>
      <c r="Q778" s="35" t="str" cm="1">
        <f t="array" ref="Q778">_xlfn.IFS(P778&lt;=0.2,"Low Windspeed",P778&lt;0.4,"Medium Windspeed",P778&gt;=0.41,"High Windspeed")</f>
        <v>Low Windspeed</v>
      </c>
      <c r="R778" s="35">
        <v>1</v>
      </c>
      <c r="S778" s="35">
        <v>102</v>
      </c>
      <c r="T778" s="40">
        <v>103</v>
      </c>
      <c r="U778" s="39" t="str" cm="1">
        <f t="array" ref="U778">_xlfn.IFS(T778&lt;=70,"Low",T778&lt;=160,"Medium",T778&gt;=161,"High")</f>
        <v>Medium</v>
      </c>
    </row>
    <row r="779" spans="1:21" x14ac:dyDescent="0.25">
      <c r="A779" s="33">
        <v>778</v>
      </c>
      <c r="B779" s="34">
        <v>40578</v>
      </c>
      <c r="C779" s="35">
        <v>1</v>
      </c>
      <c r="D779" s="35">
        <v>0</v>
      </c>
      <c r="E779" s="35">
        <v>2</v>
      </c>
      <c r="F779" s="35">
        <v>20</v>
      </c>
      <c r="G779" s="35" t="str" cm="1">
        <f t="array" ref="G779">_xlfn.IFS(F779&lt;4,"Night",F779&lt;=6,"Early Morning",F779&lt;11,"Morning",F779&lt;12,"Afternoon",F779&lt;=16,"Afternoon",F779&lt;=20,"Evening",F779&gt;=21,"Night")</f>
        <v>Evening</v>
      </c>
      <c r="H779" s="35" t="b">
        <v>0</v>
      </c>
      <c r="I779" s="35">
        <v>5</v>
      </c>
      <c r="J779" s="35">
        <v>2</v>
      </c>
      <c r="K779" s="35">
        <v>0.24</v>
      </c>
      <c r="L779" s="31" t="str" cm="1">
        <f t="array" ref="L779">_xlfn.IFS(K779&lt;0.15,"Cold",K779&lt;0.25,"Mild",K779&lt;=0.32,"Warm",K779&gt;=0.33,"Hot")</f>
        <v>Mild</v>
      </c>
      <c r="M779" s="35">
        <v>0.2424</v>
      </c>
      <c r="N779" s="35">
        <v>0.65</v>
      </c>
      <c r="O779" s="35" t="str" cm="1">
        <f t="array" ref="O779">_xlfn.IFS(N779&gt;0.61, "High Humidity", N779&gt;=0.6, "Humid", N779&gt;0.4, "Less Humidity", TRUE, "Dry")</f>
        <v>High Humidity</v>
      </c>
      <c r="P779" s="35">
        <v>0.16420000000000001</v>
      </c>
      <c r="Q779" s="35" t="str" cm="1">
        <f t="array" ref="Q779">_xlfn.IFS(P779&lt;=0.2,"Low Windspeed",P779&lt;0.4,"Medium Windspeed",P779&gt;=0.41,"High Windspeed")</f>
        <v>Low Windspeed</v>
      </c>
      <c r="R779" s="35">
        <v>2</v>
      </c>
      <c r="S779" s="35">
        <v>69</v>
      </c>
      <c r="T779" s="40">
        <v>71</v>
      </c>
      <c r="U779" s="39" t="str" cm="1">
        <f t="array" ref="U779">_xlfn.IFS(T779&lt;=70,"Low",T779&lt;=160,"Medium",T779&gt;=161,"High")</f>
        <v>Medium</v>
      </c>
    </row>
    <row r="780" spans="1:21" x14ac:dyDescent="0.25">
      <c r="A780" s="33">
        <v>779</v>
      </c>
      <c r="B780" s="34">
        <v>40578</v>
      </c>
      <c r="C780" s="35">
        <v>1</v>
      </c>
      <c r="D780" s="35">
        <v>0</v>
      </c>
      <c r="E780" s="35">
        <v>2</v>
      </c>
      <c r="F780" s="35">
        <v>21</v>
      </c>
      <c r="G780" s="35" t="str" cm="1">
        <f t="array" ref="G780">_xlfn.IFS(F780&lt;4,"Night",F780&lt;=6,"Early Morning",F780&lt;11,"Morning",F780&lt;12,"Afternoon",F780&lt;=16,"Afternoon",F780&lt;=20,"Evening",F780&gt;=21,"Night")</f>
        <v>Night</v>
      </c>
      <c r="H780" s="35" t="b">
        <v>0</v>
      </c>
      <c r="I780" s="35">
        <v>5</v>
      </c>
      <c r="J780" s="35">
        <v>2</v>
      </c>
      <c r="K780" s="35">
        <v>0.24</v>
      </c>
      <c r="L780" s="31" t="str" cm="1">
        <f t="array" ref="L780">_xlfn.IFS(K780&lt;0.15,"Cold",K780&lt;0.25,"Mild",K780&lt;=0.32,"Warm",K780&gt;=0.33,"Hot")</f>
        <v>Mild</v>
      </c>
      <c r="M780" s="35">
        <v>0.2424</v>
      </c>
      <c r="N780" s="35">
        <v>0.7</v>
      </c>
      <c r="O780" s="35" t="str" cm="1">
        <f t="array" ref="O780">_xlfn.IFS(N780&gt;0.61, "High Humidity", N780&gt;=0.6, "Humid", N780&gt;0.4, "Less Humidity", TRUE, "Dry")</f>
        <v>High Humidity</v>
      </c>
      <c r="P780" s="35">
        <v>0.16420000000000001</v>
      </c>
      <c r="Q780" s="35" t="str" cm="1">
        <f t="array" ref="Q780">_xlfn.IFS(P780&lt;=0.2,"Low Windspeed",P780&lt;0.4,"Medium Windspeed",P780&gt;=0.41,"High Windspeed")</f>
        <v>Low Windspeed</v>
      </c>
      <c r="R780" s="35">
        <v>2</v>
      </c>
      <c r="S780" s="35">
        <v>41</v>
      </c>
      <c r="T780" s="40">
        <v>43</v>
      </c>
      <c r="U780" s="39" t="str" cm="1">
        <f t="array" ref="U780">_xlfn.IFS(T780&lt;=70,"Low",T780&lt;=160,"Medium",T780&gt;=161,"High")</f>
        <v>Low</v>
      </c>
    </row>
    <row r="781" spans="1:21" x14ac:dyDescent="0.25">
      <c r="A781" s="33">
        <v>780</v>
      </c>
      <c r="B781" s="34">
        <v>40578</v>
      </c>
      <c r="C781" s="35">
        <v>1</v>
      </c>
      <c r="D781" s="35">
        <v>0</v>
      </c>
      <c r="E781" s="35">
        <v>2</v>
      </c>
      <c r="F781" s="35">
        <v>22</v>
      </c>
      <c r="G781" s="35" t="str" cm="1">
        <f t="array" ref="G781">_xlfn.IFS(F781&lt;4,"Night",F781&lt;=6,"Early Morning",F781&lt;11,"Morning",F781&lt;12,"Afternoon",F781&lt;=16,"Afternoon",F781&lt;=20,"Evening",F781&gt;=21,"Night")</f>
        <v>Night</v>
      </c>
      <c r="H781" s="35" t="b">
        <v>0</v>
      </c>
      <c r="I781" s="35">
        <v>5</v>
      </c>
      <c r="J781" s="35">
        <v>2</v>
      </c>
      <c r="K781" s="35">
        <v>0.24</v>
      </c>
      <c r="L781" s="31" t="str" cm="1">
        <f t="array" ref="L781">_xlfn.IFS(K781&lt;0.15,"Cold",K781&lt;0.25,"Mild",K781&lt;=0.32,"Warm",K781&gt;=0.33,"Hot")</f>
        <v>Mild</v>
      </c>
      <c r="M781" s="35">
        <v>0.2424</v>
      </c>
      <c r="N781" s="35">
        <v>0.65</v>
      </c>
      <c r="O781" s="35" t="str" cm="1">
        <f t="array" ref="O781">_xlfn.IFS(N781&gt;0.61, "High Humidity", N781&gt;=0.6, "Humid", N781&gt;0.4, "Less Humidity", TRUE, "Dry")</f>
        <v>High Humidity</v>
      </c>
      <c r="P781" s="35">
        <v>0.16420000000000001</v>
      </c>
      <c r="Q781" s="35" t="str" cm="1">
        <f t="array" ref="Q781">_xlfn.IFS(P781&lt;=0.2,"Low Windspeed",P781&lt;0.4,"Medium Windspeed",P781&gt;=0.41,"High Windspeed")</f>
        <v>Low Windspeed</v>
      </c>
      <c r="R781" s="35">
        <v>1</v>
      </c>
      <c r="S781" s="35">
        <v>45</v>
      </c>
      <c r="T781" s="40">
        <v>46</v>
      </c>
      <c r="U781" s="39" t="str" cm="1">
        <f t="array" ref="U781">_xlfn.IFS(T781&lt;=70,"Low",T781&lt;=160,"Medium",T781&gt;=161,"High")</f>
        <v>Low</v>
      </c>
    </row>
    <row r="782" spans="1:21" x14ac:dyDescent="0.25">
      <c r="A782" s="33">
        <v>781</v>
      </c>
      <c r="B782" s="34">
        <v>40578</v>
      </c>
      <c r="C782" s="35">
        <v>1</v>
      </c>
      <c r="D782" s="35">
        <v>0</v>
      </c>
      <c r="E782" s="35">
        <v>2</v>
      </c>
      <c r="F782" s="35">
        <v>23</v>
      </c>
      <c r="G782" s="35" t="str" cm="1">
        <f t="array" ref="G782">_xlfn.IFS(F782&lt;4,"Night",F782&lt;=6,"Early Morning",F782&lt;11,"Morning",F782&lt;12,"Afternoon",F782&lt;=16,"Afternoon",F782&lt;=20,"Evening",F782&gt;=21,"Night")</f>
        <v>Night</v>
      </c>
      <c r="H782" s="35" t="b">
        <v>0</v>
      </c>
      <c r="I782" s="35">
        <v>5</v>
      </c>
      <c r="J782" s="35">
        <v>2</v>
      </c>
      <c r="K782" s="35">
        <v>0.24</v>
      </c>
      <c r="L782" s="31" t="str" cm="1">
        <f t="array" ref="L782">_xlfn.IFS(K782&lt;0.15,"Cold",K782&lt;0.25,"Mild",K782&lt;=0.32,"Warm",K782&gt;=0.33,"Hot")</f>
        <v>Mild</v>
      </c>
      <c r="M782" s="35">
        <v>0.2424</v>
      </c>
      <c r="N782" s="35">
        <v>0.7</v>
      </c>
      <c r="O782" s="35" t="str" cm="1">
        <f t="array" ref="O782">_xlfn.IFS(N782&gt;0.61, "High Humidity", N782&gt;=0.6, "Humid", N782&gt;0.4, "Less Humidity", TRUE, "Dry")</f>
        <v>High Humidity</v>
      </c>
      <c r="P782" s="35">
        <v>0.1343</v>
      </c>
      <c r="Q782" s="35" t="str" cm="1">
        <f t="array" ref="Q782">_xlfn.IFS(P782&lt;=0.2,"Low Windspeed",P782&lt;0.4,"Medium Windspeed",P782&gt;=0.41,"High Windspeed")</f>
        <v>Low Windspeed</v>
      </c>
      <c r="R782" s="35">
        <v>1</v>
      </c>
      <c r="S782" s="35">
        <v>30</v>
      </c>
      <c r="T782" s="40">
        <v>31</v>
      </c>
      <c r="U782" s="39" t="str" cm="1">
        <f t="array" ref="U782">_xlfn.IFS(T782&lt;=70,"Low",T782&lt;=160,"Medium",T782&gt;=161,"High")</f>
        <v>Low</v>
      </c>
    </row>
    <row r="783" spans="1:21" x14ac:dyDescent="0.25">
      <c r="A783" s="33">
        <v>782</v>
      </c>
      <c r="B783" s="34">
        <v>40579</v>
      </c>
      <c r="C783" s="35">
        <v>1</v>
      </c>
      <c r="D783" s="35">
        <v>0</v>
      </c>
      <c r="E783" s="35">
        <v>2</v>
      </c>
      <c r="F783" s="35">
        <v>0</v>
      </c>
      <c r="G783" s="35" t="str" cm="1">
        <f t="array" ref="G783">_xlfn.IFS(F783&lt;4,"Night",F783&lt;=6,"Early Morning",F783&lt;11,"Morning",F783&lt;12,"Afternoon",F783&lt;=16,"Afternoon",F783&lt;=20,"Evening",F783&gt;=21,"Night")</f>
        <v>Night</v>
      </c>
      <c r="H783" s="35" t="b">
        <v>0</v>
      </c>
      <c r="I783" s="35">
        <v>6</v>
      </c>
      <c r="J783" s="35">
        <v>2</v>
      </c>
      <c r="K783" s="35">
        <v>0.24</v>
      </c>
      <c r="L783" s="31" t="str" cm="1">
        <f t="array" ref="L783">_xlfn.IFS(K783&lt;0.15,"Cold",K783&lt;0.25,"Mild",K783&lt;=0.32,"Warm",K783&gt;=0.33,"Hot")</f>
        <v>Mild</v>
      </c>
      <c r="M783" s="35">
        <v>0.2424</v>
      </c>
      <c r="N783" s="35">
        <v>0.7</v>
      </c>
      <c r="O783" s="35" t="str" cm="1">
        <f t="array" ref="O783">_xlfn.IFS(N783&gt;0.61, "High Humidity", N783&gt;=0.6, "Humid", N783&gt;0.4, "Less Humidity", TRUE, "Dry")</f>
        <v>High Humidity</v>
      </c>
      <c r="P783" s="35">
        <v>0.16420000000000001</v>
      </c>
      <c r="Q783" s="35" t="str" cm="1">
        <f t="array" ref="Q783">_xlfn.IFS(P783&lt;=0.2,"Low Windspeed",P783&lt;0.4,"Medium Windspeed",P783&gt;=0.41,"High Windspeed")</f>
        <v>Low Windspeed</v>
      </c>
      <c r="R783" s="35">
        <v>3</v>
      </c>
      <c r="S783" s="35">
        <v>36</v>
      </c>
      <c r="T783" s="40">
        <v>39</v>
      </c>
      <c r="U783" s="39" t="str" cm="1">
        <f t="array" ref="U783">_xlfn.IFS(T783&lt;=70,"Low",T783&lt;=160,"Medium",T783&gt;=161,"High")</f>
        <v>Low</v>
      </c>
    </row>
    <row r="784" spans="1:21" x14ac:dyDescent="0.25">
      <c r="A784" s="33">
        <v>783</v>
      </c>
      <c r="B784" s="34">
        <v>40579</v>
      </c>
      <c r="C784" s="35">
        <v>1</v>
      </c>
      <c r="D784" s="35">
        <v>0</v>
      </c>
      <c r="E784" s="35">
        <v>2</v>
      </c>
      <c r="F784" s="35">
        <v>1</v>
      </c>
      <c r="G784" s="35" t="str" cm="1">
        <f t="array" ref="G784">_xlfn.IFS(F784&lt;4,"Night",F784&lt;=6,"Early Morning",F784&lt;11,"Morning",F784&lt;12,"Afternoon",F784&lt;=16,"Afternoon",F784&lt;=20,"Evening",F784&gt;=21,"Night")</f>
        <v>Night</v>
      </c>
      <c r="H784" s="35" t="b">
        <v>0</v>
      </c>
      <c r="I784" s="35">
        <v>6</v>
      </c>
      <c r="J784" s="35">
        <v>2</v>
      </c>
      <c r="K784" s="35">
        <v>0.24</v>
      </c>
      <c r="L784" s="31" t="str" cm="1">
        <f t="array" ref="L784">_xlfn.IFS(K784&lt;0.15,"Cold",K784&lt;0.25,"Mild",K784&lt;=0.32,"Warm",K784&gt;=0.33,"Hot")</f>
        <v>Mild</v>
      </c>
      <c r="M784" s="35">
        <v>0.2424</v>
      </c>
      <c r="N784" s="35">
        <v>0.65</v>
      </c>
      <c r="O784" s="35" t="str" cm="1">
        <f t="array" ref="O784">_xlfn.IFS(N784&gt;0.61, "High Humidity", N784&gt;=0.6, "Humid", N784&gt;0.4, "Less Humidity", TRUE, "Dry")</f>
        <v>High Humidity</v>
      </c>
      <c r="P784" s="35">
        <v>0.16420000000000001</v>
      </c>
      <c r="Q784" s="35" t="str" cm="1">
        <f t="array" ref="Q784">_xlfn.IFS(P784&lt;=0.2,"Low Windspeed",P784&lt;0.4,"Medium Windspeed",P784&gt;=0.41,"High Windspeed")</f>
        <v>Low Windspeed</v>
      </c>
      <c r="R784" s="35">
        <v>1</v>
      </c>
      <c r="S784" s="35">
        <v>17</v>
      </c>
      <c r="T784" s="40">
        <v>18</v>
      </c>
      <c r="U784" s="39" t="str" cm="1">
        <f t="array" ref="U784">_xlfn.IFS(T784&lt;=70,"Low",T784&lt;=160,"Medium",T784&gt;=161,"High")</f>
        <v>Low</v>
      </c>
    </row>
    <row r="785" spans="1:21" x14ac:dyDescent="0.25">
      <c r="A785" s="33">
        <v>784</v>
      </c>
      <c r="B785" s="34">
        <v>40579</v>
      </c>
      <c r="C785" s="35">
        <v>1</v>
      </c>
      <c r="D785" s="35">
        <v>0</v>
      </c>
      <c r="E785" s="35">
        <v>2</v>
      </c>
      <c r="F785" s="35">
        <v>2</v>
      </c>
      <c r="G785" s="35" t="str" cm="1">
        <f t="array" ref="G785">_xlfn.IFS(F785&lt;4,"Night",F785&lt;=6,"Early Morning",F785&lt;11,"Morning",F785&lt;12,"Afternoon",F785&lt;=16,"Afternoon",F785&lt;=20,"Evening",F785&gt;=21,"Night")</f>
        <v>Night</v>
      </c>
      <c r="H785" s="35" t="b">
        <v>0</v>
      </c>
      <c r="I785" s="35">
        <v>6</v>
      </c>
      <c r="J785" s="35">
        <v>2</v>
      </c>
      <c r="K785" s="35">
        <v>0.24</v>
      </c>
      <c r="L785" s="31" t="str" cm="1">
        <f t="array" ref="L785">_xlfn.IFS(K785&lt;0.15,"Cold",K785&lt;0.25,"Mild",K785&lt;=0.32,"Warm",K785&gt;=0.33,"Hot")</f>
        <v>Mild</v>
      </c>
      <c r="M785" s="35">
        <v>0.2424</v>
      </c>
      <c r="N785" s="35">
        <v>0.75</v>
      </c>
      <c r="O785" s="35" t="str" cm="1">
        <f t="array" ref="O785">_xlfn.IFS(N785&gt;0.61, "High Humidity", N785&gt;=0.6, "Humid", N785&gt;0.4, "Less Humidity", TRUE, "Dry")</f>
        <v>High Humidity</v>
      </c>
      <c r="P785" s="35">
        <v>0.16420000000000001</v>
      </c>
      <c r="Q785" s="35" t="str" cm="1">
        <f t="array" ref="Q785">_xlfn.IFS(P785&lt;=0.2,"Low Windspeed",P785&lt;0.4,"Medium Windspeed",P785&gt;=0.41,"High Windspeed")</f>
        <v>Low Windspeed</v>
      </c>
      <c r="R785" s="35">
        <v>5</v>
      </c>
      <c r="S785" s="35">
        <v>12</v>
      </c>
      <c r="T785" s="40">
        <v>17</v>
      </c>
      <c r="U785" s="39" t="str" cm="1">
        <f t="array" ref="U785">_xlfn.IFS(T785&lt;=70,"Low",T785&lt;=160,"Medium",T785&gt;=161,"High")</f>
        <v>Low</v>
      </c>
    </row>
    <row r="786" spans="1:21" x14ac:dyDescent="0.25">
      <c r="A786" s="33">
        <v>785</v>
      </c>
      <c r="B786" s="34">
        <v>40579</v>
      </c>
      <c r="C786" s="35">
        <v>1</v>
      </c>
      <c r="D786" s="35">
        <v>0</v>
      </c>
      <c r="E786" s="35">
        <v>2</v>
      </c>
      <c r="F786" s="35">
        <v>3</v>
      </c>
      <c r="G786" s="35" t="str" cm="1">
        <f t="array" ref="G786">_xlfn.IFS(F786&lt;4,"Night",F786&lt;=6,"Early Morning",F786&lt;11,"Morning",F786&lt;12,"Afternoon",F786&lt;=16,"Afternoon",F786&lt;=20,"Evening",F786&gt;=21,"Night")</f>
        <v>Night</v>
      </c>
      <c r="H786" s="35" t="b">
        <v>0</v>
      </c>
      <c r="I786" s="35">
        <v>6</v>
      </c>
      <c r="J786" s="35">
        <v>2</v>
      </c>
      <c r="K786" s="35">
        <v>0.24</v>
      </c>
      <c r="L786" s="31" t="str" cm="1">
        <f t="array" ref="L786">_xlfn.IFS(K786&lt;0.15,"Cold",K786&lt;0.25,"Mild",K786&lt;=0.32,"Warm",K786&gt;=0.33,"Hot")</f>
        <v>Mild</v>
      </c>
      <c r="M786" s="35">
        <v>0.2424</v>
      </c>
      <c r="N786" s="35">
        <v>0.75</v>
      </c>
      <c r="O786" s="35" t="str" cm="1">
        <f t="array" ref="O786">_xlfn.IFS(N786&gt;0.61, "High Humidity", N786&gt;=0.6, "Humid", N786&gt;0.4, "Less Humidity", TRUE, "Dry")</f>
        <v>High Humidity</v>
      </c>
      <c r="P786" s="35">
        <v>0.16420000000000001</v>
      </c>
      <c r="Q786" s="35" t="str" cm="1">
        <f t="array" ref="Q786">_xlfn.IFS(P786&lt;=0.2,"Low Windspeed",P786&lt;0.4,"Medium Windspeed",P786&gt;=0.41,"High Windspeed")</f>
        <v>Low Windspeed</v>
      </c>
      <c r="R786" s="35">
        <v>1</v>
      </c>
      <c r="S786" s="35">
        <v>10</v>
      </c>
      <c r="T786" s="40">
        <v>11</v>
      </c>
      <c r="U786" s="39" t="str" cm="1">
        <f t="array" ref="U786">_xlfn.IFS(T786&lt;=70,"Low",T786&lt;=160,"Medium",T786&gt;=161,"High")</f>
        <v>Low</v>
      </c>
    </row>
    <row r="787" spans="1:21" x14ac:dyDescent="0.25">
      <c r="A787" s="33">
        <v>786</v>
      </c>
      <c r="B787" s="34">
        <v>40579</v>
      </c>
      <c r="C787" s="35">
        <v>1</v>
      </c>
      <c r="D787" s="35">
        <v>0</v>
      </c>
      <c r="E787" s="35">
        <v>2</v>
      </c>
      <c r="F787" s="35">
        <v>4</v>
      </c>
      <c r="G787" s="35" t="str" cm="1">
        <f t="array" ref="G787">_xlfn.IFS(F787&lt;4,"Night",F787&lt;=6,"Early Morning",F787&lt;11,"Morning",F787&lt;12,"Afternoon",F787&lt;=16,"Afternoon",F787&lt;=20,"Evening",F787&gt;=21,"Night")</f>
        <v>Early Morning</v>
      </c>
      <c r="H787" s="35" t="b">
        <v>0</v>
      </c>
      <c r="I787" s="35">
        <v>6</v>
      </c>
      <c r="J787" s="35">
        <v>3</v>
      </c>
      <c r="K787" s="35">
        <v>0.22</v>
      </c>
      <c r="L787" s="31" t="str" cm="1">
        <f t="array" ref="L787">_xlfn.IFS(K787&lt;0.15,"Cold",K787&lt;0.25,"Mild",K787&lt;=0.32,"Warm",K787&gt;=0.33,"Hot")</f>
        <v>Mild</v>
      </c>
      <c r="M787" s="35">
        <v>0.2273</v>
      </c>
      <c r="N787" s="35">
        <v>0.93</v>
      </c>
      <c r="O787" s="35" t="str" cm="1">
        <f t="array" ref="O787">_xlfn.IFS(N787&gt;0.61, "High Humidity", N787&gt;=0.6, "Humid", N787&gt;0.4, "Less Humidity", TRUE, "Dry")</f>
        <v>High Humidity</v>
      </c>
      <c r="P787" s="35">
        <v>0.1343</v>
      </c>
      <c r="Q787" s="35" t="str" cm="1">
        <f t="array" ref="Q787">_xlfn.IFS(P787&lt;=0.2,"Low Windspeed",P787&lt;0.4,"Medium Windspeed",P787&gt;=0.41,"High Windspeed")</f>
        <v>Low Windspeed</v>
      </c>
      <c r="R787" s="35">
        <v>0</v>
      </c>
      <c r="S787" s="35">
        <v>8</v>
      </c>
      <c r="T787" s="40">
        <v>8</v>
      </c>
      <c r="U787" s="39" t="str" cm="1">
        <f t="array" ref="U787">_xlfn.IFS(T787&lt;=70,"Low",T787&lt;=160,"Medium",T787&gt;=161,"High")</f>
        <v>Low</v>
      </c>
    </row>
    <row r="788" spans="1:21" x14ac:dyDescent="0.25">
      <c r="A788" s="33">
        <v>787</v>
      </c>
      <c r="B788" s="34">
        <v>40579</v>
      </c>
      <c r="C788" s="35">
        <v>1</v>
      </c>
      <c r="D788" s="35">
        <v>0</v>
      </c>
      <c r="E788" s="35">
        <v>2</v>
      </c>
      <c r="F788" s="35">
        <v>5</v>
      </c>
      <c r="G788" s="35" t="str" cm="1">
        <f t="array" ref="G788">_xlfn.IFS(F788&lt;4,"Night",F788&lt;=6,"Early Morning",F788&lt;11,"Morning",F788&lt;12,"Afternoon",F788&lt;=16,"Afternoon",F788&lt;=20,"Evening",F788&gt;=21,"Night")</f>
        <v>Early Morning</v>
      </c>
      <c r="H788" s="35" t="b">
        <v>0</v>
      </c>
      <c r="I788" s="35">
        <v>6</v>
      </c>
      <c r="J788" s="35">
        <v>3</v>
      </c>
      <c r="K788" s="35">
        <v>0.2</v>
      </c>
      <c r="L788" s="31" t="str" cm="1">
        <f t="array" ref="L788">_xlfn.IFS(K788&lt;0.15,"Cold",K788&lt;0.25,"Mild",K788&lt;=0.32,"Warm",K788&gt;=0.33,"Hot")</f>
        <v>Mild</v>
      </c>
      <c r="M788" s="35">
        <v>0.2273</v>
      </c>
      <c r="N788" s="35">
        <v>1</v>
      </c>
      <c r="O788" s="35" t="str" cm="1">
        <f t="array" ref="O788">_xlfn.IFS(N788&gt;0.61, "High Humidity", N788&gt;=0.6, "Humid", N788&gt;0.4, "Less Humidity", TRUE, "Dry")</f>
        <v>High Humidity</v>
      </c>
      <c r="P788" s="35">
        <v>8.9599999999999999E-2</v>
      </c>
      <c r="Q788" s="35" t="str" cm="1">
        <f t="array" ref="Q788">_xlfn.IFS(P788&lt;=0.2,"Low Windspeed",P788&lt;0.4,"Medium Windspeed",P788&gt;=0.41,"High Windspeed")</f>
        <v>Low Windspeed</v>
      </c>
      <c r="R788" s="35">
        <v>0</v>
      </c>
      <c r="S788" s="35">
        <v>9</v>
      </c>
      <c r="T788" s="40">
        <v>9</v>
      </c>
      <c r="U788" s="39" t="str" cm="1">
        <f t="array" ref="U788">_xlfn.IFS(T788&lt;=70,"Low",T788&lt;=160,"Medium",T788&gt;=161,"High")</f>
        <v>Low</v>
      </c>
    </row>
    <row r="789" spans="1:21" x14ac:dyDescent="0.25">
      <c r="A789" s="33">
        <v>788</v>
      </c>
      <c r="B789" s="34">
        <v>40579</v>
      </c>
      <c r="C789" s="35">
        <v>1</v>
      </c>
      <c r="D789" s="35">
        <v>0</v>
      </c>
      <c r="E789" s="35">
        <v>2</v>
      </c>
      <c r="F789" s="35">
        <v>6</v>
      </c>
      <c r="G789" s="35" t="str" cm="1">
        <f t="array" ref="G789">_xlfn.IFS(F789&lt;4,"Night",F789&lt;=6,"Early Morning",F789&lt;11,"Morning",F789&lt;12,"Afternoon",F789&lt;=16,"Afternoon",F789&lt;=20,"Evening",F789&gt;=21,"Night")</f>
        <v>Early Morning</v>
      </c>
      <c r="H789" s="35" t="b">
        <v>0</v>
      </c>
      <c r="I789" s="35">
        <v>6</v>
      </c>
      <c r="J789" s="35">
        <v>3</v>
      </c>
      <c r="K789" s="35">
        <v>0.2</v>
      </c>
      <c r="L789" s="31" t="str" cm="1">
        <f t="array" ref="L789">_xlfn.IFS(K789&lt;0.15,"Cold",K789&lt;0.25,"Mild",K789&lt;=0.32,"Warm",K789&gt;=0.33,"Hot")</f>
        <v>Mild</v>
      </c>
      <c r="M789" s="35">
        <v>0.2576</v>
      </c>
      <c r="N789" s="35">
        <v>1</v>
      </c>
      <c r="O789" s="35" t="str" cm="1">
        <f t="array" ref="O789">_xlfn.IFS(N789&gt;0.61, "High Humidity", N789&gt;=0.6, "Humid", N789&gt;0.4, "Less Humidity", TRUE, "Dry")</f>
        <v>High Humidity</v>
      </c>
      <c r="P789" s="35">
        <v>0</v>
      </c>
      <c r="Q789" s="35" t="str" cm="1">
        <f t="array" ref="Q789">_xlfn.IFS(P789&lt;=0.2,"Low Windspeed",P789&lt;0.4,"Medium Windspeed",P789&gt;=0.41,"High Windspeed")</f>
        <v>Low Windspeed</v>
      </c>
      <c r="R789" s="35">
        <v>0</v>
      </c>
      <c r="S789" s="35">
        <v>4</v>
      </c>
      <c r="T789" s="40">
        <v>4</v>
      </c>
      <c r="U789" s="39" t="str" cm="1">
        <f t="array" ref="U789">_xlfn.IFS(T789&lt;=70,"Low",T789&lt;=160,"Medium",T789&gt;=161,"High")</f>
        <v>Low</v>
      </c>
    </row>
    <row r="790" spans="1:21" x14ac:dyDescent="0.25">
      <c r="A790" s="33">
        <v>789</v>
      </c>
      <c r="B790" s="34">
        <v>40579</v>
      </c>
      <c r="C790" s="35">
        <v>1</v>
      </c>
      <c r="D790" s="35">
        <v>0</v>
      </c>
      <c r="E790" s="35">
        <v>2</v>
      </c>
      <c r="F790" s="35">
        <v>7</v>
      </c>
      <c r="G790" s="35" t="str" cm="1">
        <f t="array" ref="G790">_xlfn.IFS(F790&lt;4,"Night",F790&lt;=6,"Early Morning",F790&lt;11,"Morning",F790&lt;12,"Afternoon",F790&lt;=16,"Afternoon",F790&lt;=20,"Evening",F790&gt;=21,"Night")</f>
        <v>Morning</v>
      </c>
      <c r="H790" s="35" t="b">
        <v>0</v>
      </c>
      <c r="I790" s="35">
        <v>6</v>
      </c>
      <c r="J790" s="35">
        <v>3</v>
      </c>
      <c r="K790" s="35">
        <v>0.22</v>
      </c>
      <c r="L790" s="31" t="str" cm="1">
        <f t="array" ref="L790">_xlfn.IFS(K790&lt;0.15,"Cold",K790&lt;0.25,"Mild",K790&lt;=0.32,"Warm",K790&gt;=0.33,"Hot")</f>
        <v>Mild</v>
      </c>
      <c r="M790" s="35">
        <v>0.2576</v>
      </c>
      <c r="N790" s="35">
        <v>0.93</v>
      </c>
      <c r="O790" s="35" t="str" cm="1">
        <f t="array" ref="O790">_xlfn.IFS(N790&gt;0.61, "High Humidity", N790&gt;=0.6, "Humid", N790&gt;0.4, "Less Humidity", TRUE, "Dry")</f>
        <v>High Humidity</v>
      </c>
      <c r="P790" s="35">
        <v>8.9599999999999999E-2</v>
      </c>
      <c r="Q790" s="35" t="str" cm="1">
        <f t="array" ref="Q790">_xlfn.IFS(P790&lt;=0.2,"Low Windspeed",P790&lt;0.4,"Medium Windspeed",P790&gt;=0.41,"High Windspeed")</f>
        <v>Low Windspeed</v>
      </c>
      <c r="R790" s="35">
        <v>0</v>
      </c>
      <c r="S790" s="35">
        <v>4</v>
      </c>
      <c r="T790" s="40">
        <v>4</v>
      </c>
      <c r="U790" s="39" t="str" cm="1">
        <f t="array" ref="U790">_xlfn.IFS(T790&lt;=70,"Low",T790&lt;=160,"Medium",T790&gt;=161,"High")</f>
        <v>Low</v>
      </c>
    </row>
    <row r="791" spans="1:21" x14ac:dyDescent="0.25">
      <c r="A791" s="33">
        <v>790</v>
      </c>
      <c r="B791" s="34">
        <v>40579</v>
      </c>
      <c r="C791" s="35">
        <v>1</v>
      </c>
      <c r="D791" s="35">
        <v>0</v>
      </c>
      <c r="E791" s="35">
        <v>2</v>
      </c>
      <c r="F791" s="35">
        <v>8</v>
      </c>
      <c r="G791" s="35" t="str" cm="1">
        <f t="array" ref="G791">_xlfn.IFS(F791&lt;4,"Night",F791&lt;=6,"Early Morning",F791&lt;11,"Morning",F791&lt;12,"Afternoon",F791&lt;=16,"Afternoon",F791&lt;=20,"Evening",F791&gt;=21,"Night")</f>
        <v>Morning</v>
      </c>
      <c r="H791" s="35" t="b">
        <v>0</v>
      </c>
      <c r="I791" s="35">
        <v>6</v>
      </c>
      <c r="J791" s="35">
        <v>3</v>
      </c>
      <c r="K791" s="35">
        <v>0.2</v>
      </c>
      <c r="L791" s="31" t="str" cm="1">
        <f t="array" ref="L791">_xlfn.IFS(K791&lt;0.15,"Cold",K791&lt;0.25,"Mild",K791&lt;=0.32,"Warm",K791&gt;=0.33,"Hot")</f>
        <v>Mild</v>
      </c>
      <c r="M791" s="35">
        <v>0.2273</v>
      </c>
      <c r="N791" s="35">
        <v>1</v>
      </c>
      <c r="O791" s="35" t="str" cm="1">
        <f t="array" ref="O791">_xlfn.IFS(N791&gt;0.61, "High Humidity", N791&gt;=0.6, "Humid", N791&gt;0.4, "Less Humidity", TRUE, "Dry")</f>
        <v>High Humidity</v>
      </c>
      <c r="P791" s="35">
        <v>8.9599999999999999E-2</v>
      </c>
      <c r="Q791" s="35" t="str" cm="1">
        <f t="array" ref="Q791">_xlfn.IFS(P791&lt;=0.2,"Low Windspeed",P791&lt;0.4,"Medium Windspeed",P791&gt;=0.41,"High Windspeed")</f>
        <v>Low Windspeed</v>
      </c>
      <c r="R791" s="35">
        <v>0</v>
      </c>
      <c r="S791" s="35">
        <v>10</v>
      </c>
      <c r="T791" s="40">
        <v>10</v>
      </c>
      <c r="U791" s="39" t="str" cm="1">
        <f t="array" ref="U791">_xlfn.IFS(T791&lt;=70,"Low",T791&lt;=160,"Medium",T791&gt;=161,"High")</f>
        <v>Low</v>
      </c>
    </row>
    <row r="792" spans="1:21" x14ac:dyDescent="0.25">
      <c r="A792" s="33">
        <v>791</v>
      </c>
      <c r="B792" s="34">
        <v>40579</v>
      </c>
      <c r="C792" s="35">
        <v>1</v>
      </c>
      <c r="D792" s="35">
        <v>0</v>
      </c>
      <c r="E792" s="35">
        <v>2</v>
      </c>
      <c r="F792" s="35">
        <v>9</v>
      </c>
      <c r="G792" s="35" t="str" cm="1">
        <f t="array" ref="G792">_xlfn.IFS(F792&lt;4,"Night",F792&lt;=6,"Early Morning",F792&lt;11,"Morning",F792&lt;12,"Afternoon",F792&lt;=16,"Afternoon",F792&lt;=20,"Evening",F792&gt;=21,"Night")</f>
        <v>Morning</v>
      </c>
      <c r="H792" s="35" t="b">
        <v>0</v>
      </c>
      <c r="I792" s="35">
        <v>6</v>
      </c>
      <c r="J792" s="35">
        <v>3</v>
      </c>
      <c r="K792" s="35">
        <v>0.2</v>
      </c>
      <c r="L792" s="31" t="str" cm="1">
        <f t="array" ref="L792">_xlfn.IFS(K792&lt;0.15,"Cold",K792&lt;0.25,"Mild",K792&lt;=0.32,"Warm",K792&gt;=0.33,"Hot")</f>
        <v>Mild</v>
      </c>
      <c r="M792" s="35">
        <v>0.2273</v>
      </c>
      <c r="N792" s="35">
        <v>1</v>
      </c>
      <c r="O792" s="35" t="str" cm="1">
        <f t="array" ref="O792">_xlfn.IFS(N792&gt;0.61, "High Humidity", N792&gt;=0.6, "Humid", N792&gt;0.4, "Less Humidity", TRUE, "Dry")</f>
        <v>High Humidity</v>
      </c>
      <c r="P792" s="35">
        <v>8.9599999999999999E-2</v>
      </c>
      <c r="Q792" s="35" t="str" cm="1">
        <f t="array" ref="Q792">_xlfn.IFS(P792&lt;=0.2,"Low Windspeed",P792&lt;0.4,"Medium Windspeed",P792&gt;=0.41,"High Windspeed")</f>
        <v>Low Windspeed</v>
      </c>
      <c r="R792" s="35">
        <v>3</v>
      </c>
      <c r="S792" s="35">
        <v>17</v>
      </c>
      <c r="T792" s="40">
        <v>20</v>
      </c>
      <c r="U792" s="39" t="str" cm="1">
        <f t="array" ref="U792">_xlfn.IFS(T792&lt;=70,"Low",T792&lt;=160,"Medium",T792&gt;=161,"High")</f>
        <v>Low</v>
      </c>
    </row>
    <row r="793" spans="1:21" x14ac:dyDescent="0.25">
      <c r="A793" s="33">
        <v>792</v>
      </c>
      <c r="B793" s="34">
        <v>40579</v>
      </c>
      <c r="C793" s="35">
        <v>1</v>
      </c>
      <c r="D793" s="35">
        <v>0</v>
      </c>
      <c r="E793" s="35">
        <v>2</v>
      </c>
      <c r="F793" s="35">
        <v>10</v>
      </c>
      <c r="G793" s="35" t="str" cm="1">
        <f t="array" ref="G793">_xlfn.IFS(F793&lt;4,"Night",F793&lt;=6,"Early Morning",F793&lt;11,"Morning",F793&lt;12,"Afternoon",F793&lt;=16,"Afternoon",F793&lt;=20,"Evening",F793&gt;=21,"Night")</f>
        <v>Morning</v>
      </c>
      <c r="H793" s="35" t="b">
        <v>0</v>
      </c>
      <c r="I793" s="35">
        <v>6</v>
      </c>
      <c r="J793" s="35">
        <v>3</v>
      </c>
      <c r="K793" s="35">
        <v>0.2</v>
      </c>
      <c r="L793" s="31" t="str" cm="1">
        <f t="array" ref="L793">_xlfn.IFS(K793&lt;0.15,"Cold",K793&lt;0.25,"Mild",K793&lt;=0.32,"Warm",K793&gt;=0.33,"Hot")</f>
        <v>Mild</v>
      </c>
      <c r="M793" s="35">
        <v>0.21210000000000001</v>
      </c>
      <c r="N793" s="35">
        <v>1</v>
      </c>
      <c r="O793" s="35" t="str" cm="1">
        <f t="array" ref="O793">_xlfn.IFS(N793&gt;0.61, "High Humidity", N793&gt;=0.6, "Humid", N793&gt;0.4, "Less Humidity", TRUE, "Dry")</f>
        <v>High Humidity</v>
      </c>
      <c r="P793" s="35">
        <v>0.1343</v>
      </c>
      <c r="Q793" s="35" t="str" cm="1">
        <f t="array" ref="Q793">_xlfn.IFS(P793&lt;=0.2,"Low Windspeed",P793&lt;0.4,"Medium Windspeed",P793&gt;=0.41,"High Windspeed")</f>
        <v>Low Windspeed</v>
      </c>
      <c r="R793" s="35">
        <v>3</v>
      </c>
      <c r="S793" s="35">
        <v>31</v>
      </c>
      <c r="T793" s="40">
        <v>34</v>
      </c>
      <c r="U793" s="39" t="str" cm="1">
        <f t="array" ref="U793">_xlfn.IFS(T793&lt;=70,"Low",T793&lt;=160,"Medium",T793&gt;=161,"High")</f>
        <v>Low</v>
      </c>
    </row>
    <row r="794" spans="1:21" x14ac:dyDescent="0.25">
      <c r="A794" s="33">
        <v>793</v>
      </c>
      <c r="B794" s="34">
        <v>40579</v>
      </c>
      <c r="C794" s="35">
        <v>1</v>
      </c>
      <c r="D794" s="35">
        <v>0</v>
      </c>
      <c r="E794" s="35">
        <v>2</v>
      </c>
      <c r="F794" s="35">
        <v>11</v>
      </c>
      <c r="G794" s="35" t="str" cm="1">
        <f t="array" ref="G794">_xlfn.IFS(F794&lt;4,"Night",F794&lt;=6,"Early Morning",F794&lt;11,"Morning",F794&lt;12,"Afternoon",F794&lt;=16,"Afternoon",F794&lt;=20,"Evening",F794&gt;=21,"Night")</f>
        <v>Afternoon</v>
      </c>
      <c r="H794" s="35" t="b">
        <v>0</v>
      </c>
      <c r="I794" s="35">
        <v>6</v>
      </c>
      <c r="J794" s="35">
        <v>3</v>
      </c>
      <c r="K794" s="35">
        <v>0.22</v>
      </c>
      <c r="L794" s="31" t="str" cm="1">
        <f t="array" ref="L794">_xlfn.IFS(K794&lt;0.15,"Cold",K794&lt;0.25,"Mild",K794&lt;=0.32,"Warm",K794&gt;=0.33,"Hot")</f>
        <v>Mild</v>
      </c>
      <c r="M794" s="35">
        <v>0.2273</v>
      </c>
      <c r="N794" s="35">
        <v>1</v>
      </c>
      <c r="O794" s="35" t="str" cm="1">
        <f t="array" ref="O794">_xlfn.IFS(N794&gt;0.61, "High Humidity", N794&gt;=0.6, "Humid", N794&gt;0.4, "Less Humidity", TRUE, "Dry")</f>
        <v>High Humidity</v>
      </c>
      <c r="P794" s="35">
        <v>0.1343</v>
      </c>
      <c r="Q794" s="35" t="str" cm="1">
        <f t="array" ref="Q794">_xlfn.IFS(P794&lt;=0.2,"Low Windspeed",P794&lt;0.4,"Medium Windspeed",P794&gt;=0.41,"High Windspeed")</f>
        <v>Low Windspeed</v>
      </c>
      <c r="R794" s="35">
        <v>1</v>
      </c>
      <c r="S794" s="35">
        <v>46</v>
      </c>
      <c r="T794" s="40">
        <v>47</v>
      </c>
      <c r="U794" s="39" t="str" cm="1">
        <f t="array" ref="U794">_xlfn.IFS(T794&lt;=70,"Low",T794&lt;=160,"Medium",T794&gt;=161,"High")</f>
        <v>Low</v>
      </c>
    </row>
    <row r="795" spans="1:21" x14ac:dyDescent="0.25">
      <c r="A795" s="33">
        <v>794</v>
      </c>
      <c r="B795" s="34">
        <v>40579</v>
      </c>
      <c r="C795" s="35">
        <v>1</v>
      </c>
      <c r="D795" s="35">
        <v>0</v>
      </c>
      <c r="E795" s="35">
        <v>2</v>
      </c>
      <c r="F795" s="35">
        <v>12</v>
      </c>
      <c r="G795" s="35" t="str" cm="1">
        <f t="array" ref="G795">_xlfn.IFS(F795&lt;4,"Night",F795&lt;=6,"Early Morning",F795&lt;11,"Morning",F795&lt;12,"Afternoon",F795&lt;=16,"Afternoon",F795&lt;=20,"Evening",F795&gt;=21,"Night")</f>
        <v>Afternoon</v>
      </c>
      <c r="H795" s="35" t="b">
        <v>0</v>
      </c>
      <c r="I795" s="35">
        <v>6</v>
      </c>
      <c r="J795" s="35">
        <v>3</v>
      </c>
      <c r="K795" s="35">
        <v>0.22</v>
      </c>
      <c r="L795" s="31" t="str" cm="1">
        <f t="array" ref="L795">_xlfn.IFS(K795&lt;0.15,"Cold",K795&lt;0.25,"Mild",K795&lt;=0.32,"Warm",K795&gt;=0.33,"Hot")</f>
        <v>Mild</v>
      </c>
      <c r="M795" s="35">
        <v>0.2273</v>
      </c>
      <c r="N795" s="35">
        <v>1</v>
      </c>
      <c r="O795" s="35" t="str" cm="1">
        <f t="array" ref="O795">_xlfn.IFS(N795&gt;0.61, "High Humidity", N795&gt;=0.6, "Humid", N795&gt;0.4, "Less Humidity", TRUE, "Dry")</f>
        <v>High Humidity</v>
      </c>
      <c r="P795" s="35">
        <v>0.16420000000000001</v>
      </c>
      <c r="Q795" s="35" t="str" cm="1">
        <f t="array" ref="Q795">_xlfn.IFS(P795&lt;=0.2,"Low Windspeed",P795&lt;0.4,"Medium Windspeed",P795&gt;=0.41,"High Windspeed")</f>
        <v>Low Windspeed</v>
      </c>
      <c r="R795" s="35">
        <v>10</v>
      </c>
      <c r="S795" s="35">
        <v>42</v>
      </c>
      <c r="T795" s="40">
        <v>52</v>
      </c>
      <c r="U795" s="39" t="str" cm="1">
        <f t="array" ref="U795">_xlfn.IFS(T795&lt;=70,"Low",T795&lt;=160,"Medium",T795&gt;=161,"High")</f>
        <v>Low</v>
      </c>
    </row>
    <row r="796" spans="1:21" x14ac:dyDescent="0.25">
      <c r="A796" s="33">
        <v>795</v>
      </c>
      <c r="B796" s="34">
        <v>40579</v>
      </c>
      <c r="C796" s="35">
        <v>1</v>
      </c>
      <c r="D796" s="35">
        <v>0</v>
      </c>
      <c r="E796" s="35">
        <v>2</v>
      </c>
      <c r="F796" s="35">
        <v>13</v>
      </c>
      <c r="G796" s="35" t="str" cm="1">
        <f t="array" ref="G796">_xlfn.IFS(F796&lt;4,"Night",F796&lt;=6,"Early Morning",F796&lt;11,"Morning",F796&lt;12,"Afternoon",F796&lt;=16,"Afternoon",F796&lt;=20,"Evening",F796&gt;=21,"Night")</f>
        <v>Afternoon</v>
      </c>
      <c r="H796" s="35" t="b">
        <v>0</v>
      </c>
      <c r="I796" s="35">
        <v>6</v>
      </c>
      <c r="J796" s="35">
        <v>3</v>
      </c>
      <c r="K796" s="35">
        <v>0.22</v>
      </c>
      <c r="L796" s="31" t="str" cm="1">
        <f t="array" ref="L796">_xlfn.IFS(K796&lt;0.15,"Cold",K796&lt;0.25,"Mild",K796&lt;=0.32,"Warm",K796&gt;=0.33,"Hot")</f>
        <v>Mild</v>
      </c>
      <c r="M796" s="35">
        <v>0.2273</v>
      </c>
      <c r="N796" s="35">
        <v>1</v>
      </c>
      <c r="O796" s="35" t="str" cm="1">
        <f t="array" ref="O796">_xlfn.IFS(N796&gt;0.61, "High Humidity", N796&gt;=0.6, "Humid", N796&gt;0.4, "Less Humidity", TRUE, "Dry")</f>
        <v>High Humidity</v>
      </c>
      <c r="P796" s="35">
        <v>0.16420000000000001</v>
      </c>
      <c r="Q796" s="35" t="str" cm="1">
        <f t="array" ref="Q796">_xlfn.IFS(P796&lt;=0.2,"Low Windspeed",P796&lt;0.4,"Medium Windspeed",P796&gt;=0.41,"High Windspeed")</f>
        <v>Low Windspeed</v>
      </c>
      <c r="R796" s="35">
        <v>10</v>
      </c>
      <c r="S796" s="35">
        <v>62</v>
      </c>
      <c r="T796" s="40">
        <v>72</v>
      </c>
      <c r="U796" s="39" t="str" cm="1">
        <f t="array" ref="U796">_xlfn.IFS(T796&lt;=70,"Low",T796&lt;=160,"Medium",T796&gt;=161,"High")</f>
        <v>Medium</v>
      </c>
    </row>
    <row r="797" spans="1:21" x14ac:dyDescent="0.25">
      <c r="A797" s="33">
        <v>796</v>
      </c>
      <c r="B797" s="34">
        <v>40579</v>
      </c>
      <c r="C797" s="35">
        <v>1</v>
      </c>
      <c r="D797" s="35">
        <v>0</v>
      </c>
      <c r="E797" s="35">
        <v>2</v>
      </c>
      <c r="F797" s="35">
        <v>14</v>
      </c>
      <c r="G797" s="35" t="str" cm="1">
        <f t="array" ref="G797">_xlfn.IFS(F797&lt;4,"Night",F797&lt;=6,"Early Morning",F797&lt;11,"Morning",F797&lt;12,"Afternoon",F797&lt;=16,"Afternoon",F797&lt;=20,"Evening",F797&gt;=21,"Night")</f>
        <v>Afternoon</v>
      </c>
      <c r="H797" s="35" t="b">
        <v>0</v>
      </c>
      <c r="I797" s="35">
        <v>6</v>
      </c>
      <c r="J797" s="35">
        <v>3</v>
      </c>
      <c r="K797" s="35">
        <v>0.22</v>
      </c>
      <c r="L797" s="31" t="str" cm="1">
        <f t="array" ref="L797">_xlfn.IFS(K797&lt;0.15,"Cold",K797&lt;0.25,"Mild",K797&lt;=0.32,"Warm",K797&gt;=0.33,"Hot")</f>
        <v>Mild</v>
      </c>
      <c r="M797" s="35">
        <v>0.2727</v>
      </c>
      <c r="N797" s="35">
        <v>1</v>
      </c>
      <c r="O797" s="35" t="str" cm="1">
        <f t="array" ref="O797">_xlfn.IFS(N797&gt;0.61, "High Humidity", N797&gt;=0.6, "Humid", N797&gt;0.4, "Less Humidity", TRUE, "Dry")</f>
        <v>High Humidity</v>
      </c>
      <c r="P797" s="35">
        <v>0</v>
      </c>
      <c r="Q797" s="35" t="str" cm="1">
        <f t="array" ref="Q797">_xlfn.IFS(P797&lt;=0.2,"Low Windspeed",P797&lt;0.4,"Medium Windspeed",P797&gt;=0.41,"High Windspeed")</f>
        <v>Low Windspeed</v>
      </c>
      <c r="R797" s="35">
        <v>5</v>
      </c>
      <c r="S797" s="35">
        <v>50</v>
      </c>
      <c r="T797" s="40">
        <v>55</v>
      </c>
      <c r="U797" s="39" t="str" cm="1">
        <f t="array" ref="U797">_xlfn.IFS(T797&lt;=70,"Low",T797&lt;=160,"Medium",T797&gt;=161,"High")</f>
        <v>Low</v>
      </c>
    </row>
    <row r="798" spans="1:21" x14ac:dyDescent="0.25">
      <c r="A798" s="33">
        <v>797</v>
      </c>
      <c r="B798" s="34">
        <v>40579</v>
      </c>
      <c r="C798" s="35">
        <v>1</v>
      </c>
      <c r="D798" s="35">
        <v>0</v>
      </c>
      <c r="E798" s="35">
        <v>2</v>
      </c>
      <c r="F798" s="35">
        <v>15</v>
      </c>
      <c r="G798" s="35" t="str" cm="1">
        <f t="array" ref="G798">_xlfn.IFS(F798&lt;4,"Night",F798&lt;=6,"Early Morning",F798&lt;11,"Morning",F798&lt;12,"Afternoon",F798&lt;=16,"Afternoon",F798&lt;=20,"Evening",F798&gt;=21,"Night")</f>
        <v>Afternoon</v>
      </c>
      <c r="H798" s="35" t="b">
        <v>0</v>
      </c>
      <c r="I798" s="35">
        <v>6</v>
      </c>
      <c r="J798" s="35">
        <v>3</v>
      </c>
      <c r="K798" s="35">
        <v>0.22</v>
      </c>
      <c r="L798" s="31" t="str" cm="1">
        <f t="array" ref="L798">_xlfn.IFS(K798&lt;0.15,"Cold",K798&lt;0.25,"Mild",K798&lt;=0.32,"Warm",K798&gt;=0.33,"Hot")</f>
        <v>Mild</v>
      </c>
      <c r="M798" s="35">
        <v>0.2727</v>
      </c>
      <c r="N798" s="35">
        <v>1</v>
      </c>
      <c r="O798" s="35" t="str" cm="1">
        <f t="array" ref="O798">_xlfn.IFS(N798&gt;0.61, "High Humidity", N798&gt;=0.6, "Humid", N798&gt;0.4, "Less Humidity", TRUE, "Dry")</f>
        <v>High Humidity</v>
      </c>
      <c r="P798" s="35">
        <v>0</v>
      </c>
      <c r="Q798" s="35" t="str" cm="1">
        <f t="array" ref="Q798">_xlfn.IFS(P798&lt;=0.2,"Low Windspeed",P798&lt;0.4,"Medium Windspeed",P798&gt;=0.41,"High Windspeed")</f>
        <v>Low Windspeed</v>
      </c>
      <c r="R798" s="35">
        <v>11</v>
      </c>
      <c r="S798" s="35">
        <v>49</v>
      </c>
      <c r="T798" s="40">
        <v>60</v>
      </c>
      <c r="U798" s="39" t="str" cm="1">
        <f t="array" ref="U798">_xlfn.IFS(T798&lt;=70,"Low",T798&lt;=160,"Medium",T798&gt;=161,"High")</f>
        <v>Low</v>
      </c>
    </row>
    <row r="799" spans="1:21" x14ac:dyDescent="0.25">
      <c r="A799" s="33">
        <v>798</v>
      </c>
      <c r="B799" s="34">
        <v>40579</v>
      </c>
      <c r="C799" s="35">
        <v>1</v>
      </c>
      <c r="D799" s="35">
        <v>0</v>
      </c>
      <c r="E799" s="35">
        <v>2</v>
      </c>
      <c r="F799" s="35">
        <v>16</v>
      </c>
      <c r="G799" s="35" t="str" cm="1">
        <f t="array" ref="G799">_xlfn.IFS(F799&lt;4,"Night",F799&lt;=6,"Early Morning",F799&lt;11,"Morning",F799&lt;12,"Afternoon",F799&lt;=16,"Afternoon",F799&lt;=20,"Evening",F799&gt;=21,"Night")</f>
        <v>Afternoon</v>
      </c>
      <c r="H799" s="35" t="b">
        <v>0</v>
      </c>
      <c r="I799" s="35">
        <v>6</v>
      </c>
      <c r="J799" s="35">
        <v>3</v>
      </c>
      <c r="K799" s="35">
        <v>0.22</v>
      </c>
      <c r="L799" s="31" t="str" cm="1">
        <f t="array" ref="L799">_xlfn.IFS(K799&lt;0.15,"Cold",K799&lt;0.25,"Mild",K799&lt;=0.32,"Warm",K799&gt;=0.33,"Hot")</f>
        <v>Mild</v>
      </c>
      <c r="M799" s="35">
        <v>0.2273</v>
      </c>
      <c r="N799" s="35">
        <v>1</v>
      </c>
      <c r="O799" s="35" t="str" cm="1">
        <f t="array" ref="O799">_xlfn.IFS(N799&gt;0.61, "High Humidity", N799&gt;=0.6, "Humid", N799&gt;0.4, "Less Humidity", TRUE, "Dry")</f>
        <v>High Humidity</v>
      </c>
      <c r="P799" s="35">
        <v>0.1343</v>
      </c>
      <c r="Q799" s="35" t="str" cm="1">
        <f t="array" ref="Q799">_xlfn.IFS(P799&lt;=0.2,"Low Windspeed",P799&lt;0.4,"Medium Windspeed",P799&gt;=0.41,"High Windspeed")</f>
        <v>Low Windspeed</v>
      </c>
      <c r="R799" s="35">
        <v>8</v>
      </c>
      <c r="S799" s="35">
        <v>63</v>
      </c>
      <c r="T799" s="40">
        <v>71</v>
      </c>
      <c r="U799" s="39" t="str" cm="1">
        <f t="array" ref="U799">_xlfn.IFS(T799&lt;=70,"Low",T799&lt;=160,"Medium",T799&gt;=161,"High")</f>
        <v>Medium</v>
      </c>
    </row>
    <row r="800" spans="1:21" x14ac:dyDescent="0.25">
      <c r="A800" s="33">
        <v>799</v>
      </c>
      <c r="B800" s="34">
        <v>40579</v>
      </c>
      <c r="C800" s="35">
        <v>1</v>
      </c>
      <c r="D800" s="35">
        <v>0</v>
      </c>
      <c r="E800" s="35">
        <v>2</v>
      </c>
      <c r="F800" s="35">
        <v>17</v>
      </c>
      <c r="G800" s="35" t="str" cm="1">
        <f t="array" ref="G800">_xlfn.IFS(F800&lt;4,"Night",F800&lt;=6,"Early Morning",F800&lt;11,"Morning",F800&lt;12,"Afternoon",F800&lt;=16,"Afternoon",F800&lt;=20,"Evening",F800&gt;=21,"Night")</f>
        <v>Evening</v>
      </c>
      <c r="H800" s="35" t="b">
        <v>0</v>
      </c>
      <c r="I800" s="35">
        <v>6</v>
      </c>
      <c r="J800" s="35">
        <v>2</v>
      </c>
      <c r="K800" s="35">
        <v>0.24</v>
      </c>
      <c r="L800" s="31" t="str" cm="1">
        <f t="array" ref="L800">_xlfn.IFS(K800&lt;0.15,"Cold",K800&lt;0.25,"Mild",K800&lt;=0.32,"Warm",K800&gt;=0.33,"Hot")</f>
        <v>Mild</v>
      </c>
      <c r="M800" s="35">
        <v>0.21210000000000001</v>
      </c>
      <c r="N800" s="35">
        <v>1</v>
      </c>
      <c r="O800" s="35" t="str" cm="1">
        <f t="array" ref="O800">_xlfn.IFS(N800&gt;0.61, "High Humidity", N800&gt;=0.6, "Humid", N800&gt;0.4, "Less Humidity", TRUE, "Dry")</f>
        <v>High Humidity</v>
      </c>
      <c r="P800" s="35">
        <v>0.28360000000000002</v>
      </c>
      <c r="Q800" s="35" t="str" cm="1">
        <f t="array" ref="Q800">_xlfn.IFS(P800&lt;=0.2,"Low Windspeed",P800&lt;0.4,"Medium Windspeed",P800&gt;=0.41,"High Windspeed")</f>
        <v>Medium Windspeed</v>
      </c>
      <c r="R800" s="35">
        <v>14</v>
      </c>
      <c r="S800" s="35">
        <v>64</v>
      </c>
      <c r="T800" s="40">
        <v>78</v>
      </c>
      <c r="U800" s="39" t="str" cm="1">
        <f t="array" ref="U800">_xlfn.IFS(T800&lt;=70,"Low",T800&lt;=160,"Medium",T800&gt;=161,"High")</f>
        <v>Medium</v>
      </c>
    </row>
    <row r="801" spans="1:21" x14ac:dyDescent="0.25">
      <c r="A801" s="33">
        <v>800</v>
      </c>
      <c r="B801" s="34">
        <v>40579</v>
      </c>
      <c r="C801" s="35">
        <v>1</v>
      </c>
      <c r="D801" s="35">
        <v>0</v>
      </c>
      <c r="E801" s="35">
        <v>2</v>
      </c>
      <c r="F801" s="35">
        <v>18</v>
      </c>
      <c r="G801" s="35" t="str" cm="1">
        <f t="array" ref="G801">_xlfn.IFS(F801&lt;4,"Night",F801&lt;=6,"Early Morning",F801&lt;11,"Morning",F801&lt;12,"Afternoon",F801&lt;=16,"Afternoon",F801&lt;=20,"Evening",F801&gt;=21,"Night")</f>
        <v>Evening</v>
      </c>
      <c r="H801" s="35" t="b">
        <v>0</v>
      </c>
      <c r="I801" s="35">
        <v>6</v>
      </c>
      <c r="J801" s="35">
        <v>2</v>
      </c>
      <c r="K801" s="35">
        <v>0.28000000000000003</v>
      </c>
      <c r="L801" s="31" t="str" cm="1">
        <f t="array" ref="L801">_xlfn.IFS(K801&lt;0.15,"Cold",K801&lt;0.25,"Mild",K801&lt;=0.32,"Warm",K801&gt;=0.33,"Hot")</f>
        <v>Warm</v>
      </c>
      <c r="M801" s="35">
        <v>0.2424</v>
      </c>
      <c r="N801" s="35">
        <v>0.93</v>
      </c>
      <c r="O801" s="35" t="str" cm="1">
        <f t="array" ref="O801">_xlfn.IFS(N801&gt;0.61, "High Humidity", N801&gt;=0.6, "Humid", N801&gt;0.4, "Less Humidity", TRUE, "Dry")</f>
        <v>High Humidity</v>
      </c>
      <c r="P801" s="35">
        <v>0.44779999999999998</v>
      </c>
      <c r="Q801" s="35" t="str" cm="1">
        <f t="array" ref="Q801">_xlfn.IFS(P801&lt;=0.2,"Low Windspeed",P801&lt;0.4,"Medium Windspeed",P801&gt;=0.41,"High Windspeed")</f>
        <v>High Windspeed</v>
      </c>
      <c r="R801" s="35">
        <v>2</v>
      </c>
      <c r="S801" s="35">
        <v>81</v>
      </c>
      <c r="T801" s="40">
        <v>83</v>
      </c>
      <c r="U801" s="39" t="str" cm="1">
        <f t="array" ref="U801">_xlfn.IFS(T801&lt;=70,"Low",T801&lt;=160,"Medium",T801&gt;=161,"High")</f>
        <v>Medium</v>
      </c>
    </row>
    <row r="802" spans="1:21" x14ac:dyDescent="0.25">
      <c r="A802" s="33">
        <v>801</v>
      </c>
      <c r="B802" s="34">
        <v>40579</v>
      </c>
      <c r="C802" s="35">
        <v>1</v>
      </c>
      <c r="D802" s="35">
        <v>0</v>
      </c>
      <c r="E802" s="35">
        <v>2</v>
      </c>
      <c r="F802" s="35">
        <v>19</v>
      </c>
      <c r="G802" s="35" t="str" cm="1">
        <f t="array" ref="G802">_xlfn.IFS(F802&lt;4,"Night",F802&lt;=6,"Early Morning",F802&lt;11,"Morning",F802&lt;12,"Afternoon",F802&lt;=16,"Afternoon",F802&lt;=20,"Evening",F802&gt;=21,"Night")</f>
        <v>Evening</v>
      </c>
      <c r="H802" s="35" t="b">
        <v>0</v>
      </c>
      <c r="I802" s="35">
        <v>6</v>
      </c>
      <c r="J802" s="35">
        <v>2</v>
      </c>
      <c r="K802" s="35">
        <v>0.28000000000000003</v>
      </c>
      <c r="L802" s="31" t="str" cm="1">
        <f t="array" ref="L802">_xlfn.IFS(K802&lt;0.15,"Cold",K802&lt;0.25,"Mild",K802&lt;=0.32,"Warm",K802&gt;=0.33,"Hot")</f>
        <v>Warm</v>
      </c>
      <c r="M802" s="35">
        <v>0.2424</v>
      </c>
      <c r="N802" s="35">
        <v>0.93</v>
      </c>
      <c r="O802" s="35" t="str" cm="1">
        <f t="array" ref="O802">_xlfn.IFS(N802&gt;0.61, "High Humidity", N802&gt;=0.6, "Humid", N802&gt;0.4, "Less Humidity", TRUE, "Dry")</f>
        <v>High Humidity</v>
      </c>
      <c r="P802" s="35">
        <v>0.44779999999999998</v>
      </c>
      <c r="Q802" s="35" t="str" cm="1">
        <f t="array" ref="Q802">_xlfn.IFS(P802&lt;=0.2,"Low Windspeed",P802&lt;0.4,"Medium Windspeed",P802&gt;=0.41,"High Windspeed")</f>
        <v>High Windspeed</v>
      </c>
      <c r="R802" s="35">
        <v>6</v>
      </c>
      <c r="S802" s="35">
        <v>78</v>
      </c>
      <c r="T802" s="40">
        <v>84</v>
      </c>
      <c r="U802" s="39" t="str" cm="1">
        <f t="array" ref="U802">_xlfn.IFS(T802&lt;=70,"Low",T802&lt;=160,"Medium",T802&gt;=161,"High")</f>
        <v>Medium</v>
      </c>
    </row>
    <row r="803" spans="1:21" x14ac:dyDescent="0.25">
      <c r="A803" s="33">
        <v>802</v>
      </c>
      <c r="B803" s="34">
        <v>40579</v>
      </c>
      <c r="C803" s="35">
        <v>1</v>
      </c>
      <c r="D803" s="35">
        <v>0</v>
      </c>
      <c r="E803" s="35">
        <v>2</v>
      </c>
      <c r="F803" s="35">
        <v>20</v>
      </c>
      <c r="G803" s="35" t="str" cm="1">
        <f t="array" ref="G803">_xlfn.IFS(F803&lt;4,"Night",F803&lt;=6,"Early Morning",F803&lt;11,"Morning",F803&lt;12,"Afternoon",F803&lt;=16,"Afternoon",F803&lt;=20,"Evening",F803&gt;=21,"Night")</f>
        <v>Evening</v>
      </c>
      <c r="H803" s="35" t="b">
        <v>0</v>
      </c>
      <c r="I803" s="35">
        <v>6</v>
      </c>
      <c r="J803" s="35">
        <v>1</v>
      </c>
      <c r="K803" s="35">
        <v>0.3</v>
      </c>
      <c r="L803" s="31" t="str" cm="1">
        <f t="array" ref="L803">_xlfn.IFS(K803&lt;0.15,"Cold",K803&lt;0.25,"Mild",K803&lt;=0.32,"Warm",K803&gt;=0.33,"Hot")</f>
        <v>Warm</v>
      </c>
      <c r="M803" s="35">
        <v>0.28789999999999999</v>
      </c>
      <c r="N803" s="35">
        <v>0.87</v>
      </c>
      <c r="O803" s="35" t="str" cm="1">
        <f t="array" ref="O803">_xlfn.IFS(N803&gt;0.61, "High Humidity", N803&gt;=0.6, "Humid", N803&gt;0.4, "Less Humidity", TRUE, "Dry")</f>
        <v>High Humidity</v>
      </c>
      <c r="P803" s="35">
        <v>0.25369999999999998</v>
      </c>
      <c r="Q803" s="35" t="str" cm="1">
        <f t="array" ref="Q803">_xlfn.IFS(P803&lt;=0.2,"Low Windspeed",P803&lt;0.4,"Medium Windspeed",P803&gt;=0.41,"High Windspeed")</f>
        <v>Medium Windspeed</v>
      </c>
      <c r="R803" s="35">
        <v>5</v>
      </c>
      <c r="S803" s="35">
        <v>64</v>
      </c>
      <c r="T803" s="40">
        <v>69</v>
      </c>
      <c r="U803" s="39" t="str" cm="1">
        <f t="array" ref="U803">_xlfn.IFS(T803&lt;=70,"Low",T803&lt;=160,"Medium",T803&gt;=161,"High")</f>
        <v>Low</v>
      </c>
    </row>
    <row r="804" spans="1:21" x14ac:dyDescent="0.25">
      <c r="A804" s="33">
        <v>803</v>
      </c>
      <c r="B804" s="34">
        <v>40579</v>
      </c>
      <c r="C804" s="35">
        <v>1</v>
      </c>
      <c r="D804" s="35">
        <v>0</v>
      </c>
      <c r="E804" s="35">
        <v>2</v>
      </c>
      <c r="F804" s="35">
        <v>21</v>
      </c>
      <c r="G804" s="35" t="str" cm="1">
        <f t="array" ref="G804">_xlfn.IFS(F804&lt;4,"Night",F804&lt;=6,"Early Morning",F804&lt;11,"Morning",F804&lt;12,"Afternoon",F804&lt;=16,"Afternoon",F804&lt;=20,"Evening",F804&gt;=21,"Night")</f>
        <v>Night</v>
      </c>
      <c r="H804" s="35" t="b">
        <v>0</v>
      </c>
      <c r="I804" s="35">
        <v>6</v>
      </c>
      <c r="J804" s="35">
        <v>1</v>
      </c>
      <c r="K804" s="35">
        <v>0.26</v>
      </c>
      <c r="L804" s="31" t="str" cm="1">
        <f t="array" ref="L804">_xlfn.IFS(K804&lt;0.15,"Cold",K804&lt;0.25,"Mild",K804&lt;=0.32,"Warm",K804&gt;=0.33,"Hot")</f>
        <v>Warm</v>
      </c>
      <c r="M804" s="35">
        <v>0.2576</v>
      </c>
      <c r="N804" s="35">
        <v>1</v>
      </c>
      <c r="O804" s="35" t="str" cm="1">
        <f t="array" ref="O804">_xlfn.IFS(N804&gt;0.61, "High Humidity", N804&gt;=0.6, "Humid", N804&gt;0.4, "Less Humidity", TRUE, "Dry")</f>
        <v>High Humidity</v>
      </c>
      <c r="P804" s="35">
        <v>0.19400000000000001</v>
      </c>
      <c r="Q804" s="35" t="str" cm="1">
        <f t="array" ref="Q804">_xlfn.IFS(P804&lt;=0.2,"Low Windspeed",P804&lt;0.4,"Medium Windspeed",P804&gt;=0.41,"High Windspeed")</f>
        <v>Low Windspeed</v>
      </c>
      <c r="R804" s="35">
        <v>3</v>
      </c>
      <c r="S804" s="35">
        <v>53</v>
      </c>
      <c r="T804" s="40">
        <v>56</v>
      </c>
      <c r="U804" s="39" t="str" cm="1">
        <f t="array" ref="U804">_xlfn.IFS(T804&lt;=70,"Low",T804&lt;=160,"Medium",T804&gt;=161,"High")</f>
        <v>Low</v>
      </c>
    </row>
    <row r="805" spans="1:21" x14ac:dyDescent="0.25">
      <c r="A805" s="33">
        <v>804</v>
      </c>
      <c r="B805" s="34">
        <v>40579</v>
      </c>
      <c r="C805" s="35">
        <v>1</v>
      </c>
      <c r="D805" s="35">
        <v>0</v>
      </c>
      <c r="E805" s="35">
        <v>2</v>
      </c>
      <c r="F805" s="35">
        <v>22</v>
      </c>
      <c r="G805" s="35" t="str" cm="1">
        <f t="array" ref="G805">_xlfn.IFS(F805&lt;4,"Night",F805&lt;=6,"Early Morning",F805&lt;11,"Morning",F805&lt;12,"Afternoon",F805&lt;=16,"Afternoon",F805&lt;=20,"Evening",F805&gt;=21,"Night")</f>
        <v>Night</v>
      </c>
      <c r="H805" s="35" t="b">
        <v>0</v>
      </c>
      <c r="I805" s="35">
        <v>6</v>
      </c>
      <c r="J805" s="35">
        <v>1</v>
      </c>
      <c r="K805" s="35">
        <v>0.26</v>
      </c>
      <c r="L805" s="31" t="str" cm="1">
        <f t="array" ref="L805">_xlfn.IFS(K805&lt;0.15,"Cold",K805&lt;0.25,"Mild",K805&lt;=0.32,"Warm",K805&gt;=0.33,"Hot")</f>
        <v>Warm</v>
      </c>
      <c r="M805" s="35">
        <v>0.2727</v>
      </c>
      <c r="N805" s="35">
        <v>0.93</v>
      </c>
      <c r="O805" s="35" t="str" cm="1">
        <f t="array" ref="O805">_xlfn.IFS(N805&gt;0.61, "High Humidity", N805&gt;=0.6, "Humid", N805&gt;0.4, "Less Humidity", TRUE, "Dry")</f>
        <v>High Humidity</v>
      </c>
      <c r="P805" s="35">
        <v>0.1343</v>
      </c>
      <c r="Q805" s="35" t="str" cm="1">
        <f t="array" ref="Q805">_xlfn.IFS(P805&lt;=0.2,"Low Windspeed",P805&lt;0.4,"Medium Windspeed",P805&gt;=0.41,"High Windspeed")</f>
        <v>Low Windspeed</v>
      </c>
      <c r="R805" s="35">
        <v>2</v>
      </c>
      <c r="S805" s="35">
        <v>43</v>
      </c>
      <c r="T805" s="40">
        <v>45</v>
      </c>
      <c r="U805" s="39" t="str" cm="1">
        <f t="array" ref="U805">_xlfn.IFS(T805&lt;=70,"Low",T805&lt;=160,"Medium",T805&gt;=161,"High")</f>
        <v>Low</v>
      </c>
    </row>
    <row r="806" spans="1:21" x14ac:dyDescent="0.25">
      <c r="A806" s="33">
        <v>805</v>
      </c>
      <c r="B806" s="34">
        <v>40579</v>
      </c>
      <c r="C806" s="35">
        <v>1</v>
      </c>
      <c r="D806" s="35">
        <v>0</v>
      </c>
      <c r="E806" s="35">
        <v>2</v>
      </c>
      <c r="F806" s="35">
        <v>23</v>
      </c>
      <c r="G806" s="35" t="str" cm="1">
        <f t="array" ref="G806">_xlfn.IFS(F806&lt;4,"Night",F806&lt;=6,"Early Morning",F806&lt;11,"Morning",F806&lt;12,"Afternoon",F806&lt;=16,"Afternoon",F806&lt;=20,"Evening",F806&gt;=21,"Night")</f>
        <v>Night</v>
      </c>
      <c r="H806" s="35" t="b">
        <v>0</v>
      </c>
      <c r="I806" s="35">
        <v>6</v>
      </c>
      <c r="J806" s="35">
        <v>1</v>
      </c>
      <c r="K806" s="35">
        <v>0.26</v>
      </c>
      <c r="L806" s="31" t="str" cm="1">
        <f t="array" ref="L806">_xlfn.IFS(K806&lt;0.15,"Cold",K806&lt;0.25,"Mild",K806&lt;=0.32,"Warm",K806&gt;=0.33,"Hot")</f>
        <v>Warm</v>
      </c>
      <c r="M806" s="35">
        <v>0.2576</v>
      </c>
      <c r="N806" s="35">
        <v>0.93</v>
      </c>
      <c r="O806" s="35" t="str" cm="1">
        <f t="array" ref="O806">_xlfn.IFS(N806&gt;0.61, "High Humidity", N806&gt;=0.6, "Humid", N806&gt;0.4, "Less Humidity", TRUE, "Dry")</f>
        <v>High Humidity</v>
      </c>
      <c r="P806" s="35">
        <v>0.22389999999999999</v>
      </c>
      <c r="Q806" s="35" t="str" cm="1">
        <f t="array" ref="Q806">_xlfn.IFS(P806&lt;=0.2,"Low Windspeed",P806&lt;0.4,"Medium Windspeed",P806&gt;=0.41,"High Windspeed")</f>
        <v>Medium Windspeed</v>
      </c>
      <c r="R806" s="35">
        <v>7</v>
      </c>
      <c r="S806" s="35">
        <v>52</v>
      </c>
      <c r="T806" s="40">
        <v>59</v>
      </c>
      <c r="U806" s="39" t="str" cm="1">
        <f t="array" ref="U806">_xlfn.IFS(T806&lt;=70,"Low",T806&lt;=160,"Medium",T806&gt;=161,"High")</f>
        <v>Low</v>
      </c>
    </row>
    <row r="807" spans="1:21" x14ac:dyDescent="0.25">
      <c r="A807" s="33">
        <v>806</v>
      </c>
      <c r="B807" s="34">
        <v>40580</v>
      </c>
      <c r="C807" s="35">
        <v>1</v>
      </c>
      <c r="D807" s="35">
        <v>0</v>
      </c>
      <c r="E807" s="35">
        <v>2</v>
      </c>
      <c r="F807" s="35">
        <v>0</v>
      </c>
      <c r="G807" s="35" t="str" cm="1">
        <f t="array" ref="G807">_xlfn.IFS(F807&lt;4,"Night",F807&lt;=6,"Early Morning",F807&lt;11,"Morning",F807&lt;12,"Afternoon",F807&lt;=16,"Afternoon",F807&lt;=20,"Evening",F807&gt;=21,"Night")</f>
        <v>Night</v>
      </c>
      <c r="H807" s="35" t="b">
        <v>0</v>
      </c>
      <c r="I807" s="35">
        <v>0</v>
      </c>
      <c r="J807" s="35">
        <v>1</v>
      </c>
      <c r="K807" s="35">
        <v>0.26</v>
      </c>
      <c r="L807" s="31" t="str" cm="1">
        <f t="array" ref="L807">_xlfn.IFS(K807&lt;0.15,"Cold",K807&lt;0.25,"Mild",K807&lt;=0.32,"Warm",K807&gt;=0.33,"Hot")</f>
        <v>Warm</v>
      </c>
      <c r="M807" s="35">
        <v>0.2576</v>
      </c>
      <c r="N807" s="35">
        <v>0.7</v>
      </c>
      <c r="O807" s="35" t="str" cm="1">
        <f t="array" ref="O807">_xlfn.IFS(N807&gt;0.61, "High Humidity", N807&gt;=0.6, "Humid", N807&gt;0.4, "Less Humidity", TRUE, "Dry")</f>
        <v>High Humidity</v>
      </c>
      <c r="P807" s="35">
        <v>0.19400000000000001</v>
      </c>
      <c r="Q807" s="35" t="str" cm="1">
        <f t="array" ref="Q807">_xlfn.IFS(P807&lt;=0.2,"Low Windspeed",P807&lt;0.4,"Medium Windspeed",P807&gt;=0.41,"High Windspeed")</f>
        <v>Low Windspeed</v>
      </c>
      <c r="R807" s="35">
        <v>2</v>
      </c>
      <c r="S807" s="35">
        <v>37</v>
      </c>
      <c r="T807" s="40">
        <v>39</v>
      </c>
      <c r="U807" s="39" t="str" cm="1">
        <f t="array" ref="U807">_xlfn.IFS(T807&lt;=70,"Low",T807&lt;=160,"Medium",T807&gt;=161,"High")</f>
        <v>Low</v>
      </c>
    </row>
    <row r="808" spans="1:21" x14ac:dyDescent="0.25">
      <c r="A808" s="33">
        <v>807</v>
      </c>
      <c r="B808" s="34">
        <v>40580</v>
      </c>
      <c r="C808" s="35">
        <v>1</v>
      </c>
      <c r="D808" s="35">
        <v>0</v>
      </c>
      <c r="E808" s="35">
        <v>2</v>
      </c>
      <c r="F808" s="35">
        <v>1</v>
      </c>
      <c r="G808" s="35" t="str" cm="1">
        <f t="array" ref="G808">_xlfn.IFS(F808&lt;4,"Night",F808&lt;=6,"Early Morning",F808&lt;11,"Morning",F808&lt;12,"Afternoon",F808&lt;=16,"Afternoon",F808&lt;=20,"Evening",F808&gt;=21,"Night")</f>
        <v>Night</v>
      </c>
      <c r="H808" s="35" t="b">
        <v>0</v>
      </c>
      <c r="I808" s="35">
        <v>0</v>
      </c>
      <c r="J808" s="35">
        <v>1</v>
      </c>
      <c r="K808" s="35">
        <v>0.26</v>
      </c>
      <c r="L808" s="31" t="str" cm="1">
        <f t="array" ref="L808">_xlfn.IFS(K808&lt;0.15,"Cold",K808&lt;0.25,"Mild",K808&lt;=0.32,"Warm",K808&gt;=0.33,"Hot")</f>
        <v>Warm</v>
      </c>
      <c r="M808" s="35">
        <v>0.2273</v>
      </c>
      <c r="N808" s="35">
        <v>0.65</v>
      </c>
      <c r="O808" s="35" t="str" cm="1">
        <f t="array" ref="O808">_xlfn.IFS(N808&gt;0.61, "High Humidity", N808&gt;=0.6, "Humid", N808&gt;0.4, "Less Humidity", TRUE, "Dry")</f>
        <v>High Humidity</v>
      </c>
      <c r="P808" s="35">
        <v>0.41789999999999999</v>
      </c>
      <c r="Q808" s="35" t="str" cm="1">
        <f t="array" ref="Q808">_xlfn.IFS(P808&lt;=0.2,"Low Windspeed",P808&lt;0.4,"Medium Windspeed",P808&gt;=0.41,"High Windspeed")</f>
        <v>High Windspeed</v>
      </c>
      <c r="R808" s="35">
        <v>4</v>
      </c>
      <c r="S808" s="35">
        <v>40</v>
      </c>
      <c r="T808" s="40">
        <v>44</v>
      </c>
      <c r="U808" s="39" t="str" cm="1">
        <f t="array" ref="U808">_xlfn.IFS(T808&lt;=70,"Low",T808&lt;=160,"Medium",T808&gt;=161,"High")</f>
        <v>Low</v>
      </c>
    </row>
    <row r="809" spans="1:21" x14ac:dyDescent="0.25">
      <c r="A809" s="33">
        <v>808</v>
      </c>
      <c r="B809" s="34">
        <v>40580</v>
      </c>
      <c r="C809" s="35">
        <v>1</v>
      </c>
      <c r="D809" s="35">
        <v>0</v>
      </c>
      <c r="E809" s="35">
        <v>2</v>
      </c>
      <c r="F809" s="35">
        <v>2</v>
      </c>
      <c r="G809" s="35" t="str" cm="1">
        <f t="array" ref="G809">_xlfn.IFS(F809&lt;4,"Night",F809&lt;=6,"Early Morning",F809&lt;11,"Morning",F809&lt;12,"Afternoon",F809&lt;=16,"Afternoon",F809&lt;=20,"Evening",F809&gt;=21,"Night")</f>
        <v>Night</v>
      </c>
      <c r="H809" s="35" t="b">
        <v>0</v>
      </c>
      <c r="I809" s="35">
        <v>0</v>
      </c>
      <c r="J809" s="35">
        <v>1</v>
      </c>
      <c r="K809" s="35">
        <v>0.26</v>
      </c>
      <c r="L809" s="31" t="str" cm="1">
        <f t="array" ref="L809">_xlfn.IFS(K809&lt;0.15,"Cold",K809&lt;0.25,"Mild",K809&lt;=0.32,"Warm",K809&gt;=0.33,"Hot")</f>
        <v>Warm</v>
      </c>
      <c r="M809" s="35">
        <v>0.2273</v>
      </c>
      <c r="N809" s="35">
        <v>0.6</v>
      </c>
      <c r="O809" s="35" t="str" cm="1">
        <f t="array" ref="O809">_xlfn.IFS(N809&gt;0.61, "High Humidity", N809&gt;=0.6, "Humid", N809&gt;0.4, "Less Humidity", TRUE, "Dry")</f>
        <v>Humid</v>
      </c>
      <c r="P809" s="35">
        <v>0.32840000000000003</v>
      </c>
      <c r="Q809" s="35" t="str" cm="1">
        <f t="array" ref="Q809">_xlfn.IFS(P809&lt;=0.2,"Low Windspeed",P809&lt;0.4,"Medium Windspeed",P809&gt;=0.41,"High Windspeed")</f>
        <v>Medium Windspeed</v>
      </c>
      <c r="R809" s="35">
        <v>0</v>
      </c>
      <c r="S809" s="35">
        <v>20</v>
      </c>
      <c r="T809" s="40">
        <v>20</v>
      </c>
      <c r="U809" s="39" t="str" cm="1">
        <f t="array" ref="U809">_xlfn.IFS(T809&lt;=70,"Low",T809&lt;=160,"Medium",T809&gt;=161,"High")</f>
        <v>Low</v>
      </c>
    </row>
    <row r="810" spans="1:21" x14ac:dyDescent="0.25">
      <c r="A810" s="33">
        <v>809</v>
      </c>
      <c r="B810" s="34">
        <v>40580</v>
      </c>
      <c r="C810" s="35">
        <v>1</v>
      </c>
      <c r="D810" s="35">
        <v>0</v>
      </c>
      <c r="E810" s="35">
        <v>2</v>
      </c>
      <c r="F810" s="35">
        <v>3</v>
      </c>
      <c r="G810" s="35" t="str" cm="1">
        <f t="array" ref="G810">_xlfn.IFS(F810&lt;4,"Night",F810&lt;=6,"Early Morning",F810&lt;11,"Morning",F810&lt;12,"Afternoon",F810&lt;=16,"Afternoon",F810&lt;=20,"Evening",F810&gt;=21,"Night")</f>
        <v>Night</v>
      </c>
      <c r="H810" s="35" t="b">
        <v>0</v>
      </c>
      <c r="I810" s="35">
        <v>0</v>
      </c>
      <c r="J810" s="35">
        <v>1</v>
      </c>
      <c r="K810" s="35">
        <v>0.26</v>
      </c>
      <c r="L810" s="31" t="str" cm="1">
        <f t="array" ref="L810">_xlfn.IFS(K810&lt;0.15,"Cold",K810&lt;0.25,"Mild",K810&lt;=0.32,"Warm",K810&gt;=0.33,"Hot")</f>
        <v>Warm</v>
      </c>
      <c r="M810" s="35">
        <v>0.28789999999999999</v>
      </c>
      <c r="N810" s="35">
        <v>0.6</v>
      </c>
      <c r="O810" s="35" t="str" cm="1">
        <f t="array" ref="O810">_xlfn.IFS(N810&gt;0.61, "High Humidity", N810&gt;=0.6, "Humid", N810&gt;0.4, "Less Humidity", TRUE, "Dry")</f>
        <v>Humid</v>
      </c>
      <c r="P810" s="35">
        <v>8.9599999999999999E-2</v>
      </c>
      <c r="Q810" s="35" t="str" cm="1">
        <f t="array" ref="Q810">_xlfn.IFS(P810&lt;=0.2,"Low Windspeed",P810&lt;0.4,"Medium Windspeed",P810&gt;=0.41,"High Windspeed")</f>
        <v>Low Windspeed</v>
      </c>
      <c r="R810" s="35">
        <v>3</v>
      </c>
      <c r="S810" s="35">
        <v>10</v>
      </c>
      <c r="T810" s="40">
        <v>13</v>
      </c>
      <c r="U810" s="39" t="str" cm="1">
        <f t="array" ref="U810">_xlfn.IFS(T810&lt;=70,"Low",T810&lt;=160,"Medium",T810&gt;=161,"High")</f>
        <v>Low</v>
      </c>
    </row>
    <row r="811" spans="1:21" x14ac:dyDescent="0.25">
      <c r="A811" s="33">
        <v>810</v>
      </c>
      <c r="B811" s="34">
        <v>40580</v>
      </c>
      <c r="C811" s="35">
        <v>1</v>
      </c>
      <c r="D811" s="35">
        <v>0</v>
      </c>
      <c r="E811" s="35">
        <v>2</v>
      </c>
      <c r="F811" s="35">
        <v>4</v>
      </c>
      <c r="G811" s="35" t="str" cm="1">
        <f t="array" ref="G811">_xlfn.IFS(F811&lt;4,"Night",F811&lt;=6,"Early Morning",F811&lt;11,"Morning",F811&lt;12,"Afternoon",F811&lt;=16,"Afternoon",F811&lt;=20,"Evening",F811&gt;=21,"Night")</f>
        <v>Early Morning</v>
      </c>
      <c r="H811" s="35" t="b">
        <v>0</v>
      </c>
      <c r="I811" s="35">
        <v>0</v>
      </c>
      <c r="J811" s="35">
        <v>1</v>
      </c>
      <c r="K811" s="35">
        <v>0.26</v>
      </c>
      <c r="L811" s="31" t="str" cm="1">
        <f t="array" ref="L811">_xlfn.IFS(K811&lt;0.15,"Cold",K811&lt;0.25,"Mild",K811&lt;=0.32,"Warm",K811&gt;=0.33,"Hot")</f>
        <v>Warm</v>
      </c>
      <c r="M811" s="35">
        <v>0.2273</v>
      </c>
      <c r="N811" s="35">
        <v>0.6</v>
      </c>
      <c r="O811" s="35" t="str" cm="1">
        <f t="array" ref="O811">_xlfn.IFS(N811&gt;0.61, "High Humidity", N811&gt;=0.6, "Humid", N811&gt;0.4, "Less Humidity", TRUE, "Dry")</f>
        <v>Humid</v>
      </c>
      <c r="P811" s="35">
        <v>0.35820000000000002</v>
      </c>
      <c r="Q811" s="35" t="str" cm="1">
        <f t="array" ref="Q811">_xlfn.IFS(P811&lt;=0.2,"Low Windspeed",P811&lt;0.4,"Medium Windspeed",P811&gt;=0.41,"High Windspeed")</f>
        <v>Medium Windspeed</v>
      </c>
      <c r="R811" s="35">
        <v>0</v>
      </c>
      <c r="S811" s="35">
        <v>2</v>
      </c>
      <c r="T811" s="40">
        <v>2</v>
      </c>
      <c r="U811" s="39" t="str" cm="1">
        <f t="array" ref="U811">_xlfn.IFS(T811&lt;=70,"Low",T811&lt;=160,"Medium",T811&gt;=161,"High")</f>
        <v>Low</v>
      </c>
    </row>
    <row r="812" spans="1:21" x14ac:dyDescent="0.25">
      <c r="A812" s="33">
        <v>811</v>
      </c>
      <c r="B812" s="34">
        <v>40580</v>
      </c>
      <c r="C812" s="35">
        <v>1</v>
      </c>
      <c r="D812" s="35">
        <v>0</v>
      </c>
      <c r="E812" s="35">
        <v>2</v>
      </c>
      <c r="F812" s="35">
        <v>5</v>
      </c>
      <c r="G812" s="35" t="str" cm="1">
        <f t="array" ref="G812">_xlfn.IFS(F812&lt;4,"Night",F812&lt;=6,"Early Morning",F812&lt;11,"Morning",F812&lt;12,"Afternoon",F812&lt;=16,"Afternoon",F812&lt;=20,"Evening",F812&gt;=21,"Night")</f>
        <v>Early Morning</v>
      </c>
      <c r="H812" s="35" t="b">
        <v>0</v>
      </c>
      <c r="I812" s="35">
        <v>0</v>
      </c>
      <c r="J812" s="35">
        <v>1</v>
      </c>
      <c r="K812" s="35">
        <v>0.26</v>
      </c>
      <c r="L812" s="31" t="str" cm="1">
        <f t="array" ref="L812">_xlfn.IFS(K812&lt;0.15,"Cold",K812&lt;0.25,"Mild",K812&lt;=0.32,"Warm",K812&gt;=0.33,"Hot")</f>
        <v>Warm</v>
      </c>
      <c r="M812" s="35">
        <v>0.2576</v>
      </c>
      <c r="N812" s="35">
        <v>0.6</v>
      </c>
      <c r="O812" s="35" t="str" cm="1">
        <f t="array" ref="O812">_xlfn.IFS(N812&gt;0.61, "High Humidity", N812&gt;=0.6, "Humid", N812&gt;0.4, "Less Humidity", TRUE, "Dry")</f>
        <v>Humid</v>
      </c>
      <c r="P812" s="35">
        <v>0.22389999999999999</v>
      </c>
      <c r="Q812" s="35" t="str" cm="1">
        <f t="array" ref="Q812">_xlfn.IFS(P812&lt;=0.2,"Low Windspeed",P812&lt;0.4,"Medium Windspeed",P812&gt;=0.41,"High Windspeed")</f>
        <v>Medium Windspeed</v>
      </c>
      <c r="R812" s="35">
        <v>0</v>
      </c>
      <c r="S812" s="35">
        <v>1</v>
      </c>
      <c r="T812" s="40">
        <v>1</v>
      </c>
      <c r="U812" s="39" t="str" cm="1">
        <f t="array" ref="U812">_xlfn.IFS(T812&lt;=70,"Low",T812&lt;=160,"Medium",T812&gt;=161,"High")</f>
        <v>Low</v>
      </c>
    </row>
    <row r="813" spans="1:21" x14ac:dyDescent="0.25">
      <c r="A813" s="33">
        <v>812</v>
      </c>
      <c r="B813" s="34">
        <v>40580</v>
      </c>
      <c r="C813" s="35">
        <v>1</v>
      </c>
      <c r="D813" s="35">
        <v>0</v>
      </c>
      <c r="E813" s="35">
        <v>2</v>
      </c>
      <c r="F813" s="35">
        <v>6</v>
      </c>
      <c r="G813" s="35" t="str" cm="1">
        <f t="array" ref="G813">_xlfn.IFS(F813&lt;4,"Night",F813&lt;=6,"Early Morning",F813&lt;11,"Morning",F813&lt;12,"Afternoon",F813&lt;=16,"Afternoon",F813&lt;=20,"Evening",F813&gt;=21,"Night")</f>
        <v>Early Morning</v>
      </c>
      <c r="H813" s="35" t="b">
        <v>0</v>
      </c>
      <c r="I813" s="35">
        <v>0</v>
      </c>
      <c r="J813" s="35">
        <v>1</v>
      </c>
      <c r="K813" s="35">
        <v>0.26</v>
      </c>
      <c r="L813" s="31" t="str" cm="1">
        <f t="array" ref="L813">_xlfn.IFS(K813&lt;0.15,"Cold",K813&lt;0.25,"Mild",K813&lt;=0.32,"Warm",K813&gt;=0.33,"Hot")</f>
        <v>Warm</v>
      </c>
      <c r="M813" s="35">
        <v>0.2576</v>
      </c>
      <c r="N813" s="35">
        <v>0.6</v>
      </c>
      <c r="O813" s="35" t="str" cm="1">
        <f t="array" ref="O813">_xlfn.IFS(N813&gt;0.61, "High Humidity", N813&gt;=0.6, "Humid", N813&gt;0.4, "Less Humidity", TRUE, "Dry")</f>
        <v>Humid</v>
      </c>
      <c r="P813" s="35">
        <v>0.22389999999999999</v>
      </c>
      <c r="Q813" s="35" t="str" cm="1">
        <f t="array" ref="Q813">_xlfn.IFS(P813&lt;=0.2,"Low Windspeed",P813&lt;0.4,"Medium Windspeed",P813&gt;=0.41,"High Windspeed")</f>
        <v>Medium Windspeed</v>
      </c>
      <c r="R813" s="35">
        <v>0</v>
      </c>
      <c r="S813" s="35">
        <v>1</v>
      </c>
      <c r="T813" s="40">
        <v>1</v>
      </c>
      <c r="U813" s="39" t="str" cm="1">
        <f t="array" ref="U813">_xlfn.IFS(T813&lt;=70,"Low",T813&lt;=160,"Medium",T813&gt;=161,"High")</f>
        <v>Low</v>
      </c>
    </row>
    <row r="814" spans="1:21" x14ac:dyDescent="0.25">
      <c r="A814" s="33">
        <v>813</v>
      </c>
      <c r="B814" s="34">
        <v>40580</v>
      </c>
      <c r="C814" s="35">
        <v>1</v>
      </c>
      <c r="D814" s="35">
        <v>0</v>
      </c>
      <c r="E814" s="35">
        <v>2</v>
      </c>
      <c r="F814" s="35">
        <v>7</v>
      </c>
      <c r="G814" s="35" t="str" cm="1">
        <f t="array" ref="G814">_xlfn.IFS(F814&lt;4,"Night",F814&lt;=6,"Early Morning",F814&lt;11,"Morning",F814&lt;12,"Afternoon",F814&lt;=16,"Afternoon",F814&lt;=20,"Evening",F814&gt;=21,"Night")</f>
        <v>Morning</v>
      </c>
      <c r="H814" s="35" t="b">
        <v>0</v>
      </c>
      <c r="I814" s="35">
        <v>0</v>
      </c>
      <c r="J814" s="35">
        <v>1</v>
      </c>
      <c r="K814" s="35">
        <v>0.24</v>
      </c>
      <c r="L814" s="31" t="str" cm="1">
        <f t="array" ref="L814">_xlfn.IFS(K814&lt;0.15,"Cold",K814&lt;0.25,"Mild",K814&lt;=0.32,"Warm",K814&gt;=0.33,"Hot")</f>
        <v>Mild</v>
      </c>
      <c r="M814" s="35">
        <v>0.2424</v>
      </c>
      <c r="N814" s="35">
        <v>0.65</v>
      </c>
      <c r="O814" s="35" t="str" cm="1">
        <f t="array" ref="O814">_xlfn.IFS(N814&gt;0.61, "High Humidity", N814&gt;=0.6, "Humid", N814&gt;0.4, "Less Humidity", TRUE, "Dry")</f>
        <v>High Humidity</v>
      </c>
      <c r="P814" s="35">
        <v>0.16420000000000001</v>
      </c>
      <c r="Q814" s="35" t="str" cm="1">
        <f t="array" ref="Q814">_xlfn.IFS(P814&lt;=0.2,"Low Windspeed",P814&lt;0.4,"Medium Windspeed",P814&gt;=0.41,"High Windspeed")</f>
        <v>Low Windspeed</v>
      </c>
      <c r="R814" s="35">
        <v>0</v>
      </c>
      <c r="S814" s="35">
        <v>8</v>
      </c>
      <c r="T814" s="40">
        <v>8</v>
      </c>
      <c r="U814" s="39" t="str" cm="1">
        <f t="array" ref="U814">_xlfn.IFS(T814&lt;=70,"Low",T814&lt;=160,"Medium",T814&gt;=161,"High")</f>
        <v>Low</v>
      </c>
    </row>
    <row r="815" spans="1:21" x14ac:dyDescent="0.25">
      <c r="A815" s="33">
        <v>814</v>
      </c>
      <c r="B815" s="34">
        <v>40580</v>
      </c>
      <c r="C815" s="35">
        <v>1</v>
      </c>
      <c r="D815" s="35">
        <v>0</v>
      </c>
      <c r="E815" s="35">
        <v>2</v>
      </c>
      <c r="F815" s="35">
        <v>8</v>
      </c>
      <c r="G815" s="35" t="str" cm="1">
        <f t="array" ref="G815">_xlfn.IFS(F815&lt;4,"Night",F815&lt;=6,"Early Morning",F815&lt;11,"Morning",F815&lt;12,"Afternoon",F815&lt;=16,"Afternoon",F815&lt;=20,"Evening",F815&gt;=21,"Night")</f>
        <v>Morning</v>
      </c>
      <c r="H815" s="35" t="b">
        <v>0</v>
      </c>
      <c r="I815" s="35">
        <v>0</v>
      </c>
      <c r="J815" s="35">
        <v>1</v>
      </c>
      <c r="K815" s="35">
        <v>0.24</v>
      </c>
      <c r="L815" s="31" t="str" cm="1">
        <f t="array" ref="L815">_xlfn.IFS(K815&lt;0.15,"Cold",K815&lt;0.25,"Mild",K815&lt;=0.32,"Warm",K815&gt;=0.33,"Hot")</f>
        <v>Mild</v>
      </c>
      <c r="M815" s="35">
        <v>0.2576</v>
      </c>
      <c r="N815" s="35">
        <v>0.65</v>
      </c>
      <c r="O815" s="35" t="str" cm="1">
        <f t="array" ref="O815">_xlfn.IFS(N815&gt;0.61, "High Humidity", N815&gt;=0.6, "Humid", N815&gt;0.4, "Less Humidity", TRUE, "Dry")</f>
        <v>High Humidity</v>
      </c>
      <c r="P815" s="35">
        <v>0.1045</v>
      </c>
      <c r="Q815" s="35" t="str" cm="1">
        <f t="array" ref="Q815">_xlfn.IFS(P815&lt;=0.2,"Low Windspeed",P815&lt;0.4,"Medium Windspeed",P815&gt;=0.41,"High Windspeed")</f>
        <v>Low Windspeed</v>
      </c>
      <c r="R815" s="35">
        <v>2</v>
      </c>
      <c r="S815" s="35">
        <v>21</v>
      </c>
      <c r="T815" s="40">
        <v>23</v>
      </c>
      <c r="U815" s="39" t="str" cm="1">
        <f t="array" ref="U815">_xlfn.IFS(T815&lt;=70,"Low",T815&lt;=160,"Medium",T815&gt;=161,"High")</f>
        <v>Low</v>
      </c>
    </row>
    <row r="816" spans="1:21" x14ac:dyDescent="0.25">
      <c r="A816" s="33">
        <v>815</v>
      </c>
      <c r="B816" s="34">
        <v>40580</v>
      </c>
      <c r="C816" s="35">
        <v>1</v>
      </c>
      <c r="D816" s="35">
        <v>0</v>
      </c>
      <c r="E816" s="35">
        <v>2</v>
      </c>
      <c r="F816" s="35">
        <v>9</v>
      </c>
      <c r="G816" s="35" t="str" cm="1">
        <f t="array" ref="G816">_xlfn.IFS(F816&lt;4,"Night",F816&lt;=6,"Early Morning",F816&lt;11,"Morning",F816&lt;12,"Afternoon",F816&lt;=16,"Afternoon",F816&lt;=20,"Evening",F816&gt;=21,"Night")</f>
        <v>Morning</v>
      </c>
      <c r="H816" s="35" t="b">
        <v>0</v>
      </c>
      <c r="I816" s="35">
        <v>0</v>
      </c>
      <c r="J816" s="35">
        <v>1</v>
      </c>
      <c r="K816" s="35">
        <v>0.28000000000000003</v>
      </c>
      <c r="L816" s="31" t="str" cm="1">
        <f t="array" ref="L816">_xlfn.IFS(K816&lt;0.15,"Cold",K816&lt;0.25,"Mild",K816&lt;=0.32,"Warm",K816&gt;=0.33,"Hot")</f>
        <v>Warm</v>
      </c>
      <c r="M816" s="35">
        <v>0.28789999999999999</v>
      </c>
      <c r="N816" s="35">
        <v>0.56000000000000005</v>
      </c>
      <c r="O816" s="35" t="str" cm="1">
        <f t="array" ref="O816">_xlfn.IFS(N816&gt;0.61, "High Humidity", N816&gt;=0.6, "Humid", N816&gt;0.4, "Less Humidity", TRUE, "Dry")</f>
        <v>Less Humidity</v>
      </c>
      <c r="P816" s="35">
        <v>0.1045</v>
      </c>
      <c r="Q816" s="35" t="str" cm="1">
        <f t="array" ref="Q816">_xlfn.IFS(P816&lt;=0.2,"Low Windspeed",P816&lt;0.4,"Medium Windspeed",P816&gt;=0.41,"High Windspeed")</f>
        <v>Low Windspeed</v>
      </c>
      <c r="R816" s="35">
        <v>7</v>
      </c>
      <c r="S816" s="35">
        <v>38</v>
      </c>
      <c r="T816" s="40">
        <v>45</v>
      </c>
      <c r="U816" s="39" t="str" cm="1">
        <f t="array" ref="U816">_xlfn.IFS(T816&lt;=70,"Low",T816&lt;=160,"Medium",T816&gt;=161,"High")</f>
        <v>Low</v>
      </c>
    </row>
    <row r="817" spans="1:21" x14ac:dyDescent="0.25">
      <c r="A817" s="33">
        <v>816</v>
      </c>
      <c r="B817" s="34">
        <v>40580</v>
      </c>
      <c r="C817" s="35">
        <v>1</v>
      </c>
      <c r="D817" s="35">
        <v>0</v>
      </c>
      <c r="E817" s="35">
        <v>2</v>
      </c>
      <c r="F817" s="35">
        <v>10</v>
      </c>
      <c r="G817" s="35" t="str" cm="1">
        <f t="array" ref="G817">_xlfn.IFS(F817&lt;4,"Night",F817&lt;=6,"Early Morning",F817&lt;11,"Morning",F817&lt;12,"Afternoon",F817&lt;=16,"Afternoon",F817&lt;=20,"Evening",F817&gt;=21,"Night")</f>
        <v>Morning</v>
      </c>
      <c r="H817" s="35" t="b">
        <v>0</v>
      </c>
      <c r="I817" s="35">
        <v>0</v>
      </c>
      <c r="J817" s="35">
        <v>1</v>
      </c>
      <c r="K817" s="35">
        <v>0.3</v>
      </c>
      <c r="L817" s="31" t="str" cm="1">
        <f t="array" ref="L817">_xlfn.IFS(K817&lt;0.15,"Cold",K817&lt;0.25,"Mild",K817&lt;=0.32,"Warm",K817&gt;=0.33,"Hot")</f>
        <v>Warm</v>
      </c>
      <c r="M817" s="35">
        <v>0.28789999999999999</v>
      </c>
      <c r="N817" s="35">
        <v>0.52</v>
      </c>
      <c r="O817" s="35" t="str" cm="1">
        <f t="array" ref="O817">_xlfn.IFS(N817&gt;0.61, "High Humidity", N817&gt;=0.6, "Humid", N817&gt;0.4, "Less Humidity", TRUE, "Dry")</f>
        <v>Less Humidity</v>
      </c>
      <c r="P817" s="35">
        <v>0.25369999999999998</v>
      </c>
      <c r="Q817" s="35" t="str" cm="1">
        <f t="array" ref="Q817">_xlfn.IFS(P817&lt;=0.2,"Low Windspeed",P817&lt;0.4,"Medium Windspeed",P817&gt;=0.41,"High Windspeed")</f>
        <v>Medium Windspeed</v>
      </c>
      <c r="R817" s="35">
        <v>15</v>
      </c>
      <c r="S817" s="35">
        <v>74</v>
      </c>
      <c r="T817" s="40">
        <v>89</v>
      </c>
      <c r="U817" s="39" t="str" cm="1">
        <f t="array" ref="U817">_xlfn.IFS(T817&lt;=70,"Low",T817&lt;=160,"Medium",T817&gt;=161,"High")</f>
        <v>Medium</v>
      </c>
    </row>
    <row r="818" spans="1:21" x14ac:dyDescent="0.25">
      <c r="A818" s="33">
        <v>817</v>
      </c>
      <c r="B818" s="34">
        <v>40580</v>
      </c>
      <c r="C818" s="35">
        <v>1</v>
      </c>
      <c r="D818" s="35">
        <v>0</v>
      </c>
      <c r="E818" s="35">
        <v>2</v>
      </c>
      <c r="F818" s="35">
        <v>11</v>
      </c>
      <c r="G818" s="35" t="str" cm="1">
        <f t="array" ref="G818">_xlfn.IFS(F818&lt;4,"Night",F818&lt;=6,"Early Morning",F818&lt;11,"Morning",F818&lt;12,"Afternoon",F818&lt;=16,"Afternoon",F818&lt;=20,"Evening",F818&gt;=21,"Night")</f>
        <v>Afternoon</v>
      </c>
      <c r="H818" s="35" t="b">
        <v>0</v>
      </c>
      <c r="I818" s="35">
        <v>0</v>
      </c>
      <c r="J818" s="35">
        <v>1</v>
      </c>
      <c r="K818" s="35">
        <v>0.32</v>
      </c>
      <c r="L818" s="31" t="str" cm="1">
        <f t="array" ref="L818">_xlfn.IFS(K818&lt;0.15,"Cold",K818&lt;0.25,"Mild",K818&lt;=0.32,"Warm",K818&gt;=0.33,"Hot")</f>
        <v>Warm</v>
      </c>
      <c r="M818" s="35">
        <v>0.30299999999999999</v>
      </c>
      <c r="N818" s="35">
        <v>0.49</v>
      </c>
      <c r="O818" s="35" t="str" cm="1">
        <f t="array" ref="O818">_xlfn.IFS(N818&gt;0.61, "High Humidity", N818&gt;=0.6, "Humid", N818&gt;0.4, "Less Humidity", TRUE, "Dry")</f>
        <v>Less Humidity</v>
      </c>
      <c r="P818" s="35">
        <v>0.25369999999999998</v>
      </c>
      <c r="Q818" s="35" t="str" cm="1">
        <f t="array" ref="Q818">_xlfn.IFS(P818&lt;=0.2,"Low Windspeed",P818&lt;0.4,"Medium Windspeed",P818&gt;=0.41,"High Windspeed")</f>
        <v>Medium Windspeed</v>
      </c>
      <c r="R818" s="35">
        <v>28</v>
      </c>
      <c r="S818" s="35">
        <v>89</v>
      </c>
      <c r="T818" s="40">
        <v>117</v>
      </c>
      <c r="U818" s="39" t="str" cm="1">
        <f t="array" ref="U818">_xlfn.IFS(T818&lt;=70,"Low",T818&lt;=160,"Medium",T818&gt;=161,"High")</f>
        <v>Medium</v>
      </c>
    </row>
    <row r="819" spans="1:21" x14ac:dyDescent="0.25">
      <c r="A819" s="33">
        <v>818</v>
      </c>
      <c r="B819" s="34">
        <v>40580</v>
      </c>
      <c r="C819" s="35">
        <v>1</v>
      </c>
      <c r="D819" s="35">
        <v>0</v>
      </c>
      <c r="E819" s="35">
        <v>2</v>
      </c>
      <c r="F819" s="35">
        <v>12</v>
      </c>
      <c r="G819" s="35" t="str" cm="1">
        <f t="array" ref="G819">_xlfn.IFS(F819&lt;4,"Night",F819&lt;=6,"Early Morning",F819&lt;11,"Morning",F819&lt;12,"Afternoon",F819&lt;=16,"Afternoon",F819&lt;=20,"Evening",F819&gt;=21,"Night")</f>
        <v>Afternoon</v>
      </c>
      <c r="H819" s="35" t="b">
        <v>0</v>
      </c>
      <c r="I819" s="35">
        <v>0</v>
      </c>
      <c r="J819" s="35">
        <v>1</v>
      </c>
      <c r="K819" s="35">
        <v>0.34</v>
      </c>
      <c r="L819" s="31" t="str" cm="1">
        <f t="array" ref="L819">_xlfn.IFS(K819&lt;0.15,"Cold",K819&lt;0.25,"Mild",K819&lt;=0.32,"Warm",K819&gt;=0.33,"Hot")</f>
        <v>Hot</v>
      </c>
      <c r="M819" s="35">
        <v>0.33329999999999999</v>
      </c>
      <c r="N819" s="35">
        <v>0.46</v>
      </c>
      <c r="O819" s="35" t="str" cm="1">
        <f t="array" ref="O819">_xlfn.IFS(N819&gt;0.61, "High Humidity", N819&gt;=0.6, "Humid", N819&gt;0.4, "Less Humidity", TRUE, "Dry")</f>
        <v>Less Humidity</v>
      </c>
      <c r="P819" s="35">
        <v>0</v>
      </c>
      <c r="Q819" s="35" t="str" cm="1">
        <f t="array" ref="Q819">_xlfn.IFS(P819&lt;=0.2,"Low Windspeed",P819&lt;0.4,"Medium Windspeed",P819&gt;=0.41,"High Windspeed")</f>
        <v>Low Windspeed</v>
      </c>
      <c r="R819" s="35">
        <v>48</v>
      </c>
      <c r="S819" s="35">
        <v>126</v>
      </c>
      <c r="T819" s="40">
        <v>174</v>
      </c>
      <c r="U819" s="39" t="str" cm="1">
        <f t="array" ref="U819">_xlfn.IFS(T819&lt;=70,"Low",T819&lt;=160,"Medium",T819&gt;=161,"High")</f>
        <v>High</v>
      </c>
    </row>
    <row r="820" spans="1:21" x14ac:dyDescent="0.25">
      <c r="A820" s="33">
        <v>819</v>
      </c>
      <c r="B820" s="34">
        <v>40580</v>
      </c>
      <c r="C820" s="35">
        <v>1</v>
      </c>
      <c r="D820" s="35">
        <v>0</v>
      </c>
      <c r="E820" s="35">
        <v>2</v>
      </c>
      <c r="F820" s="35">
        <v>13</v>
      </c>
      <c r="G820" s="35" t="str" cm="1">
        <f t="array" ref="G820">_xlfn.IFS(F820&lt;4,"Night",F820&lt;=6,"Early Morning",F820&lt;11,"Morning",F820&lt;12,"Afternoon",F820&lt;=16,"Afternoon",F820&lt;=20,"Evening",F820&gt;=21,"Night")</f>
        <v>Afternoon</v>
      </c>
      <c r="H820" s="35" t="b">
        <v>0</v>
      </c>
      <c r="I820" s="35">
        <v>0</v>
      </c>
      <c r="J820" s="35">
        <v>1</v>
      </c>
      <c r="K820" s="35">
        <v>0.34</v>
      </c>
      <c r="L820" s="31" t="str" cm="1">
        <f t="array" ref="L820">_xlfn.IFS(K820&lt;0.15,"Cold",K820&lt;0.25,"Mild",K820&lt;=0.32,"Warm",K820&gt;=0.33,"Hot")</f>
        <v>Hot</v>
      </c>
      <c r="M820" s="35">
        <v>0.36359999999999998</v>
      </c>
      <c r="N820" s="35">
        <v>0.46</v>
      </c>
      <c r="O820" s="35" t="str" cm="1">
        <f t="array" ref="O820">_xlfn.IFS(N820&gt;0.61, "High Humidity", N820&gt;=0.6, "Humid", N820&gt;0.4, "Less Humidity", TRUE, "Dry")</f>
        <v>Less Humidity</v>
      </c>
      <c r="P820" s="35">
        <v>0</v>
      </c>
      <c r="Q820" s="35" t="str" cm="1">
        <f t="array" ref="Q820">_xlfn.IFS(P820&lt;=0.2,"Low Windspeed",P820&lt;0.4,"Medium Windspeed",P820&gt;=0.41,"High Windspeed")</f>
        <v>Low Windspeed</v>
      </c>
      <c r="R820" s="35">
        <v>47</v>
      </c>
      <c r="S820" s="35">
        <v>135</v>
      </c>
      <c r="T820" s="40">
        <v>182</v>
      </c>
      <c r="U820" s="39" t="str" cm="1">
        <f t="array" ref="U820">_xlfn.IFS(T820&lt;=70,"Low",T820&lt;=160,"Medium",T820&gt;=161,"High")</f>
        <v>High</v>
      </c>
    </row>
    <row r="821" spans="1:21" x14ac:dyDescent="0.25">
      <c r="A821" s="33">
        <v>820</v>
      </c>
      <c r="B821" s="34">
        <v>40580</v>
      </c>
      <c r="C821" s="35">
        <v>1</v>
      </c>
      <c r="D821" s="35">
        <v>0</v>
      </c>
      <c r="E821" s="35">
        <v>2</v>
      </c>
      <c r="F821" s="35">
        <v>14</v>
      </c>
      <c r="G821" s="35" t="str" cm="1">
        <f t="array" ref="G821">_xlfn.IFS(F821&lt;4,"Night",F821&lt;=6,"Early Morning",F821&lt;11,"Morning",F821&lt;12,"Afternoon",F821&lt;=16,"Afternoon",F821&lt;=20,"Evening",F821&gt;=21,"Night")</f>
        <v>Afternoon</v>
      </c>
      <c r="H821" s="35" t="b">
        <v>0</v>
      </c>
      <c r="I821" s="35">
        <v>0</v>
      </c>
      <c r="J821" s="35">
        <v>1</v>
      </c>
      <c r="K821" s="35">
        <v>0.34</v>
      </c>
      <c r="L821" s="31" t="str" cm="1">
        <f t="array" ref="L821">_xlfn.IFS(K821&lt;0.15,"Cold",K821&lt;0.25,"Mild",K821&lt;=0.32,"Warm",K821&gt;=0.33,"Hot")</f>
        <v>Hot</v>
      </c>
      <c r="M821" s="35">
        <v>0.34849999999999998</v>
      </c>
      <c r="N821" s="35">
        <v>0.46</v>
      </c>
      <c r="O821" s="35" t="str" cm="1">
        <f t="array" ref="O821">_xlfn.IFS(N821&gt;0.61, "High Humidity", N821&gt;=0.6, "Humid", N821&gt;0.4, "Less Humidity", TRUE, "Dry")</f>
        <v>Less Humidity</v>
      </c>
      <c r="P821" s="35">
        <v>8.9599999999999999E-2</v>
      </c>
      <c r="Q821" s="35" t="str" cm="1">
        <f t="array" ref="Q821">_xlfn.IFS(P821&lt;=0.2,"Low Windspeed",P821&lt;0.4,"Medium Windspeed",P821&gt;=0.41,"High Windspeed")</f>
        <v>Low Windspeed</v>
      </c>
      <c r="R821" s="35">
        <v>47</v>
      </c>
      <c r="S821" s="35">
        <v>114</v>
      </c>
      <c r="T821" s="40">
        <v>161</v>
      </c>
      <c r="U821" s="39" t="str" cm="1">
        <f t="array" ref="U821">_xlfn.IFS(T821&lt;=70,"Low",T821&lt;=160,"Medium",T821&gt;=161,"High")</f>
        <v>High</v>
      </c>
    </row>
    <row r="822" spans="1:21" x14ac:dyDescent="0.25">
      <c r="A822" s="33">
        <v>821</v>
      </c>
      <c r="B822" s="34">
        <v>40580</v>
      </c>
      <c r="C822" s="35">
        <v>1</v>
      </c>
      <c r="D822" s="35">
        <v>0</v>
      </c>
      <c r="E822" s="35">
        <v>2</v>
      </c>
      <c r="F822" s="35">
        <v>15</v>
      </c>
      <c r="G822" s="35" t="str" cm="1">
        <f t="array" ref="G822">_xlfn.IFS(F822&lt;4,"Night",F822&lt;=6,"Early Morning",F822&lt;11,"Morning",F822&lt;12,"Afternoon",F822&lt;=16,"Afternoon",F822&lt;=20,"Evening",F822&gt;=21,"Night")</f>
        <v>Afternoon</v>
      </c>
      <c r="H822" s="35" t="b">
        <v>0</v>
      </c>
      <c r="I822" s="35">
        <v>0</v>
      </c>
      <c r="J822" s="35">
        <v>1</v>
      </c>
      <c r="K822" s="35">
        <v>0.34</v>
      </c>
      <c r="L822" s="31" t="str" cm="1">
        <f t="array" ref="L822">_xlfn.IFS(K822&lt;0.15,"Cold",K822&lt;0.25,"Mild",K822&lt;=0.32,"Warm",K822&gt;=0.33,"Hot")</f>
        <v>Hot</v>
      </c>
      <c r="M822" s="35">
        <v>0.34849999999999998</v>
      </c>
      <c r="N822" s="35">
        <v>0.46</v>
      </c>
      <c r="O822" s="35" t="str" cm="1">
        <f t="array" ref="O822">_xlfn.IFS(N822&gt;0.61, "High Humidity", N822&gt;=0.6, "Humid", N822&gt;0.4, "Less Humidity", TRUE, "Dry")</f>
        <v>Less Humidity</v>
      </c>
      <c r="P822" s="35">
        <v>8.9599999999999999E-2</v>
      </c>
      <c r="Q822" s="35" t="str" cm="1">
        <f t="array" ref="Q822">_xlfn.IFS(P822&lt;=0.2,"Low Windspeed",P822&lt;0.4,"Medium Windspeed",P822&gt;=0.41,"High Windspeed")</f>
        <v>Low Windspeed</v>
      </c>
      <c r="R822" s="35">
        <v>52</v>
      </c>
      <c r="S822" s="35">
        <v>130</v>
      </c>
      <c r="T822" s="40">
        <v>182</v>
      </c>
      <c r="U822" s="39" t="str" cm="1">
        <f t="array" ref="U822">_xlfn.IFS(T822&lt;=70,"Low",T822&lt;=160,"Medium",T822&gt;=161,"High")</f>
        <v>High</v>
      </c>
    </row>
    <row r="823" spans="1:21" x14ac:dyDescent="0.25">
      <c r="A823" s="33">
        <v>822</v>
      </c>
      <c r="B823" s="34">
        <v>40580</v>
      </c>
      <c r="C823" s="35">
        <v>1</v>
      </c>
      <c r="D823" s="35">
        <v>0</v>
      </c>
      <c r="E823" s="35">
        <v>2</v>
      </c>
      <c r="F823" s="35">
        <v>16</v>
      </c>
      <c r="G823" s="35" t="str" cm="1">
        <f t="array" ref="G823">_xlfn.IFS(F823&lt;4,"Night",F823&lt;=6,"Early Morning",F823&lt;11,"Morning",F823&lt;12,"Afternoon",F823&lt;=16,"Afternoon",F823&lt;=20,"Evening",F823&gt;=21,"Night")</f>
        <v>Afternoon</v>
      </c>
      <c r="H823" s="35" t="b">
        <v>0</v>
      </c>
      <c r="I823" s="35">
        <v>0</v>
      </c>
      <c r="J823" s="35">
        <v>1</v>
      </c>
      <c r="K823" s="35">
        <v>0.34</v>
      </c>
      <c r="L823" s="31" t="str" cm="1">
        <f t="array" ref="L823">_xlfn.IFS(K823&lt;0.15,"Cold",K823&lt;0.25,"Mild",K823&lt;=0.32,"Warm",K823&gt;=0.33,"Hot")</f>
        <v>Hot</v>
      </c>
      <c r="M823" s="35">
        <v>0.34849999999999998</v>
      </c>
      <c r="N823" s="35">
        <v>0.49</v>
      </c>
      <c r="O823" s="35" t="str" cm="1">
        <f t="array" ref="O823">_xlfn.IFS(N823&gt;0.61, "High Humidity", N823&gt;=0.6, "Humid", N823&gt;0.4, "Less Humidity", TRUE, "Dry")</f>
        <v>Less Humidity</v>
      </c>
      <c r="P823" s="35">
        <v>0.1045</v>
      </c>
      <c r="Q823" s="35" t="str" cm="1">
        <f t="array" ref="Q823">_xlfn.IFS(P823&lt;=0.2,"Low Windspeed",P823&lt;0.4,"Medium Windspeed",P823&gt;=0.41,"High Windspeed")</f>
        <v>Low Windspeed</v>
      </c>
      <c r="R823" s="35">
        <v>42</v>
      </c>
      <c r="S823" s="35">
        <v>115</v>
      </c>
      <c r="T823" s="40">
        <v>157</v>
      </c>
      <c r="U823" s="39" t="str" cm="1">
        <f t="array" ref="U823">_xlfn.IFS(T823&lt;=70,"Low",T823&lt;=160,"Medium",T823&gt;=161,"High")</f>
        <v>Medium</v>
      </c>
    </row>
    <row r="824" spans="1:21" x14ac:dyDescent="0.25">
      <c r="A824" s="33">
        <v>823</v>
      </c>
      <c r="B824" s="34">
        <v>40580</v>
      </c>
      <c r="C824" s="35">
        <v>1</v>
      </c>
      <c r="D824" s="35">
        <v>0</v>
      </c>
      <c r="E824" s="35">
        <v>2</v>
      </c>
      <c r="F824" s="35">
        <v>17</v>
      </c>
      <c r="G824" s="35" t="str" cm="1">
        <f t="array" ref="G824">_xlfn.IFS(F824&lt;4,"Night",F824&lt;=6,"Early Morning",F824&lt;11,"Morning",F824&lt;12,"Afternoon",F824&lt;=16,"Afternoon",F824&lt;=20,"Evening",F824&gt;=21,"Night")</f>
        <v>Evening</v>
      </c>
      <c r="H824" s="35" t="b">
        <v>0</v>
      </c>
      <c r="I824" s="35">
        <v>0</v>
      </c>
      <c r="J824" s="35">
        <v>1</v>
      </c>
      <c r="K824" s="35">
        <v>0.34</v>
      </c>
      <c r="L824" s="31" t="str" cm="1">
        <f t="array" ref="L824">_xlfn.IFS(K824&lt;0.15,"Cold",K824&lt;0.25,"Mild",K824&lt;=0.32,"Warm",K824&gt;=0.33,"Hot")</f>
        <v>Hot</v>
      </c>
      <c r="M824" s="35">
        <v>0.36359999999999998</v>
      </c>
      <c r="N824" s="35">
        <v>0.46</v>
      </c>
      <c r="O824" s="35" t="str" cm="1">
        <f t="array" ref="O824">_xlfn.IFS(N824&gt;0.61, "High Humidity", N824&gt;=0.6, "Humid", N824&gt;0.4, "Less Humidity", TRUE, "Dry")</f>
        <v>Less Humidity</v>
      </c>
      <c r="P824" s="35">
        <v>0</v>
      </c>
      <c r="Q824" s="35" t="str" cm="1">
        <f t="array" ref="Q824">_xlfn.IFS(P824&lt;=0.2,"Low Windspeed",P824&lt;0.4,"Medium Windspeed",P824&gt;=0.41,"High Windspeed")</f>
        <v>Low Windspeed</v>
      </c>
      <c r="R824" s="35">
        <v>24</v>
      </c>
      <c r="S824" s="35">
        <v>97</v>
      </c>
      <c r="T824" s="40">
        <v>121</v>
      </c>
      <c r="U824" s="39" t="str" cm="1">
        <f t="array" ref="U824">_xlfn.IFS(T824&lt;=70,"Low",T824&lt;=160,"Medium",T824&gt;=161,"High")</f>
        <v>Medium</v>
      </c>
    </row>
    <row r="825" spans="1:21" x14ac:dyDescent="0.25">
      <c r="A825" s="33">
        <v>824</v>
      </c>
      <c r="B825" s="34">
        <v>40580</v>
      </c>
      <c r="C825" s="35">
        <v>1</v>
      </c>
      <c r="D825" s="35">
        <v>0</v>
      </c>
      <c r="E825" s="35">
        <v>2</v>
      </c>
      <c r="F825" s="35">
        <v>18</v>
      </c>
      <c r="G825" s="35" t="str" cm="1">
        <f t="array" ref="G825">_xlfn.IFS(F825&lt;4,"Night",F825&lt;=6,"Early Morning",F825&lt;11,"Morning",F825&lt;12,"Afternoon",F825&lt;=16,"Afternoon",F825&lt;=20,"Evening",F825&gt;=21,"Night")</f>
        <v>Evening</v>
      </c>
      <c r="H825" s="35" t="b">
        <v>0</v>
      </c>
      <c r="I825" s="35">
        <v>0</v>
      </c>
      <c r="J825" s="35">
        <v>1</v>
      </c>
      <c r="K825" s="35">
        <v>0.3</v>
      </c>
      <c r="L825" s="31" t="str" cm="1">
        <f t="array" ref="L825">_xlfn.IFS(K825&lt;0.15,"Cold",K825&lt;0.25,"Mild",K825&lt;=0.32,"Warm",K825&gt;=0.33,"Hot")</f>
        <v>Warm</v>
      </c>
      <c r="M825" s="35">
        <v>0.30299999999999999</v>
      </c>
      <c r="N825" s="35">
        <v>0.56000000000000005</v>
      </c>
      <c r="O825" s="35" t="str" cm="1">
        <f t="array" ref="O825">_xlfn.IFS(N825&gt;0.61, "High Humidity", N825&gt;=0.6, "Humid", N825&gt;0.4, "Less Humidity", TRUE, "Dry")</f>
        <v>Less Humidity</v>
      </c>
      <c r="P825" s="35">
        <v>0.16420000000000001</v>
      </c>
      <c r="Q825" s="35" t="str" cm="1">
        <f t="array" ref="Q825">_xlfn.IFS(P825&lt;=0.2,"Low Windspeed",P825&lt;0.4,"Medium Windspeed",P825&gt;=0.41,"High Windspeed")</f>
        <v>Low Windspeed</v>
      </c>
      <c r="R825" s="35">
        <v>13</v>
      </c>
      <c r="S825" s="35">
        <v>65</v>
      </c>
      <c r="T825" s="40">
        <v>78</v>
      </c>
      <c r="U825" s="39" t="str" cm="1">
        <f t="array" ref="U825">_xlfn.IFS(T825&lt;=70,"Low",T825&lt;=160,"Medium",T825&gt;=161,"High")</f>
        <v>Medium</v>
      </c>
    </row>
    <row r="826" spans="1:21" x14ac:dyDescent="0.25">
      <c r="A826" s="33">
        <v>825</v>
      </c>
      <c r="B826" s="34">
        <v>40580</v>
      </c>
      <c r="C826" s="35">
        <v>1</v>
      </c>
      <c r="D826" s="35">
        <v>0</v>
      </c>
      <c r="E826" s="35">
        <v>2</v>
      </c>
      <c r="F826" s="35">
        <v>19</v>
      </c>
      <c r="G826" s="35" t="str" cm="1">
        <f t="array" ref="G826">_xlfn.IFS(F826&lt;4,"Night",F826&lt;=6,"Early Morning",F826&lt;11,"Morning",F826&lt;12,"Afternoon",F826&lt;=16,"Afternoon",F826&lt;=20,"Evening",F826&gt;=21,"Night")</f>
        <v>Evening</v>
      </c>
      <c r="H826" s="35" t="b">
        <v>0</v>
      </c>
      <c r="I826" s="35">
        <v>0</v>
      </c>
      <c r="J826" s="35">
        <v>1</v>
      </c>
      <c r="K826" s="35">
        <v>0.28000000000000003</v>
      </c>
      <c r="L826" s="31" t="str" cm="1">
        <f t="array" ref="L826">_xlfn.IFS(K826&lt;0.15,"Cold",K826&lt;0.25,"Mild",K826&lt;=0.32,"Warm",K826&gt;=0.33,"Hot")</f>
        <v>Warm</v>
      </c>
      <c r="M826" s="35">
        <v>0.28789999999999999</v>
      </c>
      <c r="N826" s="35">
        <v>0.61</v>
      </c>
      <c r="O826" s="35" t="str" cm="1">
        <f t="array" ref="O826">_xlfn.IFS(N826&gt;0.61, "High Humidity", N826&gt;=0.6, "Humid", N826&gt;0.4, "Less Humidity", TRUE, "Dry")</f>
        <v>Humid</v>
      </c>
      <c r="P826" s="35">
        <v>0.1343</v>
      </c>
      <c r="Q826" s="35" t="str" cm="1">
        <f t="array" ref="Q826">_xlfn.IFS(P826&lt;=0.2,"Low Windspeed",P826&lt;0.4,"Medium Windspeed",P826&gt;=0.41,"High Windspeed")</f>
        <v>Low Windspeed</v>
      </c>
      <c r="R826" s="35">
        <v>1</v>
      </c>
      <c r="S826" s="35">
        <v>20</v>
      </c>
      <c r="T826" s="40">
        <v>21</v>
      </c>
      <c r="U826" s="39" t="str" cm="1">
        <f t="array" ref="U826">_xlfn.IFS(T826&lt;=70,"Low",T826&lt;=160,"Medium",T826&gt;=161,"High")</f>
        <v>Low</v>
      </c>
    </row>
    <row r="827" spans="1:21" x14ac:dyDescent="0.25">
      <c r="A827" s="33">
        <v>826</v>
      </c>
      <c r="B827" s="34">
        <v>40580</v>
      </c>
      <c r="C827" s="35">
        <v>1</v>
      </c>
      <c r="D827" s="35">
        <v>0</v>
      </c>
      <c r="E827" s="35">
        <v>2</v>
      </c>
      <c r="F827" s="35">
        <v>20</v>
      </c>
      <c r="G827" s="35" t="str" cm="1">
        <f t="array" ref="G827">_xlfn.IFS(F827&lt;4,"Night",F827&lt;=6,"Early Morning",F827&lt;11,"Morning",F827&lt;12,"Afternoon",F827&lt;=16,"Afternoon",F827&lt;=20,"Evening",F827&gt;=21,"Night")</f>
        <v>Evening</v>
      </c>
      <c r="H827" s="35" t="b">
        <v>0</v>
      </c>
      <c r="I827" s="35">
        <v>0</v>
      </c>
      <c r="J827" s="35">
        <v>1</v>
      </c>
      <c r="K827" s="35">
        <v>0.28000000000000003</v>
      </c>
      <c r="L827" s="31" t="str" cm="1">
        <f t="array" ref="L827">_xlfn.IFS(K827&lt;0.15,"Cold",K827&lt;0.25,"Mild",K827&lt;=0.32,"Warm",K827&gt;=0.33,"Hot")</f>
        <v>Warm</v>
      </c>
      <c r="M827" s="35">
        <v>0.28789999999999999</v>
      </c>
      <c r="N827" s="35">
        <v>0.61</v>
      </c>
      <c r="O827" s="35" t="str" cm="1">
        <f t="array" ref="O827">_xlfn.IFS(N827&gt;0.61, "High Humidity", N827&gt;=0.6, "Humid", N827&gt;0.4, "Less Humidity", TRUE, "Dry")</f>
        <v>Humid</v>
      </c>
      <c r="P827" s="35">
        <v>0.1045</v>
      </c>
      <c r="Q827" s="35" t="str" cm="1">
        <f t="array" ref="Q827">_xlfn.IFS(P827&lt;=0.2,"Low Windspeed",P827&lt;0.4,"Medium Windspeed",P827&gt;=0.41,"High Windspeed")</f>
        <v>Low Windspeed</v>
      </c>
      <c r="R827" s="35">
        <v>5</v>
      </c>
      <c r="S827" s="35">
        <v>21</v>
      </c>
      <c r="T827" s="40">
        <v>26</v>
      </c>
      <c r="U827" s="39" t="str" cm="1">
        <f t="array" ref="U827">_xlfn.IFS(T827&lt;=70,"Low",T827&lt;=160,"Medium",T827&gt;=161,"High")</f>
        <v>Low</v>
      </c>
    </row>
    <row r="828" spans="1:21" x14ac:dyDescent="0.25">
      <c r="A828" s="33">
        <v>827</v>
      </c>
      <c r="B828" s="34">
        <v>40580</v>
      </c>
      <c r="C828" s="35">
        <v>1</v>
      </c>
      <c r="D828" s="35">
        <v>0</v>
      </c>
      <c r="E828" s="35">
        <v>2</v>
      </c>
      <c r="F828" s="35">
        <v>21</v>
      </c>
      <c r="G828" s="35" t="str" cm="1">
        <f t="array" ref="G828">_xlfn.IFS(F828&lt;4,"Night",F828&lt;=6,"Early Morning",F828&lt;11,"Morning",F828&lt;12,"Afternoon",F828&lt;=16,"Afternoon",F828&lt;=20,"Evening",F828&gt;=21,"Night")</f>
        <v>Night</v>
      </c>
      <c r="H828" s="35" t="b">
        <v>0</v>
      </c>
      <c r="I828" s="35">
        <v>0</v>
      </c>
      <c r="J828" s="35">
        <v>1</v>
      </c>
      <c r="K828" s="35">
        <v>0.26</v>
      </c>
      <c r="L828" s="31" t="str" cm="1">
        <f t="array" ref="L828">_xlfn.IFS(K828&lt;0.15,"Cold",K828&lt;0.25,"Mild",K828&lt;=0.32,"Warm",K828&gt;=0.33,"Hot")</f>
        <v>Warm</v>
      </c>
      <c r="M828" s="35">
        <v>0.30299999999999999</v>
      </c>
      <c r="N828" s="35">
        <v>0.6</v>
      </c>
      <c r="O828" s="35" t="str" cm="1">
        <f t="array" ref="O828">_xlfn.IFS(N828&gt;0.61, "High Humidity", N828&gt;=0.6, "Humid", N828&gt;0.4, "Less Humidity", TRUE, "Dry")</f>
        <v>Humid</v>
      </c>
      <c r="P828" s="35">
        <v>0</v>
      </c>
      <c r="Q828" s="35" t="str" cm="1">
        <f t="array" ref="Q828">_xlfn.IFS(P828&lt;=0.2,"Low Windspeed",P828&lt;0.4,"Medium Windspeed",P828&gt;=0.41,"High Windspeed")</f>
        <v>Low Windspeed</v>
      </c>
      <c r="R828" s="35">
        <v>5</v>
      </c>
      <c r="S828" s="35">
        <v>22</v>
      </c>
      <c r="T828" s="40">
        <v>27</v>
      </c>
      <c r="U828" s="39" t="str" cm="1">
        <f t="array" ref="U828">_xlfn.IFS(T828&lt;=70,"Low",T828&lt;=160,"Medium",T828&gt;=161,"High")</f>
        <v>Low</v>
      </c>
    </row>
    <row r="829" spans="1:21" x14ac:dyDescent="0.25">
      <c r="A829" s="33">
        <v>828</v>
      </c>
      <c r="B829" s="34">
        <v>40580</v>
      </c>
      <c r="C829" s="35">
        <v>1</v>
      </c>
      <c r="D829" s="35">
        <v>0</v>
      </c>
      <c r="E829" s="35">
        <v>2</v>
      </c>
      <c r="F829" s="35">
        <v>22</v>
      </c>
      <c r="G829" s="35" t="str" cm="1">
        <f t="array" ref="G829">_xlfn.IFS(F829&lt;4,"Night",F829&lt;=6,"Early Morning",F829&lt;11,"Morning",F829&lt;12,"Afternoon",F829&lt;=16,"Afternoon",F829&lt;=20,"Evening",F829&gt;=21,"Night")</f>
        <v>Night</v>
      </c>
      <c r="H829" s="35" t="b">
        <v>0</v>
      </c>
      <c r="I829" s="35">
        <v>0</v>
      </c>
      <c r="J829" s="35">
        <v>1</v>
      </c>
      <c r="K829" s="35">
        <v>0.26</v>
      </c>
      <c r="L829" s="31" t="str" cm="1">
        <f t="array" ref="L829">_xlfn.IFS(K829&lt;0.15,"Cold",K829&lt;0.25,"Mild",K829&lt;=0.32,"Warm",K829&gt;=0.33,"Hot")</f>
        <v>Warm</v>
      </c>
      <c r="M829" s="35">
        <v>0.30299999999999999</v>
      </c>
      <c r="N829" s="35">
        <v>0.6</v>
      </c>
      <c r="O829" s="35" t="str" cm="1">
        <f t="array" ref="O829">_xlfn.IFS(N829&gt;0.61, "High Humidity", N829&gt;=0.6, "Humid", N829&gt;0.4, "Less Humidity", TRUE, "Dry")</f>
        <v>Humid</v>
      </c>
      <c r="P829" s="35">
        <v>0</v>
      </c>
      <c r="Q829" s="35" t="str" cm="1">
        <f t="array" ref="Q829">_xlfn.IFS(P829&lt;=0.2,"Low Windspeed",P829&lt;0.4,"Medium Windspeed",P829&gt;=0.41,"High Windspeed")</f>
        <v>Low Windspeed</v>
      </c>
      <c r="R829" s="35">
        <v>5</v>
      </c>
      <c r="S829" s="35">
        <v>57</v>
      </c>
      <c r="T829" s="40">
        <v>62</v>
      </c>
      <c r="U829" s="39" t="str" cm="1">
        <f t="array" ref="U829">_xlfn.IFS(T829&lt;=70,"Low",T829&lt;=160,"Medium",T829&gt;=161,"High")</f>
        <v>Low</v>
      </c>
    </row>
    <row r="830" spans="1:21" x14ac:dyDescent="0.25">
      <c r="A830" s="33">
        <v>829</v>
      </c>
      <c r="B830" s="34">
        <v>40580</v>
      </c>
      <c r="C830" s="35">
        <v>1</v>
      </c>
      <c r="D830" s="35">
        <v>0</v>
      </c>
      <c r="E830" s="35">
        <v>2</v>
      </c>
      <c r="F830" s="35">
        <v>23</v>
      </c>
      <c r="G830" s="35" t="str" cm="1">
        <f t="array" ref="G830">_xlfn.IFS(F830&lt;4,"Night",F830&lt;=6,"Early Morning",F830&lt;11,"Morning",F830&lt;12,"Afternoon",F830&lt;=16,"Afternoon",F830&lt;=20,"Evening",F830&gt;=21,"Night")</f>
        <v>Night</v>
      </c>
      <c r="H830" s="35" t="b">
        <v>0</v>
      </c>
      <c r="I830" s="35">
        <v>0</v>
      </c>
      <c r="J830" s="35">
        <v>1</v>
      </c>
      <c r="K830" s="35">
        <v>0.24</v>
      </c>
      <c r="L830" s="31" t="str" cm="1">
        <f t="array" ref="L830">_xlfn.IFS(K830&lt;0.15,"Cold",K830&lt;0.25,"Mild",K830&lt;=0.32,"Warm",K830&gt;=0.33,"Hot")</f>
        <v>Mild</v>
      </c>
      <c r="M830" s="35">
        <v>0.28789999999999999</v>
      </c>
      <c r="N830" s="35">
        <v>0.65</v>
      </c>
      <c r="O830" s="35" t="str" cm="1">
        <f t="array" ref="O830">_xlfn.IFS(N830&gt;0.61, "High Humidity", N830&gt;=0.6, "Humid", N830&gt;0.4, "Less Humidity", TRUE, "Dry")</f>
        <v>High Humidity</v>
      </c>
      <c r="P830" s="35">
        <v>0</v>
      </c>
      <c r="Q830" s="35" t="str" cm="1">
        <f t="array" ref="Q830">_xlfn.IFS(P830&lt;=0.2,"Low Windspeed",P830&lt;0.4,"Medium Windspeed",P830&gt;=0.41,"High Windspeed")</f>
        <v>Low Windspeed</v>
      </c>
      <c r="R830" s="35">
        <v>4</v>
      </c>
      <c r="S830" s="35">
        <v>26</v>
      </c>
      <c r="T830" s="40">
        <v>30</v>
      </c>
      <c r="U830" s="39" t="str" cm="1">
        <f t="array" ref="U830">_xlfn.IFS(T830&lt;=70,"Low",T830&lt;=160,"Medium",T830&gt;=161,"High")</f>
        <v>Low</v>
      </c>
    </row>
    <row r="831" spans="1:21" x14ac:dyDescent="0.25">
      <c r="A831" s="33">
        <v>830</v>
      </c>
      <c r="B831" s="34">
        <v>40581</v>
      </c>
      <c r="C831" s="35">
        <v>1</v>
      </c>
      <c r="D831" s="35">
        <v>0</v>
      </c>
      <c r="E831" s="35">
        <v>2</v>
      </c>
      <c r="F831" s="35">
        <v>0</v>
      </c>
      <c r="G831" s="35" t="str" cm="1">
        <f t="array" ref="G831">_xlfn.IFS(F831&lt;4,"Night",F831&lt;=6,"Early Morning",F831&lt;11,"Morning",F831&lt;12,"Afternoon",F831&lt;=16,"Afternoon",F831&lt;=20,"Evening",F831&gt;=21,"Night")</f>
        <v>Night</v>
      </c>
      <c r="H831" s="35" t="b">
        <v>0</v>
      </c>
      <c r="I831" s="35">
        <v>1</v>
      </c>
      <c r="J831" s="35">
        <v>1</v>
      </c>
      <c r="K831" s="35">
        <v>0.24</v>
      </c>
      <c r="L831" s="31" t="str" cm="1">
        <f t="array" ref="L831">_xlfn.IFS(K831&lt;0.15,"Cold",K831&lt;0.25,"Mild",K831&lt;=0.32,"Warm",K831&gt;=0.33,"Hot")</f>
        <v>Mild</v>
      </c>
      <c r="M831" s="35">
        <v>0.28789999999999999</v>
      </c>
      <c r="N831" s="35">
        <v>0.65</v>
      </c>
      <c r="O831" s="35" t="str" cm="1">
        <f t="array" ref="O831">_xlfn.IFS(N831&gt;0.61, "High Humidity", N831&gt;=0.6, "Humid", N831&gt;0.4, "Less Humidity", TRUE, "Dry")</f>
        <v>High Humidity</v>
      </c>
      <c r="P831" s="35">
        <v>0</v>
      </c>
      <c r="Q831" s="35" t="str" cm="1">
        <f t="array" ref="Q831">_xlfn.IFS(P831&lt;=0.2,"Low Windspeed",P831&lt;0.4,"Medium Windspeed",P831&gt;=0.41,"High Windspeed")</f>
        <v>Low Windspeed</v>
      </c>
      <c r="R831" s="35">
        <v>1</v>
      </c>
      <c r="S831" s="35">
        <v>14</v>
      </c>
      <c r="T831" s="40">
        <v>15</v>
      </c>
      <c r="U831" s="39" t="str" cm="1">
        <f t="array" ref="U831">_xlfn.IFS(T831&lt;=70,"Low",T831&lt;=160,"Medium",T831&gt;=161,"High")</f>
        <v>Low</v>
      </c>
    </row>
    <row r="832" spans="1:21" x14ac:dyDescent="0.25">
      <c r="A832" s="33">
        <v>831</v>
      </c>
      <c r="B832" s="34">
        <v>40581</v>
      </c>
      <c r="C832" s="35">
        <v>1</v>
      </c>
      <c r="D832" s="35">
        <v>0</v>
      </c>
      <c r="E832" s="35">
        <v>2</v>
      </c>
      <c r="F832" s="35">
        <v>1</v>
      </c>
      <c r="G832" s="35" t="str" cm="1">
        <f t="array" ref="G832">_xlfn.IFS(F832&lt;4,"Night",F832&lt;=6,"Early Morning",F832&lt;11,"Morning",F832&lt;12,"Afternoon",F832&lt;=16,"Afternoon",F832&lt;=20,"Evening",F832&gt;=21,"Night")</f>
        <v>Night</v>
      </c>
      <c r="H832" s="35" t="b">
        <v>0</v>
      </c>
      <c r="I832" s="35">
        <v>1</v>
      </c>
      <c r="J832" s="35">
        <v>1</v>
      </c>
      <c r="K832" s="35">
        <v>0.22</v>
      </c>
      <c r="L832" s="31" t="str" cm="1">
        <f t="array" ref="L832">_xlfn.IFS(K832&lt;0.15,"Cold",K832&lt;0.25,"Mild",K832&lt;=0.32,"Warm",K832&gt;=0.33,"Hot")</f>
        <v>Mild</v>
      </c>
      <c r="M832" s="35">
        <v>0.2727</v>
      </c>
      <c r="N832" s="35">
        <v>0.75</v>
      </c>
      <c r="O832" s="35" t="str" cm="1">
        <f t="array" ref="O832">_xlfn.IFS(N832&gt;0.61, "High Humidity", N832&gt;=0.6, "Humid", N832&gt;0.4, "Less Humidity", TRUE, "Dry")</f>
        <v>High Humidity</v>
      </c>
      <c r="P832" s="35">
        <v>0</v>
      </c>
      <c r="Q832" s="35" t="str" cm="1">
        <f t="array" ref="Q832">_xlfn.IFS(P832&lt;=0.2,"Low Windspeed",P832&lt;0.4,"Medium Windspeed",P832&gt;=0.41,"High Windspeed")</f>
        <v>Low Windspeed</v>
      </c>
      <c r="R832" s="35">
        <v>1</v>
      </c>
      <c r="S832" s="35">
        <v>4</v>
      </c>
      <c r="T832" s="40">
        <v>5</v>
      </c>
      <c r="U832" s="39" t="str" cm="1">
        <f t="array" ref="U832">_xlfn.IFS(T832&lt;=70,"Low",T832&lt;=160,"Medium",T832&gt;=161,"High")</f>
        <v>Low</v>
      </c>
    </row>
    <row r="833" spans="1:21" x14ac:dyDescent="0.25">
      <c r="A833" s="33">
        <v>832</v>
      </c>
      <c r="B833" s="34">
        <v>40581</v>
      </c>
      <c r="C833" s="35">
        <v>1</v>
      </c>
      <c r="D833" s="35">
        <v>0</v>
      </c>
      <c r="E833" s="35">
        <v>2</v>
      </c>
      <c r="F833" s="35">
        <v>2</v>
      </c>
      <c r="G833" s="35" t="str" cm="1">
        <f t="array" ref="G833">_xlfn.IFS(F833&lt;4,"Night",F833&lt;=6,"Early Morning",F833&lt;11,"Morning",F833&lt;12,"Afternoon",F833&lt;=16,"Afternoon",F833&lt;=20,"Evening",F833&gt;=21,"Night")</f>
        <v>Night</v>
      </c>
      <c r="H833" s="35" t="b">
        <v>0</v>
      </c>
      <c r="I833" s="35">
        <v>1</v>
      </c>
      <c r="J833" s="35">
        <v>1</v>
      </c>
      <c r="K833" s="35">
        <v>0.2</v>
      </c>
      <c r="L833" s="31" t="str" cm="1">
        <f t="array" ref="L833">_xlfn.IFS(K833&lt;0.15,"Cold",K833&lt;0.25,"Mild",K833&lt;=0.32,"Warm",K833&gt;=0.33,"Hot")</f>
        <v>Mild</v>
      </c>
      <c r="M833" s="35">
        <v>0.2576</v>
      </c>
      <c r="N833" s="35">
        <v>0.8</v>
      </c>
      <c r="O833" s="35" t="str" cm="1">
        <f t="array" ref="O833">_xlfn.IFS(N833&gt;0.61, "High Humidity", N833&gt;=0.6, "Humid", N833&gt;0.4, "Less Humidity", TRUE, "Dry")</f>
        <v>High Humidity</v>
      </c>
      <c r="P833" s="35">
        <v>0</v>
      </c>
      <c r="Q833" s="35" t="str" cm="1">
        <f t="array" ref="Q833">_xlfn.IFS(P833&lt;=0.2,"Low Windspeed",P833&lt;0.4,"Medium Windspeed",P833&gt;=0.41,"High Windspeed")</f>
        <v>Low Windspeed</v>
      </c>
      <c r="R833" s="35">
        <v>0</v>
      </c>
      <c r="S833" s="35">
        <v>3</v>
      </c>
      <c r="T833" s="40">
        <v>3</v>
      </c>
      <c r="U833" s="39" t="str" cm="1">
        <f t="array" ref="U833">_xlfn.IFS(T833&lt;=70,"Low",T833&lt;=160,"Medium",T833&gt;=161,"High")</f>
        <v>Low</v>
      </c>
    </row>
    <row r="834" spans="1:21" x14ac:dyDescent="0.25">
      <c r="A834" s="33">
        <v>833</v>
      </c>
      <c r="B834" s="34">
        <v>40581</v>
      </c>
      <c r="C834" s="35">
        <v>1</v>
      </c>
      <c r="D834" s="35">
        <v>0</v>
      </c>
      <c r="E834" s="35">
        <v>2</v>
      </c>
      <c r="F834" s="35">
        <v>3</v>
      </c>
      <c r="G834" s="35" t="str" cm="1">
        <f t="array" ref="G834">_xlfn.IFS(F834&lt;4,"Night",F834&lt;=6,"Early Morning",F834&lt;11,"Morning",F834&lt;12,"Afternoon",F834&lt;=16,"Afternoon",F834&lt;=20,"Evening",F834&gt;=21,"Night")</f>
        <v>Night</v>
      </c>
      <c r="H834" s="35" t="b">
        <v>0</v>
      </c>
      <c r="I834" s="35">
        <v>1</v>
      </c>
      <c r="J834" s="35">
        <v>1</v>
      </c>
      <c r="K834" s="35">
        <v>0.2</v>
      </c>
      <c r="L834" s="31" t="str" cm="1">
        <f t="array" ref="L834">_xlfn.IFS(K834&lt;0.15,"Cold",K834&lt;0.25,"Mild",K834&lt;=0.32,"Warm",K834&gt;=0.33,"Hot")</f>
        <v>Mild</v>
      </c>
      <c r="M834" s="35">
        <v>0.2576</v>
      </c>
      <c r="N834" s="35">
        <v>0.86</v>
      </c>
      <c r="O834" s="35" t="str" cm="1">
        <f t="array" ref="O834">_xlfn.IFS(N834&gt;0.61, "High Humidity", N834&gt;=0.6, "Humid", N834&gt;0.4, "Less Humidity", TRUE, "Dry")</f>
        <v>High Humidity</v>
      </c>
      <c r="P834" s="35">
        <v>0</v>
      </c>
      <c r="Q834" s="35" t="str" cm="1">
        <f t="array" ref="Q834">_xlfn.IFS(P834&lt;=0.2,"Low Windspeed",P834&lt;0.4,"Medium Windspeed",P834&gt;=0.41,"High Windspeed")</f>
        <v>Low Windspeed</v>
      </c>
      <c r="R834" s="35">
        <v>0</v>
      </c>
      <c r="S834" s="35">
        <v>1</v>
      </c>
      <c r="T834" s="40">
        <v>1</v>
      </c>
      <c r="U834" s="39" t="str" cm="1">
        <f t="array" ref="U834">_xlfn.IFS(T834&lt;=70,"Low",T834&lt;=160,"Medium",T834&gt;=161,"High")</f>
        <v>Low</v>
      </c>
    </row>
    <row r="835" spans="1:21" x14ac:dyDescent="0.25">
      <c r="A835" s="33">
        <v>834</v>
      </c>
      <c r="B835" s="34">
        <v>40581</v>
      </c>
      <c r="C835" s="35">
        <v>1</v>
      </c>
      <c r="D835" s="35">
        <v>0</v>
      </c>
      <c r="E835" s="35">
        <v>2</v>
      </c>
      <c r="F835" s="35">
        <v>4</v>
      </c>
      <c r="G835" s="35" t="str" cm="1">
        <f t="array" ref="G835">_xlfn.IFS(F835&lt;4,"Night",F835&lt;=6,"Early Morning",F835&lt;11,"Morning",F835&lt;12,"Afternoon",F835&lt;=16,"Afternoon",F835&lt;=20,"Evening",F835&gt;=21,"Night")</f>
        <v>Early Morning</v>
      </c>
      <c r="H835" s="35" t="b">
        <v>0</v>
      </c>
      <c r="I835" s="35">
        <v>1</v>
      </c>
      <c r="J835" s="35">
        <v>1</v>
      </c>
      <c r="K835" s="35">
        <v>0.2</v>
      </c>
      <c r="L835" s="31" t="str" cm="1">
        <f t="array" ref="L835">_xlfn.IFS(K835&lt;0.15,"Cold",K835&lt;0.25,"Mild",K835&lt;=0.32,"Warm",K835&gt;=0.33,"Hot")</f>
        <v>Mild</v>
      </c>
      <c r="M835" s="35">
        <v>0.2576</v>
      </c>
      <c r="N835" s="35">
        <v>0.86</v>
      </c>
      <c r="O835" s="35" t="str" cm="1">
        <f t="array" ref="O835">_xlfn.IFS(N835&gt;0.61, "High Humidity", N835&gt;=0.6, "Humid", N835&gt;0.4, "Less Humidity", TRUE, "Dry")</f>
        <v>High Humidity</v>
      </c>
      <c r="P835" s="35">
        <v>0</v>
      </c>
      <c r="Q835" s="35" t="str" cm="1">
        <f t="array" ref="Q835">_xlfn.IFS(P835&lt;=0.2,"Low Windspeed",P835&lt;0.4,"Medium Windspeed",P835&gt;=0.41,"High Windspeed")</f>
        <v>Low Windspeed</v>
      </c>
      <c r="R835" s="35">
        <v>1</v>
      </c>
      <c r="S835" s="35">
        <v>1</v>
      </c>
      <c r="T835" s="40">
        <v>2</v>
      </c>
      <c r="U835" s="39" t="str" cm="1">
        <f t="array" ref="U835">_xlfn.IFS(T835&lt;=70,"Low",T835&lt;=160,"Medium",T835&gt;=161,"High")</f>
        <v>Low</v>
      </c>
    </row>
    <row r="836" spans="1:21" x14ac:dyDescent="0.25">
      <c r="A836" s="33">
        <v>835</v>
      </c>
      <c r="B836" s="34">
        <v>40581</v>
      </c>
      <c r="C836" s="35">
        <v>1</v>
      </c>
      <c r="D836" s="35">
        <v>0</v>
      </c>
      <c r="E836" s="35">
        <v>2</v>
      </c>
      <c r="F836" s="35">
        <v>5</v>
      </c>
      <c r="G836" s="35" t="str" cm="1">
        <f t="array" ref="G836">_xlfn.IFS(F836&lt;4,"Night",F836&lt;=6,"Early Morning",F836&lt;11,"Morning",F836&lt;12,"Afternoon",F836&lt;=16,"Afternoon",F836&lt;=20,"Evening",F836&gt;=21,"Night")</f>
        <v>Early Morning</v>
      </c>
      <c r="H836" s="35" t="b">
        <v>0</v>
      </c>
      <c r="I836" s="35">
        <v>1</v>
      </c>
      <c r="J836" s="35">
        <v>1</v>
      </c>
      <c r="K836" s="35">
        <v>0.2</v>
      </c>
      <c r="L836" s="31" t="str" cm="1">
        <f t="array" ref="L836">_xlfn.IFS(K836&lt;0.15,"Cold",K836&lt;0.25,"Mild",K836&lt;=0.32,"Warm",K836&gt;=0.33,"Hot")</f>
        <v>Mild</v>
      </c>
      <c r="M836" s="35">
        <v>0.2576</v>
      </c>
      <c r="N836" s="35">
        <v>0.86</v>
      </c>
      <c r="O836" s="35" t="str" cm="1">
        <f t="array" ref="O836">_xlfn.IFS(N836&gt;0.61, "High Humidity", N836&gt;=0.6, "Humid", N836&gt;0.4, "Less Humidity", TRUE, "Dry")</f>
        <v>High Humidity</v>
      </c>
      <c r="P836" s="35">
        <v>0</v>
      </c>
      <c r="Q836" s="35" t="str" cm="1">
        <f t="array" ref="Q836">_xlfn.IFS(P836&lt;=0.2,"Low Windspeed",P836&lt;0.4,"Medium Windspeed",P836&gt;=0.41,"High Windspeed")</f>
        <v>Low Windspeed</v>
      </c>
      <c r="R836" s="35">
        <v>1</v>
      </c>
      <c r="S836" s="35">
        <v>9</v>
      </c>
      <c r="T836" s="40">
        <v>10</v>
      </c>
      <c r="U836" s="39" t="str" cm="1">
        <f t="array" ref="U836">_xlfn.IFS(T836&lt;=70,"Low",T836&lt;=160,"Medium",T836&gt;=161,"High")</f>
        <v>Low</v>
      </c>
    </row>
    <row r="837" spans="1:21" x14ac:dyDescent="0.25">
      <c r="A837" s="33">
        <v>836</v>
      </c>
      <c r="B837" s="34">
        <v>40581</v>
      </c>
      <c r="C837" s="35">
        <v>1</v>
      </c>
      <c r="D837" s="35">
        <v>0</v>
      </c>
      <c r="E837" s="35">
        <v>2</v>
      </c>
      <c r="F837" s="35">
        <v>6</v>
      </c>
      <c r="G837" s="35" t="str" cm="1">
        <f t="array" ref="G837">_xlfn.IFS(F837&lt;4,"Night",F837&lt;=6,"Early Morning",F837&lt;11,"Morning",F837&lt;12,"Afternoon",F837&lt;=16,"Afternoon",F837&lt;=20,"Evening",F837&gt;=21,"Night")</f>
        <v>Early Morning</v>
      </c>
      <c r="H837" s="35" t="b">
        <v>0</v>
      </c>
      <c r="I837" s="35">
        <v>1</v>
      </c>
      <c r="J837" s="35">
        <v>1</v>
      </c>
      <c r="K837" s="35">
        <v>0.18</v>
      </c>
      <c r="L837" s="31" t="str" cm="1">
        <f t="array" ref="L837">_xlfn.IFS(K837&lt;0.15,"Cold",K837&lt;0.25,"Mild",K837&lt;=0.32,"Warm",K837&gt;=0.33,"Hot")</f>
        <v>Mild</v>
      </c>
      <c r="M837" s="35">
        <v>0.2424</v>
      </c>
      <c r="N837" s="35">
        <v>0.93</v>
      </c>
      <c r="O837" s="35" t="str" cm="1">
        <f t="array" ref="O837">_xlfn.IFS(N837&gt;0.61, "High Humidity", N837&gt;=0.6, "Humid", N837&gt;0.4, "Less Humidity", TRUE, "Dry")</f>
        <v>High Humidity</v>
      </c>
      <c r="P837" s="35">
        <v>0</v>
      </c>
      <c r="Q837" s="35" t="str" cm="1">
        <f t="array" ref="Q837">_xlfn.IFS(P837&lt;=0.2,"Low Windspeed",P837&lt;0.4,"Medium Windspeed",P837&gt;=0.41,"High Windspeed")</f>
        <v>Low Windspeed</v>
      </c>
      <c r="R837" s="35">
        <v>1</v>
      </c>
      <c r="S837" s="35">
        <v>29</v>
      </c>
      <c r="T837" s="40">
        <v>30</v>
      </c>
      <c r="U837" s="39" t="str" cm="1">
        <f t="array" ref="U837">_xlfn.IFS(T837&lt;=70,"Low",T837&lt;=160,"Medium",T837&gt;=161,"High")</f>
        <v>Low</v>
      </c>
    </row>
    <row r="838" spans="1:21" x14ac:dyDescent="0.25">
      <c r="A838" s="33">
        <v>837</v>
      </c>
      <c r="B838" s="34">
        <v>40581</v>
      </c>
      <c r="C838" s="35">
        <v>1</v>
      </c>
      <c r="D838" s="35">
        <v>0</v>
      </c>
      <c r="E838" s="35">
        <v>2</v>
      </c>
      <c r="F838" s="35">
        <v>7</v>
      </c>
      <c r="G838" s="35" t="str" cm="1">
        <f t="array" ref="G838">_xlfn.IFS(F838&lt;4,"Night",F838&lt;=6,"Early Morning",F838&lt;11,"Morning",F838&lt;12,"Afternoon",F838&lt;=16,"Afternoon",F838&lt;=20,"Evening",F838&gt;=21,"Night")</f>
        <v>Morning</v>
      </c>
      <c r="H838" s="35" t="b">
        <v>0</v>
      </c>
      <c r="I838" s="35">
        <v>1</v>
      </c>
      <c r="J838" s="35">
        <v>1</v>
      </c>
      <c r="K838" s="35">
        <v>0.18</v>
      </c>
      <c r="L838" s="31" t="str" cm="1">
        <f t="array" ref="L838">_xlfn.IFS(K838&lt;0.15,"Cold",K838&lt;0.25,"Mild",K838&lt;=0.32,"Warm",K838&gt;=0.33,"Hot")</f>
        <v>Mild</v>
      </c>
      <c r="M838" s="35">
        <v>0.2424</v>
      </c>
      <c r="N838" s="35">
        <v>0.86</v>
      </c>
      <c r="O838" s="35" t="str" cm="1">
        <f t="array" ref="O838">_xlfn.IFS(N838&gt;0.61, "High Humidity", N838&gt;=0.6, "Humid", N838&gt;0.4, "Less Humidity", TRUE, "Dry")</f>
        <v>High Humidity</v>
      </c>
      <c r="P838" s="35">
        <v>0</v>
      </c>
      <c r="Q838" s="35" t="str" cm="1">
        <f t="array" ref="Q838">_xlfn.IFS(P838&lt;=0.2,"Low Windspeed",P838&lt;0.4,"Medium Windspeed",P838&gt;=0.41,"High Windspeed")</f>
        <v>Low Windspeed</v>
      </c>
      <c r="R838" s="35">
        <v>6</v>
      </c>
      <c r="S838" s="35">
        <v>89</v>
      </c>
      <c r="T838" s="40">
        <v>95</v>
      </c>
      <c r="U838" s="39" t="str" cm="1">
        <f t="array" ref="U838">_xlfn.IFS(T838&lt;=70,"Low",T838&lt;=160,"Medium",T838&gt;=161,"High")</f>
        <v>Medium</v>
      </c>
    </row>
    <row r="839" spans="1:21" x14ac:dyDescent="0.25">
      <c r="A839" s="33">
        <v>838</v>
      </c>
      <c r="B839" s="34">
        <v>40581</v>
      </c>
      <c r="C839" s="35">
        <v>1</v>
      </c>
      <c r="D839" s="35">
        <v>0</v>
      </c>
      <c r="E839" s="35">
        <v>2</v>
      </c>
      <c r="F839" s="35">
        <v>8</v>
      </c>
      <c r="G839" s="35" t="str" cm="1">
        <f t="array" ref="G839">_xlfn.IFS(F839&lt;4,"Night",F839&lt;=6,"Early Morning",F839&lt;11,"Morning",F839&lt;12,"Afternoon",F839&lt;=16,"Afternoon",F839&lt;=20,"Evening",F839&gt;=21,"Night")</f>
        <v>Morning</v>
      </c>
      <c r="H839" s="35" t="b">
        <v>0</v>
      </c>
      <c r="I839" s="35">
        <v>1</v>
      </c>
      <c r="J839" s="35">
        <v>2</v>
      </c>
      <c r="K839" s="35">
        <v>0.16</v>
      </c>
      <c r="L839" s="31" t="str" cm="1">
        <f t="array" ref="L839">_xlfn.IFS(K839&lt;0.15,"Cold",K839&lt;0.25,"Mild",K839&lt;=0.32,"Warm",K839&gt;=0.33,"Hot")</f>
        <v>Mild</v>
      </c>
      <c r="M839" s="35">
        <v>0.2273</v>
      </c>
      <c r="N839" s="35">
        <v>1</v>
      </c>
      <c r="O839" s="35" t="str" cm="1">
        <f t="array" ref="O839">_xlfn.IFS(N839&gt;0.61, "High Humidity", N839&gt;=0.6, "Humid", N839&gt;0.4, "Less Humidity", TRUE, "Dry")</f>
        <v>High Humidity</v>
      </c>
      <c r="P839" s="35">
        <v>0</v>
      </c>
      <c r="Q839" s="35" t="str" cm="1">
        <f t="array" ref="Q839">_xlfn.IFS(P839&lt;=0.2,"Low Windspeed",P839&lt;0.4,"Medium Windspeed",P839&gt;=0.41,"High Windspeed")</f>
        <v>Low Windspeed</v>
      </c>
      <c r="R839" s="35">
        <v>7</v>
      </c>
      <c r="S839" s="35">
        <v>223</v>
      </c>
      <c r="T839" s="40">
        <v>230</v>
      </c>
      <c r="U839" s="39" t="str" cm="1">
        <f t="array" ref="U839">_xlfn.IFS(T839&lt;=70,"Low",T839&lt;=160,"Medium",T839&gt;=161,"High")</f>
        <v>High</v>
      </c>
    </row>
    <row r="840" spans="1:21" x14ac:dyDescent="0.25">
      <c r="A840" s="33">
        <v>839</v>
      </c>
      <c r="B840" s="34">
        <v>40581</v>
      </c>
      <c r="C840" s="35">
        <v>1</v>
      </c>
      <c r="D840" s="35">
        <v>0</v>
      </c>
      <c r="E840" s="35">
        <v>2</v>
      </c>
      <c r="F840" s="35">
        <v>9</v>
      </c>
      <c r="G840" s="35" t="str" cm="1">
        <f t="array" ref="G840">_xlfn.IFS(F840&lt;4,"Night",F840&lt;=6,"Early Morning",F840&lt;11,"Morning",F840&lt;12,"Afternoon",F840&lt;=16,"Afternoon",F840&lt;=20,"Evening",F840&gt;=21,"Night")</f>
        <v>Morning</v>
      </c>
      <c r="H840" s="35" t="b">
        <v>0</v>
      </c>
      <c r="I840" s="35">
        <v>1</v>
      </c>
      <c r="J840" s="35">
        <v>1</v>
      </c>
      <c r="K840" s="35">
        <v>0.22</v>
      </c>
      <c r="L840" s="31" t="str" cm="1">
        <f t="array" ref="L840">_xlfn.IFS(K840&lt;0.15,"Cold",K840&lt;0.25,"Mild",K840&lt;=0.32,"Warm",K840&gt;=0.33,"Hot")</f>
        <v>Mild</v>
      </c>
      <c r="M840" s="35">
        <v>0.2727</v>
      </c>
      <c r="N840" s="35">
        <v>0.8</v>
      </c>
      <c r="O840" s="35" t="str" cm="1">
        <f t="array" ref="O840">_xlfn.IFS(N840&gt;0.61, "High Humidity", N840&gt;=0.6, "Humid", N840&gt;0.4, "Less Humidity", TRUE, "Dry")</f>
        <v>High Humidity</v>
      </c>
      <c r="P840" s="35">
        <v>0</v>
      </c>
      <c r="Q840" s="35" t="str" cm="1">
        <f t="array" ref="Q840">_xlfn.IFS(P840&lt;=0.2,"Low Windspeed",P840&lt;0.4,"Medium Windspeed",P840&gt;=0.41,"High Windspeed")</f>
        <v>Low Windspeed</v>
      </c>
      <c r="R840" s="35">
        <v>3</v>
      </c>
      <c r="S840" s="35">
        <v>115</v>
      </c>
      <c r="T840" s="40">
        <v>118</v>
      </c>
      <c r="U840" s="39" t="str" cm="1">
        <f t="array" ref="U840">_xlfn.IFS(T840&lt;=70,"Low",T840&lt;=160,"Medium",T840&gt;=161,"High")</f>
        <v>Medium</v>
      </c>
    </row>
    <row r="841" spans="1:21" x14ac:dyDescent="0.25">
      <c r="A841" s="33">
        <v>840</v>
      </c>
      <c r="B841" s="34">
        <v>40581</v>
      </c>
      <c r="C841" s="35">
        <v>1</v>
      </c>
      <c r="D841" s="35">
        <v>0</v>
      </c>
      <c r="E841" s="35">
        <v>2</v>
      </c>
      <c r="F841" s="35">
        <v>10</v>
      </c>
      <c r="G841" s="35" t="str" cm="1">
        <f t="array" ref="G841">_xlfn.IFS(F841&lt;4,"Night",F841&lt;=6,"Early Morning",F841&lt;11,"Morning",F841&lt;12,"Afternoon",F841&lt;=16,"Afternoon",F841&lt;=20,"Evening",F841&gt;=21,"Night")</f>
        <v>Morning</v>
      </c>
      <c r="H841" s="35" t="b">
        <v>0</v>
      </c>
      <c r="I841" s="35">
        <v>1</v>
      </c>
      <c r="J841" s="35">
        <v>1</v>
      </c>
      <c r="K841" s="35">
        <v>0.24</v>
      </c>
      <c r="L841" s="31" t="str" cm="1">
        <f t="array" ref="L841">_xlfn.IFS(K841&lt;0.15,"Cold",K841&lt;0.25,"Mild",K841&lt;=0.32,"Warm",K841&gt;=0.33,"Hot")</f>
        <v>Mild</v>
      </c>
      <c r="M841" s="35">
        <v>0.2576</v>
      </c>
      <c r="N841" s="35">
        <v>0.75</v>
      </c>
      <c r="O841" s="35" t="str" cm="1">
        <f t="array" ref="O841">_xlfn.IFS(N841&gt;0.61, "High Humidity", N841&gt;=0.6, "Humid", N841&gt;0.4, "Less Humidity", TRUE, "Dry")</f>
        <v>High Humidity</v>
      </c>
      <c r="P841" s="35">
        <v>0.1045</v>
      </c>
      <c r="Q841" s="35" t="str" cm="1">
        <f t="array" ref="Q841">_xlfn.IFS(P841&lt;=0.2,"Low Windspeed",P841&lt;0.4,"Medium Windspeed",P841&gt;=0.41,"High Windspeed")</f>
        <v>Low Windspeed</v>
      </c>
      <c r="R841" s="35">
        <v>6</v>
      </c>
      <c r="S841" s="35">
        <v>49</v>
      </c>
      <c r="T841" s="40">
        <v>55</v>
      </c>
      <c r="U841" s="39" t="str" cm="1">
        <f t="array" ref="U841">_xlfn.IFS(T841&lt;=70,"Low",T841&lt;=160,"Medium",T841&gt;=161,"High")</f>
        <v>Low</v>
      </c>
    </row>
    <row r="842" spans="1:21" x14ac:dyDescent="0.25">
      <c r="A842" s="33">
        <v>841</v>
      </c>
      <c r="B842" s="34">
        <v>40581</v>
      </c>
      <c r="C842" s="35">
        <v>1</v>
      </c>
      <c r="D842" s="35">
        <v>0</v>
      </c>
      <c r="E842" s="35">
        <v>2</v>
      </c>
      <c r="F842" s="35">
        <v>11</v>
      </c>
      <c r="G842" s="35" t="str" cm="1">
        <f t="array" ref="G842">_xlfn.IFS(F842&lt;4,"Night",F842&lt;=6,"Early Morning",F842&lt;11,"Morning",F842&lt;12,"Afternoon",F842&lt;=16,"Afternoon",F842&lt;=20,"Evening",F842&gt;=21,"Night")</f>
        <v>Afternoon</v>
      </c>
      <c r="H842" s="35" t="b">
        <v>0</v>
      </c>
      <c r="I842" s="35">
        <v>1</v>
      </c>
      <c r="J842" s="35">
        <v>1</v>
      </c>
      <c r="K842" s="35">
        <v>0.3</v>
      </c>
      <c r="L842" s="31" t="str" cm="1">
        <f t="array" ref="L842">_xlfn.IFS(K842&lt;0.15,"Cold",K842&lt;0.25,"Mild",K842&lt;=0.32,"Warm",K842&gt;=0.33,"Hot")</f>
        <v>Warm</v>
      </c>
      <c r="M842" s="35">
        <v>0.31819999999999998</v>
      </c>
      <c r="N842" s="35">
        <v>0.65</v>
      </c>
      <c r="O842" s="35" t="str" cm="1">
        <f t="array" ref="O842">_xlfn.IFS(N842&gt;0.61, "High Humidity", N842&gt;=0.6, "Humid", N842&gt;0.4, "Less Humidity", TRUE, "Dry")</f>
        <v>High Humidity</v>
      </c>
      <c r="P842" s="35">
        <v>8.9599999999999999E-2</v>
      </c>
      <c r="Q842" s="35" t="str" cm="1">
        <f t="array" ref="Q842">_xlfn.IFS(P842&lt;=0.2,"Low Windspeed",P842&lt;0.4,"Medium Windspeed",P842&gt;=0.41,"High Windspeed")</f>
        <v>Low Windspeed</v>
      </c>
      <c r="R842" s="35">
        <v>11</v>
      </c>
      <c r="S842" s="35">
        <v>36</v>
      </c>
      <c r="T842" s="40">
        <v>47</v>
      </c>
      <c r="U842" s="39" t="str" cm="1">
        <f t="array" ref="U842">_xlfn.IFS(T842&lt;=70,"Low",T842&lt;=160,"Medium",T842&gt;=161,"High")</f>
        <v>Low</v>
      </c>
    </row>
    <row r="843" spans="1:21" x14ac:dyDescent="0.25">
      <c r="A843" s="33">
        <v>842</v>
      </c>
      <c r="B843" s="34">
        <v>40581</v>
      </c>
      <c r="C843" s="35">
        <v>1</v>
      </c>
      <c r="D843" s="35">
        <v>0</v>
      </c>
      <c r="E843" s="35">
        <v>2</v>
      </c>
      <c r="F843" s="35">
        <v>12</v>
      </c>
      <c r="G843" s="35" t="str" cm="1">
        <f t="array" ref="G843">_xlfn.IFS(F843&lt;4,"Night",F843&lt;=6,"Early Morning",F843&lt;11,"Morning",F843&lt;12,"Afternoon",F843&lt;=16,"Afternoon",F843&lt;=20,"Evening",F843&gt;=21,"Night")</f>
        <v>Afternoon</v>
      </c>
      <c r="H843" s="35" t="b">
        <v>0</v>
      </c>
      <c r="I843" s="35">
        <v>1</v>
      </c>
      <c r="J843" s="35">
        <v>2</v>
      </c>
      <c r="K843" s="35">
        <v>0.32</v>
      </c>
      <c r="L843" s="31" t="str" cm="1">
        <f t="array" ref="L843">_xlfn.IFS(K843&lt;0.15,"Cold",K843&lt;0.25,"Mild",K843&lt;=0.32,"Warm",K843&gt;=0.33,"Hot")</f>
        <v>Warm</v>
      </c>
      <c r="M843" s="35">
        <v>0.34849999999999998</v>
      </c>
      <c r="N843" s="35">
        <v>0.62</v>
      </c>
      <c r="O843" s="35" t="str" cm="1">
        <f t="array" ref="O843">_xlfn.IFS(N843&gt;0.61, "High Humidity", N843&gt;=0.6, "Humid", N843&gt;0.4, "Less Humidity", TRUE, "Dry")</f>
        <v>High Humidity</v>
      </c>
      <c r="P843" s="35">
        <v>0</v>
      </c>
      <c r="Q843" s="35" t="str" cm="1">
        <f t="array" ref="Q843">_xlfn.IFS(P843&lt;=0.2,"Low Windspeed",P843&lt;0.4,"Medium Windspeed",P843&gt;=0.41,"High Windspeed")</f>
        <v>Low Windspeed</v>
      </c>
      <c r="R843" s="35">
        <v>7</v>
      </c>
      <c r="S843" s="35">
        <v>59</v>
      </c>
      <c r="T843" s="40">
        <v>66</v>
      </c>
      <c r="U843" s="39" t="str" cm="1">
        <f t="array" ref="U843">_xlfn.IFS(T843&lt;=70,"Low",T843&lt;=160,"Medium",T843&gt;=161,"High")</f>
        <v>Low</v>
      </c>
    </row>
    <row r="844" spans="1:21" x14ac:dyDescent="0.25">
      <c r="A844" s="33">
        <v>843</v>
      </c>
      <c r="B844" s="34">
        <v>40581</v>
      </c>
      <c r="C844" s="35">
        <v>1</v>
      </c>
      <c r="D844" s="35">
        <v>0</v>
      </c>
      <c r="E844" s="35">
        <v>2</v>
      </c>
      <c r="F844" s="35">
        <v>13</v>
      </c>
      <c r="G844" s="35" t="str" cm="1">
        <f t="array" ref="G844">_xlfn.IFS(F844&lt;4,"Night",F844&lt;=6,"Early Morning",F844&lt;11,"Morning",F844&lt;12,"Afternoon",F844&lt;=16,"Afternoon",F844&lt;=20,"Evening",F844&gt;=21,"Night")</f>
        <v>Afternoon</v>
      </c>
      <c r="H844" s="35" t="b">
        <v>0</v>
      </c>
      <c r="I844" s="35">
        <v>1</v>
      </c>
      <c r="J844" s="35">
        <v>2</v>
      </c>
      <c r="K844" s="35">
        <v>0.36</v>
      </c>
      <c r="L844" s="31" t="str" cm="1">
        <f t="array" ref="L844">_xlfn.IFS(K844&lt;0.15,"Cold",K844&lt;0.25,"Mild",K844&lt;=0.32,"Warm",K844&gt;=0.33,"Hot")</f>
        <v>Hot</v>
      </c>
      <c r="M844" s="35">
        <v>0.36359999999999998</v>
      </c>
      <c r="N844" s="35">
        <v>0.56999999999999995</v>
      </c>
      <c r="O844" s="35" t="str" cm="1">
        <f t="array" ref="O844">_xlfn.IFS(N844&gt;0.61, "High Humidity", N844&gt;=0.6, "Humid", N844&gt;0.4, "Less Humidity", TRUE, "Dry")</f>
        <v>Less Humidity</v>
      </c>
      <c r="P844" s="35">
        <v>8.9599999999999999E-2</v>
      </c>
      <c r="Q844" s="35" t="str" cm="1">
        <f t="array" ref="Q844">_xlfn.IFS(P844&lt;=0.2,"Low Windspeed",P844&lt;0.4,"Medium Windspeed",P844&gt;=0.41,"High Windspeed")</f>
        <v>Low Windspeed</v>
      </c>
      <c r="R844" s="35">
        <v>10</v>
      </c>
      <c r="S844" s="35">
        <v>54</v>
      </c>
      <c r="T844" s="40">
        <v>64</v>
      </c>
      <c r="U844" s="39" t="str" cm="1">
        <f t="array" ref="U844">_xlfn.IFS(T844&lt;=70,"Low",T844&lt;=160,"Medium",T844&gt;=161,"High")</f>
        <v>Low</v>
      </c>
    </row>
    <row r="845" spans="1:21" x14ac:dyDescent="0.25">
      <c r="A845" s="33">
        <v>844</v>
      </c>
      <c r="B845" s="34">
        <v>40581</v>
      </c>
      <c r="C845" s="35">
        <v>1</v>
      </c>
      <c r="D845" s="35">
        <v>0</v>
      </c>
      <c r="E845" s="35">
        <v>2</v>
      </c>
      <c r="F845" s="35">
        <v>14</v>
      </c>
      <c r="G845" s="35" t="str" cm="1">
        <f t="array" ref="G845">_xlfn.IFS(F845&lt;4,"Night",F845&lt;=6,"Early Morning",F845&lt;11,"Morning",F845&lt;12,"Afternoon",F845&lt;=16,"Afternoon",F845&lt;=20,"Evening",F845&gt;=21,"Night")</f>
        <v>Afternoon</v>
      </c>
      <c r="H845" s="35" t="b">
        <v>0</v>
      </c>
      <c r="I845" s="35">
        <v>1</v>
      </c>
      <c r="J845" s="35">
        <v>2</v>
      </c>
      <c r="K845" s="35">
        <v>0.36</v>
      </c>
      <c r="L845" s="31" t="str" cm="1">
        <f t="array" ref="L845">_xlfn.IFS(K845&lt;0.15,"Cold",K845&lt;0.25,"Mild",K845&lt;=0.32,"Warm",K845&gt;=0.33,"Hot")</f>
        <v>Hot</v>
      </c>
      <c r="M845" s="35">
        <v>0.36359999999999998</v>
      </c>
      <c r="N845" s="35">
        <v>0.56999999999999995</v>
      </c>
      <c r="O845" s="35" t="str" cm="1">
        <f t="array" ref="O845">_xlfn.IFS(N845&gt;0.61, "High Humidity", N845&gt;=0.6, "Humid", N845&gt;0.4, "Less Humidity", TRUE, "Dry")</f>
        <v>Less Humidity</v>
      </c>
      <c r="P845" s="35">
        <v>8.9599999999999999E-2</v>
      </c>
      <c r="Q845" s="35" t="str" cm="1">
        <f t="array" ref="Q845">_xlfn.IFS(P845&lt;=0.2,"Low Windspeed",P845&lt;0.4,"Medium Windspeed",P845&gt;=0.41,"High Windspeed")</f>
        <v>Low Windspeed</v>
      </c>
      <c r="R845" s="35">
        <v>8</v>
      </c>
      <c r="S845" s="35">
        <v>52</v>
      </c>
      <c r="T845" s="40">
        <v>60</v>
      </c>
      <c r="U845" s="39" t="str" cm="1">
        <f t="array" ref="U845">_xlfn.IFS(T845&lt;=70,"Low",T845&lt;=160,"Medium",T845&gt;=161,"High")</f>
        <v>Low</v>
      </c>
    </row>
    <row r="846" spans="1:21" x14ac:dyDescent="0.25">
      <c r="A846" s="33">
        <v>845</v>
      </c>
      <c r="B846" s="34">
        <v>40581</v>
      </c>
      <c r="C846" s="35">
        <v>1</v>
      </c>
      <c r="D846" s="35">
        <v>0</v>
      </c>
      <c r="E846" s="35">
        <v>2</v>
      </c>
      <c r="F846" s="35">
        <v>15</v>
      </c>
      <c r="G846" s="35" t="str" cm="1">
        <f t="array" ref="G846">_xlfn.IFS(F846&lt;4,"Night",F846&lt;=6,"Early Morning",F846&lt;11,"Morning",F846&lt;12,"Afternoon",F846&lt;=16,"Afternoon",F846&lt;=20,"Evening",F846&gt;=21,"Night")</f>
        <v>Afternoon</v>
      </c>
      <c r="H846" s="35" t="b">
        <v>0</v>
      </c>
      <c r="I846" s="35">
        <v>1</v>
      </c>
      <c r="J846" s="35">
        <v>2</v>
      </c>
      <c r="K846" s="35">
        <v>0.38</v>
      </c>
      <c r="L846" s="31" t="str" cm="1">
        <f t="array" ref="L846">_xlfn.IFS(K846&lt;0.15,"Cold",K846&lt;0.25,"Mild",K846&lt;=0.32,"Warm",K846&gt;=0.33,"Hot")</f>
        <v>Hot</v>
      </c>
      <c r="M846" s="35">
        <v>0.39389999999999997</v>
      </c>
      <c r="N846" s="35">
        <v>0.54</v>
      </c>
      <c r="O846" s="35" t="str" cm="1">
        <f t="array" ref="O846">_xlfn.IFS(N846&gt;0.61, "High Humidity", N846&gt;=0.6, "Humid", N846&gt;0.4, "Less Humidity", TRUE, "Dry")</f>
        <v>Less Humidity</v>
      </c>
      <c r="P846" s="35">
        <v>8.9599999999999999E-2</v>
      </c>
      <c r="Q846" s="35" t="str" cm="1">
        <f t="array" ref="Q846">_xlfn.IFS(P846&lt;=0.2,"Low Windspeed",P846&lt;0.4,"Medium Windspeed",P846&gt;=0.41,"High Windspeed")</f>
        <v>Low Windspeed</v>
      </c>
      <c r="R846" s="35">
        <v>4</v>
      </c>
      <c r="S846" s="35">
        <v>46</v>
      </c>
      <c r="T846" s="40">
        <v>50</v>
      </c>
      <c r="U846" s="39" t="str" cm="1">
        <f t="array" ref="U846">_xlfn.IFS(T846&lt;=70,"Low",T846&lt;=160,"Medium",T846&gt;=161,"High")</f>
        <v>Low</v>
      </c>
    </row>
    <row r="847" spans="1:21" x14ac:dyDescent="0.25">
      <c r="A847" s="33">
        <v>846</v>
      </c>
      <c r="B847" s="34">
        <v>40581</v>
      </c>
      <c r="C847" s="35">
        <v>1</v>
      </c>
      <c r="D847" s="35">
        <v>0</v>
      </c>
      <c r="E847" s="35">
        <v>2</v>
      </c>
      <c r="F847" s="35">
        <v>16</v>
      </c>
      <c r="G847" s="35" t="str" cm="1">
        <f t="array" ref="G847">_xlfn.IFS(F847&lt;4,"Night",F847&lt;=6,"Early Morning",F847&lt;11,"Morning",F847&lt;12,"Afternoon",F847&lt;=16,"Afternoon",F847&lt;=20,"Evening",F847&gt;=21,"Night")</f>
        <v>Afternoon</v>
      </c>
      <c r="H847" s="35" t="b">
        <v>0</v>
      </c>
      <c r="I847" s="35">
        <v>1</v>
      </c>
      <c r="J847" s="35">
        <v>2</v>
      </c>
      <c r="K847" s="35">
        <v>0.36</v>
      </c>
      <c r="L847" s="31" t="str" cm="1">
        <f t="array" ref="L847">_xlfn.IFS(K847&lt;0.15,"Cold",K847&lt;0.25,"Mild",K847&lt;=0.32,"Warm",K847&gt;=0.33,"Hot")</f>
        <v>Hot</v>
      </c>
      <c r="M847" s="35">
        <v>0.34849999999999998</v>
      </c>
      <c r="N847" s="35">
        <v>0.56999999999999995</v>
      </c>
      <c r="O847" s="35" t="str" cm="1">
        <f t="array" ref="O847">_xlfn.IFS(N847&gt;0.61, "High Humidity", N847&gt;=0.6, "Humid", N847&gt;0.4, "Less Humidity", TRUE, "Dry")</f>
        <v>Less Humidity</v>
      </c>
      <c r="P847" s="35">
        <v>0.1343</v>
      </c>
      <c r="Q847" s="35" t="str" cm="1">
        <f t="array" ref="Q847">_xlfn.IFS(P847&lt;=0.2,"Low Windspeed",P847&lt;0.4,"Medium Windspeed",P847&gt;=0.41,"High Windspeed")</f>
        <v>Low Windspeed</v>
      </c>
      <c r="R847" s="35">
        <v>16</v>
      </c>
      <c r="S847" s="35">
        <v>98</v>
      </c>
      <c r="T847" s="40">
        <v>114</v>
      </c>
      <c r="U847" s="39" t="str" cm="1">
        <f t="array" ref="U847">_xlfn.IFS(T847&lt;=70,"Low",T847&lt;=160,"Medium",T847&gt;=161,"High")</f>
        <v>Medium</v>
      </c>
    </row>
    <row r="848" spans="1:21" x14ac:dyDescent="0.25">
      <c r="A848" s="33">
        <v>847</v>
      </c>
      <c r="B848" s="34">
        <v>40581</v>
      </c>
      <c r="C848" s="35">
        <v>1</v>
      </c>
      <c r="D848" s="35">
        <v>0</v>
      </c>
      <c r="E848" s="35">
        <v>2</v>
      </c>
      <c r="F848" s="35">
        <v>17</v>
      </c>
      <c r="G848" s="35" t="str" cm="1">
        <f t="array" ref="G848">_xlfn.IFS(F848&lt;4,"Night",F848&lt;=6,"Early Morning",F848&lt;11,"Morning",F848&lt;12,"Afternoon",F848&lt;=16,"Afternoon",F848&lt;=20,"Evening",F848&gt;=21,"Night")</f>
        <v>Evening</v>
      </c>
      <c r="H848" s="35" t="b">
        <v>0</v>
      </c>
      <c r="I848" s="35">
        <v>1</v>
      </c>
      <c r="J848" s="35">
        <v>2</v>
      </c>
      <c r="K848" s="35">
        <v>0.32</v>
      </c>
      <c r="L848" s="31" t="str" cm="1">
        <f t="array" ref="L848">_xlfn.IFS(K848&lt;0.15,"Cold",K848&lt;0.25,"Mild",K848&lt;=0.32,"Warm",K848&gt;=0.33,"Hot")</f>
        <v>Warm</v>
      </c>
      <c r="M848" s="35">
        <v>0.31819999999999998</v>
      </c>
      <c r="N848" s="35">
        <v>0.7</v>
      </c>
      <c r="O848" s="35" t="str" cm="1">
        <f t="array" ref="O848">_xlfn.IFS(N848&gt;0.61, "High Humidity", N848&gt;=0.6, "Humid", N848&gt;0.4, "Less Humidity", TRUE, "Dry")</f>
        <v>High Humidity</v>
      </c>
      <c r="P848" s="35">
        <v>0.16420000000000001</v>
      </c>
      <c r="Q848" s="35" t="str" cm="1">
        <f t="array" ref="Q848">_xlfn.IFS(P848&lt;=0.2,"Low Windspeed",P848&lt;0.4,"Medium Windspeed",P848&gt;=0.41,"High Windspeed")</f>
        <v>Low Windspeed</v>
      </c>
      <c r="R848" s="35">
        <v>9</v>
      </c>
      <c r="S848" s="35">
        <v>207</v>
      </c>
      <c r="T848" s="40">
        <v>216</v>
      </c>
      <c r="U848" s="39" t="str" cm="1">
        <f t="array" ref="U848">_xlfn.IFS(T848&lt;=70,"Low",T848&lt;=160,"Medium",T848&gt;=161,"High")</f>
        <v>High</v>
      </c>
    </row>
    <row r="849" spans="1:21" x14ac:dyDescent="0.25">
      <c r="A849" s="33">
        <v>848</v>
      </c>
      <c r="B849" s="34">
        <v>40581</v>
      </c>
      <c r="C849" s="35">
        <v>1</v>
      </c>
      <c r="D849" s="35">
        <v>0</v>
      </c>
      <c r="E849" s="35">
        <v>2</v>
      </c>
      <c r="F849" s="35">
        <v>18</v>
      </c>
      <c r="G849" s="35" t="str" cm="1">
        <f t="array" ref="G849">_xlfn.IFS(F849&lt;4,"Night",F849&lt;=6,"Early Morning",F849&lt;11,"Morning",F849&lt;12,"Afternoon",F849&lt;=16,"Afternoon",F849&lt;=20,"Evening",F849&gt;=21,"Night")</f>
        <v>Evening</v>
      </c>
      <c r="H849" s="35" t="b">
        <v>0</v>
      </c>
      <c r="I849" s="35">
        <v>1</v>
      </c>
      <c r="J849" s="35">
        <v>2</v>
      </c>
      <c r="K849" s="35">
        <v>0.34</v>
      </c>
      <c r="L849" s="31" t="str" cm="1">
        <f t="array" ref="L849">_xlfn.IFS(K849&lt;0.15,"Cold",K849&lt;0.25,"Mild",K849&lt;=0.32,"Warm",K849&gt;=0.33,"Hot")</f>
        <v>Hot</v>
      </c>
      <c r="M849" s="35">
        <v>0.33329999999999999</v>
      </c>
      <c r="N849" s="35">
        <v>0.66</v>
      </c>
      <c r="O849" s="35" t="str" cm="1">
        <f t="array" ref="O849">_xlfn.IFS(N849&gt;0.61, "High Humidity", N849&gt;=0.6, "Humid", N849&gt;0.4, "Less Humidity", TRUE, "Dry")</f>
        <v>High Humidity</v>
      </c>
      <c r="P849" s="35">
        <v>0.1343</v>
      </c>
      <c r="Q849" s="35" t="str" cm="1">
        <f t="array" ref="Q849">_xlfn.IFS(P849&lt;=0.2,"Low Windspeed",P849&lt;0.4,"Medium Windspeed",P849&gt;=0.41,"High Windspeed")</f>
        <v>Low Windspeed</v>
      </c>
      <c r="R849" s="35">
        <v>5</v>
      </c>
      <c r="S849" s="35">
        <v>170</v>
      </c>
      <c r="T849" s="40">
        <v>175</v>
      </c>
      <c r="U849" s="39" t="str" cm="1">
        <f t="array" ref="U849">_xlfn.IFS(T849&lt;=70,"Low",T849&lt;=160,"Medium",T849&gt;=161,"High")</f>
        <v>High</v>
      </c>
    </row>
    <row r="850" spans="1:21" x14ac:dyDescent="0.25">
      <c r="A850" s="33">
        <v>849</v>
      </c>
      <c r="B850" s="34">
        <v>40581</v>
      </c>
      <c r="C850" s="35">
        <v>1</v>
      </c>
      <c r="D850" s="35">
        <v>0</v>
      </c>
      <c r="E850" s="35">
        <v>2</v>
      </c>
      <c r="F850" s="35">
        <v>19</v>
      </c>
      <c r="G850" s="35" t="str" cm="1">
        <f t="array" ref="G850">_xlfn.IFS(F850&lt;4,"Night",F850&lt;=6,"Early Morning",F850&lt;11,"Morning",F850&lt;12,"Afternoon",F850&lt;=16,"Afternoon",F850&lt;=20,"Evening",F850&gt;=21,"Night")</f>
        <v>Evening</v>
      </c>
      <c r="H850" s="35" t="b">
        <v>0</v>
      </c>
      <c r="I850" s="35">
        <v>1</v>
      </c>
      <c r="J850" s="35">
        <v>2</v>
      </c>
      <c r="K850" s="35">
        <v>0.32</v>
      </c>
      <c r="L850" s="31" t="str" cm="1">
        <f t="array" ref="L850">_xlfn.IFS(K850&lt;0.15,"Cold",K850&lt;0.25,"Mild",K850&lt;=0.32,"Warm",K850&gt;=0.33,"Hot")</f>
        <v>Warm</v>
      </c>
      <c r="M850" s="35">
        <v>0.34849999999999998</v>
      </c>
      <c r="N850" s="35">
        <v>0.7</v>
      </c>
      <c r="O850" s="35" t="str" cm="1">
        <f t="array" ref="O850">_xlfn.IFS(N850&gt;0.61, "High Humidity", N850&gt;=0.6, "Humid", N850&gt;0.4, "Less Humidity", TRUE, "Dry")</f>
        <v>High Humidity</v>
      </c>
      <c r="P850" s="35">
        <v>0</v>
      </c>
      <c r="Q850" s="35" t="str" cm="1">
        <f t="array" ref="Q850">_xlfn.IFS(P850&lt;=0.2,"Low Windspeed",P850&lt;0.4,"Medium Windspeed",P850&gt;=0.41,"High Windspeed")</f>
        <v>Low Windspeed</v>
      </c>
      <c r="R850" s="35">
        <v>5</v>
      </c>
      <c r="S850" s="35">
        <v>123</v>
      </c>
      <c r="T850" s="40">
        <v>128</v>
      </c>
      <c r="U850" s="39" t="str" cm="1">
        <f t="array" ref="U850">_xlfn.IFS(T850&lt;=70,"Low",T850&lt;=160,"Medium",T850&gt;=161,"High")</f>
        <v>Medium</v>
      </c>
    </row>
    <row r="851" spans="1:21" x14ac:dyDescent="0.25">
      <c r="A851" s="33">
        <v>850</v>
      </c>
      <c r="B851" s="34">
        <v>40581</v>
      </c>
      <c r="C851" s="35">
        <v>1</v>
      </c>
      <c r="D851" s="35">
        <v>0</v>
      </c>
      <c r="E851" s="35">
        <v>2</v>
      </c>
      <c r="F851" s="35">
        <v>20</v>
      </c>
      <c r="G851" s="35" t="str" cm="1">
        <f t="array" ref="G851">_xlfn.IFS(F851&lt;4,"Night",F851&lt;=6,"Early Morning",F851&lt;11,"Morning",F851&lt;12,"Afternoon",F851&lt;=16,"Afternoon",F851&lt;=20,"Evening",F851&gt;=21,"Night")</f>
        <v>Evening</v>
      </c>
      <c r="H851" s="35" t="b">
        <v>0</v>
      </c>
      <c r="I851" s="35">
        <v>1</v>
      </c>
      <c r="J851" s="35">
        <v>2</v>
      </c>
      <c r="K851" s="35">
        <v>0.32</v>
      </c>
      <c r="L851" s="31" t="str" cm="1">
        <f t="array" ref="L851">_xlfn.IFS(K851&lt;0.15,"Cold",K851&lt;0.25,"Mild",K851&lt;=0.32,"Warm",K851&gt;=0.33,"Hot")</f>
        <v>Warm</v>
      </c>
      <c r="M851" s="35">
        <v>0.33329999999999999</v>
      </c>
      <c r="N851" s="35">
        <v>0.7</v>
      </c>
      <c r="O851" s="35" t="str" cm="1">
        <f t="array" ref="O851">_xlfn.IFS(N851&gt;0.61, "High Humidity", N851&gt;=0.6, "Humid", N851&gt;0.4, "Less Humidity", TRUE, "Dry")</f>
        <v>High Humidity</v>
      </c>
      <c r="P851" s="35">
        <v>0.1045</v>
      </c>
      <c r="Q851" s="35" t="str" cm="1">
        <f t="array" ref="Q851">_xlfn.IFS(P851&lt;=0.2,"Low Windspeed",P851&lt;0.4,"Medium Windspeed",P851&gt;=0.41,"High Windspeed")</f>
        <v>Low Windspeed</v>
      </c>
      <c r="R851" s="35">
        <v>6</v>
      </c>
      <c r="S851" s="35">
        <v>82</v>
      </c>
      <c r="T851" s="40">
        <v>88</v>
      </c>
      <c r="U851" s="39" t="str" cm="1">
        <f t="array" ref="U851">_xlfn.IFS(T851&lt;=70,"Low",T851&lt;=160,"Medium",T851&gt;=161,"High")</f>
        <v>Medium</v>
      </c>
    </row>
    <row r="852" spans="1:21" x14ac:dyDescent="0.25">
      <c r="A852" s="33">
        <v>851</v>
      </c>
      <c r="B852" s="34">
        <v>40581</v>
      </c>
      <c r="C852" s="35">
        <v>1</v>
      </c>
      <c r="D852" s="35">
        <v>0</v>
      </c>
      <c r="E852" s="35">
        <v>2</v>
      </c>
      <c r="F852" s="35">
        <v>21</v>
      </c>
      <c r="G852" s="35" t="str" cm="1">
        <f t="array" ref="G852">_xlfn.IFS(F852&lt;4,"Night",F852&lt;=6,"Early Morning",F852&lt;11,"Morning",F852&lt;12,"Afternoon",F852&lt;=16,"Afternoon",F852&lt;=20,"Evening",F852&gt;=21,"Night")</f>
        <v>Night</v>
      </c>
      <c r="H852" s="35" t="b">
        <v>0</v>
      </c>
      <c r="I852" s="35">
        <v>1</v>
      </c>
      <c r="J852" s="35">
        <v>1</v>
      </c>
      <c r="K852" s="35">
        <v>0.32</v>
      </c>
      <c r="L852" s="31" t="str" cm="1">
        <f t="array" ref="L852">_xlfn.IFS(K852&lt;0.15,"Cold",K852&lt;0.25,"Mild",K852&lt;=0.32,"Warm",K852&gt;=0.33,"Hot")</f>
        <v>Warm</v>
      </c>
      <c r="M852" s="35">
        <v>0.34849999999999998</v>
      </c>
      <c r="N852" s="35">
        <v>0.7</v>
      </c>
      <c r="O852" s="35" t="str" cm="1">
        <f t="array" ref="O852">_xlfn.IFS(N852&gt;0.61, "High Humidity", N852&gt;=0.6, "Humid", N852&gt;0.4, "Less Humidity", TRUE, "Dry")</f>
        <v>High Humidity</v>
      </c>
      <c r="P852" s="35">
        <v>0</v>
      </c>
      <c r="Q852" s="35" t="str" cm="1">
        <f t="array" ref="Q852">_xlfn.IFS(P852&lt;=0.2,"Low Windspeed",P852&lt;0.4,"Medium Windspeed",P852&gt;=0.41,"High Windspeed")</f>
        <v>Low Windspeed</v>
      </c>
      <c r="R852" s="35">
        <v>3</v>
      </c>
      <c r="S852" s="35">
        <v>75</v>
      </c>
      <c r="T852" s="40">
        <v>78</v>
      </c>
      <c r="U852" s="39" t="str" cm="1">
        <f t="array" ref="U852">_xlfn.IFS(T852&lt;=70,"Low",T852&lt;=160,"Medium",T852&gt;=161,"High")</f>
        <v>Medium</v>
      </c>
    </row>
    <row r="853" spans="1:21" x14ac:dyDescent="0.25">
      <c r="A853" s="33">
        <v>852</v>
      </c>
      <c r="B853" s="34">
        <v>40581</v>
      </c>
      <c r="C853" s="35">
        <v>1</v>
      </c>
      <c r="D853" s="35">
        <v>0</v>
      </c>
      <c r="E853" s="35">
        <v>2</v>
      </c>
      <c r="F853" s="35">
        <v>22</v>
      </c>
      <c r="G853" s="35" t="str" cm="1">
        <f t="array" ref="G853">_xlfn.IFS(F853&lt;4,"Night",F853&lt;=6,"Early Morning",F853&lt;11,"Morning",F853&lt;12,"Afternoon",F853&lt;=16,"Afternoon",F853&lt;=20,"Evening",F853&gt;=21,"Night")</f>
        <v>Night</v>
      </c>
      <c r="H853" s="35" t="b">
        <v>0</v>
      </c>
      <c r="I853" s="35">
        <v>1</v>
      </c>
      <c r="J853" s="35">
        <v>1</v>
      </c>
      <c r="K853" s="35">
        <v>0.28000000000000003</v>
      </c>
      <c r="L853" s="31" t="str" cm="1">
        <f t="array" ref="L853">_xlfn.IFS(K853&lt;0.15,"Cold",K853&lt;0.25,"Mild",K853&lt;=0.32,"Warm",K853&gt;=0.33,"Hot")</f>
        <v>Warm</v>
      </c>
      <c r="M853" s="35">
        <v>0.30299999999999999</v>
      </c>
      <c r="N853" s="35">
        <v>0.81</v>
      </c>
      <c r="O853" s="35" t="str" cm="1">
        <f t="array" ref="O853">_xlfn.IFS(N853&gt;0.61, "High Humidity", N853&gt;=0.6, "Humid", N853&gt;0.4, "Less Humidity", TRUE, "Dry")</f>
        <v>High Humidity</v>
      </c>
      <c r="P853" s="35">
        <v>8.9599999999999999E-2</v>
      </c>
      <c r="Q853" s="35" t="str" cm="1">
        <f t="array" ref="Q853">_xlfn.IFS(P853&lt;=0.2,"Low Windspeed",P853&lt;0.4,"Medium Windspeed",P853&gt;=0.41,"High Windspeed")</f>
        <v>Low Windspeed</v>
      </c>
      <c r="R853" s="35">
        <v>3</v>
      </c>
      <c r="S853" s="35">
        <v>34</v>
      </c>
      <c r="T853" s="40">
        <v>37</v>
      </c>
      <c r="U853" s="39" t="str" cm="1">
        <f t="array" ref="U853">_xlfn.IFS(T853&lt;=70,"Low",T853&lt;=160,"Medium",T853&gt;=161,"High")</f>
        <v>Low</v>
      </c>
    </row>
    <row r="854" spans="1:21" x14ac:dyDescent="0.25">
      <c r="A854" s="33">
        <v>853</v>
      </c>
      <c r="B854" s="34">
        <v>40581</v>
      </c>
      <c r="C854" s="35">
        <v>1</v>
      </c>
      <c r="D854" s="35">
        <v>0</v>
      </c>
      <c r="E854" s="35">
        <v>2</v>
      </c>
      <c r="F854" s="35">
        <v>23</v>
      </c>
      <c r="G854" s="35" t="str" cm="1">
        <f t="array" ref="G854">_xlfn.IFS(F854&lt;4,"Night",F854&lt;=6,"Early Morning",F854&lt;11,"Morning",F854&lt;12,"Afternoon",F854&lt;=16,"Afternoon",F854&lt;=20,"Evening",F854&gt;=21,"Night")</f>
        <v>Night</v>
      </c>
      <c r="H854" s="35" t="b">
        <v>0</v>
      </c>
      <c r="I854" s="35">
        <v>1</v>
      </c>
      <c r="J854" s="35">
        <v>2</v>
      </c>
      <c r="K854" s="35">
        <v>0.3</v>
      </c>
      <c r="L854" s="31" t="str" cm="1">
        <f t="array" ref="L854">_xlfn.IFS(K854&lt;0.15,"Cold",K854&lt;0.25,"Mild",K854&lt;=0.32,"Warm",K854&gt;=0.33,"Hot")</f>
        <v>Warm</v>
      </c>
      <c r="M854" s="35">
        <v>0.33329999999999999</v>
      </c>
      <c r="N854" s="35">
        <v>0.81</v>
      </c>
      <c r="O854" s="35" t="str" cm="1">
        <f t="array" ref="O854">_xlfn.IFS(N854&gt;0.61, "High Humidity", N854&gt;=0.6, "Humid", N854&gt;0.4, "Less Humidity", TRUE, "Dry")</f>
        <v>High Humidity</v>
      </c>
      <c r="P854" s="35">
        <v>0</v>
      </c>
      <c r="Q854" s="35" t="str" cm="1">
        <f t="array" ref="Q854">_xlfn.IFS(P854&lt;=0.2,"Low Windspeed",P854&lt;0.4,"Medium Windspeed",P854&gt;=0.41,"High Windspeed")</f>
        <v>Low Windspeed</v>
      </c>
      <c r="R854" s="35">
        <v>6</v>
      </c>
      <c r="S854" s="35">
        <v>19</v>
      </c>
      <c r="T854" s="40">
        <v>25</v>
      </c>
      <c r="U854" s="39" t="str" cm="1">
        <f t="array" ref="U854">_xlfn.IFS(T854&lt;=70,"Low",T854&lt;=160,"Medium",T854&gt;=161,"High")</f>
        <v>Low</v>
      </c>
    </row>
    <row r="855" spans="1:21" x14ac:dyDescent="0.25">
      <c r="A855" s="33">
        <v>854</v>
      </c>
      <c r="B855" s="34">
        <v>40582</v>
      </c>
      <c r="C855" s="35">
        <v>1</v>
      </c>
      <c r="D855" s="35">
        <v>0</v>
      </c>
      <c r="E855" s="35">
        <v>2</v>
      </c>
      <c r="F855" s="35">
        <v>0</v>
      </c>
      <c r="G855" s="35" t="str" cm="1">
        <f t="array" ref="G855">_xlfn.IFS(F855&lt;4,"Night",F855&lt;=6,"Early Morning",F855&lt;11,"Morning",F855&lt;12,"Afternoon",F855&lt;=16,"Afternoon",F855&lt;=20,"Evening",F855&gt;=21,"Night")</f>
        <v>Night</v>
      </c>
      <c r="H855" s="35" t="b">
        <v>0</v>
      </c>
      <c r="I855" s="35">
        <v>2</v>
      </c>
      <c r="J855" s="35">
        <v>2</v>
      </c>
      <c r="K855" s="35">
        <v>0.28000000000000003</v>
      </c>
      <c r="L855" s="31" t="str" cm="1">
        <f t="array" ref="L855">_xlfn.IFS(K855&lt;0.15,"Cold",K855&lt;0.25,"Mild",K855&lt;=0.32,"Warm",K855&gt;=0.33,"Hot")</f>
        <v>Warm</v>
      </c>
      <c r="M855" s="35">
        <v>0.31819999999999998</v>
      </c>
      <c r="N855" s="35">
        <v>0.87</v>
      </c>
      <c r="O855" s="35" t="str" cm="1">
        <f t="array" ref="O855">_xlfn.IFS(N855&gt;0.61, "High Humidity", N855&gt;=0.6, "Humid", N855&gt;0.4, "Less Humidity", TRUE, "Dry")</f>
        <v>High Humidity</v>
      </c>
      <c r="P855" s="35">
        <v>0</v>
      </c>
      <c r="Q855" s="35" t="str" cm="1">
        <f t="array" ref="Q855">_xlfn.IFS(P855&lt;=0.2,"Low Windspeed",P855&lt;0.4,"Medium Windspeed",P855&gt;=0.41,"High Windspeed")</f>
        <v>Low Windspeed</v>
      </c>
      <c r="R855" s="35">
        <v>4</v>
      </c>
      <c r="S855" s="35">
        <v>6</v>
      </c>
      <c r="T855" s="40">
        <v>10</v>
      </c>
      <c r="U855" s="39" t="str" cm="1">
        <f t="array" ref="U855">_xlfn.IFS(T855&lt;=70,"Low",T855&lt;=160,"Medium",T855&gt;=161,"High")</f>
        <v>Low</v>
      </c>
    </row>
    <row r="856" spans="1:21" x14ac:dyDescent="0.25">
      <c r="A856" s="33">
        <v>855</v>
      </c>
      <c r="B856" s="34">
        <v>40582</v>
      </c>
      <c r="C856" s="35">
        <v>1</v>
      </c>
      <c r="D856" s="35">
        <v>0</v>
      </c>
      <c r="E856" s="35">
        <v>2</v>
      </c>
      <c r="F856" s="35">
        <v>1</v>
      </c>
      <c r="G856" s="35" t="str" cm="1">
        <f t="array" ref="G856">_xlfn.IFS(F856&lt;4,"Night",F856&lt;=6,"Early Morning",F856&lt;11,"Morning",F856&lt;12,"Afternoon",F856&lt;=16,"Afternoon",F856&lt;=20,"Evening",F856&gt;=21,"Night")</f>
        <v>Night</v>
      </c>
      <c r="H856" s="35" t="b">
        <v>0</v>
      </c>
      <c r="I856" s="35">
        <v>2</v>
      </c>
      <c r="J856" s="35">
        <v>2</v>
      </c>
      <c r="K856" s="35">
        <v>0.28000000000000003</v>
      </c>
      <c r="L856" s="31" t="str" cm="1">
        <f t="array" ref="L856">_xlfn.IFS(K856&lt;0.15,"Cold",K856&lt;0.25,"Mild",K856&lt;=0.32,"Warm",K856&gt;=0.33,"Hot")</f>
        <v>Warm</v>
      </c>
      <c r="M856" s="35">
        <v>0.31819999999999998</v>
      </c>
      <c r="N856" s="35">
        <v>0.87</v>
      </c>
      <c r="O856" s="35" t="str" cm="1">
        <f t="array" ref="O856">_xlfn.IFS(N856&gt;0.61, "High Humidity", N856&gt;=0.6, "Humid", N856&gt;0.4, "Less Humidity", TRUE, "Dry")</f>
        <v>High Humidity</v>
      </c>
      <c r="P856" s="35">
        <v>0</v>
      </c>
      <c r="Q856" s="35" t="str" cm="1">
        <f t="array" ref="Q856">_xlfn.IFS(P856&lt;=0.2,"Low Windspeed",P856&lt;0.4,"Medium Windspeed",P856&gt;=0.41,"High Windspeed")</f>
        <v>Low Windspeed</v>
      </c>
      <c r="R856" s="35">
        <v>0</v>
      </c>
      <c r="S856" s="35">
        <v>4</v>
      </c>
      <c r="T856" s="40">
        <v>4</v>
      </c>
      <c r="U856" s="39" t="str" cm="1">
        <f t="array" ref="U856">_xlfn.IFS(T856&lt;=70,"Low",T856&lt;=160,"Medium",T856&gt;=161,"High")</f>
        <v>Low</v>
      </c>
    </row>
    <row r="857" spans="1:21" x14ac:dyDescent="0.25">
      <c r="A857" s="33">
        <v>856</v>
      </c>
      <c r="B857" s="34">
        <v>40582</v>
      </c>
      <c r="C857" s="35">
        <v>1</v>
      </c>
      <c r="D857" s="35">
        <v>0</v>
      </c>
      <c r="E857" s="35">
        <v>2</v>
      </c>
      <c r="F857" s="35">
        <v>2</v>
      </c>
      <c r="G857" s="35" t="str" cm="1">
        <f t="array" ref="G857">_xlfn.IFS(F857&lt;4,"Night",F857&lt;=6,"Early Morning",F857&lt;11,"Morning",F857&lt;12,"Afternoon",F857&lt;=16,"Afternoon",F857&lt;=20,"Evening",F857&gt;=21,"Night")</f>
        <v>Night</v>
      </c>
      <c r="H857" s="35" t="b">
        <v>0</v>
      </c>
      <c r="I857" s="35">
        <v>2</v>
      </c>
      <c r="J857" s="35">
        <v>2</v>
      </c>
      <c r="K857" s="35">
        <v>0.26</v>
      </c>
      <c r="L857" s="31" t="str" cm="1">
        <f t="array" ref="L857">_xlfn.IFS(K857&lt;0.15,"Cold",K857&lt;0.25,"Mild",K857&lt;=0.32,"Warm",K857&gt;=0.33,"Hot")</f>
        <v>Warm</v>
      </c>
      <c r="M857" s="35">
        <v>0.2727</v>
      </c>
      <c r="N857" s="35">
        <v>0.93</v>
      </c>
      <c r="O857" s="35" t="str" cm="1">
        <f t="array" ref="O857">_xlfn.IFS(N857&gt;0.61, "High Humidity", N857&gt;=0.6, "Humid", N857&gt;0.4, "Less Humidity", TRUE, "Dry")</f>
        <v>High Humidity</v>
      </c>
      <c r="P857" s="35">
        <v>0.1045</v>
      </c>
      <c r="Q857" s="35" t="str" cm="1">
        <f t="array" ref="Q857">_xlfn.IFS(P857&lt;=0.2,"Low Windspeed",P857&lt;0.4,"Medium Windspeed",P857&gt;=0.41,"High Windspeed")</f>
        <v>Low Windspeed</v>
      </c>
      <c r="R857" s="35">
        <v>1</v>
      </c>
      <c r="S857" s="35">
        <v>1</v>
      </c>
      <c r="T857" s="40">
        <v>2</v>
      </c>
      <c r="U857" s="39" t="str" cm="1">
        <f t="array" ref="U857">_xlfn.IFS(T857&lt;=70,"Low",T857&lt;=160,"Medium",T857&gt;=161,"High")</f>
        <v>Low</v>
      </c>
    </row>
    <row r="858" spans="1:21" x14ac:dyDescent="0.25">
      <c r="A858" s="33">
        <v>857</v>
      </c>
      <c r="B858" s="34">
        <v>40582</v>
      </c>
      <c r="C858" s="35">
        <v>1</v>
      </c>
      <c r="D858" s="35">
        <v>0</v>
      </c>
      <c r="E858" s="35">
        <v>2</v>
      </c>
      <c r="F858" s="35">
        <v>3</v>
      </c>
      <c r="G858" s="35" t="str" cm="1">
        <f t="array" ref="G858">_xlfn.IFS(F858&lt;4,"Night",F858&lt;=6,"Early Morning",F858&lt;11,"Morning",F858&lt;12,"Afternoon",F858&lt;=16,"Afternoon",F858&lt;=20,"Evening",F858&gt;=21,"Night")</f>
        <v>Night</v>
      </c>
      <c r="H858" s="35" t="b">
        <v>0</v>
      </c>
      <c r="I858" s="35">
        <v>2</v>
      </c>
      <c r="J858" s="35">
        <v>3</v>
      </c>
      <c r="K858" s="35">
        <v>0.28000000000000003</v>
      </c>
      <c r="L858" s="31" t="str" cm="1">
        <f t="array" ref="L858">_xlfn.IFS(K858&lt;0.15,"Cold",K858&lt;0.25,"Mild",K858&lt;=0.32,"Warm",K858&gt;=0.33,"Hot")</f>
        <v>Warm</v>
      </c>
      <c r="M858" s="35">
        <v>0.2727</v>
      </c>
      <c r="N858" s="35">
        <v>0.93</v>
      </c>
      <c r="O858" s="35" t="str" cm="1">
        <f t="array" ref="O858">_xlfn.IFS(N858&gt;0.61, "High Humidity", N858&gt;=0.6, "Humid", N858&gt;0.4, "Less Humidity", TRUE, "Dry")</f>
        <v>High Humidity</v>
      </c>
      <c r="P858" s="35">
        <v>0.16420000000000001</v>
      </c>
      <c r="Q858" s="35" t="str" cm="1">
        <f t="array" ref="Q858">_xlfn.IFS(P858&lt;=0.2,"Low Windspeed",P858&lt;0.4,"Medium Windspeed",P858&gt;=0.41,"High Windspeed")</f>
        <v>Low Windspeed</v>
      </c>
      <c r="R858" s="35">
        <v>0</v>
      </c>
      <c r="S858" s="35">
        <v>1</v>
      </c>
      <c r="T858" s="40">
        <v>1</v>
      </c>
      <c r="U858" s="39" t="str" cm="1">
        <f t="array" ref="U858">_xlfn.IFS(T858&lt;=70,"Low",T858&lt;=160,"Medium",T858&gt;=161,"High")</f>
        <v>Low</v>
      </c>
    </row>
    <row r="859" spans="1:21" x14ac:dyDescent="0.25">
      <c r="A859" s="33">
        <v>858</v>
      </c>
      <c r="B859" s="34">
        <v>40582</v>
      </c>
      <c r="C859" s="35">
        <v>1</v>
      </c>
      <c r="D859" s="35">
        <v>0</v>
      </c>
      <c r="E859" s="35">
        <v>2</v>
      </c>
      <c r="F859" s="35">
        <v>4</v>
      </c>
      <c r="G859" s="35" t="str" cm="1">
        <f t="array" ref="G859">_xlfn.IFS(F859&lt;4,"Night",F859&lt;=6,"Early Morning",F859&lt;11,"Morning",F859&lt;12,"Afternoon",F859&lt;=16,"Afternoon",F859&lt;=20,"Evening",F859&gt;=21,"Night")</f>
        <v>Early Morning</v>
      </c>
      <c r="H859" s="35" t="b">
        <v>0</v>
      </c>
      <c r="I859" s="35">
        <v>2</v>
      </c>
      <c r="J859" s="35">
        <v>1</v>
      </c>
      <c r="K859" s="35">
        <v>0.26</v>
      </c>
      <c r="L859" s="31" t="str" cm="1">
        <f t="array" ref="L859">_xlfn.IFS(K859&lt;0.15,"Cold",K859&lt;0.25,"Mild",K859&lt;=0.32,"Warm",K859&gt;=0.33,"Hot")</f>
        <v>Warm</v>
      </c>
      <c r="M859" s="35">
        <v>0.2576</v>
      </c>
      <c r="N859" s="35">
        <v>0.93</v>
      </c>
      <c r="O859" s="35" t="str" cm="1">
        <f t="array" ref="O859">_xlfn.IFS(N859&gt;0.61, "High Humidity", N859&gt;=0.6, "Humid", N859&gt;0.4, "Less Humidity", TRUE, "Dry")</f>
        <v>High Humidity</v>
      </c>
      <c r="P859" s="35">
        <v>0.16420000000000001</v>
      </c>
      <c r="Q859" s="35" t="str" cm="1">
        <f t="array" ref="Q859">_xlfn.IFS(P859&lt;=0.2,"Low Windspeed",P859&lt;0.4,"Medium Windspeed",P859&gt;=0.41,"High Windspeed")</f>
        <v>Low Windspeed</v>
      </c>
      <c r="R859" s="35">
        <v>0</v>
      </c>
      <c r="S859" s="35">
        <v>3</v>
      </c>
      <c r="T859" s="40">
        <v>3</v>
      </c>
      <c r="U859" s="39" t="str" cm="1">
        <f t="array" ref="U859">_xlfn.IFS(T859&lt;=70,"Low",T859&lt;=160,"Medium",T859&gt;=161,"High")</f>
        <v>Low</v>
      </c>
    </row>
    <row r="860" spans="1:21" x14ac:dyDescent="0.25">
      <c r="A860" s="33">
        <v>859</v>
      </c>
      <c r="B860" s="34">
        <v>40582</v>
      </c>
      <c r="C860" s="35">
        <v>1</v>
      </c>
      <c r="D860" s="35">
        <v>0</v>
      </c>
      <c r="E860" s="35">
        <v>2</v>
      </c>
      <c r="F860" s="35">
        <v>5</v>
      </c>
      <c r="G860" s="35" t="str" cm="1">
        <f t="array" ref="G860">_xlfn.IFS(F860&lt;4,"Night",F860&lt;=6,"Early Morning",F860&lt;11,"Morning",F860&lt;12,"Afternoon",F860&lt;=16,"Afternoon",F860&lt;=20,"Evening",F860&gt;=21,"Night")</f>
        <v>Early Morning</v>
      </c>
      <c r="H860" s="35" t="b">
        <v>0</v>
      </c>
      <c r="I860" s="35">
        <v>2</v>
      </c>
      <c r="J860" s="35">
        <v>1</v>
      </c>
      <c r="K860" s="35">
        <v>0.26</v>
      </c>
      <c r="L860" s="31" t="str" cm="1">
        <f t="array" ref="L860">_xlfn.IFS(K860&lt;0.15,"Cold",K860&lt;0.25,"Mild",K860&lt;=0.32,"Warm",K860&gt;=0.33,"Hot")</f>
        <v>Warm</v>
      </c>
      <c r="M860" s="35">
        <v>0.2273</v>
      </c>
      <c r="N860" s="35">
        <v>0.81</v>
      </c>
      <c r="O860" s="35" t="str" cm="1">
        <f t="array" ref="O860">_xlfn.IFS(N860&gt;0.61, "High Humidity", N860&gt;=0.6, "Humid", N860&gt;0.4, "Less Humidity", TRUE, "Dry")</f>
        <v>High Humidity</v>
      </c>
      <c r="P860" s="35">
        <v>0.32840000000000003</v>
      </c>
      <c r="Q860" s="35" t="str" cm="1">
        <f t="array" ref="Q860">_xlfn.IFS(P860&lt;=0.2,"Low Windspeed",P860&lt;0.4,"Medium Windspeed",P860&gt;=0.41,"High Windspeed")</f>
        <v>Medium Windspeed</v>
      </c>
      <c r="R860" s="35">
        <v>0</v>
      </c>
      <c r="S860" s="35">
        <v>2</v>
      </c>
      <c r="T860" s="40">
        <v>2</v>
      </c>
      <c r="U860" s="39" t="str" cm="1">
        <f t="array" ref="U860">_xlfn.IFS(T860&lt;=70,"Low",T860&lt;=160,"Medium",T860&gt;=161,"High")</f>
        <v>Low</v>
      </c>
    </row>
    <row r="861" spans="1:21" x14ac:dyDescent="0.25">
      <c r="A861" s="33">
        <v>860</v>
      </c>
      <c r="B861" s="34">
        <v>40582</v>
      </c>
      <c r="C861" s="35">
        <v>1</v>
      </c>
      <c r="D861" s="35">
        <v>0</v>
      </c>
      <c r="E861" s="35">
        <v>2</v>
      </c>
      <c r="F861" s="35">
        <v>6</v>
      </c>
      <c r="G861" s="35" t="str" cm="1">
        <f t="array" ref="G861">_xlfn.IFS(F861&lt;4,"Night",F861&lt;=6,"Early Morning",F861&lt;11,"Morning",F861&lt;12,"Afternoon",F861&lt;=16,"Afternoon",F861&lt;=20,"Evening",F861&gt;=21,"Night")</f>
        <v>Early Morning</v>
      </c>
      <c r="H861" s="35" t="b">
        <v>0</v>
      </c>
      <c r="I861" s="35">
        <v>2</v>
      </c>
      <c r="J861" s="35">
        <v>1</v>
      </c>
      <c r="K861" s="35">
        <v>0.26</v>
      </c>
      <c r="L861" s="31" t="str" cm="1">
        <f t="array" ref="L861">_xlfn.IFS(K861&lt;0.15,"Cold",K861&lt;0.25,"Mild",K861&lt;=0.32,"Warm",K861&gt;=0.33,"Hot")</f>
        <v>Warm</v>
      </c>
      <c r="M861" s="35">
        <v>0.2273</v>
      </c>
      <c r="N861" s="35">
        <v>0.7</v>
      </c>
      <c r="O861" s="35" t="str" cm="1">
        <f t="array" ref="O861">_xlfn.IFS(N861&gt;0.61, "High Humidity", N861&gt;=0.6, "Humid", N861&gt;0.4, "Less Humidity", TRUE, "Dry")</f>
        <v>High Humidity</v>
      </c>
      <c r="P861" s="35">
        <v>0.32840000000000003</v>
      </c>
      <c r="Q861" s="35" t="str" cm="1">
        <f t="array" ref="Q861">_xlfn.IFS(P861&lt;=0.2,"Low Windspeed",P861&lt;0.4,"Medium Windspeed",P861&gt;=0.41,"High Windspeed")</f>
        <v>Medium Windspeed</v>
      </c>
      <c r="R861" s="35">
        <v>0</v>
      </c>
      <c r="S861" s="35">
        <v>39</v>
      </c>
      <c r="T861" s="40">
        <v>39</v>
      </c>
      <c r="U861" s="39" t="str" cm="1">
        <f t="array" ref="U861">_xlfn.IFS(T861&lt;=70,"Low",T861&lt;=160,"Medium",T861&gt;=161,"High")</f>
        <v>Low</v>
      </c>
    </row>
    <row r="862" spans="1:21" x14ac:dyDescent="0.25">
      <c r="A862" s="33">
        <v>861</v>
      </c>
      <c r="B862" s="34">
        <v>40582</v>
      </c>
      <c r="C862" s="35">
        <v>1</v>
      </c>
      <c r="D862" s="35">
        <v>0</v>
      </c>
      <c r="E862" s="35">
        <v>2</v>
      </c>
      <c r="F862" s="35">
        <v>7</v>
      </c>
      <c r="G862" s="35" t="str" cm="1">
        <f t="array" ref="G862">_xlfn.IFS(F862&lt;4,"Night",F862&lt;=6,"Early Morning",F862&lt;11,"Morning",F862&lt;12,"Afternoon",F862&lt;=16,"Afternoon",F862&lt;=20,"Evening",F862&gt;=21,"Night")</f>
        <v>Morning</v>
      </c>
      <c r="H862" s="35" t="b">
        <v>0</v>
      </c>
      <c r="I862" s="35">
        <v>2</v>
      </c>
      <c r="J862" s="35">
        <v>1</v>
      </c>
      <c r="K862" s="35">
        <v>0.24</v>
      </c>
      <c r="L862" s="31" t="str" cm="1">
        <f t="array" ref="L862">_xlfn.IFS(K862&lt;0.15,"Cold",K862&lt;0.25,"Mild",K862&lt;=0.32,"Warm",K862&gt;=0.33,"Hot")</f>
        <v>Mild</v>
      </c>
      <c r="M862" s="35">
        <v>0.19700000000000001</v>
      </c>
      <c r="N862" s="35">
        <v>0.65</v>
      </c>
      <c r="O862" s="35" t="str" cm="1">
        <f t="array" ref="O862">_xlfn.IFS(N862&gt;0.61, "High Humidity", N862&gt;=0.6, "Humid", N862&gt;0.4, "Less Humidity", TRUE, "Dry")</f>
        <v>High Humidity</v>
      </c>
      <c r="P862" s="35">
        <v>0.41789999999999999</v>
      </c>
      <c r="Q862" s="35" t="str" cm="1">
        <f t="array" ref="Q862">_xlfn.IFS(P862&lt;=0.2,"Low Windspeed",P862&lt;0.4,"Medium Windspeed",P862&gt;=0.41,"High Windspeed")</f>
        <v>High Windspeed</v>
      </c>
      <c r="R862" s="35">
        <v>3</v>
      </c>
      <c r="S862" s="35">
        <v>97</v>
      </c>
      <c r="T862" s="40">
        <v>100</v>
      </c>
      <c r="U862" s="39" t="str" cm="1">
        <f t="array" ref="U862">_xlfn.IFS(T862&lt;=70,"Low",T862&lt;=160,"Medium",T862&gt;=161,"High")</f>
        <v>Medium</v>
      </c>
    </row>
    <row r="863" spans="1:21" x14ac:dyDescent="0.25">
      <c r="A863" s="33">
        <v>862</v>
      </c>
      <c r="B863" s="34">
        <v>40582</v>
      </c>
      <c r="C863" s="35">
        <v>1</v>
      </c>
      <c r="D863" s="35">
        <v>0</v>
      </c>
      <c r="E863" s="35">
        <v>2</v>
      </c>
      <c r="F863" s="35">
        <v>8</v>
      </c>
      <c r="G863" s="35" t="str" cm="1">
        <f t="array" ref="G863">_xlfn.IFS(F863&lt;4,"Night",F863&lt;=6,"Early Morning",F863&lt;11,"Morning",F863&lt;12,"Afternoon",F863&lt;=16,"Afternoon",F863&lt;=20,"Evening",F863&gt;=21,"Night")</f>
        <v>Morning</v>
      </c>
      <c r="H863" s="35" t="b">
        <v>0</v>
      </c>
      <c r="I863" s="35">
        <v>2</v>
      </c>
      <c r="J863" s="35">
        <v>1</v>
      </c>
      <c r="K863" s="35">
        <v>0.24</v>
      </c>
      <c r="L863" s="31" t="str" cm="1">
        <f t="array" ref="L863">_xlfn.IFS(K863&lt;0.15,"Cold",K863&lt;0.25,"Mild",K863&lt;=0.32,"Warm",K863&gt;=0.33,"Hot")</f>
        <v>Mild</v>
      </c>
      <c r="M863" s="35">
        <v>0.19700000000000001</v>
      </c>
      <c r="N863" s="35">
        <v>0.56000000000000005</v>
      </c>
      <c r="O863" s="35" t="str" cm="1">
        <f t="array" ref="O863">_xlfn.IFS(N863&gt;0.61, "High Humidity", N863&gt;=0.6, "Humid", N863&gt;0.4, "Less Humidity", TRUE, "Dry")</f>
        <v>Less Humidity</v>
      </c>
      <c r="P863" s="35">
        <v>0.49249999999999999</v>
      </c>
      <c r="Q863" s="35" t="str" cm="1">
        <f t="array" ref="Q863">_xlfn.IFS(P863&lt;=0.2,"Low Windspeed",P863&lt;0.4,"Medium Windspeed",P863&gt;=0.41,"High Windspeed")</f>
        <v>High Windspeed</v>
      </c>
      <c r="R863" s="35">
        <v>7</v>
      </c>
      <c r="S863" s="35">
        <v>236</v>
      </c>
      <c r="T863" s="40">
        <v>243</v>
      </c>
      <c r="U863" s="39" t="str" cm="1">
        <f t="array" ref="U863">_xlfn.IFS(T863&lt;=70,"Low",T863&lt;=160,"Medium",T863&gt;=161,"High")</f>
        <v>High</v>
      </c>
    </row>
    <row r="864" spans="1:21" x14ac:dyDescent="0.25">
      <c r="A864" s="33">
        <v>863</v>
      </c>
      <c r="B864" s="34">
        <v>40582</v>
      </c>
      <c r="C864" s="35">
        <v>1</v>
      </c>
      <c r="D864" s="35">
        <v>0</v>
      </c>
      <c r="E864" s="35">
        <v>2</v>
      </c>
      <c r="F864" s="35">
        <v>9</v>
      </c>
      <c r="G864" s="35" t="str" cm="1">
        <f t="array" ref="G864">_xlfn.IFS(F864&lt;4,"Night",F864&lt;=6,"Early Morning",F864&lt;11,"Morning",F864&lt;12,"Afternoon",F864&lt;=16,"Afternoon",F864&lt;=20,"Evening",F864&gt;=21,"Night")</f>
        <v>Morning</v>
      </c>
      <c r="H864" s="35" t="b">
        <v>0</v>
      </c>
      <c r="I864" s="35">
        <v>2</v>
      </c>
      <c r="J864" s="35">
        <v>1</v>
      </c>
      <c r="K864" s="35">
        <v>0.24</v>
      </c>
      <c r="L864" s="31" t="str" cm="1">
        <f t="array" ref="L864">_xlfn.IFS(K864&lt;0.15,"Cold",K864&lt;0.25,"Mild",K864&lt;=0.32,"Warm",K864&gt;=0.33,"Hot")</f>
        <v>Mild</v>
      </c>
      <c r="M864" s="35">
        <v>0.19700000000000001</v>
      </c>
      <c r="N864" s="35">
        <v>0.52</v>
      </c>
      <c r="O864" s="35" t="str" cm="1">
        <f t="array" ref="O864">_xlfn.IFS(N864&gt;0.61, "High Humidity", N864&gt;=0.6, "Humid", N864&gt;0.4, "Less Humidity", TRUE, "Dry")</f>
        <v>Less Humidity</v>
      </c>
      <c r="P864" s="35">
        <v>0.49249999999999999</v>
      </c>
      <c r="Q864" s="35" t="str" cm="1">
        <f t="array" ref="Q864">_xlfn.IFS(P864&lt;=0.2,"Low Windspeed",P864&lt;0.4,"Medium Windspeed",P864&gt;=0.41,"High Windspeed")</f>
        <v>High Windspeed</v>
      </c>
      <c r="R864" s="35">
        <v>7</v>
      </c>
      <c r="S864" s="35">
        <v>128</v>
      </c>
      <c r="T864" s="40">
        <v>135</v>
      </c>
      <c r="U864" s="39" t="str" cm="1">
        <f t="array" ref="U864">_xlfn.IFS(T864&lt;=70,"Low",T864&lt;=160,"Medium",T864&gt;=161,"High")</f>
        <v>Medium</v>
      </c>
    </row>
    <row r="865" spans="1:21" x14ac:dyDescent="0.25">
      <c r="A865" s="33">
        <v>864</v>
      </c>
      <c r="B865" s="34">
        <v>40582</v>
      </c>
      <c r="C865" s="35">
        <v>1</v>
      </c>
      <c r="D865" s="35">
        <v>0</v>
      </c>
      <c r="E865" s="35">
        <v>2</v>
      </c>
      <c r="F865" s="35">
        <v>10</v>
      </c>
      <c r="G865" s="35" t="str" cm="1">
        <f t="array" ref="G865">_xlfn.IFS(F865&lt;4,"Night",F865&lt;=6,"Early Morning",F865&lt;11,"Morning",F865&lt;12,"Afternoon",F865&lt;=16,"Afternoon",F865&lt;=20,"Evening",F865&gt;=21,"Night")</f>
        <v>Morning</v>
      </c>
      <c r="H865" s="35" t="b">
        <v>0</v>
      </c>
      <c r="I865" s="35">
        <v>2</v>
      </c>
      <c r="J865" s="35">
        <v>1</v>
      </c>
      <c r="K865" s="35">
        <v>0.22</v>
      </c>
      <c r="L865" s="31" t="str" cm="1">
        <f t="array" ref="L865">_xlfn.IFS(K865&lt;0.15,"Cold",K865&lt;0.25,"Mild",K865&lt;=0.32,"Warm",K865&gt;=0.33,"Hot")</f>
        <v>Mild</v>
      </c>
      <c r="M865" s="35">
        <v>0.18179999999999999</v>
      </c>
      <c r="N865" s="35">
        <v>0.47</v>
      </c>
      <c r="O865" s="35" t="str" cm="1">
        <f t="array" ref="O865">_xlfn.IFS(N865&gt;0.61, "High Humidity", N865&gt;=0.6, "Humid", N865&gt;0.4, "Less Humidity", TRUE, "Dry")</f>
        <v>Less Humidity</v>
      </c>
      <c r="P865" s="35">
        <v>0.55220000000000002</v>
      </c>
      <c r="Q865" s="35" t="str" cm="1">
        <f t="array" ref="Q865">_xlfn.IFS(P865&lt;=0.2,"Low Windspeed",P865&lt;0.4,"Medium Windspeed",P865&gt;=0.41,"High Windspeed")</f>
        <v>High Windspeed</v>
      </c>
      <c r="R865" s="35">
        <v>4</v>
      </c>
      <c r="S865" s="35">
        <v>44</v>
      </c>
      <c r="T865" s="40">
        <v>48</v>
      </c>
      <c r="U865" s="39" t="str" cm="1">
        <f t="array" ref="U865">_xlfn.IFS(T865&lt;=70,"Low",T865&lt;=160,"Medium",T865&gt;=161,"High")</f>
        <v>Low</v>
      </c>
    </row>
    <row r="866" spans="1:21" x14ac:dyDescent="0.25">
      <c r="A866" s="33">
        <v>865</v>
      </c>
      <c r="B866" s="34">
        <v>40582</v>
      </c>
      <c r="C866" s="35">
        <v>1</v>
      </c>
      <c r="D866" s="35">
        <v>0</v>
      </c>
      <c r="E866" s="35">
        <v>2</v>
      </c>
      <c r="F866" s="35">
        <v>11</v>
      </c>
      <c r="G866" s="35" t="str" cm="1">
        <f t="array" ref="G866">_xlfn.IFS(F866&lt;4,"Night",F866&lt;=6,"Early Morning",F866&lt;11,"Morning",F866&lt;12,"Afternoon",F866&lt;=16,"Afternoon",F866&lt;=20,"Evening",F866&gt;=21,"Night")</f>
        <v>Afternoon</v>
      </c>
      <c r="H866" s="35" t="b">
        <v>0</v>
      </c>
      <c r="I866" s="35">
        <v>2</v>
      </c>
      <c r="J866" s="35">
        <v>1</v>
      </c>
      <c r="K866" s="35">
        <v>0.22</v>
      </c>
      <c r="L866" s="31" t="str" cm="1">
        <f t="array" ref="L866">_xlfn.IFS(K866&lt;0.15,"Cold",K866&lt;0.25,"Mild",K866&lt;=0.32,"Warm",K866&gt;=0.33,"Hot")</f>
        <v>Mild</v>
      </c>
      <c r="M866" s="35">
        <v>0.18179999999999999</v>
      </c>
      <c r="N866" s="35">
        <v>0.47</v>
      </c>
      <c r="O866" s="35" t="str" cm="1">
        <f t="array" ref="O866">_xlfn.IFS(N866&gt;0.61, "High Humidity", N866&gt;=0.6, "Humid", N866&gt;0.4, "Less Humidity", TRUE, "Dry")</f>
        <v>Less Humidity</v>
      </c>
      <c r="P866" s="35">
        <v>0.4627</v>
      </c>
      <c r="Q866" s="35" t="str" cm="1">
        <f t="array" ref="Q866">_xlfn.IFS(P866&lt;=0.2,"Low Windspeed",P866&lt;0.4,"Medium Windspeed",P866&gt;=0.41,"High Windspeed")</f>
        <v>High Windspeed</v>
      </c>
      <c r="R866" s="35">
        <v>1</v>
      </c>
      <c r="S866" s="35">
        <v>49</v>
      </c>
      <c r="T866" s="40">
        <v>50</v>
      </c>
      <c r="U866" s="39" t="str" cm="1">
        <f t="array" ref="U866">_xlfn.IFS(T866&lt;=70,"Low",T866&lt;=160,"Medium",T866&gt;=161,"High")</f>
        <v>Low</v>
      </c>
    </row>
    <row r="867" spans="1:21" x14ac:dyDescent="0.25">
      <c r="A867" s="33">
        <v>866</v>
      </c>
      <c r="B867" s="34">
        <v>40582</v>
      </c>
      <c r="C867" s="35">
        <v>1</v>
      </c>
      <c r="D867" s="35">
        <v>0</v>
      </c>
      <c r="E867" s="35">
        <v>2</v>
      </c>
      <c r="F867" s="35">
        <v>12</v>
      </c>
      <c r="G867" s="35" t="str" cm="1">
        <f t="array" ref="G867">_xlfn.IFS(F867&lt;4,"Night",F867&lt;=6,"Early Morning",F867&lt;11,"Morning",F867&lt;12,"Afternoon",F867&lt;=16,"Afternoon",F867&lt;=20,"Evening",F867&gt;=21,"Night")</f>
        <v>Afternoon</v>
      </c>
      <c r="H867" s="35" t="b">
        <v>0</v>
      </c>
      <c r="I867" s="35">
        <v>2</v>
      </c>
      <c r="J867" s="35">
        <v>1</v>
      </c>
      <c r="K867" s="35">
        <v>0.24</v>
      </c>
      <c r="L867" s="31" t="str" cm="1">
        <f t="array" ref="L867">_xlfn.IFS(K867&lt;0.15,"Cold",K867&lt;0.25,"Mild",K867&lt;=0.32,"Warm",K867&gt;=0.33,"Hot")</f>
        <v>Mild</v>
      </c>
      <c r="M867" s="35">
        <v>0.19700000000000001</v>
      </c>
      <c r="N867" s="35">
        <v>0.38</v>
      </c>
      <c r="O867" s="35" t="str" cm="1">
        <f t="array" ref="O867">_xlfn.IFS(N867&gt;0.61, "High Humidity", N867&gt;=0.6, "Humid", N867&gt;0.4, "Less Humidity", TRUE, "Dry")</f>
        <v>Dry</v>
      </c>
      <c r="P867" s="35">
        <v>0.49249999999999999</v>
      </c>
      <c r="Q867" s="35" t="str" cm="1">
        <f t="array" ref="Q867">_xlfn.IFS(P867&lt;=0.2,"Low Windspeed",P867&lt;0.4,"Medium Windspeed",P867&gt;=0.41,"High Windspeed")</f>
        <v>High Windspeed</v>
      </c>
      <c r="R867" s="35">
        <v>2</v>
      </c>
      <c r="S867" s="35">
        <v>63</v>
      </c>
      <c r="T867" s="40">
        <v>65</v>
      </c>
      <c r="U867" s="39" t="str" cm="1">
        <f t="array" ref="U867">_xlfn.IFS(T867&lt;=70,"Low",T867&lt;=160,"Medium",T867&gt;=161,"High")</f>
        <v>Low</v>
      </c>
    </row>
    <row r="868" spans="1:21" x14ac:dyDescent="0.25">
      <c r="A868" s="33">
        <v>867</v>
      </c>
      <c r="B868" s="34">
        <v>40582</v>
      </c>
      <c r="C868" s="35">
        <v>1</v>
      </c>
      <c r="D868" s="35">
        <v>0</v>
      </c>
      <c r="E868" s="35">
        <v>2</v>
      </c>
      <c r="F868" s="35">
        <v>13</v>
      </c>
      <c r="G868" s="35" t="str" cm="1">
        <f t="array" ref="G868">_xlfn.IFS(F868&lt;4,"Night",F868&lt;=6,"Early Morning",F868&lt;11,"Morning",F868&lt;12,"Afternoon",F868&lt;=16,"Afternoon",F868&lt;=20,"Evening",F868&gt;=21,"Night")</f>
        <v>Afternoon</v>
      </c>
      <c r="H868" s="35" t="b">
        <v>0</v>
      </c>
      <c r="I868" s="35">
        <v>2</v>
      </c>
      <c r="J868" s="35">
        <v>2</v>
      </c>
      <c r="K868" s="35">
        <v>0.24</v>
      </c>
      <c r="L868" s="31" t="str" cm="1">
        <f t="array" ref="L868">_xlfn.IFS(K868&lt;0.15,"Cold",K868&lt;0.25,"Mild",K868&lt;=0.32,"Warm",K868&gt;=0.33,"Hot")</f>
        <v>Mild</v>
      </c>
      <c r="M868" s="35">
        <v>0.19700000000000001</v>
      </c>
      <c r="N868" s="35">
        <v>0.32</v>
      </c>
      <c r="O868" s="35" t="str" cm="1">
        <f t="array" ref="O868">_xlfn.IFS(N868&gt;0.61, "High Humidity", N868&gt;=0.6, "Humid", N868&gt;0.4, "Less Humidity", TRUE, "Dry")</f>
        <v>Dry</v>
      </c>
      <c r="P868" s="35">
        <v>0.44779999999999998</v>
      </c>
      <c r="Q868" s="35" t="str" cm="1">
        <f t="array" ref="Q868">_xlfn.IFS(P868&lt;=0.2,"Low Windspeed",P868&lt;0.4,"Medium Windspeed",P868&gt;=0.41,"High Windspeed")</f>
        <v>High Windspeed</v>
      </c>
      <c r="R868" s="35">
        <v>2</v>
      </c>
      <c r="S868" s="35">
        <v>48</v>
      </c>
      <c r="T868" s="40">
        <v>50</v>
      </c>
      <c r="U868" s="39" t="str" cm="1">
        <f t="array" ref="U868">_xlfn.IFS(T868&lt;=70,"Low",T868&lt;=160,"Medium",T868&gt;=161,"High")</f>
        <v>Low</v>
      </c>
    </row>
    <row r="869" spans="1:21" x14ac:dyDescent="0.25">
      <c r="A869" s="33">
        <v>868</v>
      </c>
      <c r="B869" s="34">
        <v>40582</v>
      </c>
      <c r="C869" s="35">
        <v>1</v>
      </c>
      <c r="D869" s="35">
        <v>0</v>
      </c>
      <c r="E869" s="35">
        <v>2</v>
      </c>
      <c r="F869" s="35">
        <v>14</v>
      </c>
      <c r="G869" s="35" t="str" cm="1">
        <f t="array" ref="G869">_xlfn.IFS(F869&lt;4,"Night",F869&lt;=6,"Early Morning",F869&lt;11,"Morning",F869&lt;12,"Afternoon",F869&lt;=16,"Afternoon",F869&lt;=20,"Evening",F869&gt;=21,"Night")</f>
        <v>Afternoon</v>
      </c>
      <c r="H869" s="35" t="b">
        <v>0</v>
      </c>
      <c r="I869" s="35">
        <v>2</v>
      </c>
      <c r="J869" s="35">
        <v>1</v>
      </c>
      <c r="K869" s="35">
        <v>0.22</v>
      </c>
      <c r="L869" s="31" t="str" cm="1">
        <f t="array" ref="L869">_xlfn.IFS(K869&lt;0.15,"Cold",K869&lt;0.25,"Mild",K869&lt;=0.32,"Warm",K869&gt;=0.33,"Hot")</f>
        <v>Mild</v>
      </c>
      <c r="M869" s="35">
        <v>0.19700000000000001</v>
      </c>
      <c r="N869" s="35">
        <v>0.37</v>
      </c>
      <c r="O869" s="35" t="str" cm="1">
        <f t="array" ref="O869">_xlfn.IFS(N869&gt;0.61, "High Humidity", N869&gt;=0.6, "Humid", N869&gt;0.4, "Less Humidity", TRUE, "Dry")</f>
        <v>Dry</v>
      </c>
      <c r="P869" s="35">
        <v>0.41789999999999999</v>
      </c>
      <c r="Q869" s="35" t="str" cm="1">
        <f t="array" ref="Q869">_xlfn.IFS(P869&lt;=0.2,"Low Windspeed",P869&lt;0.4,"Medium Windspeed",P869&gt;=0.41,"High Windspeed")</f>
        <v>High Windspeed</v>
      </c>
      <c r="R869" s="35">
        <v>3</v>
      </c>
      <c r="S869" s="35">
        <v>61</v>
      </c>
      <c r="T869" s="40">
        <v>64</v>
      </c>
      <c r="U869" s="39" t="str" cm="1">
        <f t="array" ref="U869">_xlfn.IFS(T869&lt;=70,"Low",T869&lt;=160,"Medium",T869&gt;=161,"High")</f>
        <v>Low</v>
      </c>
    </row>
    <row r="870" spans="1:21" x14ac:dyDescent="0.25">
      <c r="A870" s="33">
        <v>869</v>
      </c>
      <c r="B870" s="34">
        <v>40582</v>
      </c>
      <c r="C870" s="35">
        <v>1</v>
      </c>
      <c r="D870" s="35">
        <v>0</v>
      </c>
      <c r="E870" s="35">
        <v>2</v>
      </c>
      <c r="F870" s="35">
        <v>15</v>
      </c>
      <c r="G870" s="35" t="str" cm="1">
        <f t="array" ref="G870">_xlfn.IFS(F870&lt;4,"Night",F870&lt;=6,"Early Morning",F870&lt;11,"Morning",F870&lt;12,"Afternoon",F870&lt;=16,"Afternoon",F870&lt;=20,"Evening",F870&gt;=21,"Night")</f>
        <v>Afternoon</v>
      </c>
      <c r="H870" s="35" t="b">
        <v>0</v>
      </c>
      <c r="I870" s="35">
        <v>2</v>
      </c>
      <c r="J870" s="35">
        <v>1</v>
      </c>
      <c r="K870" s="35">
        <v>0.22</v>
      </c>
      <c r="L870" s="31" t="str" cm="1">
        <f t="array" ref="L870">_xlfn.IFS(K870&lt;0.15,"Cold",K870&lt;0.25,"Mild",K870&lt;=0.32,"Warm",K870&gt;=0.33,"Hot")</f>
        <v>Mild</v>
      </c>
      <c r="M870" s="35">
        <v>0.19700000000000001</v>
      </c>
      <c r="N870" s="35">
        <v>0.35</v>
      </c>
      <c r="O870" s="35" t="str" cm="1">
        <f t="array" ref="O870">_xlfn.IFS(N870&gt;0.61, "High Humidity", N870&gt;=0.6, "Humid", N870&gt;0.4, "Less Humidity", TRUE, "Dry")</f>
        <v>Dry</v>
      </c>
      <c r="P870" s="35">
        <v>0.3881</v>
      </c>
      <c r="Q870" s="35" t="str" cm="1">
        <f t="array" ref="Q870">_xlfn.IFS(P870&lt;=0.2,"Low Windspeed",P870&lt;0.4,"Medium Windspeed",P870&gt;=0.41,"High Windspeed")</f>
        <v>Medium Windspeed</v>
      </c>
      <c r="R870" s="35">
        <v>6</v>
      </c>
      <c r="S870" s="35">
        <v>45</v>
      </c>
      <c r="T870" s="40">
        <v>51</v>
      </c>
      <c r="U870" s="39" t="str" cm="1">
        <f t="array" ref="U870">_xlfn.IFS(T870&lt;=70,"Low",T870&lt;=160,"Medium",T870&gt;=161,"High")</f>
        <v>Low</v>
      </c>
    </row>
    <row r="871" spans="1:21" x14ac:dyDescent="0.25">
      <c r="A871" s="33">
        <v>870</v>
      </c>
      <c r="B871" s="34">
        <v>40582</v>
      </c>
      <c r="C871" s="35">
        <v>1</v>
      </c>
      <c r="D871" s="35">
        <v>0</v>
      </c>
      <c r="E871" s="35">
        <v>2</v>
      </c>
      <c r="F871" s="35">
        <v>16</v>
      </c>
      <c r="G871" s="35" t="str" cm="1">
        <f t="array" ref="G871">_xlfn.IFS(F871&lt;4,"Night",F871&lt;=6,"Early Morning",F871&lt;11,"Morning",F871&lt;12,"Afternoon",F871&lt;=16,"Afternoon",F871&lt;=20,"Evening",F871&gt;=21,"Night")</f>
        <v>Afternoon</v>
      </c>
      <c r="H871" s="35" t="b">
        <v>0</v>
      </c>
      <c r="I871" s="35">
        <v>2</v>
      </c>
      <c r="J871" s="35">
        <v>1</v>
      </c>
      <c r="K871" s="35">
        <v>0.22</v>
      </c>
      <c r="L871" s="31" t="str" cm="1">
        <f t="array" ref="L871">_xlfn.IFS(K871&lt;0.15,"Cold",K871&lt;0.25,"Mild",K871&lt;=0.32,"Warm",K871&gt;=0.33,"Hot")</f>
        <v>Mild</v>
      </c>
      <c r="M871" s="35">
        <v>0.18179999999999999</v>
      </c>
      <c r="N871" s="35">
        <v>0.35</v>
      </c>
      <c r="O871" s="35" t="str" cm="1">
        <f t="array" ref="O871">_xlfn.IFS(N871&gt;0.61, "High Humidity", N871&gt;=0.6, "Humid", N871&gt;0.4, "Less Humidity", TRUE, "Dry")</f>
        <v>Dry</v>
      </c>
      <c r="P871" s="35">
        <v>0.52239999999999998</v>
      </c>
      <c r="Q871" s="35" t="str" cm="1">
        <f t="array" ref="Q871">_xlfn.IFS(P871&lt;=0.2,"Low Windspeed",P871&lt;0.4,"Medium Windspeed",P871&gt;=0.41,"High Windspeed")</f>
        <v>High Windspeed</v>
      </c>
      <c r="R871" s="35">
        <v>4</v>
      </c>
      <c r="S871" s="35">
        <v>79</v>
      </c>
      <c r="T871" s="40">
        <v>83</v>
      </c>
      <c r="U871" s="39" t="str" cm="1">
        <f t="array" ref="U871">_xlfn.IFS(T871&lt;=70,"Low",T871&lt;=160,"Medium",T871&gt;=161,"High")</f>
        <v>Medium</v>
      </c>
    </row>
    <row r="872" spans="1:21" x14ac:dyDescent="0.25">
      <c r="A872" s="33">
        <v>871</v>
      </c>
      <c r="B872" s="34">
        <v>40582</v>
      </c>
      <c r="C872" s="35">
        <v>1</v>
      </c>
      <c r="D872" s="35">
        <v>0</v>
      </c>
      <c r="E872" s="35">
        <v>2</v>
      </c>
      <c r="F872" s="35">
        <v>17</v>
      </c>
      <c r="G872" s="35" t="str" cm="1">
        <f t="array" ref="G872">_xlfn.IFS(F872&lt;4,"Night",F872&lt;=6,"Early Morning",F872&lt;11,"Morning",F872&lt;12,"Afternoon",F872&lt;=16,"Afternoon",F872&lt;=20,"Evening",F872&gt;=21,"Night")</f>
        <v>Evening</v>
      </c>
      <c r="H872" s="35" t="b">
        <v>0</v>
      </c>
      <c r="I872" s="35">
        <v>2</v>
      </c>
      <c r="J872" s="35">
        <v>1</v>
      </c>
      <c r="K872" s="35">
        <v>0.22</v>
      </c>
      <c r="L872" s="31" t="str" cm="1">
        <f t="array" ref="L872">_xlfn.IFS(K872&lt;0.15,"Cold",K872&lt;0.25,"Mild",K872&lt;=0.32,"Warm",K872&gt;=0.33,"Hot")</f>
        <v>Mild</v>
      </c>
      <c r="M872" s="35">
        <v>0.18179999999999999</v>
      </c>
      <c r="N872" s="35">
        <v>0.32</v>
      </c>
      <c r="O872" s="35" t="str" cm="1">
        <f t="array" ref="O872">_xlfn.IFS(N872&gt;0.61, "High Humidity", N872&gt;=0.6, "Humid", N872&gt;0.4, "Less Humidity", TRUE, "Dry")</f>
        <v>Dry</v>
      </c>
      <c r="P872" s="35">
        <v>0.58209999999999995</v>
      </c>
      <c r="Q872" s="35" t="str" cm="1">
        <f t="array" ref="Q872">_xlfn.IFS(P872&lt;=0.2,"Low Windspeed",P872&lt;0.4,"Medium Windspeed",P872&gt;=0.41,"High Windspeed")</f>
        <v>High Windspeed</v>
      </c>
      <c r="R872" s="35">
        <v>4</v>
      </c>
      <c r="S872" s="35">
        <v>172</v>
      </c>
      <c r="T872" s="40">
        <v>176</v>
      </c>
      <c r="U872" s="39" t="str" cm="1">
        <f t="array" ref="U872">_xlfn.IFS(T872&lt;=70,"Low",T872&lt;=160,"Medium",T872&gt;=161,"High")</f>
        <v>High</v>
      </c>
    </row>
    <row r="873" spans="1:21" x14ac:dyDescent="0.25">
      <c r="A873" s="33">
        <v>872</v>
      </c>
      <c r="B873" s="34">
        <v>40582</v>
      </c>
      <c r="C873" s="35">
        <v>1</v>
      </c>
      <c r="D873" s="35">
        <v>0</v>
      </c>
      <c r="E873" s="35">
        <v>2</v>
      </c>
      <c r="F873" s="35">
        <v>18</v>
      </c>
      <c r="G873" s="35" t="str" cm="1">
        <f t="array" ref="G873">_xlfn.IFS(F873&lt;4,"Night",F873&lt;=6,"Early Morning",F873&lt;11,"Morning",F873&lt;12,"Afternoon",F873&lt;=16,"Afternoon",F873&lt;=20,"Evening",F873&gt;=21,"Night")</f>
        <v>Evening</v>
      </c>
      <c r="H873" s="35" t="b">
        <v>0</v>
      </c>
      <c r="I873" s="35">
        <v>2</v>
      </c>
      <c r="J873" s="35">
        <v>1</v>
      </c>
      <c r="K873" s="35">
        <v>0.2</v>
      </c>
      <c r="L873" s="31" t="str" cm="1">
        <f t="array" ref="L873">_xlfn.IFS(K873&lt;0.15,"Cold",K873&lt;0.25,"Mild",K873&lt;=0.32,"Warm",K873&gt;=0.33,"Hot")</f>
        <v>Mild</v>
      </c>
      <c r="M873" s="35">
        <v>0.18179999999999999</v>
      </c>
      <c r="N873" s="35">
        <v>0.32</v>
      </c>
      <c r="O873" s="35" t="str" cm="1">
        <f t="array" ref="O873">_xlfn.IFS(N873&gt;0.61, "High Humidity", N873&gt;=0.6, "Humid", N873&gt;0.4, "Less Humidity", TRUE, "Dry")</f>
        <v>Dry</v>
      </c>
      <c r="P873" s="35">
        <v>0.3881</v>
      </c>
      <c r="Q873" s="35" t="str" cm="1">
        <f t="array" ref="Q873">_xlfn.IFS(P873&lt;=0.2,"Low Windspeed",P873&lt;0.4,"Medium Windspeed",P873&gt;=0.41,"High Windspeed")</f>
        <v>Medium Windspeed</v>
      </c>
      <c r="R873" s="35">
        <v>1</v>
      </c>
      <c r="S873" s="35">
        <v>151</v>
      </c>
      <c r="T873" s="40">
        <v>152</v>
      </c>
      <c r="U873" s="39" t="str" cm="1">
        <f t="array" ref="U873">_xlfn.IFS(T873&lt;=70,"Low",T873&lt;=160,"Medium",T873&gt;=161,"High")</f>
        <v>Medium</v>
      </c>
    </row>
    <row r="874" spans="1:21" x14ac:dyDescent="0.25">
      <c r="A874" s="33">
        <v>873</v>
      </c>
      <c r="B874" s="34">
        <v>40582</v>
      </c>
      <c r="C874" s="35">
        <v>1</v>
      </c>
      <c r="D874" s="35">
        <v>0</v>
      </c>
      <c r="E874" s="35">
        <v>2</v>
      </c>
      <c r="F874" s="35">
        <v>19</v>
      </c>
      <c r="G874" s="35" t="str" cm="1">
        <f t="array" ref="G874">_xlfn.IFS(F874&lt;4,"Night",F874&lt;=6,"Early Morning",F874&lt;11,"Morning",F874&lt;12,"Afternoon",F874&lt;=16,"Afternoon",F874&lt;=20,"Evening",F874&gt;=21,"Night")</f>
        <v>Evening</v>
      </c>
      <c r="H874" s="35" t="b">
        <v>0</v>
      </c>
      <c r="I874" s="35">
        <v>2</v>
      </c>
      <c r="J874" s="35">
        <v>1</v>
      </c>
      <c r="K874" s="35">
        <v>0.16</v>
      </c>
      <c r="L874" s="31" t="str" cm="1">
        <f t="array" ref="L874">_xlfn.IFS(K874&lt;0.15,"Cold",K874&lt;0.25,"Mild",K874&lt;=0.32,"Warm",K874&gt;=0.33,"Hot")</f>
        <v>Mild</v>
      </c>
      <c r="M874" s="35">
        <v>0.1212</v>
      </c>
      <c r="N874" s="35">
        <v>0.4</v>
      </c>
      <c r="O874" s="35" t="str" cm="1">
        <f t="array" ref="O874">_xlfn.IFS(N874&gt;0.61, "High Humidity", N874&gt;=0.6, "Humid", N874&gt;0.4, "Less Humidity", TRUE, "Dry")</f>
        <v>Dry</v>
      </c>
      <c r="P874" s="35">
        <v>0.4627</v>
      </c>
      <c r="Q874" s="35" t="str" cm="1">
        <f t="array" ref="Q874">_xlfn.IFS(P874&lt;=0.2,"Low Windspeed",P874&lt;0.4,"Medium Windspeed",P874&gt;=0.41,"High Windspeed")</f>
        <v>High Windspeed</v>
      </c>
      <c r="R874" s="35">
        <v>1</v>
      </c>
      <c r="S874" s="35">
        <v>100</v>
      </c>
      <c r="T874" s="40">
        <v>101</v>
      </c>
      <c r="U874" s="39" t="str" cm="1">
        <f t="array" ref="U874">_xlfn.IFS(T874&lt;=70,"Low",T874&lt;=160,"Medium",T874&gt;=161,"High")</f>
        <v>Medium</v>
      </c>
    </row>
    <row r="875" spans="1:21" x14ac:dyDescent="0.25">
      <c r="A875" s="33">
        <v>874</v>
      </c>
      <c r="B875" s="34">
        <v>40582</v>
      </c>
      <c r="C875" s="35">
        <v>1</v>
      </c>
      <c r="D875" s="35">
        <v>0</v>
      </c>
      <c r="E875" s="35">
        <v>2</v>
      </c>
      <c r="F875" s="35">
        <v>20</v>
      </c>
      <c r="G875" s="35" t="str" cm="1">
        <f t="array" ref="G875">_xlfn.IFS(F875&lt;4,"Night",F875&lt;=6,"Early Morning",F875&lt;11,"Morning",F875&lt;12,"Afternoon",F875&lt;=16,"Afternoon",F875&lt;=20,"Evening",F875&gt;=21,"Night")</f>
        <v>Evening</v>
      </c>
      <c r="H875" s="35" t="b">
        <v>0</v>
      </c>
      <c r="I875" s="35">
        <v>2</v>
      </c>
      <c r="J875" s="35">
        <v>1</v>
      </c>
      <c r="K875" s="35">
        <v>0.16</v>
      </c>
      <c r="L875" s="31" t="str" cm="1">
        <f t="array" ref="L875">_xlfn.IFS(K875&lt;0.15,"Cold",K875&lt;0.25,"Mild",K875&lt;=0.32,"Warm",K875&gt;=0.33,"Hot")</f>
        <v>Mild</v>
      </c>
      <c r="M875" s="35">
        <v>0.13639999999999999</v>
      </c>
      <c r="N875" s="35">
        <v>0.4</v>
      </c>
      <c r="O875" s="35" t="str" cm="1">
        <f t="array" ref="O875">_xlfn.IFS(N875&gt;0.61, "High Humidity", N875&gt;=0.6, "Humid", N875&gt;0.4, "Less Humidity", TRUE, "Dry")</f>
        <v>Dry</v>
      </c>
      <c r="P875" s="35">
        <v>0.32840000000000003</v>
      </c>
      <c r="Q875" s="35" t="str" cm="1">
        <f t="array" ref="Q875">_xlfn.IFS(P875&lt;=0.2,"Low Windspeed",P875&lt;0.4,"Medium Windspeed",P875&gt;=0.41,"High Windspeed")</f>
        <v>Medium Windspeed</v>
      </c>
      <c r="R875" s="35">
        <v>3</v>
      </c>
      <c r="S875" s="35">
        <v>53</v>
      </c>
      <c r="T875" s="40">
        <v>56</v>
      </c>
      <c r="U875" s="39" t="str" cm="1">
        <f t="array" ref="U875">_xlfn.IFS(T875&lt;=70,"Low",T875&lt;=160,"Medium",T875&gt;=161,"High")</f>
        <v>Low</v>
      </c>
    </row>
    <row r="876" spans="1:21" x14ac:dyDescent="0.25">
      <c r="A876" s="33">
        <v>875</v>
      </c>
      <c r="B876" s="34">
        <v>40582</v>
      </c>
      <c r="C876" s="35">
        <v>1</v>
      </c>
      <c r="D876" s="35">
        <v>0</v>
      </c>
      <c r="E876" s="35">
        <v>2</v>
      </c>
      <c r="F876" s="35">
        <v>21</v>
      </c>
      <c r="G876" s="35" t="str" cm="1">
        <f t="array" ref="G876">_xlfn.IFS(F876&lt;4,"Night",F876&lt;=6,"Early Morning",F876&lt;11,"Morning",F876&lt;12,"Afternoon",F876&lt;=16,"Afternoon",F876&lt;=20,"Evening",F876&gt;=21,"Night")</f>
        <v>Night</v>
      </c>
      <c r="H876" s="35" t="b">
        <v>0</v>
      </c>
      <c r="I876" s="35">
        <v>2</v>
      </c>
      <c r="J876" s="35">
        <v>1</v>
      </c>
      <c r="K876" s="35">
        <v>0.14000000000000001</v>
      </c>
      <c r="L876" s="31" t="str" cm="1">
        <f t="array" ref="L876">_xlfn.IFS(K876&lt;0.15,"Cold",K876&lt;0.25,"Mild",K876&lt;=0.32,"Warm",K876&gt;=0.33,"Hot")</f>
        <v>Cold</v>
      </c>
      <c r="M876" s="35">
        <v>0.1061</v>
      </c>
      <c r="N876" s="35">
        <v>0.33</v>
      </c>
      <c r="O876" s="35" t="str" cm="1">
        <f t="array" ref="O876">_xlfn.IFS(N876&gt;0.61, "High Humidity", N876&gt;=0.6, "Humid", N876&gt;0.4, "Less Humidity", TRUE, "Dry")</f>
        <v>Dry</v>
      </c>
      <c r="P876" s="35">
        <v>0.4627</v>
      </c>
      <c r="Q876" s="35" t="str" cm="1">
        <f t="array" ref="Q876">_xlfn.IFS(P876&lt;=0.2,"Low Windspeed",P876&lt;0.4,"Medium Windspeed",P876&gt;=0.41,"High Windspeed")</f>
        <v>High Windspeed</v>
      </c>
      <c r="R876" s="35">
        <v>8</v>
      </c>
      <c r="S876" s="35">
        <v>46</v>
      </c>
      <c r="T876" s="40">
        <v>54</v>
      </c>
      <c r="U876" s="39" t="str" cm="1">
        <f t="array" ref="U876">_xlfn.IFS(T876&lt;=70,"Low",T876&lt;=160,"Medium",T876&gt;=161,"High")</f>
        <v>Low</v>
      </c>
    </row>
    <row r="877" spans="1:21" x14ac:dyDescent="0.25">
      <c r="A877" s="33">
        <v>876</v>
      </c>
      <c r="B877" s="34">
        <v>40582</v>
      </c>
      <c r="C877" s="35">
        <v>1</v>
      </c>
      <c r="D877" s="35">
        <v>0</v>
      </c>
      <c r="E877" s="35">
        <v>2</v>
      </c>
      <c r="F877" s="35">
        <v>22</v>
      </c>
      <c r="G877" s="35" t="str" cm="1">
        <f t="array" ref="G877">_xlfn.IFS(F877&lt;4,"Night",F877&lt;=6,"Early Morning",F877&lt;11,"Morning",F877&lt;12,"Afternoon",F877&lt;=16,"Afternoon",F877&lt;=20,"Evening",F877&gt;=21,"Night")</f>
        <v>Night</v>
      </c>
      <c r="H877" s="35" t="b">
        <v>0</v>
      </c>
      <c r="I877" s="35">
        <v>2</v>
      </c>
      <c r="J877" s="35">
        <v>1</v>
      </c>
      <c r="K877" s="35">
        <v>0.12</v>
      </c>
      <c r="L877" s="31" t="str" cm="1">
        <f t="array" ref="L877">_xlfn.IFS(K877&lt;0.15,"Cold",K877&lt;0.25,"Mild",K877&lt;=0.32,"Warm",K877&gt;=0.33,"Hot")</f>
        <v>Cold</v>
      </c>
      <c r="M877" s="35">
        <v>0.1061</v>
      </c>
      <c r="N877" s="35">
        <v>0.33</v>
      </c>
      <c r="O877" s="35" t="str" cm="1">
        <f t="array" ref="O877">_xlfn.IFS(N877&gt;0.61, "High Humidity", N877&gt;=0.6, "Humid", N877&gt;0.4, "Less Humidity", TRUE, "Dry")</f>
        <v>Dry</v>
      </c>
      <c r="P877" s="35">
        <v>0.35820000000000002</v>
      </c>
      <c r="Q877" s="35" t="str" cm="1">
        <f t="array" ref="Q877">_xlfn.IFS(P877&lt;=0.2,"Low Windspeed",P877&lt;0.4,"Medium Windspeed",P877&gt;=0.41,"High Windspeed")</f>
        <v>Medium Windspeed</v>
      </c>
      <c r="R877" s="35">
        <v>0</v>
      </c>
      <c r="S877" s="35">
        <v>29</v>
      </c>
      <c r="T877" s="40">
        <v>29</v>
      </c>
      <c r="U877" s="39" t="str" cm="1">
        <f t="array" ref="U877">_xlfn.IFS(T877&lt;=70,"Low",T877&lt;=160,"Medium",T877&gt;=161,"High")</f>
        <v>Low</v>
      </c>
    </row>
    <row r="878" spans="1:21" x14ac:dyDescent="0.25">
      <c r="A878" s="33">
        <v>877</v>
      </c>
      <c r="B878" s="34">
        <v>40582</v>
      </c>
      <c r="C878" s="35">
        <v>1</v>
      </c>
      <c r="D878" s="35">
        <v>0</v>
      </c>
      <c r="E878" s="35">
        <v>2</v>
      </c>
      <c r="F878" s="35">
        <v>23</v>
      </c>
      <c r="G878" s="35" t="str" cm="1">
        <f t="array" ref="G878">_xlfn.IFS(F878&lt;4,"Night",F878&lt;=6,"Early Morning",F878&lt;11,"Morning",F878&lt;12,"Afternoon",F878&lt;=16,"Afternoon",F878&lt;=20,"Evening",F878&gt;=21,"Night")</f>
        <v>Night</v>
      </c>
      <c r="H878" s="35" t="b">
        <v>0</v>
      </c>
      <c r="I878" s="35">
        <v>2</v>
      </c>
      <c r="J878" s="35">
        <v>1</v>
      </c>
      <c r="K878" s="35">
        <v>0.12</v>
      </c>
      <c r="L878" s="31" t="str" cm="1">
        <f t="array" ref="L878">_xlfn.IFS(K878&lt;0.15,"Cold",K878&lt;0.25,"Mild",K878&lt;=0.32,"Warm",K878&gt;=0.33,"Hot")</f>
        <v>Cold</v>
      </c>
      <c r="M878" s="35">
        <v>0.1061</v>
      </c>
      <c r="N878" s="35">
        <v>0.33</v>
      </c>
      <c r="O878" s="35" t="str" cm="1">
        <f t="array" ref="O878">_xlfn.IFS(N878&gt;0.61, "High Humidity", N878&gt;=0.6, "Humid", N878&gt;0.4, "Less Humidity", TRUE, "Dry")</f>
        <v>Dry</v>
      </c>
      <c r="P878" s="35">
        <v>0.32840000000000003</v>
      </c>
      <c r="Q878" s="35" t="str" cm="1">
        <f t="array" ref="Q878">_xlfn.IFS(P878&lt;=0.2,"Low Windspeed",P878&lt;0.4,"Medium Windspeed",P878&gt;=0.41,"High Windspeed")</f>
        <v>Medium Windspeed</v>
      </c>
      <c r="R878" s="35">
        <v>3</v>
      </c>
      <c r="S878" s="35">
        <v>9</v>
      </c>
      <c r="T878" s="40">
        <v>12</v>
      </c>
      <c r="U878" s="39" t="str" cm="1">
        <f t="array" ref="U878">_xlfn.IFS(T878&lt;=70,"Low",T878&lt;=160,"Medium",T878&gt;=161,"High")</f>
        <v>Low</v>
      </c>
    </row>
    <row r="879" spans="1:21" x14ac:dyDescent="0.25">
      <c r="A879" s="33">
        <v>878</v>
      </c>
      <c r="B879" s="34">
        <v>40583</v>
      </c>
      <c r="C879" s="35">
        <v>1</v>
      </c>
      <c r="D879" s="35">
        <v>0</v>
      </c>
      <c r="E879" s="35">
        <v>2</v>
      </c>
      <c r="F879" s="35">
        <v>0</v>
      </c>
      <c r="G879" s="35" t="str" cm="1">
        <f t="array" ref="G879">_xlfn.IFS(F879&lt;4,"Night",F879&lt;=6,"Early Morning",F879&lt;11,"Morning",F879&lt;12,"Afternoon",F879&lt;=16,"Afternoon",F879&lt;=20,"Evening",F879&gt;=21,"Night")</f>
        <v>Night</v>
      </c>
      <c r="H879" s="35" t="b">
        <v>0</v>
      </c>
      <c r="I879" s="35">
        <v>3</v>
      </c>
      <c r="J879" s="35">
        <v>1</v>
      </c>
      <c r="K879" s="35">
        <v>0.1</v>
      </c>
      <c r="L879" s="31" t="str" cm="1">
        <f t="array" ref="L879">_xlfn.IFS(K879&lt;0.15,"Cold",K879&lt;0.25,"Mild",K879&lt;=0.32,"Warm",K879&gt;=0.33,"Hot")</f>
        <v>Cold</v>
      </c>
      <c r="M879" s="35">
        <v>7.5800000000000006E-2</v>
      </c>
      <c r="N879" s="35">
        <v>0.36</v>
      </c>
      <c r="O879" s="35" t="str" cm="1">
        <f t="array" ref="O879">_xlfn.IFS(N879&gt;0.61, "High Humidity", N879&gt;=0.6, "Humid", N879&gt;0.4, "Less Humidity", TRUE, "Dry")</f>
        <v>Dry</v>
      </c>
      <c r="P879" s="35">
        <v>0.35820000000000002</v>
      </c>
      <c r="Q879" s="35" t="str" cm="1">
        <f t="array" ref="Q879">_xlfn.IFS(P879&lt;=0.2,"Low Windspeed",P879&lt;0.4,"Medium Windspeed",P879&gt;=0.41,"High Windspeed")</f>
        <v>Medium Windspeed</v>
      </c>
      <c r="R879" s="35">
        <v>0</v>
      </c>
      <c r="S879" s="35">
        <v>17</v>
      </c>
      <c r="T879" s="40">
        <v>17</v>
      </c>
      <c r="U879" s="39" t="str" cm="1">
        <f t="array" ref="U879">_xlfn.IFS(T879&lt;=70,"Low",T879&lt;=160,"Medium",T879&gt;=161,"High")</f>
        <v>Low</v>
      </c>
    </row>
    <row r="880" spans="1:21" x14ac:dyDescent="0.25">
      <c r="A880" s="33">
        <v>879</v>
      </c>
      <c r="B880" s="34">
        <v>40583</v>
      </c>
      <c r="C880" s="35">
        <v>1</v>
      </c>
      <c r="D880" s="35">
        <v>0</v>
      </c>
      <c r="E880" s="35">
        <v>2</v>
      </c>
      <c r="F880" s="35">
        <v>1</v>
      </c>
      <c r="G880" s="35" t="str" cm="1">
        <f t="array" ref="G880">_xlfn.IFS(F880&lt;4,"Night",F880&lt;=6,"Early Morning",F880&lt;11,"Morning",F880&lt;12,"Afternoon",F880&lt;=16,"Afternoon",F880&lt;=20,"Evening",F880&gt;=21,"Night")</f>
        <v>Night</v>
      </c>
      <c r="H880" s="35" t="b">
        <v>0</v>
      </c>
      <c r="I880" s="35">
        <v>3</v>
      </c>
      <c r="J880" s="35">
        <v>1</v>
      </c>
      <c r="K880" s="35">
        <v>0.1</v>
      </c>
      <c r="L880" s="31" t="str" cm="1">
        <f t="array" ref="L880">_xlfn.IFS(K880&lt;0.15,"Cold",K880&lt;0.25,"Mild",K880&lt;=0.32,"Warm",K880&gt;=0.33,"Hot")</f>
        <v>Cold</v>
      </c>
      <c r="M880" s="35">
        <v>0.1061</v>
      </c>
      <c r="N880" s="35">
        <v>0.36</v>
      </c>
      <c r="O880" s="35" t="str" cm="1">
        <f t="array" ref="O880">_xlfn.IFS(N880&gt;0.61, "High Humidity", N880&gt;=0.6, "Humid", N880&gt;0.4, "Less Humidity", TRUE, "Dry")</f>
        <v>Dry</v>
      </c>
      <c r="P880" s="35">
        <v>0.22389999999999999</v>
      </c>
      <c r="Q880" s="35" t="str" cm="1">
        <f t="array" ref="Q880">_xlfn.IFS(P880&lt;=0.2,"Low Windspeed",P880&lt;0.4,"Medium Windspeed",P880&gt;=0.41,"High Windspeed")</f>
        <v>Medium Windspeed</v>
      </c>
      <c r="R880" s="35">
        <v>0</v>
      </c>
      <c r="S880" s="35">
        <v>7</v>
      </c>
      <c r="T880" s="40">
        <v>7</v>
      </c>
      <c r="U880" s="39" t="str" cm="1">
        <f t="array" ref="U880">_xlfn.IFS(T880&lt;=70,"Low",T880&lt;=160,"Medium",T880&gt;=161,"High")</f>
        <v>Low</v>
      </c>
    </row>
    <row r="881" spans="1:21" x14ac:dyDescent="0.25">
      <c r="A881" s="33">
        <v>880</v>
      </c>
      <c r="B881" s="34">
        <v>40583</v>
      </c>
      <c r="C881" s="35">
        <v>1</v>
      </c>
      <c r="D881" s="35">
        <v>0</v>
      </c>
      <c r="E881" s="35">
        <v>2</v>
      </c>
      <c r="F881" s="35">
        <v>2</v>
      </c>
      <c r="G881" s="35" t="str" cm="1">
        <f t="array" ref="G881">_xlfn.IFS(F881&lt;4,"Night",F881&lt;=6,"Early Morning",F881&lt;11,"Morning",F881&lt;12,"Afternoon",F881&lt;=16,"Afternoon",F881&lt;=20,"Evening",F881&gt;=21,"Night")</f>
        <v>Night</v>
      </c>
      <c r="H881" s="35" t="b">
        <v>0</v>
      </c>
      <c r="I881" s="35">
        <v>3</v>
      </c>
      <c r="J881" s="35">
        <v>1</v>
      </c>
      <c r="K881" s="35">
        <v>0.08</v>
      </c>
      <c r="L881" s="31" t="str" cm="1">
        <f t="array" ref="L881">_xlfn.IFS(K881&lt;0.15,"Cold",K881&lt;0.25,"Mild",K881&lt;=0.32,"Warm",K881&gt;=0.33,"Hot")</f>
        <v>Cold</v>
      </c>
      <c r="M881" s="35">
        <v>7.5800000000000006E-2</v>
      </c>
      <c r="N881" s="35">
        <v>0.38</v>
      </c>
      <c r="O881" s="35" t="str" cm="1">
        <f t="array" ref="O881">_xlfn.IFS(N881&gt;0.61, "High Humidity", N881&gt;=0.6, "Humid", N881&gt;0.4, "Less Humidity", TRUE, "Dry")</f>
        <v>Dry</v>
      </c>
      <c r="P881" s="35">
        <v>0.28360000000000002</v>
      </c>
      <c r="Q881" s="35" t="str" cm="1">
        <f t="array" ref="Q881">_xlfn.IFS(P881&lt;=0.2,"Low Windspeed",P881&lt;0.4,"Medium Windspeed",P881&gt;=0.41,"High Windspeed")</f>
        <v>Medium Windspeed</v>
      </c>
      <c r="R881" s="35">
        <v>1</v>
      </c>
      <c r="S881" s="35">
        <v>2</v>
      </c>
      <c r="T881" s="40">
        <v>3</v>
      </c>
      <c r="U881" s="39" t="str" cm="1">
        <f t="array" ref="U881">_xlfn.IFS(T881&lt;=70,"Low",T881&lt;=160,"Medium",T881&gt;=161,"High")</f>
        <v>Low</v>
      </c>
    </row>
    <row r="882" spans="1:21" x14ac:dyDescent="0.25">
      <c r="A882" s="33">
        <v>881</v>
      </c>
      <c r="B882" s="34">
        <v>40583</v>
      </c>
      <c r="C882" s="35">
        <v>1</v>
      </c>
      <c r="D882" s="35">
        <v>0</v>
      </c>
      <c r="E882" s="35">
        <v>2</v>
      </c>
      <c r="F882" s="35">
        <v>3</v>
      </c>
      <c r="G882" s="35" t="str" cm="1">
        <f t="array" ref="G882">_xlfn.IFS(F882&lt;4,"Night",F882&lt;=6,"Early Morning",F882&lt;11,"Morning",F882&lt;12,"Afternoon",F882&lt;=16,"Afternoon",F882&lt;=20,"Evening",F882&gt;=21,"Night")</f>
        <v>Night</v>
      </c>
      <c r="H882" s="35" t="b">
        <v>0</v>
      </c>
      <c r="I882" s="35">
        <v>3</v>
      </c>
      <c r="J882" s="35">
        <v>1</v>
      </c>
      <c r="K882" s="35">
        <v>0.06</v>
      </c>
      <c r="L882" s="31" t="str" cm="1">
        <f t="array" ref="L882">_xlfn.IFS(K882&lt;0.15,"Cold",K882&lt;0.25,"Mild",K882&lt;=0.32,"Warm",K882&gt;=0.33,"Hot")</f>
        <v>Cold</v>
      </c>
      <c r="M882" s="35">
        <v>7.5800000000000006E-2</v>
      </c>
      <c r="N882" s="35">
        <v>0.45</v>
      </c>
      <c r="O882" s="35" t="str" cm="1">
        <f t="array" ref="O882">_xlfn.IFS(N882&gt;0.61, "High Humidity", N882&gt;=0.6, "Humid", N882&gt;0.4, "Less Humidity", TRUE, "Dry")</f>
        <v>Less Humidity</v>
      </c>
      <c r="P882" s="35">
        <v>0.1343</v>
      </c>
      <c r="Q882" s="35" t="str" cm="1">
        <f t="array" ref="Q882">_xlfn.IFS(P882&lt;=0.2,"Low Windspeed",P882&lt;0.4,"Medium Windspeed",P882&gt;=0.41,"High Windspeed")</f>
        <v>Low Windspeed</v>
      </c>
      <c r="R882" s="35">
        <v>0</v>
      </c>
      <c r="S882" s="35">
        <v>2</v>
      </c>
      <c r="T882" s="40">
        <v>2</v>
      </c>
      <c r="U882" s="39" t="str" cm="1">
        <f t="array" ref="U882">_xlfn.IFS(T882&lt;=70,"Low",T882&lt;=160,"Medium",T882&gt;=161,"High")</f>
        <v>Low</v>
      </c>
    </row>
    <row r="883" spans="1:21" x14ac:dyDescent="0.25">
      <c r="A883" s="33">
        <v>882</v>
      </c>
      <c r="B883" s="34">
        <v>40583</v>
      </c>
      <c r="C883" s="35">
        <v>1</v>
      </c>
      <c r="D883" s="35">
        <v>0</v>
      </c>
      <c r="E883" s="35">
        <v>2</v>
      </c>
      <c r="F883" s="35">
        <v>5</v>
      </c>
      <c r="G883" s="35" t="str" cm="1">
        <f t="array" ref="G883">_xlfn.IFS(F883&lt;4,"Night",F883&lt;=6,"Early Morning",F883&lt;11,"Morning",F883&lt;12,"Afternoon",F883&lt;=16,"Afternoon",F883&lt;=20,"Evening",F883&gt;=21,"Night")</f>
        <v>Early Morning</v>
      </c>
      <c r="H883" s="35" t="b">
        <v>0</v>
      </c>
      <c r="I883" s="35">
        <v>3</v>
      </c>
      <c r="J883" s="35">
        <v>1</v>
      </c>
      <c r="K883" s="35">
        <v>0.06</v>
      </c>
      <c r="L883" s="31" t="str" cm="1">
        <f t="array" ref="L883">_xlfn.IFS(K883&lt;0.15,"Cold",K883&lt;0.25,"Mild",K883&lt;=0.32,"Warm",K883&gt;=0.33,"Hot")</f>
        <v>Cold</v>
      </c>
      <c r="M883" s="35">
        <v>0.1061</v>
      </c>
      <c r="N883" s="35">
        <v>0.45</v>
      </c>
      <c r="O883" s="35" t="str" cm="1">
        <f t="array" ref="O883">_xlfn.IFS(N883&gt;0.61, "High Humidity", N883&gt;=0.6, "Humid", N883&gt;0.4, "Less Humidity", TRUE, "Dry")</f>
        <v>Less Humidity</v>
      </c>
      <c r="P883" s="35">
        <v>0.1045</v>
      </c>
      <c r="Q883" s="35" t="str" cm="1">
        <f t="array" ref="Q883">_xlfn.IFS(P883&lt;=0.2,"Low Windspeed",P883&lt;0.4,"Medium Windspeed",P883&gt;=0.41,"High Windspeed")</f>
        <v>Low Windspeed</v>
      </c>
      <c r="R883" s="35">
        <v>0</v>
      </c>
      <c r="S883" s="35">
        <v>7</v>
      </c>
      <c r="T883" s="40">
        <v>7</v>
      </c>
      <c r="U883" s="39" t="str" cm="1">
        <f t="array" ref="U883">_xlfn.IFS(T883&lt;=70,"Low",T883&lt;=160,"Medium",T883&gt;=161,"High")</f>
        <v>Low</v>
      </c>
    </row>
    <row r="884" spans="1:21" x14ac:dyDescent="0.25">
      <c r="A884" s="33">
        <v>883</v>
      </c>
      <c r="B884" s="34">
        <v>40583</v>
      </c>
      <c r="C884" s="35">
        <v>1</v>
      </c>
      <c r="D884" s="35">
        <v>0</v>
      </c>
      <c r="E884" s="35">
        <v>2</v>
      </c>
      <c r="F884" s="35">
        <v>6</v>
      </c>
      <c r="G884" s="35" t="str" cm="1">
        <f t="array" ref="G884">_xlfn.IFS(F884&lt;4,"Night",F884&lt;=6,"Early Morning",F884&lt;11,"Morning",F884&lt;12,"Afternoon",F884&lt;=16,"Afternoon",F884&lt;=20,"Evening",F884&gt;=21,"Night")</f>
        <v>Early Morning</v>
      </c>
      <c r="H884" s="35" t="b">
        <v>0</v>
      </c>
      <c r="I884" s="35">
        <v>3</v>
      </c>
      <c r="J884" s="35">
        <v>1</v>
      </c>
      <c r="K884" s="35">
        <v>0.06</v>
      </c>
      <c r="L884" s="31" t="str" cm="1">
        <f t="array" ref="L884">_xlfn.IFS(K884&lt;0.15,"Cold",K884&lt;0.25,"Mild",K884&lt;=0.32,"Warm",K884&gt;=0.33,"Hot")</f>
        <v>Cold</v>
      </c>
      <c r="M884" s="35">
        <v>0.1515</v>
      </c>
      <c r="N884" s="35">
        <v>0.45</v>
      </c>
      <c r="O884" s="35" t="str" cm="1">
        <f t="array" ref="O884">_xlfn.IFS(N884&gt;0.61, "High Humidity", N884&gt;=0.6, "Humid", N884&gt;0.4, "Less Humidity", TRUE, "Dry")</f>
        <v>Less Humidity</v>
      </c>
      <c r="P884" s="35">
        <v>0</v>
      </c>
      <c r="Q884" s="35" t="str" cm="1">
        <f t="array" ref="Q884">_xlfn.IFS(P884&lt;=0.2,"Low Windspeed",P884&lt;0.4,"Medium Windspeed",P884&gt;=0.41,"High Windspeed")</f>
        <v>Low Windspeed</v>
      </c>
      <c r="R884" s="35">
        <v>0</v>
      </c>
      <c r="S884" s="35">
        <v>43</v>
      </c>
      <c r="T884" s="40">
        <v>43</v>
      </c>
      <c r="U884" s="39" t="str" cm="1">
        <f t="array" ref="U884">_xlfn.IFS(T884&lt;=70,"Low",T884&lt;=160,"Medium",T884&gt;=161,"High")</f>
        <v>Low</v>
      </c>
    </row>
    <row r="885" spans="1:21" x14ac:dyDescent="0.25">
      <c r="A885" s="33">
        <v>884</v>
      </c>
      <c r="B885" s="34">
        <v>40583</v>
      </c>
      <c r="C885" s="35">
        <v>1</v>
      </c>
      <c r="D885" s="35">
        <v>0</v>
      </c>
      <c r="E885" s="35">
        <v>2</v>
      </c>
      <c r="F885" s="35">
        <v>7</v>
      </c>
      <c r="G885" s="35" t="str" cm="1">
        <f t="array" ref="G885">_xlfn.IFS(F885&lt;4,"Night",F885&lt;=6,"Early Morning",F885&lt;11,"Morning",F885&lt;12,"Afternoon",F885&lt;=16,"Afternoon",F885&lt;=20,"Evening",F885&gt;=21,"Night")</f>
        <v>Morning</v>
      </c>
      <c r="H885" s="35" t="b">
        <v>0</v>
      </c>
      <c r="I885" s="35">
        <v>3</v>
      </c>
      <c r="J885" s="35">
        <v>1</v>
      </c>
      <c r="K885" s="35">
        <v>0.06</v>
      </c>
      <c r="L885" s="31" t="str" cm="1">
        <f t="array" ref="L885">_xlfn.IFS(K885&lt;0.15,"Cold",K885&lt;0.25,"Mild",K885&lt;=0.32,"Warm",K885&gt;=0.33,"Hot")</f>
        <v>Cold</v>
      </c>
      <c r="M885" s="35">
        <v>0.1061</v>
      </c>
      <c r="N885" s="35">
        <v>0.49</v>
      </c>
      <c r="O885" s="35" t="str" cm="1">
        <f t="array" ref="O885">_xlfn.IFS(N885&gt;0.61, "High Humidity", N885&gt;=0.6, "Humid", N885&gt;0.4, "Less Humidity", TRUE, "Dry")</f>
        <v>Less Humidity</v>
      </c>
      <c r="P885" s="35">
        <v>0.1045</v>
      </c>
      <c r="Q885" s="35" t="str" cm="1">
        <f t="array" ref="Q885">_xlfn.IFS(P885&lt;=0.2,"Low Windspeed",P885&lt;0.4,"Medium Windspeed",P885&gt;=0.41,"High Windspeed")</f>
        <v>Low Windspeed</v>
      </c>
      <c r="R885" s="35">
        <v>4</v>
      </c>
      <c r="S885" s="35">
        <v>95</v>
      </c>
      <c r="T885" s="40">
        <v>99</v>
      </c>
      <c r="U885" s="39" t="str" cm="1">
        <f t="array" ref="U885">_xlfn.IFS(T885&lt;=70,"Low",T885&lt;=160,"Medium",T885&gt;=161,"High")</f>
        <v>Medium</v>
      </c>
    </row>
    <row r="886" spans="1:21" x14ac:dyDescent="0.25">
      <c r="A886" s="33">
        <v>885</v>
      </c>
      <c r="B886" s="34">
        <v>40583</v>
      </c>
      <c r="C886" s="35">
        <v>1</v>
      </c>
      <c r="D886" s="35">
        <v>0</v>
      </c>
      <c r="E886" s="35">
        <v>2</v>
      </c>
      <c r="F886" s="35">
        <v>8</v>
      </c>
      <c r="G886" s="35" t="str" cm="1">
        <f t="array" ref="G886">_xlfn.IFS(F886&lt;4,"Night",F886&lt;=6,"Early Morning",F886&lt;11,"Morning",F886&lt;12,"Afternoon",F886&lt;=16,"Afternoon",F886&lt;=20,"Evening",F886&gt;=21,"Night")</f>
        <v>Morning</v>
      </c>
      <c r="H886" s="35" t="b">
        <v>0</v>
      </c>
      <c r="I886" s="35">
        <v>3</v>
      </c>
      <c r="J886" s="35">
        <v>1</v>
      </c>
      <c r="K886" s="35">
        <v>0.1</v>
      </c>
      <c r="L886" s="31" t="str" cm="1">
        <f t="array" ref="L886">_xlfn.IFS(K886&lt;0.15,"Cold",K886&lt;0.25,"Mild",K886&lt;=0.32,"Warm",K886&gt;=0.33,"Hot")</f>
        <v>Cold</v>
      </c>
      <c r="M886" s="35">
        <v>0.13639999999999999</v>
      </c>
      <c r="N886" s="35">
        <v>0.42</v>
      </c>
      <c r="O886" s="35" t="str" cm="1">
        <f t="array" ref="O886">_xlfn.IFS(N886&gt;0.61, "High Humidity", N886&gt;=0.6, "Humid", N886&gt;0.4, "Less Humidity", TRUE, "Dry")</f>
        <v>Less Humidity</v>
      </c>
      <c r="P886" s="35">
        <v>0</v>
      </c>
      <c r="Q886" s="35" t="str" cm="1">
        <f t="array" ref="Q886">_xlfn.IFS(P886&lt;=0.2,"Low Windspeed",P886&lt;0.4,"Medium Windspeed",P886&gt;=0.41,"High Windspeed")</f>
        <v>Low Windspeed</v>
      </c>
      <c r="R886" s="35">
        <v>1</v>
      </c>
      <c r="S886" s="35">
        <v>198</v>
      </c>
      <c r="T886" s="40">
        <v>199</v>
      </c>
      <c r="U886" s="39" t="str" cm="1">
        <f t="array" ref="U886">_xlfn.IFS(T886&lt;=70,"Low",T886&lt;=160,"Medium",T886&gt;=161,"High")</f>
        <v>High</v>
      </c>
    </row>
    <row r="887" spans="1:21" x14ac:dyDescent="0.25">
      <c r="A887" s="33">
        <v>886</v>
      </c>
      <c r="B887" s="34">
        <v>40583</v>
      </c>
      <c r="C887" s="35">
        <v>1</v>
      </c>
      <c r="D887" s="35">
        <v>0</v>
      </c>
      <c r="E887" s="35">
        <v>2</v>
      </c>
      <c r="F887" s="35">
        <v>9</v>
      </c>
      <c r="G887" s="35" t="str" cm="1">
        <f t="array" ref="G887">_xlfn.IFS(F887&lt;4,"Night",F887&lt;=6,"Early Morning",F887&lt;11,"Morning",F887&lt;12,"Afternoon",F887&lt;=16,"Afternoon",F887&lt;=20,"Evening",F887&gt;=21,"Night")</f>
        <v>Morning</v>
      </c>
      <c r="H887" s="35" t="b">
        <v>0</v>
      </c>
      <c r="I887" s="35">
        <v>3</v>
      </c>
      <c r="J887" s="35">
        <v>1</v>
      </c>
      <c r="K887" s="35">
        <v>0.12</v>
      </c>
      <c r="L887" s="31" t="str" cm="1">
        <f t="array" ref="L887">_xlfn.IFS(K887&lt;0.15,"Cold",K887&lt;0.25,"Mild",K887&lt;=0.32,"Warm",K887&gt;=0.33,"Hot")</f>
        <v>Cold</v>
      </c>
      <c r="M887" s="35">
        <v>0.13639999999999999</v>
      </c>
      <c r="N887" s="35">
        <v>0.39</v>
      </c>
      <c r="O887" s="35" t="str" cm="1">
        <f t="array" ref="O887">_xlfn.IFS(N887&gt;0.61, "High Humidity", N887&gt;=0.6, "Humid", N887&gt;0.4, "Less Humidity", TRUE, "Dry")</f>
        <v>Dry</v>
      </c>
      <c r="P887" s="35">
        <v>0.16420000000000001</v>
      </c>
      <c r="Q887" s="35" t="str" cm="1">
        <f t="array" ref="Q887">_xlfn.IFS(P887&lt;=0.2,"Low Windspeed",P887&lt;0.4,"Medium Windspeed",P887&gt;=0.41,"High Windspeed")</f>
        <v>Low Windspeed</v>
      </c>
      <c r="R887" s="35">
        <v>4</v>
      </c>
      <c r="S887" s="35">
        <v>119</v>
      </c>
      <c r="T887" s="40">
        <v>123</v>
      </c>
      <c r="U887" s="39" t="str" cm="1">
        <f t="array" ref="U887">_xlfn.IFS(T887&lt;=70,"Low",T887&lt;=160,"Medium",T887&gt;=161,"High")</f>
        <v>Medium</v>
      </c>
    </row>
    <row r="888" spans="1:21" x14ac:dyDescent="0.25">
      <c r="A888" s="33">
        <v>887</v>
      </c>
      <c r="B888" s="34">
        <v>40583</v>
      </c>
      <c r="C888" s="35">
        <v>1</v>
      </c>
      <c r="D888" s="35">
        <v>0</v>
      </c>
      <c r="E888" s="35">
        <v>2</v>
      </c>
      <c r="F888" s="35">
        <v>10</v>
      </c>
      <c r="G888" s="35" t="str" cm="1">
        <f t="array" ref="G888">_xlfn.IFS(F888&lt;4,"Night",F888&lt;=6,"Early Morning",F888&lt;11,"Morning",F888&lt;12,"Afternoon",F888&lt;=16,"Afternoon",F888&lt;=20,"Evening",F888&gt;=21,"Night")</f>
        <v>Morning</v>
      </c>
      <c r="H888" s="35" t="b">
        <v>0</v>
      </c>
      <c r="I888" s="35">
        <v>3</v>
      </c>
      <c r="J888" s="35">
        <v>1</v>
      </c>
      <c r="K888" s="35">
        <v>0.14000000000000001</v>
      </c>
      <c r="L888" s="31" t="str" cm="1">
        <f t="array" ref="L888">_xlfn.IFS(K888&lt;0.15,"Cold",K888&lt;0.25,"Mild",K888&lt;=0.32,"Warm",K888&gt;=0.33,"Hot")</f>
        <v>Cold</v>
      </c>
      <c r="M888" s="35">
        <v>0.18179999999999999</v>
      </c>
      <c r="N888" s="35">
        <v>0.36</v>
      </c>
      <c r="O888" s="35" t="str" cm="1">
        <f t="array" ref="O888">_xlfn.IFS(N888&gt;0.61, "High Humidity", N888&gt;=0.6, "Humid", N888&gt;0.4, "Less Humidity", TRUE, "Dry")</f>
        <v>Dry</v>
      </c>
      <c r="P888" s="35">
        <v>0</v>
      </c>
      <c r="Q888" s="35" t="str" cm="1">
        <f t="array" ref="Q888">_xlfn.IFS(P888&lt;=0.2,"Low Windspeed",P888&lt;0.4,"Medium Windspeed",P888&gt;=0.41,"High Windspeed")</f>
        <v>Low Windspeed</v>
      </c>
      <c r="R888" s="35">
        <v>8</v>
      </c>
      <c r="S888" s="35">
        <v>51</v>
      </c>
      <c r="T888" s="40">
        <v>59</v>
      </c>
      <c r="U888" s="39" t="str" cm="1">
        <f t="array" ref="U888">_xlfn.IFS(T888&lt;=70,"Low",T888&lt;=160,"Medium",T888&gt;=161,"High")</f>
        <v>Low</v>
      </c>
    </row>
    <row r="889" spans="1:21" x14ac:dyDescent="0.25">
      <c r="A889" s="33">
        <v>888</v>
      </c>
      <c r="B889" s="34">
        <v>40583</v>
      </c>
      <c r="C889" s="35">
        <v>1</v>
      </c>
      <c r="D889" s="35">
        <v>0</v>
      </c>
      <c r="E889" s="35">
        <v>2</v>
      </c>
      <c r="F889" s="35">
        <v>11</v>
      </c>
      <c r="G889" s="35" t="str" cm="1">
        <f t="array" ref="G889">_xlfn.IFS(F889&lt;4,"Night",F889&lt;=6,"Early Morning",F889&lt;11,"Morning",F889&lt;12,"Afternoon",F889&lt;=16,"Afternoon",F889&lt;=20,"Evening",F889&gt;=21,"Night")</f>
        <v>Afternoon</v>
      </c>
      <c r="H889" s="35" t="b">
        <v>0</v>
      </c>
      <c r="I889" s="35">
        <v>3</v>
      </c>
      <c r="J889" s="35">
        <v>2</v>
      </c>
      <c r="K889" s="35">
        <v>0.14000000000000001</v>
      </c>
      <c r="L889" s="31" t="str" cm="1">
        <f t="array" ref="L889">_xlfn.IFS(K889&lt;0.15,"Cold",K889&lt;0.25,"Mild",K889&lt;=0.32,"Warm",K889&gt;=0.33,"Hot")</f>
        <v>Cold</v>
      </c>
      <c r="M889" s="35">
        <v>0.1515</v>
      </c>
      <c r="N889" s="35">
        <v>0.43</v>
      </c>
      <c r="O889" s="35" t="str" cm="1">
        <f t="array" ref="O889">_xlfn.IFS(N889&gt;0.61, "High Humidity", N889&gt;=0.6, "Humid", N889&gt;0.4, "Less Humidity", TRUE, "Dry")</f>
        <v>Less Humidity</v>
      </c>
      <c r="P889" s="35">
        <v>0.16420000000000001</v>
      </c>
      <c r="Q889" s="35" t="str" cm="1">
        <f t="array" ref="Q889">_xlfn.IFS(P889&lt;=0.2,"Low Windspeed",P889&lt;0.4,"Medium Windspeed",P889&gt;=0.41,"High Windspeed")</f>
        <v>Low Windspeed</v>
      </c>
      <c r="R889" s="35">
        <v>1</v>
      </c>
      <c r="S889" s="35">
        <v>40</v>
      </c>
      <c r="T889" s="40">
        <v>41</v>
      </c>
      <c r="U889" s="39" t="str" cm="1">
        <f t="array" ref="U889">_xlfn.IFS(T889&lt;=70,"Low",T889&lt;=160,"Medium",T889&gt;=161,"High")</f>
        <v>Low</v>
      </c>
    </row>
    <row r="890" spans="1:21" x14ac:dyDescent="0.25">
      <c r="A890" s="33">
        <v>889</v>
      </c>
      <c r="B890" s="34">
        <v>40583</v>
      </c>
      <c r="C890" s="35">
        <v>1</v>
      </c>
      <c r="D890" s="35">
        <v>0</v>
      </c>
      <c r="E890" s="35">
        <v>2</v>
      </c>
      <c r="F890" s="35">
        <v>12</v>
      </c>
      <c r="G890" s="35" t="str" cm="1">
        <f t="array" ref="G890">_xlfn.IFS(F890&lt;4,"Night",F890&lt;=6,"Early Morning",F890&lt;11,"Morning",F890&lt;12,"Afternoon",F890&lt;=16,"Afternoon",F890&lt;=20,"Evening",F890&gt;=21,"Night")</f>
        <v>Afternoon</v>
      </c>
      <c r="H890" s="35" t="b">
        <v>0</v>
      </c>
      <c r="I890" s="35">
        <v>3</v>
      </c>
      <c r="J890" s="35">
        <v>2</v>
      </c>
      <c r="K890" s="35">
        <v>0.18</v>
      </c>
      <c r="L890" s="31" t="str" cm="1">
        <f t="array" ref="L890">_xlfn.IFS(K890&lt;0.15,"Cold",K890&lt;0.25,"Mild",K890&lt;=0.32,"Warm",K890&gt;=0.33,"Hot")</f>
        <v>Mild</v>
      </c>
      <c r="M890" s="35">
        <v>0.18179999999999999</v>
      </c>
      <c r="N890" s="35">
        <v>0.4</v>
      </c>
      <c r="O890" s="35" t="str" cm="1">
        <f t="array" ref="O890">_xlfn.IFS(N890&gt;0.61, "High Humidity", N890&gt;=0.6, "Humid", N890&gt;0.4, "Less Humidity", TRUE, "Dry")</f>
        <v>Dry</v>
      </c>
      <c r="P890" s="35">
        <v>0.22389999999999999</v>
      </c>
      <c r="Q890" s="35" t="str" cm="1">
        <f t="array" ref="Q890">_xlfn.IFS(P890&lt;=0.2,"Low Windspeed",P890&lt;0.4,"Medium Windspeed",P890&gt;=0.41,"High Windspeed")</f>
        <v>Medium Windspeed</v>
      </c>
      <c r="R890" s="35">
        <v>4</v>
      </c>
      <c r="S890" s="35">
        <v>57</v>
      </c>
      <c r="T890" s="40">
        <v>61</v>
      </c>
      <c r="U890" s="39" t="str" cm="1">
        <f t="array" ref="U890">_xlfn.IFS(T890&lt;=70,"Low",T890&lt;=160,"Medium",T890&gt;=161,"High")</f>
        <v>Low</v>
      </c>
    </row>
    <row r="891" spans="1:21" x14ac:dyDescent="0.25">
      <c r="A891" s="33">
        <v>890</v>
      </c>
      <c r="B891" s="34">
        <v>40583</v>
      </c>
      <c r="C891" s="35">
        <v>1</v>
      </c>
      <c r="D891" s="35">
        <v>0</v>
      </c>
      <c r="E891" s="35">
        <v>2</v>
      </c>
      <c r="F891" s="35">
        <v>13</v>
      </c>
      <c r="G891" s="35" t="str" cm="1">
        <f t="array" ref="G891">_xlfn.IFS(F891&lt;4,"Night",F891&lt;=6,"Early Morning",F891&lt;11,"Morning",F891&lt;12,"Afternoon",F891&lt;=16,"Afternoon",F891&lt;=20,"Evening",F891&gt;=21,"Night")</f>
        <v>Afternoon</v>
      </c>
      <c r="H891" s="35" t="b">
        <v>0</v>
      </c>
      <c r="I891" s="35">
        <v>3</v>
      </c>
      <c r="J891" s="35">
        <v>1</v>
      </c>
      <c r="K891" s="35">
        <v>0.18</v>
      </c>
      <c r="L891" s="31" t="str" cm="1">
        <f t="array" ref="L891">_xlfn.IFS(K891&lt;0.15,"Cold",K891&lt;0.25,"Mild",K891&lt;=0.32,"Warm",K891&gt;=0.33,"Hot")</f>
        <v>Mild</v>
      </c>
      <c r="M891" s="35">
        <v>0.16669999999999999</v>
      </c>
      <c r="N891" s="35">
        <v>0.4</v>
      </c>
      <c r="O891" s="35" t="str" cm="1">
        <f t="array" ref="O891">_xlfn.IFS(N891&gt;0.61, "High Humidity", N891&gt;=0.6, "Humid", N891&gt;0.4, "Less Humidity", TRUE, "Dry")</f>
        <v>Dry</v>
      </c>
      <c r="P891" s="35">
        <v>0.25369999999999998</v>
      </c>
      <c r="Q891" s="35" t="str" cm="1">
        <f t="array" ref="Q891">_xlfn.IFS(P891&lt;=0.2,"Low Windspeed",P891&lt;0.4,"Medium Windspeed",P891&gt;=0.41,"High Windspeed")</f>
        <v>Medium Windspeed</v>
      </c>
      <c r="R891" s="35">
        <v>2</v>
      </c>
      <c r="S891" s="35">
        <v>67</v>
      </c>
      <c r="T891" s="40">
        <v>69</v>
      </c>
      <c r="U891" s="39" t="str" cm="1">
        <f t="array" ref="U891">_xlfn.IFS(T891&lt;=70,"Low",T891&lt;=160,"Medium",T891&gt;=161,"High")</f>
        <v>Low</v>
      </c>
    </row>
    <row r="892" spans="1:21" x14ac:dyDescent="0.25">
      <c r="A892" s="33">
        <v>891</v>
      </c>
      <c r="B892" s="34">
        <v>40583</v>
      </c>
      <c r="C892" s="35">
        <v>1</v>
      </c>
      <c r="D892" s="35">
        <v>0</v>
      </c>
      <c r="E892" s="35">
        <v>2</v>
      </c>
      <c r="F892" s="35">
        <v>14</v>
      </c>
      <c r="G892" s="35" t="str" cm="1">
        <f t="array" ref="G892">_xlfn.IFS(F892&lt;4,"Night",F892&lt;=6,"Early Morning",F892&lt;11,"Morning",F892&lt;12,"Afternoon",F892&lt;=16,"Afternoon",F892&lt;=20,"Evening",F892&gt;=21,"Night")</f>
        <v>Afternoon</v>
      </c>
      <c r="H892" s="35" t="b">
        <v>0</v>
      </c>
      <c r="I892" s="35">
        <v>3</v>
      </c>
      <c r="J892" s="35">
        <v>1</v>
      </c>
      <c r="K892" s="35">
        <v>0.2</v>
      </c>
      <c r="L892" s="31" t="str" cm="1">
        <f t="array" ref="L892">_xlfn.IFS(K892&lt;0.15,"Cold",K892&lt;0.25,"Mild",K892&lt;=0.32,"Warm",K892&gt;=0.33,"Hot")</f>
        <v>Mild</v>
      </c>
      <c r="M892" s="35">
        <v>0.18179999999999999</v>
      </c>
      <c r="N892" s="35">
        <v>0.34</v>
      </c>
      <c r="O892" s="35" t="str" cm="1">
        <f t="array" ref="O892">_xlfn.IFS(N892&gt;0.61, "High Humidity", N892&gt;=0.6, "Humid", N892&gt;0.4, "Less Humidity", TRUE, "Dry")</f>
        <v>Dry</v>
      </c>
      <c r="P892" s="35">
        <v>0.29849999999999999</v>
      </c>
      <c r="Q892" s="35" t="str" cm="1">
        <f t="array" ref="Q892">_xlfn.IFS(P892&lt;=0.2,"Low Windspeed",P892&lt;0.4,"Medium Windspeed",P892&gt;=0.41,"High Windspeed")</f>
        <v>Medium Windspeed</v>
      </c>
      <c r="R892" s="35">
        <v>2</v>
      </c>
      <c r="S892" s="35">
        <v>56</v>
      </c>
      <c r="T892" s="40">
        <v>58</v>
      </c>
      <c r="U892" s="39" t="str" cm="1">
        <f t="array" ref="U892">_xlfn.IFS(T892&lt;=70,"Low",T892&lt;=160,"Medium",T892&gt;=161,"High")</f>
        <v>Low</v>
      </c>
    </row>
    <row r="893" spans="1:21" x14ac:dyDescent="0.25">
      <c r="A893" s="33">
        <v>892</v>
      </c>
      <c r="B893" s="34">
        <v>40583</v>
      </c>
      <c r="C893" s="35">
        <v>1</v>
      </c>
      <c r="D893" s="35">
        <v>0</v>
      </c>
      <c r="E893" s="35">
        <v>2</v>
      </c>
      <c r="F893" s="35">
        <v>15</v>
      </c>
      <c r="G893" s="35" t="str" cm="1">
        <f t="array" ref="G893">_xlfn.IFS(F893&lt;4,"Night",F893&lt;=6,"Early Morning",F893&lt;11,"Morning",F893&lt;12,"Afternoon",F893&lt;=16,"Afternoon",F893&lt;=20,"Evening",F893&gt;=21,"Night")</f>
        <v>Afternoon</v>
      </c>
      <c r="H893" s="35" t="b">
        <v>0</v>
      </c>
      <c r="I893" s="35">
        <v>3</v>
      </c>
      <c r="J893" s="35">
        <v>2</v>
      </c>
      <c r="K893" s="35">
        <v>0.2</v>
      </c>
      <c r="L893" s="31" t="str" cm="1">
        <f t="array" ref="L893">_xlfn.IFS(K893&lt;0.15,"Cold",K893&lt;0.25,"Mild",K893&lt;=0.32,"Warm",K893&gt;=0.33,"Hot")</f>
        <v>Mild</v>
      </c>
      <c r="M893" s="35">
        <v>0.18179999999999999</v>
      </c>
      <c r="N893" s="35">
        <v>0.34</v>
      </c>
      <c r="O893" s="35" t="str" cm="1">
        <f t="array" ref="O893">_xlfn.IFS(N893&gt;0.61, "High Humidity", N893&gt;=0.6, "Humid", N893&gt;0.4, "Less Humidity", TRUE, "Dry")</f>
        <v>Dry</v>
      </c>
      <c r="P893" s="35">
        <v>0.28360000000000002</v>
      </c>
      <c r="Q893" s="35" t="str" cm="1">
        <f t="array" ref="Q893">_xlfn.IFS(P893&lt;=0.2,"Low Windspeed",P893&lt;0.4,"Medium Windspeed",P893&gt;=0.41,"High Windspeed")</f>
        <v>Medium Windspeed</v>
      </c>
      <c r="R893" s="35">
        <v>3</v>
      </c>
      <c r="S893" s="35">
        <v>61</v>
      </c>
      <c r="T893" s="40">
        <v>64</v>
      </c>
      <c r="U893" s="39" t="str" cm="1">
        <f t="array" ref="U893">_xlfn.IFS(T893&lt;=70,"Low",T893&lt;=160,"Medium",T893&gt;=161,"High")</f>
        <v>Low</v>
      </c>
    </row>
    <row r="894" spans="1:21" x14ac:dyDescent="0.25">
      <c r="A894" s="33">
        <v>893</v>
      </c>
      <c r="B894" s="34">
        <v>40583</v>
      </c>
      <c r="C894" s="35">
        <v>1</v>
      </c>
      <c r="D894" s="35">
        <v>0</v>
      </c>
      <c r="E894" s="35">
        <v>2</v>
      </c>
      <c r="F894" s="35">
        <v>16</v>
      </c>
      <c r="G894" s="35" t="str" cm="1">
        <f t="array" ref="G894">_xlfn.IFS(F894&lt;4,"Night",F894&lt;=6,"Early Morning",F894&lt;11,"Morning",F894&lt;12,"Afternoon",F894&lt;=16,"Afternoon",F894&lt;=20,"Evening",F894&gt;=21,"Night")</f>
        <v>Afternoon</v>
      </c>
      <c r="H894" s="35" t="b">
        <v>0</v>
      </c>
      <c r="I894" s="35">
        <v>3</v>
      </c>
      <c r="J894" s="35">
        <v>2</v>
      </c>
      <c r="K894" s="35">
        <v>0.2</v>
      </c>
      <c r="L894" s="31" t="str" cm="1">
        <f t="array" ref="L894">_xlfn.IFS(K894&lt;0.15,"Cold",K894&lt;0.25,"Mild",K894&lt;=0.32,"Warm",K894&gt;=0.33,"Hot")</f>
        <v>Mild</v>
      </c>
      <c r="M894" s="35">
        <v>0.19700000000000001</v>
      </c>
      <c r="N894" s="35">
        <v>0.37</v>
      </c>
      <c r="O894" s="35" t="str" cm="1">
        <f t="array" ref="O894">_xlfn.IFS(N894&gt;0.61, "High Humidity", N894&gt;=0.6, "Humid", N894&gt;0.4, "Less Humidity", TRUE, "Dry")</f>
        <v>Dry</v>
      </c>
      <c r="P894" s="35">
        <v>0.25369999999999998</v>
      </c>
      <c r="Q894" s="35" t="str" cm="1">
        <f t="array" ref="Q894">_xlfn.IFS(P894&lt;=0.2,"Low Windspeed",P894&lt;0.4,"Medium Windspeed",P894&gt;=0.41,"High Windspeed")</f>
        <v>Medium Windspeed</v>
      </c>
      <c r="R894" s="35">
        <v>7</v>
      </c>
      <c r="S894" s="35">
        <v>72</v>
      </c>
      <c r="T894" s="40">
        <v>79</v>
      </c>
      <c r="U894" s="39" t="str" cm="1">
        <f t="array" ref="U894">_xlfn.IFS(T894&lt;=70,"Low",T894&lt;=160,"Medium",T894&gt;=161,"High")</f>
        <v>Medium</v>
      </c>
    </row>
    <row r="895" spans="1:21" x14ac:dyDescent="0.25">
      <c r="A895" s="33">
        <v>894</v>
      </c>
      <c r="B895" s="34">
        <v>40583</v>
      </c>
      <c r="C895" s="35">
        <v>1</v>
      </c>
      <c r="D895" s="35">
        <v>0</v>
      </c>
      <c r="E895" s="35">
        <v>2</v>
      </c>
      <c r="F895" s="35">
        <v>17</v>
      </c>
      <c r="G895" s="35" t="str" cm="1">
        <f t="array" ref="G895">_xlfn.IFS(F895&lt;4,"Night",F895&lt;=6,"Early Morning",F895&lt;11,"Morning",F895&lt;12,"Afternoon",F895&lt;=16,"Afternoon",F895&lt;=20,"Evening",F895&gt;=21,"Night")</f>
        <v>Evening</v>
      </c>
      <c r="H895" s="35" t="b">
        <v>0</v>
      </c>
      <c r="I895" s="35">
        <v>3</v>
      </c>
      <c r="J895" s="35">
        <v>2</v>
      </c>
      <c r="K895" s="35">
        <v>0.2</v>
      </c>
      <c r="L895" s="31" t="str" cm="1">
        <f t="array" ref="L895">_xlfn.IFS(K895&lt;0.15,"Cold",K895&lt;0.25,"Mild",K895&lt;=0.32,"Warm",K895&gt;=0.33,"Hot")</f>
        <v>Mild</v>
      </c>
      <c r="M895" s="35">
        <v>0.19700000000000001</v>
      </c>
      <c r="N895" s="35">
        <v>0.34</v>
      </c>
      <c r="O895" s="35" t="str" cm="1">
        <f t="array" ref="O895">_xlfn.IFS(N895&gt;0.61, "High Humidity", N895&gt;=0.6, "Humid", N895&gt;0.4, "Less Humidity", TRUE, "Dry")</f>
        <v>Dry</v>
      </c>
      <c r="P895" s="35">
        <v>0.25369999999999998</v>
      </c>
      <c r="Q895" s="35" t="str" cm="1">
        <f t="array" ref="Q895">_xlfn.IFS(P895&lt;=0.2,"Low Windspeed",P895&lt;0.4,"Medium Windspeed",P895&gt;=0.41,"High Windspeed")</f>
        <v>Medium Windspeed</v>
      </c>
      <c r="R895" s="35">
        <v>9</v>
      </c>
      <c r="S895" s="35">
        <v>157</v>
      </c>
      <c r="T895" s="40">
        <v>166</v>
      </c>
      <c r="U895" s="39" t="str" cm="1">
        <f t="array" ref="U895">_xlfn.IFS(T895&lt;=70,"Low",T895&lt;=160,"Medium",T895&gt;=161,"High")</f>
        <v>High</v>
      </c>
    </row>
    <row r="896" spans="1:21" x14ac:dyDescent="0.25">
      <c r="A896" s="33">
        <v>895</v>
      </c>
      <c r="B896" s="34">
        <v>40583</v>
      </c>
      <c r="C896" s="35">
        <v>1</v>
      </c>
      <c r="D896" s="35">
        <v>0</v>
      </c>
      <c r="E896" s="35">
        <v>2</v>
      </c>
      <c r="F896" s="35">
        <v>18</v>
      </c>
      <c r="G896" s="35" t="str" cm="1">
        <f t="array" ref="G896">_xlfn.IFS(F896&lt;4,"Night",F896&lt;=6,"Early Morning",F896&lt;11,"Morning",F896&lt;12,"Afternoon",F896&lt;=16,"Afternoon",F896&lt;=20,"Evening",F896&gt;=21,"Night")</f>
        <v>Evening</v>
      </c>
      <c r="H896" s="35" t="b">
        <v>0</v>
      </c>
      <c r="I896" s="35">
        <v>3</v>
      </c>
      <c r="J896" s="35">
        <v>2</v>
      </c>
      <c r="K896" s="35">
        <v>0.18</v>
      </c>
      <c r="L896" s="31" t="str" cm="1">
        <f t="array" ref="L896">_xlfn.IFS(K896&lt;0.15,"Cold",K896&lt;0.25,"Mild",K896&lt;=0.32,"Warm",K896&gt;=0.33,"Hot")</f>
        <v>Mild</v>
      </c>
      <c r="M896" s="35">
        <v>0.16669999999999999</v>
      </c>
      <c r="N896" s="35">
        <v>0.47</v>
      </c>
      <c r="O896" s="35" t="str" cm="1">
        <f t="array" ref="O896">_xlfn.IFS(N896&gt;0.61, "High Humidity", N896&gt;=0.6, "Humid", N896&gt;0.4, "Less Humidity", TRUE, "Dry")</f>
        <v>Less Humidity</v>
      </c>
      <c r="P896" s="35">
        <v>0.29849999999999999</v>
      </c>
      <c r="Q896" s="35" t="str" cm="1">
        <f t="array" ref="Q896">_xlfn.IFS(P896&lt;=0.2,"Low Windspeed",P896&lt;0.4,"Medium Windspeed",P896&gt;=0.41,"High Windspeed")</f>
        <v>Medium Windspeed</v>
      </c>
      <c r="R896" s="35">
        <v>2</v>
      </c>
      <c r="S896" s="35">
        <v>168</v>
      </c>
      <c r="T896" s="40">
        <v>170</v>
      </c>
      <c r="U896" s="39" t="str" cm="1">
        <f t="array" ref="U896">_xlfn.IFS(T896&lt;=70,"Low",T896&lt;=160,"Medium",T896&gt;=161,"High")</f>
        <v>High</v>
      </c>
    </row>
    <row r="897" spans="1:21" x14ac:dyDescent="0.25">
      <c r="A897" s="33">
        <v>896</v>
      </c>
      <c r="B897" s="34">
        <v>40583</v>
      </c>
      <c r="C897" s="35">
        <v>1</v>
      </c>
      <c r="D897" s="35">
        <v>0</v>
      </c>
      <c r="E897" s="35">
        <v>2</v>
      </c>
      <c r="F897" s="35">
        <v>19</v>
      </c>
      <c r="G897" s="35" t="str" cm="1">
        <f t="array" ref="G897">_xlfn.IFS(F897&lt;4,"Night",F897&lt;=6,"Early Morning",F897&lt;11,"Morning",F897&lt;12,"Afternoon",F897&lt;=16,"Afternoon",F897&lt;=20,"Evening",F897&gt;=21,"Night")</f>
        <v>Evening</v>
      </c>
      <c r="H897" s="35" t="b">
        <v>0</v>
      </c>
      <c r="I897" s="35">
        <v>3</v>
      </c>
      <c r="J897" s="35">
        <v>3</v>
      </c>
      <c r="K897" s="35">
        <v>0.14000000000000001</v>
      </c>
      <c r="L897" s="31" t="str" cm="1">
        <f t="array" ref="L897">_xlfn.IFS(K897&lt;0.15,"Cold",K897&lt;0.25,"Mild",K897&lt;=0.32,"Warm",K897&gt;=0.33,"Hot")</f>
        <v>Cold</v>
      </c>
      <c r="M897" s="35">
        <v>0.1212</v>
      </c>
      <c r="N897" s="35">
        <v>0.86</v>
      </c>
      <c r="O897" s="35" t="str" cm="1">
        <f t="array" ref="O897">_xlfn.IFS(N897&gt;0.61, "High Humidity", N897&gt;=0.6, "Humid", N897&gt;0.4, "Less Humidity", TRUE, "Dry")</f>
        <v>High Humidity</v>
      </c>
      <c r="P897" s="35">
        <v>0.25369999999999998</v>
      </c>
      <c r="Q897" s="35" t="str" cm="1">
        <f t="array" ref="Q897">_xlfn.IFS(P897&lt;=0.2,"Low Windspeed",P897&lt;0.4,"Medium Windspeed",P897&gt;=0.41,"High Windspeed")</f>
        <v>Medium Windspeed</v>
      </c>
      <c r="R897" s="35">
        <v>1</v>
      </c>
      <c r="S897" s="35">
        <v>87</v>
      </c>
      <c r="T897" s="40">
        <v>88</v>
      </c>
      <c r="U897" s="39" t="str" cm="1">
        <f t="array" ref="U897">_xlfn.IFS(T897&lt;=70,"Low",T897&lt;=160,"Medium",T897&gt;=161,"High")</f>
        <v>Medium</v>
      </c>
    </row>
    <row r="898" spans="1:21" x14ac:dyDescent="0.25">
      <c r="A898" s="33">
        <v>897</v>
      </c>
      <c r="B898" s="34">
        <v>40583</v>
      </c>
      <c r="C898" s="35">
        <v>1</v>
      </c>
      <c r="D898" s="35">
        <v>0</v>
      </c>
      <c r="E898" s="35">
        <v>2</v>
      </c>
      <c r="F898" s="35">
        <v>20</v>
      </c>
      <c r="G898" s="35" t="str" cm="1">
        <f t="array" ref="G898">_xlfn.IFS(F898&lt;4,"Night",F898&lt;=6,"Early Morning",F898&lt;11,"Morning",F898&lt;12,"Afternoon",F898&lt;=16,"Afternoon",F898&lt;=20,"Evening",F898&gt;=21,"Night")</f>
        <v>Evening</v>
      </c>
      <c r="H898" s="35" t="b">
        <v>0</v>
      </c>
      <c r="I898" s="35">
        <v>3</v>
      </c>
      <c r="J898" s="35">
        <v>3</v>
      </c>
      <c r="K898" s="35">
        <v>0.14000000000000001</v>
      </c>
      <c r="L898" s="31" t="str" cm="1">
        <f t="array" ref="L898">_xlfn.IFS(K898&lt;0.15,"Cold",K898&lt;0.25,"Mild",K898&lt;=0.32,"Warm",K898&gt;=0.33,"Hot")</f>
        <v>Cold</v>
      </c>
      <c r="M898" s="35">
        <v>0.1515</v>
      </c>
      <c r="N898" s="35">
        <v>0.86</v>
      </c>
      <c r="O898" s="35" t="str" cm="1">
        <f t="array" ref="O898">_xlfn.IFS(N898&gt;0.61, "High Humidity", N898&gt;=0.6, "Humid", N898&gt;0.4, "Less Humidity", TRUE, "Dry")</f>
        <v>High Humidity</v>
      </c>
      <c r="P898" s="35">
        <v>0.16420000000000001</v>
      </c>
      <c r="Q898" s="35" t="str" cm="1">
        <f t="array" ref="Q898">_xlfn.IFS(P898&lt;=0.2,"Low Windspeed",P898&lt;0.4,"Medium Windspeed",P898&gt;=0.41,"High Windspeed")</f>
        <v>Low Windspeed</v>
      </c>
      <c r="R898" s="35">
        <v>0</v>
      </c>
      <c r="S898" s="35">
        <v>84</v>
      </c>
      <c r="T898" s="40">
        <v>84</v>
      </c>
      <c r="U898" s="39" t="str" cm="1">
        <f t="array" ref="U898">_xlfn.IFS(T898&lt;=70,"Low",T898&lt;=160,"Medium",T898&gt;=161,"High")</f>
        <v>Medium</v>
      </c>
    </row>
    <row r="899" spans="1:21" x14ac:dyDescent="0.25">
      <c r="A899" s="33">
        <v>898</v>
      </c>
      <c r="B899" s="34">
        <v>40583</v>
      </c>
      <c r="C899" s="35">
        <v>1</v>
      </c>
      <c r="D899" s="35">
        <v>0</v>
      </c>
      <c r="E899" s="35">
        <v>2</v>
      </c>
      <c r="F899" s="35">
        <v>21</v>
      </c>
      <c r="G899" s="35" t="str" cm="1">
        <f t="array" ref="G899">_xlfn.IFS(F899&lt;4,"Night",F899&lt;=6,"Early Morning",F899&lt;11,"Morning",F899&lt;12,"Afternoon",F899&lt;=16,"Afternoon",F899&lt;=20,"Evening",F899&gt;=21,"Night")</f>
        <v>Night</v>
      </c>
      <c r="H899" s="35" t="b">
        <v>0</v>
      </c>
      <c r="I899" s="35">
        <v>3</v>
      </c>
      <c r="J899" s="35">
        <v>2</v>
      </c>
      <c r="K899" s="35">
        <v>0.14000000000000001</v>
      </c>
      <c r="L899" s="31" t="str" cm="1">
        <f t="array" ref="L899">_xlfn.IFS(K899&lt;0.15,"Cold",K899&lt;0.25,"Mild",K899&lt;=0.32,"Warm",K899&gt;=0.33,"Hot")</f>
        <v>Cold</v>
      </c>
      <c r="M899" s="35">
        <v>0.1515</v>
      </c>
      <c r="N899" s="35">
        <v>0.86</v>
      </c>
      <c r="O899" s="35" t="str" cm="1">
        <f t="array" ref="O899">_xlfn.IFS(N899&gt;0.61, "High Humidity", N899&gt;=0.6, "Humid", N899&gt;0.4, "Less Humidity", TRUE, "Dry")</f>
        <v>High Humidity</v>
      </c>
      <c r="P899" s="35">
        <v>0.16420000000000001</v>
      </c>
      <c r="Q899" s="35" t="str" cm="1">
        <f t="array" ref="Q899">_xlfn.IFS(P899&lt;=0.2,"Low Windspeed",P899&lt;0.4,"Medium Windspeed",P899&gt;=0.41,"High Windspeed")</f>
        <v>Low Windspeed</v>
      </c>
      <c r="R899" s="35">
        <v>0</v>
      </c>
      <c r="S899" s="35">
        <v>83</v>
      </c>
      <c r="T899" s="40">
        <v>83</v>
      </c>
      <c r="U899" s="39" t="str" cm="1">
        <f t="array" ref="U899">_xlfn.IFS(T899&lt;=70,"Low",T899&lt;=160,"Medium",T899&gt;=161,"High")</f>
        <v>Medium</v>
      </c>
    </row>
    <row r="900" spans="1:21" x14ac:dyDescent="0.25">
      <c r="A900" s="33">
        <v>899</v>
      </c>
      <c r="B900" s="34">
        <v>40583</v>
      </c>
      <c r="C900" s="35">
        <v>1</v>
      </c>
      <c r="D900" s="35">
        <v>0</v>
      </c>
      <c r="E900" s="35">
        <v>2</v>
      </c>
      <c r="F900" s="35">
        <v>22</v>
      </c>
      <c r="G900" s="35" t="str" cm="1">
        <f t="array" ref="G900">_xlfn.IFS(F900&lt;4,"Night",F900&lt;=6,"Early Morning",F900&lt;11,"Morning",F900&lt;12,"Afternoon",F900&lt;=16,"Afternoon",F900&lt;=20,"Evening",F900&gt;=21,"Night")</f>
        <v>Night</v>
      </c>
      <c r="H900" s="35" t="b">
        <v>0</v>
      </c>
      <c r="I900" s="35">
        <v>3</v>
      </c>
      <c r="J900" s="35">
        <v>3</v>
      </c>
      <c r="K900" s="35">
        <v>0.16</v>
      </c>
      <c r="L900" s="31" t="str" cm="1">
        <f t="array" ref="L900">_xlfn.IFS(K900&lt;0.15,"Cold",K900&lt;0.25,"Mild",K900&lt;=0.32,"Warm",K900&gt;=0.33,"Hot")</f>
        <v>Mild</v>
      </c>
      <c r="M900" s="35">
        <v>0.16669999999999999</v>
      </c>
      <c r="N900" s="35">
        <v>0.8</v>
      </c>
      <c r="O900" s="35" t="str" cm="1">
        <f t="array" ref="O900">_xlfn.IFS(N900&gt;0.61, "High Humidity", N900&gt;=0.6, "Humid", N900&gt;0.4, "Less Humidity", TRUE, "Dry")</f>
        <v>High Humidity</v>
      </c>
      <c r="P900" s="35">
        <v>0.16420000000000001</v>
      </c>
      <c r="Q900" s="35" t="str" cm="1">
        <f t="array" ref="Q900">_xlfn.IFS(P900&lt;=0.2,"Low Windspeed",P900&lt;0.4,"Medium Windspeed",P900&gt;=0.41,"High Windspeed")</f>
        <v>Low Windspeed</v>
      </c>
      <c r="R900" s="35">
        <v>4</v>
      </c>
      <c r="S900" s="35">
        <v>42</v>
      </c>
      <c r="T900" s="40">
        <v>46</v>
      </c>
      <c r="U900" s="39" t="str" cm="1">
        <f t="array" ref="U900">_xlfn.IFS(T900&lt;=70,"Low",T900&lt;=160,"Medium",T900&gt;=161,"High")</f>
        <v>Low</v>
      </c>
    </row>
    <row r="901" spans="1:21" x14ac:dyDescent="0.25">
      <c r="A901" s="33">
        <v>900</v>
      </c>
      <c r="B901" s="34">
        <v>40583</v>
      </c>
      <c r="C901" s="35">
        <v>1</v>
      </c>
      <c r="D901" s="35">
        <v>0</v>
      </c>
      <c r="E901" s="35">
        <v>2</v>
      </c>
      <c r="F901" s="35">
        <v>23</v>
      </c>
      <c r="G901" s="35" t="str" cm="1">
        <f t="array" ref="G901">_xlfn.IFS(F901&lt;4,"Night",F901&lt;=6,"Early Morning",F901&lt;11,"Morning",F901&lt;12,"Afternoon",F901&lt;=16,"Afternoon",F901&lt;=20,"Evening",F901&gt;=21,"Night")</f>
        <v>Night</v>
      </c>
      <c r="H901" s="35" t="b">
        <v>0</v>
      </c>
      <c r="I901" s="35">
        <v>3</v>
      </c>
      <c r="J901" s="35">
        <v>3</v>
      </c>
      <c r="K901" s="35">
        <v>0.16</v>
      </c>
      <c r="L901" s="31" t="str" cm="1">
        <f t="array" ref="L901">_xlfn.IFS(K901&lt;0.15,"Cold",K901&lt;0.25,"Mild",K901&lt;=0.32,"Warm",K901&gt;=0.33,"Hot")</f>
        <v>Mild</v>
      </c>
      <c r="M901" s="35">
        <v>0.1515</v>
      </c>
      <c r="N901" s="35">
        <v>0.8</v>
      </c>
      <c r="O901" s="35" t="str" cm="1">
        <f t="array" ref="O901">_xlfn.IFS(N901&gt;0.61, "High Humidity", N901&gt;=0.6, "Humid", N901&gt;0.4, "Less Humidity", TRUE, "Dry")</f>
        <v>High Humidity</v>
      </c>
      <c r="P901" s="35">
        <v>0.19400000000000001</v>
      </c>
      <c r="Q901" s="35" t="str" cm="1">
        <f t="array" ref="Q901">_xlfn.IFS(P901&lt;=0.2,"Low Windspeed",P901&lt;0.4,"Medium Windspeed",P901&gt;=0.41,"High Windspeed")</f>
        <v>Low Windspeed</v>
      </c>
      <c r="R901" s="35">
        <v>0</v>
      </c>
      <c r="S901" s="35">
        <v>37</v>
      </c>
      <c r="T901" s="40">
        <v>37</v>
      </c>
      <c r="U901" s="39" t="str" cm="1">
        <f t="array" ref="U901">_xlfn.IFS(T901&lt;=70,"Low",T901&lt;=160,"Medium",T901&gt;=161,"High")</f>
        <v>Low</v>
      </c>
    </row>
    <row r="902" spans="1:21" x14ac:dyDescent="0.25">
      <c r="A902" s="33">
        <v>901</v>
      </c>
      <c r="B902" s="34">
        <v>40584</v>
      </c>
      <c r="C902" s="35">
        <v>1</v>
      </c>
      <c r="D902" s="35">
        <v>0</v>
      </c>
      <c r="E902" s="35">
        <v>2</v>
      </c>
      <c r="F902" s="35">
        <v>0</v>
      </c>
      <c r="G902" s="35" t="str" cm="1">
        <f t="array" ref="G902">_xlfn.IFS(F902&lt;4,"Night",F902&lt;=6,"Early Morning",F902&lt;11,"Morning",F902&lt;12,"Afternoon",F902&lt;=16,"Afternoon",F902&lt;=20,"Evening",F902&gt;=21,"Night")</f>
        <v>Night</v>
      </c>
      <c r="H902" s="35" t="b">
        <v>0</v>
      </c>
      <c r="I902" s="35">
        <v>4</v>
      </c>
      <c r="J902" s="35">
        <v>3</v>
      </c>
      <c r="K902" s="35">
        <v>0.14000000000000001</v>
      </c>
      <c r="L902" s="31" t="str" cm="1">
        <f t="array" ref="L902">_xlfn.IFS(K902&lt;0.15,"Cold",K902&lt;0.25,"Mild",K902&lt;=0.32,"Warm",K902&gt;=0.33,"Hot")</f>
        <v>Cold</v>
      </c>
      <c r="M902" s="35">
        <v>0.13639999999999999</v>
      </c>
      <c r="N902" s="35">
        <v>0.86</v>
      </c>
      <c r="O902" s="35" t="str" cm="1">
        <f t="array" ref="O902">_xlfn.IFS(N902&gt;0.61, "High Humidity", N902&gt;=0.6, "Humid", N902&gt;0.4, "Less Humidity", TRUE, "Dry")</f>
        <v>High Humidity</v>
      </c>
      <c r="P902" s="35">
        <v>0.19400000000000001</v>
      </c>
      <c r="Q902" s="35" t="str" cm="1">
        <f t="array" ref="Q902">_xlfn.IFS(P902&lt;=0.2,"Low Windspeed",P902&lt;0.4,"Medium Windspeed",P902&gt;=0.41,"High Windspeed")</f>
        <v>Low Windspeed</v>
      </c>
      <c r="R902" s="35">
        <v>0</v>
      </c>
      <c r="S902" s="35">
        <v>16</v>
      </c>
      <c r="T902" s="40">
        <v>16</v>
      </c>
      <c r="U902" s="39" t="str" cm="1">
        <f t="array" ref="U902">_xlfn.IFS(T902&lt;=70,"Low",T902&lt;=160,"Medium",T902&gt;=161,"High")</f>
        <v>Low</v>
      </c>
    </row>
    <row r="903" spans="1:21" x14ac:dyDescent="0.25">
      <c r="A903" s="33">
        <v>902</v>
      </c>
      <c r="B903" s="34">
        <v>40584</v>
      </c>
      <c r="C903" s="35">
        <v>1</v>
      </c>
      <c r="D903" s="35">
        <v>0</v>
      </c>
      <c r="E903" s="35">
        <v>2</v>
      </c>
      <c r="F903" s="35">
        <v>1</v>
      </c>
      <c r="G903" s="35" t="str" cm="1">
        <f t="array" ref="G903">_xlfn.IFS(F903&lt;4,"Night",F903&lt;=6,"Early Morning",F903&lt;11,"Morning",F903&lt;12,"Afternoon",F903&lt;=16,"Afternoon",F903&lt;=20,"Evening",F903&gt;=21,"Night")</f>
        <v>Night</v>
      </c>
      <c r="H903" s="35" t="b">
        <v>0</v>
      </c>
      <c r="I903" s="35">
        <v>4</v>
      </c>
      <c r="J903" s="35">
        <v>3</v>
      </c>
      <c r="K903" s="35">
        <v>0.14000000000000001</v>
      </c>
      <c r="L903" s="31" t="str" cm="1">
        <f t="array" ref="L903">_xlfn.IFS(K903&lt;0.15,"Cold",K903&lt;0.25,"Mild",K903&lt;=0.32,"Warm",K903&gt;=0.33,"Hot")</f>
        <v>Cold</v>
      </c>
      <c r="M903" s="35">
        <v>0.1515</v>
      </c>
      <c r="N903" s="35">
        <v>0.8</v>
      </c>
      <c r="O903" s="35" t="str" cm="1">
        <f t="array" ref="O903">_xlfn.IFS(N903&gt;0.61, "High Humidity", N903&gt;=0.6, "Humid", N903&gt;0.4, "Less Humidity", TRUE, "Dry")</f>
        <v>High Humidity</v>
      </c>
      <c r="P903" s="35">
        <v>0.1343</v>
      </c>
      <c r="Q903" s="35" t="str" cm="1">
        <f t="array" ref="Q903">_xlfn.IFS(P903&lt;=0.2,"Low Windspeed",P903&lt;0.4,"Medium Windspeed",P903&gt;=0.41,"High Windspeed")</f>
        <v>Low Windspeed</v>
      </c>
      <c r="R903" s="35">
        <v>0</v>
      </c>
      <c r="S903" s="35">
        <v>7</v>
      </c>
      <c r="T903" s="40">
        <v>7</v>
      </c>
      <c r="U903" s="39" t="str" cm="1">
        <f t="array" ref="U903">_xlfn.IFS(T903&lt;=70,"Low",T903&lt;=160,"Medium",T903&gt;=161,"High")</f>
        <v>Low</v>
      </c>
    </row>
    <row r="904" spans="1:21" x14ac:dyDescent="0.25">
      <c r="A904" s="33">
        <v>903</v>
      </c>
      <c r="B904" s="34">
        <v>40584</v>
      </c>
      <c r="C904" s="35">
        <v>1</v>
      </c>
      <c r="D904" s="35">
        <v>0</v>
      </c>
      <c r="E904" s="35">
        <v>2</v>
      </c>
      <c r="F904" s="35">
        <v>2</v>
      </c>
      <c r="G904" s="35" t="str" cm="1">
        <f t="array" ref="G904">_xlfn.IFS(F904&lt;4,"Night",F904&lt;=6,"Early Morning",F904&lt;11,"Morning",F904&lt;12,"Afternoon",F904&lt;=16,"Afternoon",F904&lt;=20,"Evening",F904&gt;=21,"Night")</f>
        <v>Night</v>
      </c>
      <c r="H904" s="35" t="b">
        <v>0</v>
      </c>
      <c r="I904" s="35">
        <v>4</v>
      </c>
      <c r="J904" s="35">
        <v>3</v>
      </c>
      <c r="K904" s="35">
        <v>0.14000000000000001</v>
      </c>
      <c r="L904" s="31" t="str" cm="1">
        <f t="array" ref="L904">_xlfn.IFS(K904&lt;0.15,"Cold",K904&lt;0.25,"Mild",K904&lt;=0.32,"Warm",K904&gt;=0.33,"Hot")</f>
        <v>Cold</v>
      </c>
      <c r="M904" s="35">
        <v>0.1515</v>
      </c>
      <c r="N904" s="35">
        <v>0.8</v>
      </c>
      <c r="O904" s="35" t="str" cm="1">
        <f t="array" ref="O904">_xlfn.IFS(N904&gt;0.61, "High Humidity", N904&gt;=0.6, "Humid", N904&gt;0.4, "Less Humidity", TRUE, "Dry")</f>
        <v>High Humidity</v>
      </c>
      <c r="P904" s="35">
        <v>0.1343</v>
      </c>
      <c r="Q904" s="35" t="str" cm="1">
        <f t="array" ref="Q904">_xlfn.IFS(P904&lt;=0.2,"Low Windspeed",P904&lt;0.4,"Medium Windspeed",P904&gt;=0.41,"High Windspeed")</f>
        <v>Low Windspeed</v>
      </c>
      <c r="R904" s="35">
        <v>0</v>
      </c>
      <c r="S904" s="35">
        <v>3</v>
      </c>
      <c r="T904" s="40">
        <v>3</v>
      </c>
      <c r="U904" s="39" t="str" cm="1">
        <f t="array" ref="U904">_xlfn.IFS(T904&lt;=70,"Low",T904&lt;=160,"Medium",T904&gt;=161,"High")</f>
        <v>Low</v>
      </c>
    </row>
    <row r="905" spans="1:21" x14ac:dyDescent="0.25">
      <c r="A905" s="33">
        <v>904</v>
      </c>
      <c r="B905" s="34">
        <v>40584</v>
      </c>
      <c r="C905" s="35">
        <v>1</v>
      </c>
      <c r="D905" s="35">
        <v>0</v>
      </c>
      <c r="E905" s="35">
        <v>2</v>
      </c>
      <c r="F905" s="35">
        <v>4</v>
      </c>
      <c r="G905" s="35" t="str" cm="1">
        <f t="array" ref="G905">_xlfn.IFS(F905&lt;4,"Night",F905&lt;=6,"Early Morning",F905&lt;11,"Morning",F905&lt;12,"Afternoon",F905&lt;=16,"Afternoon",F905&lt;=20,"Evening",F905&gt;=21,"Night")</f>
        <v>Early Morning</v>
      </c>
      <c r="H905" s="35" t="b">
        <v>0</v>
      </c>
      <c r="I905" s="35">
        <v>4</v>
      </c>
      <c r="J905" s="35">
        <v>2</v>
      </c>
      <c r="K905" s="35">
        <v>0.14000000000000001</v>
      </c>
      <c r="L905" s="31" t="str" cm="1">
        <f t="array" ref="L905">_xlfn.IFS(K905&lt;0.15,"Cold",K905&lt;0.25,"Mild",K905&lt;=0.32,"Warm",K905&gt;=0.33,"Hot")</f>
        <v>Cold</v>
      </c>
      <c r="M905" s="35">
        <v>0.13639999999999999</v>
      </c>
      <c r="N905" s="35">
        <v>0.59</v>
      </c>
      <c r="O905" s="35" t="str" cm="1">
        <f t="array" ref="O905">_xlfn.IFS(N905&gt;0.61, "High Humidity", N905&gt;=0.6, "Humid", N905&gt;0.4, "Less Humidity", TRUE, "Dry")</f>
        <v>Less Humidity</v>
      </c>
      <c r="P905" s="35">
        <v>0.22389999999999999</v>
      </c>
      <c r="Q905" s="35" t="str" cm="1">
        <f t="array" ref="Q905">_xlfn.IFS(P905&lt;=0.2,"Low Windspeed",P905&lt;0.4,"Medium Windspeed",P905&gt;=0.41,"High Windspeed")</f>
        <v>Medium Windspeed</v>
      </c>
      <c r="R905" s="35">
        <v>0</v>
      </c>
      <c r="S905" s="35">
        <v>1</v>
      </c>
      <c r="T905" s="40">
        <v>1</v>
      </c>
      <c r="U905" s="39" t="str" cm="1">
        <f t="array" ref="U905">_xlfn.IFS(T905&lt;=70,"Low",T905&lt;=160,"Medium",T905&gt;=161,"High")</f>
        <v>Low</v>
      </c>
    </row>
    <row r="906" spans="1:21" x14ac:dyDescent="0.25">
      <c r="A906" s="33">
        <v>905</v>
      </c>
      <c r="B906" s="34">
        <v>40584</v>
      </c>
      <c r="C906" s="35">
        <v>1</v>
      </c>
      <c r="D906" s="35">
        <v>0</v>
      </c>
      <c r="E906" s="35">
        <v>2</v>
      </c>
      <c r="F906" s="35">
        <v>5</v>
      </c>
      <c r="G906" s="35" t="str" cm="1">
        <f t="array" ref="G906">_xlfn.IFS(F906&lt;4,"Night",F906&lt;=6,"Early Morning",F906&lt;11,"Morning",F906&lt;12,"Afternoon",F906&lt;=16,"Afternoon",F906&lt;=20,"Evening",F906&gt;=21,"Night")</f>
        <v>Early Morning</v>
      </c>
      <c r="H906" s="35" t="b">
        <v>0</v>
      </c>
      <c r="I906" s="35">
        <v>4</v>
      </c>
      <c r="J906" s="35">
        <v>2</v>
      </c>
      <c r="K906" s="35">
        <v>0.12</v>
      </c>
      <c r="L906" s="31" t="str" cm="1">
        <f t="array" ref="L906">_xlfn.IFS(K906&lt;0.15,"Cold",K906&lt;0.25,"Mild",K906&lt;=0.32,"Warm",K906&gt;=0.33,"Hot")</f>
        <v>Cold</v>
      </c>
      <c r="M906" s="35">
        <v>0.1212</v>
      </c>
      <c r="N906" s="35">
        <v>0.5</v>
      </c>
      <c r="O906" s="35" t="str" cm="1">
        <f t="array" ref="O906">_xlfn.IFS(N906&gt;0.61, "High Humidity", N906&gt;=0.6, "Humid", N906&gt;0.4, "Less Humidity", TRUE, "Dry")</f>
        <v>Less Humidity</v>
      </c>
      <c r="P906" s="35">
        <v>0.22389999999999999</v>
      </c>
      <c r="Q906" s="35" t="str" cm="1">
        <f t="array" ref="Q906">_xlfn.IFS(P906&lt;=0.2,"Low Windspeed",P906&lt;0.4,"Medium Windspeed",P906&gt;=0.41,"High Windspeed")</f>
        <v>Medium Windspeed</v>
      </c>
      <c r="R906" s="35">
        <v>0</v>
      </c>
      <c r="S906" s="35">
        <v>6</v>
      </c>
      <c r="T906" s="40">
        <v>6</v>
      </c>
      <c r="U906" s="39" t="str" cm="1">
        <f t="array" ref="U906">_xlfn.IFS(T906&lt;=70,"Low",T906&lt;=160,"Medium",T906&gt;=161,"High")</f>
        <v>Low</v>
      </c>
    </row>
    <row r="907" spans="1:21" x14ac:dyDescent="0.25">
      <c r="A907" s="33">
        <v>906</v>
      </c>
      <c r="B907" s="34">
        <v>40584</v>
      </c>
      <c r="C907" s="35">
        <v>1</v>
      </c>
      <c r="D907" s="35">
        <v>0</v>
      </c>
      <c r="E907" s="35">
        <v>2</v>
      </c>
      <c r="F907" s="35">
        <v>6</v>
      </c>
      <c r="G907" s="35" t="str" cm="1">
        <f t="array" ref="G907">_xlfn.IFS(F907&lt;4,"Night",F907&lt;=6,"Early Morning",F907&lt;11,"Morning",F907&lt;12,"Afternoon",F907&lt;=16,"Afternoon",F907&lt;=20,"Evening",F907&gt;=21,"Night")</f>
        <v>Early Morning</v>
      </c>
      <c r="H907" s="35" t="b">
        <v>0</v>
      </c>
      <c r="I907" s="35">
        <v>4</v>
      </c>
      <c r="J907" s="35">
        <v>2</v>
      </c>
      <c r="K907" s="35">
        <v>0.12</v>
      </c>
      <c r="L907" s="31" t="str" cm="1">
        <f t="array" ref="L907">_xlfn.IFS(K907&lt;0.15,"Cold",K907&lt;0.25,"Mild",K907&lt;=0.32,"Warm",K907&gt;=0.33,"Hot")</f>
        <v>Cold</v>
      </c>
      <c r="M907" s="35">
        <v>0.1212</v>
      </c>
      <c r="N907" s="35">
        <v>0.54</v>
      </c>
      <c r="O907" s="35" t="str" cm="1">
        <f t="array" ref="O907">_xlfn.IFS(N907&gt;0.61, "High Humidity", N907&gt;=0.6, "Humid", N907&gt;0.4, "Less Humidity", TRUE, "Dry")</f>
        <v>Less Humidity</v>
      </c>
      <c r="P907" s="35">
        <v>0.28360000000000002</v>
      </c>
      <c r="Q907" s="35" t="str" cm="1">
        <f t="array" ref="Q907">_xlfn.IFS(P907&lt;=0.2,"Low Windspeed",P907&lt;0.4,"Medium Windspeed",P907&gt;=0.41,"High Windspeed")</f>
        <v>Medium Windspeed</v>
      </c>
      <c r="R907" s="35">
        <v>0</v>
      </c>
      <c r="S907" s="35">
        <v>26</v>
      </c>
      <c r="T907" s="40">
        <v>26</v>
      </c>
      <c r="U907" s="39" t="str" cm="1">
        <f t="array" ref="U907">_xlfn.IFS(T907&lt;=70,"Low",T907&lt;=160,"Medium",T907&gt;=161,"High")</f>
        <v>Low</v>
      </c>
    </row>
    <row r="908" spans="1:21" x14ac:dyDescent="0.25">
      <c r="A908" s="33">
        <v>907</v>
      </c>
      <c r="B908" s="34">
        <v>40584</v>
      </c>
      <c r="C908" s="35">
        <v>1</v>
      </c>
      <c r="D908" s="35">
        <v>0</v>
      </c>
      <c r="E908" s="35">
        <v>2</v>
      </c>
      <c r="F908" s="35">
        <v>7</v>
      </c>
      <c r="G908" s="35" t="str" cm="1">
        <f t="array" ref="G908">_xlfn.IFS(F908&lt;4,"Night",F908&lt;=6,"Early Morning",F908&lt;11,"Morning",F908&lt;12,"Afternoon",F908&lt;=16,"Afternoon",F908&lt;=20,"Evening",F908&gt;=21,"Night")</f>
        <v>Morning</v>
      </c>
      <c r="H908" s="35" t="b">
        <v>0</v>
      </c>
      <c r="I908" s="35">
        <v>4</v>
      </c>
      <c r="J908" s="35">
        <v>1</v>
      </c>
      <c r="K908" s="35">
        <v>0.1</v>
      </c>
      <c r="L908" s="31" t="str" cm="1">
        <f t="array" ref="L908">_xlfn.IFS(K908&lt;0.15,"Cold",K908&lt;0.25,"Mild",K908&lt;=0.32,"Warm",K908&gt;=0.33,"Hot")</f>
        <v>Cold</v>
      </c>
      <c r="M908" s="35">
        <v>7.5800000000000006E-2</v>
      </c>
      <c r="N908" s="35">
        <v>0.5</v>
      </c>
      <c r="O908" s="35" t="str" cm="1">
        <f t="array" ref="O908">_xlfn.IFS(N908&gt;0.61, "High Humidity", N908&gt;=0.6, "Humid", N908&gt;0.4, "Less Humidity", TRUE, "Dry")</f>
        <v>Less Humidity</v>
      </c>
      <c r="P908" s="35">
        <v>0.41789999999999999</v>
      </c>
      <c r="Q908" s="35" t="str" cm="1">
        <f t="array" ref="Q908">_xlfn.IFS(P908&lt;=0.2,"Low Windspeed",P908&lt;0.4,"Medium Windspeed",P908&gt;=0.41,"High Windspeed")</f>
        <v>High Windspeed</v>
      </c>
      <c r="R908" s="35">
        <v>0</v>
      </c>
      <c r="S908" s="35">
        <v>99</v>
      </c>
      <c r="T908" s="40">
        <v>99</v>
      </c>
      <c r="U908" s="39" t="str" cm="1">
        <f t="array" ref="U908">_xlfn.IFS(T908&lt;=70,"Low",T908&lt;=160,"Medium",T908&gt;=161,"High")</f>
        <v>Medium</v>
      </c>
    </row>
    <row r="909" spans="1:21" x14ac:dyDescent="0.25">
      <c r="A909" s="33">
        <v>908</v>
      </c>
      <c r="B909" s="34">
        <v>40584</v>
      </c>
      <c r="C909" s="35">
        <v>1</v>
      </c>
      <c r="D909" s="35">
        <v>0</v>
      </c>
      <c r="E909" s="35">
        <v>2</v>
      </c>
      <c r="F909" s="35">
        <v>8</v>
      </c>
      <c r="G909" s="35" t="str" cm="1">
        <f t="array" ref="G909">_xlfn.IFS(F909&lt;4,"Night",F909&lt;=6,"Early Morning",F909&lt;11,"Morning",F909&lt;12,"Afternoon",F909&lt;=16,"Afternoon",F909&lt;=20,"Evening",F909&gt;=21,"Night")</f>
        <v>Morning</v>
      </c>
      <c r="H909" s="35" t="b">
        <v>0</v>
      </c>
      <c r="I909" s="35">
        <v>4</v>
      </c>
      <c r="J909" s="35">
        <v>1</v>
      </c>
      <c r="K909" s="35">
        <v>0.1</v>
      </c>
      <c r="L909" s="31" t="str" cm="1">
        <f t="array" ref="L909">_xlfn.IFS(K909&lt;0.15,"Cold",K909&lt;0.25,"Mild",K909&lt;=0.32,"Warm",K909&gt;=0.33,"Hot")</f>
        <v>Cold</v>
      </c>
      <c r="M909" s="35">
        <v>7.5800000000000006E-2</v>
      </c>
      <c r="N909" s="35">
        <v>0.49</v>
      </c>
      <c r="O909" s="35" t="str" cm="1">
        <f t="array" ref="O909">_xlfn.IFS(N909&gt;0.61, "High Humidity", N909&gt;=0.6, "Humid", N909&gt;0.4, "Less Humidity", TRUE, "Dry")</f>
        <v>Less Humidity</v>
      </c>
      <c r="P909" s="35">
        <v>0.32840000000000003</v>
      </c>
      <c r="Q909" s="35" t="str" cm="1">
        <f t="array" ref="Q909">_xlfn.IFS(P909&lt;=0.2,"Low Windspeed",P909&lt;0.4,"Medium Windspeed",P909&gt;=0.41,"High Windspeed")</f>
        <v>Medium Windspeed</v>
      </c>
      <c r="R909" s="35">
        <v>5</v>
      </c>
      <c r="S909" s="35">
        <v>173</v>
      </c>
      <c r="T909" s="40">
        <v>178</v>
      </c>
      <c r="U909" s="39" t="str" cm="1">
        <f t="array" ref="U909">_xlfn.IFS(T909&lt;=70,"Low",T909&lt;=160,"Medium",T909&gt;=161,"High")</f>
        <v>High</v>
      </c>
    </row>
    <row r="910" spans="1:21" x14ac:dyDescent="0.25">
      <c r="A910" s="33">
        <v>909</v>
      </c>
      <c r="B910" s="34">
        <v>40584</v>
      </c>
      <c r="C910" s="35">
        <v>1</v>
      </c>
      <c r="D910" s="35">
        <v>0</v>
      </c>
      <c r="E910" s="35">
        <v>2</v>
      </c>
      <c r="F910" s="35">
        <v>9</v>
      </c>
      <c r="G910" s="35" t="str" cm="1">
        <f t="array" ref="G910">_xlfn.IFS(F910&lt;4,"Night",F910&lt;=6,"Early Morning",F910&lt;11,"Morning",F910&lt;12,"Afternoon",F910&lt;=16,"Afternoon",F910&lt;=20,"Evening",F910&gt;=21,"Night")</f>
        <v>Morning</v>
      </c>
      <c r="H910" s="35" t="b">
        <v>0</v>
      </c>
      <c r="I910" s="35">
        <v>4</v>
      </c>
      <c r="J910" s="35">
        <v>1</v>
      </c>
      <c r="K910" s="35">
        <v>0.12</v>
      </c>
      <c r="L910" s="31" t="str" cm="1">
        <f t="array" ref="L910">_xlfn.IFS(K910&lt;0.15,"Cold",K910&lt;0.25,"Mild",K910&lt;=0.32,"Warm",K910&gt;=0.33,"Hot")</f>
        <v>Cold</v>
      </c>
      <c r="M910" s="35">
        <v>0.1061</v>
      </c>
      <c r="N910" s="35">
        <v>0.42</v>
      </c>
      <c r="O910" s="35" t="str" cm="1">
        <f t="array" ref="O910">_xlfn.IFS(N910&gt;0.61, "High Humidity", N910&gt;=0.6, "Humid", N910&gt;0.4, "Less Humidity", TRUE, "Dry")</f>
        <v>Less Humidity</v>
      </c>
      <c r="P910" s="35">
        <v>0.35820000000000002</v>
      </c>
      <c r="Q910" s="35" t="str" cm="1">
        <f t="array" ref="Q910">_xlfn.IFS(P910&lt;=0.2,"Low Windspeed",P910&lt;0.4,"Medium Windspeed",P910&gt;=0.41,"High Windspeed")</f>
        <v>Medium Windspeed</v>
      </c>
      <c r="R910" s="35">
        <v>1</v>
      </c>
      <c r="S910" s="35">
        <v>121</v>
      </c>
      <c r="T910" s="40">
        <v>122</v>
      </c>
      <c r="U910" s="39" t="str" cm="1">
        <f t="array" ref="U910">_xlfn.IFS(T910&lt;=70,"Low",T910&lt;=160,"Medium",T910&gt;=161,"High")</f>
        <v>Medium</v>
      </c>
    </row>
    <row r="911" spans="1:21" x14ac:dyDescent="0.25">
      <c r="A911" s="33">
        <v>910</v>
      </c>
      <c r="B911" s="34">
        <v>40584</v>
      </c>
      <c r="C911" s="35">
        <v>1</v>
      </c>
      <c r="D911" s="35">
        <v>0</v>
      </c>
      <c r="E911" s="35">
        <v>2</v>
      </c>
      <c r="F911" s="35">
        <v>10</v>
      </c>
      <c r="G911" s="35" t="str" cm="1">
        <f t="array" ref="G911">_xlfn.IFS(F911&lt;4,"Night",F911&lt;=6,"Early Morning",F911&lt;11,"Morning",F911&lt;12,"Afternoon",F911&lt;=16,"Afternoon",F911&lt;=20,"Evening",F911&gt;=21,"Night")</f>
        <v>Morning</v>
      </c>
      <c r="H911" s="35" t="b">
        <v>0</v>
      </c>
      <c r="I911" s="35">
        <v>4</v>
      </c>
      <c r="J911" s="35">
        <v>1</v>
      </c>
      <c r="K911" s="35">
        <v>0.12</v>
      </c>
      <c r="L911" s="31" t="str" cm="1">
        <f t="array" ref="L911">_xlfn.IFS(K911&lt;0.15,"Cold",K911&lt;0.25,"Mild",K911&lt;=0.32,"Warm",K911&gt;=0.33,"Hot")</f>
        <v>Cold</v>
      </c>
      <c r="M911" s="35">
        <v>0.1061</v>
      </c>
      <c r="N911" s="35">
        <v>0.42</v>
      </c>
      <c r="O911" s="35" t="str" cm="1">
        <f t="array" ref="O911">_xlfn.IFS(N911&gt;0.61, "High Humidity", N911&gt;=0.6, "Humid", N911&gt;0.4, "Less Humidity", TRUE, "Dry")</f>
        <v>Less Humidity</v>
      </c>
      <c r="P911" s="35">
        <v>0.29849999999999999</v>
      </c>
      <c r="Q911" s="35" t="str" cm="1">
        <f t="array" ref="Q911">_xlfn.IFS(P911&lt;=0.2,"Low Windspeed",P911&lt;0.4,"Medium Windspeed",P911&gt;=0.41,"High Windspeed")</f>
        <v>Medium Windspeed</v>
      </c>
      <c r="R911" s="35">
        <v>1</v>
      </c>
      <c r="S911" s="35">
        <v>34</v>
      </c>
      <c r="T911" s="40">
        <v>35</v>
      </c>
      <c r="U911" s="39" t="str" cm="1">
        <f t="array" ref="U911">_xlfn.IFS(T911&lt;=70,"Low",T911&lt;=160,"Medium",T911&gt;=161,"High")</f>
        <v>Low</v>
      </c>
    </row>
    <row r="912" spans="1:21" x14ac:dyDescent="0.25">
      <c r="A912" s="33">
        <v>911</v>
      </c>
      <c r="B912" s="34">
        <v>40584</v>
      </c>
      <c r="C912" s="35">
        <v>1</v>
      </c>
      <c r="D912" s="35">
        <v>0</v>
      </c>
      <c r="E912" s="35">
        <v>2</v>
      </c>
      <c r="F912" s="35">
        <v>11</v>
      </c>
      <c r="G912" s="35" t="str" cm="1">
        <f t="array" ref="G912">_xlfn.IFS(F912&lt;4,"Night",F912&lt;=6,"Early Morning",F912&lt;11,"Morning",F912&lt;12,"Afternoon",F912&lt;=16,"Afternoon",F912&lt;=20,"Evening",F912&gt;=21,"Night")</f>
        <v>Afternoon</v>
      </c>
      <c r="H912" s="35" t="b">
        <v>0</v>
      </c>
      <c r="I912" s="35">
        <v>4</v>
      </c>
      <c r="J912" s="35">
        <v>1</v>
      </c>
      <c r="K912" s="35">
        <v>0.14000000000000001</v>
      </c>
      <c r="L912" s="31" t="str" cm="1">
        <f t="array" ref="L912">_xlfn.IFS(K912&lt;0.15,"Cold",K912&lt;0.25,"Mild",K912&lt;=0.32,"Warm",K912&gt;=0.33,"Hot")</f>
        <v>Cold</v>
      </c>
      <c r="M912" s="35">
        <v>0.1212</v>
      </c>
      <c r="N912" s="35">
        <v>0.39</v>
      </c>
      <c r="O912" s="35" t="str" cm="1">
        <f t="array" ref="O912">_xlfn.IFS(N912&gt;0.61, "High Humidity", N912&gt;=0.6, "Humid", N912&gt;0.4, "Less Humidity", TRUE, "Dry")</f>
        <v>Dry</v>
      </c>
      <c r="P912" s="35">
        <v>0.35820000000000002</v>
      </c>
      <c r="Q912" s="35" t="str" cm="1">
        <f t="array" ref="Q912">_xlfn.IFS(P912&lt;=0.2,"Low Windspeed",P912&lt;0.4,"Medium Windspeed",P912&gt;=0.41,"High Windspeed")</f>
        <v>Medium Windspeed</v>
      </c>
      <c r="R912" s="35">
        <v>1</v>
      </c>
      <c r="S912" s="35">
        <v>44</v>
      </c>
      <c r="T912" s="40">
        <v>45</v>
      </c>
      <c r="U912" s="39" t="str" cm="1">
        <f t="array" ref="U912">_xlfn.IFS(T912&lt;=70,"Low",T912&lt;=160,"Medium",T912&gt;=161,"High")</f>
        <v>Low</v>
      </c>
    </row>
    <row r="913" spans="1:21" x14ac:dyDescent="0.25">
      <c r="A913" s="33">
        <v>912</v>
      </c>
      <c r="B913" s="34">
        <v>40584</v>
      </c>
      <c r="C913" s="35">
        <v>1</v>
      </c>
      <c r="D913" s="35">
        <v>0</v>
      </c>
      <c r="E913" s="35">
        <v>2</v>
      </c>
      <c r="F913" s="35">
        <v>12</v>
      </c>
      <c r="G913" s="35" t="str" cm="1">
        <f t="array" ref="G913">_xlfn.IFS(F913&lt;4,"Night",F913&lt;=6,"Early Morning",F913&lt;11,"Morning",F913&lt;12,"Afternoon",F913&lt;=16,"Afternoon",F913&lt;=20,"Evening",F913&gt;=21,"Night")</f>
        <v>Afternoon</v>
      </c>
      <c r="H913" s="35" t="b">
        <v>0</v>
      </c>
      <c r="I913" s="35">
        <v>4</v>
      </c>
      <c r="J913" s="35">
        <v>1</v>
      </c>
      <c r="K913" s="35">
        <v>0.16</v>
      </c>
      <c r="L913" s="31" t="str" cm="1">
        <f t="array" ref="L913">_xlfn.IFS(K913&lt;0.15,"Cold",K913&lt;0.25,"Mild",K913&lt;=0.32,"Warm",K913&gt;=0.33,"Hot")</f>
        <v>Mild</v>
      </c>
      <c r="M913" s="35">
        <v>0.13639999999999999</v>
      </c>
      <c r="N913" s="35">
        <v>0.34</v>
      </c>
      <c r="O913" s="35" t="str" cm="1">
        <f t="array" ref="O913">_xlfn.IFS(N913&gt;0.61, "High Humidity", N913&gt;=0.6, "Humid", N913&gt;0.4, "Less Humidity", TRUE, "Dry")</f>
        <v>Dry</v>
      </c>
      <c r="P913" s="35">
        <v>0.3881</v>
      </c>
      <c r="Q913" s="35" t="str" cm="1">
        <f t="array" ref="Q913">_xlfn.IFS(P913&lt;=0.2,"Low Windspeed",P913&lt;0.4,"Medium Windspeed",P913&gt;=0.41,"High Windspeed")</f>
        <v>Medium Windspeed</v>
      </c>
      <c r="R913" s="35">
        <v>4</v>
      </c>
      <c r="S913" s="35">
        <v>65</v>
      </c>
      <c r="T913" s="40">
        <v>69</v>
      </c>
      <c r="U913" s="39" t="str" cm="1">
        <f t="array" ref="U913">_xlfn.IFS(T913&lt;=70,"Low",T913&lt;=160,"Medium",T913&gt;=161,"High")</f>
        <v>Low</v>
      </c>
    </row>
    <row r="914" spans="1:21" x14ac:dyDescent="0.25">
      <c r="A914" s="33">
        <v>913</v>
      </c>
      <c r="B914" s="34">
        <v>40584</v>
      </c>
      <c r="C914" s="35">
        <v>1</v>
      </c>
      <c r="D914" s="35">
        <v>0</v>
      </c>
      <c r="E914" s="35">
        <v>2</v>
      </c>
      <c r="F914" s="35">
        <v>13</v>
      </c>
      <c r="G914" s="35" t="str" cm="1">
        <f t="array" ref="G914">_xlfn.IFS(F914&lt;4,"Night",F914&lt;=6,"Early Morning",F914&lt;11,"Morning",F914&lt;12,"Afternoon",F914&lt;=16,"Afternoon",F914&lt;=20,"Evening",F914&gt;=21,"Night")</f>
        <v>Afternoon</v>
      </c>
      <c r="H914" s="35" t="b">
        <v>0</v>
      </c>
      <c r="I914" s="35">
        <v>4</v>
      </c>
      <c r="J914" s="35">
        <v>1</v>
      </c>
      <c r="K914" s="35">
        <v>0.18</v>
      </c>
      <c r="L914" s="31" t="str" cm="1">
        <f t="array" ref="L914">_xlfn.IFS(K914&lt;0.15,"Cold",K914&lt;0.25,"Mild",K914&lt;=0.32,"Warm",K914&gt;=0.33,"Hot")</f>
        <v>Mild</v>
      </c>
      <c r="M914" s="35">
        <v>0.16669999999999999</v>
      </c>
      <c r="N914" s="35">
        <v>0.28999999999999998</v>
      </c>
      <c r="O914" s="35" t="str" cm="1">
        <f t="array" ref="O914">_xlfn.IFS(N914&gt;0.61, "High Humidity", N914&gt;=0.6, "Humid", N914&gt;0.4, "Less Humidity", TRUE, "Dry")</f>
        <v>Dry</v>
      </c>
      <c r="P914" s="35">
        <v>0.29849999999999999</v>
      </c>
      <c r="Q914" s="35" t="str" cm="1">
        <f t="array" ref="Q914">_xlfn.IFS(P914&lt;=0.2,"Low Windspeed",P914&lt;0.4,"Medium Windspeed",P914&gt;=0.41,"High Windspeed")</f>
        <v>Medium Windspeed</v>
      </c>
      <c r="R914" s="35">
        <v>3</v>
      </c>
      <c r="S914" s="35">
        <v>59</v>
      </c>
      <c r="T914" s="40">
        <v>62</v>
      </c>
      <c r="U914" s="39" t="str" cm="1">
        <f t="array" ref="U914">_xlfn.IFS(T914&lt;=70,"Low",T914&lt;=160,"Medium",T914&gt;=161,"High")</f>
        <v>Low</v>
      </c>
    </row>
    <row r="915" spans="1:21" x14ac:dyDescent="0.25">
      <c r="A915" s="33">
        <v>914</v>
      </c>
      <c r="B915" s="34">
        <v>40584</v>
      </c>
      <c r="C915" s="35">
        <v>1</v>
      </c>
      <c r="D915" s="35">
        <v>0</v>
      </c>
      <c r="E915" s="35">
        <v>2</v>
      </c>
      <c r="F915" s="35">
        <v>14</v>
      </c>
      <c r="G915" s="35" t="str" cm="1">
        <f t="array" ref="G915">_xlfn.IFS(F915&lt;4,"Night",F915&lt;=6,"Early Morning",F915&lt;11,"Morning",F915&lt;12,"Afternoon",F915&lt;=16,"Afternoon",F915&lt;=20,"Evening",F915&gt;=21,"Night")</f>
        <v>Afternoon</v>
      </c>
      <c r="H915" s="35" t="b">
        <v>0</v>
      </c>
      <c r="I915" s="35">
        <v>4</v>
      </c>
      <c r="J915" s="35">
        <v>1</v>
      </c>
      <c r="K915" s="35">
        <v>0.2</v>
      </c>
      <c r="L915" s="31" t="str" cm="1">
        <f t="array" ref="L915">_xlfn.IFS(K915&lt;0.15,"Cold",K915&lt;0.25,"Mild",K915&lt;=0.32,"Warm",K915&gt;=0.33,"Hot")</f>
        <v>Mild</v>
      </c>
      <c r="M915" s="35">
        <v>0.18179999999999999</v>
      </c>
      <c r="N915" s="35">
        <v>0.27</v>
      </c>
      <c r="O915" s="35" t="str" cm="1">
        <f t="array" ref="O915">_xlfn.IFS(N915&gt;0.61, "High Humidity", N915&gt;=0.6, "Humid", N915&gt;0.4, "Less Humidity", TRUE, "Dry")</f>
        <v>Dry</v>
      </c>
      <c r="P915" s="35">
        <v>0.28360000000000002</v>
      </c>
      <c r="Q915" s="35" t="str" cm="1">
        <f t="array" ref="Q915">_xlfn.IFS(P915&lt;=0.2,"Low Windspeed",P915&lt;0.4,"Medium Windspeed",P915&gt;=0.41,"High Windspeed")</f>
        <v>Medium Windspeed</v>
      </c>
      <c r="R915" s="35">
        <v>6</v>
      </c>
      <c r="S915" s="35">
        <v>42</v>
      </c>
      <c r="T915" s="40">
        <v>48</v>
      </c>
      <c r="U915" s="39" t="str" cm="1">
        <f t="array" ref="U915">_xlfn.IFS(T915&lt;=70,"Low",T915&lt;=160,"Medium",T915&gt;=161,"High")</f>
        <v>Low</v>
      </c>
    </row>
    <row r="916" spans="1:21" x14ac:dyDescent="0.25">
      <c r="A916" s="33">
        <v>915</v>
      </c>
      <c r="B916" s="34">
        <v>40584</v>
      </c>
      <c r="C916" s="35">
        <v>1</v>
      </c>
      <c r="D916" s="35">
        <v>0</v>
      </c>
      <c r="E916" s="35">
        <v>2</v>
      </c>
      <c r="F916" s="35">
        <v>15</v>
      </c>
      <c r="G916" s="35" t="str" cm="1">
        <f t="array" ref="G916">_xlfn.IFS(F916&lt;4,"Night",F916&lt;=6,"Early Morning",F916&lt;11,"Morning",F916&lt;12,"Afternoon",F916&lt;=16,"Afternoon",F916&lt;=20,"Evening",F916&gt;=21,"Night")</f>
        <v>Afternoon</v>
      </c>
      <c r="H916" s="35" t="b">
        <v>0</v>
      </c>
      <c r="I916" s="35">
        <v>4</v>
      </c>
      <c r="J916" s="35">
        <v>1</v>
      </c>
      <c r="K916" s="35">
        <v>0.2</v>
      </c>
      <c r="L916" s="31" t="str" cm="1">
        <f t="array" ref="L916">_xlfn.IFS(K916&lt;0.15,"Cold",K916&lt;0.25,"Mild",K916&lt;=0.32,"Warm",K916&gt;=0.33,"Hot")</f>
        <v>Mild</v>
      </c>
      <c r="M916" s="35">
        <v>0.19700000000000001</v>
      </c>
      <c r="N916" s="35">
        <v>0.25</v>
      </c>
      <c r="O916" s="35" t="str" cm="1">
        <f t="array" ref="O916">_xlfn.IFS(N916&gt;0.61, "High Humidity", N916&gt;=0.6, "Humid", N916&gt;0.4, "Less Humidity", TRUE, "Dry")</f>
        <v>Dry</v>
      </c>
      <c r="P916" s="35">
        <v>0.25369999999999998</v>
      </c>
      <c r="Q916" s="35" t="str" cm="1">
        <f t="array" ref="Q916">_xlfn.IFS(P916&lt;=0.2,"Low Windspeed",P916&lt;0.4,"Medium Windspeed",P916&gt;=0.41,"High Windspeed")</f>
        <v>Medium Windspeed</v>
      </c>
      <c r="R916" s="35">
        <v>0</v>
      </c>
      <c r="S916" s="35">
        <v>50</v>
      </c>
      <c r="T916" s="40">
        <v>50</v>
      </c>
      <c r="U916" s="39" t="str" cm="1">
        <f t="array" ref="U916">_xlfn.IFS(T916&lt;=70,"Low",T916&lt;=160,"Medium",T916&gt;=161,"High")</f>
        <v>Low</v>
      </c>
    </row>
    <row r="917" spans="1:21" x14ac:dyDescent="0.25">
      <c r="A917" s="33">
        <v>916</v>
      </c>
      <c r="B917" s="34">
        <v>40584</v>
      </c>
      <c r="C917" s="35">
        <v>1</v>
      </c>
      <c r="D917" s="35">
        <v>0</v>
      </c>
      <c r="E917" s="35">
        <v>2</v>
      </c>
      <c r="F917" s="35">
        <v>16</v>
      </c>
      <c r="G917" s="35" t="str" cm="1">
        <f t="array" ref="G917">_xlfn.IFS(F917&lt;4,"Night",F917&lt;=6,"Early Morning",F917&lt;11,"Morning",F917&lt;12,"Afternoon",F917&lt;=16,"Afternoon",F917&lt;=20,"Evening",F917&gt;=21,"Night")</f>
        <v>Afternoon</v>
      </c>
      <c r="H917" s="35" t="b">
        <v>0</v>
      </c>
      <c r="I917" s="35">
        <v>4</v>
      </c>
      <c r="J917" s="35">
        <v>1</v>
      </c>
      <c r="K917" s="35">
        <v>0.2</v>
      </c>
      <c r="L917" s="31" t="str" cm="1">
        <f t="array" ref="L917">_xlfn.IFS(K917&lt;0.15,"Cold",K917&lt;0.25,"Mild",K917&lt;=0.32,"Warm",K917&gt;=0.33,"Hot")</f>
        <v>Mild</v>
      </c>
      <c r="M917" s="35">
        <v>0.18179999999999999</v>
      </c>
      <c r="N917" s="35">
        <v>0.27</v>
      </c>
      <c r="O917" s="35" t="str" cm="1">
        <f t="array" ref="O917">_xlfn.IFS(N917&gt;0.61, "High Humidity", N917&gt;=0.6, "Humid", N917&gt;0.4, "Less Humidity", TRUE, "Dry")</f>
        <v>Dry</v>
      </c>
      <c r="P917" s="35">
        <v>0.29849999999999999</v>
      </c>
      <c r="Q917" s="35" t="str" cm="1">
        <f t="array" ref="Q917">_xlfn.IFS(P917&lt;=0.2,"Low Windspeed",P917&lt;0.4,"Medium Windspeed",P917&gt;=0.41,"High Windspeed")</f>
        <v>Medium Windspeed</v>
      </c>
      <c r="R917" s="35">
        <v>4</v>
      </c>
      <c r="S917" s="35">
        <v>76</v>
      </c>
      <c r="T917" s="40">
        <v>80</v>
      </c>
      <c r="U917" s="39" t="str" cm="1">
        <f t="array" ref="U917">_xlfn.IFS(T917&lt;=70,"Low",T917&lt;=160,"Medium",T917&gt;=161,"High")</f>
        <v>Medium</v>
      </c>
    </row>
    <row r="918" spans="1:21" x14ac:dyDescent="0.25">
      <c r="A918" s="33">
        <v>917</v>
      </c>
      <c r="B918" s="34">
        <v>40584</v>
      </c>
      <c r="C918" s="35">
        <v>1</v>
      </c>
      <c r="D918" s="35">
        <v>0</v>
      </c>
      <c r="E918" s="35">
        <v>2</v>
      </c>
      <c r="F918" s="35">
        <v>17</v>
      </c>
      <c r="G918" s="35" t="str" cm="1">
        <f t="array" ref="G918">_xlfn.IFS(F918&lt;4,"Night",F918&lt;=6,"Early Morning",F918&lt;11,"Morning",F918&lt;12,"Afternoon",F918&lt;=16,"Afternoon",F918&lt;=20,"Evening",F918&gt;=21,"Night")</f>
        <v>Evening</v>
      </c>
      <c r="H918" s="35" t="b">
        <v>0</v>
      </c>
      <c r="I918" s="35">
        <v>4</v>
      </c>
      <c r="J918" s="35">
        <v>1</v>
      </c>
      <c r="K918" s="35">
        <v>0.18</v>
      </c>
      <c r="L918" s="31" t="str" cm="1">
        <f t="array" ref="L918">_xlfn.IFS(K918&lt;0.15,"Cold",K918&lt;0.25,"Mild",K918&lt;=0.32,"Warm",K918&gt;=0.33,"Hot")</f>
        <v>Mild</v>
      </c>
      <c r="M918" s="35">
        <v>0.18179999999999999</v>
      </c>
      <c r="N918" s="35">
        <v>0.26</v>
      </c>
      <c r="O918" s="35" t="str" cm="1">
        <f t="array" ref="O918">_xlfn.IFS(N918&gt;0.61, "High Humidity", N918&gt;=0.6, "Humid", N918&gt;0.4, "Less Humidity", TRUE, "Dry")</f>
        <v>Dry</v>
      </c>
      <c r="P918" s="35">
        <v>0.19400000000000001</v>
      </c>
      <c r="Q918" s="35" t="str" cm="1">
        <f t="array" ref="Q918">_xlfn.IFS(P918&lt;=0.2,"Low Windspeed",P918&lt;0.4,"Medium Windspeed",P918&gt;=0.41,"High Windspeed")</f>
        <v>Low Windspeed</v>
      </c>
      <c r="R918" s="35">
        <v>6</v>
      </c>
      <c r="S918" s="35">
        <v>159</v>
      </c>
      <c r="T918" s="40">
        <v>165</v>
      </c>
      <c r="U918" s="39" t="str" cm="1">
        <f t="array" ref="U918">_xlfn.IFS(T918&lt;=70,"Low",T918&lt;=160,"Medium",T918&gt;=161,"High")</f>
        <v>High</v>
      </c>
    </row>
    <row r="919" spans="1:21" x14ac:dyDescent="0.25">
      <c r="A919" s="33">
        <v>918</v>
      </c>
      <c r="B919" s="34">
        <v>40584</v>
      </c>
      <c r="C919" s="35">
        <v>1</v>
      </c>
      <c r="D919" s="35">
        <v>0</v>
      </c>
      <c r="E919" s="35">
        <v>2</v>
      </c>
      <c r="F919" s="35">
        <v>18</v>
      </c>
      <c r="G919" s="35" t="str" cm="1">
        <f t="array" ref="G919">_xlfn.IFS(F919&lt;4,"Night",F919&lt;=6,"Early Morning",F919&lt;11,"Morning",F919&lt;12,"Afternoon",F919&lt;=16,"Afternoon",F919&lt;=20,"Evening",F919&gt;=21,"Night")</f>
        <v>Evening</v>
      </c>
      <c r="H919" s="35" t="b">
        <v>0</v>
      </c>
      <c r="I919" s="35">
        <v>4</v>
      </c>
      <c r="J919" s="35">
        <v>1</v>
      </c>
      <c r="K919" s="35">
        <v>0.16</v>
      </c>
      <c r="L919" s="31" t="str" cm="1">
        <f t="array" ref="L919">_xlfn.IFS(K919&lt;0.15,"Cold",K919&lt;0.25,"Mild",K919&lt;=0.32,"Warm",K919&gt;=0.33,"Hot")</f>
        <v>Mild</v>
      </c>
      <c r="M919" s="35">
        <v>0.18179999999999999</v>
      </c>
      <c r="N919" s="35">
        <v>0.28000000000000003</v>
      </c>
      <c r="O919" s="35" t="str" cm="1">
        <f t="array" ref="O919">_xlfn.IFS(N919&gt;0.61, "High Humidity", N919&gt;=0.6, "Humid", N919&gt;0.4, "Less Humidity", TRUE, "Dry")</f>
        <v>Dry</v>
      </c>
      <c r="P919" s="35">
        <v>0.1343</v>
      </c>
      <c r="Q919" s="35" t="str" cm="1">
        <f t="array" ref="Q919">_xlfn.IFS(P919&lt;=0.2,"Low Windspeed",P919&lt;0.4,"Medium Windspeed",P919&gt;=0.41,"High Windspeed")</f>
        <v>Low Windspeed</v>
      </c>
      <c r="R919" s="35">
        <v>3</v>
      </c>
      <c r="S919" s="35">
        <v>157</v>
      </c>
      <c r="T919" s="40">
        <v>160</v>
      </c>
      <c r="U919" s="39" t="str" cm="1">
        <f t="array" ref="U919">_xlfn.IFS(T919&lt;=70,"Low",T919&lt;=160,"Medium",T919&gt;=161,"High")</f>
        <v>Medium</v>
      </c>
    </row>
    <row r="920" spans="1:21" x14ac:dyDescent="0.25">
      <c r="A920" s="33">
        <v>919</v>
      </c>
      <c r="B920" s="34">
        <v>40584</v>
      </c>
      <c r="C920" s="35">
        <v>1</v>
      </c>
      <c r="D920" s="35">
        <v>0</v>
      </c>
      <c r="E920" s="35">
        <v>2</v>
      </c>
      <c r="F920" s="35">
        <v>19</v>
      </c>
      <c r="G920" s="35" t="str" cm="1">
        <f t="array" ref="G920">_xlfn.IFS(F920&lt;4,"Night",F920&lt;=6,"Early Morning",F920&lt;11,"Morning",F920&lt;12,"Afternoon",F920&lt;=16,"Afternoon",F920&lt;=20,"Evening",F920&gt;=21,"Night")</f>
        <v>Evening</v>
      </c>
      <c r="H920" s="35" t="b">
        <v>0</v>
      </c>
      <c r="I920" s="35">
        <v>4</v>
      </c>
      <c r="J920" s="35">
        <v>1</v>
      </c>
      <c r="K920" s="35">
        <v>0.14000000000000001</v>
      </c>
      <c r="L920" s="31" t="str" cm="1">
        <f t="array" ref="L920">_xlfn.IFS(K920&lt;0.15,"Cold",K920&lt;0.25,"Mild",K920&lt;=0.32,"Warm",K920&gt;=0.33,"Hot")</f>
        <v>Cold</v>
      </c>
      <c r="M920" s="35">
        <v>0.16669999999999999</v>
      </c>
      <c r="N920" s="35">
        <v>0.28000000000000003</v>
      </c>
      <c r="O920" s="35" t="str" cm="1">
        <f t="array" ref="O920">_xlfn.IFS(N920&gt;0.61, "High Humidity", N920&gt;=0.6, "Humid", N920&gt;0.4, "Less Humidity", TRUE, "Dry")</f>
        <v>Dry</v>
      </c>
      <c r="P920" s="35">
        <v>0.1045</v>
      </c>
      <c r="Q920" s="35" t="str" cm="1">
        <f t="array" ref="Q920">_xlfn.IFS(P920&lt;=0.2,"Low Windspeed",P920&lt;0.4,"Medium Windspeed",P920&gt;=0.41,"High Windspeed")</f>
        <v>Low Windspeed</v>
      </c>
      <c r="R920" s="35">
        <v>2</v>
      </c>
      <c r="S920" s="35">
        <v>110</v>
      </c>
      <c r="T920" s="40">
        <v>112</v>
      </c>
      <c r="U920" s="39" t="str" cm="1">
        <f t="array" ref="U920">_xlfn.IFS(T920&lt;=70,"Low",T920&lt;=160,"Medium",T920&gt;=161,"High")</f>
        <v>Medium</v>
      </c>
    </row>
    <row r="921" spans="1:21" x14ac:dyDescent="0.25">
      <c r="A921" s="33">
        <v>920</v>
      </c>
      <c r="B921" s="34">
        <v>40584</v>
      </c>
      <c r="C921" s="35">
        <v>1</v>
      </c>
      <c r="D921" s="35">
        <v>0</v>
      </c>
      <c r="E921" s="35">
        <v>2</v>
      </c>
      <c r="F921" s="35">
        <v>20</v>
      </c>
      <c r="G921" s="35" t="str" cm="1">
        <f t="array" ref="G921">_xlfn.IFS(F921&lt;4,"Night",F921&lt;=6,"Early Morning",F921&lt;11,"Morning",F921&lt;12,"Afternoon",F921&lt;=16,"Afternoon",F921&lt;=20,"Evening",F921&gt;=21,"Night")</f>
        <v>Evening</v>
      </c>
      <c r="H921" s="35" t="b">
        <v>0</v>
      </c>
      <c r="I921" s="35">
        <v>4</v>
      </c>
      <c r="J921" s="35">
        <v>1</v>
      </c>
      <c r="K921" s="35">
        <v>0.14000000000000001</v>
      </c>
      <c r="L921" s="31" t="str" cm="1">
        <f t="array" ref="L921">_xlfn.IFS(K921&lt;0.15,"Cold",K921&lt;0.25,"Mild",K921&lt;=0.32,"Warm",K921&gt;=0.33,"Hot")</f>
        <v>Cold</v>
      </c>
      <c r="M921" s="35">
        <v>0.18179999999999999</v>
      </c>
      <c r="N921" s="35">
        <v>0.31</v>
      </c>
      <c r="O921" s="35" t="str" cm="1">
        <f t="array" ref="O921">_xlfn.IFS(N921&gt;0.61, "High Humidity", N921&gt;=0.6, "Humid", N921&gt;0.4, "Less Humidity", TRUE, "Dry")</f>
        <v>Dry</v>
      </c>
      <c r="P921" s="35">
        <v>8.9599999999999999E-2</v>
      </c>
      <c r="Q921" s="35" t="str" cm="1">
        <f t="array" ref="Q921">_xlfn.IFS(P921&lt;=0.2,"Low Windspeed",P921&lt;0.4,"Medium Windspeed",P921&gt;=0.41,"High Windspeed")</f>
        <v>Low Windspeed</v>
      </c>
      <c r="R921" s="35">
        <v>4</v>
      </c>
      <c r="S921" s="35">
        <v>93</v>
      </c>
      <c r="T921" s="40">
        <v>97</v>
      </c>
      <c r="U921" s="39" t="str" cm="1">
        <f t="array" ref="U921">_xlfn.IFS(T921&lt;=70,"Low",T921&lt;=160,"Medium",T921&gt;=161,"High")</f>
        <v>Medium</v>
      </c>
    </row>
    <row r="922" spans="1:21" x14ac:dyDescent="0.25">
      <c r="A922" s="33">
        <v>921</v>
      </c>
      <c r="B922" s="34">
        <v>40584</v>
      </c>
      <c r="C922" s="35">
        <v>1</v>
      </c>
      <c r="D922" s="35">
        <v>0</v>
      </c>
      <c r="E922" s="35">
        <v>2</v>
      </c>
      <c r="F922" s="35">
        <v>21</v>
      </c>
      <c r="G922" s="35" t="str" cm="1">
        <f t="array" ref="G922">_xlfn.IFS(F922&lt;4,"Night",F922&lt;=6,"Early Morning",F922&lt;11,"Morning",F922&lt;12,"Afternoon",F922&lt;=16,"Afternoon",F922&lt;=20,"Evening",F922&gt;=21,"Night")</f>
        <v>Night</v>
      </c>
      <c r="H922" s="35" t="b">
        <v>0</v>
      </c>
      <c r="I922" s="35">
        <v>4</v>
      </c>
      <c r="J922" s="35">
        <v>1</v>
      </c>
      <c r="K922" s="35">
        <v>0.14000000000000001</v>
      </c>
      <c r="L922" s="31" t="str" cm="1">
        <f t="array" ref="L922">_xlfn.IFS(K922&lt;0.15,"Cold",K922&lt;0.25,"Mild",K922&lt;=0.32,"Warm",K922&gt;=0.33,"Hot")</f>
        <v>Cold</v>
      </c>
      <c r="M922" s="35">
        <v>0.21210000000000001</v>
      </c>
      <c r="N922" s="35">
        <v>0.39</v>
      </c>
      <c r="O922" s="35" t="str" cm="1">
        <f t="array" ref="O922">_xlfn.IFS(N922&gt;0.61, "High Humidity", N922&gt;=0.6, "Humid", N922&gt;0.4, "Less Humidity", TRUE, "Dry")</f>
        <v>Dry</v>
      </c>
      <c r="P922" s="35">
        <v>0</v>
      </c>
      <c r="Q922" s="35" t="str" cm="1">
        <f t="array" ref="Q922">_xlfn.IFS(P922&lt;=0.2,"Low Windspeed",P922&lt;0.4,"Medium Windspeed",P922&gt;=0.41,"High Windspeed")</f>
        <v>Low Windspeed</v>
      </c>
      <c r="R922" s="35">
        <v>2</v>
      </c>
      <c r="S922" s="35">
        <v>70</v>
      </c>
      <c r="T922" s="40">
        <v>72</v>
      </c>
      <c r="U922" s="39" t="str" cm="1">
        <f t="array" ref="U922">_xlfn.IFS(T922&lt;=70,"Low",T922&lt;=160,"Medium",T922&gt;=161,"High")</f>
        <v>Medium</v>
      </c>
    </row>
    <row r="923" spans="1:21" x14ac:dyDescent="0.25">
      <c r="A923" s="33">
        <v>922</v>
      </c>
      <c r="B923" s="34">
        <v>40584</v>
      </c>
      <c r="C923" s="35">
        <v>1</v>
      </c>
      <c r="D923" s="35">
        <v>0</v>
      </c>
      <c r="E923" s="35">
        <v>2</v>
      </c>
      <c r="F923" s="35">
        <v>22</v>
      </c>
      <c r="G923" s="35" t="str" cm="1">
        <f t="array" ref="G923">_xlfn.IFS(F923&lt;4,"Night",F923&lt;=6,"Early Morning",F923&lt;11,"Morning",F923&lt;12,"Afternoon",F923&lt;=16,"Afternoon",F923&lt;=20,"Evening",F923&gt;=21,"Night")</f>
        <v>Night</v>
      </c>
      <c r="H923" s="35" t="b">
        <v>0</v>
      </c>
      <c r="I923" s="35">
        <v>4</v>
      </c>
      <c r="J923" s="35">
        <v>1</v>
      </c>
      <c r="K923" s="35">
        <v>0.12</v>
      </c>
      <c r="L923" s="31" t="str" cm="1">
        <f t="array" ref="L923">_xlfn.IFS(K923&lt;0.15,"Cold",K923&lt;0.25,"Mild",K923&lt;=0.32,"Warm",K923&gt;=0.33,"Hot")</f>
        <v>Cold</v>
      </c>
      <c r="M923" s="35">
        <v>0.19700000000000001</v>
      </c>
      <c r="N923" s="35">
        <v>0.39</v>
      </c>
      <c r="O923" s="35" t="str" cm="1">
        <f t="array" ref="O923">_xlfn.IFS(N923&gt;0.61, "High Humidity", N923&gt;=0.6, "Humid", N923&gt;0.4, "Less Humidity", TRUE, "Dry")</f>
        <v>Dry</v>
      </c>
      <c r="P923" s="35">
        <v>0</v>
      </c>
      <c r="Q923" s="35" t="str" cm="1">
        <f t="array" ref="Q923">_xlfn.IFS(P923&lt;=0.2,"Low Windspeed",P923&lt;0.4,"Medium Windspeed",P923&gt;=0.41,"High Windspeed")</f>
        <v>Low Windspeed</v>
      </c>
      <c r="R923" s="35">
        <v>4</v>
      </c>
      <c r="S923" s="35">
        <v>47</v>
      </c>
      <c r="T923" s="40">
        <v>51</v>
      </c>
      <c r="U923" s="39" t="str" cm="1">
        <f t="array" ref="U923">_xlfn.IFS(T923&lt;=70,"Low",T923&lt;=160,"Medium",T923&gt;=161,"High")</f>
        <v>Low</v>
      </c>
    </row>
    <row r="924" spans="1:21" x14ac:dyDescent="0.25">
      <c r="A924" s="33">
        <v>923</v>
      </c>
      <c r="B924" s="34">
        <v>40584</v>
      </c>
      <c r="C924" s="35">
        <v>1</v>
      </c>
      <c r="D924" s="35">
        <v>0</v>
      </c>
      <c r="E924" s="35">
        <v>2</v>
      </c>
      <c r="F924" s="35">
        <v>23</v>
      </c>
      <c r="G924" s="35" t="str" cm="1">
        <f t="array" ref="G924">_xlfn.IFS(F924&lt;4,"Night",F924&lt;=6,"Early Morning",F924&lt;11,"Morning",F924&lt;12,"Afternoon",F924&lt;=16,"Afternoon",F924&lt;=20,"Evening",F924&gt;=21,"Night")</f>
        <v>Night</v>
      </c>
      <c r="H924" s="35" t="b">
        <v>0</v>
      </c>
      <c r="I924" s="35">
        <v>4</v>
      </c>
      <c r="J924" s="35">
        <v>1</v>
      </c>
      <c r="K924" s="35">
        <v>0.12</v>
      </c>
      <c r="L924" s="31" t="str" cm="1">
        <f t="array" ref="L924">_xlfn.IFS(K924&lt;0.15,"Cold",K924&lt;0.25,"Mild",K924&lt;=0.32,"Warm",K924&gt;=0.33,"Hot")</f>
        <v>Cold</v>
      </c>
      <c r="M924" s="35">
        <v>0.1515</v>
      </c>
      <c r="N924" s="35">
        <v>0.42</v>
      </c>
      <c r="O924" s="35" t="str" cm="1">
        <f t="array" ref="O924">_xlfn.IFS(N924&gt;0.61, "High Humidity", N924&gt;=0.6, "Humid", N924&gt;0.4, "Less Humidity", TRUE, "Dry")</f>
        <v>Less Humidity</v>
      </c>
      <c r="P924" s="35">
        <v>0.1045</v>
      </c>
      <c r="Q924" s="35" t="str" cm="1">
        <f t="array" ref="Q924">_xlfn.IFS(P924&lt;=0.2,"Low Windspeed",P924&lt;0.4,"Medium Windspeed",P924&gt;=0.41,"High Windspeed")</f>
        <v>Low Windspeed</v>
      </c>
      <c r="R924" s="35">
        <v>1</v>
      </c>
      <c r="S924" s="35">
        <v>33</v>
      </c>
      <c r="T924" s="40">
        <v>34</v>
      </c>
      <c r="U924" s="39" t="str" cm="1">
        <f t="array" ref="U924">_xlfn.IFS(T924&lt;=70,"Low",T924&lt;=160,"Medium",T924&gt;=161,"High")</f>
        <v>Low</v>
      </c>
    </row>
    <row r="925" spans="1:21" x14ac:dyDescent="0.25">
      <c r="A925" s="33">
        <v>924</v>
      </c>
      <c r="B925" s="34">
        <v>40585</v>
      </c>
      <c r="C925" s="35">
        <v>1</v>
      </c>
      <c r="D925" s="35">
        <v>0</v>
      </c>
      <c r="E925" s="35">
        <v>2</v>
      </c>
      <c r="F925" s="35">
        <v>0</v>
      </c>
      <c r="G925" s="35" t="str" cm="1">
        <f t="array" ref="G925">_xlfn.IFS(F925&lt;4,"Night",F925&lt;=6,"Early Morning",F925&lt;11,"Morning",F925&lt;12,"Afternoon",F925&lt;=16,"Afternoon",F925&lt;=20,"Evening",F925&gt;=21,"Night")</f>
        <v>Night</v>
      </c>
      <c r="H925" s="35" t="b">
        <v>0</v>
      </c>
      <c r="I925" s="35">
        <v>5</v>
      </c>
      <c r="J925" s="35">
        <v>1</v>
      </c>
      <c r="K925" s="35">
        <v>0.1</v>
      </c>
      <c r="L925" s="31" t="str" cm="1">
        <f t="array" ref="L925">_xlfn.IFS(K925&lt;0.15,"Cold",K925&lt;0.25,"Mild",K925&lt;=0.32,"Warm",K925&gt;=0.33,"Hot")</f>
        <v>Cold</v>
      </c>
      <c r="M925" s="35">
        <v>0.13639999999999999</v>
      </c>
      <c r="N925" s="35">
        <v>0.49</v>
      </c>
      <c r="O925" s="35" t="str" cm="1">
        <f t="array" ref="O925">_xlfn.IFS(N925&gt;0.61, "High Humidity", N925&gt;=0.6, "Humid", N925&gt;0.4, "Less Humidity", TRUE, "Dry")</f>
        <v>Less Humidity</v>
      </c>
      <c r="P925" s="35">
        <v>0.1045</v>
      </c>
      <c r="Q925" s="35" t="str" cm="1">
        <f t="array" ref="Q925">_xlfn.IFS(P925&lt;=0.2,"Low Windspeed",P925&lt;0.4,"Medium Windspeed",P925&gt;=0.41,"High Windspeed")</f>
        <v>Low Windspeed</v>
      </c>
      <c r="R925" s="35">
        <v>2</v>
      </c>
      <c r="S925" s="35">
        <v>12</v>
      </c>
      <c r="T925" s="40">
        <v>14</v>
      </c>
      <c r="U925" s="39" t="str" cm="1">
        <f t="array" ref="U925">_xlfn.IFS(T925&lt;=70,"Low",T925&lt;=160,"Medium",T925&gt;=161,"High")</f>
        <v>Low</v>
      </c>
    </row>
    <row r="926" spans="1:21" x14ac:dyDescent="0.25">
      <c r="A926" s="33">
        <v>925</v>
      </c>
      <c r="B926" s="34">
        <v>40585</v>
      </c>
      <c r="C926" s="35">
        <v>1</v>
      </c>
      <c r="D926" s="35">
        <v>0</v>
      </c>
      <c r="E926" s="35">
        <v>2</v>
      </c>
      <c r="F926" s="35">
        <v>1</v>
      </c>
      <c r="G926" s="35" t="str" cm="1">
        <f t="array" ref="G926">_xlfn.IFS(F926&lt;4,"Night",F926&lt;=6,"Early Morning",F926&lt;11,"Morning",F926&lt;12,"Afternoon",F926&lt;=16,"Afternoon",F926&lt;=20,"Evening",F926&gt;=21,"Night")</f>
        <v>Night</v>
      </c>
      <c r="H926" s="35" t="b">
        <v>0</v>
      </c>
      <c r="I926" s="35">
        <v>5</v>
      </c>
      <c r="J926" s="35">
        <v>1</v>
      </c>
      <c r="K926" s="35">
        <v>0.1</v>
      </c>
      <c r="L926" s="31" t="str" cm="1">
        <f t="array" ref="L926">_xlfn.IFS(K926&lt;0.15,"Cold",K926&lt;0.25,"Mild",K926&lt;=0.32,"Warm",K926&gt;=0.33,"Hot")</f>
        <v>Cold</v>
      </c>
      <c r="M926" s="35">
        <v>0.13639999999999999</v>
      </c>
      <c r="N926" s="35">
        <v>0.54</v>
      </c>
      <c r="O926" s="35" t="str" cm="1">
        <f t="array" ref="O926">_xlfn.IFS(N926&gt;0.61, "High Humidity", N926&gt;=0.6, "Humid", N926&gt;0.4, "Less Humidity", TRUE, "Dry")</f>
        <v>Less Humidity</v>
      </c>
      <c r="P926" s="35">
        <v>8.9599999999999999E-2</v>
      </c>
      <c r="Q926" s="35" t="str" cm="1">
        <f t="array" ref="Q926">_xlfn.IFS(P926&lt;=0.2,"Low Windspeed",P926&lt;0.4,"Medium Windspeed",P926&gt;=0.41,"High Windspeed")</f>
        <v>Low Windspeed</v>
      </c>
      <c r="R926" s="35">
        <v>1</v>
      </c>
      <c r="S926" s="35">
        <v>6</v>
      </c>
      <c r="T926" s="40">
        <v>7</v>
      </c>
      <c r="U926" s="39" t="str" cm="1">
        <f t="array" ref="U926">_xlfn.IFS(T926&lt;=70,"Low",T926&lt;=160,"Medium",T926&gt;=161,"High")</f>
        <v>Low</v>
      </c>
    </row>
    <row r="927" spans="1:21" x14ac:dyDescent="0.25">
      <c r="A927" s="33">
        <v>926</v>
      </c>
      <c r="B927" s="34">
        <v>40585</v>
      </c>
      <c r="C927" s="35">
        <v>1</v>
      </c>
      <c r="D927" s="35">
        <v>0</v>
      </c>
      <c r="E927" s="35">
        <v>2</v>
      </c>
      <c r="F927" s="35">
        <v>2</v>
      </c>
      <c r="G927" s="35" t="str" cm="1">
        <f t="array" ref="G927">_xlfn.IFS(F927&lt;4,"Night",F927&lt;=6,"Early Morning",F927&lt;11,"Morning",F927&lt;12,"Afternoon",F927&lt;=16,"Afternoon",F927&lt;=20,"Evening",F927&gt;=21,"Night")</f>
        <v>Night</v>
      </c>
      <c r="H927" s="35" t="b">
        <v>0</v>
      </c>
      <c r="I927" s="35">
        <v>5</v>
      </c>
      <c r="J927" s="35">
        <v>1</v>
      </c>
      <c r="K927" s="35">
        <v>0.1</v>
      </c>
      <c r="L927" s="31" t="str" cm="1">
        <f t="array" ref="L927">_xlfn.IFS(K927&lt;0.15,"Cold",K927&lt;0.25,"Mild",K927&lt;=0.32,"Warm",K927&gt;=0.33,"Hot")</f>
        <v>Cold</v>
      </c>
      <c r="M927" s="35">
        <v>0.13639999999999999</v>
      </c>
      <c r="N927" s="35">
        <v>0.54</v>
      </c>
      <c r="O927" s="35" t="str" cm="1">
        <f t="array" ref="O927">_xlfn.IFS(N927&gt;0.61, "High Humidity", N927&gt;=0.6, "Humid", N927&gt;0.4, "Less Humidity", TRUE, "Dry")</f>
        <v>Less Humidity</v>
      </c>
      <c r="P927" s="35">
        <v>8.9599999999999999E-2</v>
      </c>
      <c r="Q927" s="35" t="str" cm="1">
        <f t="array" ref="Q927">_xlfn.IFS(P927&lt;=0.2,"Low Windspeed",P927&lt;0.4,"Medium Windspeed",P927&gt;=0.41,"High Windspeed")</f>
        <v>Low Windspeed</v>
      </c>
      <c r="R927" s="35">
        <v>0</v>
      </c>
      <c r="S927" s="35">
        <v>3</v>
      </c>
      <c r="T927" s="40">
        <v>3</v>
      </c>
      <c r="U927" s="39" t="str" cm="1">
        <f t="array" ref="U927">_xlfn.IFS(T927&lt;=70,"Low",T927&lt;=160,"Medium",T927&gt;=161,"High")</f>
        <v>Low</v>
      </c>
    </row>
    <row r="928" spans="1:21" x14ac:dyDescent="0.25">
      <c r="A928" s="33">
        <v>927</v>
      </c>
      <c r="B928" s="34">
        <v>40585</v>
      </c>
      <c r="C928" s="35">
        <v>1</v>
      </c>
      <c r="D928" s="35">
        <v>0</v>
      </c>
      <c r="E928" s="35">
        <v>2</v>
      </c>
      <c r="F928" s="35">
        <v>5</v>
      </c>
      <c r="G928" s="35" t="str" cm="1">
        <f t="array" ref="G928">_xlfn.IFS(F928&lt;4,"Night",F928&lt;=6,"Early Morning",F928&lt;11,"Morning",F928&lt;12,"Afternoon",F928&lt;=16,"Afternoon",F928&lt;=20,"Evening",F928&gt;=21,"Night")</f>
        <v>Early Morning</v>
      </c>
      <c r="H928" s="35" t="b">
        <v>0</v>
      </c>
      <c r="I928" s="35">
        <v>5</v>
      </c>
      <c r="J928" s="35">
        <v>1</v>
      </c>
      <c r="K928" s="35">
        <v>0.08</v>
      </c>
      <c r="L928" s="31" t="str" cm="1">
        <f t="array" ref="L928">_xlfn.IFS(K928&lt;0.15,"Cold",K928&lt;0.25,"Mild",K928&lt;=0.32,"Warm",K928&gt;=0.33,"Hot")</f>
        <v>Cold</v>
      </c>
      <c r="M928" s="35">
        <v>0.1212</v>
      </c>
      <c r="N928" s="35">
        <v>0.63</v>
      </c>
      <c r="O928" s="35" t="str" cm="1">
        <f t="array" ref="O928">_xlfn.IFS(N928&gt;0.61, "High Humidity", N928&gt;=0.6, "Humid", N928&gt;0.4, "Less Humidity", TRUE, "Dry")</f>
        <v>High Humidity</v>
      </c>
      <c r="P928" s="35">
        <v>8.9599999999999999E-2</v>
      </c>
      <c r="Q928" s="35" t="str" cm="1">
        <f t="array" ref="Q928">_xlfn.IFS(P928&lt;=0.2,"Low Windspeed",P928&lt;0.4,"Medium Windspeed",P928&gt;=0.41,"High Windspeed")</f>
        <v>Low Windspeed</v>
      </c>
      <c r="R928" s="35">
        <v>0</v>
      </c>
      <c r="S928" s="35">
        <v>4</v>
      </c>
      <c r="T928" s="40">
        <v>4</v>
      </c>
      <c r="U928" s="39" t="str" cm="1">
        <f t="array" ref="U928">_xlfn.IFS(T928&lt;=70,"Low",T928&lt;=160,"Medium",T928&gt;=161,"High")</f>
        <v>Low</v>
      </c>
    </row>
    <row r="929" spans="1:21" x14ac:dyDescent="0.25">
      <c r="A929" s="33">
        <v>928</v>
      </c>
      <c r="B929" s="34">
        <v>40585</v>
      </c>
      <c r="C929" s="35">
        <v>1</v>
      </c>
      <c r="D929" s="35">
        <v>0</v>
      </c>
      <c r="E929" s="35">
        <v>2</v>
      </c>
      <c r="F929" s="35">
        <v>6</v>
      </c>
      <c r="G929" s="35" t="str" cm="1">
        <f t="array" ref="G929">_xlfn.IFS(F929&lt;4,"Night",F929&lt;=6,"Early Morning",F929&lt;11,"Morning",F929&lt;12,"Afternoon",F929&lt;=16,"Afternoon",F929&lt;=20,"Evening",F929&gt;=21,"Night")</f>
        <v>Early Morning</v>
      </c>
      <c r="H929" s="35" t="b">
        <v>0</v>
      </c>
      <c r="I929" s="35">
        <v>5</v>
      </c>
      <c r="J929" s="35">
        <v>1</v>
      </c>
      <c r="K929" s="35">
        <v>0.1</v>
      </c>
      <c r="L929" s="31" t="str" cm="1">
        <f t="array" ref="L929">_xlfn.IFS(K929&lt;0.15,"Cold",K929&lt;0.25,"Mild",K929&lt;=0.32,"Warm",K929&gt;=0.33,"Hot")</f>
        <v>Cold</v>
      </c>
      <c r="M929" s="35">
        <v>0.18179999999999999</v>
      </c>
      <c r="N929" s="35">
        <v>0.68</v>
      </c>
      <c r="O929" s="35" t="str" cm="1">
        <f t="array" ref="O929">_xlfn.IFS(N929&gt;0.61, "High Humidity", N929&gt;=0.6, "Humid", N929&gt;0.4, "Less Humidity", TRUE, "Dry")</f>
        <v>High Humidity</v>
      </c>
      <c r="P929" s="35">
        <v>0</v>
      </c>
      <c r="Q929" s="35" t="str" cm="1">
        <f t="array" ref="Q929">_xlfn.IFS(P929&lt;=0.2,"Low Windspeed",P929&lt;0.4,"Medium Windspeed",P929&gt;=0.41,"High Windspeed")</f>
        <v>Low Windspeed</v>
      </c>
      <c r="R929" s="35">
        <v>1</v>
      </c>
      <c r="S929" s="35">
        <v>23</v>
      </c>
      <c r="T929" s="40">
        <v>24</v>
      </c>
      <c r="U929" s="39" t="str" cm="1">
        <f t="array" ref="U929">_xlfn.IFS(T929&lt;=70,"Low",T929&lt;=160,"Medium",T929&gt;=161,"High")</f>
        <v>Low</v>
      </c>
    </row>
    <row r="930" spans="1:21" x14ac:dyDescent="0.25">
      <c r="A930" s="33">
        <v>929</v>
      </c>
      <c r="B930" s="34">
        <v>40585</v>
      </c>
      <c r="C930" s="35">
        <v>1</v>
      </c>
      <c r="D930" s="35">
        <v>0</v>
      </c>
      <c r="E930" s="35">
        <v>2</v>
      </c>
      <c r="F930" s="35">
        <v>7</v>
      </c>
      <c r="G930" s="35" t="str" cm="1">
        <f t="array" ref="G930">_xlfn.IFS(F930&lt;4,"Night",F930&lt;=6,"Early Morning",F930&lt;11,"Morning",F930&lt;12,"Afternoon",F930&lt;=16,"Afternoon",F930&lt;=20,"Evening",F930&gt;=21,"Night")</f>
        <v>Morning</v>
      </c>
      <c r="H930" s="35" t="b">
        <v>0</v>
      </c>
      <c r="I930" s="35">
        <v>5</v>
      </c>
      <c r="J930" s="35">
        <v>1</v>
      </c>
      <c r="K930" s="35">
        <v>0.08</v>
      </c>
      <c r="L930" s="31" t="str" cm="1">
        <f t="array" ref="L930">_xlfn.IFS(K930&lt;0.15,"Cold",K930&lt;0.25,"Mild",K930&lt;=0.32,"Warm",K930&gt;=0.33,"Hot")</f>
        <v>Cold</v>
      </c>
      <c r="M930" s="35">
        <v>0.16669999999999999</v>
      </c>
      <c r="N930" s="35">
        <v>0.73</v>
      </c>
      <c r="O930" s="35" t="str" cm="1">
        <f t="array" ref="O930">_xlfn.IFS(N930&gt;0.61, "High Humidity", N930&gt;=0.6, "Humid", N930&gt;0.4, "Less Humidity", TRUE, "Dry")</f>
        <v>High Humidity</v>
      </c>
      <c r="P930" s="35">
        <v>0</v>
      </c>
      <c r="Q930" s="35" t="str" cm="1">
        <f t="array" ref="Q930">_xlfn.IFS(P930&lt;=0.2,"Low Windspeed",P930&lt;0.4,"Medium Windspeed",P930&gt;=0.41,"High Windspeed")</f>
        <v>Low Windspeed</v>
      </c>
      <c r="R930" s="35">
        <v>1</v>
      </c>
      <c r="S930" s="35">
        <v>73</v>
      </c>
      <c r="T930" s="40">
        <v>74</v>
      </c>
      <c r="U930" s="39" t="str" cm="1">
        <f t="array" ref="U930">_xlfn.IFS(T930&lt;=70,"Low",T930&lt;=160,"Medium",T930&gt;=161,"High")</f>
        <v>Medium</v>
      </c>
    </row>
    <row r="931" spans="1:21" x14ac:dyDescent="0.25">
      <c r="A931" s="33">
        <v>930</v>
      </c>
      <c r="B931" s="34">
        <v>40585</v>
      </c>
      <c r="C931" s="35">
        <v>1</v>
      </c>
      <c r="D931" s="35">
        <v>0</v>
      </c>
      <c r="E931" s="35">
        <v>2</v>
      </c>
      <c r="F931" s="35">
        <v>8</v>
      </c>
      <c r="G931" s="35" t="str" cm="1">
        <f t="array" ref="G931">_xlfn.IFS(F931&lt;4,"Night",F931&lt;=6,"Early Morning",F931&lt;11,"Morning",F931&lt;12,"Afternoon",F931&lt;=16,"Afternoon",F931&lt;=20,"Evening",F931&gt;=21,"Night")</f>
        <v>Morning</v>
      </c>
      <c r="H931" s="35" t="b">
        <v>0</v>
      </c>
      <c r="I931" s="35">
        <v>5</v>
      </c>
      <c r="J931" s="35">
        <v>1</v>
      </c>
      <c r="K931" s="35">
        <v>0.1</v>
      </c>
      <c r="L931" s="31" t="str" cm="1">
        <f t="array" ref="L931">_xlfn.IFS(K931&lt;0.15,"Cold",K931&lt;0.25,"Mild",K931&lt;=0.32,"Warm",K931&gt;=0.33,"Hot")</f>
        <v>Cold</v>
      </c>
      <c r="M931" s="35">
        <v>0.1212</v>
      </c>
      <c r="N931" s="35">
        <v>0.74</v>
      </c>
      <c r="O931" s="35" t="str" cm="1">
        <f t="array" ref="O931">_xlfn.IFS(N931&gt;0.61, "High Humidity", N931&gt;=0.6, "Humid", N931&gt;0.4, "Less Humidity", TRUE, "Dry")</f>
        <v>High Humidity</v>
      </c>
      <c r="P931" s="35">
        <v>0.16420000000000001</v>
      </c>
      <c r="Q931" s="35" t="str" cm="1">
        <f t="array" ref="Q931">_xlfn.IFS(P931&lt;=0.2,"Low Windspeed",P931&lt;0.4,"Medium Windspeed",P931&gt;=0.41,"High Windspeed")</f>
        <v>Low Windspeed</v>
      </c>
      <c r="R931" s="35">
        <v>4</v>
      </c>
      <c r="S931" s="35">
        <v>212</v>
      </c>
      <c r="T931" s="40">
        <v>216</v>
      </c>
      <c r="U931" s="39" t="str" cm="1">
        <f t="array" ref="U931">_xlfn.IFS(T931&lt;=70,"Low",T931&lt;=160,"Medium",T931&gt;=161,"High")</f>
        <v>High</v>
      </c>
    </row>
    <row r="932" spans="1:21" x14ac:dyDescent="0.25">
      <c r="A932" s="33">
        <v>931</v>
      </c>
      <c r="B932" s="34">
        <v>40585</v>
      </c>
      <c r="C932" s="35">
        <v>1</v>
      </c>
      <c r="D932" s="35">
        <v>0</v>
      </c>
      <c r="E932" s="35">
        <v>2</v>
      </c>
      <c r="F932" s="35">
        <v>9</v>
      </c>
      <c r="G932" s="35" t="str" cm="1">
        <f t="array" ref="G932">_xlfn.IFS(F932&lt;4,"Night",F932&lt;=6,"Early Morning",F932&lt;11,"Morning",F932&lt;12,"Afternoon",F932&lt;=16,"Afternoon",F932&lt;=20,"Evening",F932&gt;=21,"Night")</f>
        <v>Morning</v>
      </c>
      <c r="H932" s="35" t="b">
        <v>0</v>
      </c>
      <c r="I932" s="35">
        <v>5</v>
      </c>
      <c r="J932" s="35">
        <v>1</v>
      </c>
      <c r="K932" s="35">
        <v>0.12</v>
      </c>
      <c r="L932" s="31" t="str" cm="1">
        <f t="array" ref="L932">_xlfn.IFS(K932&lt;0.15,"Cold",K932&lt;0.25,"Mild",K932&lt;=0.32,"Warm",K932&gt;=0.33,"Hot")</f>
        <v>Cold</v>
      </c>
      <c r="M932" s="35">
        <v>0.1212</v>
      </c>
      <c r="N932" s="35">
        <v>0.74</v>
      </c>
      <c r="O932" s="35" t="str" cm="1">
        <f t="array" ref="O932">_xlfn.IFS(N932&gt;0.61, "High Humidity", N932&gt;=0.6, "Humid", N932&gt;0.4, "Less Humidity", TRUE, "Dry")</f>
        <v>High Humidity</v>
      </c>
      <c r="P932" s="35">
        <v>0.22389999999999999</v>
      </c>
      <c r="Q932" s="35" t="str" cm="1">
        <f t="array" ref="Q932">_xlfn.IFS(P932&lt;=0.2,"Low Windspeed",P932&lt;0.4,"Medium Windspeed",P932&gt;=0.41,"High Windspeed")</f>
        <v>Medium Windspeed</v>
      </c>
      <c r="R932" s="35">
        <v>8</v>
      </c>
      <c r="S932" s="35">
        <v>132</v>
      </c>
      <c r="T932" s="40">
        <v>140</v>
      </c>
      <c r="U932" s="39" t="str" cm="1">
        <f t="array" ref="U932">_xlfn.IFS(T932&lt;=70,"Low",T932&lt;=160,"Medium",T932&gt;=161,"High")</f>
        <v>Medium</v>
      </c>
    </row>
    <row r="933" spans="1:21" x14ac:dyDescent="0.25">
      <c r="A933" s="33">
        <v>932</v>
      </c>
      <c r="B933" s="34">
        <v>40585</v>
      </c>
      <c r="C933" s="35">
        <v>1</v>
      </c>
      <c r="D933" s="35">
        <v>0</v>
      </c>
      <c r="E933" s="35">
        <v>2</v>
      </c>
      <c r="F933" s="35">
        <v>10</v>
      </c>
      <c r="G933" s="35" t="str" cm="1">
        <f t="array" ref="G933">_xlfn.IFS(F933&lt;4,"Night",F933&lt;=6,"Early Morning",F933&lt;11,"Morning",F933&lt;12,"Afternoon",F933&lt;=16,"Afternoon",F933&lt;=20,"Evening",F933&gt;=21,"Night")</f>
        <v>Morning</v>
      </c>
      <c r="H933" s="35" t="b">
        <v>0</v>
      </c>
      <c r="I933" s="35">
        <v>5</v>
      </c>
      <c r="J933" s="35">
        <v>1</v>
      </c>
      <c r="K933" s="35">
        <v>0.14000000000000001</v>
      </c>
      <c r="L933" s="31" t="str" cm="1">
        <f t="array" ref="L933">_xlfn.IFS(K933&lt;0.15,"Cold",K933&lt;0.25,"Mild",K933&lt;=0.32,"Warm",K933&gt;=0.33,"Hot")</f>
        <v>Cold</v>
      </c>
      <c r="M933" s="35">
        <v>0.13639999999999999</v>
      </c>
      <c r="N933" s="35">
        <v>0.69</v>
      </c>
      <c r="O933" s="35" t="str" cm="1">
        <f t="array" ref="O933">_xlfn.IFS(N933&gt;0.61, "High Humidity", N933&gt;=0.6, "Humid", N933&gt;0.4, "Less Humidity", TRUE, "Dry")</f>
        <v>High Humidity</v>
      </c>
      <c r="P933" s="35">
        <v>0.19400000000000001</v>
      </c>
      <c r="Q933" s="35" t="str" cm="1">
        <f t="array" ref="Q933">_xlfn.IFS(P933&lt;=0.2,"Low Windspeed",P933&lt;0.4,"Medium Windspeed",P933&gt;=0.41,"High Windspeed")</f>
        <v>Low Windspeed</v>
      </c>
      <c r="R933" s="35">
        <v>5</v>
      </c>
      <c r="S933" s="35">
        <v>39</v>
      </c>
      <c r="T933" s="40">
        <v>44</v>
      </c>
      <c r="U933" s="39" t="str" cm="1">
        <f t="array" ref="U933">_xlfn.IFS(T933&lt;=70,"Low",T933&lt;=160,"Medium",T933&gt;=161,"High")</f>
        <v>Low</v>
      </c>
    </row>
    <row r="934" spans="1:21" x14ac:dyDescent="0.25">
      <c r="A934" s="33">
        <v>933</v>
      </c>
      <c r="B934" s="34">
        <v>40585</v>
      </c>
      <c r="C934" s="35">
        <v>1</v>
      </c>
      <c r="D934" s="35">
        <v>0</v>
      </c>
      <c r="E934" s="35">
        <v>2</v>
      </c>
      <c r="F934" s="35">
        <v>11</v>
      </c>
      <c r="G934" s="35" t="str" cm="1">
        <f t="array" ref="G934">_xlfn.IFS(F934&lt;4,"Night",F934&lt;=6,"Early Morning",F934&lt;11,"Morning",F934&lt;12,"Afternoon",F934&lt;=16,"Afternoon",F934&lt;=20,"Evening",F934&gt;=21,"Night")</f>
        <v>Afternoon</v>
      </c>
      <c r="H934" s="35" t="b">
        <v>0</v>
      </c>
      <c r="I934" s="35">
        <v>5</v>
      </c>
      <c r="J934" s="35">
        <v>1</v>
      </c>
      <c r="K934" s="35">
        <v>0.22</v>
      </c>
      <c r="L934" s="31" t="str" cm="1">
        <f t="array" ref="L934">_xlfn.IFS(K934&lt;0.15,"Cold",K934&lt;0.25,"Mild",K934&lt;=0.32,"Warm",K934&gt;=0.33,"Hot")</f>
        <v>Mild</v>
      </c>
      <c r="M934" s="35">
        <v>0.2273</v>
      </c>
      <c r="N934" s="35">
        <v>0.47</v>
      </c>
      <c r="O934" s="35" t="str" cm="1">
        <f t="array" ref="O934">_xlfn.IFS(N934&gt;0.61, "High Humidity", N934&gt;=0.6, "Humid", N934&gt;0.4, "Less Humidity", TRUE, "Dry")</f>
        <v>Less Humidity</v>
      </c>
      <c r="P934" s="35">
        <v>0.1343</v>
      </c>
      <c r="Q934" s="35" t="str" cm="1">
        <f t="array" ref="Q934">_xlfn.IFS(P934&lt;=0.2,"Low Windspeed",P934&lt;0.4,"Medium Windspeed",P934&gt;=0.41,"High Windspeed")</f>
        <v>Low Windspeed</v>
      </c>
      <c r="R934" s="35">
        <v>12</v>
      </c>
      <c r="S934" s="35">
        <v>52</v>
      </c>
      <c r="T934" s="40">
        <v>64</v>
      </c>
      <c r="U934" s="39" t="str" cm="1">
        <f t="array" ref="U934">_xlfn.IFS(T934&lt;=70,"Low",T934&lt;=160,"Medium",T934&gt;=161,"High")</f>
        <v>Low</v>
      </c>
    </row>
    <row r="935" spans="1:21" x14ac:dyDescent="0.25">
      <c r="A935" s="33">
        <v>934</v>
      </c>
      <c r="B935" s="34">
        <v>40585</v>
      </c>
      <c r="C935" s="35">
        <v>1</v>
      </c>
      <c r="D935" s="35">
        <v>0</v>
      </c>
      <c r="E935" s="35">
        <v>2</v>
      </c>
      <c r="F935" s="35">
        <v>12</v>
      </c>
      <c r="G935" s="35" t="str" cm="1">
        <f t="array" ref="G935">_xlfn.IFS(F935&lt;4,"Night",F935&lt;=6,"Early Morning",F935&lt;11,"Morning",F935&lt;12,"Afternoon",F935&lt;=16,"Afternoon",F935&lt;=20,"Evening",F935&gt;=21,"Night")</f>
        <v>Afternoon</v>
      </c>
      <c r="H935" s="35" t="b">
        <v>0</v>
      </c>
      <c r="I935" s="35">
        <v>5</v>
      </c>
      <c r="J935" s="35">
        <v>1</v>
      </c>
      <c r="K935" s="35">
        <v>0.22</v>
      </c>
      <c r="L935" s="31" t="str" cm="1">
        <f t="array" ref="L935">_xlfn.IFS(K935&lt;0.15,"Cold",K935&lt;0.25,"Mild",K935&lt;=0.32,"Warm",K935&gt;=0.33,"Hot")</f>
        <v>Mild</v>
      </c>
      <c r="M935" s="35">
        <v>0.2273</v>
      </c>
      <c r="N935" s="35">
        <v>0.47</v>
      </c>
      <c r="O935" s="35" t="str" cm="1">
        <f t="array" ref="O935">_xlfn.IFS(N935&gt;0.61, "High Humidity", N935&gt;=0.6, "Humid", N935&gt;0.4, "Less Humidity", TRUE, "Dry")</f>
        <v>Less Humidity</v>
      </c>
      <c r="P935" s="35">
        <v>0.1343</v>
      </c>
      <c r="Q935" s="35" t="str" cm="1">
        <f t="array" ref="Q935">_xlfn.IFS(P935&lt;=0.2,"Low Windspeed",P935&lt;0.4,"Medium Windspeed",P935&gt;=0.41,"High Windspeed")</f>
        <v>Low Windspeed</v>
      </c>
      <c r="R935" s="35">
        <v>7</v>
      </c>
      <c r="S935" s="35">
        <v>64</v>
      </c>
      <c r="T935" s="40">
        <v>71</v>
      </c>
      <c r="U935" s="39" t="str" cm="1">
        <f t="array" ref="U935">_xlfn.IFS(T935&lt;=70,"Low",T935&lt;=160,"Medium",T935&gt;=161,"High")</f>
        <v>Medium</v>
      </c>
    </row>
    <row r="936" spans="1:21" x14ac:dyDescent="0.25">
      <c r="A936" s="33">
        <v>935</v>
      </c>
      <c r="B936" s="34">
        <v>40585</v>
      </c>
      <c r="C936" s="35">
        <v>1</v>
      </c>
      <c r="D936" s="35">
        <v>0</v>
      </c>
      <c r="E936" s="35">
        <v>2</v>
      </c>
      <c r="F936" s="35">
        <v>13</v>
      </c>
      <c r="G936" s="35" t="str" cm="1">
        <f t="array" ref="G936">_xlfn.IFS(F936&lt;4,"Night",F936&lt;=6,"Early Morning",F936&lt;11,"Morning",F936&lt;12,"Afternoon",F936&lt;=16,"Afternoon",F936&lt;=20,"Evening",F936&gt;=21,"Night")</f>
        <v>Afternoon</v>
      </c>
      <c r="H936" s="35" t="b">
        <v>0</v>
      </c>
      <c r="I936" s="35">
        <v>5</v>
      </c>
      <c r="J936" s="35">
        <v>1</v>
      </c>
      <c r="K936" s="35">
        <v>0.24</v>
      </c>
      <c r="L936" s="31" t="str" cm="1">
        <f t="array" ref="L936">_xlfn.IFS(K936&lt;0.15,"Cold",K936&lt;0.25,"Mild",K936&lt;=0.32,"Warm",K936&gt;=0.33,"Hot")</f>
        <v>Mild</v>
      </c>
      <c r="M936" s="35">
        <v>0.2273</v>
      </c>
      <c r="N936" s="35">
        <v>0.35</v>
      </c>
      <c r="O936" s="35" t="str" cm="1">
        <f t="array" ref="O936">_xlfn.IFS(N936&gt;0.61, "High Humidity", N936&gt;=0.6, "Humid", N936&gt;0.4, "Less Humidity", TRUE, "Dry")</f>
        <v>Dry</v>
      </c>
      <c r="P936" s="35">
        <v>0.19400000000000001</v>
      </c>
      <c r="Q936" s="35" t="str" cm="1">
        <f t="array" ref="Q936">_xlfn.IFS(P936&lt;=0.2,"Low Windspeed",P936&lt;0.4,"Medium Windspeed",P936&gt;=0.41,"High Windspeed")</f>
        <v>Low Windspeed</v>
      </c>
      <c r="R936" s="35">
        <v>21</v>
      </c>
      <c r="S936" s="35">
        <v>89</v>
      </c>
      <c r="T936" s="40">
        <v>110</v>
      </c>
      <c r="U936" s="39" t="str" cm="1">
        <f t="array" ref="U936">_xlfn.IFS(T936&lt;=70,"Low",T936&lt;=160,"Medium",T936&gt;=161,"High")</f>
        <v>Medium</v>
      </c>
    </row>
    <row r="937" spans="1:21" x14ac:dyDescent="0.25">
      <c r="A937" s="33">
        <v>936</v>
      </c>
      <c r="B937" s="34">
        <v>40585</v>
      </c>
      <c r="C937" s="35">
        <v>1</v>
      </c>
      <c r="D937" s="35">
        <v>0</v>
      </c>
      <c r="E937" s="35">
        <v>2</v>
      </c>
      <c r="F937" s="35">
        <v>14</v>
      </c>
      <c r="G937" s="35" t="str" cm="1">
        <f t="array" ref="G937">_xlfn.IFS(F937&lt;4,"Night",F937&lt;=6,"Early Morning",F937&lt;11,"Morning",F937&lt;12,"Afternoon",F937&lt;=16,"Afternoon",F937&lt;=20,"Evening",F937&gt;=21,"Night")</f>
        <v>Afternoon</v>
      </c>
      <c r="H937" s="35" t="b">
        <v>0</v>
      </c>
      <c r="I937" s="35">
        <v>5</v>
      </c>
      <c r="J937" s="35">
        <v>1</v>
      </c>
      <c r="K937" s="35">
        <v>0.3</v>
      </c>
      <c r="L937" s="31" t="str" cm="1">
        <f t="array" ref="L937">_xlfn.IFS(K937&lt;0.15,"Cold",K937&lt;0.25,"Mild",K937&lt;=0.32,"Warm",K937&gt;=0.33,"Hot")</f>
        <v>Warm</v>
      </c>
      <c r="M937" s="35">
        <v>0.28789999999999999</v>
      </c>
      <c r="N937" s="35">
        <v>0.26</v>
      </c>
      <c r="O937" s="35" t="str" cm="1">
        <f t="array" ref="O937">_xlfn.IFS(N937&gt;0.61, "High Humidity", N937&gt;=0.6, "Humid", N937&gt;0.4, "Less Humidity", TRUE, "Dry")</f>
        <v>Dry</v>
      </c>
      <c r="P937" s="35">
        <v>0.25369999999999998</v>
      </c>
      <c r="Q937" s="35" t="str" cm="1">
        <f t="array" ref="Q937">_xlfn.IFS(P937&lt;=0.2,"Low Windspeed",P937&lt;0.4,"Medium Windspeed",P937&gt;=0.41,"High Windspeed")</f>
        <v>Medium Windspeed</v>
      </c>
      <c r="R937" s="35">
        <v>17</v>
      </c>
      <c r="S937" s="35">
        <v>67</v>
      </c>
      <c r="T937" s="40">
        <v>84</v>
      </c>
      <c r="U937" s="39" t="str" cm="1">
        <f t="array" ref="U937">_xlfn.IFS(T937&lt;=70,"Low",T937&lt;=160,"Medium",T937&gt;=161,"High")</f>
        <v>Medium</v>
      </c>
    </row>
    <row r="938" spans="1:21" x14ac:dyDescent="0.25">
      <c r="A938" s="33">
        <v>937</v>
      </c>
      <c r="B938" s="34">
        <v>40585</v>
      </c>
      <c r="C938" s="35">
        <v>1</v>
      </c>
      <c r="D938" s="35">
        <v>0</v>
      </c>
      <c r="E938" s="35">
        <v>2</v>
      </c>
      <c r="F938" s="35">
        <v>15</v>
      </c>
      <c r="G938" s="35" t="str" cm="1">
        <f t="array" ref="G938">_xlfn.IFS(F938&lt;4,"Night",F938&lt;=6,"Early Morning",F938&lt;11,"Morning",F938&lt;12,"Afternoon",F938&lt;=16,"Afternoon",F938&lt;=20,"Evening",F938&gt;=21,"Night")</f>
        <v>Afternoon</v>
      </c>
      <c r="H938" s="35" t="b">
        <v>0</v>
      </c>
      <c r="I938" s="35">
        <v>5</v>
      </c>
      <c r="J938" s="35">
        <v>1</v>
      </c>
      <c r="K938" s="35">
        <v>0.32</v>
      </c>
      <c r="L938" s="31" t="str" cm="1">
        <f t="array" ref="L938">_xlfn.IFS(K938&lt;0.15,"Cold",K938&lt;0.25,"Mild",K938&lt;=0.32,"Warm",K938&gt;=0.33,"Hot")</f>
        <v>Warm</v>
      </c>
      <c r="M938" s="35">
        <v>0.31819999999999998</v>
      </c>
      <c r="N938" s="35">
        <v>0.21</v>
      </c>
      <c r="O938" s="35" t="str" cm="1">
        <f t="array" ref="O938">_xlfn.IFS(N938&gt;0.61, "High Humidity", N938&gt;=0.6, "Humid", N938&gt;0.4, "Less Humidity", TRUE, "Dry")</f>
        <v>Dry</v>
      </c>
      <c r="P938" s="35">
        <v>0.16420000000000001</v>
      </c>
      <c r="Q938" s="35" t="str" cm="1">
        <f t="array" ref="Q938">_xlfn.IFS(P938&lt;=0.2,"Low Windspeed",P938&lt;0.4,"Medium Windspeed",P938&gt;=0.41,"High Windspeed")</f>
        <v>Low Windspeed</v>
      </c>
      <c r="R938" s="35">
        <v>12</v>
      </c>
      <c r="S938" s="35">
        <v>62</v>
      </c>
      <c r="T938" s="40">
        <v>74</v>
      </c>
      <c r="U938" s="39" t="str" cm="1">
        <f t="array" ref="U938">_xlfn.IFS(T938&lt;=70,"Low",T938&lt;=160,"Medium",T938&gt;=161,"High")</f>
        <v>Medium</v>
      </c>
    </row>
    <row r="939" spans="1:21" x14ac:dyDescent="0.25">
      <c r="A939" s="33">
        <v>938</v>
      </c>
      <c r="B939" s="34">
        <v>40585</v>
      </c>
      <c r="C939" s="35">
        <v>1</v>
      </c>
      <c r="D939" s="35">
        <v>0</v>
      </c>
      <c r="E939" s="35">
        <v>2</v>
      </c>
      <c r="F939" s="35">
        <v>16</v>
      </c>
      <c r="G939" s="35" t="str" cm="1">
        <f t="array" ref="G939">_xlfn.IFS(F939&lt;4,"Night",F939&lt;=6,"Early Morning",F939&lt;11,"Morning",F939&lt;12,"Afternoon",F939&lt;=16,"Afternoon",F939&lt;=20,"Evening",F939&gt;=21,"Night")</f>
        <v>Afternoon</v>
      </c>
      <c r="H939" s="35" t="b">
        <v>0</v>
      </c>
      <c r="I939" s="35">
        <v>5</v>
      </c>
      <c r="J939" s="35">
        <v>1</v>
      </c>
      <c r="K939" s="35">
        <v>0.3</v>
      </c>
      <c r="L939" s="31" t="str" cm="1">
        <f t="array" ref="L939">_xlfn.IFS(K939&lt;0.15,"Cold",K939&lt;0.25,"Mild",K939&lt;=0.32,"Warm",K939&gt;=0.33,"Hot")</f>
        <v>Warm</v>
      </c>
      <c r="M939" s="35">
        <v>0.28789999999999999</v>
      </c>
      <c r="N939" s="35">
        <v>0.28000000000000003</v>
      </c>
      <c r="O939" s="35" t="str" cm="1">
        <f t="array" ref="O939">_xlfn.IFS(N939&gt;0.61, "High Humidity", N939&gt;=0.6, "Humid", N939&gt;0.4, "Less Humidity", TRUE, "Dry")</f>
        <v>Dry</v>
      </c>
      <c r="P939" s="35">
        <v>0.19400000000000001</v>
      </c>
      <c r="Q939" s="35" t="str" cm="1">
        <f t="array" ref="Q939">_xlfn.IFS(P939&lt;=0.2,"Low Windspeed",P939&lt;0.4,"Medium Windspeed",P939&gt;=0.41,"High Windspeed")</f>
        <v>Low Windspeed</v>
      </c>
      <c r="R939" s="35">
        <v>14</v>
      </c>
      <c r="S939" s="35">
        <v>111</v>
      </c>
      <c r="T939" s="40">
        <v>125</v>
      </c>
      <c r="U939" s="39" t="str" cm="1">
        <f t="array" ref="U939">_xlfn.IFS(T939&lt;=70,"Low",T939&lt;=160,"Medium",T939&gt;=161,"High")</f>
        <v>Medium</v>
      </c>
    </row>
    <row r="940" spans="1:21" x14ac:dyDescent="0.25">
      <c r="A940" s="33">
        <v>939</v>
      </c>
      <c r="B940" s="34">
        <v>40585</v>
      </c>
      <c r="C940" s="35">
        <v>1</v>
      </c>
      <c r="D940" s="35">
        <v>0</v>
      </c>
      <c r="E940" s="35">
        <v>2</v>
      </c>
      <c r="F940" s="35">
        <v>17</v>
      </c>
      <c r="G940" s="35" t="str" cm="1">
        <f t="array" ref="G940">_xlfn.IFS(F940&lt;4,"Night",F940&lt;=6,"Early Morning",F940&lt;11,"Morning",F940&lt;12,"Afternoon",F940&lt;=16,"Afternoon",F940&lt;=20,"Evening",F940&gt;=21,"Night")</f>
        <v>Evening</v>
      </c>
      <c r="H940" s="35" t="b">
        <v>0</v>
      </c>
      <c r="I940" s="35">
        <v>5</v>
      </c>
      <c r="J940" s="35">
        <v>1</v>
      </c>
      <c r="K940" s="35">
        <v>0.3</v>
      </c>
      <c r="L940" s="31" t="str" cm="1">
        <f t="array" ref="L940">_xlfn.IFS(K940&lt;0.15,"Cold",K940&lt;0.25,"Mild",K940&lt;=0.32,"Warm",K940&gt;=0.33,"Hot")</f>
        <v>Warm</v>
      </c>
      <c r="M940" s="35">
        <v>0.33329999999999999</v>
      </c>
      <c r="N940" s="35">
        <v>0.24</v>
      </c>
      <c r="O940" s="35" t="str" cm="1">
        <f t="array" ref="O940">_xlfn.IFS(N940&gt;0.61, "High Humidity", N940&gt;=0.6, "Humid", N940&gt;0.4, "Less Humidity", TRUE, "Dry")</f>
        <v>Dry</v>
      </c>
      <c r="P940" s="35">
        <v>0</v>
      </c>
      <c r="Q940" s="35" t="str" cm="1">
        <f t="array" ref="Q940">_xlfn.IFS(P940&lt;=0.2,"Low Windspeed",P940&lt;0.4,"Medium Windspeed",P940&gt;=0.41,"High Windspeed")</f>
        <v>Low Windspeed</v>
      </c>
      <c r="R940" s="35">
        <v>18</v>
      </c>
      <c r="S940" s="35">
        <v>193</v>
      </c>
      <c r="T940" s="40">
        <v>211</v>
      </c>
      <c r="U940" s="39" t="str" cm="1">
        <f t="array" ref="U940">_xlfn.IFS(T940&lt;=70,"Low",T940&lt;=160,"Medium",T940&gt;=161,"High")</f>
        <v>High</v>
      </c>
    </row>
    <row r="941" spans="1:21" x14ac:dyDescent="0.25">
      <c r="A941" s="33">
        <v>940</v>
      </c>
      <c r="B941" s="34">
        <v>40585</v>
      </c>
      <c r="C941" s="35">
        <v>1</v>
      </c>
      <c r="D941" s="35">
        <v>0</v>
      </c>
      <c r="E941" s="35">
        <v>2</v>
      </c>
      <c r="F941" s="35">
        <v>18</v>
      </c>
      <c r="G941" s="35" t="str" cm="1">
        <f t="array" ref="G941">_xlfn.IFS(F941&lt;4,"Night",F941&lt;=6,"Early Morning",F941&lt;11,"Morning",F941&lt;12,"Afternoon",F941&lt;=16,"Afternoon",F941&lt;=20,"Evening",F941&gt;=21,"Night")</f>
        <v>Evening</v>
      </c>
      <c r="H941" s="35" t="b">
        <v>0</v>
      </c>
      <c r="I941" s="35">
        <v>5</v>
      </c>
      <c r="J941" s="35">
        <v>1</v>
      </c>
      <c r="K941" s="35">
        <v>0.28000000000000003</v>
      </c>
      <c r="L941" s="31" t="str" cm="1">
        <f t="array" ref="L941">_xlfn.IFS(K941&lt;0.15,"Cold",K941&lt;0.25,"Mild",K941&lt;=0.32,"Warm",K941&gt;=0.33,"Hot")</f>
        <v>Warm</v>
      </c>
      <c r="M941" s="35">
        <v>0.31819999999999998</v>
      </c>
      <c r="N941" s="35">
        <v>0.28000000000000003</v>
      </c>
      <c r="O941" s="35" t="str" cm="1">
        <f t="array" ref="O941">_xlfn.IFS(N941&gt;0.61, "High Humidity", N941&gt;=0.6, "Humid", N941&gt;0.4, "Less Humidity", TRUE, "Dry")</f>
        <v>Dry</v>
      </c>
      <c r="P941" s="35">
        <v>0</v>
      </c>
      <c r="Q941" s="35" t="str" cm="1">
        <f t="array" ref="Q941">_xlfn.IFS(P941&lt;=0.2,"Low Windspeed",P941&lt;0.4,"Medium Windspeed",P941&gt;=0.41,"High Windspeed")</f>
        <v>Low Windspeed</v>
      </c>
      <c r="R941" s="35">
        <v>9</v>
      </c>
      <c r="S941" s="35">
        <v>165</v>
      </c>
      <c r="T941" s="40">
        <v>174</v>
      </c>
      <c r="U941" s="39" t="str" cm="1">
        <f t="array" ref="U941">_xlfn.IFS(T941&lt;=70,"Low",T941&lt;=160,"Medium",T941&gt;=161,"High")</f>
        <v>High</v>
      </c>
    </row>
    <row r="942" spans="1:21" x14ac:dyDescent="0.25">
      <c r="A942" s="33">
        <v>941</v>
      </c>
      <c r="B942" s="34">
        <v>40585</v>
      </c>
      <c r="C942" s="35">
        <v>1</v>
      </c>
      <c r="D942" s="35">
        <v>0</v>
      </c>
      <c r="E942" s="35">
        <v>2</v>
      </c>
      <c r="F942" s="35">
        <v>19</v>
      </c>
      <c r="G942" s="35" t="str" cm="1">
        <f t="array" ref="G942">_xlfn.IFS(F942&lt;4,"Night",F942&lt;=6,"Early Morning",F942&lt;11,"Morning",F942&lt;12,"Afternoon",F942&lt;=16,"Afternoon",F942&lt;=20,"Evening",F942&gt;=21,"Night")</f>
        <v>Evening</v>
      </c>
      <c r="H942" s="35" t="b">
        <v>0</v>
      </c>
      <c r="I942" s="35">
        <v>5</v>
      </c>
      <c r="J942" s="35">
        <v>1</v>
      </c>
      <c r="K942" s="35">
        <v>0.26</v>
      </c>
      <c r="L942" s="31" t="str" cm="1">
        <f t="array" ref="L942">_xlfn.IFS(K942&lt;0.15,"Cold",K942&lt;0.25,"Mild",K942&lt;=0.32,"Warm",K942&gt;=0.33,"Hot")</f>
        <v>Warm</v>
      </c>
      <c r="M942" s="35">
        <v>0.30299999999999999</v>
      </c>
      <c r="N942" s="35">
        <v>0.33</v>
      </c>
      <c r="O942" s="35" t="str" cm="1">
        <f t="array" ref="O942">_xlfn.IFS(N942&gt;0.61, "High Humidity", N942&gt;=0.6, "Humid", N942&gt;0.4, "Less Humidity", TRUE, "Dry")</f>
        <v>Dry</v>
      </c>
      <c r="P942" s="35">
        <v>0</v>
      </c>
      <c r="Q942" s="35" t="str" cm="1">
        <f t="array" ref="Q942">_xlfn.IFS(P942&lt;=0.2,"Low Windspeed",P942&lt;0.4,"Medium Windspeed",P942&gt;=0.41,"High Windspeed")</f>
        <v>Low Windspeed</v>
      </c>
      <c r="R942" s="35">
        <v>7</v>
      </c>
      <c r="S942" s="35">
        <v>94</v>
      </c>
      <c r="T942" s="40">
        <v>101</v>
      </c>
      <c r="U942" s="39" t="str" cm="1">
        <f t="array" ref="U942">_xlfn.IFS(T942&lt;=70,"Low",T942&lt;=160,"Medium",T942&gt;=161,"High")</f>
        <v>Medium</v>
      </c>
    </row>
    <row r="943" spans="1:21" x14ac:dyDescent="0.25">
      <c r="A943" s="33">
        <v>942</v>
      </c>
      <c r="B943" s="34">
        <v>40585</v>
      </c>
      <c r="C943" s="35">
        <v>1</v>
      </c>
      <c r="D943" s="35">
        <v>0</v>
      </c>
      <c r="E943" s="35">
        <v>2</v>
      </c>
      <c r="F943" s="35">
        <v>20</v>
      </c>
      <c r="G943" s="35" t="str" cm="1">
        <f t="array" ref="G943">_xlfn.IFS(F943&lt;4,"Night",F943&lt;=6,"Early Morning",F943&lt;11,"Morning",F943&lt;12,"Afternoon",F943&lt;=16,"Afternoon",F943&lt;=20,"Evening",F943&gt;=21,"Night")</f>
        <v>Evening</v>
      </c>
      <c r="H943" s="35" t="b">
        <v>0</v>
      </c>
      <c r="I943" s="35">
        <v>5</v>
      </c>
      <c r="J943" s="35">
        <v>1</v>
      </c>
      <c r="K943" s="35">
        <v>0.22</v>
      </c>
      <c r="L943" s="31" t="str" cm="1">
        <f t="array" ref="L943">_xlfn.IFS(K943&lt;0.15,"Cold",K943&lt;0.25,"Mild",K943&lt;=0.32,"Warm",K943&gt;=0.33,"Hot")</f>
        <v>Mild</v>
      </c>
      <c r="M943" s="35">
        <v>0.2273</v>
      </c>
      <c r="N943" s="35">
        <v>0.55000000000000004</v>
      </c>
      <c r="O943" s="35" t="str" cm="1">
        <f t="array" ref="O943">_xlfn.IFS(N943&gt;0.61, "High Humidity", N943&gt;=0.6, "Humid", N943&gt;0.4, "Less Humidity", TRUE, "Dry")</f>
        <v>Less Humidity</v>
      </c>
      <c r="P943" s="35">
        <v>0.1343</v>
      </c>
      <c r="Q943" s="35" t="str" cm="1">
        <f t="array" ref="Q943">_xlfn.IFS(P943&lt;=0.2,"Low Windspeed",P943&lt;0.4,"Medium Windspeed",P943&gt;=0.41,"High Windspeed")</f>
        <v>Low Windspeed</v>
      </c>
      <c r="R943" s="35">
        <v>2</v>
      </c>
      <c r="S943" s="35">
        <v>61</v>
      </c>
      <c r="T943" s="40">
        <v>63</v>
      </c>
      <c r="U943" s="39" t="str" cm="1">
        <f t="array" ref="U943">_xlfn.IFS(T943&lt;=70,"Low",T943&lt;=160,"Medium",T943&gt;=161,"High")</f>
        <v>Low</v>
      </c>
    </row>
    <row r="944" spans="1:21" x14ac:dyDescent="0.25">
      <c r="A944" s="33">
        <v>943</v>
      </c>
      <c r="B944" s="34">
        <v>40585</v>
      </c>
      <c r="C944" s="35">
        <v>1</v>
      </c>
      <c r="D944" s="35">
        <v>0</v>
      </c>
      <c r="E944" s="35">
        <v>2</v>
      </c>
      <c r="F944" s="35">
        <v>21</v>
      </c>
      <c r="G944" s="35" t="str" cm="1">
        <f t="array" ref="G944">_xlfn.IFS(F944&lt;4,"Night",F944&lt;=6,"Early Morning",F944&lt;11,"Morning",F944&lt;12,"Afternoon",F944&lt;=16,"Afternoon",F944&lt;=20,"Evening",F944&gt;=21,"Night")</f>
        <v>Night</v>
      </c>
      <c r="H944" s="35" t="b">
        <v>0</v>
      </c>
      <c r="I944" s="35">
        <v>5</v>
      </c>
      <c r="J944" s="35">
        <v>1</v>
      </c>
      <c r="K944" s="35">
        <v>0.2</v>
      </c>
      <c r="L944" s="31" t="str" cm="1">
        <f t="array" ref="L944">_xlfn.IFS(K944&lt;0.15,"Cold",K944&lt;0.25,"Mild",K944&lt;=0.32,"Warm",K944&gt;=0.33,"Hot")</f>
        <v>Mild</v>
      </c>
      <c r="M944" s="35">
        <v>0.21210000000000001</v>
      </c>
      <c r="N944" s="35">
        <v>0.59</v>
      </c>
      <c r="O944" s="35" t="str" cm="1">
        <f t="array" ref="O944">_xlfn.IFS(N944&gt;0.61, "High Humidity", N944&gt;=0.6, "Humid", N944&gt;0.4, "Less Humidity", TRUE, "Dry")</f>
        <v>Less Humidity</v>
      </c>
      <c r="P944" s="35">
        <v>0.1343</v>
      </c>
      <c r="Q944" s="35" t="str" cm="1">
        <f t="array" ref="Q944">_xlfn.IFS(P944&lt;=0.2,"Low Windspeed",P944&lt;0.4,"Medium Windspeed",P944&gt;=0.41,"High Windspeed")</f>
        <v>Low Windspeed</v>
      </c>
      <c r="R944" s="35">
        <v>1</v>
      </c>
      <c r="S944" s="35">
        <v>46</v>
      </c>
      <c r="T944" s="40">
        <v>47</v>
      </c>
      <c r="U944" s="39" t="str" cm="1">
        <f t="array" ref="U944">_xlfn.IFS(T944&lt;=70,"Low",T944&lt;=160,"Medium",T944&gt;=161,"High")</f>
        <v>Low</v>
      </c>
    </row>
    <row r="945" spans="1:21" x14ac:dyDescent="0.25">
      <c r="A945" s="33">
        <v>944</v>
      </c>
      <c r="B945" s="34">
        <v>40585</v>
      </c>
      <c r="C945" s="35">
        <v>1</v>
      </c>
      <c r="D945" s="35">
        <v>0</v>
      </c>
      <c r="E945" s="35">
        <v>2</v>
      </c>
      <c r="F945" s="35">
        <v>22</v>
      </c>
      <c r="G945" s="35" t="str" cm="1">
        <f t="array" ref="G945">_xlfn.IFS(F945&lt;4,"Night",F945&lt;=6,"Early Morning",F945&lt;11,"Morning",F945&lt;12,"Afternoon",F945&lt;=16,"Afternoon",F945&lt;=20,"Evening",F945&gt;=21,"Night")</f>
        <v>Night</v>
      </c>
      <c r="H945" s="35" t="b">
        <v>0</v>
      </c>
      <c r="I945" s="35">
        <v>5</v>
      </c>
      <c r="J945" s="35">
        <v>1</v>
      </c>
      <c r="K945" s="35">
        <v>0.2</v>
      </c>
      <c r="L945" s="31" t="str" cm="1">
        <f t="array" ref="L945">_xlfn.IFS(K945&lt;0.15,"Cold",K945&lt;0.25,"Mild",K945&lt;=0.32,"Warm",K945&gt;=0.33,"Hot")</f>
        <v>Mild</v>
      </c>
      <c r="M945" s="35">
        <v>0.2273</v>
      </c>
      <c r="N945" s="35">
        <v>0.64</v>
      </c>
      <c r="O945" s="35" t="str" cm="1">
        <f t="array" ref="O945">_xlfn.IFS(N945&gt;0.61, "High Humidity", N945&gt;=0.6, "Humid", N945&gt;0.4, "Less Humidity", TRUE, "Dry")</f>
        <v>High Humidity</v>
      </c>
      <c r="P945" s="35">
        <v>8.9599999999999999E-2</v>
      </c>
      <c r="Q945" s="35" t="str" cm="1">
        <f t="array" ref="Q945">_xlfn.IFS(P945&lt;=0.2,"Low Windspeed",P945&lt;0.4,"Medium Windspeed",P945&gt;=0.41,"High Windspeed")</f>
        <v>Low Windspeed</v>
      </c>
      <c r="R945" s="35">
        <v>2</v>
      </c>
      <c r="S945" s="35">
        <v>41</v>
      </c>
      <c r="T945" s="40">
        <v>43</v>
      </c>
      <c r="U945" s="39" t="str" cm="1">
        <f t="array" ref="U945">_xlfn.IFS(T945&lt;=70,"Low",T945&lt;=160,"Medium",T945&gt;=161,"High")</f>
        <v>Low</v>
      </c>
    </row>
    <row r="946" spans="1:21" x14ac:dyDescent="0.25">
      <c r="A946" s="33">
        <v>945</v>
      </c>
      <c r="B946" s="34">
        <v>40585</v>
      </c>
      <c r="C946" s="35">
        <v>1</v>
      </c>
      <c r="D946" s="35">
        <v>0</v>
      </c>
      <c r="E946" s="35">
        <v>2</v>
      </c>
      <c r="F946" s="35">
        <v>23</v>
      </c>
      <c r="G946" s="35" t="str" cm="1">
        <f t="array" ref="G946">_xlfn.IFS(F946&lt;4,"Night",F946&lt;=6,"Early Morning",F946&lt;11,"Morning",F946&lt;12,"Afternoon",F946&lt;=16,"Afternoon",F946&lt;=20,"Evening",F946&gt;=21,"Night")</f>
        <v>Night</v>
      </c>
      <c r="H946" s="35" t="b">
        <v>0</v>
      </c>
      <c r="I946" s="35">
        <v>5</v>
      </c>
      <c r="J946" s="35">
        <v>1</v>
      </c>
      <c r="K946" s="35">
        <v>0.18</v>
      </c>
      <c r="L946" s="31" t="str" cm="1">
        <f t="array" ref="L946">_xlfn.IFS(K946&lt;0.15,"Cold",K946&lt;0.25,"Mild",K946&lt;=0.32,"Warm",K946&gt;=0.33,"Hot")</f>
        <v>Mild</v>
      </c>
      <c r="M946" s="35">
        <v>0.2424</v>
      </c>
      <c r="N946" s="35">
        <v>0.69</v>
      </c>
      <c r="O946" s="35" t="str" cm="1">
        <f t="array" ref="O946">_xlfn.IFS(N946&gt;0.61, "High Humidity", N946&gt;=0.6, "Humid", N946&gt;0.4, "Less Humidity", TRUE, "Dry")</f>
        <v>High Humidity</v>
      </c>
      <c r="P946" s="35">
        <v>0</v>
      </c>
      <c r="Q946" s="35" t="str" cm="1">
        <f t="array" ref="Q946">_xlfn.IFS(P946&lt;=0.2,"Low Windspeed",P946&lt;0.4,"Medium Windspeed",P946&gt;=0.41,"High Windspeed")</f>
        <v>Low Windspeed</v>
      </c>
      <c r="R946" s="35">
        <v>5</v>
      </c>
      <c r="S946" s="35">
        <v>48</v>
      </c>
      <c r="T946" s="40">
        <v>53</v>
      </c>
      <c r="U946" s="39" t="str" cm="1">
        <f t="array" ref="U946">_xlfn.IFS(T946&lt;=70,"Low",T946&lt;=160,"Medium",T946&gt;=161,"High")</f>
        <v>Low</v>
      </c>
    </row>
    <row r="947" spans="1:21" x14ac:dyDescent="0.25">
      <c r="A947" s="33">
        <v>946</v>
      </c>
      <c r="B947" s="34">
        <v>40586</v>
      </c>
      <c r="C947" s="35">
        <v>1</v>
      </c>
      <c r="D947" s="35">
        <v>0</v>
      </c>
      <c r="E947" s="35">
        <v>2</v>
      </c>
      <c r="F947" s="35">
        <v>0</v>
      </c>
      <c r="G947" s="35" t="str" cm="1">
        <f t="array" ref="G947">_xlfn.IFS(F947&lt;4,"Night",F947&lt;=6,"Early Morning",F947&lt;11,"Morning",F947&lt;12,"Afternoon",F947&lt;=16,"Afternoon",F947&lt;=20,"Evening",F947&gt;=21,"Night")</f>
        <v>Night</v>
      </c>
      <c r="H947" s="35" t="b">
        <v>0</v>
      </c>
      <c r="I947" s="35">
        <v>6</v>
      </c>
      <c r="J947" s="35">
        <v>1</v>
      </c>
      <c r="K947" s="35">
        <v>0.16</v>
      </c>
      <c r="L947" s="31" t="str" cm="1">
        <f t="array" ref="L947">_xlfn.IFS(K947&lt;0.15,"Cold",K947&lt;0.25,"Mild",K947&lt;=0.32,"Warm",K947&gt;=0.33,"Hot")</f>
        <v>Mild</v>
      </c>
      <c r="M947" s="35">
        <v>0.19700000000000001</v>
      </c>
      <c r="N947" s="35">
        <v>0.69</v>
      </c>
      <c r="O947" s="35" t="str" cm="1">
        <f t="array" ref="O947">_xlfn.IFS(N947&gt;0.61, "High Humidity", N947&gt;=0.6, "Humid", N947&gt;0.4, "Less Humidity", TRUE, "Dry")</f>
        <v>High Humidity</v>
      </c>
      <c r="P947" s="35">
        <v>8.9599999999999999E-2</v>
      </c>
      <c r="Q947" s="35" t="str" cm="1">
        <f t="array" ref="Q947">_xlfn.IFS(P947&lt;=0.2,"Low Windspeed",P947&lt;0.4,"Medium Windspeed",P947&gt;=0.41,"High Windspeed")</f>
        <v>Low Windspeed</v>
      </c>
      <c r="R947" s="35">
        <v>3</v>
      </c>
      <c r="S947" s="35">
        <v>27</v>
      </c>
      <c r="T947" s="40">
        <v>30</v>
      </c>
      <c r="U947" s="39" t="str" cm="1">
        <f t="array" ref="U947">_xlfn.IFS(T947&lt;=70,"Low",T947&lt;=160,"Medium",T947&gt;=161,"High")</f>
        <v>Low</v>
      </c>
    </row>
    <row r="948" spans="1:21" x14ac:dyDescent="0.25">
      <c r="A948" s="33">
        <v>947</v>
      </c>
      <c r="B948" s="34">
        <v>40586</v>
      </c>
      <c r="C948" s="35">
        <v>1</v>
      </c>
      <c r="D948" s="35">
        <v>0</v>
      </c>
      <c r="E948" s="35">
        <v>2</v>
      </c>
      <c r="F948" s="35">
        <v>1</v>
      </c>
      <c r="G948" s="35" t="str" cm="1">
        <f t="array" ref="G948">_xlfn.IFS(F948&lt;4,"Night",F948&lt;=6,"Early Morning",F948&lt;11,"Morning",F948&lt;12,"Afternoon",F948&lt;=16,"Afternoon",F948&lt;=20,"Evening",F948&gt;=21,"Night")</f>
        <v>Night</v>
      </c>
      <c r="H948" s="35" t="b">
        <v>0</v>
      </c>
      <c r="I948" s="35">
        <v>6</v>
      </c>
      <c r="J948" s="35">
        <v>1</v>
      </c>
      <c r="K948" s="35">
        <v>0.14000000000000001</v>
      </c>
      <c r="L948" s="31" t="str" cm="1">
        <f t="array" ref="L948">_xlfn.IFS(K948&lt;0.15,"Cold",K948&lt;0.25,"Mild",K948&lt;=0.32,"Warm",K948&gt;=0.33,"Hot")</f>
        <v>Cold</v>
      </c>
      <c r="M948" s="35">
        <v>0.21210000000000001</v>
      </c>
      <c r="N948" s="35">
        <v>0.86</v>
      </c>
      <c r="O948" s="35" t="str" cm="1">
        <f t="array" ref="O948">_xlfn.IFS(N948&gt;0.61, "High Humidity", N948&gt;=0.6, "Humid", N948&gt;0.4, "Less Humidity", TRUE, "Dry")</f>
        <v>High Humidity</v>
      </c>
      <c r="P948" s="35">
        <v>0</v>
      </c>
      <c r="Q948" s="35" t="str" cm="1">
        <f t="array" ref="Q948">_xlfn.IFS(P948&lt;=0.2,"Low Windspeed",P948&lt;0.4,"Medium Windspeed",P948&gt;=0.41,"High Windspeed")</f>
        <v>Low Windspeed</v>
      </c>
      <c r="R948" s="35">
        <v>2</v>
      </c>
      <c r="S948" s="35">
        <v>22</v>
      </c>
      <c r="T948" s="40">
        <v>24</v>
      </c>
      <c r="U948" s="39" t="str" cm="1">
        <f t="array" ref="U948">_xlfn.IFS(T948&lt;=70,"Low",T948&lt;=160,"Medium",T948&gt;=161,"High")</f>
        <v>Low</v>
      </c>
    </row>
    <row r="949" spans="1:21" x14ac:dyDescent="0.25">
      <c r="A949" s="33">
        <v>948</v>
      </c>
      <c r="B949" s="34">
        <v>40586</v>
      </c>
      <c r="C949" s="35">
        <v>1</v>
      </c>
      <c r="D949" s="35">
        <v>0</v>
      </c>
      <c r="E949" s="35">
        <v>2</v>
      </c>
      <c r="F949" s="35">
        <v>2</v>
      </c>
      <c r="G949" s="35" t="str" cm="1">
        <f t="array" ref="G949">_xlfn.IFS(F949&lt;4,"Night",F949&lt;=6,"Early Morning",F949&lt;11,"Morning",F949&lt;12,"Afternoon",F949&lt;=16,"Afternoon",F949&lt;=20,"Evening",F949&gt;=21,"Night")</f>
        <v>Night</v>
      </c>
      <c r="H949" s="35" t="b">
        <v>0</v>
      </c>
      <c r="I949" s="35">
        <v>6</v>
      </c>
      <c r="J949" s="35">
        <v>1</v>
      </c>
      <c r="K949" s="35">
        <v>0.14000000000000001</v>
      </c>
      <c r="L949" s="31" t="str" cm="1">
        <f t="array" ref="L949">_xlfn.IFS(K949&lt;0.15,"Cold",K949&lt;0.25,"Mild",K949&lt;=0.32,"Warm",K949&gt;=0.33,"Hot")</f>
        <v>Cold</v>
      </c>
      <c r="M949" s="35">
        <v>0.21210000000000001</v>
      </c>
      <c r="N949" s="35">
        <v>0.8</v>
      </c>
      <c r="O949" s="35" t="str" cm="1">
        <f t="array" ref="O949">_xlfn.IFS(N949&gt;0.61, "High Humidity", N949&gt;=0.6, "Humid", N949&gt;0.4, "Less Humidity", TRUE, "Dry")</f>
        <v>High Humidity</v>
      </c>
      <c r="P949" s="35">
        <v>0</v>
      </c>
      <c r="Q949" s="35" t="str" cm="1">
        <f t="array" ref="Q949">_xlfn.IFS(P949&lt;=0.2,"Low Windspeed",P949&lt;0.4,"Medium Windspeed",P949&gt;=0.41,"High Windspeed")</f>
        <v>Low Windspeed</v>
      </c>
      <c r="R949" s="35">
        <v>2</v>
      </c>
      <c r="S949" s="35">
        <v>13</v>
      </c>
      <c r="T949" s="40">
        <v>15</v>
      </c>
      <c r="U949" s="39" t="str" cm="1">
        <f t="array" ref="U949">_xlfn.IFS(T949&lt;=70,"Low",T949&lt;=160,"Medium",T949&gt;=161,"High")</f>
        <v>Low</v>
      </c>
    </row>
    <row r="950" spans="1:21" x14ac:dyDescent="0.25">
      <c r="A950" s="33">
        <v>949</v>
      </c>
      <c r="B950" s="34">
        <v>40586</v>
      </c>
      <c r="C950" s="35">
        <v>1</v>
      </c>
      <c r="D950" s="35">
        <v>0</v>
      </c>
      <c r="E950" s="35">
        <v>2</v>
      </c>
      <c r="F950" s="35">
        <v>3</v>
      </c>
      <c r="G950" s="35" t="str" cm="1">
        <f t="array" ref="G950">_xlfn.IFS(F950&lt;4,"Night",F950&lt;=6,"Early Morning",F950&lt;11,"Morning",F950&lt;12,"Afternoon",F950&lt;=16,"Afternoon",F950&lt;=20,"Evening",F950&gt;=21,"Night")</f>
        <v>Night</v>
      </c>
      <c r="H950" s="35" t="b">
        <v>0</v>
      </c>
      <c r="I950" s="35">
        <v>6</v>
      </c>
      <c r="J950" s="35">
        <v>1</v>
      </c>
      <c r="K950" s="35">
        <v>0.12</v>
      </c>
      <c r="L950" s="31" t="str" cm="1">
        <f t="array" ref="L950">_xlfn.IFS(K950&lt;0.15,"Cold",K950&lt;0.25,"Mild",K950&lt;=0.32,"Warm",K950&gt;=0.33,"Hot")</f>
        <v>Cold</v>
      </c>
      <c r="M950" s="35">
        <v>0.19700000000000001</v>
      </c>
      <c r="N950" s="35">
        <v>0.8</v>
      </c>
      <c r="O950" s="35" t="str" cm="1">
        <f t="array" ref="O950">_xlfn.IFS(N950&gt;0.61, "High Humidity", N950&gt;=0.6, "Humid", N950&gt;0.4, "Less Humidity", TRUE, "Dry")</f>
        <v>High Humidity</v>
      </c>
      <c r="P950" s="35">
        <v>0</v>
      </c>
      <c r="Q950" s="35" t="str" cm="1">
        <f t="array" ref="Q950">_xlfn.IFS(P950&lt;=0.2,"Low Windspeed",P950&lt;0.4,"Medium Windspeed",P950&gt;=0.41,"High Windspeed")</f>
        <v>Low Windspeed</v>
      </c>
      <c r="R950" s="35">
        <v>3</v>
      </c>
      <c r="S950" s="35">
        <v>7</v>
      </c>
      <c r="T950" s="40">
        <v>10</v>
      </c>
      <c r="U950" s="39" t="str" cm="1">
        <f t="array" ref="U950">_xlfn.IFS(T950&lt;=70,"Low",T950&lt;=160,"Medium",T950&gt;=161,"High")</f>
        <v>Low</v>
      </c>
    </row>
    <row r="951" spans="1:21" x14ac:dyDescent="0.25">
      <c r="A951" s="33">
        <v>950</v>
      </c>
      <c r="B951" s="34">
        <v>40586</v>
      </c>
      <c r="C951" s="35">
        <v>1</v>
      </c>
      <c r="D951" s="35">
        <v>0</v>
      </c>
      <c r="E951" s="35">
        <v>2</v>
      </c>
      <c r="F951" s="35">
        <v>4</v>
      </c>
      <c r="G951" s="35" t="str" cm="1">
        <f t="array" ref="G951">_xlfn.IFS(F951&lt;4,"Night",F951&lt;=6,"Early Morning",F951&lt;11,"Morning",F951&lt;12,"Afternoon",F951&lt;=16,"Afternoon",F951&lt;=20,"Evening",F951&gt;=21,"Night")</f>
        <v>Early Morning</v>
      </c>
      <c r="H951" s="35" t="b">
        <v>0</v>
      </c>
      <c r="I951" s="35">
        <v>6</v>
      </c>
      <c r="J951" s="35">
        <v>1</v>
      </c>
      <c r="K951" s="35">
        <v>0.12</v>
      </c>
      <c r="L951" s="31" t="str" cm="1">
        <f t="array" ref="L951">_xlfn.IFS(K951&lt;0.15,"Cold",K951&lt;0.25,"Mild",K951&lt;=0.32,"Warm",K951&gt;=0.33,"Hot")</f>
        <v>Cold</v>
      </c>
      <c r="M951" s="35">
        <v>0.16669999999999999</v>
      </c>
      <c r="N951" s="35">
        <v>0.74</v>
      </c>
      <c r="O951" s="35" t="str" cm="1">
        <f t="array" ref="O951">_xlfn.IFS(N951&gt;0.61, "High Humidity", N951&gt;=0.6, "Humid", N951&gt;0.4, "Less Humidity", TRUE, "Dry")</f>
        <v>High Humidity</v>
      </c>
      <c r="P951" s="35">
        <v>8.9599999999999999E-2</v>
      </c>
      <c r="Q951" s="35" t="str" cm="1">
        <f t="array" ref="Q951">_xlfn.IFS(P951&lt;=0.2,"Low Windspeed",P951&lt;0.4,"Medium Windspeed",P951&gt;=0.41,"High Windspeed")</f>
        <v>Low Windspeed</v>
      </c>
      <c r="R951" s="35">
        <v>0</v>
      </c>
      <c r="S951" s="35">
        <v>4</v>
      </c>
      <c r="T951" s="40">
        <v>4</v>
      </c>
      <c r="U951" s="39" t="str" cm="1">
        <f t="array" ref="U951">_xlfn.IFS(T951&lt;=70,"Low",T951&lt;=160,"Medium",T951&gt;=161,"High")</f>
        <v>Low</v>
      </c>
    </row>
    <row r="952" spans="1:21" x14ac:dyDescent="0.25">
      <c r="A952" s="33">
        <v>951</v>
      </c>
      <c r="B952" s="34">
        <v>40586</v>
      </c>
      <c r="C952" s="35">
        <v>1</v>
      </c>
      <c r="D952" s="35">
        <v>0</v>
      </c>
      <c r="E952" s="35">
        <v>2</v>
      </c>
      <c r="F952" s="35">
        <v>5</v>
      </c>
      <c r="G952" s="35" t="str" cm="1">
        <f t="array" ref="G952">_xlfn.IFS(F952&lt;4,"Night",F952&lt;=6,"Early Morning",F952&lt;11,"Morning",F952&lt;12,"Afternoon",F952&lt;=16,"Afternoon",F952&lt;=20,"Evening",F952&gt;=21,"Night")</f>
        <v>Early Morning</v>
      </c>
      <c r="H952" s="35" t="b">
        <v>0</v>
      </c>
      <c r="I952" s="35">
        <v>6</v>
      </c>
      <c r="J952" s="35">
        <v>1</v>
      </c>
      <c r="K952" s="35">
        <v>0.12</v>
      </c>
      <c r="L952" s="31" t="str" cm="1">
        <f t="array" ref="L952">_xlfn.IFS(K952&lt;0.15,"Cold",K952&lt;0.25,"Mild",K952&lt;=0.32,"Warm",K952&gt;=0.33,"Hot")</f>
        <v>Cold</v>
      </c>
      <c r="M952" s="35">
        <v>0.16669999999999999</v>
      </c>
      <c r="N952" s="35">
        <v>0.74</v>
      </c>
      <c r="O952" s="35" t="str" cm="1">
        <f t="array" ref="O952">_xlfn.IFS(N952&gt;0.61, "High Humidity", N952&gt;=0.6, "Humid", N952&gt;0.4, "Less Humidity", TRUE, "Dry")</f>
        <v>High Humidity</v>
      </c>
      <c r="P952" s="35">
        <v>8.9599999999999999E-2</v>
      </c>
      <c r="Q952" s="35" t="str" cm="1">
        <f t="array" ref="Q952">_xlfn.IFS(P952&lt;=0.2,"Low Windspeed",P952&lt;0.4,"Medium Windspeed",P952&gt;=0.41,"High Windspeed")</f>
        <v>Low Windspeed</v>
      </c>
      <c r="R952" s="35">
        <v>0</v>
      </c>
      <c r="S952" s="35">
        <v>1</v>
      </c>
      <c r="T952" s="40">
        <v>1</v>
      </c>
      <c r="U952" s="39" t="str" cm="1">
        <f t="array" ref="U952">_xlfn.IFS(T952&lt;=70,"Low",T952&lt;=160,"Medium",T952&gt;=161,"High")</f>
        <v>Low</v>
      </c>
    </row>
    <row r="953" spans="1:21" x14ac:dyDescent="0.25">
      <c r="A953" s="33">
        <v>952</v>
      </c>
      <c r="B953" s="34">
        <v>40586</v>
      </c>
      <c r="C953" s="35">
        <v>1</v>
      </c>
      <c r="D953" s="35">
        <v>0</v>
      </c>
      <c r="E953" s="35">
        <v>2</v>
      </c>
      <c r="F953" s="35">
        <v>6</v>
      </c>
      <c r="G953" s="35" t="str" cm="1">
        <f t="array" ref="G953">_xlfn.IFS(F953&lt;4,"Night",F953&lt;=6,"Early Morning",F953&lt;11,"Morning",F953&lt;12,"Afternoon",F953&lt;=16,"Afternoon",F953&lt;=20,"Evening",F953&gt;=21,"Night")</f>
        <v>Early Morning</v>
      </c>
      <c r="H953" s="35" t="b">
        <v>0</v>
      </c>
      <c r="I953" s="35">
        <v>6</v>
      </c>
      <c r="J953" s="35">
        <v>1</v>
      </c>
      <c r="K953" s="35">
        <v>0.12</v>
      </c>
      <c r="L953" s="31" t="str" cm="1">
        <f t="array" ref="L953">_xlfn.IFS(K953&lt;0.15,"Cold",K953&lt;0.25,"Mild",K953&lt;=0.32,"Warm",K953&gt;=0.33,"Hot")</f>
        <v>Cold</v>
      </c>
      <c r="M953" s="35">
        <v>0.13639999999999999</v>
      </c>
      <c r="N953" s="35">
        <v>0.93</v>
      </c>
      <c r="O953" s="35" t="str" cm="1">
        <f t="array" ref="O953">_xlfn.IFS(N953&gt;0.61, "High Humidity", N953&gt;=0.6, "Humid", N953&gt;0.4, "Less Humidity", TRUE, "Dry")</f>
        <v>High Humidity</v>
      </c>
      <c r="P953" s="35">
        <v>0.19400000000000001</v>
      </c>
      <c r="Q953" s="35" t="str" cm="1">
        <f t="array" ref="Q953">_xlfn.IFS(P953&lt;=0.2,"Low Windspeed",P953&lt;0.4,"Medium Windspeed",P953&gt;=0.41,"High Windspeed")</f>
        <v>Low Windspeed</v>
      </c>
      <c r="R953" s="35">
        <v>1</v>
      </c>
      <c r="S953" s="35">
        <v>1</v>
      </c>
      <c r="T953" s="40">
        <v>2</v>
      </c>
      <c r="U953" s="39" t="str" cm="1">
        <f t="array" ref="U953">_xlfn.IFS(T953&lt;=70,"Low",T953&lt;=160,"Medium",T953&gt;=161,"High")</f>
        <v>Low</v>
      </c>
    </row>
    <row r="954" spans="1:21" x14ac:dyDescent="0.25">
      <c r="A954" s="33">
        <v>953</v>
      </c>
      <c r="B954" s="34">
        <v>40586</v>
      </c>
      <c r="C954" s="35">
        <v>1</v>
      </c>
      <c r="D954" s="35">
        <v>0</v>
      </c>
      <c r="E954" s="35">
        <v>2</v>
      </c>
      <c r="F954" s="35">
        <v>7</v>
      </c>
      <c r="G954" s="35" t="str" cm="1">
        <f t="array" ref="G954">_xlfn.IFS(F954&lt;4,"Night",F954&lt;=6,"Early Morning",F954&lt;11,"Morning",F954&lt;12,"Afternoon",F954&lt;=16,"Afternoon",F954&lt;=20,"Evening",F954&gt;=21,"Night")</f>
        <v>Morning</v>
      </c>
      <c r="H954" s="35" t="b">
        <v>0</v>
      </c>
      <c r="I954" s="35">
        <v>6</v>
      </c>
      <c r="J954" s="35">
        <v>1</v>
      </c>
      <c r="K954" s="35">
        <v>0.12</v>
      </c>
      <c r="L954" s="31" t="str" cm="1">
        <f t="array" ref="L954">_xlfn.IFS(K954&lt;0.15,"Cold",K954&lt;0.25,"Mild",K954&lt;=0.32,"Warm",K954&gt;=0.33,"Hot")</f>
        <v>Cold</v>
      </c>
      <c r="M954" s="35">
        <v>0.1515</v>
      </c>
      <c r="N954" s="35">
        <v>0.8</v>
      </c>
      <c r="O954" s="35" t="str" cm="1">
        <f t="array" ref="O954">_xlfn.IFS(N954&gt;0.61, "High Humidity", N954&gt;=0.6, "Humid", N954&gt;0.4, "Less Humidity", TRUE, "Dry")</f>
        <v>High Humidity</v>
      </c>
      <c r="P954" s="35">
        <v>0.1045</v>
      </c>
      <c r="Q954" s="35" t="str" cm="1">
        <f t="array" ref="Q954">_xlfn.IFS(P954&lt;=0.2,"Low Windspeed",P954&lt;0.4,"Medium Windspeed",P954&gt;=0.41,"High Windspeed")</f>
        <v>Low Windspeed</v>
      </c>
      <c r="R954" s="35">
        <v>2</v>
      </c>
      <c r="S954" s="35">
        <v>9</v>
      </c>
      <c r="T954" s="40">
        <v>11</v>
      </c>
      <c r="U954" s="39" t="str" cm="1">
        <f t="array" ref="U954">_xlfn.IFS(T954&lt;=70,"Low",T954&lt;=160,"Medium",T954&gt;=161,"High")</f>
        <v>Low</v>
      </c>
    </row>
    <row r="955" spans="1:21" x14ac:dyDescent="0.25">
      <c r="A955" s="33">
        <v>954</v>
      </c>
      <c r="B955" s="34">
        <v>40586</v>
      </c>
      <c r="C955" s="35">
        <v>1</v>
      </c>
      <c r="D955" s="35">
        <v>0</v>
      </c>
      <c r="E955" s="35">
        <v>2</v>
      </c>
      <c r="F955" s="35">
        <v>8</v>
      </c>
      <c r="G955" s="35" t="str" cm="1">
        <f t="array" ref="G955">_xlfn.IFS(F955&lt;4,"Night",F955&lt;=6,"Early Morning",F955&lt;11,"Morning",F955&lt;12,"Afternoon",F955&lt;=16,"Afternoon",F955&lt;=20,"Evening",F955&gt;=21,"Night")</f>
        <v>Morning</v>
      </c>
      <c r="H955" s="35" t="b">
        <v>0</v>
      </c>
      <c r="I955" s="35">
        <v>6</v>
      </c>
      <c r="J955" s="35">
        <v>1</v>
      </c>
      <c r="K955" s="35">
        <v>0.14000000000000001</v>
      </c>
      <c r="L955" s="31" t="str" cm="1">
        <f t="array" ref="L955">_xlfn.IFS(K955&lt;0.15,"Cold",K955&lt;0.25,"Mild",K955&lt;=0.32,"Warm",K955&gt;=0.33,"Hot")</f>
        <v>Cold</v>
      </c>
      <c r="M955" s="35">
        <v>0.1515</v>
      </c>
      <c r="N955" s="35">
        <v>0.86</v>
      </c>
      <c r="O955" s="35" t="str" cm="1">
        <f t="array" ref="O955">_xlfn.IFS(N955&gt;0.61, "High Humidity", N955&gt;=0.6, "Humid", N955&gt;0.4, "Less Humidity", TRUE, "Dry")</f>
        <v>High Humidity</v>
      </c>
      <c r="P955" s="35">
        <v>0.1343</v>
      </c>
      <c r="Q955" s="35" t="str" cm="1">
        <f t="array" ref="Q955">_xlfn.IFS(P955&lt;=0.2,"Low Windspeed",P955&lt;0.4,"Medium Windspeed",P955&gt;=0.41,"High Windspeed")</f>
        <v>Low Windspeed</v>
      </c>
      <c r="R955" s="35">
        <v>2</v>
      </c>
      <c r="S955" s="35">
        <v>28</v>
      </c>
      <c r="T955" s="40">
        <v>30</v>
      </c>
      <c r="U955" s="39" t="str" cm="1">
        <f t="array" ref="U955">_xlfn.IFS(T955&lt;=70,"Low",T955&lt;=160,"Medium",T955&gt;=161,"High")</f>
        <v>Low</v>
      </c>
    </row>
    <row r="956" spans="1:21" x14ac:dyDescent="0.25">
      <c r="A956" s="33">
        <v>955</v>
      </c>
      <c r="B956" s="34">
        <v>40586</v>
      </c>
      <c r="C956" s="35">
        <v>1</v>
      </c>
      <c r="D956" s="35">
        <v>0</v>
      </c>
      <c r="E956" s="35">
        <v>2</v>
      </c>
      <c r="F956" s="35">
        <v>9</v>
      </c>
      <c r="G956" s="35" t="str" cm="1">
        <f t="array" ref="G956">_xlfn.IFS(F956&lt;4,"Night",F956&lt;=6,"Early Morning",F956&lt;11,"Morning",F956&lt;12,"Afternoon",F956&lt;=16,"Afternoon",F956&lt;=20,"Evening",F956&gt;=21,"Night")</f>
        <v>Morning</v>
      </c>
      <c r="H956" s="35" t="b">
        <v>0</v>
      </c>
      <c r="I956" s="35">
        <v>6</v>
      </c>
      <c r="J956" s="35">
        <v>1</v>
      </c>
      <c r="K956" s="35">
        <v>0.16</v>
      </c>
      <c r="L956" s="31" t="str" cm="1">
        <f t="array" ref="L956">_xlfn.IFS(K956&lt;0.15,"Cold",K956&lt;0.25,"Mild",K956&lt;=0.32,"Warm",K956&gt;=0.33,"Hot")</f>
        <v>Mild</v>
      </c>
      <c r="M956" s="35">
        <v>0.18179999999999999</v>
      </c>
      <c r="N956" s="35">
        <v>0.64</v>
      </c>
      <c r="O956" s="35" t="str" cm="1">
        <f t="array" ref="O956">_xlfn.IFS(N956&gt;0.61, "High Humidity", N956&gt;=0.6, "Humid", N956&gt;0.4, "Less Humidity", TRUE, "Dry")</f>
        <v>High Humidity</v>
      </c>
      <c r="P956" s="35">
        <v>0.1343</v>
      </c>
      <c r="Q956" s="35" t="str" cm="1">
        <f t="array" ref="Q956">_xlfn.IFS(P956&lt;=0.2,"Low Windspeed",P956&lt;0.4,"Medium Windspeed",P956&gt;=0.41,"High Windspeed")</f>
        <v>Low Windspeed</v>
      </c>
      <c r="R956" s="35">
        <v>5</v>
      </c>
      <c r="S956" s="35">
        <v>38</v>
      </c>
      <c r="T956" s="40">
        <v>43</v>
      </c>
      <c r="U956" s="39" t="str" cm="1">
        <f t="array" ref="U956">_xlfn.IFS(T956&lt;=70,"Low",T956&lt;=160,"Medium",T956&gt;=161,"High")</f>
        <v>Low</v>
      </c>
    </row>
    <row r="957" spans="1:21" x14ac:dyDescent="0.25">
      <c r="A957" s="33">
        <v>956</v>
      </c>
      <c r="B957" s="34">
        <v>40586</v>
      </c>
      <c r="C957" s="35">
        <v>1</v>
      </c>
      <c r="D957" s="35">
        <v>0</v>
      </c>
      <c r="E957" s="35">
        <v>2</v>
      </c>
      <c r="F957" s="35">
        <v>10</v>
      </c>
      <c r="G957" s="35" t="str" cm="1">
        <f t="array" ref="G957">_xlfn.IFS(F957&lt;4,"Night",F957&lt;=6,"Early Morning",F957&lt;11,"Morning",F957&lt;12,"Afternoon",F957&lt;=16,"Afternoon",F957&lt;=20,"Evening",F957&gt;=21,"Night")</f>
        <v>Morning</v>
      </c>
      <c r="H957" s="35" t="b">
        <v>0</v>
      </c>
      <c r="I957" s="35">
        <v>6</v>
      </c>
      <c r="J957" s="35">
        <v>1</v>
      </c>
      <c r="K957" s="35">
        <v>0.22</v>
      </c>
      <c r="L957" s="31" t="str" cm="1">
        <f t="array" ref="L957">_xlfn.IFS(K957&lt;0.15,"Cold",K957&lt;0.25,"Mild",K957&lt;=0.32,"Warm",K957&gt;=0.33,"Hot")</f>
        <v>Mild</v>
      </c>
      <c r="M957" s="35">
        <v>0.21210000000000001</v>
      </c>
      <c r="N957" s="35">
        <v>0.41</v>
      </c>
      <c r="O957" s="35" t="str" cm="1">
        <f t="array" ref="O957">_xlfn.IFS(N957&gt;0.61, "High Humidity", N957&gt;=0.6, "Humid", N957&gt;0.4, "Less Humidity", TRUE, "Dry")</f>
        <v>Less Humidity</v>
      </c>
      <c r="P957" s="35">
        <v>0.25369999999999998</v>
      </c>
      <c r="Q957" s="35" t="str" cm="1">
        <f t="array" ref="Q957">_xlfn.IFS(P957&lt;=0.2,"Low Windspeed",P957&lt;0.4,"Medium Windspeed",P957&gt;=0.41,"High Windspeed")</f>
        <v>Medium Windspeed</v>
      </c>
      <c r="R957" s="35">
        <v>13</v>
      </c>
      <c r="S957" s="35">
        <v>71</v>
      </c>
      <c r="T957" s="40">
        <v>84</v>
      </c>
      <c r="U957" s="39" t="str" cm="1">
        <f t="array" ref="U957">_xlfn.IFS(T957&lt;=70,"Low",T957&lt;=160,"Medium",T957&gt;=161,"High")</f>
        <v>Medium</v>
      </c>
    </row>
    <row r="958" spans="1:21" x14ac:dyDescent="0.25">
      <c r="A958" s="33">
        <v>957</v>
      </c>
      <c r="B958" s="34">
        <v>40586</v>
      </c>
      <c r="C958" s="35">
        <v>1</v>
      </c>
      <c r="D958" s="35">
        <v>0</v>
      </c>
      <c r="E958" s="35">
        <v>2</v>
      </c>
      <c r="F958" s="35">
        <v>11</v>
      </c>
      <c r="G958" s="35" t="str" cm="1">
        <f t="array" ref="G958">_xlfn.IFS(F958&lt;4,"Night",F958&lt;=6,"Early Morning",F958&lt;11,"Morning",F958&lt;12,"Afternoon",F958&lt;=16,"Afternoon",F958&lt;=20,"Evening",F958&gt;=21,"Night")</f>
        <v>Afternoon</v>
      </c>
      <c r="H958" s="35" t="b">
        <v>0</v>
      </c>
      <c r="I958" s="35">
        <v>6</v>
      </c>
      <c r="J958" s="35">
        <v>1</v>
      </c>
      <c r="K958" s="35">
        <v>0.3</v>
      </c>
      <c r="L958" s="31" t="str" cm="1">
        <f t="array" ref="L958">_xlfn.IFS(K958&lt;0.15,"Cold",K958&lt;0.25,"Mild",K958&lt;=0.32,"Warm",K958&gt;=0.33,"Hot")</f>
        <v>Warm</v>
      </c>
      <c r="M958" s="35">
        <v>0.2727</v>
      </c>
      <c r="N958" s="35">
        <v>0.28000000000000003</v>
      </c>
      <c r="O958" s="35" t="str" cm="1">
        <f t="array" ref="O958">_xlfn.IFS(N958&gt;0.61, "High Humidity", N958&gt;=0.6, "Humid", N958&gt;0.4, "Less Humidity", TRUE, "Dry")</f>
        <v>Dry</v>
      </c>
      <c r="P958" s="35">
        <v>0.32840000000000003</v>
      </c>
      <c r="Q958" s="35" t="str" cm="1">
        <f t="array" ref="Q958">_xlfn.IFS(P958&lt;=0.2,"Low Windspeed",P958&lt;0.4,"Medium Windspeed",P958&gt;=0.41,"High Windspeed")</f>
        <v>Medium Windspeed</v>
      </c>
      <c r="R958" s="35">
        <v>30</v>
      </c>
      <c r="S958" s="35">
        <v>84</v>
      </c>
      <c r="T958" s="40">
        <v>114</v>
      </c>
      <c r="U958" s="39" t="str" cm="1">
        <f t="array" ref="U958">_xlfn.IFS(T958&lt;=70,"Low",T958&lt;=160,"Medium",T958&gt;=161,"High")</f>
        <v>Medium</v>
      </c>
    </row>
    <row r="959" spans="1:21" x14ac:dyDescent="0.25">
      <c r="A959" s="33">
        <v>958</v>
      </c>
      <c r="B959" s="34">
        <v>40586</v>
      </c>
      <c r="C959" s="35">
        <v>1</v>
      </c>
      <c r="D959" s="35">
        <v>0</v>
      </c>
      <c r="E959" s="35">
        <v>2</v>
      </c>
      <c r="F959" s="35">
        <v>12</v>
      </c>
      <c r="G959" s="35" t="str" cm="1">
        <f t="array" ref="G959">_xlfn.IFS(F959&lt;4,"Night",F959&lt;=6,"Early Morning",F959&lt;11,"Morning",F959&lt;12,"Afternoon",F959&lt;=16,"Afternoon",F959&lt;=20,"Evening",F959&gt;=21,"Night")</f>
        <v>Afternoon</v>
      </c>
      <c r="H959" s="35" t="b">
        <v>0</v>
      </c>
      <c r="I959" s="35">
        <v>6</v>
      </c>
      <c r="J959" s="35">
        <v>1</v>
      </c>
      <c r="K959" s="35">
        <v>0.3</v>
      </c>
      <c r="L959" s="31" t="str" cm="1">
        <f t="array" ref="L959">_xlfn.IFS(K959&lt;0.15,"Cold",K959&lt;0.25,"Mild",K959&lt;=0.32,"Warm",K959&gt;=0.33,"Hot")</f>
        <v>Warm</v>
      </c>
      <c r="M959" s="35">
        <v>0.2727</v>
      </c>
      <c r="N959" s="35">
        <v>0.39</v>
      </c>
      <c r="O959" s="35" t="str" cm="1">
        <f t="array" ref="O959">_xlfn.IFS(N959&gt;0.61, "High Humidity", N959&gt;=0.6, "Humid", N959&gt;0.4, "Less Humidity", TRUE, "Dry")</f>
        <v>Dry</v>
      </c>
      <c r="P959" s="35">
        <v>0.4627</v>
      </c>
      <c r="Q959" s="35" t="str" cm="1">
        <f t="array" ref="Q959">_xlfn.IFS(P959&lt;=0.2,"Low Windspeed",P959&lt;0.4,"Medium Windspeed",P959&gt;=0.41,"High Windspeed")</f>
        <v>High Windspeed</v>
      </c>
      <c r="R959" s="35">
        <v>27</v>
      </c>
      <c r="S959" s="35">
        <v>93</v>
      </c>
      <c r="T959" s="40">
        <v>120</v>
      </c>
      <c r="U959" s="39" t="str" cm="1">
        <f t="array" ref="U959">_xlfn.IFS(T959&lt;=70,"Low",T959&lt;=160,"Medium",T959&gt;=161,"High")</f>
        <v>Medium</v>
      </c>
    </row>
    <row r="960" spans="1:21" x14ac:dyDescent="0.25">
      <c r="A960" s="33">
        <v>959</v>
      </c>
      <c r="B960" s="34">
        <v>40586</v>
      </c>
      <c r="C960" s="35">
        <v>1</v>
      </c>
      <c r="D960" s="35">
        <v>0</v>
      </c>
      <c r="E960" s="35">
        <v>2</v>
      </c>
      <c r="F960" s="35">
        <v>13</v>
      </c>
      <c r="G960" s="35" t="str" cm="1">
        <f t="array" ref="G960">_xlfn.IFS(F960&lt;4,"Night",F960&lt;=6,"Early Morning",F960&lt;11,"Morning",F960&lt;12,"Afternoon",F960&lt;=16,"Afternoon",F960&lt;=20,"Evening",F960&gt;=21,"Night")</f>
        <v>Afternoon</v>
      </c>
      <c r="H960" s="35" t="b">
        <v>0</v>
      </c>
      <c r="I960" s="35">
        <v>6</v>
      </c>
      <c r="J960" s="35">
        <v>1</v>
      </c>
      <c r="K960" s="35">
        <v>0.3</v>
      </c>
      <c r="L960" s="31" t="str" cm="1">
        <f t="array" ref="L960">_xlfn.IFS(K960&lt;0.15,"Cold",K960&lt;0.25,"Mild",K960&lt;=0.32,"Warm",K960&gt;=0.33,"Hot")</f>
        <v>Warm</v>
      </c>
      <c r="M960" s="35">
        <v>0.2727</v>
      </c>
      <c r="N960" s="35">
        <v>0.39</v>
      </c>
      <c r="O960" s="35" t="str" cm="1">
        <f t="array" ref="O960">_xlfn.IFS(N960&gt;0.61, "High Humidity", N960&gt;=0.6, "Humid", N960&gt;0.4, "Less Humidity", TRUE, "Dry")</f>
        <v>Dry</v>
      </c>
      <c r="P960" s="35">
        <v>0.41789999999999999</v>
      </c>
      <c r="Q960" s="35" t="str" cm="1">
        <f t="array" ref="Q960">_xlfn.IFS(P960&lt;=0.2,"Low Windspeed",P960&lt;0.4,"Medium Windspeed",P960&gt;=0.41,"High Windspeed")</f>
        <v>High Windspeed</v>
      </c>
      <c r="R960" s="35">
        <v>32</v>
      </c>
      <c r="S960" s="35">
        <v>103</v>
      </c>
      <c r="T960" s="40">
        <v>135</v>
      </c>
      <c r="U960" s="39" t="str" cm="1">
        <f t="array" ref="U960">_xlfn.IFS(T960&lt;=70,"Low",T960&lt;=160,"Medium",T960&gt;=161,"High")</f>
        <v>Medium</v>
      </c>
    </row>
    <row r="961" spans="1:21" x14ac:dyDescent="0.25">
      <c r="A961" s="33">
        <v>960</v>
      </c>
      <c r="B961" s="34">
        <v>40586</v>
      </c>
      <c r="C961" s="35">
        <v>1</v>
      </c>
      <c r="D961" s="35">
        <v>0</v>
      </c>
      <c r="E961" s="35">
        <v>2</v>
      </c>
      <c r="F961" s="35">
        <v>14</v>
      </c>
      <c r="G961" s="35" t="str" cm="1">
        <f t="array" ref="G961">_xlfn.IFS(F961&lt;4,"Night",F961&lt;=6,"Early Morning",F961&lt;11,"Morning",F961&lt;12,"Afternoon",F961&lt;=16,"Afternoon",F961&lt;=20,"Evening",F961&gt;=21,"Night")</f>
        <v>Afternoon</v>
      </c>
      <c r="H961" s="35" t="b">
        <v>0</v>
      </c>
      <c r="I961" s="35">
        <v>6</v>
      </c>
      <c r="J961" s="35">
        <v>1</v>
      </c>
      <c r="K961" s="35">
        <v>0.34</v>
      </c>
      <c r="L961" s="31" t="str" cm="1">
        <f t="array" ref="L961">_xlfn.IFS(K961&lt;0.15,"Cold",K961&lt;0.25,"Mild",K961&lt;=0.32,"Warm",K961&gt;=0.33,"Hot")</f>
        <v>Hot</v>
      </c>
      <c r="M961" s="35">
        <v>0.31819999999999998</v>
      </c>
      <c r="N961" s="35">
        <v>0.31</v>
      </c>
      <c r="O961" s="35" t="str" cm="1">
        <f t="array" ref="O961">_xlfn.IFS(N961&gt;0.61, "High Humidity", N961&gt;=0.6, "Humid", N961&gt;0.4, "Less Humidity", TRUE, "Dry")</f>
        <v>Dry</v>
      </c>
      <c r="P961" s="35">
        <v>0.28360000000000002</v>
      </c>
      <c r="Q961" s="35" t="str" cm="1">
        <f t="array" ref="Q961">_xlfn.IFS(P961&lt;=0.2,"Low Windspeed",P961&lt;0.4,"Medium Windspeed",P961&gt;=0.41,"High Windspeed")</f>
        <v>Medium Windspeed</v>
      </c>
      <c r="R961" s="35">
        <v>30</v>
      </c>
      <c r="S961" s="35">
        <v>90</v>
      </c>
      <c r="T961" s="40">
        <v>120</v>
      </c>
      <c r="U961" s="39" t="str" cm="1">
        <f t="array" ref="U961">_xlfn.IFS(T961&lt;=70,"Low",T961&lt;=160,"Medium",T961&gt;=161,"High")</f>
        <v>Medium</v>
      </c>
    </row>
    <row r="962" spans="1:21" x14ac:dyDescent="0.25">
      <c r="A962" s="33">
        <v>961</v>
      </c>
      <c r="B962" s="34">
        <v>40586</v>
      </c>
      <c r="C962" s="35">
        <v>1</v>
      </c>
      <c r="D962" s="35">
        <v>0</v>
      </c>
      <c r="E962" s="35">
        <v>2</v>
      </c>
      <c r="F962" s="35">
        <v>15</v>
      </c>
      <c r="G962" s="35" t="str" cm="1">
        <f t="array" ref="G962">_xlfn.IFS(F962&lt;4,"Night",F962&lt;=6,"Early Morning",F962&lt;11,"Morning",F962&lt;12,"Afternoon",F962&lt;=16,"Afternoon",F962&lt;=20,"Evening",F962&gt;=21,"Night")</f>
        <v>Afternoon</v>
      </c>
      <c r="H962" s="35" t="b">
        <v>0</v>
      </c>
      <c r="I962" s="35">
        <v>6</v>
      </c>
      <c r="J962" s="35">
        <v>1</v>
      </c>
      <c r="K962" s="35">
        <v>0.34</v>
      </c>
      <c r="L962" s="31" t="str" cm="1">
        <f t="array" ref="L962">_xlfn.IFS(K962&lt;0.15,"Cold",K962&lt;0.25,"Mild",K962&lt;=0.32,"Warm",K962&gt;=0.33,"Hot")</f>
        <v>Hot</v>
      </c>
      <c r="M962" s="35">
        <v>0.30299999999999999</v>
      </c>
      <c r="N962" s="35">
        <v>0.28999999999999998</v>
      </c>
      <c r="O962" s="35" t="str" cm="1">
        <f t="array" ref="O962">_xlfn.IFS(N962&gt;0.61, "High Humidity", N962&gt;=0.6, "Humid", N962&gt;0.4, "Less Humidity", TRUE, "Dry")</f>
        <v>Dry</v>
      </c>
      <c r="P962" s="35">
        <v>0.41789999999999999</v>
      </c>
      <c r="Q962" s="35" t="str" cm="1">
        <f t="array" ref="Q962">_xlfn.IFS(P962&lt;=0.2,"Low Windspeed",P962&lt;0.4,"Medium Windspeed",P962&gt;=0.41,"High Windspeed")</f>
        <v>High Windspeed</v>
      </c>
      <c r="R962" s="35">
        <v>47</v>
      </c>
      <c r="S962" s="35">
        <v>127</v>
      </c>
      <c r="T962" s="40">
        <v>174</v>
      </c>
      <c r="U962" s="39" t="str" cm="1">
        <f t="array" ref="U962">_xlfn.IFS(T962&lt;=70,"Low",T962&lt;=160,"Medium",T962&gt;=161,"High")</f>
        <v>High</v>
      </c>
    </row>
    <row r="963" spans="1:21" x14ac:dyDescent="0.25">
      <c r="A963" s="33">
        <v>962</v>
      </c>
      <c r="B963" s="34">
        <v>40586</v>
      </c>
      <c r="C963" s="35">
        <v>1</v>
      </c>
      <c r="D963" s="35">
        <v>0</v>
      </c>
      <c r="E963" s="35">
        <v>2</v>
      </c>
      <c r="F963" s="35">
        <v>16</v>
      </c>
      <c r="G963" s="35" t="str" cm="1">
        <f t="array" ref="G963">_xlfn.IFS(F963&lt;4,"Night",F963&lt;=6,"Early Morning",F963&lt;11,"Morning",F963&lt;12,"Afternoon",F963&lt;=16,"Afternoon",F963&lt;=20,"Evening",F963&gt;=21,"Night")</f>
        <v>Afternoon</v>
      </c>
      <c r="H963" s="35" t="b">
        <v>0</v>
      </c>
      <c r="I963" s="35">
        <v>6</v>
      </c>
      <c r="J963" s="35">
        <v>1</v>
      </c>
      <c r="K963" s="35">
        <v>0.34</v>
      </c>
      <c r="L963" s="31" t="str" cm="1">
        <f t="array" ref="L963">_xlfn.IFS(K963&lt;0.15,"Cold",K963&lt;0.25,"Mild",K963&lt;=0.32,"Warm",K963&gt;=0.33,"Hot")</f>
        <v>Hot</v>
      </c>
      <c r="M963" s="35">
        <v>0.30299999999999999</v>
      </c>
      <c r="N963" s="35">
        <v>0.28999999999999998</v>
      </c>
      <c r="O963" s="35" t="str" cm="1">
        <f t="array" ref="O963">_xlfn.IFS(N963&gt;0.61, "High Humidity", N963&gt;=0.6, "Humid", N963&gt;0.4, "Less Humidity", TRUE, "Dry")</f>
        <v>Dry</v>
      </c>
      <c r="P963" s="35">
        <v>0.41789999999999999</v>
      </c>
      <c r="Q963" s="35" t="str" cm="1">
        <f t="array" ref="Q963">_xlfn.IFS(P963&lt;=0.2,"Low Windspeed",P963&lt;0.4,"Medium Windspeed",P963&gt;=0.41,"High Windspeed")</f>
        <v>High Windspeed</v>
      </c>
      <c r="R963" s="35">
        <v>42</v>
      </c>
      <c r="S963" s="35">
        <v>103</v>
      </c>
      <c r="T963" s="40">
        <v>145</v>
      </c>
      <c r="U963" s="39" t="str" cm="1">
        <f t="array" ref="U963">_xlfn.IFS(T963&lt;=70,"Low",T963&lt;=160,"Medium",T963&gt;=161,"High")</f>
        <v>Medium</v>
      </c>
    </row>
    <row r="964" spans="1:21" x14ac:dyDescent="0.25">
      <c r="A964" s="33">
        <v>963</v>
      </c>
      <c r="B964" s="34">
        <v>40586</v>
      </c>
      <c r="C964" s="35">
        <v>1</v>
      </c>
      <c r="D964" s="35">
        <v>0</v>
      </c>
      <c r="E964" s="35">
        <v>2</v>
      </c>
      <c r="F964" s="35">
        <v>17</v>
      </c>
      <c r="G964" s="35" t="str" cm="1">
        <f t="array" ref="G964">_xlfn.IFS(F964&lt;4,"Night",F964&lt;=6,"Early Morning",F964&lt;11,"Morning",F964&lt;12,"Afternoon",F964&lt;=16,"Afternoon",F964&lt;=20,"Evening",F964&gt;=21,"Night")</f>
        <v>Evening</v>
      </c>
      <c r="H964" s="35" t="b">
        <v>0</v>
      </c>
      <c r="I964" s="35">
        <v>6</v>
      </c>
      <c r="J964" s="35">
        <v>1</v>
      </c>
      <c r="K964" s="35">
        <v>0.32</v>
      </c>
      <c r="L964" s="31" t="str" cm="1">
        <f t="array" ref="L964">_xlfn.IFS(K964&lt;0.15,"Cold",K964&lt;0.25,"Mild",K964&lt;=0.32,"Warm",K964&gt;=0.33,"Hot")</f>
        <v>Warm</v>
      </c>
      <c r="M964" s="35">
        <v>0.28789999999999999</v>
      </c>
      <c r="N964" s="35">
        <v>0.31</v>
      </c>
      <c r="O964" s="35" t="str" cm="1">
        <f t="array" ref="O964">_xlfn.IFS(N964&gt;0.61, "High Humidity", N964&gt;=0.6, "Humid", N964&gt;0.4, "Less Humidity", TRUE, "Dry")</f>
        <v>Dry</v>
      </c>
      <c r="P964" s="35">
        <v>0.52239999999999998</v>
      </c>
      <c r="Q964" s="35" t="str" cm="1">
        <f t="array" ref="Q964">_xlfn.IFS(P964&lt;=0.2,"Low Windspeed",P964&lt;0.4,"Medium Windspeed",P964&gt;=0.41,"High Windspeed")</f>
        <v>High Windspeed</v>
      </c>
      <c r="R964" s="35">
        <v>24</v>
      </c>
      <c r="S964" s="35">
        <v>113</v>
      </c>
      <c r="T964" s="40">
        <v>137</v>
      </c>
      <c r="U964" s="39" t="str" cm="1">
        <f t="array" ref="U964">_xlfn.IFS(T964&lt;=70,"Low",T964&lt;=160,"Medium",T964&gt;=161,"High")</f>
        <v>Medium</v>
      </c>
    </row>
    <row r="965" spans="1:21" x14ac:dyDescent="0.25">
      <c r="A965" s="33">
        <v>964</v>
      </c>
      <c r="B965" s="34">
        <v>40586</v>
      </c>
      <c r="C965" s="35">
        <v>1</v>
      </c>
      <c r="D965" s="35">
        <v>0</v>
      </c>
      <c r="E965" s="35">
        <v>2</v>
      </c>
      <c r="F965" s="35">
        <v>18</v>
      </c>
      <c r="G965" s="35" t="str" cm="1">
        <f t="array" ref="G965">_xlfn.IFS(F965&lt;4,"Night",F965&lt;=6,"Early Morning",F965&lt;11,"Morning",F965&lt;12,"Afternoon",F965&lt;=16,"Afternoon",F965&lt;=20,"Evening",F965&gt;=21,"Night")</f>
        <v>Evening</v>
      </c>
      <c r="H965" s="35" t="b">
        <v>0</v>
      </c>
      <c r="I965" s="35">
        <v>6</v>
      </c>
      <c r="J965" s="35">
        <v>1</v>
      </c>
      <c r="K965" s="35">
        <v>0.28000000000000003</v>
      </c>
      <c r="L965" s="31" t="str" cm="1">
        <f t="array" ref="L965">_xlfn.IFS(K965&lt;0.15,"Cold",K965&lt;0.25,"Mild",K965&lt;=0.32,"Warm",K965&gt;=0.33,"Hot")</f>
        <v>Warm</v>
      </c>
      <c r="M965" s="35">
        <v>0.2576</v>
      </c>
      <c r="N965" s="35">
        <v>0.38</v>
      </c>
      <c r="O965" s="35" t="str" cm="1">
        <f t="array" ref="O965">_xlfn.IFS(N965&gt;0.61, "High Humidity", N965&gt;=0.6, "Humid", N965&gt;0.4, "Less Humidity", TRUE, "Dry")</f>
        <v>Dry</v>
      </c>
      <c r="P965" s="35">
        <v>0.32840000000000003</v>
      </c>
      <c r="Q965" s="35" t="str" cm="1">
        <f t="array" ref="Q965">_xlfn.IFS(P965&lt;=0.2,"Low Windspeed",P965&lt;0.4,"Medium Windspeed",P965&gt;=0.41,"High Windspeed")</f>
        <v>Medium Windspeed</v>
      </c>
      <c r="R965" s="35">
        <v>4</v>
      </c>
      <c r="S965" s="35">
        <v>60</v>
      </c>
      <c r="T965" s="40">
        <v>64</v>
      </c>
      <c r="U965" s="39" t="str" cm="1">
        <f t="array" ref="U965">_xlfn.IFS(T965&lt;=70,"Low",T965&lt;=160,"Medium",T965&gt;=161,"High")</f>
        <v>Low</v>
      </c>
    </row>
    <row r="966" spans="1:21" x14ac:dyDescent="0.25">
      <c r="A966" s="33">
        <v>965</v>
      </c>
      <c r="B966" s="34">
        <v>40586</v>
      </c>
      <c r="C966" s="35">
        <v>1</v>
      </c>
      <c r="D966" s="35">
        <v>0</v>
      </c>
      <c r="E966" s="35">
        <v>2</v>
      </c>
      <c r="F966" s="35">
        <v>19</v>
      </c>
      <c r="G966" s="35" t="str" cm="1">
        <f t="array" ref="G966">_xlfn.IFS(F966&lt;4,"Night",F966&lt;=6,"Early Morning",F966&lt;11,"Morning",F966&lt;12,"Afternoon",F966&lt;=16,"Afternoon",F966&lt;=20,"Evening",F966&gt;=21,"Night")</f>
        <v>Evening</v>
      </c>
      <c r="H966" s="35" t="b">
        <v>0</v>
      </c>
      <c r="I966" s="35">
        <v>6</v>
      </c>
      <c r="J966" s="35">
        <v>1</v>
      </c>
      <c r="K966" s="35">
        <v>0.28000000000000003</v>
      </c>
      <c r="L966" s="31" t="str" cm="1">
        <f t="array" ref="L966">_xlfn.IFS(K966&lt;0.15,"Cold",K966&lt;0.25,"Mild",K966&lt;=0.32,"Warm",K966&gt;=0.33,"Hot")</f>
        <v>Warm</v>
      </c>
      <c r="M966" s="35">
        <v>0.2727</v>
      </c>
      <c r="N966" s="35">
        <v>0.38</v>
      </c>
      <c r="O966" s="35" t="str" cm="1">
        <f t="array" ref="O966">_xlfn.IFS(N966&gt;0.61, "High Humidity", N966&gt;=0.6, "Humid", N966&gt;0.4, "Less Humidity", TRUE, "Dry")</f>
        <v>Dry</v>
      </c>
      <c r="P966" s="35">
        <v>0.16420000000000001</v>
      </c>
      <c r="Q966" s="35" t="str" cm="1">
        <f t="array" ref="Q966">_xlfn.IFS(P966&lt;=0.2,"Low Windspeed",P966&lt;0.4,"Medium Windspeed",P966&gt;=0.41,"High Windspeed")</f>
        <v>Low Windspeed</v>
      </c>
      <c r="R966" s="35">
        <v>2</v>
      </c>
      <c r="S966" s="35">
        <v>39</v>
      </c>
      <c r="T966" s="40">
        <v>41</v>
      </c>
      <c r="U966" s="39" t="str" cm="1">
        <f t="array" ref="U966">_xlfn.IFS(T966&lt;=70,"Low",T966&lt;=160,"Medium",T966&gt;=161,"High")</f>
        <v>Low</v>
      </c>
    </row>
    <row r="967" spans="1:21" x14ac:dyDescent="0.25">
      <c r="A967" s="33">
        <v>966</v>
      </c>
      <c r="B967" s="34">
        <v>40586</v>
      </c>
      <c r="C967" s="35">
        <v>1</v>
      </c>
      <c r="D967" s="35">
        <v>0</v>
      </c>
      <c r="E967" s="35">
        <v>2</v>
      </c>
      <c r="F967" s="35">
        <v>20</v>
      </c>
      <c r="G967" s="35" t="str" cm="1">
        <f t="array" ref="G967">_xlfn.IFS(F967&lt;4,"Night",F967&lt;=6,"Early Morning",F967&lt;11,"Morning",F967&lt;12,"Afternoon",F967&lt;=16,"Afternoon",F967&lt;=20,"Evening",F967&gt;=21,"Night")</f>
        <v>Evening</v>
      </c>
      <c r="H967" s="35" t="b">
        <v>0</v>
      </c>
      <c r="I967" s="35">
        <v>6</v>
      </c>
      <c r="J967" s="35">
        <v>1</v>
      </c>
      <c r="K967" s="35">
        <v>0.26</v>
      </c>
      <c r="L967" s="31" t="str" cm="1">
        <f t="array" ref="L967">_xlfn.IFS(K967&lt;0.15,"Cold",K967&lt;0.25,"Mild",K967&lt;=0.32,"Warm",K967&gt;=0.33,"Hot")</f>
        <v>Warm</v>
      </c>
      <c r="M967" s="35">
        <v>0.2576</v>
      </c>
      <c r="N967" s="35">
        <v>0.41</v>
      </c>
      <c r="O967" s="35" t="str" cm="1">
        <f t="array" ref="O967">_xlfn.IFS(N967&gt;0.61, "High Humidity", N967&gt;=0.6, "Humid", N967&gt;0.4, "Less Humidity", TRUE, "Dry")</f>
        <v>Less Humidity</v>
      </c>
      <c r="P967" s="35">
        <v>0.22389999999999999</v>
      </c>
      <c r="Q967" s="35" t="str" cm="1">
        <f t="array" ref="Q967">_xlfn.IFS(P967&lt;=0.2,"Low Windspeed",P967&lt;0.4,"Medium Windspeed",P967&gt;=0.41,"High Windspeed")</f>
        <v>Medium Windspeed</v>
      </c>
      <c r="R967" s="35">
        <v>1</v>
      </c>
      <c r="S967" s="35">
        <v>39</v>
      </c>
      <c r="T967" s="40">
        <v>40</v>
      </c>
      <c r="U967" s="39" t="str" cm="1">
        <f t="array" ref="U967">_xlfn.IFS(T967&lt;=70,"Low",T967&lt;=160,"Medium",T967&gt;=161,"High")</f>
        <v>Low</v>
      </c>
    </row>
    <row r="968" spans="1:21" x14ac:dyDescent="0.25">
      <c r="A968" s="33">
        <v>967</v>
      </c>
      <c r="B968" s="34">
        <v>40586</v>
      </c>
      <c r="C968" s="35">
        <v>1</v>
      </c>
      <c r="D968" s="35">
        <v>0</v>
      </c>
      <c r="E968" s="35">
        <v>2</v>
      </c>
      <c r="F968" s="35">
        <v>21</v>
      </c>
      <c r="G968" s="35" t="str" cm="1">
        <f t="array" ref="G968">_xlfn.IFS(F968&lt;4,"Night",F968&lt;=6,"Early Morning",F968&lt;11,"Morning",F968&lt;12,"Afternoon",F968&lt;=16,"Afternoon",F968&lt;=20,"Evening",F968&gt;=21,"Night")</f>
        <v>Night</v>
      </c>
      <c r="H968" s="35" t="b">
        <v>0</v>
      </c>
      <c r="I968" s="35">
        <v>6</v>
      </c>
      <c r="J968" s="35">
        <v>1</v>
      </c>
      <c r="K968" s="35">
        <v>0.26</v>
      </c>
      <c r="L968" s="31" t="str" cm="1">
        <f t="array" ref="L968">_xlfn.IFS(K968&lt;0.15,"Cold",K968&lt;0.25,"Mild",K968&lt;=0.32,"Warm",K968&gt;=0.33,"Hot")</f>
        <v>Warm</v>
      </c>
      <c r="M968" s="35">
        <v>0.30299999999999999</v>
      </c>
      <c r="N968" s="35">
        <v>0.41</v>
      </c>
      <c r="O968" s="35" t="str" cm="1">
        <f t="array" ref="O968">_xlfn.IFS(N968&gt;0.61, "High Humidity", N968&gt;=0.6, "Humid", N968&gt;0.4, "Less Humidity", TRUE, "Dry")</f>
        <v>Less Humidity</v>
      </c>
      <c r="P968" s="35">
        <v>0</v>
      </c>
      <c r="Q968" s="35" t="str" cm="1">
        <f t="array" ref="Q968">_xlfn.IFS(P968&lt;=0.2,"Low Windspeed",P968&lt;0.4,"Medium Windspeed",P968&gt;=0.41,"High Windspeed")</f>
        <v>Low Windspeed</v>
      </c>
      <c r="R968" s="35">
        <v>9</v>
      </c>
      <c r="S968" s="35">
        <v>42</v>
      </c>
      <c r="T968" s="40">
        <v>51</v>
      </c>
      <c r="U968" s="39" t="str" cm="1">
        <f t="array" ref="U968">_xlfn.IFS(T968&lt;=70,"Low",T968&lt;=160,"Medium",T968&gt;=161,"High")</f>
        <v>Low</v>
      </c>
    </row>
    <row r="969" spans="1:21" x14ac:dyDescent="0.25">
      <c r="A969" s="33">
        <v>968</v>
      </c>
      <c r="B969" s="34">
        <v>40586</v>
      </c>
      <c r="C969" s="35">
        <v>1</v>
      </c>
      <c r="D969" s="35">
        <v>0</v>
      </c>
      <c r="E969" s="35">
        <v>2</v>
      </c>
      <c r="F969" s="35">
        <v>22</v>
      </c>
      <c r="G969" s="35" t="str" cm="1">
        <f t="array" ref="G969">_xlfn.IFS(F969&lt;4,"Night",F969&lt;=6,"Early Morning",F969&lt;11,"Morning",F969&lt;12,"Afternoon",F969&lt;=16,"Afternoon",F969&lt;=20,"Evening",F969&gt;=21,"Night")</f>
        <v>Night</v>
      </c>
      <c r="H969" s="35" t="b">
        <v>0</v>
      </c>
      <c r="I969" s="35">
        <v>6</v>
      </c>
      <c r="J969" s="35">
        <v>1</v>
      </c>
      <c r="K969" s="35">
        <v>0.24</v>
      </c>
      <c r="L969" s="31" t="str" cm="1">
        <f t="array" ref="L969">_xlfn.IFS(K969&lt;0.15,"Cold",K969&lt;0.25,"Mild",K969&lt;=0.32,"Warm",K969&gt;=0.33,"Hot")</f>
        <v>Mild</v>
      </c>
      <c r="M969" s="35">
        <v>0.2576</v>
      </c>
      <c r="N969" s="35">
        <v>0.44</v>
      </c>
      <c r="O969" s="35" t="str" cm="1">
        <f t="array" ref="O969">_xlfn.IFS(N969&gt;0.61, "High Humidity", N969&gt;=0.6, "Humid", N969&gt;0.4, "Less Humidity", TRUE, "Dry")</f>
        <v>Less Humidity</v>
      </c>
      <c r="P969" s="35">
        <v>8.9599999999999999E-2</v>
      </c>
      <c r="Q969" s="35" t="str" cm="1">
        <f t="array" ref="Q969">_xlfn.IFS(P969&lt;=0.2,"Low Windspeed",P969&lt;0.4,"Medium Windspeed",P969&gt;=0.41,"High Windspeed")</f>
        <v>Low Windspeed</v>
      </c>
      <c r="R969" s="35">
        <v>6</v>
      </c>
      <c r="S969" s="35">
        <v>39</v>
      </c>
      <c r="T969" s="40">
        <v>45</v>
      </c>
      <c r="U969" s="39" t="str" cm="1">
        <f t="array" ref="U969">_xlfn.IFS(T969&lt;=70,"Low",T969&lt;=160,"Medium",T969&gt;=161,"High")</f>
        <v>Low</v>
      </c>
    </row>
    <row r="970" spans="1:21" x14ac:dyDescent="0.25">
      <c r="A970" s="33">
        <v>969</v>
      </c>
      <c r="B970" s="34">
        <v>40586</v>
      </c>
      <c r="C970" s="35">
        <v>1</v>
      </c>
      <c r="D970" s="35">
        <v>0</v>
      </c>
      <c r="E970" s="35">
        <v>2</v>
      </c>
      <c r="F970" s="35">
        <v>23</v>
      </c>
      <c r="G970" s="35" t="str" cm="1">
        <f t="array" ref="G970">_xlfn.IFS(F970&lt;4,"Night",F970&lt;=6,"Early Morning",F970&lt;11,"Morning",F970&lt;12,"Afternoon",F970&lt;=16,"Afternoon",F970&lt;=20,"Evening",F970&gt;=21,"Night")</f>
        <v>Night</v>
      </c>
      <c r="H970" s="35" t="b">
        <v>0</v>
      </c>
      <c r="I970" s="35">
        <v>6</v>
      </c>
      <c r="J970" s="35">
        <v>1</v>
      </c>
      <c r="K970" s="35">
        <v>0.22</v>
      </c>
      <c r="L970" s="31" t="str" cm="1">
        <f t="array" ref="L970">_xlfn.IFS(K970&lt;0.15,"Cold",K970&lt;0.25,"Mild",K970&lt;=0.32,"Warm",K970&gt;=0.33,"Hot")</f>
        <v>Mild</v>
      </c>
      <c r="M970" s="35">
        <v>0.2273</v>
      </c>
      <c r="N970" s="35">
        <v>0.51</v>
      </c>
      <c r="O970" s="35" t="str" cm="1">
        <f t="array" ref="O970">_xlfn.IFS(N970&gt;0.61, "High Humidity", N970&gt;=0.6, "Humid", N970&gt;0.4, "Less Humidity", TRUE, "Dry")</f>
        <v>Less Humidity</v>
      </c>
      <c r="P970" s="35">
        <v>0.1343</v>
      </c>
      <c r="Q970" s="35" t="str" cm="1">
        <f t="array" ref="Q970">_xlfn.IFS(P970&lt;=0.2,"Low Windspeed",P970&lt;0.4,"Medium Windspeed",P970&gt;=0.41,"High Windspeed")</f>
        <v>Low Windspeed</v>
      </c>
      <c r="R970" s="35">
        <v>1</v>
      </c>
      <c r="S970" s="35">
        <v>31</v>
      </c>
      <c r="T970" s="40">
        <v>32</v>
      </c>
      <c r="U970" s="39" t="str" cm="1">
        <f t="array" ref="U970">_xlfn.IFS(T970&lt;=70,"Low",T970&lt;=160,"Medium",T970&gt;=161,"High")</f>
        <v>Low</v>
      </c>
    </row>
    <row r="971" spans="1:21" x14ac:dyDescent="0.25">
      <c r="A971" s="33">
        <v>970</v>
      </c>
      <c r="B971" s="34">
        <v>40587</v>
      </c>
      <c r="C971" s="35">
        <v>1</v>
      </c>
      <c r="D971" s="35">
        <v>0</v>
      </c>
      <c r="E971" s="35">
        <v>2</v>
      </c>
      <c r="F971" s="35">
        <v>0</v>
      </c>
      <c r="G971" s="35" t="str" cm="1">
        <f t="array" ref="G971">_xlfn.IFS(F971&lt;4,"Night",F971&lt;=6,"Early Morning",F971&lt;11,"Morning",F971&lt;12,"Afternoon",F971&lt;=16,"Afternoon",F971&lt;=20,"Evening",F971&gt;=21,"Night")</f>
        <v>Night</v>
      </c>
      <c r="H971" s="35" t="b">
        <v>0</v>
      </c>
      <c r="I971" s="35">
        <v>0</v>
      </c>
      <c r="J971" s="35">
        <v>1</v>
      </c>
      <c r="K971" s="35">
        <v>0.2</v>
      </c>
      <c r="L971" s="31" t="str" cm="1">
        <f t="array" ref="L971">_xlfn.IFS(K971&lt;0.15,"Cold",K971&lt;0.25,"Mild",K971&lt;=0.32,"Warm",K971&gt;=0.33,"Hot")</f>
        <v>Mild</v>
      </c>
      <c r="M971" s="35">
        <v>0.2273</v>
      </c>
      <c r="N971" s="35">
        <v>0.64</v>
      </c>
      <c r="O971" s="35" t="str" cm="1">
        <f t="array" ref="O971">_xlfn.IFS(N971&gt;0.61, "High Humidity", N971&gt;=0.6, "Humid", N971&gt;0.4, "Less Humidity", TRUE, "Dry")</f>
        <v>High Humidity</v>
      </c>
      <c r="P971" s="35">
        <v>0.1045</v>
      </c>
      <c r="Q971" s="35" t="str" cm="1">
        <f t="array" ref="Q971">_xlfn.IFS(P971&lt;=0.2,"Low Windspeed",P971&lt;0.4,"Medium Windspeed",P971&gt;=0.41,"High Windspeed")</f>
        <v>Low Windspeed</v>
      </c>
      <c r="R971" s="35">
        <v>5</v>
      </c>
      <c r="S971" s="35">
        <v>34</v>
      </c>
      <c r="T971" s="40">
        <v>39</v>
      </c>
      <c r="U971" s="39" t="str" cm="1">
        <f t="array" ref="U971">_xlfn.IFS(T971&lt;=70,"Low",T971&lt;=160,"Medium",T971&gt;=161,"High")</f>
        <v>Low</v>
      </c>
    </row>
    <row r="972" spans="1:21" x14ac:dyDescent="0.25">
      <c r="A972" s="33">
        <v>971</v>
      </c>
      <c r="B972" s="34">
        <v>40587</v>
      </c>
      <c r="C972" s="35">
        <v>1</v>
      </c>
      <c r="D972" s="35">
        <v>0</v>
      </c>
      <c r="E972" s="35">
        <v>2</v>
      </c>
      <c r="F972" s="35">
        <v>1</v>
      </c>
      <c r="G972" s="35" t="str" cm="1">
        <f t="array" ref="G972">_xlfn.IFS(F972&lt;4,"Night",F972&lt;=6,"Early Morning",F972&lt;11,"Morning",F972&lt;12,"Afternoon",F972&lt;=16,"Afternoon",F972&lt;=20,"Evening",F972&gt;=21,"Night")</f>
        <v>Night</v>
      </c>
      <c r="H972" s="35" t="b">
        <v>0</v>
      </c>
      <c r="I972" s="35">
        <v>0</v>
      </c>
      <c r="J972" s="35">
        <v>1</v>
      </c>
      <c r="K972" s="35">
        <v>0.2</v>
      </c>
      <c r="L972" s="31" t="str" cm="1">
        <f t="array" ref="L972">_xlfn.IFS(K972&lt;0.15,"Cold",K972&lt;0.25,"Mild",K972&lt;=0.32,"Warm",K972&gt;=0.33,"Hot")</f>
        <v>Mild</v>
      </c>
      <c r="M972" s="35">
        <v>0.2273</v>
      </c>
      <c r="N972" s="35">
        <v>0.59</v>
      </c>
      <c r="O972" s="35" t="str" cm="1">
        <f t="array" ref="O972">_xlfn.IFS(N972&gt;0.61, "High Humidity", N972&gt;=0.6, "Humid", N972&gt;0.4, "Less Humidity", TRUE, "Dry")</f>
        <v>Less Humidity</v>
      </c>
      <c r="P972" s="35">
        <v>8.9599999999999999E-2</v>
      </c>
      <c r="Q972" s="35" t="str" cm="1">
        <f t="array" ref="Q972">_xlfn.IFS(P972&lt;=0.2,"Low Windspeed",P972&lt;0.4,"Medium Windspeed",P972&gt;=0.41,"High Windspeed")</f>
        <v>Low Windspeed</v>
      </c>
      <c r="R972" s="35">
        <v>1</v>
      </c>
      <c r="S972" s="35">
        <v>23</v>
      </c>
      <c r="T972" s="40">
        <v>24</v>
      </c>
      <c r="U972" s="39" t="str" cm="1">
        <f t="array" ref="U972">_xlfn.IFS(T972&lt;=70,"Low",T972&lt;=160,"Medium",T972&gt;=161,"High")</f>
        <v>Low</v>
      </c>
    </row>
    <row r="973" spans="1:21" x14ac:dyDescent="0.25">
      <c r="A973" s="33">
        <v>972</v>
      </c>
      <c r="B973" s="34">
        <v>40587</v>
      </c>
      <c r="C973" s="35">
        <v>1</v>
      </c>
      <c r="D973" s="35">
        <v>0</v>
      </c>
      <c r="E973" s="35">
        <v>2</v>
      </c>
      <c r="F973" s="35">
        <v>2</v>
      </c>
      <c r="G973" s="35" t="str" cm="1">
        <f t="array" ref="G973">_xlfn.IFS(F973&lt;4,"Night",F973&lt;=6,"Early Morning",F973&lt;11,"Morning",F973&lt;12,"Afternoon",F973&lt;=16,"Afternoon",F973&lt;=20,"Evening",F973&gt;=21,"Night")</f>
        <v>Night</v>
      </c>
      <c r="H973" s="35" t="b">
        <v>0</v>
      </c>
      <c r="I973" s="35">
        <v>0</v>
      </c>
      <c r="J973" s="35">
        <v>2</v>
      </c>
      <c r="K973" s="35">
        <v>0.2</v>
      </c>
      <c r="L973" s="31" t="str" cm="1">
        <f t="array" ref="L973">_xlfn.IFS(K973&lt;0.15,"Cold",K973&lt;0.25,"Mild",K973&lt;=0.32,"Warm",K973&gt;=0.33,"Hot")</f>
        <v>Mild</v>
      </c>
      <c r="M973" s="35">
        <v>0.2273</v>
      </c>
      <c r="N973" s="35">
        <v>0.75</v>
      </c>
      <c r="O973" s="35" t="str" cm="1">
        <f t="array" ref="O973">_xlfn.IFS(N973&gt;0.61, "High Humidity", N973&gt;=0.6, "Humid", N973&gt;0.4, "Less Humidity", TRUE, "Dry")</f>
        <v>High Humidity</v>
      </c>
      <c r="P973" s="35">
        <v>8.9599999999999999E-2</v>
      </c>
      <c r="Q973" s="35" t="str" cm="1">
        <f t="array" ref="Q973">_xlfn.IFS(P973&lt;=0.2,"Low Windspeed",P973&lt;0.4,"Medium Windspeed",P973&gt;=0.41,"High Windspeed")</f>
        <v>Low Windspeed</v>
      </c>
      <c r="R973" s="35">
        <v>1</v>
      </c>
      <c r="S973" s="35">
        <v>19</v>
      </c>
      <c r="T973" s="40">
        <v>20</v>
      </c>
      <c r="U973" s="39" t="str" cm="1">
        <f t="array" ref="U973">_xlfn.IFS(T973&lt;=70,"Low",T973&lt;=160,"Medium",T973&gt;=161,"High")</f>
        <v>Low</v>
      </c>
    </row>
    <row r="974" spans="1:21" x14ac:dyDescent="0.25">
      <c r="A974" s="33">
        <v>973</v>
      </c>
      <c r="B974" s="34">
        <v>40587</v>
      </c>
      <c r="C974" s="35">
        <v>1</v>
      </c>
      <c r="D974" s="35">
        <v>0</v>
      </c>
      <c r="E974" s="35">
        <v>2</v>
      </c>
      <c r="F974" s="35">
        <v>3</v>
      </c>
      <c r="G974" s="35" t="str" cm="1">
        <f t="array" ref="G974">_xlfn.IFS(F974&lt;4,"Night",F974&lt;=6,"Early Morning",F974&lt;11,"Morning",F974&lt;12,"Afternoon",F974&lt;=16,"Afternoon",F974&lt;=20,"Evening",F974&gt;=21,"Night")</f>
        <v>Night</v>
      </c>
      <c r="H974" s="35" t="b">
        <v>0</v>
      </c>
      <c r="I974" s="35">
        <v>0</v>
      </c>
      <c r="J974" s="35">
        <v>2</v>
      </c>
      <c r="K974" s="35">
        <v>0.2</v>
      </c>
      <c r="L974" s="31" t="str" cm="1">
        <f t="array" ref="L974">_xlfn.IFS(K974&lt;0.15,"Cold",K974&lt;0.25,"Mild",K974&lt;=0.32,"Warm",K974&gt;=0.33,"Hot")</f>
        <v>Mild</v>
      </c>
      <c r="M974" s="35">
        <v>0.2273</v>
      </c>
      <c r="N974" s="35">
        <v>0.69</v>
      </c>
      <c r="O974" s="35" t="str" cm="1">
        <f t="array" ref="O974">_xlfn.IFS(N974&gt;0.61, "High Humidity", N974&gt;=0.6, "Humid", N974&gt;0.4, "Less Humidity", TRUE, "Dry")</f>
        <v>High Humidity</v>
      </c>
      <c r="P974" s="35">
        <v>0.1045</v>
      </c>
      <c r="Q974" s="35" t="str" cm="1">
        <f t="array" ref="Q974">_xlfn.IFS(P974&lt;=0.2,"Low Windspeed",P974&lt;0.4,"Medium Windspeed",P974&gt;=0.41,"High Windspeed")</f>
        <v>Low Windspeed</v>
      </c>
      <c r="R974" s="35">
        <v>4</v>
      </c>
      <c r="S974" s="35">
        <v>8</v>
      </c>
      <c r="T974" s="40">
        <v>12</v>
      </c>
      <c r="U974" s="39" t="str" cm="1">
        <f t="array" ref="U974">_xlfn.IFS(T974&lt;=70,"Low",T974&lt;=160,"Medium",T974&gt;=161,"High")</f>
        <v>Low</v>
      </c>
    </row>
    <row r="975" spans="1:21" x14ac:dyDescent="0.25">
      <c r="A975" s="33">
        <v>974</v>
      </c>
      <c r="B975" s="34">
        <v>40587</v>
      </c>
      <c r="C975" s="35">
        <v>1</v>
      </c>
      <c r="D975" s="35">
        <v>0</v>
      </c>
      <c r="E975" s="35">
        <v>2</v>
      </c>
      <c r="F975" s="35">
        <v>4</v>
      </c>
      <c r="G975" s="35" t="str" cm="1">
        <f t="array" ref="G975">_xlfn.IFS(F975&lt;4,"Night",F975&lt;=6,"Early Morning",F975&lt;11,"Morning",F975&lt;12,"Afternoon",F975&lt;=16,"Afternoon",F975&lt;=20,"Evening",F975&gt;=21,"Night")</f>
        <v>Early Morning</v>
      </c>
      <c r="H975" s="35" t="b">
        <v>0</v>
      </c>
      <c r="I975" s="35">
        <v>0</v>
      </c>
      <c r="J975" s="35">
        <v>2</v>
      </c>
      <c r="K975" s="35">
        <v>0.2</v>
      </c>
      <c r="L975" s="31" t="str" cm="1">
        <f t="array" ref="L975">_xlfn.IFS(K975&lt;0.15,"Cold",K975&lt;0.25,"Mild",K975&lt;=0.32,"Warm",K975&gt;=0.33,"Hot")</f>
        <v>Mild</v>
      </c>
      <c r="M975" s="35">
        <v>0.21210000000000001</v>
      </c>
      <c r="N975" s="35">
        <v>0.69</v>
      </c>
      <c r="O975" s="35" t="str" cm="1">
        <f t="array" ref="O975">_xlfn.IFS(N975&gt;0.61, "High Humidity", N975&gt;=0.6, "Humid", N975&gt;0.4, "Less Humidity", TRUE, "Dry")</f>
        <v>High Humidity</v>
      </c>
      <c r="P975" s="35">
        <v>0.16420000000000001</v>
      </c>
      <c r="Q975" s="35" t="str" cm="1">
        <f t="array" ref="Q975">_xlfn.IFS(P975&lt;=0.2,"Low Windspeed",P975&lt;0.4,"Medium Windspeed",P975&gt;=0.41,"High Windspeed")</f>
        <v>Low Windspeed</v>
      </c>
      <c r="R975" s="35">
        <v>0</v>
      </c>
      <c r="S975" s="35">
        <v>2</v>
      </c>
      <c r="T975" s="40">
        <v>2</v>
      </c>
      <c r="U975" s="39" t="str" cm="1">
        <f t="array" ref="U975">_xlfn.IFS(T975&lt;=70,"Low",T975&lt;=160,"Medium",T975&gt;=161,"High")</f>
        <v>Low</v>
      </c>
    </row>
    <row r="976" spans="1:21" x14ac:dyDescent="0.25">
      <c r="A976" s="33">
        <v>975</v>
      </c>
      <c r="B976" s="34">
        <v>40587</v>
      </c>
      <c r="C976" s="35">
        <v>1</v>
      </c>
      <c r="D976" s="35">
        <v>0</v>
      </c>
      <c r="E976" s="35">
        <v>2</v>
      </c>
      <c r="F976" s="35">
        <v>6</v>
      </c>
      <c r="G976" s="35" t="str" cm="1">
        <f t="array" ref="G976">_xlfn.IFS(F976&lt;4,"Night",F976&lt;=6,"Early Morning",F976&lt;11,"Morning",F976&lt;12,"Afternoon",F976&lt;=16,"Afternoon",F976&lt;=20,"Evening",F976&gt;=21,"Night")</f>
        <v>Early Morning</v>
      </c>
      <c r="H976" s="35" t="b">
        <v>0</v>
      </c>
      <c r="I976" s="35">
        <v>0</v>
      </c>
      <c r="J976" s="35">
        <v>2</v>
      </c>
      <c r="K976" s="35">
        <v>0.2</v>
      </c>
      <c r="L976" s="31" t="str" cm="1">
        <f t="array" ref="L976">_xlfn.IFS(K976&lt;0.15,"Cold",K976&lt;0.25,"Mild",K976&lt;=0.32,"Warm",K976&gt;=0.33,"Hot")</f>
        <v>Mild</v>
      </c>
      <c r="M976" s="35">
        <v>0.21210000000000001</v>
      </c>
      <c r="N976" s="35">
        <v>0.69</v>
      </c>
      <c r="O976" s="35" t="str" cm="1">
        <f t="array" ref="O976">_xlfn.IFS(N976&gt;0.61, "High Humidity", N976&gt;=0.6, "Humid", N976&gt;0.4, "Less Humidity", TRUE, "Dry")</f>
        <v>High Humidity</v>
      </c>
      <c r="P976" s="35">
        <v>0.1343</v>
      </c>
      <c r="Q976" s="35" t="str" cm="1">
        <f t="array" ref="Q976">_xlfn.IFS(P976&lt;=0.2,"Low Windspeed",P976&lt;0.4,"Medium Windspeed",P976&gt;=0.41,"High Windspeed")</f>
        <v>Low Windspeed</v>
      </c>
      <c r="R976" s="35">
        <v>2</v>
      </c>
      <c r="S976" s="35">
        <v>3</v>
      </c>
      <c r="T976" s="40">
        <v>5</v>
      </c>
      <c r="U976" s="39" t="str" cm="1">
        <f t="array" ref="U976">_xlfn.IFS(T976&lt;=70,"Low",T976&lt;=160,"Medium",T976&gt;=161,"High")</f>
        <v>Low</v>
      </c>
    </row>
    <row r="977" spans="1:21" x14ac:dyDescent="0.25">
      <c r="A977" s="33">
        <v>976</v>
      </c>
      <c r="B977" s="34">
        <v>40587</v>
      </c>
      <c r="C977" s="35">
        <v>1</v>
      </c>
      <c r="D977" s="35">
        <v>0</v>
      </c>
      <c r="E977" s="35">
        <v>2</v>
      </c>
      <c r="F977" s="35">
        <v>7</v>
      </c>
      <c r="G977" s="35" t="str" cm="1">
        <f t="array" ref="G977">_xlfn.IFS(F977&lt;4,"Night",F977&lt;=6,"Early Morning",F977&lt;11,"Morning",F977&lt;12,"Afternoon",F977&lt;=16,"Afternoon",F977&lt;=20,"Evening",F977&gt;=21,"Night")</f>
        <v>Morning</v>
      </c>
      <c r="H977" s="35" t="b">
        <v>0</v>
      </c>
      <c r="I977" s="35">
        <v>0</v>
      </c>
      <c r="J977" s="35">
        <v>2</v>
      </c>
      <c r="K977" s="35">
        <v>0.22</v>
      </c>
      <c r="L977" s="31" t="str" cm="1">
        <f t="array" ref="L977">_xlfn.IFS(K977&lt;0.15,"Cold",K977&lt;0.25,"Mild",K977&lt;=0.32,"Warm",K977&gt;=0.33,"Hot")</f>
        <v>Mild</v>
      </c>
      <c r="M977" s="35">
        <v>0.2727</v>
      </c>
      <c r="N977" s="35">
        <v>0.55000000000000004</v>
      </c>
      <c r="O977" s="35" t="str" cm="1">
        <f t="array" ref="O977">_xlfn.IFS(N977&gt;0.61, "High Humidity", N977&gt;=0.6, "Humid", N977&gt;0.4, "Less Humidity", TRUE, "Dry")</f>
        <v>Less Humidity</v>
      </c>
      <c r="P977" s="35">
        <v>0</v>
      </c>
      <c r="Q977" s="35" t="str" cm="1">
        <f t="array" ref="Q977">_xlfn.IFS(P977&lt;=0.2,"Low Windspeed",P977&lt;0.4,"Medium Windspeed",P977&gt;=0.41,"High Windspeed")</f>
        <v>Low Windspeed</v>
      </c>
      <c r="R977" s="35">
        <v>0</v>
      </c>
      <c r="S977" s="35">
        <v>3</v>
      </c>
      <c r="T977" s="40">
        <v>3</v>
      </c>
      <c r="U977" s="39" t="str" cm="1">
        <f t="array" ref="U977">_xlfn.IFS(T977&lt;=70,"Low",T977&lt;=160,"Medium",T977&gt;=161,"High")</f>
        <v>Low</v>
      </c>
    </row>
    <row r="978" spans="1:21" x14ac:dyDescent="0.25">
      <c r="A978" s="33">
        <v>977</v>
      </c>
      <c r="B978" s="34">
        <v>40587</v>
      </c>
      <c r="C978" s="35">
        <v>1</v>
      </c>
      <c r="D978" s="35">
        <v>0</v>
      </c>
      <c r="E978" s="35">
        <v>2</v>
      </c>
      <c r="F978" s="35">
        <v>8</v>
      </c>
      <c r="G978" s="35" t="str" cm="1">
        <f t="array" ref="G978">_xlfn.IFS(F978&lt;4,"Night",F978&lt;=6,"Early Morning",F978&lt;11,"Morning",F978&lt;12,"Afternoon",F978&lt;=16,"Afternoon",F978&lt;=20,"Evening",F978&gt;=21,"Night")</f>
        <v>Morning</v>
      </c>
      <c r="H978" s="35" t="b">
        <v>0</v>
      </c>
      <c r="I978" s="35">
        <v>0</v>
      </c>
      <c r="J978" s="35">
        <v>2</v>
      </c>
      <c r="K978" s="35">
        <v>0.22</v>
      </c>
      <c r="L978" s="31" t="str" cm="1">
        <f t="array" ref="L978">_xlfn.IFS(K978&lt;0.15,"Cold",K978&lt;0.25,"Mild",K978&lt;=0.32,"Warm",K978&gt;=0.33,"Hot")</f>
        <v>Mild</v>
      </c>
      <c r="M978" s="35">
        <v>0.2273</v>
      </c>
      <c r="N978" s="35">
        <v>0.64</v>
      </c>
      <c r="O978" s="35" t="str" cm="1">
        <f t="array" ref="O978">_xlfn.IFS(N978&gt;0.61, "High Humidity", N978&gt;=0.6, "Humid", N978&gt;0.4, "Less Humidity", TRUE, "Dry")</f>
        <v>High Humidity</v>
      </c>
      <c r="P978" s="35">
        <v>0.19400000000000001</v>
      </c>
      <c r="Q978" s="35" t="str" cm="1">
        <f t="array" ref="Q978">_xlfn.IFS(P978&lt;=0.2,"Low Windspeed",P978&lt;0.4,"Medium Windspeed",P978&gt;=0.41,"High Windspeed")</f>
        <v>Low Windspeed</v>
      </c>
      <c r="R978" s="35">
        <v>1</v>
      </c>
      <c r="S978" s="35">
        <v>11</v>
      </c>
      <c r="T978" s="40">
        <v>12</v>
      </c>
      <c r="U978" s="39" t="str" cm="1">
        <f t="array" ref="U978">_xlfn.IFS(T978&lt;=70,"Low",T978&lt;=160,"Medium",T978&gt;=161,"High")</f>
        <v>Low</v>
      </c>
    </row>
    <row r="979" spans="1:21" x14ac:dyDescent="0.25">
      <c r="A979" s="33">
        <v>978</v>
      </c>
      <c r="B979" s="34">
        <v>40587</v>
      </c>
      <c r="C979" s="35">
        <v>1</v>
      </c>
      <c r="D979" s="35">
        <v>0</v>
      </c>
      <c r="E979" s="35">
        <v>2</v>
      </c>
      <c r="F979" s="35">
        <v>9</v>
      </c>
      <c r="G979" s="35" t="str" cm="1">
        <f t="array" ref="G979">_xlfn.IFS(F979&lt;4,"Night",F979&lt;=6,"Early Morning",F979&lt;11,"Morning",F979&lt;12,"Afternoon",F979&lt;=16,"Afternoon",F979&lt;=20,"Evening",F979&gt;=21,"Night")</f>
        <v>Morning</v>
      </c>
      <c r="H979" s="35" t="b">
        <v>0</v>
      </c>
      <c r="I979" s="35">
        <v>0</v>
      </c>
      <c r="J979" s="35">
        <v>2</v>
      </c>
      <c r="K979" s="35">
        <v>0.24</v>
      </c>
      <c r="L979" s="31" t="str" cm="1">
        <f t="array" ref="L979">_xlfn.IFS(K979&lt;0.15,"Cold",K979&lt;0.25,"Mild",K979&lt;=0.32,"Warm",K979&gt;=0.33,"Hot")</f>
        <v>Mild</v>
      </c>
      <c r="M979" s="35">
        <v>0.2273</v>
      </c>
      <c r="N979" s="35">
        <v>0.6</v>
      </c>
      <c r="O979" s="35" t="str" cm="1">
        <f t="array" ref="O979">_xlfn.IFS(N979&gt;0.61, "High Humidity", N979&gt;=0.6, "Humid", N979&gt;0.4, "Less Humidity", TRUE, "Dry")</f>
        <v>Humid</v>
      </c>
      <c r="P979" s="35">
        <v>0.22389999999999999</v>
      </c>
      <c r="Q979" s="35" t="str" cm="1">
        <f t="array" ref="Q979">_xlfn.IFS(P979&lt;=0.2,"Low Windspeed",P979&lt;0.4,"Medium Windspeed",P979&gt;=0.41,"High Windspeed")</f>
        <v>Medium Windspeed</v>
      </c>
      <c r="R979" s="35">
        <v>12</v>
      </c>
      <c r="S979" s="35">
        <v>35</v>
      </c>
      <c r="T979" s="40">
        <v>47</v>
      </c>
      <c r="U979" s="39" t="str" cm="1">
        <f t="array" ref="U979">_xlfn.IFS(T979&lt;=70,"Low",T979&lt;=160,"Medium",T979&gt;=161,"High")</f>
        <v>Low</v>
      </c>
    </row>
    <row r="980" spans="1:21" x14ac:dyDescent="0.25">
      <c r="A980" s="33">
        <v>979</v>
      </c>
      <c r="B980" s="34">
        <v>40587</v>
      </c>
      <c r="C980" s="35">
        <v>1</v>
      </c>
      <c r="D980" s="35">
        <v>0</v>
      </c>
      <c r="E980" s="35">
        <v>2</v>
      </c>
      <c r="F980" s="35">
        <v>10</v>
      </c>
      <c r="G980" s="35" t="str" cm="1">
        <f t="array" ref="G980">_xlfn.IFS(F980&lt;4,"Night",F980&lt;=6,"Early Morning",F980&lt;11,"Morning",F980&lt;12,"Afternoon",F980&lt;=16,"Afternoon",F980&lt;=20,"Evening",F980&gt;=21,"Night")</f>
        <v>Morning</v>
      </c>
      <c r="H980" s="35" t="b">
        <v>0</v>
      </c>
      <c r="I980" s="35">
        <v>0</v>
      </c>
      <c r="J980" s="35">
        <v>1</v>
      </c>
      <c r="K980" s="35">
        <v>0.3</v>
      </c>
      <c r="L980" s="31" t="str" cm="1">
        <f t="array" ref="L980">_xlfn.IFS(K980&lt;0.15,"Cold",K980&lt;0.25,"Mild",K980&lt;=0.32,"Warm",K980&gt;=0.33,"Hot")</f>
        <v>Warm</v>
      </c>
      <c r="M980" s="35">
        <v>0.2727</v>
      </c>
      <c r="N980" s="35">
        <v>0.45</v>
      </c>
      <c r="O980" s="35" t="str" cm="1">
        <f t="array" ref="O980">_xlfn.IFS(N980&gt;0.61, "High Humidity", N980&gt;=0.6, "Humid", N980&gt;0.4, "Less Humidity", TRUE, "Dry")</f>
        <v>Less Humidity</v>
      </c>
      <c r="P980" s="35">
        <v>0.32840000000000003</v>
      </c>
      <c r="Q980" s="35" t="str" cm="1">
        <f t="array" ref="Q980">_xlfn.IFS(P980&lt;=0.2,"Low Windspeed",P980&lt;0.4,"Medium Windspeed",P980&gt;=0.41,"High Windspeed")</f>
        <v>Medium Windspeed</v>
      </c>
      <c r="R980" s="35">
        <v>19</v>
      </c>
      <c r="S980" s="35">
        <v>86</v>
      </c>
      <c r="T980" s="40">
        <v>105</v>
      </c>
      <c r="U980" s="39" t="str" cm="1">
        <f t="array" ref="U980">_xlfn.IFS(T980&lt;=70,"Low",T980&lt;=160,"Medium",T980&gt;=161,"High")</f>
        <v>Medium</v>
      </c>
    </row>
    <row r="981" spans="1:21" x14ac:dyDescent="0.25">
      <c r="A981" s="33">
        <v>980</v>
      </c>
      <c r="B981" s="34">
        <v>40587</v>
      </c>
      <c r="C981" s="35">
        <v>1</v>
      </c>
      <c r="D981" s="35">
        <v>0</v>
      </c>
      <c r="E981" s="35">
        <v>2</v>
      </c>
      <c r="F981" s="35">
        <v>11</v>
      </c>
      <c r="G981" s="35" t="str" cm="1">
        <f t="array" ref="G981">_xlfn.IFS(F981&lt;4,"Night",F981&lt;=6,"Early Morning",F981&lt;11,"Morning",F981&lt;12,"Afternoon",F981&lt;=16,"Afternoon",F981&lt;=20,"Evening",F981&gt;=21,"Night")</f>
        <v>Afternoon</v>
      </c>
      <c r="H981" s="35" t="b">
        <v>0</v>
      </c>
      <c r="I981" s="35">
        <v>0</v>
      </c>
      <c r="J981" s="35">
        <v>1</v>
      </c>
      <c r="K981" s="35">
        <v>0.32</v>
      </c>
      <c r="L981" s="31" t="str" cm="1">
        <f t="array" ref="L981">_xlfn.IFS(K981&lt;0.15,"Cold",K981&lt;0.25,"Mild",K981&lt;=0.32,"Warm",K981&gt;=0.33,"Hot")</f>
        <v>Warm</v>
      </c>
      <c r="M981" s="35">
        <v>0.28789999999999999</v>
      </c>
      <c r="N981" s="35">
        <v>0.39</v>
      </c>
      <c r="O981" s="35" t="str" cm="1">
        <f t="array" ref="O981">_xlfn.IFS(N981&gt;0.61, "High Humidity", N981&gt;=0.6, "Humid", N981&gt;0.4, "Less Humidity", TRUE, "Dry")</f>
        <v>Dry</v>
      </c>
      <c r="P981" s="35">
        <v>0.44779999999999998</v>
      </c>
      <c r="Q981" s="35" t="str" cm="1">
        <f t="array" ref="Q981">_xlfn.IFS(P981&lt;=0.2,"Low Windspeed",P981&lt;0.4,"Medium Windspeed",P981&gt;=0.41,"High Windspeed")</f>
        <v>High Windspeed</v>
      </c>
      <c r="R981" s="35">
        <v>26</v>
      </c>
      <c r="S981" s="35">
        <v>86</v>
      </c>
      <c r="T981" s="40">
        <v>112</v>
      </c>
      <c r="U981" s="39" t="str" cm="1">
        <f t="array" ref="U981">_xlfn.IFS(T981&lt;=70,"Low",T981&lt;=160,"Medium",T981&gt;=161,"High")</f>
        <v>Medium</v>
      </c>
    </row>
    <row r="982" spans="1:21" x14ac:dyDescent="0.25">
      <c r="A982" s="33">
        <v>981</v>
      </c>
      <c r="B982" s="34">
        <v>40587</v>
      </c>
      <c r="C982" s="35">
        <v>1</v>
      </c>
      <c r="D982" s="35">
        <v>0</v>
      </c>
      <c r="E982" s="35">
        <v>2</v>
      </c>
      <c r="F982" s="35">
        <v>12</v>
      </c>
      <c r="G982" s="35" t="str" cm="1">
        <f t="array" ref="G982">_xlfn.IFS(F982&lt;4,"Night",F982&lt;=6,"Early Morning",F982&lt;11,"Morning",F982&lt;12,"Afternoon",F982&lt;=16,"Afternoon",F982&lt;=20,"Evening",F982&gt;=21,"Night")</f>
        <v>Afternoon</v>
      </c>
      <c r="H982" s="35" t="b">
        <v>0</v>
      </c>
      <c r="I982" s="35">
        <v>0</v>
      </c>
      <c r="J982" s="35">
        <v>1</v>
      </c>
      <c r="K982" s="35">
        <v>0.36</v>
      </c>
      <c r="L982" s="31" t="str" cm="1">
        <f t="array" ref="L982">_xlfn.IFS(K982&lt;0.15,"Cold",K982&lt;0.25,"Mild",K982&lt;=0.32,"Warm",K982&gt;=0.33,"Hot")</f>
        <v>Hot</v>
      </c>
      <c r="M982" s="35">
        <v>0.31819999999999998</v>
      </c>
      <c r="N982" s="35">
        <v>0.32</v>
      </c>
      <c r="O982" s="35" t="str" cm="1">
        <f t="array" ref="O982">_xlfn.IFS(N982&gt;0.61, "High Humidity", N982&gt;=0.6, "Humid", N982&gt;0.4, "Less Humidity", TRUE, "Dry")</f>
        <v>Dry</v>
      </c>
      <c r="P982" s="35">
        <v>0.4627</v>
      </c>
      <c r="Q982" s="35" t="str" cm="1">
        <f t="array" ref="Q982">_xlfn.IFS(P982&lt;=0.2,"Low Windspeed",P982&lt;0.4,"Medium Windspeed",P982&gt;=0.41,"High Windspeed")</f>
        <v>High Windspeed</v>
      </c>
      <c r="R982" s="35">
        <v>58</v>
      </c>
      <c r="S982" s="35">
        <v>94</v>
      </c>
      <c r="T982" s="40">
        <v>152</v>
      </c>
      <c r="U982" s="39" t="str" cm="1">
        <f t="array" ref="U982">_xlfn.IFS(T982&lt;=70,"Low",T982&lt;=160,"Medium",T982&gt;=161,"High")</f>
        <v>Medium</v>
      </c>
    </row>
    <row r="983" spans="1:21" x14ac:dyDescent="0.25">
      <c r="A983" s="33">
        <v>982</v>
      </c>
      <c r="B983" s="34">
        <v>40587</v>
      </c>
      <c r="C983" s="35">
        <v>1</v>
      </c>
      <c r="D983" s="35">
        <v>0</v>
      </c>
      <c r="E983" s="35">
        <v>2</v>
      </c>
      <c r="F983" s="35">
        <v>13</v>
      </c>
      <c r="G983" s="35" t="str" cm="1">
        <f t="array" ref="G983">_xlfn.IFS(F983&lt;4,"Night",F983&lt;=6,"Early Morning",F983&lt;11,"Morning",F983&lt;12,"Afternoon",F983&lt;=16,"Afternoon",F983&lt;=20,"Evening",F983&gt;=21,"Night")</f>
        <v>Afternoon</v>
      </c>
      <c r="H983" s="35" t="b">
        <v>0</v>
      </c>
      <c r="I983" s="35">
        <v>0</v>
      </c>
      <c r="J983" s="35">
        <v>1</v>
      </c>
      <c r="K983" s="35">
        <v>0.38</v>
      </c>
      <c r="L983" s="31" t="str" cm="1">
        <f t="array" ref="L983">_xlfn.IFS(K983&lt;0.15,"Cold",K983&lt;0.25,"Mild",K983&lt;=0.32,"Warm",K983&gt;=0.33,"Hot")</f>
        <v>Hot</v>
      </c>
      <c r="M983" s="35">
        <v>0.39389999999999997</v>
      </c>
      <c r="N983" s="35">
        <v>0.28999999999999998</v>
      </c>
      <c r="O983" s="35" t="str" cm="1">
        <f t="array" ref="O983">_xlfn.IFS(N983&gt;0.61, "High Humidity", N983&gt;=0.6, "Humid", N983&gt;0.4, "Less Humidity", TRUE, "Dry")</f>
        <v>Dry</v>
      </c>
      <c r="P983" s="35">
        <v>0.35820000000000002</v>
      </c>
      <c r="Q983" s="35" t="str" cm="1">
        <f t="array" ref="Q983">_xlfn.IFS(P983&lt;=0.2,"Low Windspeed",P983&lt;0.4,"Medium Windspeed",P983&gt;=0.41,"High Windspeed")</f>
        <v>Medium Windspeed</v>
      </c>
      <c r="R983" s="35">
        <v>62</v>
      </c>
      <c r="S983" s="35">
        <v>92</v>
      </c>
      <c r="T983" s="40">
        <v>154</v>
      </c>
      <c r="U983" s="39" t="str" cm="1">
        <f t="array" ref="U983">_xlfn.IFS(T983&lt;=70,"Low",T983&lt;=160,"Medium",T983&gt;=161,"High")</f>
        <v>Medium</v>
      </c>
    </row>
    <row r="984" spans="1:21" x14ac:dyDescent="0.25">
      <c r="A984" s="33">
        <v>983</v>
      </c>
      <c r="B984" s="34">
        <v>40587</v>
      </c>
      <c r="C984" s="35">
        <v>1</v>
      </c>
      <c r="D984" s="35">
        <v>0</v>
      </c>
      <c r="E984" s="35">
        <v>2</v>
      </c>
      <c r="F984" s="35">
        <v>14</v>
      </c>
      <c r="G984" s="35" t="str" cm="1">
        <f t="array" ref="G984">_xlfn.IFS(F984&lt;4,"Night",F984&lt;=6,"Early Morning",F984&lt;11,"Morning",F984&lt;12,"Afternoon",F984&lt;=16,"Afternoon",F984&lt;=20,"Evening",F984&gt;=21,"Night")</f>
        <v>Afternoon</v>
      </c>
      <c r="H984" s="35" t="b">
        <v>0</v>
      </c>
      <c r="I984" s="35">
        <v>0</v>
      </c>
      <c r="J984" s="35">
        <v>2</v>
      </c>
      <c r="K984" s="35">
        <v>0.4</v>
      </c>
      <c r="L984" s="31" t="str" cm="1">
        <f t="array" ref="L984">_xlfn.IFS(K984&lt;0.15,"Cold",K984&lt;0.25,"Mild",K984&lt;=0.32,"Warm",K984&gt;=0.33,"Hot")</f>
        <v>Hot</v>
      </c>
      <c r="M984" s="35">
        <v>0.40910000000000002</v>
      </c>
      <c r="N984" s="35">
        <v>0.3</v>
      </c>
      <c r="O984" s="35" t="str" cm="1">
        <f t="array" ref="O984">_xlfn.IFS(N984&gt;0.61, "High Humidity", N984&gt;=0.6, "Humid", N984&gt;0.4, "Less Humidity", TRUE, "Dry")</f>
        <v>Dry</v>
      </c>
      <c r="P984" s="35">
        <v>0.41789999999999999</v>
      </c>
      <c r="Q984" s="35" t="str" cm="1">
        <f t="array" ref="Q984">_xlfn.IFS(P984&lt;=0.2,"Low Windspeed",P984&lt;0.4,"Medium Windspeed",P984&gt;=0.41,"High Windspeed")</f>
        <v>High Windspeed</v>
      </c>
      <c r="R984" s="35">
        <v>51</v>
      </c>
      <c r="S984" s="35">
        <v>110</v>
      </c>
      <c r="T984" s="40">
        <v>161</v>
      </c>
      <c r="U984" s="39" t="str" cm="1">
        <f t="array" ref="U984">_xlfn.IFS(T984&lt;=70,"Low",T984&lt;=160,"Medium",T984&gt;=161,"High")</f>
        <v>High</v>
      </c>
    </row>
    <row r="985" spans="1:21" x14ac:dyDescent="0.25">
      <c r="A985" s="33">
        <v>984</v>
      </c>
      <c r="B985" s="34">
        <v>40587</v>
      </c>
      <c r="C985" s="35">
        <v>1</v>
      </c>
      <c r="D985" s="35">
        <v>0</v>
      </c>
      <c r="E985" s="35">
        <v>2</v>
      </c>
      <c r="F985" s="35">
        <v>15</v>
      </c>
      <c r="G985" s="35" t="str" cm="1">
        <f t="array" ref="G985">_xlfn.IFS(F985&lt;4,"Night",F985&lt;=6,"Early Morning",F985&lt;11,"Morning",F985&lt;12,"Afternoon",F985&lt;=16,"Afternoon",F985&lt;=20,"Evening",F985&gt;=21,"Night")</f>
        <v>Afternoon</v>
      </c>
      <c r="H985" s="35" t="b">
        <v>0</v>
      </c>
      <c r="I985" s="35">
        <v>0</v>
      </c>
      <c r="J985" s="35">
        <v>2</v>
      </c>
      <c r="K985" s="35">
        <v>0.4</v>
      </c>
      <c r="L985" s="31" t="str" cm="1">
        <f t="array" ref="L985">_xlfn.IFS(K985&lt;0.15,"Cold",K985&lt;0.25,"Mild",K985&lt;=0.32,"Warm",K985&gt;=0.33,"Hot")</f>
        <v>Hot</v>
      </c>
      <c r="M985" s="35">
        <v>0.40910000000000002</v>
      </c>
      <c r="N985" s="35">
        <v>0.3</v>
      </c>
      <c r="O985" s="35" t="str" cm="1">
        <f t="array" ref="O985">_xlfn.IFS(N985&gt;0.61, "High Humidity", N985&gt;=0.6, "Humid", N985&gt;0.4, "Less Humidity", TRUE, "Dry")</f>
        <v>Dry</v>
      </c>
      <c r="P985" s="35">
        <v>0.29849999999999999</v>
      </c>
      <c r="Q985" s="35" t="str" cm="1">
        <f t="array" ref="Q985">_xlfn.IFS(P985&lt;=0.2,"Low Windspeed",P985&lt;0.4,"Medium Windspeed",P985&gt;=0.41,"High Windspeed")</f>
        <v>Medium Windspeed</v>
      </c>
      <c r="R985" s="35">
        <v>40</v>
      </c>
      <c r="S985" s="35">
        <v>122</v>
      </c>
      <c r="T985" s="40">
        <v>162</v>
      </c>
      <c r="U985" s="39" t="str" cm="1">
        <f t="array" ref="U985">_xlfn.IFS(T985&lt;=70,"Low",T985&lt;=160,"Medium",T985&gt;=161,"High")</f>
        <v>High</v>
      </c>
    </row>
    <row r="986" spans="1:21" x14ac:dyDescent="0.25">
      <c r="A986" s="33">
        <v>985</v>
      </c>
      <c r="B986" s="34">
        <v>40587</v>
      </c>
      <c r="C986" s="35">
        <v>1</v>
      </c>
      <c r="D986" s="35">
        <v>0</v>
      </c>
      <c r="E986" s="35">
        <v>2</v>
      </c>
      <c r="F986" s="35">
        <v>16</v>
      </c>
      <c r="G986" s="35" t="str" cm="1">
        <f t="array" ref="G986">_xlfn.IFS(F986&lt;4,"Night",F986&lt;=6,"Early Morning",F986&lt;11,"Morning",F986&lt;12,"Afternoon",F986&lt;=16,"Afternoon",F986&lt;=20,"Evening",F986&gt;=21,"Night")</f>
        <v>Afternoon</v>
      </c>
      <c r="H986" s="35" t="b">
        <v>0</v>
      </c>
      <c r="I986" s="35">
        <v>0</v>
      </c>
      <c r="J986" s="35">
        <v>2</v>
      </c>
      <c r="K986" s="35">
        <v>0.42</v>
      </c>
      <c r="L986" s="31" t="str" cm="1">
        <f t="array" ref="L986">_xlfn.IFS(K986&lt;0.15,"Cold",K986&lt;0.25,"Mild",K986&lt;=0.32,"Warm",K986&gt;=0.33,"Hot")</f>
        <v>Hot</v>
      </c>
      <c r="M986" s="35">
        <v>0.42420000000000002</v>
      </c>
      <c r="N986" s="35">
        <v>0.28000000000000003</v>
      </c>
      <c r="O986" s="35" t="str" cm="1">
        <f t="array" ref="O986">_xlfn.IFS(N986&gt;0.61, "High Humidity", N986&gt;=0.6, "Humid", N986&gt;0.4, "Less Humidity", TRUE, "Dry")</f>
        <v>Dry</v>
      </c>
      <c r="P986" s="35">
        <v>0.32840000000000003</v>
      </c>
      <c r="Q986" s="35" t="str" cm="1">
        <f t="array" ref="Q986">_xlfn.IFS(P986&lt;=0.2,"Low Windspeed",P986&lt;0.4,"Medium Windspeed",P986&gt;=0.41,"High Windspeed")</f>
        <v>Medium Windspeed</v>
      </c>
      <c r="R986" s="35">
        <v>28</v>
      </c>
      <c r="S986" s="35">
        <v>106</v>
      </c>
      <c r="T986" s="40">
        <v>134</v>
      </c>
      <c r="U986" s="39" t="str" cm="1">
        <f t="array" ref="U986">_xlfn.IFS(T986&lt;=70,"Low",T986&lt;=160,"Medium",T986&gt;=161,"High")</f>
        <v>Medium</v>
      </c>
    </row>
    <row r="987" spans="1:21" x14ac:dyDescent="0.25">
      <c r="A987" s="33">
        <v>986</v>
      </c>
      <c r="B987" s="34">
        <v>40587</v>
      </c>
      <c r="C987" s="35">
        <v>1</v>
      </c>
      <c r="D987" s="35">
        <v>0</v>
      </c>
      <c r="E987" s="35">
        <v>2</v>
      </c>
      <c r="F987" s="35">
        <v>17</v>
      </c>
      <c r="G987" s="35" t="str" cm="1">
        <f t="array" ref="G987">_xlfn.IFS(F987&lt;4,"Night",F987&lt;=6,"Early Morning",F987&lt;11,"Morning",F987&lt;12,"Afternoon",F987&lt;=16,"Afternoon",F987&lt;=20,"Evening",F987&gt;=21,"Night")</f>
        <v>Evening</v>
      </c>
      <c r="H987" s="35" t="b">
        <v>0</v>
      </c>
      <c r="I987" s="35">
        <v>0</v>
      </c>
      <c r="J987" s="35">
        <v>1</v>
      </c>
      <c r="K987" s="35">
        <v>0.42</v>
      </c>
      <c r="L987" s="31" t="str" cm="1">
        <f t="array" ref="L987">_xlfn.IFS(K987&lt;0.15,"Cold",K987&lt;0.25,"Mild",K987&lt;=0.32,"Warm",K987&gt;=0.33,"Hot")</f>
        <v>Hot</v>
      </c>
      <c r="M987" s="35">
        <v>0.42420000000000002</v>
      </c>
      <c r="N987" s="35">
        <v>0.28000000000000003</v>
      </c>
      <c r="O987" s="35" t="str" cm="1">
        <f t="array" ref="O987">_xlfn.IFS(N987&gt;0.61, "High Humidity", N987&gt;=0.6, "Humid", N987&gt;0.4, "Less Humidity", TRUE, "Dry")</f>
        <v>Dry</v>
      </c>
      <c r="P987" s="35">
        <v>0.32840000000000003</v>
      </c>
      <c r="Q987" s="35" t="str" cm="1">
        <f t="array" ref="Q987">_xlfn.IFS(P987&lt;=0.2,"Low Windspeed",P987&lt;0.4,"Medium Windspeed",P987&gt;=0.41,"High Windspeed")</f>
        <v>Medium Windspeed</v>
      </c>
      <c r="R987" s="35">
        <v>30</v>
      </c>
      <c r="S987" s="35">
        <v>95</v>
      </c>
      <c r="T987" s="40">
        <v>125</v>
      </c>
      <c r="U987" s="39" t="str" cm="1">
        <f t="array" ref="U987">_xlfn.IFS(T987&lt;=70,"Low",T987&lt;=160,"Medium",T987&gt;=161,"High")</f>
        <v>Medium</v>
      </c>
    </row>
    <row r="988" spans="1:21" x14ac:dyDescent="0.25">
      <c r="A988" s="33">
        <v>987</v>
      </c>
      <c r="B988" s="34">
        <v>40587</v>
      </c>
      <c r="C988" s="35">
        <v>1</v>
      </c>
      <c r="D988" s="35">
        <v>0</v>
      </c>
      <c r="E988" s="35">
        <v>2</v>
      </c>
      <c r="F988" s="35">
        <v>18</v>
      </c>
      <c r="G988" s="35" t="str" cm="1">
        <f t="array" ref="G988">_xlfn.IFS(F988&lt;4,"Night",F988&lt;=6,"Early Morning",F988&lt;11,"Morning",F988&lt;12,"Afternoon",F988&lt;=16,"Afternoon",F988&lt;=20,"Evening",F988&gt;=21,"Night")</f>
        <v>Evening</v>
      </c>
      <c r="H988" s="35" t="b">
        <v>0</v>
      </c>
      <c r="I988" s="35">
        <v>0</v>
      </c>
      <c r="J988" s="35">
        <v>1</v>
      </c>
      <c r="K988" s="35">
        <v>0.4</v>
      </c>
      <c r="L988" s="31" t="str" cm="1">
        <f t="array" ref="L988">_xlfn.IFS(K988&lt;0.15,"Cold",K988&lt;0.25,"Mild",K988&lt;=0.32,"Warm",K988&gt;=0.33,"Hot")</f>
        <v>Hot</v>
      </c>
      <c r="M988" s="35">
        <v>0.40910000000000002</v>
      </c>
      <c r="N988" s="35">
        <v>0.32</v>
      </c>
      <c r="O988" s="35" t="str" cm="1">
        <f t="array" ref="O988">_xlfn.IFS(N988&gt;0.61, "High Humidity", N988&gt;=0.6, "Humid", N988&gt;0.4, "Less Humidity", TRUE, "Dry")</f>
        <v>Dry</v>
      </c>
      <c r="P988" s="35">
        <v>0.29849999999999999</v>
      </c>
      <c r="Q988" s="35" t="str" cm="1">
        <f t="array" ref="Q988">_xlfn.IFS(P988&lt;=0.2,"Low Windspeed",P988&lt;0.4,"Medium Windspeed",P988&gt;=0.41,"High Windspeed")</f>
        <v>Medium Windspeed</v>
      </c>
      <c r="R988" s="35">
        <v>17</v>
      </c>
      <c r="S988" s="35">
        <v>78</v>
      </c>
      <c r="T988" s="40">
        <v>95</v>
      </c>
      <c r="U988" s="39" t="str" cm="1">
        <f t="array" ref="U988">_xlfn.IFS(T988&lt;=70,"Low",T988&lt;=160,"Medium",T988&gt;=161,"High")</f>
        <v>Medium</v>
      </c>
    </row>
    <row r="989" spans="1:21" x14ac:dyDescent="0.25">
      <c r="A989" s="33">
        <v>988</v>
      </c>
      <c r="B989" s="34">
        <v>40587</v>
      </c>
      <c r="C989" s="35">
        <v>1</v>
      </c>
      <c r="D989" s="35">
        <v>0</v>
      </c>
      <c r="E989" s="35">
        <v>2</v>
      </c>
      <c r="F989" s="35">
        <v>19</v>
      </c>
      <c r="G989" s="35" t="str" cm="1">
        <f t="array" ref="G989">_xlfn.IFS(F989&lt;4,"Night",F989&lt;=6,"Early Morning",F989&lt;11,"Morning",F989&lt;12,"Afternoon",F989&lt;=16,"Afternoon",F989&lt;=20,"Evening",F989&gt;=21,"Night")</f>
        <v>Evening</v>
      </c>
      <c r="H989" s="35" t="b">
        <v>0</v>
      </c>
      <c r="I989" s="35">
        <v>0</v>
      </c>
      <c r="J989" s="35">
        <v>1</v>
      </c>
      <c r="K989" s="35">
        <v>0.4</v>
      </c>
      <c r="L989" s="31" t="str" cm="1">
        <f t="array" ref="L989">_xlfn.IFS(K989&lt;0.15,"Cold",K989&lt;0.25,"Mild",K989&lt;=0.32,"Warm",K989&gt;=0.33,"Hot")</f>
        <v>Hot</v>
      </c>
      <c r="M989" s="35">
        <v>0.40910000000000002</v>
      </c>
      <c r="N989" s="35">
        <v>0.35</v>
      </c>
      <c r="O989" s="35" t="str" cm="1">
        <f t="array" ref="O989">_xlfn.IFS(N989&gt;0.61, "High Humidity", N989&gt;=0.6, "Humid", N989&gt;0.4, "Less Humidity", TRUE, "Dry")</f>
        <v>Dry</v>
      </c>
      <c r="P989" s="35">
        <v>0.28360000000000002</v>
      </c>
      <c r="Q989" s="35" t="str" cm="1">
        <f t="array" ref="Q989">_xlfn.IFS(P989&lt;=0.2,"Low Windspeed",P989&lt;0.4,"Medium Windspeed",P989&gt;=0.41,"High Windspeed")</f>
        <v>Medium Windspeed</v>
      </c>
      <c r="R989" s="35">
        <v>11</v>
      </c>
      <c r="S989" s="35">
        <v>50</v>
      </c>
      <c r="T989" s="40">
        <v>61</v>
      </c>
      <c r="U989" s="39" t="str" cm="1">
        <f t="array" ref="U989">_xlfn.IFS(T989&lt;=70,"Low",T989&lt;=160,"Medium",T989&gt;=161,"High")</f>
        <v>Low</v>
      </c>
    </row>
    <row r="990" spans="1:21" x14ac:dyDescent="0.25">
      <c r="A990" s="33">
        <v>989</v>
      </c>
      <c r="B990" s="34">
        <v>40587</v>
      </c>
      <c r="C990" s="35">
        <v>1</v>
      </c>
      <c r="D990" s="35">
        <v>0</v>
      </c>
      <c r="E990" s="35">
        <v>2</v>
      </c>
      <c r="F990" s="35">
        <v>20</v>
      </c>
      <c r="G990" s="35" t="str" cm="1">
        <f t="array" ref="G990">_xlfn.IFS(F990&lt;4,"Night",F990&lt;=6,"Early Morning",F990&lt;11,"Morning",F990&lt;12,"Afternoon",F990&lt;=16,"Afternoon",F990&lt;=20,"Evening",F990&gt;=21,"Night")</f>
        <v>Evening</v>
      </c>
      <c r="H990" s="35" t="b">
        <v>0</v>
      </c>
      <c r="I990" s="35">
        <v>0</v>
      </c>
      <c r="J990" s="35">
        <v>1</v>
      </c>
      <c r="K990" s="35">
        <v>0.4</v>
      </c>
      <c r="L990" s="31" t="str" cm="1">
        <f t="array" ref="L990">_xlfn.IFS(K990&lt;0.15,"Cold",K990&lt;0.25,"Mild",K990&lt;=0.32,"Warm",K990&gt;=0.33,"Hot")</f>
        <v>Hot</v>
      </c>
      <c r="M990" s="35">
        <v>0.40910000000000002</v>
      </c>
      <c r="N990" s="35">
        <v>0.35</v>
      </c>
      <c r="O990" s="35" t="str" cm="1">
        <f t="array" ref="O990">_xlfn.IFS(N990&gt;0.61, "High Humidity", N990&gt;=0.6, "Humid", N990&gt;0.4, "Less Humidity", TRUE, "Dry")</f>
        <v>Dry</v>
      </c>
      <c r="P990" s="35">
        <v>0.32840000000000003</v>
      </c>
      <c r="Q990" s="35" t="str" cm="1">
        <f t="array" ref="Q990">_xlfn.IFS(P990&lt;=0.2,"Low Windspeed",P990&lt;0.4,"Medium Windspeed",P990&gt;=0.41,"High Windspeed")</f>
        <v>Medium Windspeed</v>
      </c>
      <c r="R990" s="35">
        <v>15</v>
      </c>
      <c r="S990" s="35">
        <v>32</v>
      </c>
      <c r="T990" s="40">
        <v>47</v>
      </c>
      <c r="U990" s="39" t="str" cm="1">
        <f t="array" ref="U990">_xlfn.IFS(T990&lt;=70,"Low",T990&lt;=160,"Medium",T990&gt;=161,"High")</f>
        <v>Low</v>
      </c>
    </row>
    <row r="991" spans="1:21" x14ac:dyDescent="0.25">
      <c r="A991" s="33">
        <v>990</v>
      </c>
      <c r="B991" s="34">
        <v>40587</v>
      </c>
      <c r="C991" s="35">
        <v>1</v>
      </c>
      <c r="D991" s="35">
        <v>0</v>
      </c>
      <c r="E991" s="35">
        <v>2</v>
      </c>
      <c r="F991" s="35">
        <v>21</v>
      </c>
      <c r="G991" s="35" t="str" cm="1">
        <f t="array" ref="G991">_xlfn.IFS(F991&lt;4,"Night",F991&lt;=6,"Early Morning",F991&lt;11,"Morning",F991&lt;12,"Afternoon",F991&lt;=16,"Afternoon",F991&lt;=20,"Evening",F991&gt;=21,"Night")</f>
        <v>Night</v>
      </c>
      <c r="H991" s="35" t="b">
        <v>0</v>
      </c>
      <c r="I991" s="35">
        <v>0</v>
      </c>
      <c r="J991" s="35">
        <v>1</v>
      </c>
      <c r="K991" s="35">
        <v>0.4</v>
      </c>
      <c r="L991" s="31" t="str" cm="1">
        <f t="array" ref="L991">_xlfn.IFS(K991&lt;0.15,"Cold",K991&lt;0.25,"Mild",K991&lt;=0.32,"Warm",K991&gt;=0.33,"Hot")</f>
        <v>Hot</v>
      </c>
      <c r="M991" s="35">
        <v>0.40910000000000002</v>
      </c>
      <c r="N991" s="35">
        <v>0.35</v>
      </c>
      <c r="O991" s="35" t="str" cm="1">
        <f t="array" ref="O991">_xlfn.IFS(N991&gt;0.61, "High Humidity", N991&gt;=0.6, "Humid", N991&gt;0.4, "Less Humidity", TRUE, "Dry")</f>
        <v>Dry</v>
      </c>
      <c r="P991" s="35">
        <v>0.35820000000000002</v>
      </c>
      <c r="Q991" s="35" t="str" cm="1">
        <f t="array" ref="Q991">_xlfn.IFS(P991&lt;=0.2,"Low Windspeed",P991&lt;0.4,"Medium Windspeed",P991&gt;=0.41,"High Windspeed")</f>
        <v>Medium Windspeed</v>
      </c>
      <c r="R991" s="35">
        <v>6</v>
      </c>
      <c r="S991" s="35">
        <v>45</v>
      </c>
      <c r="T991" s="40">
        <v>51</v>
      </c>
      <c r="U991" s="39" t="str" cm="1">
        <f t="array" ref="U991">_xlfn.IFS(T991&lt;=70,"Low",T991&lt;=160,"Medium",T991&gt;=161,"High")</f>
        <v>Low</v>
      </c>
    </row>
    <row r="992" spans="1:21" x14ac:dyDescent="0.25">
      <c r="A992" s="33">
        <v>991</v>
      </c>
      <c r="B992" s="34">
        <v>40587</v>
      </c>
      <c r="C992" s="35">
        <v>1</v>
      </c>
      <c r="D992" s="35">
        <v>0</v>
      </c>
      <c r="E992" s="35">
        <v>2</v>
      </c>
      <c r="F992" s="35">
        <v>22</v>
      </c>
      <c r="G992" s="35" t="str" cm="1">
        <f t="array" ref="G992">_xlfn.IFS(F992&lt;4,"Night",F992&lt;=6,"Early Morning",F992&lt;11,"Morning",F992&lt;12,"Afternoon",F992&lt;=16,"Afternoon",F992&lt;=20,"Evening",F992&gt;=21,"Night")</f>
        <v>Night</v>
      </c>
      <c r="H992" s="35" t="b">
        <v>0</v>
      </c>
      <c r="I992" s="35">
        <v>0</v>
      </c>
      <c r="J992" s="35">
        <v>1</v>
      </c>
      <c r="K992" s="35">
        <v>0.4</v>
      </c>
      <c r="L992" s="31" t="str" cm="1">
        <f t="array" ref="L992">_xlfn.IFS(K992&lt;0.15,"Cold",K992&lt;0.25,"Mild",K992&lt;=0.32,"Warm",K992&gt;=0.33,"Hot")</f>
        <v>Hot</v>
      </c>
      <c r="M992" s="35">
        <v>0.40910000000000002</v>
      </c>
      <c r="N992" s="35">
        <v>0.35</v>
      </c>
      <c r="O992" s="35" t="str" cm="1">
        <f t="array" ref="O992">_xlfn.IFS(N992&gt;0.61, "High Humidity", N992&gt;=0.6, "Humid", N992&gt;0.4, "Less Humidity", TRUE, "Dry")</f>
        <v>Dry</v>
      </c>
      <c r="P992" s="35">
        <v>0.29849999999999999</v>
      </c>
      <c r="Q992" s="35" t="str" cm="1">
        <f t="array" ref="Q992">_xlfn.IFS(P992&lt;=0.2,"Low Windspeed",P992&lt;0.4,"Medium Windspeed",P992&gt;=0.41,"High Windspeed")</f>
        <v>Medium Windspeed</v>
      </c>
      <c r="R992" s="35">
        <v>5</v>
      </c>
      <c r="S992" s="35">
        <v>31</v>
      </c>
      <c r="T992" s="40">
        <v>36</v>
      </c>
      <c r="U992" s="39" t="str" cm="1">
        <f t="array" ref="U992">_xlfn.IFS(T992&lt;=70,"Low",T992&lt;=160,"Medium",T992&gt;=161,"High")</f>
        <v>Low</v>
      </c>
    </row>
    <row r="993" spans="1:21" x14ac:dyDescent="0.25">
      <c r="A993" s="33">
        <v>992</v>
      </c>
      <c r="B993" s="34">
        <v>40587</v>
      </c>
      <c r="C993" s="35">
        <v>1</v>
      </c>
      <c r="D993" s="35">
        <v>0</v>
      </c>
      <c r="E993" s="35">
        <v>2</v>
      </c>
      <c r="F993" s="35">
        <v>23</v>
      </c>
      <c r="G993" s="35" t="str" cm="1">
        <f t="array" ref="G993">_xlfn.IFS(F993&lt;4,"Night",F993&lt;=6,"Early Morning",F993&lt;11,"Morning",F993&lt;12,"Afternoon",F993&lt;=16,"Afternoon",F993&lt;=20,"Evening",F993&gt;=21,"Night")</f>
        <v>Night</v>
      </c>
      <c r="H993" s="35" t="b">
        <v>0</v>
      </c>
      <c r="I993" s="35">
        <v>0</v>
      </c>
      <c r="J993" s="35">
        <v>1</v>
      </c>
      <c r="K993" s="35">
        <v>0.4</v>
      </c>
      <c r="L993" s="31" t="str" cm="1">
        <f t="array" ref="L993">_xlfn.IFS(K993&lt;0.15,"Cold",K993&lt;0.25,"Mild",K993&lt;=0.32,"Warm",K993&gt;=0.33,"Hot")</f>
        <v>Hot</v>
      </c>
      <c r="M993" s="35">
        <v>0.40910000000000002</v>
      </c>
      <c r="N993" s="35">
        <v>0.35</v>
      </c>
      <c r="O993" s="35" t="str" cm="1">
        <f t="array" ref="O993">_xlfn.IFS(N993&gt;0.61, "High Humidity", N993&gt;=0.6, "Humid", N993&gt;0.4, "Less Humidity", TRUE, "Dry")</f>
        <v>Dry</v>
      </c>
      <c r="P993" s="35">
        <v>0.35820000000000002</v>
      </c>
      <c r="Q993" s="35" t="str" cm="1">
        <f t="array" ref="Q993">_xlfn.IFS(P993&lt;=0.2,"Low Windspeed",P993&lt;0.4,"Medium Windspeed",P993&gt;=0.41,"High Windspeed")</f>
        <v>Medium Windspeed</v>
      </c>
      <c r="R993" s="35">
        <v>3</v>
      </c>
      <c r="S993" s="35">
        <v>27</v>
      </c>
      <c r="T993" s="40">
        <v>30</v>
      </c>
      <c r="U993" s="39" t="str" cm="1">
        <f t="array" ref="U993">_xlfn.IFS(T993&lt;=70,"Low",T993&lt;=160,"Medium",T993&gt;=161,"High")</f>
        <v>Low</v>
      </c>
    </row>
    <row r="994" spans="1:21" x14ac:dyDescent="0.25">
      <c r="A994" s="33">
        <v>993</v>
      </c>
      <c r="B994" s="34">
        <v>40588</v>
      </c>
      <c r="C994" s="35">
        <v>1</v>
      </c>
      <c r="D994" s="35">
        <v>0</v>
      </c>
      <c r="E994" s="35">
        <v>2</v>
      </c>
      <c r="F994" s="35">
        <v>0</v>
      </c>
      <c r="G994" s="35" t="str" cm="1">
        <f t="array" ref="G994">_xlfn.IFS(F994&lt;4,"Night",F994&lt;=6,"Early Morning",F994&lt;11,"Morning",F994&lt;12,"Afternoon",F994&lt;=16,"Afternoon",F994&lt;=20,"Evening",F994&gt;=21,"Night")</f>
        <v>Night</v>
      </c>
      <c r="H994" s="35" t="b">
        <v>0</v>
      </c>
      <c r="I994" s="35">
        <v>1</v>
      </c>
      <c r="J994" s="35">
        <v>1</v>
      </c>
      <c r="K994" s="35">
        <v>0.38</v>
      </c>
      <c r="L994" s="31" t="str" cm="1">
        <f t="array" ref="L994">_xlfn.IFS(K994&lt;0.15,"Cold",K994&lt;0.25,"Mild",K994&lt;=0.32,"Warm",K994&gt;=0.33,"Hot")</f>
        <v>Hot</v>
      </c>
      <c r="M994" s="35">
        <v>0.39389999999999997</v>
      </c>
      <c r="N994" s="35">
        <v>0.37</v>
      </c>
      <c r="O994" s="35" t="str" cm="1">
        <f t="array" ref="O994">_xlfn.IFS(N994&gt;0.61, "High Humidity", N994&gt;=0.6, "Humid", N994&gt;0.4, "Less Humidity", TRUE, "Dry")</f>
        <v>Dry</v>
      </c>
      <c r="P994" s="35">
        <v>0.35820000000000002</v>
      </c>
      <c r="Q994" s="35" t="str" cm="1">
        <f t="array" ref="Q994">_xlfn.IFS(P994&lt;=0.2,"Low Windspeed",P994&lt;0.4,"Medium Windspeed",P994&gt;=0.41,"High Windspeed")</f>
        <v>Medium Windspeed</v>
      </c>
      <c r="R994" s="35">
        <v>3</v>
      </c>
      <c r="S994" s="35">
        <v>8</v>
      </c>
      <c r="T994" s="40">
        <v>11</v>
      </c>
      <c r="U994" s="39" t="str" cm="1">
        <f t="array" ref="U994">_xlfn.IFS(T994&lt;=70,"Low",T994&lt;=160,"Medium",T994&gt;=161,"High")</f>
        <v>Low</v>
      </c>
    </row>
    <row r="995" spans="1:21" x14ac:dyDescent="0.25">
      <c r="A995" s="33">
        <v>994</v>
      </c>
      <c r="B995" s="34">
        <v>40588</v>
      </c>
      <c r="C995" s="35">
        <v>1</v>
      </c>
      <c r="D995" s="35">
        <v>0</v>
      </c>
      <c r="E995" s="35">
        <v>2</v>
      </c>
      <c r="F995" s="35">
        <v>1</v>
      </c>
      <c r="G995" s="35" t="str" cm="1">
        <f t="array" ref="G995">_xlfn.IFS(F995&lt;4,"Night",F995&lt;=6,"Early Morning",F995&lt;11,"Morning",F995&lt;12,"Afternoon",F995&lt;=16,"Afternoon",F995&lt;=20,"Evening",F995&gt;=21,"Night")</f>
        <v>Night</v>
      </c>
      <c r="H995" s="35" t="b">
        <v>0</v>
      </c>
      <c r="I995" s="35">
        <v>1</v>
      </c>
      <c r="J995" s="35">
        <v>1</v>
      </c>
      <c r="K995" s="35">
        <v>0.38</v>
      </c>
      <c r="L995" s="31" t="str" cm="1">
        <f t="array" ref="L995">_xlfn.IFS(K995&lt;0.15,"Cold",K995&lt;0.25,"Mild",K995&lt;=0.32,"Warm",K995&gt;=0.33,"Hot")</f>
        <v>Hot</v>
      </c>
      <c r="M995" s="35">
        <v>0.39389999999999997</v>
      </c>
      <c r="N995" s="35">
        <v>0.37</v>
      </c>
      <c r="O995" s="35" t="str" cm="1">
        <f t="array" ref="O995">_xlfn.IFS(N995&gt;0.61, "High Humidity", N995&gt;=0.6, "Humid", N995&gt;0.4, "Less Humidity", TRUE, "Dry")</f>
        <v>Dry</v>
      </c>
      <c r="P995" s="35">
        <v>0.35820000000000002</v>
      </c>
      <c r="Q995" s="35" t="str" cm="1">
        <f t="array" ref="Q995">_xlfn.IFS(P995&lt;=0.2,"Low Windspeed",P995&lt;0.4,"Medium Windspeed",P995&gt;=0.41,"High Windspeed")</f>
        <v>Medium Windspeed</v>
      </c>
      <c r="R995" s="35">
        <v>1</v>
      </c>
      <c r="S995" s="35">
        <v>6</v>
      </c>
      <c r="T995" s="40">
        <v>7</v>
      </c>
      <c r="U995" s="39" t="str" cm="1">
        <f t="array" ref="U995">_xlfn.IFS(T995&lt;=70,"Low",T995&lt;=160,"Medium",T995&gt;=161,"High")</f>
        <v>Low</v>
      </c>
    </row>
    <row r="996" spans="1:21" x14ac:dyDescent="0.25">
      <c r="A996" s="33">
        <v>995</v>
      </c>
      <c r="B996" s="34">
        <v>40588</v>
      </c>
      <c r="C996" s="35">
        <v>1</v>
      </c>
      <c r="D996" s="35">
        <v>0</v>
      </c>
      <c r="E996" s="35">
        <v>2</v>
      </c>
      <c r="F996" s="35">
        <v>2</v>
      </c>
      <c r="G996" s="35" t="str" cm="1">
        <f t="array" ref="G996">_xlfn.IFS(F996&lt;4,"Night",F996&lt;=6,"Early Morning",F996&lt;11,"Morning",F996&lt;12,"Afternoon",F996&lt;=16,"Afternoon",F996&lt;=20,"Evening",F996&gt;=21,"Night")</f>
        <v>Night</v>
      </c>
      <c r="H996" s="35" t="b">
        <v>0</v>
      </c>
      <c r="I996" s="35">
        <v>1</v>
      </c>
      <c r="J996" s="35">
        <v>1</v>
      </c>
      <c r="K996" s="35">
        <v>0.36</v>
      </c>
      <c r="L996" s="31" t="str" cm="1">
        <f t="array" ref="L996">_xlfn.IFS(K996&lt;0.15,"Cold",K996&lt;0.25,"Mild",K996&lt;=0.32,"Warm",K996&gt;=0.33,"Hot")</f>
        <v>Hot</v>
      </c>
      <c r="M996" s="35">
        <v>0.33329999999999999</v>
      </c>
      <c r="N996" s="35">
        <v>0.4</v>
      </c>
      <c r="O996" s="35" t="str" cm="1">
        <f t="array" ref="O996">_xlfn.IFS(N996&gt;0.61, "High Humidity", N996&gt;=0.6, "Humid", N996&gt;0.4, "Less Humidity", TRUE, "Dry")</f>
        <v>Dry</v>
      </c>
      <c r="P996" s="35">
        <v>0.29849999999999999</v>
      </c>
      <c r="Q996" s="35" t="str" cm="1">
        <f t="array" ref="Q996">_xlfn.IFS(P996&lt;=0.2,"Low Windspeed",P996&lt;0.4,"Medium Windspeed",P996&gt;=0.41,"High Windspeed")</f>
        <v>Medium Windspeed</v>
      </c>
      <c r="R996" s="35">
        <v>0</v>
      </c>
      <c r="S996" s="35">
        <v>2</v>
      </c>
      <c r="T996" s="40">
        <v>2</v>
      </c>
      <c r="U996" s="39" t="str" cm="1">
        <f t="array" ref="U996">_xlfn.IFS(T996&lt;=70,"Low",T996&lt;=160,"Medium",T996&gt;=161,"High")</f>
        <v>Low</v>
      </c>
    </row>
    <row r="997" spans="1:21" x14ac:dyDescent="0.25">
      <c r="A997" s="33">
        <v>996</v>
      </c>
      <c r="B997" s="34">
        <v>40588</v>
      </c>
      <c r="C997" s="35">
        <v>1</v>
      </c>
      <c r="D997" s="35">
        <v>0</v>
      </c>
      <c r="E997" s="35">
        <v>2</v>
      </c>
      <c r="F997" s="35">
        <v>3</v>
      </c>
      <c r="G997" s="35" t="str" cm="1">
        <f t="array" ref="G997">_xlfn.IFS(F997&lt;4,"Night",F997&lt;=6,"Early Morning",F997&lt;11,"Morning",F997&lt;12,"Afternoon",F997&lt;=16,"Afternoon",F997&lt;=20,"Evening",F997&gt;=21,"Night")</f>
        <v>Night</v>
      </c>
      <c r="H997" s="35" t="b">
        <v>0</v>
      </c>
      <c r="I997" s="35">
        <v>1</v>
      </c>
      <c r="J997" s="35">
        <v>1</v>
      </c>
      <c r="K997" s="35">
        <v>0.34</v>
      </c>
      <c r="L997" s="31" t="str" cm="1">
        <f t="array" ref="L997">_xlfn.IFS(K997&lt;0.15,"Cold",K997&lt;0.25,"Mild",K997&lt;=0.32,"Warm",K997&gt;=0.33,"Hot")</f>
        <v>Hot</v>
      </c>
      <c r="M997" s="35">
        <v>0.31819999999999998</v>
      </c>
      <c r="N997" s="35">
        <v>0.46</v>
      </c>
      <c r="O997" s="35" t="str" cm="1">
        <f t="array" ref="O997">_xlfn.IFS(N997&gt;0.61, "High Humidity", N997&gt;=0.6, "Humid", N997&gt;0.4, "Less Humidity", TRUE, "Dry")</f>
        <v>Less Humidity</v>
      </c>
      <c r="P997" s="35">
        <v>0.22389999999999999</v>
      </c>
      <c r="Q997" s="35" t="str" cm="1">
        <f t="array" ref="Q997">_xlfn.IFS(P997&lt;=0.2,"Low Windspeed",P997&lt;0.4,"Medium Windspeed",P997&gt;=0.41,"High Windspeed")</f>
        <v>Medium Windspeed</v>
      </c>
      <c r="R997" s="35">
        <v>1</v>
      </c>
      <c r="S997" s="35">
        <v>1</v>
      </c>
      <c r="T997" s="40">
        <v>2</v>
      </c>
      <c r="U997" s="39" t="str" cm="1">
        <f t="array" ref="U997">_xlfn.IFS(T997&lt;=70,"Low",T997&lt;=160,"Medium",T997&gt;=161,"High")</f>
        <v>Low</v>
      </c>
    </row>
    <row r="998" spans="1:21" x14ac:dyDescent="0.25">
      <c r="A998" s="33">
        <v>997</v>
      </c>
      <c r="B998" s="34">
        <v>40588</v>
      </c>
      <c r="C998" s="35">
        <v>1</v>
      </c>
      <c r="D998" s="35">
        <v>0</v>
      </c>
      <c r="E998" s="35">
        <v>2</v>
      </c>
      <c r="F998" s="35">
        <v>4</v>
      </c>
      <c r="G998" s="35" t="str" cm="1">
        <f t="array" ref="G998">_xlfn.IFS(F998&lt;4,"Night",F998&lt;=6,"Early Morning",F998&lt;11,"Morning",F998&lt;12,"Afternoon",F998&lt;=16,"Afternoon",F998&lt;=20,"Evening",F998&gt;=21,"Night")</f>
        <v>Early Morning</v>
      </c>
      <c r="H998" s="35" t="b">
        <v>0</v>
      </c>
      <c r="I998" s="35">
        <v>1</v>
      </c>
      <c r="J998" s="35">
        <v>1</v>
      </c>
      <c r="K998" s="35">
        <v>0.32</v>
      </c>
      <c r="L998" s="31" t="str" cm="1">
        <f t="array" ref="L998">_xlfn.IFS(K998&lt;0.15,"Cold",K998&lt;0.25,"Mild",K998&lt;=0.32,"Warm",K998&gt;=0.33,"Hot")</f>
        <v>Warm</v>
      </c>
      <c r="M998" s="35">
        <v>0.30299999999999999</v>
      </c>
      <c r="N998" s="35">
        <v>0.53</v>
      </c>
      <c r="O998" s="35" t="str" cm="1">
        <f t="array" ref="O998">_xlfn.IFS(N998&gt;0.61, "High Humidity", N998&gt;=0.6, "Humid", N998&gt;0.4, "Less Humidity", TRUE, "Dry")</f>
        <v>Less Humidity</v>
      </c>
      <c r="P998" s="35">
        <v>0.28360000000000002</v>
      </c>
      <c r="Q998" s="35" t="str" cm="1">
        <f t="array" ref="Q998">_xlfn.IFS(P998&lt;=0.2,"Low Windspeed",P998&lt;0.4,"Medium Windspeed",P998&gt;=0.41,"High Windspeed")</f>
        <v>Medium Windspeed</v>
      </c>
      <c r="R998" s="35">
        <v>0</v>
      </c>
      <c r="S998" s="35">
        <v>2</v>
      </c>
      <c r="T998" s="40">
        <v>2</v>
      </c>
      <c r="U998" s="39" t="str" cm="1">
        <f t="array" ref="U998">_xlfn.IFS(T998&lt;=70,"Low",T998&lt;=160,"Medium",T998&gt;=161,"High")</f>
        <v>Low</v>
      </c>
    </row>
    <row r="999" spans="1:21" x14ac:dyDescent="0.25">
      <c r="A999" s="33">
        <v>998</v>
      </c>
      <c r="B999" s="34">
        <v>40588</v>
      </c>
      <c r="C999" s="35">
        <v>1</v>
      </c>
      <c r="D999" s="35">
        <v>0</v>
      </c>
      <c r="E999" s="35">
        <v>2</v>
      </c>
      <c r="F999" s="35">
        <v>5</v>
      </c>
      <c r="G999" s="35" t="str" cm="1">
        <f t="array" ref="G999">_xlfn.IFS(F999&lt;4,"Night",F999&lt;=6,"Early Morning",F999&lt;11,"Morning",F999&lt;12,"Afternoon",F999&lt;=16,"Afternoon",F999&lt;=20,"Evening",F999&gt;=21,"Night")</f>
        <v>Early Morning</v>
      </c>
      <c r="H999" s="35" t="b">
        <v>0</v>
      </c>
      <c r="I999" s="35">
        <v>1</v>
      </c>
      <c r="J999" s="35">
        <v>1</v>
      </c>
      <c r="K999" s="35">
        <v>0.32</v>
      </c>
      <c r="L999" s="31" t="str" cm="1">
        <f t="array" ref="L999">_xlfn.IFS(K999&lt;0.15,"Cold",K999&lt;0.25,"Mild",K999&lt;=0.32,"Warm",K999&gt;=0.33,"Hot")</f>
        <v>Warm</v>
      </c>
      <c r="M999" s="35">
        <v>0.30299999999999999</v>
      </c>
      <c r="N999" s="35">
        <v>0.53</v>
      </c>
      <c r="O999" s="35" t="str" cm="1">
        <f t="array" ref="O999">_xlfn.IFS(N999&gt;0.61, "High Humidity", N999&gt;=0.6, "Humid", N999&gt;0.4, "Less Humidity", TRUE, "Dry")</f>
        <v>Less Humidity</v>
      </c>
      <c r="P999" s="35">
        <v>0.28360000000000002</v>
      </c>
      <c r="Q999" s="35" t="str" cm="1">
        <f t="array" ref="Q999">_xlfn.IFS(P999&lt;=0.2,"Low Windspeed",P999&lt;0.4,"Medium Windspeed",P999&gt;=0.41,"High Windspeed")</f>
        <v>Medium Windspeed</v>
      </c>
      <c r="R999" s="35">
        <v>0</v>
      </c>
      <c r="S999" s="35">
        <v>3</v>
      </c>
      <c r="T999" s="40">
        <v>3</v>
      </c>
      <c r="U999" s="39" t="str" cm="1">
        <f t="array" ref="U999">_xlfn.IFS(T999&lt;=70,"Low",T999&lt;=160,"Medium",T999&gt;=161,"High")</f>
        <v>Low</v>
      </c>
    </row>
    <row r="1000" spans="1:21" x14ac:dyDescent="0.25">
      <c r="A1000" s="33">
        <v>999</v>
      </c>
      <c r="B1000" s="34">
        <v>40588</v>
      </c>
      <c r="C1000" s="35">
        <v>1</v>
      </c>
      <c r="D1000" s="35">
        <v>0</v>
      </c>
      <c r="E1000" s="35">
        <v>2</v>
      </c>
      <c r="F1000" s="35">
        <v>6</v>
      </c>
      <c r="G1000" s="35" t="str" cm="1">
        <f t="array" ref="G1000">_xlfn.IFS(F1000&lt;4,"Night",F1000&lt;=6,"Early Morning",F1000&lt;11,"Morning",F1000&lt;12,"Afternoon",F1000&lt;=16,"Afternoon",F1000&lt;=20,"Evening",F1000&gt;=21,"Night")</f>
        <v>Early Morning</v>
      </c>
      <c r="H1000" s="35" t="b">
        <v>0</v>
      </c>
      <c r="I1000" s="35">
        <v>1</v>
      </c>
      <c r="J1000" s="35">
        <v>1</v>
      </c>
      <c r="K1000" s="35">
        <v>0.34</v>
      </c>
      <c r="L1000" s="31" t="str" cm="1">
        <f t="array" ref="L1000">_xlfn.IFS(K1000&lt;0.15,"Cold",K1000&lt;0.25,"Mild",K1000&lt;=0.32,"Warm",K1000&gt;=0.33,"Hot")</f>
        <v>Hot</v>
      </c>
      <c r="M1000" s="35">
        <v>0.30299999999999999</v>
      </c>
      <c r="N1000" s="35">
        <v>0.46</v>
      </c>
      <c r="O1000" s="35" t="str" cm="1">
        <f t="array" ref="O1000">_xlfn.IFS(N1000&gt;0.61, "High Humidity", N1000&gt;=0.6, "Humid", N1000&gt;0.4, "Less Humidity", TRUE, "Dry")</f>
        <v>Less Humidity</v>
      </c>
      <c r="P1000" s="35">
        <v>0.29849999999999999</v>
      </c>
      <c r="Q1000" s="35" t="str" cm="1">
        <f t="array" ref="Q1000">_xlfn.IFS(P1000&lt;=0.2,"Low Windspeed",P1000&lt;0.4,"Medium Windspeed",P1000&gt;=0.41,"High Windspeed")</f>
        <v>Medium Windspeed</v>
      </c>
      <c r="R1000" s="35">
        <v>1</v>
      </c>
      <c r="S1000" s="35">
        <v>25</v>
      </c>
      <c r="T1000" s="40">
        <v>26</v>
      </c>
      <c r="U1000" s="39" t="str" cm="1">
        <f t="array" ref="U1000">_xlfn.IFS(T1000&lt;=70,"Low",T1000&lt;=160,"Medium",T1000&gt;=161,"High")</f>
        <v>Low</v>
      </c>
    </row>
    <row r="1001" spans="1:21" x14ac:dyDescent="0.25">
      <c r="A1001" s="41">
        <v>1000</v>
      </c>
      <c r="B1001" s="42">
        <v>40588</v>
      </c>
      <c r="C1001" s="43">
        <v>1</v>
      </c>
      <c r="D1001" s="43">
        <v>0</v>
      </c>
      <c r="E1001" s="43">
        <v>2</v>
      </c>
      <c r="F1001" s="43">
        <v>7</v>
      </c>
      <c r="G1001" s="43" t="str" cm="1">
        <f t="array" ref="G1001">_xlfn.IFS(F1001&lt;4,"Night",F1001&lt;=6,"Early Morning",F1001&lt;11,"Morning",F1001&lt;12,"Afternoon",F1001&lt;=16,"Afternoon",F1001&lt;=20,"Evening",F1001&gt;=21,"Night")</f>
        <v>Morning</v>
      </c>
      <c r="H1001" s="43" t="b">
        <v>0</v>
      </c>
      <c r="I1001" s="43">
        <v>1</v>
      </c>
      <c r="J1001" s="43">
        <v>1</v>
      </c>
      <c r="K1001" s="43">
        <v>0.34</v>
      </c>
      <c r="L1001" s="32" t="str" cm="1">
        <f t="array" ref="L1001">_xlfn.IFS(K1001&lt;0.15,"Cold",K1001&lt;0.25,"Mild",K1001&lt;=0.32,"Warm",K1001&gt;=0.33,"Hot")</f>
        <v>Hot</v>
      </c>
      <c r="M1001" s="43">
        <v>0.30299999999999999</v>
      </c>
      <c r="N1001" s="43">
        <v>0.46</v>
      </c>
      <c r="O1001" s="43" t="str" cm="1">
        <f t="array" ref="O1001">_xlfn.IFS(N1001&gt;0.61, "High Humidity", N1001&gt;=0.6, "Humid", N1001&gt;0.4, "Less Humidity", TRUE, "Dry")</f>
        <v>Less Humidity</v>
      </c>
      <c r="P1001" s="43">
        <v>0.29849999999999999</v>
      </c>
      <c r="Q1001" s="43" t="str" cm="1">
        <f t="array" ref="Q1001">_xlfn.IFS(P1001&lt;=0.2,"Low Windspeed",P1001&lt;0.4,"Medium Windspeed",P1001&gt;=0.41,"High Windspeed")</f>
        <v>Medium Windspeed</v>
      </c>
      <c r="R1001" s="43">
        <v>2</v>
      </c>
      <c r="S1001" s="43">
        <v>96</v>
      </c>
      <c r="T1001" s="44">
        <v>98</v>
      </c>
      <c r="U1001" s="45" t="str" cm="1">
        <f t="array" ref="U1001">_xlfn.IFS(T1001&lt;=70,"Low",T1001&lt;=160,"Medium",T1001&gt;=161,"High")</f>
        <v>Medium</v>
      </c>
    </row>
  </sheetData>
  <conditionalFormatting sqref="F2:F1001">
    <cfRule type="dataBar" priority="4">
      <dataBar>
        <cfvo type="min"/>
        <cfvo type="max"/>
        <color rgb="FF63C384"/>
      </dataBar>
      <extLst>
        <ext xmlns:x14="http://schemas.microsoft.com/office/spreadsheetml/2009/9/main" uri="{B025F937-C7B1-47D3-B67F-A62EFF666E3E}">
          <x14:id>{D9FDFABC-F273-422D-B65D-53563AD5B17F}</x14:id>
        </ext>
      </extLst>
    </cfRule>
  </conditionalFormatting>
  <conditionalFormatting sqref="L1">
    <cfRule type="iconSet" priority="5">
      <iconSet>
        <cfvo type="percent" val="0"/>
        <cfvo type="percent" val="0.28999999999999998"/>
        <cfvo type="num" val="0.3"/>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9FDFABC-F273-422D-B65D-53563AD5B17F}">
            <x14:dataBar minLength="0" maxLength="100" border="1" negativeBarBorderColorSameAsPositive="0">
              <x14:cfvo type="autoMin"/>
              <x14:cfvo type="autoMax"/>
              <x14:borderColor rgb="FF63C384"/>
              <x14:negativeFillColor rgb="FFFF0000"/>
              <x14:negativeBorderColor rgb="FFFF0000"/>
              <x14:axisColor rgb="FF000000"/>
            </x14:dataBar>
          </x14:cfRule>
          <xm:sqref>F2:F1001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78B63-BC95-4D7E-A143-D3B1ACB65D24}">
  <dimension ref="A1:M2"/>
  <sheetViews>
    <sheetView workbookViewId="0">
      <selection sqref="A1:B1"/>
    </sheetView>
  </sheetViews>
  <sheetFormatPr defaultColWidth="15.33203125" defaultRowHeight="13.2" x14ac:dyDescent="0.25"/>
  <sheetData>
    <row r="1" spans="1:13" ht="25.2" thickBot="1" x14ac:dyDescent="0.3">
      <c r="A1" s="80" t="s">
        <v>62</v>
      </c>
      <c r="B1" s="81"/>
      <c r="C1" s="81" t="s">
        <v>63</v>
      </c>
      <c r="D1" s="81"/>
      <c r="E1" s="81" t="s">
        <v>64</v>
      </c>
      <c r="F1" s="81"/>
      <c r="G1" s="82" t="s">
        <v>65</v>
      </c>
      <c r="H1" s="82"/>
      <c r="I1" s="81" t="s">
        <v>66</v>
      </c>
      <c r="J1" s="81"/>
      <c r="K1" s="81" t="s">
        <v>67</v>
      </c>
      <c r="L1" s="81"/>
      <c r="M1" s="83"/>
    </row>
    <row r="2" spans="1:13" ht="25.2" thickBot="1" x14ac:dyDescent="0.3">
      <c r="A2" s="77">
        <f>+SUM('Combined Dataset'!T2:T1001)</f>
        <v>58304</v>
      </c>
      <c r="B2" s="78"/>
      <c r="C2" s="78">
        <f>ROUNDUP(AVERAGE('Combined Dataset'!T2:T1001),0)</f>
        <v>59</v>
      </c>
      <c r="D2" s="78"/>
      <c r="E2" s="78">
        <f>MAX('Combined Dataset'!T:T)</f>
        <v>249</v>
      </c>
      <c r="F2" s="78"/>
      <c r="G2" s="78">
        <f>MEDIAN('Combined Dataset'!T1:T1001)</f>
        <v>49</v>
      </c>
      <c r="H2" s="78"/>
      <c r="I2" s="78">
        <f>SUM('Combined Dataset'!S2:S1001)</f>
        <v>53383</v>
      </c>
      <c r="J2" s="78"/>
      <c r="K2" s="78">
        <f>SUM('Combined Dataset'!R2:R1001)</f>
        <v>4921</v>
      </c>
      <c r="L2" s="78"/>
      <c r="M2" s="79"/>
    </row>
  </sheetData>
  <mergeCells count="12">
    <mergeCell ref="K2:M2"/>
    <mergeCell ref="A1:B1"/>
    <mergeCell ref="C1:D1"/>
    <mergeCell ref="E1:F1"/>
    <mergeCell ref="G1:H1"/>
    <mergeCell ref="I1:J1"/>
    <mergeCell ref="K1:M1"/>
    <mergeCell ref="A2:B2"/>
    <mergeCell ref="C2:D2"/>
    <mergeCell ref="E2:F2"/>
    <mergeCell ref="G2:H2"/>
    <mergeCell ref="I2: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175E-AF20-4C45-B531-5FBB1DC08060}">
  <sheetPr>
    <tabColor theme="3" tint="0.499984740745262"/>
  </sheetPr>
  <dimension ref="A1:AQ851"/>
  <sheetViews>
    <sheetView workbookViewId="0">
      <selection sqref="A1:M2"/>
    </sheetView>
  </sheetViews>
  <sheetFormatPr defaultRowHeight="13.2" x14ac:dyDescent="0.25"/>
  <cols>
    <col min="1" max="1" width="13.33203125" style="49" bestFit="1" customWidth="1"/>
    <col min="2" max="2" width="10.44140625" style="49" bestFit="1" customWidth="1"/>
    <col min="3" max="3" width="20.77734375" style="49" bestFit="1" customWidth="1"/>
    <col min="4" max="5" width="10.77734375" style="49" bestFit="1" customWidth="1"/>
    <col min="6" max="42" width="16.21875" style="49" bestFit="1" customWidth="1"/>
    <col min="43" max="43" width="11.33203125" style="49" bestFit="1" customWidth="1"/>
    <col min="44" max="16384" width="8.88671875" style="49"/>
  </cols>
  <sheetData>
    <row r="1" spans="1:13" ht="25.2" thickBot="1" x14ac:dyDescent="0.3">
      <c r="A1" s="80" t="s">
        <v>62</v>
      </c>
      <c r="B1" s="81"/>
      <c r="C1" s="81" t="s">
        <v>63</v>
      </c>
      <c r="D1" s="81"/>
      <c r="E1" s="81" t="s">
        <v>64</v>
      </c>
      <c r="F1" s="81"/>
      <c r="G1" s="82" t="s">
        <v>65</v>
      </c>
      <c r="H1" s="82"/>
      <c r="I1" s="81" t="s">
        <v>66</v>
      </c>
      <c r="J1" s="81"/>
      <c r="K1" s="81" t="s">
        <v>67</v>
      </c>
      <c r="L1" s="81"/>
      <c r="M1" s="83"/>
    </row>
    <row r="2" spans="1:13" ht="25.2" thickBot="1" x14ac:dyDescent="0.3">
      <c r="A2" s="77">
        <f>+SUM('Combined Dataset'!T2:T1001)</f>
        <v>58304</v>
      </c>
      <c r="B2" s="78"/>
      <c r="C2" s="78">
        <f>ROUNDUP(AVERAGE('Combined Dataset'!T2:T1001),0)</f>
        <v>59</v>
      </c>
      <c r="D2" s="78"/>
      <c r="E2" s="78">
        <f>MAX('Combined Dataset'!T:T)</f>
        <v>249</v>
      </c>
      <c r="F2" s="78"/>
      <c r="G2" s="78">
        <f>MEDIAN('Combined Dataset'!T1:T1001)</f>
        <v>49</v>
      </c>
      <c r="H2" s="78"/>
      <c r="I2" s="78">
        <f>SUM('Combined Dataset'!S2:S1001)</f>
        <v>53383</v>
      </c>
      <c r="J2" s="78"/>
      <c r="K2" s="78">
        <f>SUM('Combined Dataset'!R2:R1001)</f>
        <v>4921</v>
      </c>
      <c r="L2" s="78"/>
      <c r="M2" s="79"/>
    </row>
    <row r="16" spans="1:13" x14ac:dyDescent="0.25">
      <c r="B16" s="63" t="s">
        <v>54</v>
      </c>
      <c r="C16" s="63" t="s">
        <v>43</v>
      </c>
      <c r="D16" s="63" t="s">
        <v>44</v>
      </c>
    </row>
    <row r="17" spans="2:4" x14ac:dyDescent="0.25">
      <c r="B17" s="48">
        <v>0</v>
      </c>
      <c r="C17" s="48">
        <v>1477</v>
      </c>
      <c r="D17" s="48">
        <v>6644</v>
      </c>
    </row>
    <row r="18" spans="2:4" x14ac:dyDescent="0.25">
      <c r="B18" s="48">
        <v>1</v>
      </c>
      <c r="C18" s="48">
        <v>534</v>
      </c>
      <c r="D18" s="48">
        <v>7916</v>
      </c>
    </row>
    <row r="19" spans="2:4" x14ac:dyDescent="0.25">
      <c r="B19" s="48">
        <v>2</v>
      </c>
      <c r="C19" s="48">
        <v>457</v>
      </c>
      <c r="D19" s="48">
        <v>7926</v>
      </c>
    </row>
    <row r="20" spans="2:4" x14ac:dyDescent="0.25">
      <c r="B20" s="48">
        <v>3</v>
      </c>
      <c r="C20" s="48">
        <v>344</v>
      </c>
      <c r="D20" s="48">
        <v>7705</v>
      </c>
    </row>
    <row r="21" spans="2:4" x14ac:dyDescent="0.25">
      <c r="B21" s="48">
        <v>4</v>
      </c>
      <c r="C21" s="48">
        <v>332</v>
      </c>
      <c r="D21" s="48">
        <v>8126</v>
      </c>
    </row>
    <row r="22" spans="2:4" x14ac:dyDescent="0.25">
      <c r="B22" s="48">
        <v>5</v>
      </c>
      <c r="C22" s="48">
        <v>552</v>
      </c>
      <c r="D22" s="48">
        <v>8543</v>
      </c>
    </row>
    <row r="23" spans="2:4" x14ac:dyDescent="0.25">
      <c r="B23" s="48">
        <v>6</v>
      </c>
      <c r="C23" s="48">
        <v>1225</v>
      </c>
      <c r="D23" s="48">
        <v>6523</v>
      </c>
    </row>
    <row r="24" spans="2:4" x14ac:dyDescent="0.25">
      <c r="B24" s="48" t="s">
        <v>15</v>
      </c>
      <c r="C24" s="48">
        <v>4921</v>
      </c>
      <c r="D24" s="48">
        <v>53383</v>
      </c>
    </row>
    <row r="40" spans="2:4" x14ac:dyDescent="0.25">
      <c r="B40" s="53" t="s">
        <v>57</v>
      </c>
      <c r="C40" s="53" t="s">
        <v>43</v>
      </c>
      <c r="D40" s="53" t="s">
        <v>44</v>
      </c>
    </row>
    <row r="41" spans="2:4" x14ac:dyDescent="0.25">
      <c r="B41" s="50">
        <v>0</v>
      </c>
      <c r="C41" s="50">
        <v>74</v>
      </c>
      <c r="D41" s="50">
        <v>629</v>
      </c>
    </row>
    <row r="42" spans="2:4" x14ac:dyDescent="0.25">
      <c r="B42" s="50">
        <v>1</v>
      </c>
      <c r="C42" s="50">
        <v>48</v>
      </c>
      <c r="D42" s="50">
        <v>412</v>
      </c>
    </row>
    <row r="43" spans="2:4" x14ac:dyDescent="0.25">
      <c r="B43" s="50">
        <v>2</v>
      </c>
      <c r="C43" s="50">
        <v>33</v>
      </c>
      <c r="D43" s="50">
        <v>261</v>
      </c>
    </row>
    <row r="44" spans="2:4" x14ac:dyDescent="0.25">
      <c r="B44" s="50">
        <v>3</v>
      </c>
      <c r="C44" s="50">
        <v>34</v>
      </c>
      <c r="D44" s="50">
        <v>117</v>
      </c>
    </row>
    <row r="45" spans="2:4" x14ac:dyDescent="0.25">
      <c r="B45" s="50">
        <v>4</v>
      </c>
      <c r="C45" s="50">
        <v>7</v>
      </c>
      <c r="D45" s="50">
        <v>62</v>
      </c>
    </row>
    <row r="46" spans="2:4" x14ac:dyDescent="0.25">
      <c r="B46" s="50">
        <v>5</v>
      </c>
      <c r="C46" s="50">
        <v>3</v>
      </c>
      <c r="D46" s="50">
        <v>161</v>
      </c>
    </row>
    <row r="47" spans="2:4" x14ac:dyDescent="0.25">
      <c r="B47" s="50">
        <v>6</v>
      </c>
      <c r="C47" s="50">
        <v>21</v>
      </c>
      <c r="D47" s="50">
        <v>801</v>
      </c>
    </row>
    <row r="48" spans="2:4" x14ac:dyDescent="0.25">
      <c r="B48" s="50">
        <v>7</v>
      </c>
      <c r="C48" s="50">
        <v>64</v>
      </c>
      <c r="D48" s="50">
        <v>2275</v>
      </c>
    </row>
    <row r="49" spans="2:4" x14ac:dyDescent="0.25">
      <c r="B49" s="50">
        <v>8</v>
      </c>
      <c r="C49" s="50">
        <v>127</v>
      </c>
      <c r="D49" s="50">
        <v>5261</v>
      </c>
    </row>
    <row r="50" spans="2:4" x14ac:dyDescent="0.25">
      <c r="B50" s="50">
        <v>9</v>
      </c>
      <c r="C50" s="50">
        <v>172</v>
      </c>
      <c r="D50" s="50">
        <v>3500</v>
      </c>
    </row>
    <row r="51" spans="2:4" x14ac:dyDescent="0.25">
      <c r="B51" s="50">
        <v>10</v>
      </c>
      <c r="C51" s="50">
        <v>216</v>
      </c>
      <c r="D51" s="50">
        <v>2037</v>
      </c>
    </row>
    <row r="52" spans="2:4" x14ac:dyDescent="0.25">
      <c r="B52" s="50">
        <v>11</v>
      </c>
      <c r="C52" s="50">
        <v>367</v>
      </c>
      <c r="D52" s="50">
        <v>2127</v>
      </c>
    </row>
    <row r="53" spans="2:4" x14ac:dyDescent="0.25">
      <c r="B53" s="50">
        <v>12</v>
      </c>
      <c r="C53" s="50">
        <v>482</v>
      </c>
      <c r="D53" s="50">
        <v>2801</v>
      </c>
    </row>
    <row r="54" spans="2:4" x14ac:dyDescent="0.25">
      <c r="B54" s="50">
        <v>13</v>
      </c>
      <c r="C54" s="50">
        <v>513</v>
      </c>
      <c r="D54" s="50">
        <v>2863</v>
      </c>
    </row>
    <row r="55" spans="2:4" x14ac:dyDescent="0.25">
      <c r="B55" s="50">
        <v>14</v>
      </c>
      <c r="C55" s="50">
        <v>466</v>
      </c>
      <c r="D55" s="50">
        <v>2734</v>
      </c>
    </row>
    <row r="56" spans="2:4" x14ac:dyDescent="0.25">
      <c r="B56" s="50">
        <v>15</v>
      </c>
      <c r="C56" s="50">
        <v>536</v>
      </c>
      <c r="D56" s="50">
        <v>2816</v>
      </c>
    </row>
    <row r="57" spans="2:4" x14ac:dyDescent="0.25">
      <c r="B57" s="50">
        <v>16</v>
      </c>
      <c r="C57" s="50">
        <v>493</v>
      </c>
      <c r="D57" s="50">
        <v>3435</v>
      </c>
    </row>
    <row r="58" spans="2:4" x14ac:dyDescent="0.25">
      <c r="B58" s="50">
        <v>17</v>
      </c>
      <c r="C58" s="50">
        <v>395</v>
      </c>
      <c r="D58" s="50">
        <v>5774</v>
      </c>
    </row>
    <row r="59" spans="2:4" x14ac:dyDescent="0.25">
      <c r="B59" s="50">
        <v>18</v>
      </c>
      <c r="C59" s="50">
        <v>222</v>
      </c>
      <c r="D59" s="50">
        <v>5061</v>
      </c>
    </row>
    <row r="60" spans="2:4" x14ac:dyDescent="0.25">
      <c r="B60" s="50">
        <v>19</v>
      </c>
      <c r="C60" s="50">
        <v>187</v>
      </c>
      <c r="D60" s="50">
        <v>3474</v>
      </c>
    </row>
    <row r="61" spans="2:4" x14ac:dyDescent="0.25">
      <c r="B61" s="50">
        <v>20</v>
      </c>
      <c r="C61" s="50">
        <v>140</v>
      </c>
      <c r="D61" s="50">
        <v>2516</v>
      </c>
    </row>
    <row r="62" spans="2:4" x14ac:dyDescent="0.25">
      <c r="B62" s="50">
        <v>21</v>
      </c>
      <c r="C62" s="50">
        <v>117</v>
      </c>
      <c r="D62" s="50">
        <v>1879</v>
      </c>
    </row>
    <row r="63" spans="2:4" x14ac:dyDescent="0.25">
      <c r="B63" s="50">
        <v>22</v>
      </c>
      <c r="C63" s="50">
        <v>103</v>
      </c>
      <c r="D63" s="50">
        <v>1405</v>
      </c>
    </row>
    <row r="64" spans="2:4" x14ac:dyDescent="0.25">
      <c r="B64" s="50">
        <v>23</v>
      </c>
      <c r="C64" s="50">
        <v>101</v>
      </c>
      <c r="D64" s="50">
        <v>982</v>
      </c>
    </row>
    <row r="65" spans="2:8" x14ac:dyDescent="0.25">
      <c r="B65" s="50" t="s">
        <v>15</v>
      </c>
      <c r="C65" s="50">
        <v>4921</v>
      </c>
      <c r="D65" s="50">
        <v>53383</v>
      </c>
    </row>
    <row r="69" spans="2:8" x14ac:dyDescent="0.25">
      <c r="G69" s="49" t="s">
        <v>14</v>
      </c>
      <c r="H69" s="49" t="s">
        <v>56</v>
      </c>
    </row>
    <row r="70" spans="2:8" x14ac:dyDescent="0.25">
      <c r="G70" s="51">
        <v>1</v>
      </c>
      <c r="H70" s="49">
        <v>34162</v>
      </c>
    </row>
    <row r="71" spans="2:8" x14ac:dyDescent="0.25">
      <c r="G71" s="51">
        <v>2</v>
      </c>
      <c r="H71" s="49">
        <v>16568</v>
      </c>
    </row>
    <row r="72" spans="2:8" x14ac:dyDescent="0.25">
      <c r="G72" s="51">
        <v>3</v>
      </c>
      <c r="H72" s="49">
        <v>2618</v>
      </c>
    </row>
    <row r="73" spans="2:8" x14ac:dyDescent="0.25">
      <c r="G73" s="51">
        <v>4</v>
      </c>
      <c r="H73" s="49">
        <v>35</v>
      </c>
    </row>
    <row r="74" spans="2:8" x14ac:dyDescent="0.25">
      <c r="G74" s="51" t="s">
        <v>15</v>
      </c>
      <c r="H74" s="49">
        <v>53383</v>
      </c>
    </row>
    <row r="75" spans="2:8" x14ac:dyDescent="0.25">
      <c r="B75" s="49" t="s">
        <v>14</v>
      </c>
      <c r="C75" s="49" t="s">
        <v>55</v>
      </c>
    </row>
    <row r="76" spans="2:8" x14ac:dyDescent="0.25">
      <c r="B76" s="51">
        <v>1</v>
      </c>
      <c r="C76" s="49">
        <v>3211</v>
      </c>
    </row>
    <row r="77" spans="2:8" x14ac:dyDescent="0.25">
      <c r="B77" s="51">
        <v>2</v>
      </c>
      <c r="C77" s="49">
        <v>1538</v>
      </c>
    </row>
    <row r="78" spans="2:8" x14ac:dyDescent="0.25">
      <c r="B78" s="51">
        <v>3</v>
      </c>
      <c r="C78" s="49">
        <v>171</v>
      </c>
    </row>
    <row r="79" spans="2:8" x14ac:dyDescent="0.25">
      <c r="B79" s="51">
        <v>4</v>
      </c>
      <c r="C79" s="49">
        <v>1</v>
      </c>
    </row>
    <row r="80" spans="2:8" x14ac:dyDescent="0.25">
      <c r="B80" s="51" t="s">
        <v>15</v>
      </c>
      <c r="C80" s="49">
        <v>4921</v>
      </c>
    </row>
    <row r="89" spans="2:9" x14ac:dyDescent="0.25">
      <c r="H89" s="49" t="s">
        <v>14</v>
      </c>
      <c r="I89" s="49" t="s">
        <v>59</v>
      </c>
    </row>
    <row r="90" spans="2:9" x14ac:dyDescent="0.25">
      <c r="H90" s="51">
        <v>0</v>
      </c>
      <c r="I90" s="49">
        <v>0.23390731707317097</v>
      </c>
    </row>
    <row r="91" spans="2:9" x14ac:dyDescent="0.25">
      <c r="B91" s="49" t="s">
        <v>14</v>
      </c>
      <c r="C91" s="49" t="s">
        <v>19</v>
      </c>
      <c r="H91" s="51">
        <v>1</v>
      </c>
      <c r="I91" s="49">
        <v>0.19560939597315438</v>
      </c>
    </row>
    <row r="92" spans="2:9" x14ac:dyDescent="0.25">
      <c r="B92" s="51">
        <v>0</v>
      </c>
      <c r="C92" s="52">
        <v>0.23524390243902446</v>
      </c>
      <c r="H92" s="51">
        <v>2</v>
      </c>
      <c r="I92" s="49">
        <v>0.21608897637795269</v>
      </c>
    </row>
    <row r="93" spans="2:9" x14ac:dyDescent="0.25">
      <c r="B93" s="51">
        <v>1</v>
      </c>
      <c r="C93" s="52">
        <v>0.18818791946308716</v>
      </c>
      <c r="H93" s="51">
        <v>3</v>
      </c>
      <c r="I93" s="49">
        <v>0.21640763358778611</v>
      </c>
    </row>
    <row r="94" spans="2:9" x14ac:dyDescent="0.25">
      <c r="B94" s="51">
        <v>2</v>
      </c>
      <c r="C94" s="52">
        <v>0.20299212598425193</v>
      </c>
      <c r="H94" s="51">
        <v>4</v>
      </c>
      <c r="I94" s="49">
        <v>0.19515679999999977</v>
      </c>
    </row>
    <row r="95" spans="2:9" x14ac:dyDescent="0.25">
      <c r="B95" s="51">
        <v>3</v>
      </c>
      <c r="C95" s="52">
        <v>0.21801526717557226</v>
      </c>
      <c r="H95" s="51">
        <v>5</v>
      </c>
      <c r="I95" s="49">
        <v>0.20301304347826074</v>
      </c>
    </row>
    <row r="96" spans="2:9" x14ac:dyDescent="0.25">
      <c r="B96" s="51">
        <v>4</v>
      </c>
      <c r="C96" s="52">
        <v>0.19296000000000002</v>
      </c>
      <c r="H96" s="51">
        <v>6</v>
      </c>
      <c r="I96" s="49">
        <v>0.21756325301204801</v>
      </c>
    </row>
    <row r="97" spans="2:9" x14ac:dyDescent="0.25">
      <c r="B97" s="51">
        <v>5</v>
      </c>
      <c r="C97" s="52">
        <v>0.18971014492753613</v>
      </c>
      <c r="H97" s="51" t="s">
        <v>15</v>
      </c>
      <c r="I97" s="49">
        <v>0.2118252000000001</v>
      </c>
    </row>
    <row r="98" spans="2:9" x14ac:dyDescent="0.25">
      <c r="B98" s="51">
        <v>6</v>
      </c>
      <c r="C98" s="52">
        <v>0.20867469879518055</v>
      </c>
    </row>
    <row r="99" spans="2:9" x14ac:dyDescent="0.25">
      <c r="B99" s="51" t="s">
        <v>15</v>
      </c>
      <c r="C99" s="49">
        <v>0.20589999999999931</v>
      </c>
    </row>
    <row r="105" spans="2:9" x14ac:dyDescent="0.25">
      <c r="B105" s="49" t="s">
        <v>14</v>
      </c>
      <c r="C105" s="49" t="s">
        <v>58</v>
      </c>
    </row>
    <row r="106" spans="2:9" x14ac:dyDescent="0.25">
      <c r="B106" s="51">
        <v>0</v>
      </c>
      <c r="C106" s="49">
        <v>8121</v>
      </c>
    </row>
    <row r="107" spans="2:9" x14ac:dyDescent="0.25">
      <c r="B107" s="51">
        <v>1</v>
      </c>
      <c r="C107" s="49">
        <v>8450</v>
      </c>
    </row>
    <row r="108" spans="2:9" x14ac:dyDescent="0.25">
      <c r="B108" s="51">
        <v>2</v>
      </c>
      <c r="C108" s="49">
        <v>8383</v>
      </c>
    </row>
    <row r="109" spans="2:9" x14ac:dyDescent="0.25">
      <c r="B109" s="51">
        <v>3</v>
      </c>
      <c r="C109" s="49">
        <v>8049</v>
      </c>
    </row>
    <row r="110" spans="2:9" x14ac:dyDescent="0.25">
      <c r="B110" s="51">
        <v>4</v>
      </c>
      <c r="C110" s="49">
        <v>8458</v>
      </c>
    </row>
    <row r="111" spans="2:9" x14ac:dyDescent="0.25">
      <c r="B111" s="51">
        <v>5</v>
      </c>
      <c r="C111" s="49">
        <v>9095</v>
      </c>
    </row>
    <row r="112" spans="2:9" x14ac:dyDescent="0.25">
      <c r="B112" s="51">
        <v>6</v>
      </c>
      <c r="C112" s="49">
        <v>7748</v>
      </c>
    </row>
    <row r="113" spans="2:3" x14ac:dyDescent="0.25">
      <c r="B113" s="51" t="s">
        <v>15</v>
      </c>
      <c r="C113" s="49">
        <v>58304</v>
      </c>
    </row>
    <row r="130" spans="1:4" x14ac:dyDescent="0.25">
      <c r="B130" s="49" t="s">
        <v>14</v>
      </c>
      <c r="C130" s="49" t="s">
        <v>58</v>
      </c>
    </row>
    <row r="131" spans="1:4" x14ac:dyDescent="0.25">
      <c r="B131" s="51" t="s">
        <v>60</v>
      </c>
      <c r="C131" s="49">
        <v>38189</v>
      </c>
    </row>
    <row r="132" spans="1:4" x14ac:dyDescent="0.25">
      <c r="B132" s="51" t="s">
        <v>61</v>
      </c>
      <c r="C132" s="49">
        <v>20115</v>
      </c>
    </row>
    <row r="133" spans="1:4" x14ac:dyDescent="0.25">
      <c r="B133" s="51" t="s">
        <v>15</v>
      </c>
      <c r="C133" s="49">
        <v>58304</v>
      </c>
    </row>
    <row r="143" spans="1:4" x14ac:dyDescent="0.25">
      <c r="A143" s="46" t="s">
        <v>79</v>
      </c>
      <c r="B143" t="s">
        <v>43</v>
      </c>
      <c r="C143" t="s">
        <v>44</v>
      </c>
      <c r="D143" t="s">
        <v>78</v>
      </c>
    </row>
    <row r="144" spans="1:4" x14ac:dyDescent="0.25">
      <c r="A144" s="47" t="s">
        <v>74</v>
      </c>
      <c r="B144">
        <v>1788</v>
      </c>
      <c r="C144">
        <v>13881</v>
      </c>
      <c r="D144">
        <v>15669</v>
      </c>
    </row>
    <row r="145" spans="1:5" x14ac:dyDescent="0.25">
      <c r="A145" s="47" t="s">
        <v>75</v>
      </c>
      <c r="B145">
        <v>1221</v>
      </c>
      <c r="C145">
        <v>15163</v>
      </c>
      <c r="D145">
        <v>16384</v>
      </c>
      <c r="E145"/>
    </row>
    <row r="146" spans="1:5" x14ac:dyDescent="0.25">
      <c r="A146" s="47" t="s">
        <v>76</v>
      </c>
      <c r="B146">
        <v>130</v>
      </c>
      <c r="C146">
        <v>1388</v>
      </c>
      <c r="D146">
        <v>1518</v>
      </c>
      <c r="E146"/>
    </row>
    <row r="147" spans="1:5" x14ac:dyDescent="0.25">
      <c r="A147" s="47" t="s">
        <v>77</v>
      </c>
      <c r="B147">
        <v>1782</v>
      </c>
      <c r="C147">
        <v>22951</v>
      </c>
      <c r="D147">
        <v>24733</v>
      </c>
    </row>
    <row r="148" spans="1:5" x14ac:dyDescent="0.25">
      <c r="A148" s="47" t="s">
        <v>15</v>
      </c>
      <c r="B148">
        <v>4921</v>
      </c>
      <c r="C148">
        <v>53383</v>
      </c>
      <c r="D148">
        <v>58304</v>
      </c>
    </row>
    <row r="151" spans="1:5" x14ac:dyDescent="0.25">
      <c r="A151"/>
      <c r="B151"/>
      <c r="C151"/>
    </row>
    <row r="152" spans="1:5" x14ac:dyDescent="0.25">
      <c r="A152"/>
      <c r="B152"/>
      <c r="C152"/>
    </row>
    <row r="153" spans="1:5" x14ac:dyDescent="0.25">
      <c r="A153"/>
      <c r="B153"/>
      <c r="C153"/>
    </row>
    <row r="154" spans="1:5" x14ac:dyDescent="0.25">
      <c r="A154"/>
      <c r="B154"/>
      <c r="C154"/>
    </row>
    <row r="155" spans="1:5" x14ac:dyDescent="0.25">
      <c r="A155"/>
      <c r="B155"/>
      <c r="C155"/>
    </row>
    <row r="156" spans="1:5" x14ac:dyDescent="0.25">
      <c r="A156"/>
      <c r="B156"/>
      <c r="C156"/>
    </row>
    <row r="157" spans="1:5" x14ac:dyDescent="0.25">
      <c r="A157"/>
      <c r="B157"/>
      <c r="C157"/>
    </row>
    <row r="158" spans="1:5" x14ac:dyDescent="0.25">
      <c r="A158"/>
      <c r="B158"/>
      <c r="C158"/>
    </row>
    <row r="159" spans="1:5" x14ac:dyDescent="0.25">
      <c r="A159"/>
      <c r="B159"/>
      <c r="C159"/>
    </row>
    <row r="160" spans="1:5" x14ac:dyDescent="0.25">
      <c r="A160"/>
      <c r="B160"/>
      <c r="C160"/>
    </row>
    <row r="161" spans="1:43" ht="13.8" thickBot="1" x14ac:dyDescent="0.3">
      <c r="A161"/>
      <c r="B161"/>
      <c r="C161"/>
    </row>
    <row r="162" spans="1:43" ht="23.4" thickBot="1" x14ac:dyDescent="0.3">
      <c r="A162" s="74" t="s">
        <v>68</v>
      </c>
      <c r="B162" s="75"/>
      <c r="C162" s="75"/>
      <c r="D162" s="75"/>
      <c r="E162" s="76"/>
    </row>
    <row r="163" spans="1:43" ht="17.399999999999999" x14ac:dyDescent="0.25">
      <c r="A163" s="56" t="s">
        <v>69</v>
      </c>
      <c r="B163" s="57" t="s">
        <v>70</v>
      </c>
      <c r="C163" s="57" t="s">
        <v>71</v>
      </c>
      <c r="D163" s="57" t="s">
        <v>72</v>
      </c>
      <c r="E163" s="58" t="s">
        <v>73</v>
      </c>
    </row>
    <row r="164" spans="1:43" ht="15.6" x14ac:dyDescent="0.25">
      <c r="A164" s="59">
        <v>1</v>
      </c>
      <c r="B164" s="6">
        <f>ROUNDUP(SUMIF(Table4[Weather_Situation],"=1",(Table4[cnt])),0)</f>
        <v>37373</v>
      </c>
      <c r="C164" s="6" t="str">
        <f>ROUNDUP(B164/SUM($B$164:$B$167)*100,0)&amp;"%"</f>
        <v>65%</v>
      </c>
      <c r="D164" s="6">
        <f>ROUNDUP(AVERAGEIF(Table4[Weather_Situation],"=1",(Table4[cnt])),0)</f>
        <v>62</v>
      </c>
      <c r="E164" s="6">
        <f>ROUNDUP(_xlfn.MAXIFS(Table4[cnt],Table4[Weather_Situation],"=1"),0)</f>
        <v>249</v>
      </c>
    </row>
    <row r="165" spans="1:43" ht="15.6" x14ac:dyDescent="0.25">
      <c r="A165" s="59">
        <v>2</v>
      </c>
      <c r="B165" s="6">
        <f>ROUNDUP(SUMIF(Table4[Weather_Situation],"=2",(Table4[cnt])),0)</f>
        <v>18106</v>
      </c>
      <c r="C165" s="6" t="str">
        <f t="shared" ref="C165:C166" si="0">ROUNDUP(B165/SUM($B$164:$B$167)*100,0)&amp;"%"</f>
        <v>32%</v>
      </c>
      <c r="D165" s="6">
        <f>ROUNDUP(AVERAGEIF(Table4[Weather_Situation],"=2",(Table4[cnt])),0)</f>
        <v>59</v>
      </c>
      <c r="E165" s="6">
        <f>ROUNDUP(_xlfn.MAXIFS(Table4[cnt],Table4[Weather_Situation],"=2"),0)</f>
        <v>238</v>
      </c>
    </row>
    <row r="166" spans="1:43" ht="15.6" x14ac:dyDescent="0.25">
      <c r="A166" s="59">
        <v>3</v>
      </c>
      <c r="B166" s="6">
        <f>ROUNDUP(SUMIF(Table4[Weather_Situation],"=3",(Table4[cnt])),0)</f>
        <v>2789</v>
      </c>
      <c r="C166" s="6" t="str">
        <f t="shared" si="0"/>
        <v>5%</v>
      </c>
      <c r="D166" s="6">
        <f>ROUNDUP(AVERAGEIF(Table4[Weather_Situation],"=3",(Table4[cnt])),0)</f>
        <v>34</v>
      </c>
      <c r="E166" s="6">
        <f>ROUNDUP(_xlfn.MAXIFS(Table4[cnt],Table4[Weather_Situation],"=3"),0)</f>
        <v>155</v>
      </c>
    </row>
    <row r="167" spans="1:43" ht="16.2" thickBot="1" x14ac:dyDescent="0.3">
      <c r="A167" s="60">
        <v>4</v>
      </c>
      <c r="B167" s="6">
        <f>ROUNDUP(SUMIF(Table4[Weather_Situation],"=4",(Table4[cnt])),0)</f>
        <v>36</v>
      </c>
      <c r="C167" s="6" t="str">
        <f>ROUNDUP(B167/SUM($B$164:$B$167)*100,0)&amp;"%"</f>
        <v>1%</v>
      </c>
      <c r="D167" s="6">
        <f>ROUNDUP(AVERAGEIF(Table4[Weather_Situation],"=4",(Table4[cnt])),0)</f>
        <v>36</v>
      </c>
      <c r="E167" s="6">
        <f>ROUNDUP(_xlfn.MAXIFS(Table4[cnt],Table4[Weather_Situation],"=4"),0)</f>
        <v>36</v>
      </c>
    </row>
    <row r="172" spans="1:43" x14ac:dyDescent="0.25">
      <c r="A172" t="s">
        <v>44</v>
      </c>
      <c r="B172" t="s">
        <v>43</v>
      </c>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row>
    <row r="173" spans="1:43" x14ac:dyDescent="0.25">
      <c r="A173">
        <v>53383</v>
      </c>
      <c r="B173">
        <v>4921</v>
      </c>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row>
    <row r="174" spans="1:43" x14ac:dyDescent="0.25">
      <c r="A174"/>
      <c r="B174"/>
      <c r="C174"/>
    </row>
    <row r="175" spans="1:43" x14ac:dyDescent="0.25">
      <c r="A175"/>
      <c r="B175"/>
      <c r="C175"/>
    </row>
    <row r="176" spans="1:43" x14ac:dyDescent="0.25">
      <c r="A176"/>
      <c r="B176"/>
      <c r="C176"/>
    </row>
    <row r="177" spans="1:3" x14ac:dyDescent="0.25">
      <c r="A177"/>
      <c r="B177"/>
      <c r="C177"/>
    </row>
    <row r="178" spans="1:3" x14ac:dyDescent="0.25">
      <c r="A178"/>
      <c r="B178"/>
      <c r="C178"/>
    </row>
    <row r="179" spans="1:3" x14ac:dyDescent="0.25">
      <c r="A179"/>
      <c r="B179"/>
      <c r="C179"/>
    </row>
    <row r="180" spans="1:3" x14ac:dyDescent="0.25">
      <c r="A180"/>
      <c r="B180"/>
      <c r="C180"/>
    </row>
    <row r="181" spans="1:3" x14ac:dyDescent="0.25">
      <c r="A181"/>
      <c r="B181"/>
      <c r="C181"/>
    </row>
    <row r="182" spans="1:3" x14ac:dyDescent="0.25">
      <c r="A182"/>
      <c r="B182"/>
      <c r="C182"/>
    </row>
    <row r="183" spans="1:3" x14ac:dyDescent="0.25">
      <c r="A183"/>
      <c r="B183"/>
      <c r="C183"/>
    </row>
    <row r="184" spans="1:3" x14ac:dyDescent="0.25">
      <c r="A184"/>
      <c r="B184"/>
      <c r="C184"/>
    </row>
    <row r="185" spans="1:3" x14ac:dyDescent="0.25">
      <c r="A185"/>
      <c r="B185"/>
      <c r="C185"/>
    </row>
    <row r="186" spans="1:3" x14ac:dyDescent="0.25">
      <c r="A186"/>
      <c r="B186"/>
      <c r="C186"/>
    </row>
    <row r="187" spans="1:3" x14ac:dyDescent="0.25">
      <c r="A187"/>
      <c r="B187"/>
      <c r="C187"/>
    </row>
    <row r="188" spans="1:3" x14ac:dyDescent="0.25">
      <c r="A188"/>
      <c r="B188"/>
      <c r="C188"/>
    </row>
    <row r="189" spans="1:3" x14ac:dyDescent="0.25">
      <c r="A189"/>
      <c r="B189"/>
      <c r="C189"/>
    </row>
    <row r="190" spans="1:3" x14ac:dyDescent="0.25">
      <c r="A190" s="46" t="s">
        <v>10</v>
      </c>
      <c r="B190" t="s">
        <v>58</v>
      </c>
      <c r="C190"/>
    </row>
    <row r="191" spans="1:3" x14ac:dyDescent="0.25">
      <c r="A191" s="47" t="s">
        <v>60</v>
      </c>
      <c r="B191"/>
      <c r="C191"/>
    </row>
    <row r="192" spans="1:3" x14ac:dyDescent="0.25">
      <c r="A192" s="64" t="s">
        <v>87</v>
      </c>
      <c r="B192">
        <v>985</v>
      </c>
      <c r="C192"/>
    </row>
    <row r="193" spans="1:3" x14ac:dyDescent="0.25">
      <c r="A193" s="64" t="s">
        <v>88</v>
      </c>
      <c r="B193">
        <v>801</v>
      </c>
      <c r="C193"/>
    </row>
    <row r="194" spans="1:3" x14ac:dyDescent="0.25">
      <c r="A194" s="64" t="s">
        <v>89</v>
      </c>
      <c r="B194">
        <v>1349</v>
      </c>
      <c r="C194"/>
    </row>
    <row r="195" spans="1:3" x14ac:dyDescent="0.25">
      <c r="A195" s="64" t="s">
        <v>90</v>
      </c>
      <c r="B195">
        <v>1562</v>
      </c>
      <c r="C195"/>
    </row>
    <row r="196" spans="1:3" x14ac:dyDescent="0.25">
      <c r="A196" s="64" t="s">
        <v>91</v>
      </c>
      <c r="B196">
        <v>1600</v>
      </c>
      <c r="C196"/>
    </row>
    <row r="197" spans="1:3" x14ac:dyDescent="0.25">
      <c r="A197" s="64" t="s">
        <v>92</v>
      </c>
      <c r="B197">
        <v>1606</v>
      </c>
      <c r="C197"/>
    </row>
    <row r="198" spans="1:3" x14ac:dyDescent="0.25">
      <c r="A198" s="64" t="s">
        <v>93</v>
      </c>
      <c r="B198">
        <v>1510</v>
      </c>
      <c r="C198"/>
    </row>
    <row r="199" spans="1:3" x14ac:dyDescent="0.25">
      <c r="A199" s="64" t="s">
        <v>94</v>
      </c>
      <c r="B199">
        <v>959</v>
      </c>
      <c r="C199"/>
    </row>
    <row r="200" spans="1:3" x14ac:dyDescent="0.25">
      <c r="A200" s="64" t="s">
        <v>95</v>
      </c>
      <c r="B200">
        <v>822</v>
      </c>
      <c r="C200"/>
    </row>
    <row r="201" spans="1:3" x14ac:dyDescent="0.25">
      <c r="A201" s="64" t="s">
        <v>96</v>
      </c>
      <c r="B201">
        <v>1321</v>
      </c>
      <c r="C201"/>
    </row>
    <row r="202" spans="1:3" x14ac:dyDescent="0.25">
      <c r="A202" s="64" t="s">
        <v>97</v>
      </c>
      <c r="B202">
        <v>1263</v>
      </c>
      <c r="C202"/>
    </row>
    <row r="203" spans="1:3" x14ac:dyDescent="0.25">
      <c r="A203" s="64" t="s">
        <v>98</v>
      </c>
      <c r="B203">
        <v>1162</v>
      </c>
      <c r="C203"/>
    </row>
    <row r="204" spans="1:3" x14ac:dyDescent="0.25">
      <c r="A204" s="64" t="s">
        <v>99</v>
      </c>
      <c r="B204">
        <v>1406</v>
      </c>
      <c r="C204"/>
    </row>
    <row r="205" spans="1:3" x14ac:dyDescent="0.25">
      <c r="A205" s="64" t="s">
        <v>100</v>
      </c>
      <c r="B205">
        <v>1421</v>
      </c>
      <c r="C205"/>
    </row>
    <row r="206" spans="1:3" x14ac:dyDescent="0.25">
      <c r="A206" s="64" t="s">
        <v>101</v>
      </c>
      <c r="B206">
        <v>1248</v>
      </c>
      <c r="C206"/>
    </row>
    <row r="207" spans="1:3" x14ac:dyDescent="0.25">
      <c r="A207" s="64" t="s">
        <v>102</v>
      </c>
      <c r="B207">
        <v>1204</v>
      </c>
      <c r="C207"/>
    </row>
    <row r="208" spans="1:3" x14ac:dyDescent="0.25">
      <c r="A208" s="64" t="s">
        <v>103</v>
      </c>
      <c r="B208">
        <v>1000</v>
      </c>
    </row>
    <row r="209" spans="1:5" x14ac:dyDescent="0.25">
      <c r="A209" s="64" t="s">
        <v>104</v>
      </c>
      <c r="B209">
        <v>683</v>
      </c>
      <c r="C209" t="s">
        <v>44</v>
      </c>
      <c r="D209" t="s">
        <v>132</v>
      </c>
      <c r="E209"/>
    </row>
    <row r="210" spans="1:5" x14ac:dyDescent="0.25">
      <c r="A210" s="64" t="s">
        <v>105</v>
      </c>
      <c r="B210">
        <v>1650</v>
      </c>
      <c r="C210">
        <v>53383</v>
      </c>
      <c r="D210">
        <v>58304</v>
      </c>
      <c r="E210"/>
    </row>
    <row r="211" spans="1:5" x14ac:dyDescent="0.25">
      <c r="A211" s="64" t="s">
        <v>106</v>
      </c>
      <c r="B211">
        <v>1927</v>
      </c>
      <c r="C211"/>
      <c r="D211"/>
      <c r="E211"/>
    </row>
    <row r="212" spans="1:5" x14ac:dyDescent="0.25">
      <c r="A212" s="64" t="s">
        <v>107</v>
      </c>
      <c r="B212">
        <v>1543</v>
      </c>
      <c r="C212"/>
      <c r="D212"/>
      <c r="E212"/>
    </row>
    <row r="213" spans="1:5" x14ac:dyDescent="0.25">
      <c r="A213" s="64" t="s">
        <v>108</v>
      </c>
      <c r="B213">
        <v>981</v>
      </c>
      <c r="C213"/>
      <c r="D213"/>
      <c r="E213"/>
    </row>
    <row r="214" spans="1:5" x14ac:dyDescent="0.25">
      <c r="A214" s="64" t="s">
        <v>109</v>
      </c>
      <c r="B214">
        <v>986</v>
      </c>
      <c r="C214"/>
      <c r="D214"/>
      <c r="E214"/>
    </row>
    <row r="215" spans="1:5" x14ac:dyDescent="0.25">
      <c r="A215" s="64" t="s">
        <v>110</v>
      </c>
      <c r="B215">
        <v>1416</v>
      </c>
      <c r="C215"/>
      <c r="D215"/>
      <c r="E215"/>
    </row>
    <row r="216" spans="1:5" x14ac:dyDescent="0.25">
      <c r="A216" s="64" t="s">
        <v>111</v>
      </c>
      <c r="B216">
        <v>1985</v>
      </c>
      <c r="C216"/>
      <c r="D216"/>
      <c r="E216"/>
    </row>
    <row r="217" spans="1:5" x14ac:dyDescent="0.25">
      <c r="A217" s="64" t="s">
        <v>112</v>
      </c>
      <c r="B217">
        <v>506</v>
      </c>
      <c r="C217"/>
      <c r="D217"/>
      <c r="E217"/>
    </row>
    <row r="218" spans="1:5" x14ac:dyDescent="0.25">
      <c r="A218" s="64" t="s">
        <v>113</v>
      </c>
      <c r="B218">
        <v>431</v>
      </c>
      <c r="C218"/>
      <c r="D218"/>
      <c r="E218"/>
    </row>
    <row r="219" spans="1:5" x14ac:dyDescent="0.25">
      <c r="A219" s="64" t="s">
        <v>114</v>
      </c>
      <c r="B219">
        <v>1167</v>
      </c>
      <c r="C219"/>
      <c r="D219"/>
      <c r="E219"/>
    </row>
    <row r="220" spans="1:5" x14ac:dyDescent="0.25">
      <c r="A220" s="64" t="s">
        <v>115</v>
      </c>
      <c r="B220">
        <v>1098</v>
      </c>
      <c r="C220"/>
      <c r="D220"/>
      <c r="E220"/>
    </row>
    <row r="221" spans="1:5" x14ac:dyDescent="0.25">
      <c r="A221" s="64" t="s">
        <v>116</v>
      </c>
      <c r="B221">
        <v>1096</v>
      </c>
      <c r="C221"/>
      <c r="D221"/>
      <c r="E221"/>
    </row>
    <row r="222" spans="1:5" x14ac:dyDescent="0.25">
      <c r="A222" s="64" t="s">
        <v>117</v>
      </c>
      <c r="B222">
        <v>1501</v>
      </c>
      <c r="C222"/>
      <c r="D222"/>
      <c r="E222"/>
    </row>
    <row r="223" spans="1:5" x14ac:dyDescent="0.25">
      <c r="A223" s="47" t="s">
        <v>61</v>
      </c>
      <c r="B223"/>
      <c r="C223"/>
      <c r="D223"/>
      <c r="E223"/>
    </row>
    <row r="224" spans="1:5" x14ac:dyDescent="0.25">
      <c r="A224" s="64" t="s">
        <v>118</v>
      </c>
      <c r="B224">
        <v>1360</v>
      </c>
      <c r="C224"/>
      <c r="D224"/>
      <c r="E224"/>
    </row>
    <row r="225" spans="1:5" x14ac:dyDescent="0.25">
      <c r="A225" s="64" t="s">
        <v>119</v>
      </c>
      <c r="B225">
        <v>1526</v>
      </c>
      <c r="C225"/>
      <c r="D225"/>
      <c r="E225"/>
    </row>
    <row r="226" spans="1:5" x14ac:dyDescent="0.25">
      <c r="A226" s="64" t="s">
        <v>120</v>
      </c>
      <c r="B226">
        <v>1550</v>
      </c>
      <c r="C226"/>
      <c r="D226"/>
      <c r="E226"/>
    </row>
    <row r="227" spans="1:5" x14ac:dyDescent="0.25">
      <c r="A227" s="64" t="s">
        <v>121</v>
      </c>
      <c r="B227">
        <v>1708</v>
      </c>
      <c r="C227"/>
      <c r="D227"/>
      <c r="E227"/>
    </row>
    <row r="228" spans="1:5" x14ac:dyDescent="0.25">
      <c r="A228" s="64" t="s">
        <v>122</v>
      </c>
      <c r="B228">
        <v>1005</v>
      </c>
      <c r="C228"/>
      <c r="D228"/>
      <c r="E228"/>
    </row>
    <row r="229" spans="1:5" x14ac:dyDescent="0.25">
      <c r="A229" s="64" t="s">
        <v>123</v>
      </c>
      <c r="B229">
        <v>1623</v>
      </c>
      <c r="C229"/>
      <c r="D229"/>
      <c r="E229"/>
    </row>
    <row r="230" spans="1:5" x14ac:dyDescent="0.25">
      <c r="A230" s="64" t="s">
        <v>124</v>
      </c>
      <c r="B230">
        <v>1712</v>
      </c>
      <c r="C230"/>
      <c r="D230"/>
      <c r="E230"/>
    </row>
    <row r="231" spans="1:5" x14ac:dyDescent="0.25">
      <c r="A231" s="64" t="s">
        <v>125</v>
      </c>
      <c r="B231">
        <v>1530</v>
      </c>
      <c r="C231"/>
      <c r="D231"/>
      <c r="E231"/>
    </row>
    <row r="232" spans="1:5" x14ac:dyDescent="0.25">
      <c r="A232" s="64" t="s">
        <v>126</v>
      </c>
      <c r="B232">
        <v>1605</v>
      </c>
      <c r="C232"/>
      <c r="D232"/>
      <c r="E232"/>
    </row>
    <row r="233" spans="1:5" x14ac:dyDescent="0.25">
      <c r="A233" s="64" t="s">
        <v>127</v>
      </c>
      <c r="B233">
        <v>1538</v>
      </c>
      <c r="C233"/>
      <c r="D233"/>
      <c r="E233"/>
    </row>
    <row r="234" spans="1:5" x14ac:dyDescent="0.25">
      <c r="A234" s="64" t="s">
        <v>128</v>
      </c>
      <c r="B234">
        <v>1746</v>
      </c>
      <c r="C234"/>
      <c r="D234"/>
      <c r="E234"/>
    </row>
    <row r="235" spans="1:5" x14ac:dyDescent="0.25">
      <c r="A235" s="64" t="s">
        <v>129</v>
      </c>
      <c r="B235">
        <v>1472</v>
      </c>
      <c r="C235"/>
      <c r="D235"/>
      <c r="E235"/>
    </row>
    <row r="236" spans="1:5" x14ac:dyDescent="0.25">
      <c r="A236" s="64" t="s">
        <v>130</v>
      </c>
      <c r="B236">
        <v>1589</v>
      </c>
      <c r="C236"/>
      <c r="D236"/>
      <c r="E236"/>
    </row>
    <row r="237" spans="1:5" x14ac:dyDescent="0.25">
      <c r="A237" s="64" t="s">
        <v>131</v>
      </c>
      <c r="B237">
        <v>151</v>
      </c>
      <c r="C237"/>
      <c r="D237"/>
      <c r="E237"/>
    </row>
    <row r="238" spans="1:5" x14ac:dyDescent="0.25">
      <c r="A238" s="47" t="s">
        <v>15</v>
      </c>
      <c r="B238">
        <v>58304</v>
      </c>
      <c r="C238"/>
      <c r="D238"/>
      <c r="E238"/>
    </row>
    <row r="239" spans="1:5" x14ac:dyDescent="0.25">
      <c r="A239"/>
      <c r="B239"/>
      <c r="C239"/>
      <c r="D239"/>
      <c r="E239"/>
    </row>
    <row r="240" spans="1:5" x14ac:dyDescent="0.25">
      <c r="A240"/>
      <c r="B240"/>
      <c r="C240"/>
      <c r="D240"/>
      <c r="E240"/>
    </row>
    <row r="241" spans="1:5" x14ac:dyDescent="0.25">
      <c r="A241"/>
      <c r="B241"/>
      <c r="C241"/>
      <c r="D241"/>
      <c r="E241"/>
    </row>
    <row r="242" spans="1:5" x14ac:dyDescent="0.25">
      <c r="A242"/>
      <c r="B242"/>
      <c r="C242"/>
      <c r="D242"/>
      <c r="E242"/>
    </row>
    <row r="243" spans="1:5" x14ac:dyDescent="0.25">
      <c r="A243"/>
      <c r="B243"/>
      <c r="C243"/>
      <c r="D243"/>
      <c r="E243"/>
    </row>
    <row r="244" spans="1:5" x14ac:dyDescent="0.25">
      <c r="A244"/>
      <c r="B244"/>
      <c r="C244"/>
      <c r="D244"/>
      <c r="E244"/>
    </row>
    <row r="245" spans="1:5" x14ac:dyDescent="0.25">
      <c r="A245"/>
      <c r="B245"/>
      <c r="C245"/>
      <c r="D245"/>
      <c r="E245"/>
    </row>
    <row r="246" spans="1:5" x14ac:dyDescent="0.25">
      <c r="A246"/>
      <c r="B246"/>
      <c r="C246"/>
      <c r="D246"/>
      <c r="E246"/>
    </row>
    <row r="247" spans="1:5" x14ac:dyDescent="0.25">
      <c r="A247"/>
      <c r="B247"/>
      <c r="C247"/>
      <c r="D247"/>
      <c r="E247"/>
    </row>
    <row r="248" spans="1:5" x14ac:dyDescent="0.25">
      <c r="A248"/>
      <c r="B248"/>
      <c r="C248"/>
      <c r="D248"/>
      <c r="E248"/>
    </row>
    <row r="249" spans="1:5" x14ac:dyDescent="0.25">
      <c r="A249"/>
      <c r="B249"/>
      <c r="C249"/>
      <c r="D249"/>
      <c r="E249"/>
    </row>
    <row r="250" spans="1:5" x14ac:dyDescent="0.25">
      <c r="A250"/>
      <c r="B250"/>
      <c r="C250"/>
      <c r="D250"/>
      <c r="E250"/>
    </row>
    <row r="251" spans="1:5" x14ac:dyDescent="0.25">
      <c r="A251"/>
      <c r="B251"/>
      <c r="C251"/>
      <c r="D251"/>
      <c r="E251"/>
    </row>
    <row r="252" spans="1:5" x14ac:dyDescent="0.25">
      <c r="A252"/>
      <c r="B252"/>
      <c r="C252"/>
      <c r="D252"/>
      <c r="E252"/>
    </row>
    <row r="253" spans="1:5" x14ac:dyDescent="0.25">
      <c r="A253"/>
      <c r="B253"/>
      <c r="C253"/>
      <c r="D253"/>
      <c r="E253"/>
    </row>
    <row r="254" spans="1:5" x14ac:dyDescent="0.25">
      <c r="A254"/>
      <c r="B254"/>
      <c r="C254"/>
      <c r="D254"/>
      <c r="E254"/>
    </row>
    <row r="255" spans="1:5" x14ac:dyDescent="0.25">
      <c r="A255"/>
      <c r="B255"/>
      <c r="C255"/>
      <c r="D255"/>
      <c r="E255"/>
    </row>
    <row r="256" spans="1:5" x14ac:dyDescent="0.25">
      <c r="A256"/>
      <c r="B256"/>
    </row>
    <row r="257" spans="1:2" x14ac:dyDescent="0.25">
      <c r="A257"/>
      <c r="B257"/>
    </row>
    <row r="258" spans="1:2" x14ac:dyDescent="0.25">
      <c r="A258"/>
      <c r="B258"/>
    </row>
    <row r="259" spans="1:2" x14ac:dyDescent="0.25">
      <c r="A259"/>
      <c r="B259"/>
    </row>
    <row r="260" spans="1:2" x14ac:dyDescent="0.25">
      <c r="A260"/>
      <c r="B260"/>
    </row>
    <row r="261" spans="1:2" x14ac:dyDescent="0.25">
      <c r="A261"/>
      <c r="B261"/>
    </row>
    <row r="262" spans="1:2" x14ac:dyDescent="0.25">
      <c r="A262"/>
      <c r="B262"/>
    </row>
    <row r="263" spans="1:2" x14ac:dyDescent="0.25">
      <c r="A263"/>
      <c r="B263"/>
    </row>
    <row r="264" spans="1:2" x14ac:dyDescent="0.25">
      <c r="A264"/>
      <c r="B264"/>
    </row>
    <row r="265" spans="1:2" x14ac:dyDescent="0.25">
      <c r="A265"/>
      <c r="B265"/>
    </row>
    <row r="266" spans="1:2" x14ac:dyDescent="0.25">
      <c r="A266"/>
      <c r="B266"/>
    </row>
    <row r="267" spans="1:2" x14ac:dyDescent="0.25">
      <c r="A267"/>
      <c r="B267"/>
    </row>
    <row r="268" spans="1:2" x14ac:dyDescent="0.25">
      <c r="A268"/>
      <c r="B268"/>
    </row>
    <row r="269" spans="1:2" x14ac:dyDescent="0.25">
      <c r="A269"/>
      <c r="B269"/>
    </row>
    <row r="270" spans="1:2" x14ac:dyDescent="0.25">
      <c r="A270"/>
      <c r="B270"/>
    </row>
    <row r="271" spans="1:2" x14ac:dyDescent="0.25">
      <c r="A271"/>
      <c r="B271"/>
    </row>
    <row r="272" spans="1:2" x14ac:dyDescent="0.25">
      <c r="A272"/>
      <c r="B272"/>
    </row>
    <row r="273" spans="1:2" x14ac:dyDescent="0.25">
      <c r="A273"/>
      <c r="B273"/>
    </row>
    <row r="274" spans="1:2" x14ac:dyDescent="0.25">
      <c r="A274"/>
      <c r="B274"/>
    </row>
    <row r="275" spans="1:2" x14ac:dyDescent="0.25">
      <c r="A275"/>
      <c r="B275"/>
    </row>
    <row r="276" spans="1:2" x14ac:dyDescent="0.25">
      <c r="A276"/>
      <c r="B276"/>
    </row>
    <row r="277" spans="1:2" x14ac:dyDescent="0.25">
      <c r="A277"/>
      <c r="B277"/>
    </row>
    <row r="278" spans="1:2" x14ac:dyDescent="0.25">
      <c r="A278"/>
      <c r="B278"/>
    </row>
    <row r="279" spans="1:2" x14ac:dyDescent="0.25">
      <c r="A279"/>
      <c r="B279"/>
    </row>
    <row r="280" spans="1:2" x14ac:dyDescent="0.25">
      <c r="A280"/>
      <c r="B280"/>
    </row>
    <row r="281" spans="1:2" x14ac:dyDescent="0.25">
      <c r="A281"/>
      <c r="B281"/>
    </row>
    <row r="282" spans="1:2" x14ac:dyDescent="0.25">
      <c r="A282"/>
      <c r="B282"/>
    </row>
    <row r="283" spans="1:2" x14ac:dyDescent="0.25">
      <c r="A283"/>
      <c r="B283"/>
    </row>
    <row r="284" spans="1:2" x14ac:dyDescent="0.25">
      <c r="A284"/>
    </row>
    <row r="285" spans="1:2" x14ac:dyDescent="0.25">
      <c r="A285"/>
    </row>
    <row r="286" spans="1:2" x14ac:dyDescent="0.25">
      <c r="A286"/>
    </row>
    <row r="287" spans="1:2" x14ac:dyDescent="0.25">
      <c r="A287"/>
    </row>
    <row r="288" spans="1:2"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sheetData>
  <mergeCells count="13">
    <mergeCell ref="I2:J2"/>
    <mergeCell ref="K2:M2"/>
    <mergeCell ref="A1:B1"/>
    <mergeCell ref="C1:D1"/>
    <mergeCell ref="E1:F1"/>
    <mergeCell ref="G1:H1"/>
    <mergeCell ref="I1:J1"/>
    <mergeCell ref="K1:M1"/>
    <mergeCell ref="A162:E162"/>
    <mergeCell ref="A2:B2"/>
    <mergeCell ref="C2:D2"/>
    <mergeCell ref="E2:F2"/>
    <mergeCell ref="G2:H2"/>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D9CC-9717-4C30-8E6F-394A082C3EDF}">
  <sheetPr>
    <tabColor theme="9"/>
    <outlinePr summaryBelow="0" summaryRight="0"/>
  </sheetPr>
  <dimension ref="A1:P391"/>
  <sheetViews>
    <sheetView workbookViewId="0"/>
  </sheetViews>
  <sheetFormatPr defaultColWidth="12.6640625" defaultRowHeight="15.75" customHeight="1" x14ac:dyDescent="0.25"/>
  <cols>
    <col min="14" max="14" width="18.88671875" customWidth="1"/>
    <col min="15" max="15" width="22.44140625" customWidth="1"/>
    <col min="16" max="16" width="16.33203125" customWidth="1"/>
  </cols>
  <sheetData>
    <row r="1" spans="1:16" ht="13.2" x14ac:dyDescent="0.25">
      <c r="A1" s="22" t="s">
        <v>9</v>
      </c>
      <c r="B1" s="23" t="s">
        <v>10</v>
      </c>
      <c r="C1" s="23" t="s">
        <v>11</v>
      </c>
      <c r="D1" s="23" t="s">
        <v>80</v>
      </c>
      <c r="E1" s="23" t="s">
        <v>81</v>
      </c>
      <c r="F1" s="23" t="s">
        <v>82</v>
      </c>
      <c r="G1" s="23" t="s">
        <v>83</v>
      </c>
      <c r="H1" s="23" t="s">
        <v>84</v>
      </c>
      <c r="I1" s="23" t="s">
        <v>133</v>
      </c>
      <c r="J1" s="23" t="s">
        <v>134</v>
      </c>
      <c r="K1" s="23" t="s">
        <v>85</v>
      </c>
      <c r="L1" s="23" t="s">
        <v>79</v>
      </c>
      <c r="M1" s="23" t="s">
        <v>86</v>
      </c>
      <c r="N1" s="23" t="s">
        <v>43</v>
      </c>
      <c r="O1" s="23" t="s">
        <v>44</v>
      </c>
      <c r="P1" s="24" t="s">
        <v>8</v>
      </c>
    </row>
    <row r="2" spans="1:16" ht="13.2" x14ac:dyDescent="0.25">
      <c r="A2" s="7">
        <v>611</v>
      </c>
      <c r="B2" s="3">
        <v>40571</v>
      </c>
      <c r="C2" s="2">
        <v>1</v>
      </c>
      <c r="D2" s="2">
        <v>0</v>
      </c>
      <c r="E2" s="2">
        <v>1</v>
      </c>
      <c r="F2" s="2">
        <v>16</v>
      </c>
      <c r="G2" s="2" t="b">
        <v>0</v>
      </c>
      <c r="H2" s="2">
        <v>5</v>
      </c>
      <c r="I2" s="2">
        <v>1</v>
      </c>
      <c r="J2" s="2">
        <v>0.22</v>
      </c>
      <c r="K2" s="2">
        <v>0.2727</v>
      </c>
      <c r="L2" s="2">
        <v>0.8</v>
      </c>
      <c r="M2" s="2">
        <v>0</v>
      </c>
      <c r="N2" s="2">
        <v>10</v>
      </c>
      <c r="O2" s="2">
        <v>70</v>
      </c>
      <c r="P2" s="65">
        <v>80</v>
      </c>
    </row>
    <row r="3" spans="1:16" ht="13.2" x14ac:dyDescent="0.25">
      <c r="A3" s="7">
        <v>612</v>
      </c>
      <c r="B3" s="3">
        <v>40571</v>
      </c>
      <c r="C3" s="2">
        <v>1</v>
      </c>
      <c r="D3" s="2">
        <v>0</v>
      </c>
      <c r="E3" s="2">
        <v>1</v>
      </c>
      <c r="F3" s="2">
        <v>17</v>
      </c>
      <c r="G3" s="2" t="b">
        <v>0</v>
      </c>
      <c r="H3" s="2">
        <v>5</v>
      </c>
      <c r="I3" s="2">
        <v>1</v>
      </c>
      <c r="J3" s="2">
        <v>0.24</v>
      </c>
      <c r="K3" s="2">
        <v>0.2424</v>
      </c>
      <c r="L3" s="2">
        <v>0.75</v>
      </c>
      <c r="M3" s="2">
        <v>0.1343</v>
      </c>
      <c r="N3" s="2">
        <v>2</v>
      </c>
      <c r="O3" s="2">
        <v>147</v>
      </c>
      <c r="P3" s="65">
        <v>149</v>
      </c>
    </row>
    <row r="4" spans="1:16" ht="13.2" x14ac:dyDescent="0.25">
      <c r="A4" s="7">
        <v>613</v>
      </c>
      <c r="B4" s="3">
        <v>40571</v>
      </c>
      <c r="C4" s="2">
        <v>1</v>
      </c>
      <c r="D4" s="2">
        <v>0</v>
      </c>
      <c r="E4" s="2">
        <v>1</v>
      </c>
      <c r="F4" s="2">
        <v>18</v>
      </c>
      <c r="G4" s="2" t="b">
        <v>0</v>
      </c>
      <c r="H4" s="2">
        <v>5</v>
      </c>
      <c r="I4" s="2">
        <v>1</v>
      </c>
      <c r="J4" s="2">
        <v>0.24</v>
      </c>
      <c r="K4" s="2">
        <v>0.2273</v>
      </c>
      <c r="L4" s="2">
        <v>0.75</v>
      </c>
      <c r="M4" s="2">
        <v>0.19400000000000001</v>
      </c>
      <c r="N4" s="2">
        <v>2</v>
      </c>
      <c r="O4" s="2">
        <v>107</v>
      </c>
      <c r="P4" s="65">
        <v>109</v>
      </c>
    </row>
    <row r="5" spans="1:16" ht="13.2" x14ac:dyDescent="0.25">
      <c r="A5" s="7">
        <v>614</v>
      </c>
      <c r="B5" s="3">
        <v>40571</v>
      </c>
      <c r="C5" s="2">
        <v>1</v>
      </c>
      <c r="D5" s="2">
        <v>0</v>
      </c>
      <c r="E5" s="2">
        <v>1</v>
      </c>
      <c r="F5" s="2">
        <v>19</v>
      </c>
      <c r="G5" s="2" t="b">
        <v>0</v>
      </c>
      <c r="H5" s="2">
        <v>5</v>
      </c>
      <c r="I5" s="2">
        <v>2</v>
      </c>
      <c r="J5" s="2">
        <v>0.24</v>
      </c>
      <c r="K5" s="2">
        <v>0.2424</v>
      </c>
      <c r="L5" s="2">
        <v>0.75</v>
      </c>
      <c r="M5" s="2">
        <v>0.1343</v>
      </c>
      <c r="N5" s="2">
        <v>5</v>
      </c>
      <c r="O5" s="2">
        <v>84</v>
      </c>
      <c r="P5" s="65">
        <v>89</v>
      </c>
    </row>
    <row r="6" spans="1:16" ht="13.2" x14ac:dyDescent="0.25">
      <c r="A6" s="7">
        <v>615</v>
      </c>
      <c r="B6" s="3">
        <v>40571</v>
      </c>
      <c r="C6" s="2">
        <v>1</v>
      </c>
      <c r="D6" s="2">
        <v>0</v>
      </c>
      <c r="E6" s="2">
        <v>1</v>
      </c>
      <c r="F6" s="2">
        <v>20</v>
      </c>
      <c r="G6" s="2" t="b">
        <v>0</v>
      </c>
      <c r="H6" s="2">
        <v>5</v>
      </c>
      <c r="I6" s="2">
        <v>2</v>
      </c>
      <c r="J6" s="2">
        <v>0.24</v>
      </c>
      <c r="K6" s="2">
        <v>0.2273</v>
      </c>
      <c r="L6" s="2">
        <v>0.7</v>
      </c>
      <c r="M6" s="2">
        <v>0.19400000000000001</v>
      </c>
      <c r="N6" s="2">
        <v>1</v>
      </c>
      <c r="O6" s="2">
        <v>61</v>
      </c>
      <c r="P6" s="65">
        <v>62</v>
      </c>
    </row>
    <row r="7" spans="1:16" ht="13.2" x14ac:dyDescent="0.25">
      <c r="A7" s="7">
        <v>616</v>
      </c>
      <c r="B7" s="3">
        <v>40571</v>
      </c>
      <c r="C7" s="2">
        <v>1</v>
      </c>
      <c r="D7" s="2">
        <v>0</v>
      </c>
      <c r="E7" s="2">
        <v>1</v>
      </c>
      <c r="F7" s="2">
        <v>21</v>
      </c>
      <c r="G7" s="2" t="b">
        <v>0</v>
      </c>
      <c r="H7" s="2">
        <v>5</v>
      </c>
      <c r="I7" s="2">
        <v>2</v>
      </c>
      <c r="J7" s="2">
        <v>0.22</v>
      </c>
      <c r="K7" s="2">
        <v>0.2273</v>
      </c>
      <c r="L7" s="2">
        <v>0.75</v>
      </c>
      <c r="M7" s="2">
        <v>0.1343</v>
      </c>
      <c r="N7" s="2">
        <v>1</v>
      </c>
      <c r="O7" s="2">
        <v>57</v>
      </c>
      <c r="P7" s="65">
        <v>58</v>
      </c>
    </row>
    <row r="8" spans="1:16" ht="13.2" x14ac:dyDescent="0.25">
      <c r="A8" s="7">
        <v>617</v>
      </c>
      <c r="B8" s="3">
        <v>40571</v>
      </c>
      <c r="C8" s="2">
        <v>1</v>
      </c>
      <c r="D8" s="2">
        <v>0</v>
      </c>
      <c r="E8" s="2">
        <v>1</v>
      </c>
      <c r="F8" s="2">
        <v>22</v>
      </c>
      <c r="G8" s="2" t="b">
        <v>0</v>
      </c>
      <c r="H8" s="2">
        <v>5</v>
      </c>
      <c r="I8" s="2">
        <v>1</v>
      </c>
      <c r="J8" s="2">
        <v>0.24</v>
      </c>
      <c r="K8" s="2">
        <v>0.21210000000000001</v>
      </c>
      <c r="L8" s="2">
        <v>0.65</v>
      </c>
      <c r="M8" s="2">
        <v>0.35820000000000002</v>
      </c>
      <c r="N8" s="2">
        <v>0</v>
      </c>
      <c r="O8" s="2">
        <v>26</v>
      </c>
      <c r="P8" s="65">
        <v>26</v>
      </c>
    </row>
    <row r="9" spans="1:16" ht="13.2" x14ac:dyDescent="0.25">
      <c r="A9" s="7">
        <v>618</v>
      </c>
      <c r="B9" s="3">
        <v>40571</v>
      </c>
      <c r="C9" s="2">
        <v>1</v>
      </c>
      <c r="D9" s="2">
        <v>0</v>
      </c>
      <c r="E9" s="2">
        <v>1</v>
      </c>
      <c r="F9" s="2">
        <v>23</v>
      </c>
      <c r="G9" s="2" t="b">
        <v>0</v>
      </c>
      <c r="H9" s="2">
        <v>5</v>
      </c>
      <c r="I9" s="2">
        <v>1</v>
      </c>
      <c r="J9" s="2">
        <v>0.24</v>
      </c>
      <c r="K9" s="2">
        <v>0.2273</v>
      </c>
      <c r="L9" s="2">
        <v>0.6</v>
      </c>
      <c r="M9" s="2">
        <v>0.22389999999999999</v>
      </c>
      <c r="N9" s="2">
        <v>1</v>
      </c>
      <c r="O9" s="2">
        <v>22</v>
      </c>
      <c r="P9" s="65">
        <v>23</v>
      </c>
    </row>
    <row r="10" spans="1:16" ht="13.2" x14ac:dyDescent="0.25">
      <c r="A10" s="7">
        <v>619</v>
      </c>
      <c r="B10" s="3">
        <v>40572</v>
      </c>
      <c r="C10" s="2">
        <v>1</v>
      </c>
      <c r="D10" s="2">
        <v>0</v>
      </c>
      <c r="E10" s="2">
        <v>1</v>
      </c>
      <c r="F10" s="2">
        <v>0</v>
      </c>
      <c r="G10" s="2" t="b">
        <v>0</v>
      </c>
      <c r="H10" s="2">
        <v>6</v>
      </c>
      <c r="I10" s="2">
        <v>1</v>
      </c>
      <c r="J10" s="2">
        <v>0.22</v>
      </c>
      <c r="K10" s="2">
        <v>0.19700000000000001</v>
      </c>
      <c r="L10" s="2">
        <v>0.64</v>
      </c>
      <c r="M10" s="2">
        <v>0.35820000000000002</v>
      </c>
      <c r="N10" s="2">
        <v>2</v>
      </c>
      <c r="O10" s="2">
        <v>26</v>
      </c>
      <c r="P10" s="65">
        <v>28</v>
      </c>
    </row>
    <row r="11" spans="1:16" ht="13.2" x14ac:dyDescent="0.25">
      <c r="A11" s="7">
        <v>620</v>
      </c>
      <c r="B11" s="3">
        <v>40572</v>
      </c>
      <c r="C11" s="2">
        <v>1</v>
      </c>
      <c r="D11" s="2">
        <v>0</v>
      </c>
      <c r="E11" s="2">
        <v>1</v>
      </c>
      <c r="F11" s="2">
        <v>1</v>
      </c>
      <c r="G11" s="2" t="b">
        <v>0</v>
      </c>
      <c r="H11" s="2">
        <v>6</v>
      </c>
      <c r="I11" s="2">
        <v>1</v>
      </c>
      <c r="J11" s="2">
        <v>0.22</v>
      </c>
      <c r="K11" s="2">
        <v>0.2273</v>
      </c>
      <c r="L11" s="2">
        <v>0.64</v>
      </c>
      <c r="M11" s="2">
        <v>0.19400000000000001</v>
      </c>
      <c r="N11" s="2">
        <v>0</v>
      </c>
      <c r="O11" s="2">
        <v>20</v>
      </c>
      <c r="P11" s="65">
        <v>20</v>
      </c>
    </row>
    <row r="12" spans="1:16" ht="13.2" x14ac:dyDescent="0.25">
      <c r="A12" s="7">
        <v>621</v>
      </c>
      <c r="B12" s="3">
        <v>40572</v>
      </c>
      <c r="C12" s="2">
        <v>1</v>
      </c>
      <c r="D12" s="2">
        <v>0</v>
      </c>
      <c r="E12" s="2">
        <v>1</v>
      </c>
      <c r="F12" s="2">
        <v>2</v>
      </c>
      <c r="G12" s="2" t="b">
        <v>0</v>
      </c>
      <c r="H12" s="2">
        <v>6</v>
      </c>
      <c r="I12" s="2">
        <v>1</v>
      </c>
      <c r="J12" s="2">
        <v>0.22</v>
      </c>
      <c r="K12" s="2">
        <v>0.2273</v>
      </c>
      <c r="L12" s="2">
        <v>0.64</v>
      </c>
      <c r="M12" s="2">
        <v>0.16420000000000001</v>
      </c>
      <c r="N12" s="2">
        <v>0</v>
      </c>
      <c r="O12" s="2">
        <v>15</v>
      </c>
      <c r="P12" s="65">
        <v>15</v>
      </c>
    </row>
    <row r="13" spans="1:16" ht="13.2" x14ac:dyDescent="0.25">
      <c r="A13" s="7">
        <v>622</v>
      </c>
      <c r="B13" s="3">
        <v>40572</v>
      </c>
      <c r="C13" s="2">
        <v>1</v>
      </c>
      <c r="D13" s="2">
        <v>0</v>
      </c>
      <c r="E13" s="2">
        <v>1</v>
      </c>
      <c r="F13" s="2">
        <v>3</v>
      </c>
      <c r="G13" s="2" t="b">
        <v>0</v>
      </c>
      <c r="H13" s="2">
        <v>6</v>
      </c>
      <c r="I13" s="2">
        <v>1</v>
      </c>
      <c r="J13" s="2">
        <v>0.2</v>
      </c>
      <c r="K13" s="2">
        <v>0.21210000000000001</v>
      </c>
      <c r="L13" s="2">
        <v>0.64</v>
      </c>
      <c r="M13" s="2">
        <v>0.1343</v>
      </c>
      <c r="N13" s="2">
        <v>3</v>
      </c>
      <c r="O13" s="2">
        <v>5</v>
      </c>
      <c r="P13" s="65">
        <v>8</v>
      </c>
    </row>
    <row r="14" spans="1:16" ht="13.2" x14ac:dyDescent="0.25">
      <c r="A14" s="7">
        <v>623</v>
      </c>
      <c r="B14" s="3">
        <v>40572</v>
      </c>
      <c r="C14" s="2">
        <v>1</v>
      </c>
      <c r="D14" s="2">
        <v>0</v>
      </c>
      <c r="E14" s="2">
        <v>1</v>
      </c>
      <c r="F14" s="2">
        <v>4</v>
      </c>
      <c r="G14" s="2" t="b">
        <v>0</v>
      </c>
      <c r="H14" s="2">
        <v>6</v>
      </c>
      <c r="I14" s="2">
        <v>1</v>
      </c>
      <c r="J14" s="2">
        <v>0.16</v>
      </c>
      <c r="K14" s="2">
        <v>0.18179999999999999</v>
      </c>
      <c r="L14" s="2">
        <v>0.69</v>
      </c>
      <c r="M14" s="2">
        <v>0.1045</v>
      </c>
      <c r="N14" s="2">
        <v>1</v>
      </c>
      <c r="O14" s="2">
        <v>2</v>
      </c>
      <c r="P14" s="65">
        <v>3</v>
      </c>
    </row>
    <row r="15" spans="1:16" ht="13.2" x14ac:dyDescent="0.25">
      <c r="A15" s="7">
        <v>624</v>
      </c>
      <c r="B15" s="3">
        <v>40572</v>
      </c>
      <c r="C15" s="2">
        <v>1</v>
      </c>
      <c r="D15" s="2">
        <v>0</v>
      </c>
      <c r="E15" s="2">
        <v>1</v>
      </c>
      <c r="F15" s="2">
        <v>6</v>
      </c>
      <c r="G15" s="2" t="b">
        <v>0</v>
      </c>
      <c r="H15" s="2">
        <v>6</v>
      </c>
      <c r="I15" s="2">
        <v>1</v>
      </c>
      <c r="J15" s="2">
        <v>0.16</v>
      </c>
      <c r="K15" s="2">
        <v>0.18179999999999999</v>
      </c>
      <c r="L15" s="2">
        <v>0.64</v>
      </c>
      <c r="M15" s="2">
        <v>0.1343</v>
      </c>
      <c r="N15" s="2">
        <v>0</v>
      </c>
      <c r="O15" s="2">
        <v>2</v>
      </c>
      <c r="P15" s="65">
        <v>2</v>
      </c>
    </row>
    <row r="16" spans="1:16" ht="13.2" x14ac:dyDescent="0.25">
      <c r="A16" s="7">
        <v>625</v>
      </c>
      <c r="B16" s="3">
        <v>40572</v>
      </c>
      <c r="C16" s="2">
        <v>1</v>
      </c>
      <c r="D16" s="2">
        <v>0</v>
      </c>
      <c r="E16" s="2">
        <v>1</v>
      </c>
      <c r="F16" s="2">
        <v>7</v>
      </c>
      <c r="G16" s="2" t="b">
        <v>0</v>
      </c>
      <c r="H16" s="2">
        <v>6</v>
      </c>
      <c r="I16" s="2">
        <v>1</v>
      </c>
      <c r="J16" s="2">
        <v>0.16</v>
      </c>
      <c r="K16" s="2">
        <v>0.18179999999999999</v>
      </c>
      <c r="L16" s="2">
        <v>0.59</v>
      </c>
      <c r="M16" s="2">
        <v>0.1045</v>
      </c>
      <c r="N16" s="2">
        <v>1</v>
      </c>
      <c r="O16" s="2">
        <v>4</v>
      </c>
      <c r="P16" s="65">
        <v>5</v>
      </c>
    </row>
    <row r="17" spans="1:16" ht="13.2" x14ac:dyDescent="0.25">
      <c r="A17" s="7">
        <v>626</v>
      </c>
      <c r="B17" s="3">
        <v>40572</v>
      </c>
      <c r="C17" s="2">
        <v>1</v>
      </c>
      <c r="D17" s="2">
        <v>0</v>
      </c>
      <c r="E17" s="2">
        <v>1</v>
      </c>
      <c r="F17" s="2">
        <v>8</v>
      </c>
      <c r="G17" s="2" t="b">
        <v>0</v>
      </c>
      <c r="H17" s="2">
        <v>6</v>
      </c>
      <c r="I17" s="2">
        <v>1</v>
      </c>
      <c r="J17" s="2">
        <v>0.18</v>
      </c>
      <c r="K17" s="2">
        <v>0.19700000000000001</v>
      </c>
      <c r="L17" s="2">
        <v>0.55000000000000004</v>
      </c>
      <c r="M17" s="2">
        <v>0.16420000000000001</v>
      </c>
      <c r="N17" s="2">
        <v>3</v>
      </c>
      <c r="O17" s="2">
        <v>31</v>
      </c>
      <c r="P17" s="65">
        <v>34</v>
      </c>
    </row>
    <row r="18" spans="1:16" ht="13.2" x14ac:dyDescent="0.25">
      <c r="A18" s="7">
        <v>627</v>
      </c>
      <c r="B18" s="3">
        <v>40572</v>
      </c>
      <c r="C18" s="2">
        <v>1</v>
      </c>
      <c r="D18" s="2">
        <v>0</v>
      </c>
      <c r="E18" s="2">
        <v>1</v>
      </c>
      <c r="F18" s="2">
        <v>9</v>
      </c>
      <c r="G18" s="2" t="b">
        <v>0</v>
      </c>
      <c r="H18" s="2">
        <v>6</v>
      </c>
      <c r="I18" s="2">
        <v>1</v>
      </c>
      <c r="J18" s="2">
        <v>0.18</v>
      </c>
      <c r="K18" s="2">
        <v>0.21210000000000001</v>
      </c>
      <c r="L18" s="2">
        <v>0.59</v>
      </c>
      <c r="M18" s="2">
        <v>8.9599999999999999E-2</v>
      </c>
      <c r="N18" s="2">
        <v>0</v>
      </c>
      <c r="O18" s="2">
        <v>34</v>
      </c>
      <c r="P18" s="65">
        <v>34</v>
      </c>
    </row>
    <row r="19" spans="1:16" ht="13.2" x14ac:dyDescent="0.25">
      <c r="A19" s="7">
        <v>628</v>
      </c>
      <c r="B19" s="3">
        <v>40572</v>
      </c>
      <c r="C19" s="2">
        <v>1</v>
      </c>
      <c r="D19" s="2">
        <v>0</v>
      </c>
      <c r="E19" s="2">
        <v>1</v>
      </c>
      <c r="F19" s="2">
        <v>10</v>
      </c>
      <c r="G19" s="2" t="b">
        <v>0</v>
      </c>
      <c r="H19" s="2">
        <v>6</v>
      </c>
      <c r="I19" s="2">
        <v>2</v>
      </c>
      <c r="J19" s="2">
        <v>0.18</v>
      </c>
      <c r="K19" s="2">
        <v>0.21210000000000001</v>
      </c>
      <c r="L19" s="2">
        <v>0.64</v>
      </c>
      <c r="M19" s="2">
        <v>0.1045</v>
      </c>
      <c r="N19" s="2">
        <v>4</v>
      </c>
      <c r="O19" s="2">
        <v>51</v>
      </c>
      <c r="P19" s="65">
        <v>55</v>
      </c>
    </row>
    <row r="20" spans="1:16" ht="13.2" x14ac:dyDescent="0.25">
      <c r="A20" s="7">
        <v>629</v>
      </c>
      <c r="B20" s="3">
        <v>40572</v>
      </c>
      <c r="C20" s="2">
        <v>1</v>
      </c>
      <c r="D20" s="2">
        <v>0</v>
      </c>
      <c r="E20" s="2">
        <v>1</v>
      </c>
      <c r="F20" s="2">
        <v>11</v>
      </c>
      <c r="G20" s="2" t="b">
        <v>0</v>
      </c>
      <c r="H20" s="2">
        <v>6</v>
      </c>
      <c r="I20" s="2">
        <v>2</v>
      </c>
      <c r="J20" s="2">
        <v>0.18</v>
      </c>
      <c r="K20" s="2">
        <v>0.19700000000000001</v>
      </c>
      <c r="L20" s="2">
        <v>0.64</v>
      </c>
      <c r="M20" s="2">
        <v>0.1343</v>
      </c>
      <c r="N20" s="2">
        <v>4</v>
      </c>
      <c r="O20" s="2">
        <v>60</v>
      </c>
      <c r="P20" s="65">
        <v>64</v>
      </c>
    </row>
    <row r="21" spans="1:16" ht="13.2" x14ac:dyDescent="0.25">
      <c r="A21" s="7">
        <v>630</v>
      </c>
      <c r="B21" s="3">
        <v>40572</v>
      </c>
      <c r="C21" s="2">
        <v>1</v>
      </c>
      <c r="D21" s="2">
        <v>0</v>
      </c>
      <c r="E21" s="2">
        <v>1</v>
      </c>
      <c r="F21" s="2">
        <v>12</v>
      </c>
      <c r="G21" s="2" t="b">
        <v>0</v>
      </c>
      <c r="H21" s="2">
        <v>6</v>
      </c>
      <c r="I21" s="2">
        <v>2</v>
      </c>
      <c r="J21" s="2">
        <v>0.2</v>
      </c>
      <c r="K21" s="2">
        <v>0.19700000000000001</v>
      </c>
      <c r="L21" s="2">
        <v>0.59</v>
      </c>
      <c r="M21" s="2">
        <v>0.19400000000000001</v>
      </c>
      <c r="N21" s="2">
        <v>12</v>
      </c>
      <c r="O21" s="2">
        <v>66</v>
      </c>
      <c r="P21" s="65">
        <v>78</v>
      </c>
    </row>
    <row r="22" spans="1:16" ht="13.2" x14ac:dyDescent="0.25">
      <c r="A22" s="7">
        <v>631</v>
      </c>
      <c r="B22" s="3">
        <v>40572</v>
      </c>
      <c r="C22" s="2">
        <v>1</v>
      </c>
      <c r="D22" s="2">
        <v>0</v>
      </c>
      <c r="E22" s="2">
        <v>1</v>
      </c>
      <c r="F22" s="2">
        <v>13</v>
      </c>
      <c r="G22" s="2" t="b">
        <v>0</v>
      </c>
      <c r="H22" s="2">
        <v>6</v>
      </c>
      <c r="I22" s="2">
        <v>2</v>
      </c>
      <c r="J22" s="2">
        <v>0.22</v>
      </c>
      <c r="K22" s="2">
        <v>0.2273</v>
      </c>
      <c r="L22" s="2">
        <v>0.55000000000000004</v>
      </c>
      <c r="M22" s="2">
        <v>0.16420000000000001</v>
      </c>
      <c r="N22" s="2">
        <v>9</v>
      </c>
      <c r="O22" s="2">
        <v>56</v>
      </c>
      <c r="P22" s="65">
        <v>65</v>
      </c>
    </row>
    <row r="23" spans="1:16" ht="13.2" x14ac:dyDescent="0.25">
      <c r="A23" s="7">
        <v>632</v>
      </c>
      <c r="B23" s="3">
        <v>40572</v>
      </c>
      <c r="C23" s="2">
        <v>1</v>
      </c>
      <c r="D23" s="2">
        <v>0</v>
      </c>
      <c r="E23" s="2">
        <v>1</v>
      </c>
      <c r="F23" s="2">
        <v>14</v>
      </c>
      <c r="G23" s="2" t="b">
        <v>0</v>
      </c>
      <c r="H23" s="2">
        <v>6</v>
      </c>
      <c r="I23" s="2">
        <v>2</v>
      </c>
      <c r="J23" s="2">
        <v>0.22</v>
      </c>
      <c r="K23" s="2">
        <v>0.2273</v>
      </c>
      <c r="L23" s="2">
        <v>0.6</v>
      </c>
      <c r="M23" s="2">
        <v>0.1343</v>
      </c>
      <c r="N23" s="2">
        <v>10</v>
      </c>
      <c r="O23" s="2">
        <v>89</v>
      </c>
      <c r="P23" s="65">
        <v>99</v>
      </c>
    </row>
    <row r="24" spans="1:16" ht="13.2" x14ac:dyDescent="0.25">
      <c r="A24" s="7">
        <v>633</v>
      </c>
      <c r="B24" s="3">
        <v>40572</v>
      </c>
      <c r="C24" s="2">
        <v>1</v>
      </c>
      <c r="D24" s="2">
        <v>0</v>
      </c>
      <c r="E24" s="2">
        <v>1</v>
      </c>
      <c r="F24" s="2">
        <v>15</v>
      </c>
      <c r="G24" s="2" t="b">
        <v>0</v>
      </c>
      <c r="H24" s="2">
        <v>6</v>
      </c>
      <c r="I24" s="2">
        <v>1</v>
      </c>
      <c r="J24" s="2">
        <v>0.22</v>
      </c>
      <c r="K24" s="2">
        <v>0.21210000000000001</v>
      </c>
      <c r="L24" s="2">
        <v>0.69</v>
      </c>
      <c r="M24" s="2">
        <v>0.25369999999999998</v>
      </c>
      <c r="N24" s="2">
        <v>22</v>
      </c>
      <c r="O24" s="2">
        <v>98</v>
      </c>
      <c r="P24" s="65">
        <v>120</v>
      </c>
    </row>
    <row r="25" spans="1:16" ht="13.2" x14ac:dyDescent="0.25">
      <c r="A25" s="7">
        <v>634</v>
      </c>
      <c r="B25" s="3">
        <v>40572</v>
      </c>
      <c r="C25" s="2">
        <v>1</v>
      </c>
      <c r="D25" s="2">
        <v>0</v>
      </c>
      <c r="E25" s="2">
        <v>1</v>
      </c>
      <c r="F25" s="2">
        <v>16</v>
      </c>
      <c r="G25" s="2" t="b">
        <v>0</v>
      </c>
      <c r="H25" s="2">
        <v>6</v>
      </c>
      <c r="I25" s="2">
        <v>1</v>
      </c>
      <c r="J25" s="2">
        <v>0.24</v>
      </c>
      <c r="K25" s="2">
        <v>0.2424</v>
      </c>
      <c r="L25" s="2">
        <v>0.6</v>
      </c>
      <c r="M25" s="2">
        <v>0.16420000000000001</v>
      </c>
      <c r="N25" s="2">
        <v>19</v>
      </c>
      <c r="O25" s="2">
        <v>88</v>
      </c>
      <c r="P25" s="65">
        <v>107</v>
      </c>
    </row>
    <row r="26" spans="1:16" ht="13.2" x14ac:dyDescent="0.25">
      <c r="A26" s="7">
        <v>635</v>
      </c>
      <c r="B26" s="3">
        <v>40572</v>
      </c>
      <c r="C26" s="2">
        <v>1</v>
      </c>
      <c r="D26" s="2">
        <v>0</v>
      </c>
      <c r="E26" s="2">
        <v>1</v>
      </c>
      <c r="F26" s="2">
        <v>17</v>
      </c>
      <c r="G26" s="2" t="b">
        <v>0</v>
      </c>
      <c r="H26" s="2">
        <v>6</v>
      </c>
      <c r="I26" s="2">
        <v>1</v>
      </c>
      <c r="J26" s="2">
        <v>0.24</v>
      </c>
      <c r="K26" s="2">
        <v>0.28789999999999999</v>
      </c>
      <c r="L26" s="2">
        <v>0.6</v>
      </c>
      <c r="M26" s="2">
        <v>0</v>
      </c>
      <c r="N26" s="2">
        <v>9</v>
      </c>
      <c r="O26" s="2">
        <v>82</v>
      </c>
      <c r="P26" s="65">
        <v>91</v>
      </c>
    </row>
    <row r="27" spans="1:16" ht="13.2" x14ac:dyDescent="0.25">
      <c r="A27" s="7">
        <v>636</v>
      </c>
      <c r="B27" s="3">
        <v>40572</v>
      </c>
      <c r="C27" s="2">
        <v>1</v>
      </c>
      <c r="D27" s="2">
        <v>0</v>
      </c>
      <c r="E27" s="2">
        <v>1</v>
      </c>
      <c r="F27" s="2">
        <v>18</v>
      </c>
      <c r="G27" s="2" t="b">
        <v>0</v>
      </c>
      <c r="H27" s="2">
        <v>6</v>
      </c>
      <c r="I27" s="2">
        <v>1</v>
      </c>
      <c r="J27" s="2">
        <v>0.22</v>
      </c>
      <c r="K27" s="2">
        <v>0.2273</v>
      </c>
      <c r="L27" s="2">
        <v>0.69</v>
      </c>
      <c r="M27" s="2">
        <v>0.1343</v>
      </c>
      <c r="N27" s="2">
        <v>9</v>
      </c>
      <c r="O27" s="2">
        <v>59</v>
      </c>
      <c r="P27" s="65">
        <v>68</v>
      </c>
    </row>
    <row r="28" spans="1:16" ht="13.2" x14ac:dyDescent="0.25">
      <c r="A28" s="7">
        <v>637</v>
      </c>
      <c r="B28" s="3">
        <v>40572</v>
      </c>
      <c r="C28" s="2">
        <v>1</v>
      </c>
      <c r="D28" s="2">
        <v>0</v>
      </c>
      <c r="E28" s="2">
        <v>1</v>
      </c>
      <c r="F28" s="2">
        <v>19</v>
      </c>
      <c r="G28" s="2" t="b">
        <v>0</v>
      </c>
      <c r="H28" s="2">
        <v>6</v>
      </c>
      <c r="I28" s="2">
        <v>2</v>
      </c>
      <c r="J28" s="2">
        <v>0.22</v>
      </c>
      <c r="K28" s="2">
        <v>0.21210000000000001</v>
      </c>
      <c r="L28" s="2">
        <v>0.69</v>
      </c>
      <c r="M28" s="2">
        <v>0.25369999999999998</v>
      </c>
      <c r="N28" s="2">
        <v>6</v>
      </c>
      <c r="O28" s="2">
        <v>52</v>
      </c>
      <c r="P28" s="65">
        <v>58</v>
      </c>
    </row>
    <row r="29" spans="1:16" ht="13.2" x14ac:dyDescent="0.25">
      <c r="A29" s="7">
        <v>638</v>
      </c>
      <c r="B29" s="3">
        <v>40572</v>
      </c>
      <c r="C29" s="2">
        <v>1</v>
      </c>
      <c r="D29" s="2">
        <v>0</v>
      </c>
      <c r="E29" s="2">
        <v>1</v>
      </c>
      <c r="F29" s="2">
        <v>20</v>
      </c>
      <c r="G29" s="2" t="b">
        <v>0</v>
      </c>
      <c r="H29" s="2">
        <v>6</v>
      </c>
      <c r="I29" s="2">
        <v>1</v>
      </c>
      <c r="J29" s="2">
        <v>0.18</v>
      </c>
      <c r="K29" s="2">
        <v>0.21210000000000001</v>
      </c>
      <c r="L29" s="2">
        <v>0.74</v>
      </c>
      <c r="M29" s="2">
        <v>8.9599999999999999E-2</v>
      </c>
      <c r="N29" s="2">
        <v>1</v>
      </c>
      <c r="O29" s="2">
        <v>42</v>
      </c>
      <c r="P29" s="65">
        <v>43</v>
      </c>
    </row>
    <row r="30" spans="1:16" ht="13.2" x14ac:dyDescent="0.25">
      <c r="A30" s="7">
        <v>639</v>
      </c>
      <c r="B30" s="3">
        <v>40572</v>
      </c>
      <c r="C30" s="2">
        <v>1</v>
      </c>
      <c r="D30" s="2">
        <v>0</v>
      </c>
      <c r="E30" s="2">
        <v>1</v>
      </c>
      <c r="F30" s="2">
        <v>21</v>
      </c>
      <c r="G30" s="2" t="b">
        <v>0</v>
      </c>
      <c r="H30" s="2">
        <v>6</v>
      </c>
      <c r="I30" s="2">
        <v>1</v>
      </c>
      <c r="J30" s="2">
        <v>0.18</v>
      </c>
      <c r="K30" s="2">
        <v>0.21210000000000001</v>
      </c>
      <c r="L30" s="2">
        <v>0.74</v>
      </c>
      <c r="M30" s="2">
        <v>8.9599999999999999E-2</v>
      </c>
      <c r="N30" s="2">
        <v>1</v>
      </c>
      <c r="O30" s="2">
        <v>35</v>
      </c>
      <c r="P30" s="65">
        <v>36</v>
      </c>
    </row>
    <row r="31" spans="1:16" ht="13.2" x14ac:dyDescent="0.25">
      <c r="A31" s="7">
        <v>640</v>
      </c>
      <c r="B31" s="3">
        <v>40572</v>
      </c>
      <c r="C31" s="2">
        <v>1</v>
      </c>
      <c r="D31" s="2">
        <v>0</v>
      </c>
      <c r="E31" s="2">
        <v>1</v>
      </c>
      <c r="F31" s="2">
        <v>22</v>
      </c>
      <c r="G31" s="2" t="b">
        <v>0</v>
      </c>
      <c r="H31" s="2">
        <v>6</v>
      </c>
      <c r="I31" s="2">
        <v>1</v>
      </c>
      <c r="J31" s="2">
        <v>0.16</v>
      </c>
      <c r="K31" s="2">
        <v>0.19700000000000001</v>
      </c>
      <c r="L31" s="2">
        <v>0.8</v>
      </c>
      <c r="M31" s="2">
        <v>8.9599999999999999E-2</v>
      </c>
      <c r="N31" s="2">
        <v>4</v>
      </c>
      <c r="O31" s="2">
        <v>28</v>
      </c>
      <c r="P31" s="65">
        <v>32</v>
      </c>
    </row>
    <row r="32" spans="1:16" ht="13.2" x14ac:dyDescent="0.25">
      <c r="A32" s="7">
        <v>641</v>
      </c>
      <c r="B32" s="3">
        <v>40572</v>
      </c>
      <c r="C32" s="2">
        <v>1</v>
      </c>
      <c r="D32" s="2">
        <v>0</v>
      </c>
      <c r="E32" s="2">
        <v>1</v>
      </c>
      <c r="F32" s="2">
        <v>23</v>
      </c>
      <c r="G32" s="2" t="b">
        <v>0</v>
      </c>
      <c r="H32" s="2">
        <v>6</v>
      </c>
      <c r="I32" s="2">
        <v>1</v>
      </c>
      <c r="J32" s="2">
        <v>0.16</v>
      </c>
      <c r="K32" s="2">
        <v>0.19700000000000001</v>
      </c>
      <c r="L32" s="2">
        <v>0.8</v>
      </c>
      <c r="M32" s="2">
        <v>8.9599999999999999E-2</v>
      </c>
      <c r="N32" s="2">
        <v>3</v>
      </c>
      <c r="O32" s="2">
        <v>30</v>
      </c>
      <c r="P32" s="65">
        <v>33</v>
      </c>
    </row>
    <row r="33" spans="1:16" ht="13.2" x14ac:dyDescent="0.25">
      <c r="A33" s="7">
        <v>642</v>
      </c>
      <c r="B33" s="3">
        <v>40573</v>
      </c>
      <c r="C33" s="2">
        <v>1</v>
      </c>
      <c r="D33" s="2">
        <v>0</v>
      </c>
      <c r="E33" s="2">
        <v>1</v>
      </c>
      <c r="F33" s="2">
        <v>0</v>
      </c>
      <c r="G33" s="2" t="b">
        <v>0</v>
      </c>
      <c r="H33" s="2">
        <v>0</v>
      </c>
      <c r="I33" s="2">
        <v>1</v>
      </c>
      <c r="J33" s="2">
        <v>0.16</v>
      </c>
      <c r="K33" s="2">
        <v>0.18179999999999999</v>
      </c>
      <c r="L33" s="2">
        <v>0.8</v>
      </c>
      <c r="M33" s="2">
        <v>0.1045</v>
      </c>
      <c r="N33" s="2">
        <v>0</v>
      </c>
      <c r="O33" s="2">
        <v>33</v>
      </c>
      <c r="P33" s="65">
        <v>33</v>
      </c>
    </row>
    <row r="34" spans="1:16" ht="13.2" x14ac:dyDescent="0.25">
      <c r="A34" s="7">
        <v>643</v>
      </c>
      <c r="B34" s="3">
        <v>40573</v>
      </c>
      <c r="C34" s="2">
        <v>1</v>
      </c>
      <c r="D34" s="2">
        <v>0</v>
      </c>
      <c r="E34" s="2">
        <v>1</v>
      </c>
      <c r="F34" s="2">
        <v>1</v>
      </c>
      <c r="G34" s="2" t="b">
        <v>0</v>
      </c>
      <c r="H34" s="2">
        <v>0</v>
      </c>
      <c r="I34" s="2">
        <v>1</v>
      </c>
      <c r="J34" s="2">
        <v>0.14000000000000001</v>
      </c>
      <c r="K34" s="2">
        <v>0.21210000000000001</v>
      </c>
      <c r="L34" s="2">
        <v>0.8</v>
      </c>
      <c r="M34" s="2">
        <v>0</v>
      </c>
      <c r="N34" s="2">
        <v>7</v>
      </c>
      <c r="O34" s="2">
        <v>22</v>
      </c>
      <c r="P34" s="65">
        <v>29</v>
      </c>
    </row>
    <row r="35" spans="1:16" ht="13.2" x14ac:dyDescent="0.25">
      <c r="A35" s="7">
        <v>644</v>
      </c>
      <c r="B35" s="3">
        <v>40573</v>
      </c>
      <c r="C35" s="2">
        <v>1</v>
      </c>
      <c r="D35" s="2">
        <v>0</v>
      </c>
      <c r="E35" s="2">
        <v>1</v>
      </c>
      <c r="F35" s="2">
        <v>2</v>
      </c>
      <c r="G35" s="2" t="b">
        <v>0</v>
      </c>
      <c r="H35" s="2">
        <v>0</v>
      </c>
      <c r="I35" s="2">
        <v>1</v>
      </c>
      <c r="J35" s="2">
        <v>0.16</v>
      </c>
      <c r="K35" s="2">
        <v>0.2273</v>
      </c>
      <c r="L35" s="2">
        <v>0.8</v>
      </c>
      <c r="M35" s="2">
        <v>0</v>
      </c>
      <c r="N35" s="2">
        <v>1</v>
      </c>
      <c r="O35" s="2">
        <v>10</v>
      </c>
      <c r="P35" s="65">
        <v>11</v>
      </c>
    </row>
    <row r="36" spans="1:16" ht="13.2" x14ac:dyDescent="0.25">
      <c r="A36" s="7">
        <v>645</v>
      </c>
      <c r="B36" s="3">
        <v>40573</v>
      </c>
      <c r="C36" s="2">
        <v>1</v>
      </c>
      <c r="D36" s="2">
        <v>0</v>
      </c>
      <c r="E36" s="2">
        <v>1</v>
      </c>
      <c r="F36" s="2">
        <v>3</v>
      </c>
      <c r="G36" s="2" t="b">
        <v>0</v>
      </c>
      <c r="H36" s="2">
        <v>0</v>
      </c>
      <c r="I36" s="2">
        <v>1</v>
      </c>
      <c r="J36" s="2">
        <v>0.14000000000000001</v>
      </c>
      <c r="K36" s="2">
        <v>0.21210000000000001</v>
      </c>
      <c r="L36" s="2">
        <v>0.93</v>
      </c>
      <c r="M36" s="2">
        <v>0</v>
      </c>
      <c r="N36" s="2">
        <v>1</v>
      </c>
      <c r="O36" s="2">
        <v>7</v>
      </c>
      <c r="P36" s="65">
        <v>8</v>
      </c>
    </row>
    <row r="37" spans="1:16" ht="13.2" x14ac:dyDescent="0.25">
      <c r="A37" s="7">
        <v>646</v>
      </c>
      <c r="B37" s="3">
        <v>40573</v>
      </c>
      <c r="C37" s="2">
        <v>1</v>
      </c>
      <c r="D37" s="2">
        <v>0</v>
      </c>
      <c r="E37" s="2">
        <v>1</v>
      </c>
      <c r="F37" s="2">
        <v>4</v>
      </c>
      <c r="G37" s="2" t="b">
        <v>0</v>
      </c>
      <c r="H37" s="2">
        <v>0</v>
      </c>
      <c r="I37" s="2">
        <v>1</v>
      </c>
      <c r="J37" s="2">
        <v>0.14000000000000001</v>
      </c>
      <c r="K37" s="2">
        <v>0.21210000000000001</v>
      </c>
      <c r="L37" s="2">
        <v>0.93</v>
      </c>
      <c r="M37" s="2">
        <v>0</v>
      </c>
      <c r="N37" s="2">
        <v>0</v>
      </c>
      <c r="O37" s="2">
        <v>1</v>
      </c>
      <c r="P37" s="65">
        <v>1</v>
      </c>
    </row>
    <row r="38" spans="1:16" ht="13.2" x14ac:dyDescent="0.25">
      <c r="A38" s="7">
        <v>647</v>
      </c>
      <c r="B38" s="3">
        <v>40573</v>
      </c>
      <c r="C38" s="2">
        <v>1</v>
      </c>
      <c r="D38" s="2">
        <v>0</v>
      </c>
      <c r="E38" s="2">
        <v>1</v>
      </c>
      <c r="F38" s="2">
        <v>5</v>
      </c>
      <c r="G38" s="2" t="b">
        <v>0</v>
      </c>
      <c r="H38" s="2">
        <v>0</v>
      </c>
      <c r="I38" s="2">
        <v>1</v>
      </c>
      <c r="J38" s="2">
        <v>0.14000000000000001</v>
      </c>
      <c r="K38" s="2">
        <v>0.21210000000000001</v>
      </c>
      <c r="L38" s="2">
        <v>0.86</v>
      </c>
      <c r="M38" s="2">
        <v>0</v>
      </c>
      <c r="N38" s="2">
        <v>0</v>
      </c>
      <c r="O38" s="2">
        <v>3</v>
      </c>
      <c r="P38" s="65">
        <v>3</v>
      </c>
    </row>
    <row r="39" spans="1:16" ht="13.2" x14ac:dyDescent="0.25">
      <c r="A39" s="7">
        <v>648</v>
      </c>
      <c r="B39" s="3">
        <v>40573</v>
      </c>
      <c r="C39" s="2">
        <v>1</v>
      </c>
      <c r="D39" s="2">
        <v>0</v>
      </c>
      <c r="E39" s="2">
        <v>1</v>
      </c>
      <c r="F39" s="2">
        <v>7</v>
      </c>
      <c r="G39" s="2" t="b">
        <v>0</v>
      </c>
      <c r="H39" s="2">
        <v>0</v>
      </c>
      <c r="I39" s="2">
        <v>1</v>
      </c>
      <c r="J39" s="2">
        <v>0.14000000000000001</v>
      </c>
      <c r="K39" s="2">
        <v>0.21210000000000001</v>
      </c>
      <c r="L39" s="2">
        <v>0.86</v>
      </c>
      <c r="M39" s="2">
        <v>0</v>
      </c>
      <c r="N39" s="2">
        <v>0</v>
      </c>
      <c r="O39" s="2">
        <v>3</v>
      </c>
      <c r="P39" s="65">
        <v>3</v>
      </c>
    </row>
    <row r="40" spans="1:16" ht="13.2" x14ac:dyDescent="0.25">
      <c r="A40" s="7">
        <v>649</v>
      </c>
      <c r="B40" s="3">
        <v>40573</v>
      </c>
      <c r="C40" s="2">
        <v>1</v>
      </c>
      <c r="D40" s="2">
        <v>0</v>
      </c>
      <c r="E40" s="2">
        <v>1</v>
      </c>
      <c r="F40" s="2">
        <v>8</v>
      </c>
      <c r="G40" s="2" t="b">
        <v>0</v>
      </c>
      <c r="H40" s="2">
        <v>0</v>
      </c>
      <c r="I40" s="2">
        <v>2</v>
      </c>
      <c r="J40" s="2">
        <v>0.14000000000000001</v>
      </c>
      <c r="K40" s="2">
        <v>0.21210000000000001</v>
      </c>
      <c r="L40" s="2">
        <v>0.86</v>
      </c>
      <c r="M40" s="2">
        <v>0</v>
      </c>
      <c r="N40" s="2">
        <v>1</v>
      </c>
      <c r="O40" s="2">
        <v>11</v>
      </c>
      <c r="P40" s="65">
        <v>12</v>
      </c>
    </row>
    <row r="41" spans="1:16" ht="13.2" x14ac:dyDescent="0.25">
      <c r="A41" s="7">
        <v>650</v>
      </c>
      <c r="B41" s="3">
        <v>40573</v>
      </c>
      <c r="C41" s="2">
        <v>1</v>
      </c>
      <c r="D41" s="2">
        <v>0</v>
      </c>
      <c r="E41" s="2">
        <v>1</v>
      </c>
      <c r="F41" s="2">
        <v>9</v>
      </c>
      <c r="G41" s="2" t="b">
        <v>0</v>
      </c>
      <c r="H41" s="2">
        <v>0</v>
      </c>
      <c r="I41" s="2">
        <v>2</v>
      </c>
      <c r="J41" s="2">
        <v>0.16</v>
      </c>
      <c r="K41" s="2">
        <v>0.2273</v>
      </c>
      <c r="L41" s="2">
        <v>0.8</v>
      </c>
      <c r="M41" s="2">
        <v>0</v>
      </c>
      <c r="N41" s="2">
        <v>4</v>
      </c>
      <c r="O41" s="2">
        <v>34</v>
      </c>
      <c r="P41" s="65">
        <v>38</v>
      </c>
    </row>
    <row r="42" spans="1:16" ht="13.2" x14ac:dyDescent="0.25">
      <c r="A42" s="7">
        <v>651</v>
      </c>
      <c r="B42" s="3">
        <v>40573</v>
      </c>
      <c r="C42" s="2">
        <v>1</v>
      </c>
      <c r="D42" s="2">
        <v>0</v>
      </c>
      <c r="E42" s="2">
        <v>1</v>
      </c>
      <c r="F42" s="2">
        <v>10</v>
      </c>
      <c r="G42" s="2" t="b">
        <v>0</v>
      </c>
      <c r="H42" s="2">
        <v>0</v>
      </c>
      <c r="I42" s="2">
        <v>2</v>
      </c>
      <c r="J42" s="2">
        <v>0.18</v>
      </c>
      <c r="K42" s="2">
        <v>0.2424</v>
      </c>
      <c r="L42" s="2">
        <v>0.8</v>
      </c>
      <c r="M42" s="2">
        <v>0</v>
      </c>
      <c r="N42" s="2">
        <v>7</v>
      </c>
      <c r="O42" s="2">
        <v>57</v>
      </c>
      <c r="P42" s="65">
        <v>64</v>
      </c>
    </row>
    <row r="43" spans="1:16" ht="13.2" x14ac:dyDescent="0.25">
      <c r="A43" s="7">
        <v>652</v>
      </c>
      <c r="B43" s="3">
        <v>40573</v>
      </c>
      <c r="C43" s="2">
        <v>1</v>
      </c>
      <c r="D43" s="2">
        <v>0</v>
      </c>
      <c r="E43" s="2">
        <v>1</v>
      </c>
      <c r="F43" s="2">
        <v>11</v>
      </c>
      <c r="G43" s="2" t="b">
        <v>0</v>
      </c>
      <c r="H43" s="2">
        <v>0</v>
      </c>
      <c r="I43" s="2">
        <v>1</v>
      </c>
      <c r="J43" s="2">
        <v>0.22</v>
      </c>
      <c r="K43" s="2">
        <v>0.2727</v>
      </c>
      <c r="L43" s="2">
        <v>0.75</v>
      </c>
      <c r="M43" s="2">
        <v>0</v>
      </c>
      <c r="N43" s="2">
        <v>9</v>
      </c>
      <c r="O43" s="2">
        <v>50</v>
      </c>
      <c r="P43" s="65">
        <v>59</v>
      </c>
    </row>
    <row r="44" spans="1:16" ht="13.2" x14ac:dyDescent="0.25">
      <c r="A44" s="7">
        <v>653</v>
      </c>
      <c r="B44" s="3">
        <v>40573</v>
      </c>
      <c r="C44" s="2">
        <v>1</v>
      </c>
      <c r="D44" s="2">
        <v>0</v>
      </c>
      <c r="E44" s="2">
        <v>1</v>
      </c>
      <c r="F44" s="2">
        <v>12</v>
      </c>
      <c r="G44" s="2" t="b">
        <v>0</v>
      </c>
      <c r="H44" s="2">
        <v>0</v>
      </c>
      <c r="I44" s="2">
        <v>1</v>
      </c>
      <c r="J44" s="2">
        <v>0.3</v>
      </c>
      <c r="K44" s="2">
        <v>0.31819999999999998</v>
      </c>
      <c r="L44" s="2">
        <v>0.52</v>
      </c>
      <c r="M44" s="2">
        <v>0.1045</v>
      </c>
      <c r="N44" s="2">
        <v>10</v>
      </c>
      <c r="O44" s="2">
        <v>87</v>
      </c>
      <c r="P44" s="65">
        <v>97</v>
      </c>
    </row>
    <row r="45" spans="1:16" ht="13.2" x14ac:dyDescent="0.25">
      <c r="A45" s="7">
        <v>654</v>
      </c>
      <c r="B45" s="3">
        <v>40573</v>
      </c>
      <c r="C45" s="2">
        <v>1</v>
      </c>
      <c r="D45" s="2">
        <v>0</v>
      </c>
      <c r="E45" s="2">
        <v>1</v>
      </c>
      <c r="F45" s="2">
        <v>13</v>
      </c>
      <c r="G45" s="2" t="b">
        <v>0</v>
      </c>
      <c r="H45" s="2">
        <v>0</v>
      </c>
      <c r="I45" s="2">
        <v>1</v>
      </c>
      <c r="J45" s="2">
        <v>0.28000000000000003</v>
      </c>
      <c r="K45" s="2">
        <v>0.28789999999999999</v>
      </c>
      <c r="L45" s="2">
        <v>0.61</v>
      </c>
      <c r="M45" s="2">
        <v>0.1045</v>
      </c>
      <c r="N45" s="2">
        <v>13</v>
      </c>
      <c r="O45" s="2">
        <v>71</v>
      </c>
      <c r="P45" s="65">
        <v>84</v>
      </c>
    </row>
    <row r="46" spans="1:16" ht="13.2" x14ac:dyDescent="0.25">
      <c r="A46" s="7">
        <v>655</v>
      </c>
      <c r="B46" s="3">
        <v>40573</v>
      </c>
      <c r="C46" s="2">
        <v>1</v>
      </c>
      <c r="D46" s="2">
        <v>0</v>
      </c>
      <c r="E46" s="2">
        <v>1</v>
      </c>
      <c r="F46" s="2">
        <v>14</v>
      </c>
      <c r="G46" s="2" t="b">
        <v>0</v>
      </c>
      <c r="H46" s="2">
        <v>0</v>
      </c>
      <c r="I46" s="2">
        <v>1</v>
      </c>
      <c r="J46" s="2">
        <v>0.28000000000000003</v>
      </c>
      <c r="K46" s="2">
        <v>0.30299999999999999</v>
      </c>
      <c r="L46" s="2">
        <v>0.61</v>
      </c>
      <c r="M46" s="2">
        <v>8.9599999999999999E-2</v>
      </c>
      <c r="N46" s="2">
        <v>18</v>
      </c>
      <c r="O46" s="2">
        <v>104</v>
      </c>
      <c r="P46" s="65">
        <v>122</v>
      </c>
    </row>
    <row r="47" spans="1:16" ht="13.2" x14ac:dyDescent="0.25">
      <c r="A47" s="7">
        <v>656</v>
      </c>
      <c r="B47" s="3">
        <v>40573</v>
      </c>
      <c r="C47" s="2">
        <v>1</v>
      </c>
      <c r="D47" s="2">
        <v>0</v>
      </c>
      <c r="E47" s="2">
        <v>1</v>
      </c>
      <c r="F47" s="2">
        <v>15</v>
      </c>
      <c r="G47" s="2" t="b">
        <v>0</v>
      </c>
      <c r="H47" s="2">
        <v>0</v>
      </c>
      <c r="I47" s="2">
        <v>1</v>
      </c>
      <c r="J47" s="2">
        <v>0.3</v>
      </c>
      <c r="K47" s="2">
        <v>0.33329999999999999</v>
      </c>
      <c r="L47" s="2">
        <v>0.56000000000000005</v>
      </c>
      <c r="M47" s="2">
        <v>0</v>
      </c>
      <c r="N47" s="2">
        <v>14</v>
      </c>
      <c r="O47" s="2">
        <v>95</v>
      </c>
      <c r="P47" s="65">
        <v>109</v>
      </c>
    </row>
    <row r="48" spans="1:16" ht="13.2" x14ac:dyDescent="0.25">
      <c r="A48" s="7">
        <v>657</v>
      </c>
      <c r="B48" s="3">
        <v>40573</v>
      </c>
      <c r="C48" s="2">
        <v>1</v>
      </c>
      <c r="D48" s="2">
        <v>0</v>
      </c>
      <c r="E48" s="2">
        <v>1</v>
      </c>
      <c r="F48" s="2">
        <v>16</v>
      </c>
      <c r="G48" s="2" t="b">
        <v>0</v>
      </c>
      <c r="H48" s="2">
        <v>0</v>
      </c>
      <c r="I48" s="2">
        <v>1</v>
      </c>
      <c r="J48" s="2">
        <v>0.3</v>
      </c>
      <c r="K48" s="2">
        <v>0.33329999999999999</v>
      </c>
      <c r="L48" s="2">
        <v>0.56000000000000005</v>
      </c>
      <c r="M48" s="2">
        <v>0</v>
      </c>
      <c r="N48" s="2">
        <v>19</v>
      </c>
      <c r="O48" s="2">
        <v>104</v>
      </c>
      <c r="P48" s="65">
        <v>123</v>
      </c>
    </row>
    <row r="49" spans="1:16" ht="13.2" x14ac:dyDescent="0.25">
      <c r="A49" s="7">
        <v>658</v>
      </c>
      <c r="B49" s="3">
        <v>40573</v>
      </c>
      <c r="C49" s="2">
        <v>1</v>
      </c>
      <c r="D49" s="2">
        <v>0</v>
      </c>
      <c r="E49" s="2">
        <v>1</v>
      </c>
      <c r="F49" s="2">
        <v>17</v>
      </c>
      <c r="G49" s="2" t="b">
        <v>0</v>
      </c>
      <c r="H49" s="2">
        <v>0</v>
      </c>
      <c r="I49" s="2">
        <v>1</v>
      </c>
      <c r="J49" s="2">
        <v>0.3</v>
      </c>
      <c r="K49" s="2">
        <v>0.28789999999999999</v>
      </c>
      <c r="L49" s="2">
        <v>0.56000000000000005</v>
      </c>
      <c r="M49" s="2">
        <v>0.19400000000000001</v>
      </c>
      <c r="N49" s="2">
        <v>6</v>
      </c>
      <c r="O49" s="2">
        <v>71</v>
      </c>
      <c r="P49" s="65">
        <v>77</v>
      </c>
    </row>
    <row r="50" spans="1:16" ht="13.2" x14ac:dyDescent="0.25">
      <c r="A50" s="7">
        <v>659</v>
      </c>
      <c r="B50" s="3">
        <v>40573</v>
      </c>
      <c r="C50" s="2">
        <v>1</v>
      </c>
      <c r="D50" s="2">
        <v>0</v>
      </c>
      <c r="E50" s="2">
        <v>1</v>
      </c>
      <c r="F50" s="2">
        <v>18</v>
      </c>
      <c r="G50" s="2" t="b">
        <v>0</v>
      </c>
      <c r="H50" s="2">
        <v>0</v>
      </c>
      <c r="I50" s="2">
        <v>1</v>
      </c>
      <c r="J50" s="2">
        <v>0.26</v>
      </c>
      <c r="K50" s="2">
        <v>0.2576</v>
      </c>
      <c r="L50" s="2">
        <v>0.65</v>
      </c>
      <c r="M50" s="2">
        <v>0.16420000000000001</v>
      </c>
      <c r="N50" s="2">
        <v>8</v>
      </c>
      <c r="O50" s="2">
        <v>57</v>
      </c>
      <c r="P50" s="65">
        <v>65</v>
      </c>
    </row>
    <row r="51" spans="1:16" ht="13.2" x14ac:dyDescent="0.25">
      <c r="A51" s="7">
        <v>660</v>
      </c>
      <c r="B51" s="3">
        <v>40573</v>
      </c>
      <c r="C51" s="2">
        <v>1</v>
      </c>
      <c r="D51" s="2">
        <v>0</v>
      </c>
      <c r="E51" s="2">
        <v>1</v>
      </c>
      <c r="F51" s="2">
        <v>19</v>
      </c>
      <c r="G51" s="2" t="b">
        <v>0</v>
      </c>
      <c r="H51" s="2">
        <v>0</v>
      </c>
      <c r="I51" s="2">
        <v>1</v>
      </c>
      <c r="J51" s="2">
        <v>0.26</v>
      </c>
      <c r="K51" s="2">
        <v>0.2576</v>
      </c>
      <c r="L51" s="2">
        <v>0.65</v>
      </c>
      <c r="M51" s="2">
        <v>0.19400000000000001</v>
      </c>
      <c r="N51" s="2">
        <v>9</v>
      </c>
      <c r="O51" s="2">
        <v>46</v>
      </c>
      <c r="P51" s="65">
        <v>55</v>
      </c>
    </row>
    <row r="52" spans="1:16" ht="13.2" x14ac:dyDescent="0.25">
      <c r="A52" s="7">
        <v>661</v>
      </c>
      <c r="B52" s="3">
        <v>40573</v>
      </c>
      <c r="C52" s="2">
        <v>1</v>
      </c>
      <c r="D52" s="2">
        <v>0</v>
      </c>
      <c r="E52" s="2">
        <v>1</v>
      </c>
      <c r="F52" s="2">
        <v>20</v>
      </c>
      <c r="G52" s="2" t="b">
        <v>0</v>
      </c>
      <c r="H52" s="2">
        <v>0</v>
      </c>
      <c r="I52" s="2">
        <v>2</v>
      </c>
      <c r="J52" s="2">
        <v>0.26</v>
      </c>
      <c r="K52" s="2">
        <v>0.2727</v>
      </c>
      <c r="L52" s="2">
        <v>0.65</v>
      </c>
      <c r="M52" s="2">
        <v>0.1045</v>
      </c>
      <c r="N52" s="2">
        <v>3</v>
      </c>
      <c r="O52" s="2">
        <v>30</v>
      </c>
      <c r="P52" s="65">
        <v>33</v>
      </c>
    </row>
    <row r="53" spans="1:16" ht="13.2" x14ac:dyDescent="0.25">
      <c r="A53" s="7">
        <v>662</v>
      </c>
      <c r="B53" s="3">
        <v>40573</v>
      </c>
      <c r="C53" s="2">
        <v>1</v>
      </c>
      <c r="D53" s="2">
        <v>0</v>
      </c>
      <c r="E53" s="2">
        <v>1</v>
      </c>
      <c r="F53" s="2">
        <v>21</v>
      </c>
      <c r="G53" s="2" t="b">
        <v>0</v>
      </c>
      <c r="H53" s="2">
        <v>0</v>
      </c>
      <c r="I53" s="2">
        <v>2</v>
      </c>
      <c r="J53" s="2">
        <v>0.24</v>
      </c>
      <c r="K53" s="2">
        <v>0.2424</v>
      </c>
      <c r="L53" s="2">
        <v>0.7</v>
      </c>
      <c r="M53" s="2">
        <v>0.16420000000000001</v>
      </c>
      <c r="N53" s="2">
        <v>3</v>
      </c>
      <c r="O53" s="2">
        <v>25</v>
      </c>
      <c r="P53" s="65">
        <v>28</v>
      </c>
    </row>
    <row r="54" spans="1:16" ht="13.2" x14ac:dyDescent="0.25">
      <c r="A54" s="7">
        <v>663</v>
      </c>
      <c r="B54" s="3">
        <v>40573</v>
      </c>
      <c r="C54" s="2">
        <v>1</v>
      </c>
      <c r="D54" s="2">
        <v>0</v>
      </c>
      <c r="E54" s="2">
        <v>1</v>
      </c>
      <c r="F54" s="2">
        <v>22</v>
      </c>
      <c r="G54" s="2" t="b">
        <v>0</v>
      </c>
      <c r="H54" s="2">
        <v>0</v>
      </c>
      <c r="I54" s="2">
        <v>2</v>
      </c>
      <c r="J54" s="2">
        <v>0.24</v>
      </c>
      <c r="K54" s="2">
        <v>0.2273</v>
      </c>
      <c r="L54" s="2">
        <v>0.7</v>
      </c>
      <c r="M54" s="2">
        <v>0.19400000000000001</v>
      </c>
      <c r="N54" s="2">
        <v>2</v>
      </c>
      <c r="O54" s="2">
        <v>19</v>
      </c>
      <c r="P54" s="65">
        <v>21</v>
      </c>
    </row>
    <row r="55" spans="1:16" ht="13.2" x14ac:dyDescent="0.25">
      <c r="A55" s="7">
        <v>664</v>
      </c>
      <c r="B55" s="3">
        <v>40573</v>
      </c>
      <c r="C55" s="2">
        <v>1</v>
      </c>
      <c r="D55" s="2">
        <v>0</v>
      </c>
      <c r="E55" s="2">
        <v>1</v>
      </c>
      <c r="F55" s="2">
        <v>23</v>
      </c>
      <c r="G55" s="2" t="b">
        <v>0</v>
      </c>
      <c r="H55" s="2">
        <v>0</v>
      </c>
      <c r="I55" s="2">
        <v>2</v>
      </c>
      <c r="J55" s="2">
        <v>0.24</v>
      </c>
      <c r="K55" s="2">
        <v>0.21210000000000001</v>
      </c>
      <c r="L55" s="2">
        <v>0.65</v>
      </c>
      <c r="M55" s="2">
        <v>0.28360000000000002</v>
      </c>
      <c r="N55" s="2">
        <v>5</v>
      </c>
      <c r="O55" s="2">
        <v>16</v>
      </c>
      <c r="P55" s="65">
        <v>21</v>
      </c>
    </row>
    <row r="56" spans="1:16" ht="13.2" x14ac:dyDescent="0.25">
      <c r="A56" s="7">
        <v>665</v>
      </c>
      <c r="B56" s="3">
        <v>40574</v>
      </c>
      <c r="C56" s="2">
        <v>1</v>
      </c>
      <c r="D56" s="2">
        <v>0</v>
      </c>
      <c r="E56" s="2">
        <v>1</v>
      </c>
      <c r="F56" s="2">
        <v>0</v>
      </c>
      <c r="G56" s="2" t="b">
        <v>0</v>
      </c>
      <c r="H56" s="2">
        <v>1</v>
      </c>
      <c r="I56" s="2">
        <v>2</v>
      </c>
      <c r="J56" s="2">
        <v>0.24</v>
      </c>
      <c r="K56" s="2">
        <v>0.2273</v>
      </c>
      <c r="L56" s="2">
        <v>0.65</v>
      </c>
      <c r="M56" s="2">
        <v>0.22389999999999999</v>
      </c>
      <c r="N56" s="2">
        <v>1</v>
      </c>
      <c r="O56" s="2">
        <v>6</v>
      </c>
      <c r="P56" s="65">
        <v>7</v>
      </c>
    </row>
    <row r="57" spans="1:16" ht="13.2" x14ac:dyDescent="0.25">
      <c r="A57" s="7">
        <v>666</v>
      </c>
      <c r="B57" s="3">
        <v>40574</v>
      </c>
      <c r="C57" s="2">
        <v>1</v>
      </c>
      <c r="D57" s="2">
        <v>0</v>
      </c>
      <c r="E57" s="2">
        <v>1</v>
      </c>
      <c r="F57" s="2">
        <v>1</v>
      </c>
      <c r="G57" s="2" t="b">
        <v>0</v>
      </c>
      <c r="H57" s="2">
        <v>1</v>
      </c>
      <c r="I57" s="2">
        <v>1</v>
      </c>
      <c r="J57" s="2">
        <v>0.22</v>
      </c>
      <c r="K57" s="2">
        <v>0.21210000000000001</v>
      </c>
      <c r="L57" s="2">
        <v>0.64</v>
      </c>
      <c r="M57" s="2">
        <v>0.25369999999999998</v>
      </c>
      <c r="N57" s="2">
        <v>2</v>
      </c>
      <c r="O57" s="2">
        <v>5</v>
      </c>
      <c r="P57" s="65">
        <v>7</v>
      </c>
    </row>
    <row r="58" spans="1:16" ht="13.2" x14ac:dyDescent="0.25">
      <c r="A58" s="7">
        <v>667</v>
      </c>
      <c r="B58" s="3">
        <v>40574</v>
      </c>
      <c r="C58" s="2">
        <v>1</v>
      </c>
      <c r="D58" s="2">
        <v>0</v>
      </c>
      <c r="E58" s="2">
        <v>1</v>
      </c>
      <c r="F58" s="2">
        <v>2</v>
      </c>
      <c r="G58" s="2" t="b">
        <v>0</v>
      </c>
      <c r="H58" s="2">
        <v>1</v>
      </c>
      <c r="I58" s="2">
        <v>1</v>
      </c>
      <c r="J58" s="2">
        <v>0.22</v>
      </c>
      <c r="K58" s="2">
        <v>0.2273</v>
      </c>
      <c r="L58" s="2">
        <v>0.64</v>
      </c>
      <c r="M58" s="2">
        <v>0.19400000000000001</v>
      </c>
      <c r="N58" s="2">
        <v>0</v>
      </c>
      <c r="O58" s="2">
        <v>1</v>
      </c>
      <c r="P58" s="65">
        <v>1</v>
      </c>
    </row>
    <row r="59" spans="1:16" ht="13.2" x14ac:dyDescent="0.25">
      <c r="A59" s="7">
        <v>668</v>
      </c>
      <c r="B59" s="3">
        <v>40574</v>
      </c>
      <c r="C59" s="2">
        <v>1</v>
      </c>
      <c r="D59" s="2">
        <v>0</v>
      </c>
      <c r="E59" s="2">
        <v>1</v>
      </c>
      <c r="F59" s="2">
        <v>3</v>
      </c>
      <c r="G59" s="2" t="b">
        <v>0</v>
      </c>
      <c r="H59" s="2">
        <v>1</v>
      </c>
      <c r="I59" s="2">
        <v>1</v>
      </c>
      <c r="J59" s="2">
        <v>0.22</v>
      </c>
      <c r="K59" s="2">
        <v>0.2273</v>
      </c>
      <c r="L59" s="2">
        <v>0.64</v>
      </c>
      <c r="M59" s="2">
        <v>0.19400000000000001</v>
      </c>
      <c r="N59" s="2">
        <v>0</v>
      </c>
      <c r="O59" s="2">
        <v>2</v>
      </c>
      <c r="P59" s="65">
        <v>2</v>
      </c>
    </row>
    <row r="60" spans="1:16" ht="13.2" x14ac:dyDescent="0.25">
      <c r="A60" s="7">
        <v>669</v>
      </c>
      <c r="B60" s="3">
        <v>40574</v>
      </c>
      <c r="C60" s="2">
        <v>1</v>
      </c>
      <c r="D60" s="2">
        <v>0</v>
      </c>
      <c r="E60" s="2">
        <v>1</v>
      </c>
      <c r="F60" s="2">
        <v>4</v>
      </c>
      <c r="G60" s="2" t="b">
        <v>0</v>
      </c>
      <c r="H60" s="2">
        <v>1</v>
      </c>
      <c r="I60" s="2">
        <v>1</v>
      </c>
      <c r="J60" s="2">
        <v>0.2</v>
      </c>
      <c r="K60" s="2">
        <v>0.19700000000000001</v>
      </c>
      <c r="L60" s="2">
        <v>0.59</v>
      </c>
      <c r="M60" s="2">
        <v>0.22389999999999999</v>
      </c>
      <c r="N60" s="2">
        <v>0</v>
      </c>
      <c r="O60" s="2">
        <v>2</v>
      </c>
      <c r="P60" s="65">
        <v>2</v>
      </c>
    </row>
    <row r="61" spans="1:16" ht="13.2" x14ac:dyDescent="0.25">
      <c r="A61" s="7">
        <v>670</v>
      </c>
      <c r="B61" s="3">
        <v>40574</v>
      </c>
      <c r="C61" s="2">
        <v>1</v>
      </c>
      <c r="D61" s="2">
        <v>0</v>
      </c>
      <c r="E61" s="2">
        <v>1</v>
      </c>
      <c r="F61" s="2">
        <v>5</v>
      </c>
      <c r="G61" s="2" t="b">
        <v>0</v>
      </c>
      <c r="H61" s="2">
        <v>1</v>
      </c>
      <c r="I61" s="2">
        <v>1</v>
      </c>
      <c r="J61" s="2">
        <v>0.18</v>
      </c>
      <c r="K61" s="2">
        <v>0.16669999999999999</v>
      </c>
      <c r="L61" s="2">
        <v>0.64</v>
      </c>
      <c r="M61" s="2">
        <v>0.28360000000000002</v>
      </c>
      <c r="N61" s="2">
        <v>0</v>
      </c>
      <c r="O61" s="2">
        <v>8</v>
      </c>
      <c r="P61" s="65">
        <v>8</v>
      </c>
    </row>
    <row r="62" spans="1:16" ht="13.2" x14ac:dyDescent="0.25">
      <c r="A62" s="7">
        <v>671</v>
      </c>
      <c r="B62" s="3">
        <v>40574</v>
      </c>
      <c r="C62" s="2">
        <v>1</v>
      </c>
      <c r="D62" s="2">
        <v>0</v>
      </c>
      <c r="E62" s="2">
        <v>1</v>
      </c>
      <c r="F62" s="2">
        <v>6</v>
      </c>
      <c r="G62" s="2" t="b">
        <v>0</v>
      </c>
      <c r="H62" s="2">
        <v>1</v>
      </c>
      <c r="I62" s="2">
        <v>1</v>
      </c>
      <c r="J62" s="2">
        <v>0.16</v>
      </c>
      <c r="K62" s="2">
        <v>0.13639999999999999</v>
      </c>
      <c r="L62" s="2">
        <v>0.69</v>
      </c>
      <c r="M62" s="2">
        <v>0.32840000000000003</v>
      </c>
      <c r="N62" s="2">
        <v>0</v>
      </c>
      <c r="O62" s="2">
        <v>37</v>
      </c>
      <c r="P62" s="65">
        <v>37</v>
      </c>
    </row>
    <row r="63" spans="1:16" ht="13.2" x14ac:dyDescent="0.25">
      <c r="A63" s="7">
        <v>672</v>
      </c>
      <c r="B63" s="3">
        <v>40574</v>
      </c>
      <c r="C63" s="2">
        <v>1</v>
      </c>
      <c r="D63" s="2">
        <v>0</v>
      </c>
      <c r="E63" s="2">
        <v>1</v>
      </c>
      <c r="F63" s="2">
        <v>7</v>
      </c>
      <c r="G63" s="2" t="b">
        <v>0</v>
      </c>
      <c r="H63" s="2">
        <v>1</v>
      </c>
      <c r="I63" s="2">
        <v>2</v>
      </c>
      <c r="J63" s="2">
        <v>0.16</v>
      </c>
      <c r="K63" s="2">
        <v>0.13639999999999999</v>
      </c>
      <c r="L63" s="2">
        <v>0.64</v>
      </c>
      <c r="M63" s="2">
        <v>0.28360000000000002</v>
      </c>
      <c r="N63" s="2">
        <v>1</v>
      </c>
      <c r="O63" s="2">
        <v>71</v>
      </c>
      <c r="P63" s="65">
        <v>72</v>
      </c>
    </row>
    <row r="64" spans="1:16" ht="13.2" x14ac:dyDescent="0.25">
      <c r="A64" s="7">
        <v>673</v>
      </c>
      <c r="B64" s="3">
        <v>40574</v>
      </c>
      <c r="C64" s="2">
        <v>1</v>
      </c>
      <c r="D64" s="2">
        <v>0</v>
      </c>
      <c r="E64" s="2">
        <v>1</v>
      </c>
      <c r="F64" s="2">
        <v>8</v>
      </c>
      <c r="G64" s="2" t="b">
        <v>0</v>
      </c>
      <c r="H64" s="2">
        <v>1</v>
      </c>
      <c r="I64" s="2">
        <v>2</v>
      </c>
      <c r="J64" s="2">
        <v>0.16</v>
      </c>
      <c r="K64" s="2">
        <v>0.13639999999999999</v>
      </c>
      <c r="L64" s="2">
        <v>0.59</v>
      </c>
      <c r="M64" s="2">
        <v>0.28360000000000002</v>
      </c>
      <c r="N64" s="2">
        <v>3</v>
      </c>
      <c r="O64" s="2">
        <v>182</v>
      </c>
      <c r="P64" s="65">
        <v>185</v>
      </c>
    </row>
    <row r="65" spans="1:16" ht="13.2" x14ac:dyDescent="0.25">
      <c r="A65" s="7">
        <v>674</v>
      </c>
      <c r="B65" s="3">
        <v>40574</v>
      </c>
      <c r="C65" s="2">
        <v>1</v>
      </c>
      <c r="D65" s="2">
        <v>0</v>
      </c>
      <c r="E65" s="2">
        <v>1</v>
      </c>
      <c r="F65" s="2">
        <v>9</v>
      </c>
      <c r="G65" s="2" t="b">
        <v>0</v>
      </c>
      <c r="H65" s="2">
        <v>1</v>
      </c>
      <c r="I65" s="2">
        <v>2</v>
      </c>
      <c r="J65" s="2">
        <v>0.16</v>
      </c>
      <c r="K65" s="2">
        <v>0.13639999999999999</v>
      </c>
      <c r="L65" s="2">
        <v>0.59</v>
      </c>
      <c r="M65" s="2">
        <v>0.29849999999999999</v>
      </c>
      <c r="N65" s="2">
        <v>0</v>
      </c>
      <c r="O65" s="2">
        <v>112</v>
      </c>
      <c r="P65" s="65">
        <v>112</v>
      </c>
    </row>
    <row r="66" spans="1:16" ht="13.2" x14ac:dyDescent="0.25">
      <c r="A66" s="7">
        <v>675</v>
      </c>
      <c r="B66" s="3">
        <v>40574</v>
      </c>
      <c r="C66" s="2">
        <v>1</v>
      </c>
      <c r="D66" s="2">
        <v>0</v>
      </c>
      <c r="E66" s="2">
        <v>1</v>
      </c>
      <c r="F66" s="2">
        <v>10</v>
      </c>
      <c r="G66" s="2" t="b">
        <v>0</v>
      </c>
      <c r="H66" s="2">
        <v>1</v>
      </c>
      <c r="I66" s="2">
        <v>2</v>
      </c>
      <c r="J66" s="2">
        <v>0.16</v>
      </c>
      <c r="K66" s="2">
        <v>0.1515</v>
      </c>
      <c r="L66" s="2">
        <v>0.59</v>
      </c>
      <c r="M66" s="2">
        <v>0.19400000000000001</v>
      </c>
      <c r="N66" s="2">
        <v>1</v>
      </c>
      <c r="O66" s="2">
        <v>68</v>
      </c>
      <c r="P66" s="65">
        <v>69</v>
      </c>
    </row>
    <row r="67" spans="1:16" ht="13.2" x14ac:dyDescent="0.25">
      <c r="A67" s="7">
        <v>676</v>
      </c>
      <c r="B67" s="3">
        <v>40574</v>
      </c>
      <c r="C67" s="2">
        <v>1</v>
      </c>
      <c r="D67" s="2">
        <v>0</v>
      </c>
      <c r="E67" s="2">
        <v>1</v>
      </c>
      <c r="F67" s="2">
        <v>11</v>
      </c>
      <c r="G67" s="2" t="b">
        <v>0</v>
      </c>
      <c r="H67" s="2">
        <v>1</v>
      </c>
      <c r="I67" s="2">
        <v>2</v>
      </c>
      <c r="J67" s="2">
        <v>0.16</v>
      </c>
      <c r="K67" s="2">
        <v>0.1515</v>
      </c>
      <c r="L67" s="2">
        <v>0.59</v>
      </c>
      <c r="M67" s="2">
        <v>0.19400000000000001</v>
      </c>
      <c r="N67" s="2">
        <v>2</v>
      </c>
      <c r="O67" s="2">
        <v>46</v>
      </c>
      <c r="P67" s="65">
        <v>48</v>
      </c>
    </row>
    <row r="68" spans="1:16" ht="13.2" x14ac:dyDescent="0.25">
      <c r="A68" s="7">
        <v>677</v>
      </c>
      <c r="B68" s="3">
        <v>40574</v>
      </c>
      <c r="C68" s="2">
        <v>1</v>
      </c>
      <c r="D68" s="2">
        <v>0</v>
      </c>
      <c r="E68" s="2">
        <v>1</v>
      </c>
      <c r="F68" s="2">
        <v>12</v>
      </c>
      <c r="G68" s="2" t="b">
        <v>0</v>
      </c>
      <c r="H68" s="2">
        <v>1</v>
      </c>
      <c r="I68" s="2">
        <v>2</v>
      </c>
      <c r="J68" s="2">
        <v>0.18</v>
      </c>
      <c r="K68" s="2">
        <v>0.21210000000000001</v>
      </c>
      <c r="L68" s="2">
        <v>0.55000000000000004</v>
      </c>
      <c r="M68" s="2">
        <v>0.1045</v>
      </c>
      <c r="N68" s="2">
        <v>6</v>
      </c>
      <c r="O68" s="2">
        <v>62</v>
      </c>
      <c r="P68" s="65">
        <v>68</v>
      </c>
    </row>
    <row r="69" spans="1:16" ht="13.2" x14ac:dyDescent="0.25">
      <c r="A69" s="7">
        <v>678</v>
      </c>
      <c r="B69" s="3">
        <v>40574</v>
      </c>
      <c r="C69" s="2">
        <v>1</v>
      </c>
      <c r="D69" s="2">
        <v>0</v>
      </c>
      <c r="E69" s="2">
        <v>1</v>
      </c>
      <c r="F69" s="2">
        <v>13</v>
      </c>
      <c r="G69" s="2" t="b">
        <v>0</v>
      </c>
      <c r="H69" s="2">
        <v>1</v>
      </c>
      <c r="I69" s="2">
        <v>2</v>
      </c>
      <c r="J69" s="2">
        <v>0.16</v>
      </c>
      <c r="K69" s="2">
        <v>0.2273</v>
      </c>
      <c r="L69" s="2">
        <v>0.59</v>
      </c>
      <c r="M69" s="2">
        <v>0</v>
      </c>
      <c r="N69" s="2">
        <v>2</v>
      </c>
      <c r="O69" s="2">
        <v>52</v>
      </c>
      <c r="P69" s="65">
        <v>54</v>
      </c>
    </row>
    <row r="70" spans="1:16" ht="13.2" x14ac:dyDescent="0.25">
      <c r="A70" s="7">
        <v>679</v>
      </c>
      <c r="B70" s="3">
        <v>40574</v>
      </c>
      <c r="C70" s="2">
        <v>1</v>
      </c>
      <c r="D70" s="2">
        <v>0</v>
      </c>
      <c r="E70" s="2">
        <v>1</v>
      </c>
      <c r="F70" s="2">
        <v>14</v>
      </c>
      <c r="G70" s="2" t="b">
        <v>0</v>
      </c>
      <c r="H70" s="2">
        <v>1</v>
      </c>
      <c r="I70" s="2">
        <v>2</v>
      </c>
      <c r="J70" s="2">
        <v>0.18</v>
      </c>
      <c r="K70" s="2">
        <v>0.19700000000000001</v>
      </c>
      <c r="L70" s="2">
        <v>0.55000000000000004</v>
      </c>
      <c r="M70" s="2">
        <v>0.1343</v>
      </c>
      <c r="N70" s="2">
        <v>1</v>
      </c>
      <c r="O70" s="2">
        <v>85</v>
      </c>
      <c r="P70" s="65">
        <v>86</v>
      </c>
    </row>
    <row r="71" spans="1:16" ht="13.2" x14ac:dyDescent="0.25">
      <c r="A71" s="7">
        <v>680</v>
      </c>
      <c r="B71" s="3">
        <v>40574</v>
      </c>
      <c r="C71" s="2">
        <v>1</v>
      </c>
      <c r="D71" s="2">
        <v>0</v>
      </c>
      <c r="E71" s="2">
        <v>1</v>
      </c>
      <c r="F71" s="2">
        <v>15</v>
      </c>
      <c r="G71" s="2" t="b">
        <v>0</v>
      </c>
      <c r="H71" s="2">
        <v>1</v>
      </c>
      <c r="I71" s="2">
        <v>2</v>
      </c>
      <c r="J71" s="2">
        <v>0.16</v>
      </c>
      <c r="K71" s="2">
        <v>0.18179999999999999</v>
      </c>
      <c r="L71" s="2">
        <v>0.59</v>
      </c>
      <c r="M71" s="2">
        <v>0.1343</v>
      </c>
      <c r="N71" s="2">
        <v>3</v>
      </c>
      <c r="O71" s="2">
        <v>41</v>
      </c>
      <c r="P71" s="65">
        <v>44</v>
      </c>
    </row>
    <row r="72" spans="1:16" ht="13.2" x14ac:dyDescent="0.25">
      <c r="A72" s="7">
        <v>681</v>
      </c>
      <c r="B72" s="3">
        <v>40574</v>
      </c>
      <c r="C72" s="2">
        <v>1</v>
      </c>
      <c r="D72" s="2">
        <v>0</v>
      </c>
      <c r="E72" s="2">
        <v>1</v>
      </c>
      <c r="F72" s="2">
        <v>16</v>
      </c>
      <c r="G72" s="2" t="b">
        <v>0</v>
      </c>
      <c r="H72" s="2">
        <v>1</v>
      </c>
      <c r="I72" s="2">
        <v>2</v>
      </c>
      <c r="J72" s="2">
        <v>0.16</v>
      </c>
      <c r="K72" s="2">
        <v>0.18179999999999999</v>
      </c>
      <c r="L72" s="2">
        <v>0.56000000000000005</v>
      </c>
      <c r="M72" s="2">
        <v>0.19400000000000001</v>
      </c>
      <c r="N72" s="2">
        <v>3</v>
      </c>
      <c r="O72" s="2">
        <v>83</v>
      </c>
      <c r="P72" s="65">
        <v>86</v>
      </c>
    </row>
    <row r="73" spans="1:16" ht="13.2" x14ac:dyDescent="0.25">
      <c r="A73" s="7">
        <v>682</v>
      </c>
      <c r="B73" s="3">
        <v>40574</v>
      </c>
      <c r="C73" s="2">
        <v>1</v>
      </c>
      <c r="D73" s="2">
        <v>0</v>
      </c>
      <c r="E73" s="2">
        <v>1</v>
      </c>
      <c r="F73" s="2">
        <v>17</v>
      </c>
      <c r="G73" s="2" t="b">
        <v>0</v>
      </c>
      <c r="H73" s="2">
        <v>1</v>
      </c>
      <c r="I73" s="2">
        <v>2</v>
      </c>
      <c r="J73" s="2">
        <v>0.16</v>
      </c>
      <c r="K73" s="2">
        <v>0.1515</v>
      </c>
      <c r="L73" s="2">
        <v>0.59</v>
      </c>
      <c r="M73" s="2">
        <v>0.19400000000000001</v>
      </c>
      <c r="N73" s="2">
        <v>6</v>
      </c>
      <c r="O73" s="2">
        <v>155</v>
      </c>
      <c r="P73" s="65">
        <v>161</v>
      </c>
    </row>
    <row r="74" spans="1:16" ht="13.2" x14ac:dyDescent="0.25">
      <c r="A74" s="7">
        <v>683</v>
      </c>
      <c r="B74" s="3">
        <v>40574</v>
      </c>
      <c r="C74" s="2">
        <v>1</v>
      </c>
      <c r="D74" s="2">
        <v>0</v>
      </c>
      <c r="E74" s="2">
        <v>1</v>
      </c>
      <c r="F74" s="2">
        <v>18</v>
      </c>
      <c r="G74" s="2" t="b">
        <v>0</v>
      </c>
      <c r="H74" s="2">
        <v>1</v>
      </c>
      <c r="I74" s="2">
        <v>2</v>
      </c>
      <c r="J74" s="2">
        <v>0.16</v>
      </c>
      <c r="K74" s="2">
        <v>0.1515</v>
      </c>
      <c r="L74" s="2">
        <v>0.55000000000000004</v>
      </c>
      <c r="M74" s="2">
        <v>0.22389999999999999</v>
      </c>
      <c r="N74" s="2">
        <v>3</v>
      </c>
      <c r="O74" s="2">
        <v>153</v>
      </c>
      <c r="P74" s="65">
        <v>156</v>
      </c>
    </row>
    <row r="75" spans="1:16" ht="13.2" x14ac:dyDescent="0.25">
      <c r="A75" s="7">
        <v>684</v>
      </c>
      <c r="B75" s="3">
        <v>40574</v>
      </c>
      <c r="C75" s="2">
        <v>1</v>
      </c>
      <c r="D75" s="2">
        <v>0</v>
      </c>
      <c r="E75" s="2">
        <v>1</v>
      </c>
      <c r="F75" s="2">
        <v>19</v>
      </c>
      <c r="G75" s="2" t="b">
        <v>0</v>
      </c>
      <c r="H75" s="2">
        <v>1</v>
      </c>
      <c r="I75" s="2">
        <v>1</v>
      </c>
      <c r="J75" s="2">
        <v>0.3</v>
      </c>
      <c r="K75" s="2">
        <v>0.31819999999999998</v>
      </c>
      <c r="L75" s="2">
        <v>0.61</v>
      </c>
      <c r="M75" s="2">
        <v>0.1045</v>
      </c>
      <c r="N75" s="2">
        <v>3</v>
      </c>
      <c r="O75" s="2">
        <v>108</v>
      </c>
      <c r="P75" s="65">
        <v>111</v>
      </c>
    </row>
    <row r="76" spans="1:16" ht="13.2" x14ac:dyDescent="0.25">
      <c r="A76" s="7">
        <v>685</v>
      </c>
      <c r="B76" s="3">
        <v>40574</v>
      </c>
      <c r="C76" s="2">
        <v>1</v>
      </c>
      <c r="D76" s="2">
        <v>0</v>
      </c>
      <c r="E76" s="2">
        <v>1</v>
      </c>
      <c r="F76" s="2">
        <v>20</v>
      </c>
      <c r="G76" s="2" t="b">
        <v>0</v>
      </c>
      <c r="H76" s="2">
        <v>1</v>
      </c>
      <c r="I76" s="2">
        <v>3</v>
      </c>
      <c r="J76" s="2">
        <v>0.16</v>
      </c>
      <c r="K76" s="2">
        <v>0.16669999999999999</v>
      </c>
      <c r="L76" s="2">
        <v>0.59</v>
      </c>
      <c r="M76" s="2">
        <v>0.16420000000000001</v>
      </c>
      <c r="N76" s="2">
        <v>0</v>
      </c>
      <c r="O76" s="2">
        <v>78</v>
      </c>
      <c r="P76" s="65">
        <v>78</v>
      </c>
    </row>
    <row r="77" spans="1:16" ht="13.2" x14ac:dyDescent="0.25">
      <c r="A77" s="7">
        <v>686</v>
      </c>
      <c r="B77" s="3">
        <v>40574</v>
      </c>
      <c r="C77" s="2">
        <v>1</v>
      </c>
      <c r="D77" s="2">
        <v>0</v>
      </c>
      <c r="E77" s="2">
        <v>1</v>
      </c>
      <c r="F77" s="2">
        <v>21</v>
      </c>
      <c r="G77" s="2" t="b">
        <v>0</v>
      </c>
      <c r="H77" s="2">
        <v>1</v>
      </c>
      <c r="I77" s="2">
        <v>3</v>
      </c>
      <c r="J77" s="2">
        <v>0.16</v>
      </c>
      <c r="K77" s="2">
        <v>0.19700000000000001</v>
      </c>
      <c r="L77" s="2">
        <v>0.59</v>
      </c>
      <c r="M77" s="2">
        <v>8.9599999999999999E-2</v>
      </c>
      <c r="N77" s="2">
        <v>3</v>
      </c>
      <c r="O77" s="2">
        <v>53</v>
      </c>
      <c r="P77" s="65">
        <v>56</v>
      </c>
    </row>
    <row r="78" spans="1:16" ht="13.2" x14ac:dyDescent="0.25">
      <c r="A78" s="7">
        <v>687</v>
      </c>
      <c r="B78" s="3">
        <v>40574</v>
      </c>
      <c r="C78" s="2">
        <v>1</v>
      </c>
      <c r="D78" s="2">
        <v>0</v>
      </c>
      <c r="E78" s="2">
        <v>1</v>
      </c>
      <c r="F78" s="2">
        <v>22</v>
      </c>
      <c r="G78" s="2" t="b">
        <v>0</v>
      </c>
      <c r="H78" s="2">
        <v>1</v>
      </c>
      <c r="I78" s="2">
        <v>2</v>
      </c>
      <c r="J78" s="2">
        <v>0.16</v>
      </c>
      <c r="K78" s="2">
        <v>0.18179999999999999</v>
      </c>
      <c r="L78" s="2">
        <v>0.59</v>
      </c>
      <c r="M78" s="2">
        <v>0.1045</v>
      </c>
      <c r="N78" s="2">
        <v>0</v>
      </c>
      <c r="O78" s="2">
        <v>34</v>
      </c>
      <c r="P78" s="65">
        <v>34</v>
      </c>
    </row>
    <row r="79" spans="1:16" ht="13.2" x14ac:dyDescent="0.25">
      <c r="A79" s="7">
        <v>688</v>
      </c>
      <c r="B79" s="3">
        <v>40574</v>
      </c>
      <c r="C79" s="2">
        <v>1</v>
      </c>
      <c r="D79" s="2">
        <v>0</v>
      </c>
      <c r="E79" s="2">
        <v>1</v>
      </c>
      <c r="F79" s="2">
        <v>23</v>
      </c>
      <c r="G79" s="2" t="b">
        <v>0</v>
      </c>
      <c r="H79" s="2">
        <v>1</v>
      </c>
      <c r="I79" s="2">
        <v>2</v>
      </c>
      <c r="J79" s="2">
        <v>0.16</v>
      </c>
      <c r="K79" s="2">
        <v>0.19700000000000001</v>
      </c>
      <c r="L79" s="2">
        <v>0.64</v>
      </c>
      <c r="M79" s="2">
        <v>8.9599999999999999E-2</v>
      </c>
      <c r="N79" s="2">
        <v>2</v>
      </c>
      <c r="O79" s="2">
        <v>15</v>
      </c>
      <c r="P79" s="65">
        <v>17</v>
      </c>
    </row>
    <row r="80" spans="1:16" ht="13.2" x14ac:dyDescent="0.25">
      <c r="A80" s="7">
        <v>689</v>
      </c>
      <c r="B80" s="3">
        <v>40575</v>
      </c>
      <c r="C80" s="2">
        <v>1</v>
      </c>
      <c r="D80" s="2">
        <v>0</v>
      </c>
      <c r="E80" s="2">
        <v>2</v>
      </c>
      <c r="F80" s="2">
        <v>0</v>
      </c>
      <c r="G80" s="2" t="b">
        <v>0</v>
      </c>
      <c r="H80" s="2">
        <v>2</v>
      </c>
      <c r="I80" s="2">
        <v>2</v>
      </c>
      <c r="J80" s="2">
        <v>0.16</v>
      </c>
      <c r="K80" s="2">
        <v>0.18179999999999999</v>
      </c>
      <c r="L80" s="2">
        <v>0.64</v>
      </c>
      <c r="M80" s="2">
        <v>0.1045</v>
      </c>
      <c r="N80" s="2">
        <v>2</v>
      </c>
      <c r="O80" s="2">
        <v>6</v>
      </c>
      <c r="P80" s="65">
        <v>8</v>
      </c>
    </row>
    <row r="81" spans="1:16" ht="13.2" x14ac:dyDescent="0.25">
      <c r="A81" s="7">
        <v>690</v>
      </c>
      <c r="B81" s="3">
        <v>40575</v>
      </c>
      <c r="C81" s="2">
        <v>1</v>
      </c>
      <c r="D81" s="2">
        <v>0</v>
      </c>
      <c r="E81" s="2">
        <v>2</v>
      </c>
      <c r="F81" s="2">
        <v>1</v>
      </c>
      <c r="G81" s="2" t="b">
        <v>0</v>
      </c>
      <c r="H81" s="2">
        <v>2</v>
      </c>
      <c r="I81" s="2">
        <v>2</v>
      </c>
      <c r="J81" s="2">
        <v>0.16</v>
      </c>
      <c r="K81" s="2">
        <v>0.18179999999999999</v>
      </c>
      <c r="L81" s="2">
        <v>0.69</v>
      </c>
      <c r="M81" s="2">
        <v>0.1045</v>
      </c>
      <c r="N81" s="2">
        <v>0</v>
      </c>
      <c r="O81" s="2">
        <v>3</v>
      </c>
      <c r="P81" s="65">
        <v>3</v>
      </c>
    </row>
    <row r="82" spans="1:16" ht="13.2" x14ac:dyDescent="0.25">
      <c r="A82" s="7">
        <v>691</v>
      </c>
      <c r="B82" s="3">
        <v>40575</v>
      </c>
      <c r="C82" s="2">
        <v>1</v>
      </c>
      <c r="D82" s="2">
        <v>0</v>
      </c>
      <c r="E82" s="2">
        <v>2</v>
      </c>
      <c r="F82" s="2">
        <v>2</v>
      </c>
      <c r="G82" s="2" t="b">
        <v>0</v>
      </c>
      <c r="H82" s="2">
        <v>2</v>
      </c>
      <c r="I82" s="2">
        <v>2</v>
      </c>
      <c r="J82" s="2">
        <v>0.16</v>
      </c>
      <c r="K82" s="2">
        <v>0.2273</v>
      </c>
      <c r="L82" s="2">
        <v>0.69</v>
      </c>
      <c r="M82" s="2">
        <v>0</v>
      </c>
      <c r="N82" s="2">
        <v>0</v>
      </c>
      <c r="O82" s="2">
        <v>2</v>
      </c>
      <c r="P82" s="65">
        <v>2</v>
      </c>
    </row>
    <row r="83" spans="1:16" ht="13.2" x14ac:dyDescent="0.25">
      <c r="A83" s="7">
        <v>692</v>
      </c>
      <c r="B83" s="3">
        <v>40575</v>
      </c>
      <c r="C83" s="2">
        <v>1</v>
      </c>
      <c r="D83" s="2">
        <v>0</v>
      </c>
      <c r="E83" s="2">
        <v>2</v>
      </c>
      <c r="F83" s="2">
        <v>3</v>
      </c>
      <c r="G83" s="2" t="b">
        <v>0</v>
      </c>
      <c r="H83" s="2">
        <v>2</v>
      </c>
      <c r="I83" s="2">
        <v>2</v>
      </c>
      <c r="J83" s="2">
        <v>0.16</v>
      </c>
      <c r="K83" s="2">
        <v>0.2273</v>
      </c>
      <c r="L83" s="2">
        <v>0.69</v>
      </c>
      <c r="M83" s="2">
        <v>0</v>
      </c>
      <c r="N83" s="2">
        <v>0</v>
      </c>
      <c r="O83" s="2">
        <v>2</v>
      </c>
      <c r="P83" s="65">
        <v>2</v>
      </c>
    </row>
    <row r="84" spans="1:16" ht="13.2" x14ac:dyDescent="0.25">
      <c r="A84" s="7">
        <v>693</v>
      </c>
      <c r="B84" s="3">
        <v>40575</v>
      </c>
      <c r="C84" s="2">
        <v>1</v>
      </c>
      <c r="D84" s="2">
        <v>0</v>
      </c>
      <c r="E84" s="2">
        <v>2</v>
      </c>
      <c r="F84" s="2">
        <v>5</v>
      </c>
      <c r="G84" s="2" t="b">
        <v>0</v>
      </c>
      <c r="H84" s="2">
        <v>2</v>
      </c>
      <c r="I84" s="2">
        <v>3</v>
      </c>
      <c r="J84" s="2">
        <v>0.14000000000000001</v>
      </c>
      <c r="K84" s="2">
        <v>0.21210000000000001</v>
      </c>
      <c r="L84" s="2">
        <v>0.93</v>
      </c>
      <c r="M84" s="2">
        <v>0</v>
      </c>
      <c r="N84" s="2">
        <v>0</v>
      </c>
      <c r="O84" s="2">
        <v>3</v>
      </c>
      <c r="P84" s="65">
        <v>3</v>
      </c>
    </row>
    <row r="85" spans="1:16" ht="13.2" x14ac:dyDescent="0.25">
      <c r="A85" s="7">
        <v>694</v>
      </c>
      <c r="B85" s="3">
        <v>40575</v>
      </c>
      <c r="C85" s="2">
        <v>1</v>
      </c>
      <c r="D85" s="2">
        <v>0</v>
      </c>
      <c r="E85" s="2">
        <v>2</v>
      </c>
      <c r="F85" s="2">
        <v>6</v>
      </c>
      <c r="G85" s="2" t="b">
        <v>0</v>
      </c>
      <c r="H85" s="2">
        <v>2</v>
      </c>
      <c r="I85" s="2">
        <v>3</v>
      </c>
      <c r="J85" s="2">
        <v>0.14000000000000001</v>
      </c>
      <c r="K85" s="2">
        <v>0.21210000000000001</v>
      </c>
      <c r="L85" s="2">
        <v>0.93</v>
      </c>
      <c r="M85" s="2">
        <v>0</v>
      </c>
      <c r="N85" s="2">
        <v>0</v>
      </c>
      <c r="O85" s="2">
        <v>22</v>
      </c>
      <c r="P85" s="65">
        <v>22</v>
      </c>
    </row>
    <row r="86" spans="1:16" ht="13.2" x14ac:dyDescent="0.25">
      <c r="A86" s="7">
        <v>695</v>
      </c>
      <c r="B86" s="3">
        <v>40575</v>
      </c>
      <c r="C86" s="2">
        <v>1</v>
      </c>
      <c r="D86" s="2">
        <v>0</v>
      </c>
      <c r="E86" s="2">
        <v>2</v>
      </c>
      <c r="F86" s="2">
        <v>7</v>
      </c>
      <c r="G86" s="2" t="b">
        <v>0</v>
      </c>
      <c r="H86" s="2">
        <v>2</v>
      </c>
      <c r="I86" s="2">
        <v>3</v>
      </c>
      <c r="J86" s="2">
        <v>0.16</v>
      </c>
      <c r="K86" s="2">
        <v>0.2273</v>
      </c>
      <c r="L86" s="2">
        <v>0.93</v>
      </c>
      <c r="M86" s="2">
        <v>0</v>
      </c>
      <c r="N86" s="2">
        <v>0</v>
      </c>
      <c r="O86" s="2">
        <v>52</v>
      </c>
      <c r="P86" s="65">
        <v>52</v>
      </c>
    </row>
    <row r="87" spans="1:16" ht="13.2" x14ac:dyDescent="0.25">
      <c r="A87" s="7">
        <v>696</v>
      </c>
      <c r="B87" s="3">
        <v>40575</v>
      </c>
      <c r="C87" s="2">
        <v>1</v>
      </c>
      <c r="D87" s="2">
        <v>0</v>
      </c>
      <c r="E87" s="2">
        <v>2</v>
      </c>
      <c r="F87" s="2">
        <v>8</v>
      </c>
      <c r="G87" s="2" t="b">
        <v>0</v>
      </c>
      <c r="H87" s="2">
        <v>2</v>
      </c>
      <c r="I87" s="2">
        <v>3</v>
      </c>
      <c r="J87" s="2">
        <v>0.16</v>
      </c>
      <c r="K87" s="2">
        <v>0.2273</v>
      </c>
      <c r="L87" s="2">
        <v>0.93</v>
      </c>
      <c r="M87" s="2">
        <v>0</v>
      </c>
      <c r="N87" s="2">
        <v>3</v>
      </c>
      <c r="O87" s="2">
        <v>132</v>
      </c>
      <c r="P87" s="65">
        <v>135</v>
      </c>
    </row>
    <row r="88" spans="1:16" ht="13.2" x14ac:dyDescent="0.25">
      <c r="A88" s="7">
        <v>697</v>
      </c>
      <c r="B88" s="3">
        <v>40575</v>
      </c>
      <c r="C88" s="2">
        <v>1</v>
      </c>
      <c r="D88" s="2">
        <v>0</v>
      </c>
      <c r="E88" s="2">
        <v>2</v>
      </c>
      <c r="F88" s="2">
        <v>9</v>
      </c>
      <c r="G88" s="2" t="b">
        <v>0</v>
      </c>
      <c r="H88" s="2">
        <v>2</v>
      </c>
      <c r="I88" s="2">
        <v>2</v>
      </c>
      <c r="J88" s="2">
        <v>0.16</v>
      </c>
      <c r="K88" s="2">
        <v>0.2273</v>
      </c>
      <c r="L88" s="2">
        <v>0.93</v>
      </c>
      <c r="M88" s="2">
        <v>0</v>
      </c>
      <c r="N88" s="2">
        <v>2</v>
      </c>
      <c r="O88" s="2">
        <v>114</v>
      </c>
      <c r="P88" s="65">
        <v>116</v>
      </c>
    </row>
    <row r="89" spans="1:16" ht="13.2" x14ac:dyDescent="0.25">
      <c r="A89" s="7">
        <v>698</v>
      </c>
      <c r="B89" s="3">
        <v>40575</v>
      </c>
      <c r="C89" s="2">
        <v>1</v>
      </c>
      <c r="D89" s="2">
        <v>0</v>
      </c>
      <c r="E89" s="2">
        <v>2</v>
      </c>
      <c r="F89" s="2">
        <v>10</v>
      </c>
      <c r="G89" s="2" t="b">
        <v>0</v>
      </c>
      <c r="H89" s="2">
        <v>2</v>
      </c>
      <c r="I89" s="2">
        <v>2</v>
      </c>
      <c r="J89" s="2">
        <v>0.16</v>
      </c>
      <c r="K89" s="2">
        <v>0.2273</v>
      </c>
      <c r="L89" s="2">
        <v>0.93</v>
      </c>
      <c r="M89" s="2">
        <v>0</v>
      </c>
      <c r="N89" s="2">
        <v>0</v>
      </c>
      <c r="O89" s="2">
        <v>47</v>
      </c>
      <c r="P89" s="65">
        <v>47</v>
      </c>
    </row>
    <row r="90" spans="1:16" ht="13.2" x14ac:dyDescent="0.25">
      <c r="A90" s="7">
        <v>699</v>
      </c>
      <c r="B90" s="3">
        <v>40575</v>
      </c>
      <c r="C90" s="2">
        <v>1</v>
      </c>
      <c r="D90" s="2">
        <v>0</v>
      </c>
      <c r="E90" s="2">
        <v>2</v>
      </c>
      <c r="F90" s="2">
        <v>11</v>
      </c>
      <c r="G90" s="2" t="b">
        <v>0</v>
      </c>
      <c r="H90" s="2">
        <v>2</v>
      </c>
      <c r="I90" s="2">
        <v>2</v>
      </c>
      <c r="J90" s="2">
        <v>0.18</v>
      </c>
      <c r="K90" s="2">
        <v>0.2424</v>
      </c>
      <c r="L90" s="2">
        <v>0.86</v>
      </c>
      <c r="M90" s="2">
        <v>0</v>
      </c>
      <c r="N90" s="2">
        <v>2</v>
      </c>
      <c r="O90" s="2">
        <v>49</v>
      </c>
      <c r="P90" s="65">
        <v>51</v>
      </c>
    </row>
    <row r="91" spans="1:16" ht="13.2" x14ac:dyDescent="0.25">
      <c r="A91" s="7">
        <v>700</v>
      </c>
      <c r="B91" s="3">
        <v>40575</v>
      </c>
      <c r="C91" s="2">
        <v>1</v>
      </c>
      <c r="D91" s="2">
        <v>0</v>
      </c>
      <c r="E91" s="2">
        <v>2</v>
      </c>
      <c r="F91" s="2">
        <v>12</v>
      </c>
      <c r="G91" s="2" t="b">
        <v>0</v>
      </c>
      <c r="H91" s="2">
        <v>2</v>
      </c>
      <c r="I91" s="2">
        <v>2</v>
      </c>
      <c r="J91" s="2">
        <v>0.2</v>
      </c>
      <c r="K91" s="2">
        <v>0.2576</v>
      </c>
      <c r="L91" s="2">
        <v>0.86</v>
      </c>
      <c r="M91" s="2">
        <v>0</v>
      </c>
      <c r="N91" s="2">
        <v>2</v>
      </c>
      <c r="O91" s="2">
        <v>53</v>
      </c>
      <c r="P91" s="65">
        <v>55</v>
      </c>
    </row>
    <row r="92" spans="1:16" ht="13.2" x14ac:dyDescent="0.25">
      <c r="A92" s="7">
        <v>701</v>
      </c>
      <c r="B92" s="3">
        <v>40575</v>
      </c>
      <c r="C92" s="2">
        <v>1</v>
      </c>
      <c r="D92" s="2">
        <v>0</v>
      </c>
      <c r="E92" s="2">
        <v>2</v>
      </c>
      <c r="F92" s="2">
        <v>13</v>
      </c>
      <c r="G92" s="2" t="b">
        <v>0</v>
      </c>
      <c r="H92" s="2">
        <v>2</v>
      </c>
      <c r="I92" s="2">
        <v>2</v>
      </c>
      <c r="J92" s="2">
        <v>0.2</v>
      </c>
      <c r="K92" s="2">
        <v>0.2576</v>
      </c>
      <c r="L92" s="2">
        <v>0.86</v>
      </c>
      <c r="M92" s="2">
        <v>0</v>
      </c>
      <c r="N92" s="2">
        <v>3</v>
      </c>
      <c r="O92" s="2">
        <v>49</v>
      </c>
      <c r="P92" s="65">
        <v>52</v>
      </c>
    </row>
    <row r="93" spans="1:16" ht="13.2" x14ac:dyDescent="0.25">
      <c r="A93" s="7">
        <v>702</v>
      </c>
      <c r="B93" s="3">
        <v>40575</v>
      </c>
      <c r="C93" s="2">
        <v>1</v>
      </c>
      <c r="D93" s="2">
        <v>0</v>
      </c>
      <c r="E93" s="2">
        <v>2</v>
      </c>
      <c r="F93" s="2">
        <v>14</v>
      </c>
      <c r="G93" s="2" t="b">
        <v>0</v>
      </c>
      <c r="H93" s="2">
        <v>2</v>
      </c>
      <c r="I93" s="2">
        <v>2</v>
      </c>
      <c r="J93" s="2">
        <v>0.22</v>
      </c>
      <c r="K93" s="2">
        <v>0.2576</v>
      </c>
      <c r="L93" s="2">
        <v>0.8</v>
      </c>
      <c r="M93" s="2">
        <v>8.9599999999999999E-2</v>
      </c>
      <c r="N93" s="2">
        <v>5</v>
      </c>
      <c r="O93" s="2">
        <v>49</v>
      </c>
      <c r="P93" s="65">
        <v>54</v>
      </c>
    </row>
    <row r="94" spans="1:16" ht="13.2" x14ac:dyDescent="0.25">
      <c r="A94" s="7">
        <v>703</v>
      </c>
      <c r="B94" s="3">
        <v>40575</v>
      </c>
      <c r="C94" s="2">
        <v>1</v>
      </c>
      <c r="D94" s="2">
        <v>0</v>
      </c>
      <c r="E94" s="2">
        <v>2</v>
      </c>
      <c r="F94" s="2">
        <v>15</v>
      </c>
      <c r="G94" s="2" t="b">
        <v>0</v>
      </c>
      <c r="H94" s="2">
        <v>2</v>
      </c>
      <c r="I94" s="2">
        <v>2</v>
      </c>
      <c r="J94" s="2">
        <v>0.24</v>
      </c>
      <c r="K94" s="2">
        <v>0.28789999999999999</v>
      </c>
      <c r="L94" s="2">
        <v>0.75</v>
      </c>
      <c r="M94" s="2">
        <v>0</v>
      </c>
      <c r="N94" s="2">
        <v>7</v>
      </c>
      <c r="O94" s="2">
        <v>45</v>
      </c>
      <c r="P94" s="65">
        <v>52</v>
      </c>
    </row>
    <row r="95" spans="1:16" ht="13.2" x14ac:dyDescent="0.25">
      <c r="A95" s="7">
        <v>704</v>
      </c>
      <c r="B95" s="3">
        <v>40575</v>
      </c>
      <c r="C95" s="2">
        <v>1</v>
      </c>
      <c r="D95" s="2">
        <v>0</v>
      </c>
      <c r="E95" s="2">
        <v>2</v>
      </c>
      <c r="F95" s="2">
        <v>16</v>
      </c>
      <c r="G95" s="2" t="b">
        <v>0</v>
      </c>
      <c r="H95" s="2">
        <v>2</v>
      </c>
      <c r="I95" s="2">
        <v>2</v>
      </c>
      <c r="J95" s="2">
        <v>0.24</v>
      </c>
      <c r="K95" s="2">
        <v>0.2424</v>
      </c>
      <c r="L95" s="2">
        <v>0.75</v>
      </c>
      <c r="M95" s="2">
        <v>0.1343</v>
      </c>
      <c r="N95" s="2">
        <v>3</v>
      </c>
      <c r="O95" s="2">
        <v>61</v>
      </c>
      <c r="P95" s="65">
        <v>64</v>
      </c>
    </row>
    <row r="96" spans="1:16" ht="13.2" x14ac:dyDescent="0.25">
      <c r="A96" s="7">
        <v>705</v>
      </c>
      <c r="B96" s="3">
        <v>40575</v>
      </c>
      <c r="C96" s="2">
        <v>1</v>
      </c>
      <c r="D96" s="2">
        <v>0</v>
      </c>
      <c r="E96" s="2">
        <v>2</v>
      </c>
      <c r="F96" s="2">
        <v>17</v>
      </c>
      <c r="G96" s="2" t="b">
        <v>0</v>
      </c>
      <c r="H96" s="2">
        <v>2</v>
      </c>
      <c r="I96" s="2">
        <v>2</v>
      </c>
      <c r="J96" s="2">
        <v>0.24</v>
      </c>
      <c r="K96" s="2">
        <v>0.28789999999999999</v>
      </c>
      <c r="L96" s="2">
        <v>0.75</v>
      </c>
      <c r="M96" s="2">
        <v>0</v>
      </c>
      <c r="N96" s="2">
        <v>4</v>
      </c>
      <c r="O96" s="2">
        <v>172</v>
      </c>
      <c r="P96" s="65">
        <v>176</v>
      </c>
    </row>
    <row r="97" spans="1:16" ht="13.2" x14ac:dyDescent="0.25">
      <c r="A97" s="7">
        <v>706</v>
      </c>
      <c r="B97" s="3">
        <v>40575</v>
      </c>
      <c r="C97" s="2">
        <v>1</v>
      </c>
      <c r="D97" s="2">
        <v>0</v>
      </c>
      <c r="E97" s="2">
        <v>2</v>
      </c>
      <c r="F97" s="2">
        <v>18</v>
      </c>
      <c r="G97" s="2" t="b">
        <v>0</v>
      </c>
      <c r="H97" s="2">
        <v>2</v>
      </c>
      <c r="I97" s="2">
        <v>2</v>
      </c>
      <c r="J97" s="2">
        <v>0.24</v>
      </c>
      <c r="K97" s="2">
        <v>0.2576</v>
      </c>
      <c r="L97" s="2">
        <v>0.81</v>
      </c>
      <c r="M97" s="2">
        <v>0.1045</v>
      </c>
      <c r="N97" s="2">
        <v>3</v>
      </c>
      <c r="O97" s="2">
        <v>165</v>
      </c>
      <c r="P97" s="65">
        <v>168</v>
      </c>
    </row>
    <row r="98" spans="1:16" ht="13.2" x14ac:dyDescent="0.25">
      <c r="A98" s="7">
        <v>707</v>
      </c>
      <c r="B98" s="3">
        <v>40575</v>
      </c>
      <c r="C98" s="2">
        <v>1</v>
      </c>
      <c r="D98" s="2">
        <v>0</v>
      </c>
      <c r="E98" s="2">
        <v>2</v>
      </c>
      <c r="F98" s="2">
        <v>19</v>
      </c>
      <c r="G98" s="2" t="b">
        <v>0</v>
      </c>
      <c r="H98" s="2">
        <v>2</v>
      </c>
      <c r="I98" s="2">
        <v>2</v>
      </c>
      <c r="J98" s="2">
        <v>0.24</v>
      </c>
      <c r="K98" s="2">
        <v>0.2424</v>
      </c>
      <c r="L98" s="2">
        <v>0.81</v>
      </c>
      <c r="M98" s="2">
        <v>0.1343</v>
      </c>
      <c r="N98" s="2">
        <v>3</v>
      </c>
      <c r="O98" s="2">
        <v>105</v>
      </c>
      <c r="P98" s="65">
        <v>108</v>
      </c>
    </row>
    <row r="99" spans="1:16" ht="13.2" x14ac:dyDescent="0.25">
      <c r="A99" s="7">
        <v>708</v>
      </c>
      <c r="B99" s="3">
        <v>40575</v>
      </c>
      <c r="C99" s="2">
        <v>1</v>
      </c>
      <c r="D99" s="2">
        <v>0</v>
      </c>
      <c r="E99" s="2">
        <v>2</v>
      </c>
      <c r="F99" s="2">
        <v>20</v>
      </c>
      <c r="G99" s="2" t="b">
        <v>0</v>
      </c>
      <c r="H99" s="2">
        <v>2</v>
      </c>
      <c r="I99" s="2">
        <v>2</v>
      </c>
      <c r="J99" s="2">
        <v>0.22</v>
      </c>
      <c r="K99" s="2">
        <v>0.2273</v>
      </c>
      <c r="L99" s="2">
        <v>0.87</v>
      </c>
      <c r="M99" s="2">
        <v>0.1343</v>
      </c>
      <c r="N99" s="2">
        <v>5</v>
      </c>
      <c r="O99" s="2">
        <v>69</v>
      </c>
      <c r="P99" s="65">
        <v>74</v>
      </c>
    </row>
    <row r="100" spans="1:16" ht="13.2" x14ac:dyDescent="0.25">
      <c r="A100" s="7">
        <v>709</v>
      </c>
      <c r="B100" s="3">
        <v>40575</v>
      </c>
      <c r="C100" s="2">
        <v>1</v>
      </c>
      <c r="D100" s="2">
        <v>0</v>
      </c>
      <c r="E100" s="2">
        <v>2</v>
      </c>
      <c r="F100" s="2">
        <v>21</v>
      </c>
      <c r="G100" s="2" t="b">
        <v>0</v>
      </c>
      <c r="H100" s="2">
        <v>2</v>
      </c>
      <c r="I100" s="2">
        <v>2</v>
      </c>
      <c r="J100" s="2">
        <v>0.22</v>
      </c>
      <c r="K100" s="2">
        <v>0.2273</v>
      </c>
      <c r="L100" s="2">
        <v>0.87</v>
      </c>
      <c r="M100" s="2">
        <v>0.1343</v>
      </c>
      <c r="N100" s="2">
        <v>0</v>
      </c>
      <c r="O100" s="2">
        <v>64</v>
      </c>
      <c r="P100" s="65">
        <v>64</v>
      </c>
    </row>
    <row r="101" spans="1:16" ht="13.2" x14ac:dyDescent="0.25">
      <c r="A101" s="7">
        <v>710</v>
      </c>
      <c r="B101" s="3">
        <v>40575</v>
      </c>
      <c r="C101" s="2">
        <v>1</v>
      </c>
      <c r="D101" s="2">
        <v>0</v>
      </c>
      <c r="E101" s="2">
        <v>2</v>
      </c>
      <c r="F101" s="2">
        <v>22</v>
      </c>
      <c r="G101" s="2" t="b">
        <v>0</v>
      </c>
      <c r="H101" s="2">
        <v>2</v>
      </c>
      <c r="I101" s="2">
        <v>2</v>
      </c>
      <c r="J101" s="2">
        <v>0.22</v>
      </c>
      <c r="K101" s="2">
        <v>0.2576</v>
      </c>
      <c r="L101" s="2">
        <v>0.87</v>
      </c>
      <c r="M101" s="2">
        <v>8.9599999999999999E-2</v>
      </c>
      <c r="N101" s="2">
        <v>2</v>
      </c>
      <c r="O101" s="2">
        <v>34</v>
      </c>
      <c r="P101" s="65">
        <v>36</v>
      </c>
    </row>
    <row r="102" spans="1:16" ht="13.2" x14ac:dyDescent="0.25">
      <c r="A102" s="7">
        <v>711</v>
      </c>
      <c r="B102" s="3">
        <v>40575</v>
      </c>
      <c r="C102" s="2">
        <v>1</v>
      </c>
      <c r="D102" s="2">
        <v>0</v>
      </c>
      <c r="E102" s="2">
        <v>2</v>
      </c>
      <c r="F102" s="2">
        <v>23</v>
      </c>
      <c r="G102" s="2" t="b">
        <v>0</v>
      </c>
      <c r="H102" s="2">
        <v>2</v>
      </c>
      <c r="I102" s="2">
        <v>3</v>
      </c>
      <c r="J102" s="2">
        <v>0.2</v>
      </c>
      <c r="K102" s="2">
        <v>0.19700000000000001</v>
      </c>
      <c r="L102" s="2">
        <v>0.93</v>
      </c>
      <c r="M102" s="2">
        <v>0.19400000000000001</v>
      </c>
      <c r="N102" s="2">
        <v>1</v>
      </c>
      <c r="O102" s="2">
        <v>15</v>
      </c>
      <c r="P102" s="65">
        <v>16</v>
      </c>
    </row>
    <row r="103" spans="1:16" ht="13.2" x14ac:dyDescent="0.25">
      <c r="A103" s="7">
        <v>712</v>
      </c>
      <c r="B103" s="3">
        <v>40576</v>
      </c>
      <c r="C103" s="2">
        <v>1</v>
      </c>
      <c r="D103" s="2">
        <v>0</v>
      </c>
      <c r="E103" s="2">
        <v>2</v>
      </c>
      <c r="F103" s="2">
        <v>0</v>
      </c>
      <c r="G103" s="2" t="b">
        <v>0</v>
      </c>
      <c r="H103" s="2">
        <v>3</v>
      </c>
      <c r="I103" s="2">
        <v>3</v>
      </c>
      <c r="J103" s="2">
        <v>0.22</v>
      </c>
      <c r="K103" s="2">
        <v>0.2424</v>
      </c>
      <c r="L103" s="2">
        <v>0.93</v>
      </c>
      <c r="M103" s="2">
        <v>0.1045</v>
      </c>
      <c r="N103" s="2">
        <v>0</v>
      </c>
      <c r="O103" s="2">
        <v>2</v>
      </c>
      <c r="P103" s="65">
        <v>2</v>
      </c>
    </row>
    <row r="104" spans="1:16" ht="13.2" x14ac:dyDescent="0.25">
      <c r="A104" s="7">
        <v>713</v>
      </c>
      <c r="B104" s="3">
        <v>40576</v>
      </c>
      <c r="C104" s="2">
        <v>1</v>
      </c>
      <c r="D104" s="2">
        <v>0</v>
      </c>
      <c r="E104" s="2">
        <v>2</v>
      </c>
      <c r="F104" s="2">
        <v>1</v>
      </c>
      <c r="G104" s="2" t="b">
        <v>0</v>
      </c>
      <c r="H104" s="2">
        <v>3</v>
      </c>
      <c r="I104" s="2">
        <v>3</v>
      </c>
      <c r="J104" s="2">
        <v>0.22</v>
      </c>
      <c r="K104" s="2">
        <v>0.2273</v>
      </c>
      <c r="L104" s="2">
        <v>0.93</v>
      </c>
      <c r="M104" s="2">
        <v>0.19400000000000001</v>
      </c>
      <c r="N104" s="2">
        <v>0</v>
      </c>
      <c r="O104" s="2">
        <v>3</v>
      </c>
      <c r="P104" s="65">
        <v>3</v>
      </c>
    </row>
    <row r="105" spans="1:16" ht="13.2" x14ac:dyDescent="0.25">
      <c r="A105" s="7">
        <v>714</v>
      </c>
      <c r="B105" s="3">
        <v>40576</v>
      </c>
      <c r="C105" s="2">
        <v>1</v>
      </c>
      <c r="D105" s="2">
        <v>0</v>
      </c>
      <c r="E105" s="2">
        <v>2</v>
      </c>
      <c r="F105" s="2">
        <v>2</v>
      </c>
      <c r="G105" s="2" t="b">
        <v>0</v>
      </c>
      <c r="H105" s="2">
        <v>3</v>
      </c>
      <c r="I105" s="2">
        <v>3</v>
      </c>
      <c r="J105" s="2">
        <v>0.22</v>
      </c>
      <c r="K105" s="2">
        <v>0.2273</v>
      </c>
      <c r="L105" s="2">
        <v>0.93</v>
      </c>
      <c r="M105" s="2">
        <v>0.1343</v>
      </c>
      <c r="N105" s="2">
        <v>4</v>
      </c>
      <c r="O105" s="2">
        <v>0</v>
      </c>
      <c r="P105" s="65">
        <v>4</v>
      </c>
    </row>
    <row r="106" spans="1:16" ht="13.2" x14ac:dyDescent="0.25">
      <c r="A106" s="7">
        <v>715</v>
      </c>
      <c r="B106" s="3">
        <v>40576</v>
      </c>
      <c r="C106" s="2">
        <v>1</v>
      </c>
      <c r="D106" s="2">
        <v>0</v>
      </c>
      <c r="E106" s="2">
        <v>2</v>
      </c>
      <c r="F106" s="2">
        <v>3</v>
      </c>
      <c r="G106" s="2" t="b">
        <v>0</v>
      </c>
      <c r="H106" s="2">
        <v>3</v>
      </c>
      <c r="I106" s="2">
        <v>3</v>
      </c>
      <c r="J106" s="2">
        <v>0.22</v>
      </c>
      <c r="K106" s="2">
        <v>0.2273</v>
      </c>
      <c r="L106" s="2">
        <v>0.93</v>
      </c>
      <c r="M106" s="2">
        <v>0.1343</v>
      </c>
      <c r="N106" s="2">
        <v>0</v>
      </c>
      <c r="O106" s="2">
        <v>1</v>
      </c>
      <c r="P106" s="65">
        <v>1</v>
      </c>
    </row>
    <row r="107" spans="1:16" ht="13.2" x14ac:dyDescent="0.25">
      <c r="A107" s="7">
        <v>716</v>
      </c>
      <c r="B107" s="3">
        <v>40576</v>
      </c>
      <c r="C107" s="2">
        <v>1</v>
      </c>
      <c r="D107" s="2">
        <v>0</v>
      </c>
      <c r="E107" s="2">
        <v>2</v>
      </c>
      <c r="F107" s="2">
        <v>4</v>
      </c>
      <c r="G107" s="2" t="b">
        <v>0</v>
      </c>
      <c r="H107" s="2">
        <v>3</v>
      </c>
      <c r="I107" s="2">
        <v>3</v>
      </c>
      <c r="J107" s="2">
        <v>0.22</v>
      </c>
      <c r="K107" s="2">
        <v>0.21210000000000001</v>
      </c>
      <c r="L107" s="2">
        <v>0.93</v>
      </c>
      <c r="M107" s="2">
        <v>0.28360000000000002</v>
      </c>
      <c r="N107" s="2">
        <v>0</v>
      </c>
      <c r="O107" s="2">
        <v>1</v>
      </c>
      <c r="P107" s="65">
        <v>1</v>
      </c>
    </row>
    <row r="108" spans="1:16" ht="13.2" x14ac:dyDescent="0.25">
      <c r="A108" s="7">
        <v>717</v>
      </c>
      <c r="B108" s="3">
        <v>40576</v>
      </c>
      <c r="C108" s="2">
        <v>1</v>
      </c>
      <c r="D108" s="2">
        <v>0</v>
      </c>
      <c r="E108" s="2">
        <v>2</v>
      </c>
      <c r="F108" s="2">
        <v>5</v>
      </c>
      <c r="G108" s="2" t="b">
        <v>0</v>
      </c>
      <c r="H108" s="2">
        <v>3</v>
      </c>
      <c r="I108" s="2">
        <v>3</v>
      </c>
      <c r="J108" s="2">
        <v>0.22</v>
      </c>
      <c r="K108" s="2">
        <v>0.2424</v>
      </c>
      <c r="L108" s="2">
        <v>0.93</v>
      </c>
      <c r="M108" s="2">
        <v>0.1045</v>
      </c>
      <c r="N108" s="2">
        <v>0</v>
      </c>
      <c r="O108" s="2">
        <v>3</v>
      </c>
      <c r="P108" s="65">
        <v>3</v>
      </c>
    </row>
    <row r="109" spans="1:16" ht="13.2" x14ac:dyDescent="0.25">
      <c r="A109" s="7">
        <v>718</v>
      </c>
      <c r="B109" s="3">
        <v>40576</v>
      </c>
      <c r="C109" s="2">
        <v>1</v>
      </c>
      <c r="D109" s="2">
        <v>0</v>
      </c>
      <c r="E109" s="2">
        <v>2</v>
      </c>
      <c r="F109" s="2">
        <v>6</v>
      </c>
      <c r="G109" s="2" t="b">
        <v>0</v>
      </c>
      <c r="H109" s="2">
        <v>3</v>
      </c>
      <c r="I109" s="2">
        <v>3</v>
      </c>
      <c r="J109" s="2">
        <v>0.22</v>
      </c>
      <c r="K109" s="2">
        <v>0.2424</v>
      </c>
      <c r="L109" s="2">
        <v>0.93</v>
      </c>
      <c r="M109" s="2">
        <v>0.1045</v>
      </c>
      <c r="N109" s="2">
        <v>1</v>
      </c>
      <c r="O109" s="2">
        <v>17</v>
      </c>
      <c r="P109" s="65">
        <v>18</v>
      </c>
    </row>
    <row r="110" spans="1:16" ht="13.2" x14ac:dyDescent="0.25">
      <c r="A110" s="7">
        <v>719</v>
      </c>
      <c r="B110" s="3">
        <v>40576</v>
      </c>
      <c r="C110" s="2">
        <v>1</v>
      </c>
      <c r="D110" s="2">
        <v>0</v>
      </c>
      <c r="E110" s="2">
        <v>2</v>
      </c>
      <c r="F110" s="2">
        <v>7</v>
      </c>
      <c r="G110" s="2" t="b">
        <v>0</v>
      </c>
      <c r="H110" s="2">
        <v>3</v>
      </c>
      <c r="I110" s="2">
        <v>3</v>
      </c>
      <c r="J110" s="2">
        <v>0.22</v>
      </c>
      <c r="K110" s="2">
        <v>0.21210000000000001</v>
      </c>
      <c r="L110" s="2">
        <v>0.93</v>
      </c>
      <c r="M110" s="2">
        <v>0.22389999999999999</v>
      </c>
      <c r="N110" s="2">
        <v>1</v>
      </c>
      <c r="O110" s="2">
        <v>48</v>
      </c>
      <c r="P110" s="65">
        <v>49</v>
      </c>
    </row>
    <row r="111" spans="1:16" ht="13.2" x14ac:dyDescent="0.25">
      <c r="A111" s="7">
        <v>720</v>
      </c>
      <c r="B111" s="3">
        <v>40576</v>
      </c>
      <c r="C111" s="2">
        <v>1</v>
      </c>
      <c r="D111" s="2">
        <v>0</v>
      </c>
      <c r="E111" s="2">
        <v>2</v>
      </c>
      <c r="F111" s="2">
        <v>8</v>
      </c>
      <c r="G111" s="2" t="b">
        <v>0</v>
      </c>
      <c r="H111" s="2">
        <v>3</v>
      </c>
      <c r="I111" s="2">
        <v>3</v>
      </c>
      <c r="J111" s="2">
        <v>0.22</v>
      </c>
      <c r="K111" s="2">
        <v>0.21210000000000001</v>
      </c>
      <c r="L111" s="2">
        <v>0.93</v>
      </c>
      <c r="M111" s="2">
        <v>0.22389999999999999</v>
      </c>
      <c r="N111" s="2">
        <v>1</v>
      </c>
      <c r="O111" s="2">
        <v>154</v>
      </c>
      <c r="P111" s="65">
        <v>155</v>
      </c>
    </row>
    <row r="112" spans="1:16" ht="13.2" x14ac:dyDescent="0.25">
      <c r="A112" s="7">
        <v>721</v>
      </c>
      <c r="B112" s="3">
        <v>40576</v>
      </c>
      <c r="C112" s="2">
        <v>1</v>
      </c>
      <c r="D112" s="2">
        <v>0</v>
      </c>
      <c r="E112" s="2">
        <v>2</v>
      </c>
      <c r="F112" s="2">
        <v>9</v>
      </c>
      <c r="G112" s="2" t="b">
        <v>0</v>
      </c>
      <c r="H112" s="2">
        <v>3</v>
      </c>
      <c r="I112" s="2">
        <v>2</v>
      </c>
      <c r="J112" s="2">
        <v>0.24</v>
      </c>
      <c r="K112" s="2">
        <v>0.2576</v>
      </c>
      <c r="L112" s="2">
        <v>0.93</v>
      </c>
      <c r="M112" s="2">
        <v>8.9599999999999999E-2</v>
      </c>
      <c r="N112" s="2">
        <v>4</v>
      </c>
      <c r="O112" s="2">
        <v>119</v>
      </c>
      <c r="P112" s="65">
        <v>123</v>
      </c>
    </row>
    <row r="113" spans="1:16" ht="13.2" x14ac:dyDescent="0.25">
      <c r="A113" s="7">
        <v>722</v>
      </c>
      <c r="B113" s="3">
        <v>40576</v>
      </c>
      <c r="C113" s="2">
        <v>1</v>
      </c>
      <c r="D113" s="2">
        <v>0</v>
      </c>
      <c r="E113" s="2">
        <v>2</v>
      </c>
      <c r="F113" s="2">
        <v>10</v>
      </c>
      <c r="G113" s="2" t="b">
        <v>0</v>
      </c>
      <c r="H113" s="2">
        <v>3</v>
      </c>
      <c r="I113" s="2">
        <v>2</v>
      </c>
      <c r="J113" s="2">
        <v>0.22</v>
      </c>
      <c r="K113" s="2">
        <v>0.2727</v>
      </c>
      <c r="L113" s="2">
        <v>1</v>
      </c>
      <c r="M113" s="2">
        <v>0</v>
      </c>
      <c r="N113" s="2">
        <v>2</v>
      </c>
      <c r="O113" s="2">
        <v>59</v>
      </c>
      <c r="P113" s="65">
        <v>61</v>
      </c>
    </row>
    <row r="114" spans="1:16" ht="13.2" x14ac:dyDescent="0.25">
      <c r="A114" s="7">
        <v>723</v>
      </c>
      <c r="B114" s="3">
        <v>40576</v>
      </c>
      <c r="C114" s="2">
        <v>1</v>
      </c>
      <c r="D114" s="2">
        <v>0</v>
      </c>
      <c r="E114" s="2">
        <v>2</v>
      </c>
      <c r="F114" s="2">
        <v>11</v>
      </c>
      <c r="G114" s="2" t="b">
        <v>0</v>
      </c>
      <c r="H114" s="2">
        <v>3</v>
      </c>
      <c r="I114" s="2">
        <v>2</v>
      </c>
      <c r="J114" s="2">
        <v>0.24</v>
      </c>
      <c r="K114" s="2">
        <v>0.2273</v>
      </c>
      <c r="L114" s="2">
        <v>0.93</v>
      </c>
      <c r="M114" s="2">
        <v>0.19400000000000001</v>
      </c>
      <c r="N114" s="2">
        <v>5</v>
      </c>
      <c r="O114" s="2">
        <v>47</v>
      </c>
      <c r="P114" s="65">
        <v>52</v>
      </c>
    </row>
    <row r="115" spans="1:16" ht="13.2" x14ac:dyDescent="0.25">
      <c r="A115" s="7">
        <v>724</v>
      </c>
      <c r="B115" s="3">
        <v>40576</v>
      </c>
      <c r="C115" s="2">
        <v>1</v>
      </c>
      <c r="D115" s="2">
        <v>0</v>
      </c>
      <c r="E115" s="2">
        <v>2</v>
      </c>
      <c r="F115" s="2">
        <v>12</v>
      </c>
      <c r="G115" s="2" t="b">
        <v>0</v>
      </c>
      <c r="H115" s="2">
        <v>3</v>
      </c>
      <c r="I115" s="2">
        <v>2</v>
      </c>
      <c r="J115" s="2">
        <v>0.24</v>
      </c>
      <c r="K115" s="2">
        <v>0.2273</v>
      </c>
      <c r="L115" s="2">
        <v>0.93</v>
      </c>
      <c r="M115" s="2">
        <v>0.22389999999999999</v>
      </c>
      <c r="N115" s="2">
        <v>3</v>
      </c>
      <c r="O115" s="2">
        <v>61</v>
      </c>
      <c r="P115" s="65">
        <v>64</v>
      </c>
    </row>
    <row r="116" spans="1:16" ht="13.2" x14ac:dyDescent="0.25">
      <c r="A116" s="7">
        <v>725</v>
      </c>
      <c r="B116" s="3">
        <v>40576</v>
      </c>
      <c r="C116" s="2">
        <v>1</v>
      </c>
      <c r="D116" s="2">
        <v>0</v>
      </c>
      <c r="E116" s="2">
        <v>2</v>
      </c>
      <c r="F116" s="2">
        <v>13</v>
      </c>
      <c r="G116" s="2" t="b">
        <v>0</v>
      </c>
      <c r="H116" s="2">
        <v>3</v>
      </c>
      <c r="I116" s="2">
        <v>1</v>
      </c>
      <c r="J116" s="2">
        <v>0.34</v>
      </c>
      <c r="K116" s="2">
        <v>0.33329999999999999</v>
      </c>
      <c r="L116" s="2">
        <v>0.93</v>
      </c>
      <c r="M116" s="2">
        <v>0.16420000000000001</v>
      </c>
      <c r="N116" s="2">
        <v>1</v>
      </c>
      <c r="O116" s="2">
        <v>74</v>
      </c>
      <c r="P116" s="65">
        <v>75</v>
      </c>
    </row>
    <row r="117" spans="1:16" ht="13.2" x14ac:dyDescent="0.25">
      <c r="A117" s="7">
        <v>726</v>
      </c>
      <c r="B117" s="3">
        <v>40576</v>
      </c>
      <c r="C117" s="2">
        <v>1</v>
      </c>
      <c r="D117" s="2">
        <v>0</v>
      </c>
      <c r="E117" s="2">
        <v>2</v>
      </c>
      <c r="F117" s="2">
        <v>14</v>
      </c>
      <c r="G117" s="2" t="b">
        <v>0</v>
      </c>
      <c r="H117" s="2">
        <v>3</v>
      </c>
      <c r="I117" s="2">
        <v>1</v>
      </c>
      <c r="J117" s="2">
        <v>0.38</v>
      </c>
      <c r="K117" s="2">
        <v>0.39389999999999997</v>
      </c>
      <c r="L117" s="2">
        <v>0.82</v>
      </c>
      <c r="M117" s="2">
        <v>0.3881</v>
      </c>
      <c r="N117" s="2">
        <v>2</v>
      </c>
      <c r="O117" s="2">
        <v>61</v>
      </c>
      <c r="P117" s="65">
        <v>63</v>
      </c>
    </row>
    <row r="118" spans="1:16" ht="13.2" x14ac:dyDescent="0.25">
      <c r="A118" s="7">
        <v>727</v>
      </c>
      <c r="B118" s="3">
        <v>40576</v>
      </c>
      <c r="C118" s="2">
        <v>1</v>
      </c>
      <c r="D118" s="2">
        <v>0</v>
      </c>
      <c r="E118" s="2">
        <v>2</v>
      </c>
      <c r="F118" s="2">
        <v>15</v>
      </c>
      <c r="G118" s="2" t="b">
        <v>0</v>
      </c>
      <c r="H118" s="2">
        <v>3</v>
      </c>
      <c r="I118" s="2">
        <v>1</v>
      </c>
      <c r="J118" s="2">
        <v>0.38</v>
      </c>
      <c r="K118" s="2">
        <v>0.39389999999999997</v>
      </c>
      <c r="L118" s="2">
        <v>0.76</v>
      </c>
      <c r="M118" s="2">
        <v>0.32840000000000003</v>
      </c>
      <c r="N118" s="2">
        <v>10</v>
      </c>
      <c r="O118" s="2">
        <v>66</v>
      </c>
      <c r="P118" s="65">
        <v>76</v>
      </c>
    </row>
    <row r="119" spans="1:16" ht="13.2" x14ac:dyDescent="0.25">
      <c r="A119" s="7">
        <v>728</v>
      </c>
      <c r="B119" s="3">
        <v>40576</v>
      </c>
      <c r="C119" s="2">
        <v>1</v>
      </c>
      <c r="D119" s="2">
        <v>0</v>
      </c>
      <c r="E119" s="2">
        <v>2</v>
      </c>
      <c r="F119" s="2">
        <v>16</v>
      </c>
      <c r="G119" s="2" t="b">
        <v>0</v>
      </c>
      <c r="H119" s="2">
        <v>3</v>
      </c>
      <c r="I119" s="2">
        <v>1</v>
      </c>
      <c r="J119" s="2">
        <v>0.36</v>
      </c>
      <c r="K119" s="2">
        <v>0.33329999999999999</v>
      </c>
      <c r="L119" s="2">
        <v>0.71</v>
      </c>
      <c r="M119" s="2">
        <v>0.29849999999999999</v>
      </c>
      <c r="N119" s="2">
        <v>8</v>
      </c>
      <c r="O119" s="2">
        <v>95</v>
      </c>
      <c r="P119" s="65">
        <v>103</v>
      </c>
    </row>
    <row r="120" spans="1:16" ht="13.2" x14ac:dyDescent="0.25">
      <c r="A120" s="7">
        <v>729</v>
      </c>
      <c r="B120" s="3">
        <v>40576</v>
      </c>
      <c r="C120" s="2">
        <v>1</v>
      </c>
      <c r="D120" s="2">
        <v>0</v>
      </c>
      <c r="E120" s="2">
        <v>2</v>
      </c>
      <c r="F120" s="2">
        <v>17</v>
      </c>
      <c r="G120" s="2" t="b">
        <v>0</v>
      </c>
      <c r="H120" s="2">
        <v>3</v>
      </c>
      <c r="I120" s="2">
        <v>1</v>
      </c>
      <c r="J120" s="2">
        <v>0.36</v>
      </c>
      <c r="K120" s="2">
        <v>0.31819999999999998</v>
      </c>
      <c r="L120" s="2">
        <v>0.53</v>
      </c>
      <c r="M120" s="2">
        <v>0.52239999999999998</v>
      </c>
      <c r="N120" s="2">
        <v>7</v>
      </c>
      <c r="O120" s="2">
        <v>183</v>
      </c>
      <c r="P120" s="65">
        <v>190</v>
      </c>
    </row>
    <row r="121" spans="1:16" ht="13.2" x14ac:dyDescent="0.25">
      <c r="A121" s="7">
        <v>730</v>
      </c>
      <c r="B121" s="3">
        <v>40576</v>
      </c>
      <c r="C121" s="2">
        <v>1</v>
      </c>
      <c r="D121" s="2">
        <v>0</v>
      </c>
      <c r="E121" s="2">
        <v>2</v>
      </c>
      <c r="F121" s="2">
        <v>18</v>
      </c>
      <c r="G121" s="2" t="b">
        <v>0</v>
      </c>
      <c r="H121" s="2">
        <v>3</v>
      </c>
      <c r="I121" s="2">
        <v>1</v>
      </c>
      <c r="J121" s="2">
        <v>0.34</v>
      </c>
      <c r="K121" s="2">
        <v>0.28789999999999999</v>
      </c>
      <c r="L121" s="2">
        <v>0.42</v>
      </c>
      <c r="M121" s="2">
        <v>0.55220000000000002</v>
      </c>
      <c r="N121" s="2">
        <v>7</v>
      </c>
      <c r="O121" s="2">
        <v>175</v>
      </c>
      <c r="P121" s="65">
        <v>182</v>
      </c>
    </row>
    <row r="122" spans="1:16" ht="13.2" x14ac:dyDescent="0.25">
      <c r="A122" s="7">
        <v>731</v>
      </c>
      <c r="B122" s="3">
        <v>40576</v>
      </c>
      <c r="C122" s="2">
        <v>1</v>
      </c>
      <c r="D122" s="2">
        <v>0</v>
      </c>
      <c r="E122" s="2">
        <v>2</v>
      </c>
      <c r="F122" s="2">
        <v>19</v>
      </c>
      <c r="G122" s="2" t="b">
        <v>0</v>
      </c>
      <c r="H122" s="2">
        <v>3</v>
      </c>
      <c r="I122" s="2">
        <v>1</v>
      </c>
      <c r="J122" s="2">
        <v>0.28000000000000003</v>
      </c>
      <c r="K122" s="2">
        <v>0.2424</v>
      </c>
      <c r="L122" s="2">
        <v>0.45</v>
      </c>
      <c r="M122" s="2">
        <v>0.49249999999999999</v>
      </c>
      <c r="N122" s="2">
        <v>3</v>
      </c>
      <c r="O122" s="2">
        <v>88</v>
      </c>
      <c r="P122" s="65">
        <v>91</v>
      </c>
    </row>
    <row r="123" spans="1:16" ht="13.2" x14ac:dyDescent="0.25">
      <c r="A123" s="7">
        <v>732</v>
      </c>
      <c r="B123" s="3">
        <v>40576</v>
      </c>
      <c r="C123" s="2">
        <v>1</v>
      </c>
      <c r="D123" s="2">
        <v>0</v>
      </c>
      <c r="E123" s="2">
        <v>2</v>
      </c>
      <c r="F123" s="2">
        <v>20</v>
      </c>
      <c r="G123" s="2" t="b">
        <v>0</v>
      </c>
      <c r="H123" s="2">
        <v>3</v>
      </c>
      <c r="I123" s="2">
        <v>1</v>
      </c>
      <c r="J123" s="2">
        <v>0.24</v>
      </c>
      <c r="K123" s="2">
        <v>0.19700000000000001</v>
      </c>
      <c r="L123" s="2">
        <v>0.48</v>
      </c>
      <c r="M123" s="2">
        <v>0.55220000000000002</v>
      </c>
      <c r="N123" s="2">
        <v>4</v>
      </c>
      <c r="O123" s="2">
        <v>71</v>
      </c>
      <c r="P123" s="65">
        <v>75</v>
      </c>
    </row>
    <row r="124" spans="1:16" ht="13.2" x14ac:dyDescent="0.25">
      <c r="A124" s="7">
        <v>733</v>
      </c>
      <c r="B124" s="3">
        <v>40576</v>
      </c>
      <c r="C124" s="2">
        <v>1</v>
      </c>
      <c r="D124" s="2">
        <v>0</v>
      </c>
      <c r="E124" s="2">
        <v>2</v>
      </c>
      <c r="F124" s="2">
        <v>21</v>
      </c>
      <c r="G124" s="2" t="b">
        <v>0</v>
      </c>
      <c r="H124" s="2">
        <v>3</v>
      </c>
      <c r="I124" s="2">
        <v>1</v>
      </c>
      <c r="J124" s="2">
        <v>0.22</v>
      </c>
      <c r="K124" s="2">
        <v>0.19700000000000001</v>
      </c>
      <c r="L124" s="2">
        <v>0.47</v>
      </c>
      <c r="M124" s="2">
        <v>0.32840000000000003</v>
      </c>
      <c r="N124" s="2">
        <v>1</v>
      </c>
      <c r="O124" s="2">
        <v>62</v>
      </c>
      <c r="P124" s="65">
        <v>63</v>
      </c>
    </row>
    <row r="125" spans="1:16" ht="13.2" x14ac:dyDescent="0.25">
      <c r="A125" s="7">
        <v>734</v>
      </c>
      <c r="B125" s="3">
        <v>40576</v>
      </c>
      <c r="C125" s="2">
        <v>1</v>
      </c>
      <c r="D125" s="2">
        <v>0</v>
      </c>
      <c r="E125" s="2">
        <v>2</v>
      </c>
      <c r="F125" s="2">
        <v>22</v>
      </c>
      <c r="G125" s="2" t="b">
        <v>0</v>
      </c>
      <c r="H125" s="2">
        <v>3</v>
      </c>
      <c r="I125" s="2">
        <v>1</v>
      </c>
      <c r="J125" s="2">
        <v>0.22</v>
      </c>
      <c r="K125" s="2">
        <v>0.21210000000000001</v>
      </c>
      <c r="L125" s="2">
        <v>0.44</v>
      </c>
      <c r="M125" s="2">
        <v>0.25369999999999998</v>
      </c>
      <c r="N125" s="2">
        <v>5</v>
      </c>
      <c r="O125" s="2">
        <v>35</v>
      </c>
      <c r="P125" s="65">
        <v>40</v>
      </c>
    </row>
    <row r="126" spans="1:16" ht="13.2" x14ac:dyDescent="0.25">
      <c r="A126" s="7">
        <v>735</v>
      </c>
      <c r="B126" s="3">
        <v>40576</v>
      </c>
      <c r="C126" s="2">
        <v>1</v>
      </c>
      <c r="D126" s="2">
        <v>0</v>
      </c>
      <c r="E126" s="2">
        <v>2</v>
      </c>
      <c r="F126" s="2">
        <v>23</v>
      </c>
      <c r="G126" s="2" t="b">
        <v>0</v>
      </c>
      <c r="H126" s="2">
        <v>3</v>
      </c>
      <c r="I126" s="2">
        <v>1</v>
      </c>
      <c r="J126" s="2">
        <v>0.2</v>
      </c>
      <c r="K126" s="2">
        <v>0.16669999999999999</v>
      </c>
      <c r="L126" s="2">
        <v>0.44</v>
      </c>
      <c r="M126" s="2">
        <v>0.44779999999999998</v>
      </c>
      <c r="N126" s="2">
        <v>3</v>
      </c>
      <c r="O126" s="2">
        <v>29</v>
      </c>
      <c r="P126" s="65">
        <v>32</v>
      </c>
    </row>
    <row r="127" spans="1:16" ht="13.2" x14ac:dyDescent="0.25">
      <c r="A127" s="7">
        <v>736</v>
      </c>
      <c r="B127" s="3">
        <v>40577</v>
      </c>
      <c r="C127" s="2">
        <v>1</v>
      </c>
      <c r="D127" s="2">
        <v>0</v>
      </c>
      <c r="E127" s="2">
        <v>2</v>
      </c>
      <c r="F127" s="2">
        <v>0</v>
      </c>
      <c r="G127" s="2" t="b">
        <v>0</v>
      </c>
      <c r="H127" s="2">
        <v>4</v>
      </c>
      <c r="I127" s="2">
        <v>1</v>
      </c>
      <c r="J127" s="2">
        <v>0.2</v>
      </c>
      <c r="K127" s="2">
        <v>0.16669999999999999</v>
      </c>
      <c r="L127" s="2">
        <v>0.4</v>
      </c>
      <c r="M127" s="2">
        <v>0.44779999999999998</v>
      </c>
      <c r="N127" s="2">
        <v>1</v>
      </c>
      <c r="O127" s="2">
        <v>11</v>
      </c>
      <c r="P127" s="65">
        <v>12</v>
      </c>
    </row>
    <row r="128" spans="1:16" ht="13.2" x14ac:dyDescent="0.25">
      <c r="A128" s="7">
        <v>737</v>
      </c>
      <c r="B128" s="3">
        <v>40577</v>
      </c>
      <c r="C128" s="2">
        <v>1</v>
      </c>
      <c r="D128" s="2">
        <v>0</v>
      </c>
      <c r="E128" s="2">
        <v>2</v>
      </c>
      <c r="F128" s="2">
        <v>1</v>
      </c>
      <c r="G128" s="2" t="b">
        <v>0</v>
      </c>
      <c r="H128" s="2">
        <v>4</v>
      </c>
      <c r="I128" s="2">
        <v>1</v>
      </c>
      <c r="J128" s="2">
        <v>0.2</v>
      </c>
      <c r="K128" s="2">
        <v>0.1515</v>
      </c>
      <c r="L128" s="2">
        <v>0.44</v>
      </c>
      <c r="M128" s="2">
        <v>0.52239999999999998</v>
      </c>
      <c r="N128" s="2">
        <v>0</v>
      </c>
      <c r="O128" s="2">
        <v>5</v>
      </c>
      <c r="P128" s="65">
        <v>5</v>
      </c>
    </row>
    <row r="129" spans="1:16" ht="13.2" x14ac:dyDescent="0.25">
      <c r="A129" s="7">
        <v>738</v>
      </c>
      <c r="B129" s="3">
        <v>40577</v>
      </c>
      <c r="C129" s="2">
        <v>1</v>
      </c>
      <c r="D129" s="2">
        <v>0</v>
      </c>
      <c r="E129" s="2">
        <v>2</v>
      </c>
      <c r="F129" s="2">
        <v>2</v>
      </c>
      <c r="G129" s="2" t="b">
        <v>0</v>
      </c>
      <c r="H129" s="2">
        <v>4</v>
      </c>
      <c r="I129" s="2">
        <v>1</v>
      </c>
      <c r="J129" s="2">
        <v>0.18</v>
      </c>
      <c r="K129" s="2">
        <v>0.16669999999999999</v>
      </c>
      <c r="L129" s="2">
        <v>0.43</v>
      </c>
      <c r="M129" s="2">
        <v>0.25369999999999998</v>
      </c>
      <c r="N129" s="2">
        <v>0</v>
      </c>
      <c r="O129" s="2">
        <v>2</v>
      </c>
      <c r="P129" s="65">
        <v>2</v>
      </c>
    </row>
    <row r="130" spans="1:16" ht="13.2" x14ac:dyDescent="0.25">
      <c r="A130" s="7">
        <v>739</v>
      </c>
      <c r="B130" s="3">
        <v>40577</v>
      </c>
      <c r="C130" s="2">
        <v>1</v>
      </c>
      <c r="D130" s="2">
        <v>0</v>
      </c>
      <c r="E130" s="2">
        <v>2</v>
      </c>
      <c r="F130" s="2">
        <v>3</v>
      </c>
      <c r="G130" s="2" t="b">
        <v>0</v>
      </c>
      <c r="H130" s="2">
        <v>4</v>
      </c>
      <c r="I130" s="2">
        <v>1</v>
      </c>
      <c r="J130" s="2">
        <v>0.18</v>
      </c>
      <c r="K130" s="2">
        <v>0.16669999999999999</v>
      </c>
      <c r="L130" s="2">
        <v>0.43</v>
      </c>
      <c r="M130" s="2">
        <v>0.25369999999999998</v>
      </c>
      <c r="N130" s="2">
        <v>0</v>
      </c>
      <c r="O130" s="2">
        <v>1</v>
      </c>
      <c r="P130" s="65">
        <v>1</v>
      </c>
    </row>
    <row r="131" spans="1:16" ht="13.2" x14ac:dyDescent="0.25">
      <c r="A131" s="7">
        <v>740</v>
      </c>
      <c r="B131" s="3">
        <v>40577</v>
      </c>
      <c r="C131" s="2">
        <v>1</v>
      </c>
      <c r="D131" s="2">
        <v>0</v>
      </c>
      <c r="E131" s="2">
        <v>2</v>
      </c>
      <c r="F131" s="2">
        <v>5</v>
      </c>
      <c r="G131" s="2" t="b">
        <v>0</v>
      </c>
      <c r="H131" s="2">
        <v>4</v>
      </c>
      <c r="I131" s="2">
        <v>1</v>
      </c>
      <c r="J131" s="2">
        <v>0.16</v>
      </c>
      <c r="K131" s="2">
        <v>0.13639999999999999</v>
      </c>
      <c r="L131" s="2">
        <v>0.5</v>
      </c>
      <c r="M131" s="2">
        <v>0.29849999999999999</v>
      </c>
      <c r="N131" s="2">
        <v>0</v>
      </c>
      <c r="O131" s="2">
        <v>2</v>
      </c>
      <c r="P131" s="65">
        <v>2</v>
      </c>
    </row>
    <row r="132" spans="1:16" ht="13.2" x14ac:dyDescent="0.25">
      <c r="A132" s="7">
        <v>741</v>
      </c>
      <c r="B132" s="3">
        <v>40577</v>
      </c>
      <c r="C132" s="2">
        <v>1</v>
      </c>
      <c r="D132" s="2">
        <v>0</v>
      </c>
      <c r="E132" s="2">
        <v>2</v>
      </c>
      <c r="F132" s="2">
        <v>6</v>
      </c>
      <c r="G132" s="2" t="b">
        <v>0</v>
      </c>
      <c r="H132" s="2">
        <v>4</v>
      </c>
      <c r="I132" s="2">
        <v>1</v>
      </c>
      <c r="J132" s="2">
        <v>0.16</v>
      </c>
      <c r="K132" s="2">
        <v>0.13639999999999999</v>
      </c>
      <c r="L132" s="2">
        <v>0.43</v>
      </c>
      <c r="M132" s="2">
        <v>0.35820000000000002</v>
      </c>
      <c r="N132" s="2">
        <v>0</v>
      </c>
      <c r="O132" s="2">
        <v>39</v>
      </c>
      <c r="P132" s="65">
        <v>39</v>
      </c>
    </row>
    <row r="133" spans="1:16" ht="13.2" x14ac:dyDescent="0.25">
      <c r="A133" s="7">
        <v>742</v>
      </c>
      <c r="B133" s="3">
        <v>40577</v>
      </c>
      <c r="C133" s="2">
        <v>1</v>
      </c>
      <c r="D133" s="2">
        <v>0</v>
      </c>
      <c r="E133" s="2">
        <v>2</v>
      </c>
      <c r="F133" s="2">
        <v>7</v>
      </c>
      <c r="G133" s="2" t="b">
        <v>0</v>
      </c>
      <c r="H133" s="2">
        <v>4</v>
      </c>
      <c r="I133" s="2">
        <v>1</v>
      </c>
      <c r="J133" s="2">
        <v>0.14000000000000001</v>
      </c>
      <c r="K133" s="2">
        <v>0.1212</v>
      </c>
      <c r="L133" s="2">
        <v>0.5</v>
      </c>
      <c r="M133" s="2">
        <v>0.32840000000000003</v>
      </c>
      <c r="N133" s="2">
        <v>1</v>
      </c>
      <c r="O133" s="2">
        <v>86</v>
      </c>
      <c r="P133" s="65">
        <v>87</v>
      </c>
    </row>
    <row r="134" spans="1:16" ht="13.2" x14ac:dyDescent="0.25">
      <c r="A134" s="7">
        <v>743</v>
      </c>
      <c r="B134" s="3">
        <v>40577</v>
      </c>
      <c r="C134" s="2">
        <v>1</v>
      </c>
      <c r="D134" s="2">
        <v>0</v>
      </c>
      <c r="E134" s="2">
        <v>2</v>
      </c>
      <c r="F134" s="2">
        <v>8</v>
      </c>
      <c r="G134" s="2" t="b">
        <v>0</v>
      </c>
      <c r="H134" s="2">
        <v>4</v>
      </c>
      <c r="I134" s="2">
        <v>1</v>
      </c>
      <c r="J134" s="2">
        <v>0.14000000000000001</v>
      </c>
      <c r="K134" s="2">
        <v>0.1212</v>
      </c>
      <c r="L134" s="2">
        <v>0.5</v>
      </c>
      <c r="M134" s="2">
        <v>0.35820000000000002</v>
      </c>
      <c r="N134" s="2">
        <v>4</v>
      </c>
      <c r="O134" s="2">
        <v>184</v>
      </c>
      <c r="P134" s="65">
        <v>188</v>
      </c>
    </row>
    <row r="135" spans="1:16" ht="13.2" x14ac:dyDescent="0.25">
      <c r="A135" s="7">
        <v>744</v>
      </c>
      <c r="B135" s="3">
        <v>40577</v>
      </c>
      <c r="C135" s="2">
        <v>1</v>
      </c>
      <c r="D135" s="2">
        <v>0</v>
      </c>
      <c r="E135" s="2">
        <v>2</v>
      </c>
      <c r="F135" s="2">
        <v>9</v>
      </c>
      <c r="G135" s="2" t="b">
        <v>0</v>
      </c>
      <c r="H135" s="2">
        <v>4</v>
      </c>
      <c r="I135" s="2">
        <v>1</v>
      </c>
      <c r="J135" s="2">
        <v>0.16</v>
      </c>
      <c r="K135" s="2">
        <v>0.13639999999999999</v>
      </c>
      <c r="L135" s="2">
        <v>0.47</v>
      </c>
      <c r="M135" s="2">
        <v>0.29849999999999999</v>
      </c>
      <c r="N135" s="2">
        <v>6</v>
      </c>
      <c r="O135" s="2">
        <v>127</v>
      </c>
      <c r="P135" s="65">
        <v>133</v>
      </c>
    </row>
    <row r="136" spans="1:16" ht="13.2" x14ac:dyDescent="0.25">
      <c r="A136" s="7">
        <v>745</v>
      </c>
      <c r="B136" s="3">
        <v>40577</v>
      </c>
      <c r="C136" s="2">
        <v>1</v>
      </c>
      <c r="D136" s="2">
        <v>0</v>
      </c>
      <c r="E136" s="2">
        <v>2</v>
      </c>
      <c r="F136" s="2">
        <v>10</v>
      </c>
      <c r="G136" s="2" t="b">
        <v>0</v>
      </c>
      <c r="H136" s="2">
        <v>4</v>
      </c>
      <c r="I136" s="2">
        <v>1</v>
      </c>
      <c r="J136" s="2">
        <v>0.18</v>
      </c>
      <c r="K136" s="2">
        <v>0.1515</v>
      </c>
      <c r="L136" s="2">
        <v>0.43</v>
      </c>
      <c r="M136" s="2">
        <v>0.32840000000000003</v>
      </c>
      <c r="N136" s="2">
        <v>2</v>
      </c>
      <c r="O136" s="2">
        <v>50</v>
      </c>
      <c r="P136" s="65">
        <v>52</v>
      </c>
    </row>
    <row r="137" spans="1:16" ht="13.2" x14ac:dyDescent="0.25">
      <c r="A137" s="7">
        <v>746</v>
      </c>
      <c r="B137" s="3">
        <v>40577</v>
      </c>
      <c r="C137" s="2">
        <v>1</v>
      </c>
      <c r="D137" s="2">
        <v>0</v>
      </c>
      <c r="E137" s="2">
        <v>2</v>
      </c>
      <c r="F137" s="2">
        <v>11</v>
      </c>
      <c r="G137" s="2" t="b">
        <v>0</v>
      </c>
      <c r="H137" s="2">
        <v>4</v>
      </c>
      <c r="I137" s="2">
        <v>1</v>
      </c>
      <c r="J137" s="2">
        <v>0.18</v>
      </c>
      <c r="K137" s="2">
        <v>0.13639999999999999</v>
      </c>
      <c r="L137" s="2">
        <v>0.43</v>
      </c>
      <c r="M137" s="2">
        <v>0.44779999999999998</v>
      </c>
      <c r="N137" s="2">
        <v>9</v>
      </c>
      <c r="O137" s="2">
        <v>55</v>
      </c>
      <c r="P137" s="65">
        <v>64</v>
      </c>
    </row>
    <row r="138" spans="1:16" ht="13.2" x14ac:dyDescent="0.25">
      <c r="A138" s="7">
        <v>747</v>
      </c>
      <c r="B138" s="3">
        <v>40577</v>
      </c>
      <c r="C138" s="2">
        <v>1</v>
      </c>
      <c r="D138" s="2">
        <v>0</v>
      </c>
      <c r="E138" s="2">
        <v>2</v>
      </c>
      <c r="F138" s="2">
        <v>12</v>
      </c>
      <c r="G138" s="2" t="b">
        <v>0</v>
      </c>
      <c r="H138" s="2">
        <v>4</v>
      </c>
      <c r="I138" s="2">
        <v>1</v>
      </c>
      <c r="J138" s="2">
        <v>0.2</v>
      </c>
      <c r="K138" s="2">
        <v>0.18179999999999999</v>
      </c>
      <c r="L138" s="2">
        <v>0.4</v>
      </c>
      <c r="M138" s="2">
        <v>0.35820000000000002</v>
      </c>
      <c r="N138" s="2">
        <v>2</v>
      </c>
      <c r="O138" s="2">
        <v>67</v>
      </c>
      <c r="P138" s="65">
        <v>69</v>
      </c>
    </row>
    <row r="139" spans="1:16" ht="13.2" x14ac:dyDescent="0.25">
      <c r="A139" s="7">
        <v>748</v>
      </c>
      <c r="B139" s="3">
        <v>40577</v>
      </c>
      <c r="C139" s="2">
        <v>1</v>
      </c>
      <c r="D139" s="2">
        <v>0</v>
      </c>
      <c r="E139" s="2">
        <v>2</v>
      </c>
      <c r="F139" s="2">
        <v>13</v>
      </c>
      <c r="G139" s="2" t="b">
        <v>0</v>
      </c>
      <c r="H139" s="2">
        <v>4</v>
      </c>
      <c r="I139" s="2">
        <v>1</v>
      </c>
      <c r="J139" s="2">
        <v>0.2</v>
      </c>
      <c r="K139" s="2">
        <v>0.16669999999999999</v>
      </c>
      <c r="L139" s="2">
        <v>0.4</v>
      </c>
      <c r="M139" s="2">
        <v>0.41789999999999999</v>
      </c>
      <c r="N139" s="2">
        <v>4</v>
      </c>
      <c r="O139" s="2">
        <v>47</v>
      </c>
      <c r="P139" s="65">
        <v>51</v>
      </c>
    </row>
    <row r="140" spans="1:16" ht="13.2" x14ac:dyDescent="0.25">
      <c r="A140" s="7">
        <v>749</v>
      </c>
      <c r="B140" s="3">
        <v>40577</v>
      </c>
      <c r="C140" s="2">
        <v>1</v>
      </c>
      <c r="D140" s="2">
        <v>0</v>
      </c>
      <c r="E140" s="2">
        <v>2</v>
      </c>
      <c r="F140" s="2">
        <v>14</v>
      </c>
      <c r="G140" s="2" t="b">
        <v>0</v>
      </c>
      <c r="H140" s="2">
        <v>4</v>
      </c>
      <c r="I140" s="2">
        <v>1</v>
      </c>
      <c r="J140" s="2">
        <v>0.22</v>
      </c>
      <c r="K140" s="2">
        <v>0.19700000000000001</v>
      </c>
      <c r="L140" s="2">
        <v>0.37</v>
      </c>
      <c r="M140" s="2">
        <v>0.3881</v>
      </c>
      <c r="N140" s="2">
        <v>4</v>
      </c>
      <c r="O140" s="2">
        <v>43</v>
      </c>
      <c r="P140" s="65">
        <v>47</v>
      </c>
    </row>
    <row r="141" spans="1:16" ht="13.2" x14ac:dyDescent="0.25">
      <c r="A141" s="7">
        <v>750</v>
      </c>
      <c r="B141" s="3">
        <v>40577</v>
      </c>
      <c r="C141" s="2">
        <v>1</v>
      </c>
      <c r="D141" s="2">
        <v>0</v>
      </c>
      <c r="E141" s="2">
        <v>2</v>
      </c>
      <c r="F141" s="2">
        <v>15</v>
      </c>
      <c r="G141" s="2" t="b">
        <v>0</v>
      </c>
      <c r="H141" s="2">
        <v>4</v>
      </c>
      <c r="I141" s="2">
        <v>1</v>
      </c>
      <c r="J141" s="2">
        <v>0.22</v>
      </c>
      <c r="K141" s="2">
        <v>0.19700000000000001</v>
      </c>
      <c r="L141" s="2">
        <v>0.37</v>
      </c>
      <c r="M141" s="2">
        <v>0.32840000000000003</v>
      </c>
      <c r="N141" s="2">
        <v>4</v>
      </c>
      <c r="O141" s="2">
        <v>56</v>
      </c>
      <c r="P141" s="65">
        <v>60</v>
      </c>
    </row>
    <row r="142" spans="1:16" ht="13.2" x14ac:dyDescent="0.25">
      <c r="A142" s="7">
        <v>751</v>
      </c>
      <c r="B142" s="3">
        <v>40577</v>
      </c>
      <c r="C142" s="2">
        <v>1</v>
      </c>
      <c r="D142" s="2">
        <v>0</v>
      </c>
      <c r="E142" s="2">
        <v>2</v>
      </c>
      <c r="F142" s="2">
        <v>16</v>
      </c>
      <c r="G142" s="2" t="b">
        <v>0</v>
      </c>
      <c r="H142" s="2">
        <v>4</v>
      </c>
      <c r="I142" s="2">
        <v>1</v>
      </c>
      <c r="J142" s="2">
        <v>0.22</v>
      </c>
      <c r="K142" s="2">
        <v>0.21210000000000001</v>
      </c>
      <c r="L142" s="2">
        <v>0.37</v>
      </c>
      <c r="M142" s="2">
        <v>0.25369999999999998</v>
      </c>
      <c r="N142" s="2">
        <v>5</v>
      </c>
      <c r="O142" s="2">
        <v>73</v>
      </c>
      <c r="P142" s="65">
        <v>78</v>
      </c>
    </row>
    <row r="143" spans="1:16" ht="13.2" x14ac:dyDescent="0.25">
      <c r="A143" s="7">
        <v>752</v>
      </c>
      <c r="B143" s="3">
        <v>40577</v>
      </c>
      <c r="C143" s="2">
        <v>1</v>
      </c>
      <c r="D143" s="2">
        <v>0</v>
      </c>
      <c r="E143" s="2">
        <v>2</v>
      </c>
      <c r="F143" s="2">
        <v>17</v>
      </c>
      <c r="G143" s="2" t="b">
        <v>0</v>
      </c>
      <c r="H143" s="2">
        <v>4</v>
      </c>
      <c r="I143" s="2">
        <v>1</v>
      </c>
      <c r="J143" s="2">
        <v>0.2</v>
      </c>
      <c r="K143" s="2">
        <v>0.19700000000000001</v>
      </c>
      <c r="L143" s="2">
        <v>0.4</v>
      </c>
      <c r="M143" s="2">
        <v>0.19400000000000001</v>
      </c>
      <c r="N143" s="2">
        <v>5</v>
      </c>
      <c r="O143" s="2">
        <v>170</v>
      </c>
      <c r="P143" s="65">
        <v>175</v>
      </c>
    </row>
    <row r="144" spans="1:16" ht="13.2" x14ac:dyDescent="0.25">
      <c r="A144" s="7">
        <v>753</v>
      </c>
      <c r="B144" s="3">
        <v>40577</v>
      </c>
      <c r="C144" s="2">
        <v>1</v>
      </c>
      <c r="D144" s="2">
        <v>0</v>
      </c>
      <c r="E144" s="2">
        <v>2</v>
      </c>
      <c r="F144" s="2">
        <v>18</v>
      </c>
      <c r="G144" s="2" t="b">
        <v>0</v>
      </c>
      <c r="H144" s="2">
        <v>4</v>
      </c>
      <c r="I144" s="2">
        <v>1</v>
      </c>
      <c r="J144" s="2">
        <v>0.2</v>
      </c>
      <c r="K144" s="2">
        <v>0.21210000000000001</v>
      </c>
      <c r="L144" s="2">
        <v>0.4</v>
      </c>
      <c r="M144" s="2">
        <v>0.16420000000000001</v>
      </c>
      <c r="N144" s="2">
        <v>2</v>
      </c>
      <c r="O144" s="2">
        <v>145</v>
      </c>
      <c r="P144" s="65">
        <v>147</v>
      </c>
    </row>
    <row r="145" spans="1:16" ht="13.2" x14ac:dyDescent="0.25">
      <c r="A145" s="7">
        <v>754</v>
      </c>
      <c r="B145" s="3">
        <v>40577</v>
      </c>
      <c r="C145" s="2">
        <v>1</v>
      </c>
      <c r="D145" s="2">
        <v>0</v>
      </c>
      <c r="E145" s="2">
        <v>2</v>
      </c>
      <c r="F145" s="2">
        <v>19</v>
      </c>
      <c r="G145" s="2" t="b">
        <v>0</v>
      </c>
      <c r="H145" s="2">
        <v>4</v>
      </c>
      <c r="I145" s="2">
        <v>1</v>
      </c>
      <c r="J145" s="2">
        <v>0.2</v>
      </c>
      <c r="K145" s="2">
        <v>0.2576</v>
      </c>
      <c r="L145" s="2">
        <v>0.4</v>
      </c>
      <c r="M145" s="2">
        <v>0</v>
      </c>
      <c r="N145" s="2">
        <v>4</v>
      </c>
      <c r="O145" s="2">
        <v>92</v>
      </c>
      <c r="P145" s="65">
        <v>96</v>
      </c>
    </row>
    <row r="146" spans="1:16" ht="13.2" x14ac:dyDescent="0.25">
      <c r="A146" s="7">
        <v>755</v>
      </c>
      <c r="B146" s="3">
        <v>40577</v>
      </c>
      <c r="C146" s="2">
        <v>1</v>
      </c>
      <c r="D146" s="2">
        <v>0</v>
      </c>
      <c r="E146" s="2">
        <v>2</v>
      </c>
      <c r="F146" s="2">
        <v>20</v>
      </c>
      <c r="G146" s="2" t="b">
        <v>0</v>
      </c>
      <c r="H146" s="2">
        <v>4</v>
      </c>
      <c r="I146" s="2">
        <v>1</v>
      </c>
      <c r="J146" s="2">
        <v>0.2</v>
      </c>
      <c r="K146" s="2">
        <v>0.2273</v>
      </c>
      <c r="L146" s="2">
        <v>0.47</v>
      </c>
      <c r="M146" s="2">
        <v>8.9599999999999999E-2</v>
      </c>
      <c r="N146" s="2">
        <v>1</v>
      </c>
      <c r="O146" s="2">
        <v>108</v>
      </c>
      <c r="P146" s="65">
        <v>109</v>
      </c>
    </row>
    <row r="147" spans="1:16" ht="13.2" x14ac:dyDescent="0.25">
      <c r="A147" s="7">
        <v>756</v>
      </c>
      <c r="B147" s="3">
        <v>40577</v>
      </c>
      <c r="C147" s="2">
        <v>1</v>
      </c>
      <c r="D147" s="2">
        <v>0</v>
      </c>
      <c r="E147" s="2">
        <v>2</v>
      </c>
      <c r="F147" s="2">
        <v>21</v>
      </c>
      <c r="G147" s="2" t="b">
        <v>0</v>
      </c>
      <c r="H147" s="2">
        <v>4</v>
      </c>
      <c r="I147" s="2">
        <v>1</v>
      </c>
      <c r="J147" s="2">
        <v>0.18</v>
      </c>
      <c r="K147" s="2">
        <v>0.21210000000000001</v>
      </c>
      <c r="L147" s="2">
        <v>0.55000000000000004</v>
      </c>
      <c r="M147" s="2">
        <v>0.1045</v>
      </c>
      <c r="N147" s="2">
        <v>1</v>
      </c>
      <c r="O147" s="2">
        <v>53</v>
      </c>
      <c r="P147" s="65">
        <v>54</v>
      </c>
    </row>
    <row r="148" spans="1:16" ht="13.2" x14ac:dyDescent="0.25">
      <c r="A148" s="7">
        <v>757</v>
      </c>
      <c r="B148" s="3">
        <v>40577</v>
      </c>
      <c r="C148" s="2">
        <v>1</v>
      </c>
      <c r="D148" s="2">
        <v>0</v>
      </c>
      <c r="E148" s="2">
        <v>2</v>
      </c>
      <c r="F148" s="2">
        <v>22</v>
      </c>
      <c r="G148" s="2" t="b">
        <v>0</v>
      </c>
      <c r="H148" s="2">
        <v>4</v>
      </c>
      <c r="I148" s="2">
        <v>1</v>
      </c>
      <c r="J148" s="2">
        <v>0.18</v>
      </c>
      <c r="K148" s="2">
        <v>0.21210000000000001</v>
      </c>
      <c r="L148" s="2">
        <v>0.51</v>
      </c>
      <c r="M148" s="2">
        <v>8.9599999999999999E-2</v>
      </c>
      <c r="N148" s="2">
        <v>2</v>
      </c>
      <c r="O148" s="2">
        <v>39</v>
      </c>
      <c r="P148" s="65">
        <v>41</v>
      </c>
    </row>
    <row r="149" spans="1:16" ht="13.2" x14ac:dyDescent="0.25">
      <c r="A149" s="7">
        <v>758</v>
      </c>
      <c r="B149" s="3">
        <v>40577</v>
      </c>
      <c r="C149" s="2">
        <v>1</v>
      </c>
      <c r="D149" s="2">
        <v>0</v>
      </c>
      <c r="E149" s="2">
        <v>2</v>
      </c>
      <c r="F149" s="2">
        <v>23</v>
      </c>
      <c r="G149" s="2" t="b">
        <v>0</v>
      </c>
      <c r="H149" s="2">
        <v>4</v>
      </c>
      <c r="I149" s="2">
        <v>1</v>
      </c>
      <c r="J149" s="2">
        <v>0.2</v>
      </c>
      <c r="K149" s="2">
        <v>0.2273</v>
      </c>
      <c r="L149" s="2">
        <v>0.47</v>
      </c>
      <c r="M149" s="2">
        <v>0.1045</v>
      </c>
      <c r="N149" s="2">
        <v>4</v>
      </c>
      <c r="O149" s="2">
        <v>34</v>
      </c>
      <c r="P149" s="65">
        <v>38</v>
      </c>
    </row>
    <row r="150" spans="1:16" ht="13.2" x14ac:dyDescent="0.25">
      <c r="A150" s="7">
        <v>759</v>
      </c>
      <c r="B150" s="3">
        <v>40578</v>
      </c>
      <c r="C150" s="2">
        <v>1</v>
      </c>
      <c r="D150" s="2">
        <v>0</v>
      </c>
      <c r="E150" s="2">
        <v>2</v>
      </c>
      <c r="F150" s="2">
        <v>0</v>
      </c>
      <c r="G150" s="2" t="b">
        <v>0</v>
      </c>
      <c r="H150" s="2">
        <v>5</v>
      </c>
      <c r="I150" s="2">
        <v>2</v>
      </c>
      <c r="J150" s="2">
        <v>0.2</v>
      </c>
      <c r="K150" s="2">
        <v>0.2576</v>
      </c>
      <c r="L150" s="2">
        <v>0.44</v>
      </c>
      <c r="M150" s="2">
        <v>0</v>
      </c>
      <c r="N150" s="2">
        <v>3</v>
      </c>
      <c r="O150" s="2">
        <v>10</v>
      </c>
      <c r="P150" s="65">
        <v>13</v>
      </c>
    </row>
    <row r="151" spans="1:16" ht="13.2" x14ac:dyDescent="0.25">
      <c r="A151" s="7">
        <v>760</v>
      </c>
      <c r="B151" s="3">
        <v>40578</v>
      </c>
      <c r="C151" s="2">
        <v>1</v>
      </c>
      <c r="D151" s="2">
        <v>0</v>
      </c>
      <c r="E151" s="2">
        <v>2</v>
      </c>
      <c r="F151" s="2">
        <v>1</v>
      </c>
      <c r="G151" s="2" t="b">
        <v>0</v>
      </c>
      <c r="H151" s="2">
        <v>5</v>
      </c>
      <c r="I151" s="2">
        <v>2</v>
      </c>
      <c r="J151" s="2">
        <v>0.16</v>
      </c>
      <c r="K151" s="2">
        <v>0.2273</v>
      </c>
      <c r="L151" s="2">
        <v>0.59</v>
      </c>
      <c r="M151" s="2">
        <v>0</v>
      </c>
      <c r="N151" s="2">
        <v>0</v>
      </c>
      <c r="O151" s="2">
        <v>7</v>
      </c>
      <c r="P151" s="65">
        <v>7</v>
      </c>
    </row>
    <row r="152" spans="1:16" ht="13.2" x14ac:dyDescent="0.25">
      <c r="A152" s="7">
        <v>761</v>
      </c>
      <c r="B152" s="3">
        <v>40578</v>
      </c>
      <c r="C152" s="2">
        <v>1</v>
      </c>
      <c r="D152" s="2">
        <v>0</v>
      </c>
      <c r="E152" s="2">
        <v>2</v>
      </c>
      <c r="F152" s="2">
        <v>2</v>
      </c>
      <c r="G152" s="2" t="b">
        <v>0</v>
      </c>
      <c r="H152" s="2">
        <v>5</v>
      </c>
      <c r="I152" s="2">
        <v>2</v>
      </c>
      <c r="J152" s="2">
        <v>0.14000000000000001</v>
      </c>
      <c r="K152" s="2">
        <v>0.16669999999999999</v>
      </c>
      <c r="L152" s="2">
        <v>0.63</v>
      </c>
      <c r="M152" s="2">
        <v>0.1045</v>
      </c>
      <c r="N152" s="2">
        <v>0</v>
      </c>
      <c r="O152" s="2">
        <v>1</v>
      </c>
      <c r="P152" s="65">
        <v>1</v>
      </c>
    </row>
    <row r="153" spans="1:16" ht="13.2" x14ac:dyDescent="0.25">
      <c r="A153" s="7">
        <v>762</v>
      </c>
      <c r="B153" s="3">
        <v>40578</v>
      </c>
      <c r="C153" s="2">
        <v>1</v>
      </c>
      <c r="D153" s="2">
        <v>0</v>
      </c>
      <c r="E153" s="2">
        <v>2</v>
      </c>
      <c r="F153" s="2">
        <v>3</v>
      </c>
      <c r="G153" s="2" t="b">
        <v>0</v>
      </c>
      <c r="H153" s="2">
        <v>5</v>
      </c>
      <c r="I153" s="2">
        <v>2</v>
      </c>
      <c r="J153" s="2">
        <v>0.14000000000000001</v>
      </c>
      <c r="K153" s="2">
        <v>0.16669999999999999</v>
      </c>
      <c r="L153" s="2">
        <v>0.63</v>
      </c>
      <c r="M153" s="2">
        <v>0.1045</v>
      </c>
      <c r="N153" s="2">
        <v>0</v>
      </c>
      <c r="O153" s="2">
        <v>1</v>
      </c>
      <c r="P153" s="65">
        <v>1</v>
      </c>
    </row>
    <row r="154" spans="1:16" ht="13.2" x14ac:dyDescent="0.25">
      <c r="A154" s="7">
        <v>763</v>
      </c>
      <c r="B154" s="3">
        <v>40578</v>
      </c>
      <c r="C154" s="2">
        <v>1</v>
      </c>
      <c r="D154" s="2">
        <v>0</v>
      </c>
      <c r="E154" s="2">
        <v>2</v>
      </c>
      <c r="F154" s="2">
        <v>5</v>
      </c>
      <c r="G154" s="2" t="b">
        <v>0</v>
      </c>
      <c r="H154" s="2">
        <v>5</v>
      </c>
      <c r="I154" s="2">
        <v>2</v>
      </c>
      <c r="J154" s="2">
        <v>0.14000000000000001</v>
      </c>
      <c r="K154" s="2">
        <v>0.1515</v>
      </c>
      <c r="L154" s="2">
        <v>0.63</v>
      </c>
      <c r="M154" s="2">
        <v>0.1343</v>
      </c>
      <c r="N154" s="2">
        <v>0</v>
      </c>
      <c r="O154" s="2">
        <v>7</v>
      </c>
      <c r="P154" s="65">
        <v>7</v>
      </c>
    </row>
    <row r="155" spans="1:16" ht="13.2" x14ac:dyDescent="0.25">
      <c r="A155" s="7">
        <v>764</v>
      </c>
      <c r="B155" s="3">
        <v>40578</v>
      </c>
      <c r="C155" s="2">
        <v>1</v>
      </c>
      <c r="D155" s="2">
        <v>0</v>
      </c>
      <c r="E155" s="2">
        <v>2</v>
      </c>
      <c r="F155" s="2">
        <v>6</v>
      </c>
      <c r="G155" s="2" t="b">
        <v>0</v>
      </c>
      <c r="H155" s="2">
        <v>5</v>
      </c>
      <c r="I155" s="2">
        <v>2</v>
      </c>
      <c r="J155" s="2">
        <v>0.16</v>
      </c>
      <c r="K155" s="2">
        <v>0.2273</v>
      </c>
      <c r="L155" s="2">
        <v>0.55000000000000004</v>
      </c>
      <c r="M155" s="2">
        <v>0</v>
      </c>
      <c r="N155" s="2">
        <v>2</v>
      </c>
      <c r="O155" s="2">
        <v>26</v>
      </c>
      <c r="P155" s="65">
        <v>28</v>
      </c>
    </row>
    <row r="156" spans="1:16" ht="13.2" x14ac:dyDescent="0.25">
      <c r="A156" s="7">
        <v>765</v>
      </c>
      <c r="B156" s="3">
        <v>40578</v>
      </c>
      <c r="C156" s="2">
        <v>1</v>
      </c>
      <c r="D156" s="2">
        <v>0</v>
      </c>
      <c r="E156" s="2">
        <v>2</v>
      </c>
      <c r="F156" s="2">
        <v>7</v>
      </c>
      <c r="G156" s="2" t="b">
        <v>0</v>
      </c>
      <c r="H156" s="2">
        <v>5</v>
      </c>
      <c r="I156" s="2">
        <v>1</v>
      </c>
      <c r="J156" s="2">
        <v>0.14000000000000001</v>
      </c>
      <c r="K156" s="2">
        <v>0.21210000000000001</v>
      </c>
      <c r="L156" s="2">
        <v>0.59</v>
      </c>
      <c r="M156" s="2">
        <v>0</v>
      </c>
      <c r="N156" s="2">
        <v>0</v>
      </c>
      <c r="O156" s="2">
        <v>87</v>
      </c>
      <c r="P156" s="65">
        <v>87</v>
      </c>
    </row>
    <row r="157" spans="1:16" ht="13.2" x14ac:dyDescent="0.25">
      <c r="A157" s="7">
        <v>766</v>
      </c>
      <c r="B157" s="3">
        <v>40578</v>
      </c>
      <c r="C157" s="2">
        <v>1</v>
      </c>
      <c r="D157" s="2">
        <v>0</v>
      </c>
      <c r="E157" s="2">
        <v>2</v>
      </c>
      <c r="F157" s="2">
        <v>8</v>
      </c>
      <c r="G157" s="2" t="b">
        <v>0</v>
      </c>
      <c r="H157" s="2">
        <v>5</v>
      </c>
      <c r="I157" s="2">
        <v>1</v>
      </c>
      <c r="J157" s="2">
        <v>0.14000000000000001</v>
      </c>
      <c r="K157" s="2">
        <v>0.1515</v>
      </c>
      <c r="L157" s="2">
        <v>0.74</v>
      </c>
      <c r="M157" s="2">
        <v>0.1343</v>
      </c>
      <c r="N157" s="2">
        <v>3</v>
      </c>
      <c r="O157" s="2">
        <v>217</v>
      </c>
      <c r="P157" s="65">
        <v>220</v>
      </c>
    </row>
    <row r="158" spans="1:16" ht="13.2" x14ac:dyDescent="0.25">
      <c r="A158" s="7">
        <v>767</v>
      </c>
      <c r="B158" s="3">
        <v>40578</v>
      </c>
      <c r="C158" s="2">
        <v>1</v>
      </c>
      <c r="D158" s="2">
        <v>0</v>
      </c>
      <c r="E158" s="2">
        <v>2</v>
      </c>
      <c r="F158" s="2">
        <v>9</v>
      </c>
      <c r="G158" s="2" t="b">
        <v>0</v>
      </c>
      <c r="H158" s="2">
        <v>5</v>
      </c>
      <c r="I158" s="2">
        <v>2</v>
      </c>
      <c r="J158" s="2">
        <v>0.16</v>
      </c>
      <c r="K158" s="2">
        <v>0.18179999999999999</v>
      </c>
      <c r="L158" s="2">
        <v>0.8</v>
      </c>
      <c r="M158" s="2">
        <v>0.1343</v>
      </c>
      <c r="N158" s="2">
        <v>3</v>
      </c>
      <c r="O158" s="2">
        <v>124</v>
      </c>
      <c r="P158" s="65">
        <v>127</v>
      </c>
    </row>
    <row r="159" spans="1:16" ht="13.2" x14ac:dyDescent="0.25">
      <c r="A159" s="7">
        <v>768</v>
      </c>
      <c r="B159" s="3">
        <v>40578</v>
      </c>
      <c r="C159" s="2">
        <v>1</v>
      </c>
      <c r="D159" s="2">
        <v>0</v>
      </c>
      <c r="E159" s="2">
        <v>2</v>
      </c>
      <c r="F159" s="2">
        <v>10</v>
      </c>
      <c r="G159" s="2" t="b">
        <v>0</v>
      </c>
      <c r="H159" s="2">
        <v>5</v>
      </c>
      <c r="I159" s="2">
        <v>2</v>
      </c>
      <c r="J159" s="2">
        <v>0.2</v>
      </c>
      <c r="K159" s="2">
        <v>0.21210000000000001</v>
      </c>
      <c r="L159" s="2">
        <v>0.51</v>
      </c>
      <c r="M159" s="2">
        <v>0.1343</v>
      </c>
      <c r="N159" s="2">
        <v>5</v>
      </c>
      <c r="O159" s="2">
        <v>46</v>
      </c>
      <c r="P159" s="65">
        <v>51</v>
      </c>
    </row>
    <row r="160" spans="1:16" ht="13.2" x14ac:dyDescent="0.25">
      <c r="A160" s="7">
        <v>769</v>
      </c>
      <c r="B160" s="3">
        <v>40578</v>
      </c>
      <c r="C160" s="2">
        <v>1</v>
      </c>
      <c r="D160" s="2">
        <v>0</v>
      </c>
      <c r="E160" s="2">
        <v>2</v>
      </c>
      <c r="F160" s="2">
        <v>11</v>
      </c>
      <c r="G160" s="2" t="b">
        <v>0</v>
      </c>
      <c r="H160" s="2">
        <v>5</v>
      </c>
      <c r="I160" s="2">
        <v>1</v>
      </c>
      <c r="J160" s="2">
        <v>0.22</v>
      </c>
      <c r="K160" s="2">
        <v>0.2273</v>
      </c>
      <c r="L160" s="2">
        <v>0.51</v>
      </c>
      <c r="M160" s="2">
        <v>0.16420000000000001</v>
      </c>
      <c r="N160" s="2">
        <v>3</v>
      </c>
      <c r="O160" s="2">
        <v>61</v>
      </c>
      <c r="P160" s="65">
        <v>64</v>
      </c>
    </row>
    <row r="161" spans="1:16" ht="13.2" x14ac:dyDescent="0.25">
      <c r="A161" s="7">
        <v>770</v>
      </c>
      <c r="B161" s="3">
        <v>40578</v>
      </c>
      <c r="C161" s="2">
        <v>1</v>
      </c>
      <c r="D161" s="2">
        <v>0</v>
      </c>
      <c r="E161" s="2">
        <v>2</v>
      </c>
      <c r="F161" s="2">
        <v>12</v>
      </c>
      <c r="G161" s="2" t="b">
        <v>0</v>
      </c>
      <c r="H161" s="2">
        <v>5</v>
      </c>
      <c r="I161" s="2">
        <v>2</v>
      </c>
      <c r="J161" s="2">
        <v>0.24</v>
      </c>
      <c r="K161" s="2">
        <v>0.2424</v>
      </c>
      <c r="L161" s="2">
        <v>0.48</v>
      </c>
      <c r="M161" s="2">
        <v>0.16420000000000001</v>
      </c>
      <c r="N161" s="2">
        <v>8</v>
      </c>
      <c r="O161" s="2">
        <v>78</v>
      </c>
      <c r="P161" s="65">
        <v>86</v>
      </c>
    </row>
    <row r="162" spans="1:16" ht="13.2" x14ac:dyDescent="0.25">
      <c r="A162" s="7">
        <v>771</v>
      </c>
      <c r="B162" s="3">
        <v>40578</v>
      </c>
      <c r="C162" s="2">
        <v>1</v>
      </c>
      <c r="D162" s="2">
        <v>0</v>
      </c>
      <c r="E162" s="2">
        <v>2</v>
      </c>
      <c r="F162" s="2">
        <v>13</v>
      </c>
      <c r="G162" s="2" t="b">
        <v>0</v>
      </c>
      <c r="H162" s="2">
        <v>5</v>
      </c>
      <c r="I162" s="2">
        <v>2</v>
      </c>
      <c r="J162" s="2">
        <v>0.26</v>
      </c>
      <c r="K162" s="2">
        <v>0.2576</v>
      </c>
      <c r="L162" s="2">
        <v>0.5</v>
      </c>
      <c r="M162" s="2">
        <v>0.22389999999999999</v>
      </c>
      <c r="N162" s="2">
        <v>9</v>
      </c>
      <c r="O162" s="2">
        <v>73</v>
      </c>
      <c r="P162" s="65">
        <v>82</v>
      </c>
    </row>
    <row r="163" spans="1:16" ht="13.2" x14ac:dyDescent="0.25">
      <c r="A163" s="7">
        <v>772</v>
      </c>
      <c r="B163" s="3">
        <v>40578</v>
      </c>
      <c r="C163" s="2">
        <v>1</v>
      </c>
      <c r="D163" s="2">
        <v>0</v>
      </c>
      <c r="E163" s="2">
        <v>2</v>
      </c>
      <c r="F163" s="2">
        <v>14</v>
      </c>
      <c r="G163" s="2" t="b">
        <v>0</v>
      </c>
      <c r="H163" s="2">
        <v>5</v>
      </c>
      <c r="I163" s="2">
        <v>2</v>
      </c>
      <c r="J163" s="2">
        <v>0.28000000000000003</v>
      </c>
      <c r="K163" s="2">
        <v>0.2727</v>
      </c>
      <c r="L163" s="2">
        <v>0.45</v>
      </c>
      <c r="M163" s="2">
        <v>0.16420000000000001</v>
      </c>
      <c r="N163" s="2">
        <v>15</v>
      </c>
      <c r="O163" s="2">
        <v>76</v>
      </c>
      <c r="P163" s="65">
        <v>91</v>
      </c>
    </row>
    <row r="164" spans="1:16" ht="13.2" x14ac:dyDescent="0.25">
      <c r="A164" s="7">
        <v>773</v>
      </c>
      <c r="B164" s="3">
        <v>40578</v>
      </c>
      <c r="C164" s="2">
        <v>1</v>
      </c>
      <c r="D164" s="2">
        <v>0</v>
      </c>
      <c r="E164" s="2">
        <v>2</v>
      </c>
      <c r="F164" s="2">
        <v>15</v>
      </c>
      <c r="G164" s="2" t="b">
        <v>0</v>
      </c>
      <c r="H164" s="2">
        <v>5</v>
      </c>
      <c r="I164" s="2">
        <v>2</v>
      </c>
      <c r="J164" s="2">
        <v>0.28000000000000003</v>
      </c>
      <c r="K164" s="2">
        <v>0.2727</v>
      </c>
      <c r="L164" s="2">
        <v>0.48</v>
      </c>
      <c r="M164" s="2">
        <v>0.25369999999999998</v>
      </c>
      <c r="N164" s="2">
        <v>9</v>
      </c>
      <c r="O164" s="2">
        <v>81</v>
      </c>
      <c r="P164" s="65">
        <v>90</v>
      </c>
    </row>
    <row r="165" spans="1:16" ht="13.2" x14ac:dyDescent="0.25">
      <c r="A165" s="7">
        <v>774</v>
      </c>
      <c r="B165" s="3">
        <v>40578</v>
      </c>
      <c r="C165" s="2">
        <v>1</v>
      </c>
      <c r="D165" s="2">
        <v>0</v>
      </c>
      <c r="E165" s="2">
        <v>2</v>
      </c>
      <c r="F165" s="2">
        <v>16</v>
      </c>
      <c r="G165" s="2" t="b">
        <v>0</v>
      </c>
      <c r="H165" s="2">
        <v>5</v>
      </c>
      <c r="I165" s="2">
        <v>2</v>
      </c>
      <c r="J165" s="2">
        <v>0.3</v>
      </c>
      <c r="K165" s="2">
        <v>0.28789999999999999</v>
      </c>
      <c r="L165" s="2">
        <v>0.42</v>
      </c>
      <c r="M165" s="2">
        <v>0.22389999999999999</v>
      </c>
      <c r="N165" s="2">
        <v>8</v>
      </c>
      <c r="O165" s="2">
        <v>91</v>
      </c>
      <c r="P165" s="65">
        <v>99</v>
      </c>
    </row>
    <row r="166" spans="1:16" ht="13.2" x14ac:dyDescent="0.25">
      <c r="A166" s="7">
        <v>775</v>
      </c>
      <c r="B166" s="3">
        <v>40578</v>
      </c>
      <c r="C166" s="2">
        <v>1</v>
      </c>
      <c r="D166" s="2">
        <v>0</v>
      </c>
      <c r="E166" s="2">
        <v>2</v>
      </c>
      <c r="F166" s="2">
        <v>17</v>
      </c>
      <c r="G166" s="2" t="b">
        <v>0</v>
      </c>
      <c r="H166" s="2">
        <v>5</v>
      </c>
      <c r="I166" s="2">
        <v>2</v>
      </c>
      <c r="J166" s="2">
        <v>0.26</v>
      </c>
      <c r="K166" s="2">
        <v>0.2727</v>
      </c>
      <c r="L166" s="2">
        <v>0.56000000000000005</v>
      </c>
      <c r="M166" s="2">
        <v>0.1343</v>
      </c>
      <c r="N166" s="2">
        <v>10</v>
      </c>
      <c r="O166" s="2">
        <v>195</v>
      </c>
      <c r="P166" s="65">
        <v>205</v>
      </c>
    </row>
    <row r="167" spans="1:16" ht="13.2" x14ac:dyDescent="0.25">
      <c r="A167" s="7">
        <v>776</v>
      </c>
      <c r="B167" s="3">
        <v>40578</v>
      </c>
      <c r="C167" s="2">
        <v>1</v>
      </c>
      <c r="D167" s="2">
        <v>0</v>
      </c>
      <c r="E167" s="2">
        <v>2</v>
      </c>
      <c r="F167" s="2">
        <v>18</v>
      </c>
      <c r="G167" s="2" t="b">
        <v>0</v>
      </c>
      <c r="H167" s="2">
        <v>5</v>
      </c>
      <c r="I167" s="2">
        <v>2</v>
      </c>
      <c r="J167" s="2">
        <v>0.24</v>
      </c>
      <c r="K167" s="2">
        <v>0.2576</v>
      </c>
      <c r="L167" s="2">
        <v>0.6</v>
      </c>
      <c r="M167" s="2">
        <v>0.1045</v>
      </c>
      <c r="N167" s="2">
        <v>3</v>
      </c>
      <c r="O167" s="2">
        <v>152</v>
      </c>
      <c r="P167" s="65">
        <v>155</v>
      </c>
    </row>
    <row r="168" spans="1:16" ht="13.2" x14ac:dyDescent="0.25">
      <c r="A168" s="7">
        <v>777</v>
      </c>
      <c r="B168" s="3">
        <v>40578</v>
      </c>
      <c r="C168" s="2">
        <v>1</v>
      </c>
      <c r="D168" s="2">
        <v>0</v>
      </c>
      <c r="E168" s="2">
        <v>2</v>
      </c>
      <c r="F168" s="2">
        <v>19</v>
      </c>
      <c r="G168" s="2" t="b">
        <v>0</v>
      </c>
      <c r="H168" s="2">
        <v>5</v>
      </c>
      <c r="I168" s="2">
        <v>2</v>
      </c>
      <c r="J168" s="2">
        <v>0.24</v>
      </c>
      <c r="K168" s="2">
        <v>0.2424</v>
      </c>
      <c r="L168" s="2">
        <v>0.65</v>
      </c>
      <c r="M168" s="2">
        <v>0.1343</v>
      </c>
      <c r="N168" s="2">
        <v>1</v>
      </c>
      <c r="O168" s="2">
        <v>102</v>
      </c>
      <c r="P168" s="65">
        <v>103</v>
      </c>
    </row>
    <row r="169" spans="1:16" ht="13.2" x14ac:dyDescent="0.25">
      <c r="A169" s="7">
        <v>778</v>
      </c>
      <c r="B169" s="3">
        <v>40578</v>
      </c>
      <c r="C169" s="2">
        <v>1</v>
      </c>
      <c r="D169" s="2">
        <v>0</v>
      </c>
      <c r="E169" s="2">
        <v>2</v>
      </c>
      <c r="F169" s="2">
        <v>20</v>
      </c>
      <c r="G169" s="2" t="b">
        <v>0</v>
      </c>
      <c r="H169" s="2">
        <v>5</v>
      </c>
      <c r="I169" s="2">
        <v>2</v>
      </c>
      <c r="J169" s="2">
        <v>0.24</v>
      </c>
      <c r="K169" s="2">
        <v>0.2424</v>
      </c>
      <c r="L169" s="2">
        <v>0.65</v>
      </c>
      <c r="M169" s="2">
        <v>0.16420000000000001</v>
      </c>
      <c r="N169" s="2">
        <v>2</v>
      </c>
      <c r="O169" s="2">
        <v>69</v>
      </c>
      <c r="P169" s="65">
        <v>71</v>
      </c>
    </row>
    <row r="170" spans="1:16" ht="13.2" x14ac:dyDescent="0.25">
      <c r="A170" s="7">
        <v>779</v>
      </c>
      <c r="B170" s="3">
        <v>40578</v>
      </c>
      <c r="C170" s="2">
        <v>1</v>
      </c>
      <c r="D170" s="2">
        <v>0</v>
      </c>
      <c r="E170" s="2">
        <v>2</v>
      </c>
      <c r="F170" s="2">
        <v>21</v>
      </c>
      <c r="G170" s="2" t="b">
        <v>0</v>
      </c>
      <c r="H170" s="2">
        <v>5</v>
      </c>
      <c r="I170" s="2">
        <v>2</v>
      </c>
      <c r="J170" s="2">
        <v>0.24</v>
      </c>
      <c r="K170" s="2">
        <v>0.2424</v>
      </c>
      <c r="L170" s="2">
        <v>0.7</v>
      </c>
      <c r="M170" s="2">
        <v>0.16420000000000001</v>
      </c>
      <c r="N170" s="2">
        <v>2</v>
      </c>
      <c r="O170" s="2">
        <v>41</v>
      </c>
      <c r="P170" s="65">
        <v>43</v>
      </c>
    </row>
    <row r="171" spans="1:16" ht="13.2" x14ac:dyDescent="0.25">
      <c r="A171" s="7">
        <v>780</v>
      </c>
      <c r="B171" s="3">
        <v>40578</v>
      </c>
      <c r="C171" s="2">
        <v>1</v>
      </c>
      <c r="D171" s="2">
        <v>0</v>
      </c>
      <c r="E171" s="2">
        <v>2</v>
      </c>
      <c r="F171" s="2">
        <v>22</v>
      </c>
      <c r="G171" s="2" t="b">
        <v>0</v>
      </c>
      <c r="H171" s="2">
        <v>5</v>
      </c>
      <c r="I171" s="2">
        <v>2</v>
      </c>
      <c r="J171" s="2">
        <v>0.24</v>
      </c>
      <c r="K171" s="2">
        <v>0.2424</v>
      </c>
      <c r="L171" s="2">
        <v>0.65</v>
      </c>
      <c r="M171" s="2">
        <v>0.16420000000000001</v>
      </c>
      <c r="N171" s="2">
        <v>1</v>
      </c>
      <c r="O171" s="2">
        <v>45</v>
      </c>
      <c r="P171" s="65">
        <v>46</v>
      </c>
    </row>
    <row r="172" spans="1:16" ht="13.2" x14ac:dyDescent="0.25">
      <c r="A172" s="7">
        <v>781</v>
      </c>
      <c r="B172" s="3">
        <v>40578</v>
      </c>
      <c r="C172" s="2">
        <v>1</v>
      </c>
      <c r="D172" s="2">
        <v>0</v>
      </c>
      <c r="E172" s="2">
        <v>2</v>
      </c>
      <c r="F172" s="2">
        <v>23</v>
      </c>
      <c r="G172" s="2" t="b">
        <v>0</v>
      </c>
      <c r="H172" s="2">
        <v>5</v>
      </c>
      <c r="I172" s="2">
        <v>2</v>
      </c>
      <c r="J172" s="2">
        <v>0.24</v>
      </c>
      <c r="K172" s="2">
        <v>0.2424</v>
      </c>
      <c r="L172" s="2">
        <v>0.7</v>
      </c>
      <c r="M172" s="2">
        <v>0.1343</v>
      </c>
      <c r="N172" s="2">
        <v>1</v>
      </c>
      <c r="O172" s="2">
        <v>30</v>
      </c>
      <c r="P172" s="65">
        <v>31</v>
      </c>
    </row>
    <row r="173" spans="1:16" ht="13.2" x14ac:dyDescent="0.25">
      <c r="A173" s="7">
        <v>782</v>
      </c>
      <c r="B173" s="3">
        <v>40579</v>
      </c>
      <c r="C173" s="2">
        <v>1</v>
      </c>
      <c r="D173" s="2">
        <v>0</v>
      </c>
      <c r="E173" s="2">
        <v>2</v>
      </c>
      <c r="F173" s="2">
        <v>0</v>
      </c>
      <c r="G173" s="2" t="b">
        <v>0</v>
      </c>
      <c r="H173" s="2">
        <v>6</v>
      </c>
      <c r="I173" s="2">
        <v>2</v>
      </c>
      <c r="J173" s="2">
        <v>0.24</v>
      </c>
      <c r="K173" s="2">
        <v>0.2424</v>
      </c>
      <c r="L173" s="2">
        <v>0.7</v>
      </c>
      <c r="M173" s="2">
        <v>0.16420000000000001</v>
      </c>
      <c r="N173" s="2">
        <v>3</v>
      </c>
      <c r="O173" s="2">
        <v>36</v>
      </c>
      <c r="P173" s="65">
        <v>39</v>
      </c>
    </row>
    <row r="174" spans="1:16" ht="13.2" x14ac:dyDescent="0.25">
      <c r="A174" s="7">
        <v>783</v>
      </c>
      <c r="B174" s="3">
        <v>40579</v>
      </c>
      <c r="C174" s="2">
        <v>1</v>
      </c>
      <c r="D174" s="2">
        <v>0</v>
      </c>
      <c r="E174" s="2">
        <v>2</v>
      </c>
      <c r="F174" s="2">
        <v>1</v>
      </c>
      <c r="G174" s="2" t="b">
        <v>0</v>
      </c>
      <c r="H174" s="2">
        <v>6</v>
      </c>
      <c r="I174" s="2">
        <v>2</v>
      </c>
      <c r="J174" s="2">
        <v>0.24</v>
      </c>
      <c r="K174" s="2">
        <v>0.2424</v>
      </c>
      <c r="L174" s="2">
        <v>0.65</v>
      </c>
      <c r="M174" s="2">
        <v>0.16420000000000001</v>
      </c>
      <c r="N174" s="2">
        <v>1</v>
      </c>
      <c r="O174" s="2">
        <v>17</v>
      </c>
      <c r="P174" s="65">
        <v>18</v>
      </c>
    </row>
    <row r="175" spans="1:16" ht="13.2" x14ac:dyDescent="0.25">
      <c r="A175" s="7">
        <v>784</v>
      </c>
      <c r="B175" s="3">
        <v>40579</v>
      </c>
      <c r="C175" s="2">
        <v>1</v>
      </c>
      <c r="D175" s="2">
        <v>0</v>
      </c>
      <c r="E175" s="2">
        <v>2</v>
      </c>
      <c r="F175" s="2">
        <v>2</v>
      </c>
      <c r="G175" s="2" t="b">
        <v>0</v>
      </c>
      <c r="H175" s="2">
        <v>6</v>
      </c>
      <c r="I175" s="2">
        <v>2</v>
      </c>
      <c r="J175" s="2">
        <v>0.24</v>
      </c>
      <c r="K175" s="2">
        <v>0.2424</v>
      </c>
      <c r="L175" s="2">
        <v>0.75</v>
      </c>
      <c r="M175" s="2">
        <v>0.16420000000000001</v>
      </c>
      <c r="N175" s="2">
        <v>5</v>
      </c>
      <c r="O175" s="2">
        <v>12</v>
      </c>
      <c r="P175" s="65">
        <v>17</v>
      </c>
    </row>
    <row r="176" spans="1:16" ht="13.2" x14ac:dyDescent="0.25">
      <c r="A176" s="7">
        <v>785</v>
      </c>
      <c r="B176" s="3">
        <v>40579</v>
      </c>
      <c r="C176" s="2">
        <v>1</v>
      </c>
      <c r="D176" s="2">
        <v>0</v>
      </c>
      <c r="E176" s="2">
        <v>2</v>
      </c>
      <c r="F176" s="2">
        <v>3</v>
      </c>
      <c r="G176" s="2" t="b">
        <v>0</v>
      </c>
      <c r="H176" s="2">
        <v>6</v>
      </c>
      <c r="I176" s="2">
        <v>2</v>
      </c>
      <c r="J176" s="2">
        <v>0.24</v>
      </c>
      <c r="K176" s="2">
        <v>0.2424</v>
      </c>
      <c r="L176" s="2">
        <v>0.75</v>
      </c>
      <c r="M176" s="2">
        <v>0.16420000000000001</v>
      </c>
      <c r="N176" s="2">
        <v>1</v>
      </c>
      <c r="O176" s="2">
        <v>10</v>
      </c>
      <c r="P176" s="65">
        <v>11</v>
      </c>
    </row>
    <row r="177" spans="1:16" ht="13.2" x14ac:dyDescent="0.25">
      <c r="A177" s="7">
        <v>786</v>
      </c>
      <c r="B177" s="3">
        <v>40579</v>
      </c>
      <c r="C177" s="2">
        <v>1</v>
      </c>
      <c r="D177" s="2">
        <v>0</v>
      </c>
      <c r="E177" s="2">
        <v>2</v>
      </c>
      <c r="F177" s="2">
        <v>4</v>
      </c>
      <c r="G177" s="2" t="b">
        <v>0</v>
      </c>
      <c r="H177" s="2">
        <v>6</v>
      </c>
      <c r="I177" s="2">
        <v>3</v>
      </c>
      <c r="J177" s="2">
        <v>0.22</v>
      </c>
      <c r="K177" s="2">
        <v>0.2273</v>
      </c>
      <c r="L177" s="2">
        <v>0.93</v>
      </c>
      <c r="M177" s="2">
        <v>0.1343</v>
      </c>
      <c r="N177" s="2">
        <v>0</v>
      </c>
      <c r="O177" s="2">
        <v>8</v>
      </c>
      <c r="P177" s="65">
        <v>8</v>
      </c>
    </row>
    <row r="178" spans="1:16" ht="13.2" x14ac:dyDescent="0.25">
      <c r="A178" s="7">
        <v>787</v>
      </c>
      <c r="B178" s="3">
        <v>40579</v>
      </c>
      <c r="C178" s="2">
        <v>1</v>
      </c>
      <c r="D178" s="2">
        <v>0</v>
      </c>
      <c r="E178" s="2">
        <v>2</v>
      </c>
      <c r="F178" s="2">
        <v>5</v>
      </c>
      <c r="G178" s="2" t="b">
        <v>0</v>
      </c>
      <c r="H178" s="2">
        <v>6</v>
      </c>
      <c r="I178" s="2">
        <v>3</v>
      </c>
      <c r="J178" s="2">
        <v>0.2</v>
      </c>
      <c r="K178" s="2">
        <v>0.2273</v>
      </c>
      <c r="L178" s="2">
        <v>1</v>
      </c>
      <c r="M178" s="2">
        <v>8.9599999999999999E-2</v>
      </c>
      <c r="N178" s="2">
        <v>0</v>
      </c>
      <c r="O178" s="2">
        <v>9</v>
      </c>
      <c r="P178" s="65">
        <v>9</v>
      </c>
    </row>
    <row r="179" spans="1:16" ht="13.2" x14ac:dyDescent="0.25">
      <c r="A179" s="7">
        <v>788</v>
      </c>
      <c r="B179" s="3">
        <v>40579</v>
      </c>
      <c r="C179" s="2">
        <v>1</v>
      </c>
      <c r="D179" s="2">
        <v>0</v>
      </c>
      <c r="E179" s="2">
        <v>2</v>
      </c>
      <c r="F179" s="2">
        <v>6</v>
      </c>
      <c r="G179" s="2" t="b">
        <v>0</v>
      </c>
      <c r="H179" s="2">
        <v>6</v>
      </c>
      <c r="I179" s="2">
        <v>3</v>
      </c>
      <c r="J179" s="2">
        <v>0.2</v>
      </c>
      <c r="K179" s="2">
        <v>0.2576</v>
      </c>
      <c r="L179" s="2">
        <v>1</v>
      </c>
      <c r="M179" s="2">
        <v>0</v>
      </c>
      <c r="N179" s="2">
        <v>0</v>
      </c>
      <c r="O179" s="2">
        <v>4</v>
      </c>
      <c r="P179" s="65">
        <v>4</v>
      </c>
    </row>
    <row r="180" spans="1:16" ht="13.2" x14ac:dyDescent="0.25">
      <c r="A180" s="7">
        <v>789</v>
      </c>
      <c r="B180" s="3">
        <v>40579</v>
      </c>
      <c r="C180" s="2">
        <v>1</v>
      </c>
      <c r="D180" s="2">
        <v>0</v>
      </c>
      <c r="E180" s="2">
        <v>2</v>
      </c>
      <c r="F180" s="2">
        <v>7</v>
      </c>
      <c r="G180" s="2" t="b">
        <v>0</v>
      </c>
      <c r="H180" s="2">
        <v>6</v>
      </c>
      <c r="I180" s="2">
        <v>3</v>
      </c>
      <c r="J180" s="2">
        <v>0.22</v>
      </c>
      <c r="K180" s="2">
        <v>0.2576</v>
      </c>
      <c r="L180" s="2">
        <v>0.93</v>
      </c>
      <c r="M180" s="2">
        <v>8.9599999999999999E-2</v>
      </c>
      <c r="N180" s="2">
        <v>0</v>
      </c>
      <c r="O180" s="2">
        <v>4</v>
      </c>
      <c r="P180" s="65">
        <v>4</v>
      </c>
    </row>
    <row r="181" spans="1:16" ht="13.2" x14ac:dyDescent="0.25">
      <c r="A181" s="7">
        <v>790</v>
      </c>
      <c r="B181" s="3">
        <v>40579</v>
      </c>
      <c r="C181" s="2">
        <v>1</v>
      </c>
      <c r="D181" s="2">
        <v>0</v>
      </c>
      <c r="E181" s="2">
        <v>2</v>
      </c>
      <c r="F181" s="2">
        <v>8</v>
      </c>
      <c r="G181" s="2" t="b">
        <v>0</v>
      </c>
      <c r="H181" s="2">
        <v>6</v>
      </c>
      <c r="I181" s="2">
        <v>3</v>
      </c>
      <c r="J181" s="2">
        <v>0.2</v>
      </c>
      <c r="K181" s="2">
        <v>0.2273</v>
      </c>
      <c r="L181" s="2">
        <v>1</v>
      </c>
      <c r="M181" s="2">
        <v>8.9599999999999999E-2</v>
      </c>
      <c r="N181" s="2">
        <v>0</v>
      </c>
      <c r="O181" s="2">
        <v>10</v>
      </c>
      <c r="P181" s="65">
        <v>10</v>
      </c>
    </row>
    <row r="182" spans="1:16" ht="13.2" x14ac:dyDescent="0.25">
      <c r="A182" s="7">
        <v>791</v>
      </c>
      <c r="B182" s="3">
        <v>40579</v>
      </c>
      <c r="C182" s="2">
        <v>1</v>
      </c>
      <c r="D182" s="2">
        <v>0</v>
      </c>
      <c r="E182" s="2">
        <v>2</v>
      </c>
      <c r="F182" s="2">
        <v>9</v>
      </c>
      <c r="G182" s="2" t="b">
        <v>0</v>
      </c>
      <c r="H182" s="2">
        <v>6</v>
      </c>
      <c r="I182" s="2">
        <v>3</v>
      </c>
      <c r="J182" s="2">
        <v>0.2</v>
      </c>
      <c r="K182" s="2">
        <v>0.2273</v>
      </c>
      <c r="L182" s="2">
        <v>1</v>
      </c>
      <c r="M182" s="2">
        <v>8.9599999999999999E-2</v>
      </c>
      <c r="N182" s="2">
        <v>3</v>
      </c>
      <c r="O182" s="2">
        <v>17</v>
      </c>
      <c r="P182" s="65">
        <v>20</v>
      </c>
    </row>
    <row r="183" spans="1:16" ht="13.2" x14ac:dyDescent="0.25">
      <c r="A183" s="7">
        <v>792</v>
      </c>
      <c r="B183" s="3">
        <v>40579</v>
      </c>
      <c r="C183" s="2">
        <v>1</v>
      </c>
      <c r="D183" s="2">
        <v>0</v>
      </c>
      <c r="E183" s="2">
        <v>2</v>
      </c>
      <c r="F183" s="2">
        <v>10</v>
      </c>
      <c r="G183" s="2" t="b">
        <v>0</v>
      </c>
      <c r="H183" s="2">
        <v>6</v>
      </c>
      <c r="I183" s="2">
        <v>3</v>
      </c>
      <c r="J183" s="2">
        <v>0.2</v>
      </c>
      <c r="K183" s="2">
        <v>0.21210000000000001</v>
      </c>
      <c r="L183" s="2">
        <v>1</v>
      </c>
      <c r="M183" s="2">
        <v>0.1343</v>
      </c>
      <c r="N183" s="2">
        <v>3</v>
      </c>
      <c r="O183" s="2">
        <v>31</v>
      </c>
      <c r="P183" s="65">
        <v>34</v>
      </c>
    </row>
    <row r="184" spans="1:16" ht="13.2" x14ac:dyDescent="0.25">
      <c r="A184" s="7">
        <v>793</v>
      </c>
      <c r="B184" s="3">
        <v>40579</v>
      </c>
      <c r="C184" s="2">
        <v>1</v>
      </c>
      <c r="D184" s="2">
        <v>0</v>
      </c>
      <c r="E184" s="2">
        <v>2</v>
      </c>
      <c r="F184" s="2">
        <v>11</v>
      </c>
      <c r="G184" s="2" t="b">
        <v>0</v>
      </c>
      <c r="H184" s="2">
        <v>6</v>
      </c>
      <c r="I184" s="2">
        <v>3</v>
      </c>
      <c r="J184" s="2">
        <v>0.22</v>
      </c>
      <c r="K184" s="2">
        <v>0.2273</v>
      </c>
      <c r="L184" s="2">
        <v>1</v>
      </c>
      <c r="M184" s="2">
        <v>0.1343</v>
      </c>
      <c r="N184" s="2">
        <v>1</v>
      </c>
      <c r="O184" s="2">
        <v>46</v>
      </c>
      <c r="P184" s="65">
        <v>47</v>
      </c>
    </row>
    <row r="185" spans="1:16" ht="13.2" x14ac:dyDescent="0.25">
      <c r="A185" s="7">
        <v>794</v>
      </c>
      <c r="B185" s="3">
        <v>40579</v>
      </c>
      <c r="C185" s="2">
        <v>1</v>
      </c>
      <c r="D185" s="2">
        <v>0</v>
      </c>
      <c r="E185" s="2">
        <v>2</v>
      </c>
      <c r="F185" s="2">
        <v>12</v>
      </c>
      <c r="G185" s="2" t="b">
        <v>0</v>
      </c>
      <c r="H185" s="2">
        <v>6</v>
      </c>
      <c r="I185" s="2">
        <v>3</v>
      </c>
      <c r="J185" s="2">
        <v>0.22</v>
      </c>
      <c r="K185" s="2">
        <v>0.2273</v>
      </c>
      <c r="L185" s="2">
        <v>1</v>
      </c>
      <c r="M185" s="2">
        <v>0.16420000000000001</v>
      </c>
      <c r="N185" s="2">
        <v>10</v>
      </c>
      <c r="O185" s="2">
        <v>42</v>
      </c>
      <c r="P185" s="65">
        <v>52</v>
      </c>
    </row>
    <row r="186" spans="1:16" ht="13.2" x14ac:dyDescent="0.25">
      <c r="A186" s="7">
        <v>795</v>
      </c>
      <c r="B186" s="3">
        <v>40579</v>
      </c>
      <c r="C186" s="2">
        <v>1</v>
      </c>
      <c r="D186" s="2">
        <v>0</v>
      </c>
      <c r="E186" s="2">
        <v>2</v>
      </c>
      <c r="F186" s="2">
        <v>13</v>
      </c>
      <c r="G186" s="2" t="b">
        <v>0</v>
      </c>
      <c r="H186" s="2">
        <v>6</v>
      </c>
      <c r="I186" s="2">
        <v>3</v>
      </c>
      <c r="J186" s="2">
        <v>0.22</v>
      </c>
      <c r="K186" s="2">
        <v>0.2273</v>
      </c>
      <c r="L186" s="2">
        <v>1</v>
      </c>
      <c r="M186" s="2">
        <v>0.16420000000000001</v>
      </c>
      <c r="N186" s="2">
        <v>10</v>
      </c>
      <c r="O186" s="2">
        <v>62</v>
      </c>
      <c r="P186" s="65">
        <v>72</v>
      </c>
    </row>
    <row r="187" spans="1:16" ht="13.2" x14ac:dyDescent="0.25">
      <c r="A187" s="7">
        <v>796</v>
      </c>
      <c r="B187" s="3">
        <v>40579</v>
      </c>
      <c r="C187" s="2">
        <v>1</v>
      </c>
      <c r="D187" s="2">
        <v>0</v>
      </c>
      <c r="E187" s="2">
        <v>2</v>
      </c>
      <c r="F187" s="2">
        <v>14</v>
      </c>
      <c r="G187" s="2" t="b">
        <v>0</v>
      </c>
      <c r="H187" s="2">
        <v>6</v>
      </c>
      <c r="I187" s="2">
        <v>3</v>
      </c>
      <c r="J187" s="2">
        <v>0.22</v>
      </c>
      <c r="K187" s="2">
        <v>0.2727</v>
      </c>
      <c r="L187" s="2">
        <v>1</v>
      </c>
      <c r="M187" s="2">
        <v>0</v>
      </c>
      <c r="N187" s="2">
        <v>5</v>
      </c>
      <c r="O187" s="2">
        <v>50</v>
      </c>
      <c r="P187" s="65">
        <v>55</v>
      </c>
    </row>
    <row r="188" spans="1:16" ht="13.2" x14ac:dyDescent="0.25">
      <c r="A188" s="7">
        <v>797</v>
      </c>
      <c r="B188" s="3">
        <v>40579</v>
      </c>
      <c r="C188" s="2">
        <v>1</v>
      </c>
      <c r="D188" s="2">
        <v>0</v>
      </c>
      <c r="E188" s="2">
        <v>2</v>
      </c>
      <c r="F188" s="2">
        <v>15</v>
      </c>
      <c r="G188" s="2" t="b">
        <v>0</v>
      </c>
      <c r="H188" s="2">
        <v>6</v>
      </c>
      <c r="I188" s="2">
        <v>3</v>
      </c>
      <c r="J188" s="2">
        <v>0.22</v>
      </c>
      <c r="K188" s="2">
        <v>0.2727</v>
      </c>
      <c r="L188" s="2">
        <v>1</v>
      </c>
      <c r="M188" s="2">
        <v>0</v>
      </c>
      <c r="N188" s="2">
        <v>11</v>
      </c>
      <c r="O188" s="2">
        <v>49</v>
      </c>
      <c r="P188" s="65">
        <v>60</v>
      </c>
    </row>
    <row r="189" spans="1:16" ht="13.2" x14ac:dyDescent="0.25">
      <c r="A189" s="7">
        <v>798</v>
      </c>
      <c r="B189" s="3">
        <v>40579</v>
      </c>
      <c r="C189" s="2">
        <v>1</v>
      </c>
      <c r="D189" s="2">
        <v>0</v>
      </c>
      <c r="E189" s="2">
        <v>2</v>
      </c>
      <c r="F189" s="2">
        <v>16</v>
      </c>
      <c r="G189" s="2" t="b">
        <v>0</v>
      </c>
      <c r="H189" s="2">
        <v>6</v>
      </c>
      <c r="I189" s="2">
        <v>3</v>
      </c>
      <c r="J189" s="2">
        <v>0.22</v>
      </c>
      <c r="K189" s="2">
        <v>0.2273</v>
      </c>
      <c r="L189" s="2">
        <v>1</v>
      </c>
      <c r="M189" s="2">
        <v>0.1343</v>
      </c>
      <c r="N189" s="2">
        <v>8</v>
      </c>
      <c r="O189" s="2">
        <v>63</v>
      </c>
      <c r="P189" s="65">
        <v>71</v>
      </c>
    </row>
    <row r="190" spans="1:16" ht="13.2" x14ac:dyDescent="0.25">
      <c r="A190" s="7">
        <v>799</v>
      </c>
      <c r="B190" s="3">
        <v>40579</v>
      </c>
      <c r="C190" s="2">
        <v>1</v>
      </c>
      <c r="D190" s="2">
        <v>0</v>
      </c>
      <c r="E190" s="2">
        <v>2</v>
      </c>
      <c r="F190" s="2">
        <v>17</v>
      </c>
      <c r="G190" s="2" t="b">
        <v>0</v>
      </c>
      <c r="H190" s="2">
        <v>6</v>
      </c>
      <c r="I190" s="2">
        <v>2</v>
      </c>
      <c r="J190" s="2">
        <v>0.24</v>
      </c>
      <c r="K190" s="2">
        <v>0.21210000000000001</v>
      </c>
      <c r="L190" s="2">
        <v>1</v>
      </c>
      <c r="M190" s="2">
        <v>0.28360000000000002</v>
      </c>
      <c r="N190" s="2">
        <v>14</v>
      </c>
      <c r="O190" s="2">
        <v>64</v>
      </c>
      <c r="P190" s="65">
        <v>78</v>
      </c>
    </row>
    <row r="191" spans="1:16" ht="13.2" x14ac:dyDescent="0.25">
      <c r="A191" s="7">
        <v>800</v>
      </c>
      <c r="B191" s="3">
        <v>40579</v>
      </c>
      <c r="C191" s="2">
        <v>1</v>
      </c>
      <c r="D191" s="2">
        <v>0</v>
      </c>
      <c r="E191" s="2">
        <v>2</v>
      </c>
      <c r="F191" s="2">
        <v>18</v>
      </c>
      <c r="G191" s="2" t="b">
        <v>0</v>
      </c>
      <c r="H191" s="2">
        <v>6</v>
      </c>
      <c r="I191" s="2">
        <v>2</v>
      </c>
      <c r="J191" s="2">
        <v>0.28000000000000003</v>
      </c>
      <c r="K191" s="2">
        <v>0.2424</v>
      </c>
      <c r="L191" s="2">
        <v>0.93</v>
      </c>
      <c r="M191" s="2">
        <v>0.44779999999999998</v>
      </c>
      <c r="N191" s="2">
        <v>2</v>
      </c>
      <c r="O191" s="2">
        <v>81</v>
      </c>
      <c r="P191" s="65">
        <v>83</v>
      </c>
    </row>
    <row r="192" spans="1:16" ht="13.2" x14ac:dyDescent="0.25">
      <c r="A192" s="7">
        <v>801</v>
      </c>
      <c r="B192" s="3">
        <v>40579</v>
      </c>
      <c r="C192" s="2">
        <v>1</v>
      </c>
      <c r="D192" s="2">
        <v>0</v>
      </c>
      <c r="E192" s="2">
        <v>2</v>
      </c>
      <c r="F192" s="2">
        <v>19</v>
      </c>
      <c r="G192" s="2" t="b">
        <v>0</v>
      </c>
      <c r="H192" s="2">
        <v>6</v>
      </c>
      <c r="I192" s="2">
        <v>2</v>
      </c>
      <c r="J192" s="2">
        <v>0.28000000000000003</v>
      </c>
      <c r="K192" s="2">
        <v>0.2424</v>
      </c>
      <c r="L192" s="2">
        <v>0.93</v>
      </c>
      <c r="M192" s="2">
        <v>0.44779999999999998</v>
      </c>
      <c r="N192" s="2">
        <v>6</v>
      </c>
      <c r="O192" s="2">
        <v>78</v>
      </c>
      <c r="P192" s="65">
        <v>84</v>
      </c>
    </row>
    <row r="193" spans="1:16" ht="13.2" x14ac:dyDescent="0.25">
      <c r="A193" s="7">
        <v>802</v>
      </c>
      <c r="B193" s="3">
        <v>40579</v>
      </c>
      <c r="C193" s="2">
        <v>1</v>
      </c>
      <c r="D193" s="2">
        <v>0</v>
      </c>
      <c r="E193" s="2">
        <v>2</v>
      </c>
      <c r="F193" s="2">
        <v>20</v>
      </c>
      <c r="G193" s="2" t="b">
        <v>0</v>
      </c>
      <c r="H193" s="2">
        <v>6</v>
      </c>
      <c r="I193" s="2">
        <v>1</v>
      </c>
      <c r="J193" s="2">
        <v>0.3</v>
      </c>
      <c r="K193" s="2">
        <v>0.28789999999999999</v>
      </c>
      <c r="L193" s="2">
        <v>0.87</v>
      </c>
      <c r="M193" s="2">
        <v>0.25369999999999998</v>
      </c>
      <c r="N193" s="2">
        <v>5</v>
      </c>
      <c r="O193" s="2">
        <v>64</v>
      </c>
      <c r="P193" s="65">
        <v>69</v>
      </c>
    </row>
    <row r="194" spans="1:16" ht="13.2" x14ac:dyDescent="0.25">
      <c r="A194" s="7">
        <v>803</v>
      </c>
      <c r="B194" s="3">
        <v>40579</v>
      </c>
      <c r="C194" s="2">
        <v>1</v>
      </c>
      <c r="D194" s="2">
        <v>0</v>
      </c>
      <c r="E194" s="2">
        <v>2</v>
      </c>
      <c r="F194" s="2">
        <v>21</v>
      </c>
      <c r="G194" s="2" t="b">
        <v>0</v>
      </c>
      <c r="H194" s="2">
        <v>6</v>
      </c>
      <c r="I194" s="2">
        <v>1</v>
      </c>
      <c r="J194" s="2">
        <v>0.26</v>
      </c>
      <c r="K194" s="2">
        <v>0.2576</v>
      </c>
      <c r="L194" s="2">
        <v>1</v>
      </c>
      <c r="M194" s="2">
        <v>0.19400000000000001</v>
      </c>
      <c r="N194" s="2">
        <v>3</v>
      </c>
      <c r="O194" s="2">
        <v>53</v>
      </c>
      <c r="P194" s="65">
        <v>56</v>
      </c>
    </row>
    <row r="195" spans="1:16" ht="13.2" x14ac:dyDescent="0.25">
      <c r="A195" s="7">
        <v>804</v>
      </c>
      <c r="B195" s="3">
        <v>40579</v>
      </c>
      <c r="C195" s="2">
        <v>1</v>
      </c>
      <c r="D195" s="2">
        <v>0</v>
      </c>
      <c r="E195" s="2">
        <v>2</v>
      </c>
      <c r="F195" s="2">
        <v>22</v>
      </c>
      <c r="G195" s="2" t="b">
        <v>0</v>
      </c>
      <c r="H195" s="2">
        <v>6</v>
      </c>
      <c r="I195" s="2">
        <v>1</v>
      </c>
      <c r="J195" s="2">
        <v>0.26</v>
      </c>
      <c r="K195" s="2">
        <v>0.2727</v>
      </c>
      <c r="L195" s="2">
        <v>0.93</v>
      </c>
      <c r="M195" s="2">
        <v>0.1343</v>
      </c>
      <c r="N195" s="2">
        <v>2</v>
      </c>
      <c r="O195" s="2">
        <v>43</v>
      </c>
      <c r="P195" s="65">
        <v>45</v>
      </c>
    </row>
    <row r="196" spans="1:16" ht="13.2" x14ac:dyDescent="0.25">
      <c r="A196" s="7">
        <v>805</v>
      </c>
      <c r="B196" s="3">
        <v>40579</v>
      </c>
      <c r="C196" s="2">
        <v>1</v>
      </c>
      <c r="D196" s="2">
        <v>0</v>
      </c>
      <c r="E196" s="2">
        <v>2</v>
      </c>
      <c r="F196" s="2">
        <v>23</v>
      </c>
      <c r="G196" s="2" t="b">
        <v>0</v>
      </c>
      <c r="H196" s="2">
        <v>6</v>
      </c>
      <c r="I196" s="2">
        <v>1</v>
      </c>
      <c r="J196" s="2">
        <v>0.26</v>
      </c>
      <c r="K196" s="2">
        <v>0.2576</v>
      </c>
      <c r="L196" s="2">
        <v>0.93</v>
      </c>
      <c r="M196" s="2">
        <v>0.22389999999999999</v>
      </c>
      <c r="N196" s="2">
        <v>7</v>
      </c>
      <c r="O196" s="2">
        <v>52</v>
      </c>
      <c r="P196" s="65">
        <v>59</v>
      </c>
    </row>
    <row r="197" spans="1:16" ht="13.2" x14ac:dyDescent="0.25">
      <c r="A197" s="7">
        <v>806</v>
      </c>
      <c r="B197" s="3">
        <v>40580</v>
      </c>
      <c r="C197" s="2">
        <v>1</v>
      </c>
      <c r="D197" s="2">
        <v>0</v>
      </c>
      <c r="E197" s="2">
        <v>2</v>
      </c>
      <c r="F197" s="2">
        <v>0</v>
      </c>
      <c r="G197" s="2" t="b">
        <v>0</v>
      </c>
      <c r="H197" s="2">
        <v>0</v>
      </c>
      <c r="I197" s="2">
        <v>1</v>
      </c>
      <c r="J197" s="2">
        <v>0.26</v>
      </c>
      <c r="K197" s="2">
        <v>0.2576</v>
      </c>
      <c r="L197" s="2">
        <v>0.7</v>
      </c>
      <c r="M197" s="2">
        <v>0.19400000000000001</v>
      </c>
      <c r="N197" s="2">
        <v>2</v>
      </c>
      <c r="O197" s="2">
        <v>37</v>
      </c>
      <c r="P197" s="65">
        <v>39</v>
      </c>
    </row>
    <row r="198" spans="1:16" ht="13.2" x14ac:dyDescent="0.25">
      <c r="A198" s="7">
        <v>807</v>
      </c>
      <c r="B198" s="3">
        <v>40580</v>
      </c>
      <c r="C198" s="2">
        <v>1</v>
      </c>
      <c r="D198" s="2">
        <v>0</v>
      </c>
      <c r="E198" s="2">
        <v>2</v>
      </c>
      <c r="F198" s="2">
        <v>1</v>
      </c>
      <c r="G198" s="2" t="b">
        <v>0</v>
      </c>
      <c r="H198" s="2">
        <v>0</v>
      </c>
      <c r="I198" s="2">
        <v>1</v>
      </c>
      <c r="J198" s="2">
        <v>0.26</v>
      </c>
      <c r="K198" s="2">
        <v>0.2273</v>
      </c>
      <c r="L198" s="2">
        <v>0.65</v>
      </c>
      <c r="M198" s="2">
        <v>0.41789999999999999</v>
      </c>
      <c r="N198" s="2">
        <v>4</v>
      </c>
      <c r="O198" s="2">
        <v>40</v>
      </c>
      <c r="P198" s="65">
        <v>44</v>
      </c>
    </row>
    <row r="199" spans="1:16" ht="13.2" x14ac:dyDescent="0.25">
      <c r="A199" s="7">
        <v>808</v>
      </c>
      <c r="B199" s="3">
        <v>40580</v>
      </c>
      <c r="C199" s="2">
        <v>1</v>
      </c>
      <c r="D199" s="2">
        <v>0</v>
      </c>
      <c r="E199" s="2">
        <v>2</v>
      </c>
      <c r="F199" s="2">
        <v>2</v>
      </c>
      <c r="G199" s="2" t="b">
        <v>0</v>
      </c>
      <c r="H199" s="2">
        <v>0</v>
      </c>
      <c r="I199" s="2">
        <v>1</v>
      </c>
      <c r="J199" s="2">
        <v>0.26</v>
      </c>
      <c r="K199" s="2">
        <v>0.2273</v>
      </c>
      <c r="L199" s="2">
        <v>0.6</v>
      </c>
      <c r="M199" s="2">
        <v>0.32840000000000003</v>
      </c>
      <c r="N199" s="2">
        <v>0</v>
      </c>
      <c r="O199" s="2">
        <v>20</v>
      </c>
      <c r="P199" s="65">
        <v>20</v>
      </c>
    </row>
    <row r="200" spans="1:16" ht="13.2" x14ac:dyDescent="0.25">
      <c r="A200" s="7">
        <v>809</v>
      </c>
      <c r="B200" s="3">
        <v>40580</v>
      </c>
      <c r="C200" s="2">
        <v>1</v>
      </c>
      <c r="D200" s="2">
        <v>0</v>
      </c>
      <c r="E200" s="2">
        <v>2</v>
      </c>
      <c r="F200" s="2">
        <v>3</v>
      </c>
      <c r="G200" s="2" t="b">
        <v>0</v>
      </c>
      <c r="H200" s="2">
        <v>0</v>
      </c>
      <c r="I200" s="2">
        <v>1</v>
      </c>
      <c r="J200" s="2">
        <v>0.26</v>
      </c>
      <c r="K200" s="2">
        <v>0.28789999999999999</v>
      </c>
      <c r="L200" s="2">
        <v>0.6</v>
      </c>
      <c r="M200" s="2">
        <v>8.9599999999999999E-2</v>
      </c>
      <c r="N200" s="2">
        <v>3</v>
      </c>
      <c r="O200" s="2">
        <v>10</v>
      </c>
      <c r="P200" s="65">
        <v>13</v>
      </c>
    </row>
    <row r="201" spans="1:16" ht="13.2" x14ac:dyDescent="0.25">
      <c r="A201" s="7">
        <v>810</v>
      </c>
      <c r="B201" s="3">
        <v>40580</v>
      </c>
      <c r="C201" s="2">
        <v>1</v>
      </c>
      <c r="D201" s="2">
        <v>0</v>
      </c>
      <c r="E201" s="2">
        <v>2</v>
      </c>
      <c r="F201" s="2">
        <v>4</v>
      </c>
      <c r="G201" s="2" t="b">
        <v>0</v>
      </c>
      <c r="H201" s="2">
        <v>0</v>
      </c>
      <c r="I201" s="2">
        <v>1</v>
      </c>
      <c r="J201" s="2">
        <v>0.26</v>
      </c>
      <c r="K201" s="2">
        <v>0.2273</v>
      </c>
      <c r="L201" s="2">
        <v>0.6</v>
      </c>
      <c r="M201" s="2">
        <v>0.35820000000000002</v>
      </c>
      <c r="N201" s="2">
        <v>0</v>
      </c>
      <c r="O201" s="2">
        <v>2</v>
      </c>
      <c r="P201" s="65">
        <v>2</v>
      </c>
    </row>
    <row r="202" spans="1:16" ht="13.2" x14ac:dyDescent="0.25">
      <c r="A202" s="7">
        <v>811</v>
      </c>
      <c r="B202" s="3">
        <v>40580</v>
      </c>
      <c r="C202" s="2">
        <v>1</v>
      </c>
      <c r="D202" s="2">
        <v>0</v>
      </c>
      <c r="E202" s="2">
        <v>2</v>
      </c>
      <c r="F202" s="2">
        <v>5</v>
      </c>
      <c r="G202" s="2" t="b">
        <v>0</v>
      </c>
      <c r="H202" s="2">
        <v>0</v>
      </c>
      <c r="I202" s="2">
        <v>1</v>
      </c>
      <c r="J202" s="2">
        <v>0.26</v>
      </c>
      <c r="K202" s="2">
        <v>0.2576</v>
      </c>
      <c r="L202" s="2">
        <v>0.6</v>
      </c>
      <c r="M202" s="2">
        <v>0.22389999999999999</v>
      </c>
      <c r="N202" s="2">
        <v>0</v>
      </c>
      <c r="O202" s="2">
        <v>1</v>
      </c>
      <c r="P202" s="65">
        <v>1</v>
      </c>
    </row>
    <row r="203" spans="1:16" ht="13.2" x14ac:dyDescent="0.25">
      <c r="A203" s="7">
        <v>812</v>
      </c>
      <c r="B203" s="3">
        <v>40580</v>
      </c>
      <c r="C203" s="2">
        <v>1</v>
      </c>
      <c r="D203" s="2">
        <v>0</v>
      </c>
      <c r="E203" s="2">
        <v>2</v>
      </c>
      <c r="F203" s="2">
        <v>6</v>
      </c>
      <c r="G203" s="2" t="b">
        <v>0</v>
      </c>
      <c r="H203" s="2">
        <v>0</v>
      </c>
      <c r="I203" s="2">
        <v>1</v>
      </c>
      <c r="J203" s="2">
        <v>0.26</v>
      </c>
      <c r="K203" s="2">
        <v>0.2576</v>
      </c>
      <c r="L203" s="2">
        <v>0.6</v>
      </c>
      <c r="M203" s="2">
        <v>0.22389999999999999</v>
      </c>
      <c r="N203" s="2">
        <v>0</v>
      </c>
      <c r="O203" s="2">
        <v>1</v>
      </c>
      <c r="P203" s="65">
        <v>1</v>
      </c>
    </row>
    <row r="204" spans="1:16" ht="13.2" x14ac:dyDescent="0.25">
      <c r="A204" s="7">
        <v>813</v>
      </c>
      <c r="B204" s="3">
        <v>40580</v>
      </c>
      <c r="C204" s="2">
        <v>1</v>
      </c>
      <c r="D204" s="2">
        <v>0</v>
      </c>
      <c r="E204" s="2">
        <v>2</v>
      </c>
      <c r="F204" s="2">
        <v>7</v>
      </c>
      <c r="G204" s="2" t="b">
        <v>0</v>
      </c>
      <c r="H204" s="2">
        <v>0</v>
      </c>
      <c r="I204" s="2">
        <v>1</v>
      </c>
      <c r="J204" s="2">
        <v>0.24</v>
      </c>
      <c r="K204" s="2">
        <v>0.2424</v>
      </c>
      <c r="L204" s="2">
        <v>0.65</v>
      </c>
      <c r="M204" s="2">
        <v>0.16420000000000001</v>
      </c>
      <c r="N204" s="2">
        <v>0</v>
      </c>
      <c r="O204" s="2">
        <v>8</v>
      </c>
      <c r="P204" s="65">
        <v>8</v>
      </c>
    </row>
    <row r="205" spans="1:16" ht="13.2" x14ac:dyDescent="0.25">
      <c r="A205" s="7">
        <v>814</v>
      </c>
      <c r="B205" s="3">
        <v>40580</v>
      </c>
      <c r="C205" s="2">
        <v>1</v>
      </c>
      <c r="D205" s="2">
        <v>0</v>
      </c>
      <c r="E205" s="2">
        <v>2</v>
      </c>
      <c r="F205" s="2">
        <v>8</v>
      </c>
      <c r="G205" s="2" t="b">
        <v>0</v>
      </c>
      <c r="H205" s="2">
        <v>0</v>
      </c>
      <c r="I205" s="2">
        <v>1</v>
      </c>
      <c r="J205" s="2">
        <v>0.24</v>
      </c>
      <c r="K205" s="2">
        <v>0.2576</v>
      </c>
      <c r="L205" s="2">
        <v>0.65</v>
      </c>
      <c r="M205" s="2">
        <v>0.1045</v>
      </c>
      <c r="N205" s="2">
        <v>2</v>
      </c>
      <c r="O205" s="2">
        <v>21</v>
      </c>
      <c r="P205" s="65">
        <v>23</v>
      </c>
    </row>
    <row r="206" spans="1:16" ht="13.2" x14ac:dyDescent="0.25">
      <c r="A206" s="7">
        <v>815</v>
      </c>
      <c r="B206" s="3">
        <v>40580</v>
      </c>
      <c r="C206" s="2">
        <v>1</v>
      </c>
      <c r="D206" s="2">
        <v>0</v>
      </c>
      <c r="E206" s="2">
        <v>2</v>
      </c>
      <c r="F206" s="2">
        <v>9</v>
      </c>
      <c r="G206" s="2" t="b">
        <v>0</v>
      </c>
      <c r="H206" s="2">
        <v>0</v>
      </c>
      <c r="I206" s="2">
        <v>1</v>
      </c>
      <c r="J206" s="2">
        <v>0.28000000000000003</v>
      </c>
      <c r="K206" s="2">
        <v>0.28789999999999999</v>
      </c>
      <c r="L206" s="2">
        <v>0.56000000000000005</v>
      </c>
      <c r="M206" s="2">
        <v>0.1045</v>
      </c>
      <c r="N206" s="2">
        <v>7</v>
      </c>
      <c r="O206" s="2">
        <v>38</v>
      </c>
      <c r="P206" s="65">
        <v>45</v>
      </c>
    </row>
    <row r="207" spans="1:16" ht="13.2" x14ac:dyDescent="0.25">
      <c r="A207" s="7">
        <v>816</v>
      </c>
      <c r="B207" s="3">
        <v>40580</v>
      </c>
      <c r="C207" s="2">
        <v>1</v>
      </c>
      <c r="D207" s="2">
        <v>0</v>
      </c>
      <c r="E207" s="2">
        <v>2</v>
      </c>
      <c r="F207" s="2">
        <v>10</v>
      </c>
      <c r="G207" s="2" t="b">
        <v>0</v>
      </c>
      <c r="H207" s="2">
        <v>0</v>
      </c>
      <c r="I207" s="2">
        <v>1</v>
      </c>
      <c r="J207" s="2">
        <v>0.3</v>
      </c>
      <c r="K207" s="2">
        <v>0.28789999999999999</v>
      </c>
      <c r="L207" s="2">
        <v>0.52</v>
      </c>
      <c r="M207" s="2">
        <v>0.25369999999999998</v>
      </c>
      <c r="N207" s="2">
        <v>15</v>
      </c>
      <c r="O207" s="2">
        <v>74</v>
      </c>
      <c r="P207" s="65">
        <v>89</v>
      </c>
    </row>
    <row r="208" spans="1:16" ht="13.2" x14ac:dyDescent="0.25">
      <c r="A208" s="7">
        <v>817</v>
      </c>
      <c r="B208" s="3">
        <v>40580</v>
      </c>
      <c r="C208" s="2">
        <v>1</v>
      </c>
      <c r="D208" s="2">
        <v>0</v>
      </c>
      <c r="E208" s="2">
        <v>2</v>
      </c>
      <c r="F208" s="2">
        <v>11</v>
      </c>
      <c r="G208" s="2" t="b">
        <v>0</v>
      </c>
      <c r="H208" s="2">
        <v>0</v>
      </c>
      <c r="I208" s="2">
        <v>1</v>
      </c>
      <c r="J208" s="2">
        <v>0.32</v>
      </c>
      <c r="K208" s="2">
        <v>0.30299999999999999</v>
      </c>
      <c r="L208" s="2">
        <v>0.49</v>
      </c>
      <c r="M208" s="2">
        <v>0.25369999999999998</v>
      </c>
      <c r="N208" s="2">
        <v>28</v>
      </c>
      <c r="O208" s="2">
        <v>89</v>
      </c>
      <c r="P208" s="65">
        <v>117</v>
      </c>
    </row>
    <row r="209" spans="1:16" ht="13.2" x14ac:dyDescent="0.25">
      <c r="A209" s="7">
        <v>818</v>
      </c>
      <c r="B209" s="3">
        <v>40580</v>
      </c>
      <c r="C209" s="2">
        <v>1</v>
      </c>
      <c r="D209" s="2">
        <v>0</v>
      </c>
      <c r="E209" s="2">
        <v>2</v>
      </c>
      <c r="F209" s="2">
        <v>12</v>
      </c>
      <c r="G209" s="2" t="b">
        <v>0</v>
      </c>
      <c r="H209" s="2">
        <v>0</v>
      </c>
      <c r="I209" s="2">
        <v>1</v>
      </c>
      <c r="J209" s="2">
        <v>0.34</v>
      </c>
      <c r="K209" s="2">
        <v>0.33329999999999999</v>
      </c>
      <c r="L209" s="2">
        <v>0.46</v>
      </c>
      <c r="M209" s="2">
        <v>0</v>
      </c>
      <c r="N209" s="2">
        <v>48</v>
      </c>
      <c r="O209" s="2">
        <v>126</v>
      </c>
      <c r="P209" s="65">
        <v>174</v>
      </c>
    </row>
    <row r="210" spans="1:16" ht="13.2" x14ac:dyDescent="0.25">
      <c r="A210" s="7">
        <v>819</v>
      </c>
      <c r="B210" s="3">
        <v>40580</v>
      </c>
      <c r="C210" s="2">
        <v>1</v>
      </c>
      <c r="D210" s="2">
        <v>0</v>
      </c>
      <c r="E210" s="2">
        <v>2</v>
      </c>
      <c r="F210" s="2">
        <v>13</v>
      </c>
      <c r="G210" s="2" t="b">
        <v>0</v>
      </c>
      <c r="H210" s="2">
        <v>0</v>
      </c>
      <c r="I210" s="2">
        <v>1</v>
      </c>
      <c r="J210" s="2">
        <v>0.34</v>
      </c>
      <c r="K210" s="2">
        <v>0.36359999999999998</v>
      </c>
      <c r="L210" s="2">
        <v>0.46</v>
      </c>
      <c r="M210" s="2">
        <v>0</v>
      </c>
      <c r="N210" s="2">
        <v>47</v>
      </c>
      <c r="O210" s="2">
        <v>135</v>
      </c>
      <c r="P210" s="65">
        <v>182</v>
      </c>
    </row>
    <row r="211" spans="1:16" ht="13.2" x14ac:dyDescent="0.25">
      <c r="A211" s="7">
        <v>820</v>
      </c>
      <c r="B211" s="3">
        <v>40580</v>
      </c>
      <c r="C211" s="2">
        <v>1</v>
      </c>
      <c r="D211" s="2">
        <v>0</v>
      </c>
      <c r="E211" s="2">
        <v>2</v>
      </c>
      <c r="F211" s="2">
        <v>14</v>
      </c>
      <c r="G211" s="2" t="b">
        <v>0</v>
      </c>
      <c r="H211" s="2">
        <v>0</v>
      </c>
      <c r="I211" s="2">
        <v>1</v>
      </c>
      <c r="J211" s="2">
        <v>0.34</v>
      </c>
      <c r="K211" s="2">
        <v>0.34849999999999998</v>
      </c>
      <c r="L211" s="2">
        <v>0.46</v>
      </c>
      <c r="M211" s="2">
        <v>8.9599999999999999E-2</v>
      </c>
      <c r="N211" s="2">
        <v>47</v>
      </c>
      <c r="O211" s="2">
        <v>114</v>
      </c>
      <c r="P211" s="65">
        <v>161</v>
      </c>
    </row>
    <row r="212" spans="1:16" ht="13.2" x14ac:dyDescent="0.25">
      <c r="A212" s="7">
        <v>821</v>
      </c>
      <c r="B212" s="3">
        <v>40580</v>
      </c>
      <c r="C212" s="2">
        <v>1</v>
      </c>
      <c r="D212" s="2">
        <v>0</v>
      </c>
      <c r="E212" s="2">
        <v>2</v>
      </c>
      <c r="F212" s="2">
        <v>15</v>
      </c>
      <c r="G212" s="2" t="b">
        <v>0</v>
      </c>
      <c r="H212" s="2">
        <v>0</v>
      </c>
      <c r="I212" s="2">
        <v>1</v>
      </c>
      <c r="J212" s="2">
        <v>0.34</v>
      </c>
      <c r="K212" s="2">
        <v>0.34849999999999998</v>
      </c>
      <c r="L212" s="2">
        <v>0.46</v>
      </c>
      <c r="M212" s="2">
        <v>8.9599999999999999E-2</v>
      </c>
      <c r="N212" s="2">
        <v>52</v>
      </c>
      <c r="O212" s="2">
        <v>130</v>
      </c>
      <c r="P212" s="65">
        <v>182</v>
      </c>
    </row>
    <row r="213" spans="1:16" ht="13.2" x14ac:dyDescent="0.25">
      <c r="A213" s="7">
        <v>822</v>
      </c>
      <c r="B213" s="3">
        <v>40580</v>
      </c>
      <c r="C213" s="2">
        <v>1</v>
      </c>
      <c r="D213" s="2">
        <v>0</v>
      </c>
      <c r="E213" s="2">
        <v>2</v>
      </c>
      <c r="F213" s="2">
        <v>16</v>
      </c>
      <c r="G213" s="2" t="b">
        <v>0</v>
      </c>
      <c r="H213" s="2">
        <v>0</v>
      </c>
      <c r="I213" s="2">
        <v>1</v>
      </c>
      <c r="J213" s="2">
        <v>0.34</v>
      </c>
      <c r="K213" s="2">
        <v>0.34849999999999998</v>
      </c>
      <c r="L213" s="2">
        <v>0.49</v>
      </c>
      <c r="M213" s="2">
        <v>0.1045</v>
      </c>
      <c r="N213" s="2">
        <v>42</v>
      </c>
      <c r="O213" s="2">
        <v>115</v>
      </c>
      <c r="P213" s="65">
        <v>157</v>
      </c>
    </row>
    <row r="214" spans="1:16" ht="13.2" x14ac:dyDescent="0.25">
      <c r="A214" s="7">
        <v>823</v>
      </c>
      <c r="B214" s="3">
        <v>40580</v>
      </c>
      <c r="C214" s="2">
        <v>1</v>
      </c>
      <c r="D214" s="2">
        <v>0</v>
      </c>
      <c r="E214" s="2">
        <v>2</v>
      </c>
      <c r="F214" s="2">
        <v>17</v>
      </c>
      <c r="G214" s="2" t="b">
        <v>0</v>
      </c>
      <c r="H214" s="2">
        <v>0</v>
      </c>
      <c r="I214" s="2">
        <v>1</v>
      </c>
      <c r="J214" s="2">
        <v>0.34</v>
      </c>
      <c r="K214" s="2">
        <v>0.36359999999999998</v>
      </c>
      <c r="L214" s="2">
        <v>0.46</v>
      </c>
      <c r="M214" s="2">
        <v>0</v>
      </c>
      <c r="N214" s="2">
        <v>24</v>
      </c>
      <c r="O214" s="2">
        <v>97</v>
      </c>
      <c r="P214" s="65">
        <v>121</v>
      </c>
    </row>
    <row r="215" spans="1:16" ht="13.2" x14ac:dyDescent="0.25">
      <c r="A215" s="7">
        <v>824</v>
      </c>
      <c r="B215" s="3">
        <v>40580</v>
      </c>
      <c r="C215" s="2">
        <v>1</v>
      </c>
      <c r="D215" s="2">
        <v>0</v>
      </c>
      <c r="E215" s="2">
        <v>2</v>
      </c>
      <c r="F215" s="2">
        <v>18</v>
      </c>
      <c r="G215" s="2" t="b">
        <v>0</v>
      </c>
      <c r="H215" s="2">
        <v>0</v>
      </c>
      <c r="I215" s="2">
        <v>1</v>
      </c>
      <c r="J215" s="2">
        <v>0.3</v>
      </c>
      <c r="K215" s="2">
        <v>0.30299999999999999</v>
      </c>
      <c r="L215" s="2">
        <v>0.56000000000000005</v>
      </c>
      <c r="M215" s="2">
        <v>0.16420000000000001</v>
      </c>
      <c r="N215" s="2">
        <v>13</v>
      </c>
      <c r="O215" s="2">
        <v>65</v>
      </c>
      <c r="P215" s="65">
        <v>78</v>
      </c>
    </row>
    <row r="216" spans="1:16" ht="13.2" x14ac:dyDescent="0.25">
      <c r="A216" s="7">
        <v>825</v>
      </c>
      <c r="B216" s="3">
        <v>40580</v>
      </c>
      <c r="C216" s="2">
        <v>1</v>
      </c>
      <c r="D216" s="2">
        <v>0</v>
      </c>
      <c r="E216" s="2">
        <v>2</v>
      </c>
      <c r="F216" s="2">
        <v>19</v>
      </c>
      <c r="G216" s="2" t="b">
        <v>0</v>
      </c>
      <c r="H216" s="2">
        <v>0</v>
      </c>
      <c r="I216" s="2">
        <v>1</v>
      </c>
      <c r="J216" s="2">
        <v>0.28000000000000003</v>
      </c>
      <c r="K216" s="2">
        <v>0.28789999999999999</v>
      </c>
      <c r="L216" s="2">
        <v>0.61</v>
      </c>
      <c r="M216" s="2">
        <v>0.1343</v>
      </c>
      <c r="N216" s="2">
        <v>1</v>
      </c>
      <c r="O216" s="2">
        <v>20</v>
      </c>
      <c r="P216" s="65">
        <v>21</v>
      </c>
    </row>
    <row r="217" spans="1:16" ht="13.2" x14ac:dyDescent="0.25">
      <c r="A217" s="7">
        <v>826</v>
      </c>
      <c r="B217" s="3">
        <v>40580</v>
      </c>
      <c r="C217" s="2">
        <v>1</v>
      </c>
      <c r="D217" s="2">
        <v>0</v>
      </c>
      <c r="E217" s="2">
        <v>2</v>
      </c>
      <c r="F217" s="2">
        <v>20</v>
      </c>
      <c r="G217" s="2" t="b">
        <v>0</v>
      </c>
      <c r="H217" s="2">
        <v>0</v>
      </c>
      <c r="I217" s="2">
        <v>1</v>
      </c>
      <c r="J217" s="2">
        <v>0.28000000000000003</v>
      </c>
      <c r="K217" s="2">
        <v>0.28789999999999999</v>
      </c>
      <c r="L217" s="2">
        <v>0.61</v>
      </c>
      <c r="M217" s="2">
        <v>0.1045</v>
      </c>
      <c r="N217" s="2">
        <v>5</v>
      </c>
      <c r="O217" s="2">
        <v>21</v>
      </c>
      <c r="P217" s="65">
        <v>26</v>
      </c>
    </row>
    <row r="218" spans="1:16" ht="13.2" x14ac:dyDescent="0.25">
      <c r="A218" s="7">
        <v>827</v>
      </c>
      <c r="B218" s="3">
        <v>40580</v>
      </c>
      <c r="C218" s="2">
        <v>1</v>
      </c>
      <c r="D218" s="2">
        <v>0</v>
      </c>
      <c r="E218" s="2">
        <v>2</v>
      </c>
      <c r="F218" s="2">
        <v>21</v>
      </c>
      <c r="G218" s="2" t="b">
        <v>0</v>
      </c>
      <c r="H218" s="2">
        <v>0</v>
      </c>
      <c r="I218" s="2">
        <v>1</v>
      </c>
      <c r="J218" s="2">
        <v>0.26</v>
      </c>
      <c r="K218" s="2">
        <v>0.30299999999999999</v>
      </c>
      <c r="L218" s="2">
        <v>0.6</v>
      </c>
      <c r="M218" s="2">
        <v>0</v>
      </c>
      <c r="N218" s="2">
        <v>5</v>
      </c>
      <c r="O218" s="2">
        <v>22</v>
      </c>
      <c r="P218" s="65">
        <v>27</v>
      </c>
    </row>
    <row r="219" spans="1:16" ht="13.2" x14ac:dyDescent="0.25">
      <c r="A219" s="7">
        <v>828</v>
      </c>
      <c r="B219" s="3">
        <v>40580</v>
      </c>
      <c r="C219" s="2">
        <v>1</v>
      </c>
      <c r="D219" s="2">
        <v>0</v>
      </c>
      <c r="E219" s="2">
        <v>2</v>
      </c>
      <c r="F219" s="2">
        <v>22</v>
      </c>
      <c r="G219" s="2" t="b">
        <v>0</v>
      </c>
      <c r="H219" s="2">
        <v>0</v>
      </c>
      <c r="I219" s="2">
        <v>1</v>
      </c>
      <c r="J219" s="2">
        <v>0.26</v>
      </c>
      <c r="K219" s="2">
        <v>0.30299999999999999</v>
      </c>
      <c r="L219" s="2">
        <v>0.6</v>
      </c>
      <c r="M219" s="2">
        <v>0</v>
      </c>
      <c r="N219" s="2">
        <v>5</v>
      </c>
      <c r="O219" s="2">
        <v>57</v>
      </c>
      <c r="P219" s="65">
        <v>62</v>
      </c>
    </row>
    <row r="220" spans="1:16" ht="13.2" x14ac:dyDescent="0.25">
      <c r="A220" s="7">
        <v>829</v>
      </c>
      <c r="B220" s="3">
        <v>40580</v>
      </c>
      <c r="C220" s="2">
        <v>1</v>
      </c>
      <c r="D220" s="2">
        <v>0</v>
      </c>
      <c r="E220" s="2">
        <v>2</v>
      </c>
      <c r="F220" s="2">
        <v>23</v>
      </c>
      <c r="G220" s="2" t="b">
        <v>0</v>
      </c>
      <c r="H220" s="2">
        <v>0</v>
      </c>
      <c r="I220" s="2">
        <v>1</v>
      </c>
      <c r="J220" s="2">
        <v>0.24</v>
      </c>
      <c r="K220" s="2">
        <v>0.28789999999999999</v>
      </c>
      <c r="L220" s="2">
        <v>0.65</v>
      </c>
      <c r="M220" s="2">
        <v>0</v>
      </c>
      <c r="N220" s="2">
        <v>4</v>
      </c>
      <c r="O220" s="2">
        <v>26</v>
      </c>
      <c r="P220" s="65">
        <v>30</v>
      </c>
    </row>
    <row r="221" spans="1:16" ht="13.2" x14ac:dyDescent="0.25">
      <c r="A221" s="7">
        <v>830</v>
      </c>
      <c r="B221" s="3">
        <v>40581</v>
      </c>
      <c r="C221" s="2">
        <v>1</v>
      </c>
      <c r="D221" s="2">
        <v>0</v>
      </c>
      <c r="E221" s="2">
        <v>2</v>
      </c>
      <c r="F221" s="2">
        <v>0</v>
      </c>
      <c r="G221" s="2" t="b">
        <v>0</v>
      </c>
      <c r="H221" s="2">
        <v>1</v>
      </c>
      <c r="I221" s="2">
        <v>1</v>
      </c>
      <c r="J221" s="2">
        <v>0.24</v>
      </c>
      <c r="K221" s="2">
        <v>0.28789999999999999</v>
      </c>
      <c r="L221" s="2">
        <v>0.65</v>
      </c>
      <c r="M221" s="2">
        <v>0</v>
      </c>
      <c r="N221" s="2">
        <v>1</v>
      </c>
      <c r="O221" s="2">
        <v>14</v>
      </c>
      <c r="P221" s="65">
        <v>15</v>
      </c>
    </row>
    <row r="222" spans="1:16" ht="13.2" x14ac:dyDescent="0.25">
      <c r="A222" s="7">
        <v>831</v>
      </c>
      <c r="B222" s="3">
        <v>40581</v>
      </c>
      <c r="C222" s="2">
        <v>1</v>
      </c>
      <c r="D222" s="2">
        <v>0</v>
      </c>
      <c r="E222" s="2">
        <v>2</v>
      </c>
      <c r="F222" s="2">
        <v>1</v>
      </c>
      <c r="G222" s="2" t="b">
        <v>0</v>
      </c>
      <c r="H222" s="2">
        <v>1</v>
      </c>
      <c r="I222" s="2">
        <v>1</v>
      </c>
      <c r="J222" s="2">
        <v>0.22</v>
      </c>
      <c r="K222" s="2">
        <v>0.2727</v>
      </c>
      <c r="L222" s="2">
        <v>0.75</v>
      </c>
      <c r="M222" s="2">
        <v>0</v>
      </c>
      <c r="N222" s="2">
        <v>1</v>
      </c>
      <c r="O222" s="2">
        <v>4</v>
      </c>
      <c r="P222" s="65">
        <v>5</v>
      </c>
    </row>
    <row r="223" spans="1:16" ht="13.2" x14ac:dyDescent="0.25">
      <c r="A223" s="7">
        <v>832</v>
      </c>
      <c r="B223" s="3">
        <v>40581</v>
      </c>
      <c r="C223" s="2">
        <v>1</v>
      </c>
      <c r="D223" s="2">
        <v>0</v>
      </c>
      <c r="E223" s="2">
        <v>2</v>
      </c>
      <c r="F223" s="2">
        <v>2</v>
      </c>
      <c r="G223" s="2" t="b">
        <v>0</v>
      </c>
      <c r="H223" s="2">
        <v>1</v>
      </c>
      <c r="I223" s="2">
        <v>1</v>
      </c>
      <c r="J223" s="2">
        <v>0.2</v>
      </c>
      <c r="K223" s="2">
        <v>0.2576</v>
      </c>
      <c r="L223" s="2">
        <v>0.8</v>
      </c>
      <c r="M223" s="2">
        <v>0</v>
      </c>
      <c r="N223" s="2">
        <v>0</v>
      </c>
      <c r="O223" s="2">
        <v>3</v>
      </c>
      <c r="P223" s="65">
        <v>3</v>
      </c>
    </row>
    <row r="224" spans="1:16" ht="13.2" x14ac:dyDescent="0.25">
      <c r="A224" s="7">
        <v>833</v>
      </c>
      <c r="B224" s="3">
        <v>40581</v>
      </c>
      <c r="C224" s="2">
        <v>1</v>
      </c>
      <c r="D224" s="2">
        <v>0</v>
      </c>
      <c r="E224" s="2">
        <v>2</v>
      </c>
      <c r="F224" s="2">
        <v>3</v>
      </c>
      <c r="G224" s="2" t="b">
        <v>0</v>
      </c>
      <c r="H224" s="2">
        <v>1</v>
      </c>
      <c r="I224" s="2">
        <v>1</v>
      </c>
      <c r="J224" s="2">
        <v>0.2</v>
      </c>
      <c r="K224" s="2">
        <v>0.2576</v>
      </c>
      <c r="L224" s="2">
        <v>0.86</v>
      </c>
      <c r="M224" s="2">
        <v>0</v>
      </c>
      <c r="N224" s="2">
        <v>0</v>
      </c>
      <c r="O224" s="2">
        <v>1</v>
      </c>
      <c r="P224" s="65">
        <v>1</v>
      </c>
    </row>
    <row r="225" spans="1:16" ht="13.2" x14ac:dyDescent="0.25">
      <c r="A225" s="7">
        <v>834</v>
      </c>
      <c r="B225" s="3">
        <v>40581</v>
      </c>
      <c r="C225" s="2">
        <v>1</v>
      </c>
      <c r="D225" s="2">
        <v>0</v>
      </c>
      <c r="E225" s="2">
        <v>2</v>
      </c>
      <c r="F225" s="2">
        <v>4</v>
      </c>
      <c r="G225" s="2" t="b">
        <v>0</v>
      </c>
      <c r="H225" s="2">
        <v>1</v>
      </c>
      <c r="I225" s="2">
        <v>1</v>
      </c>
      <c r="J225" s="2">
        <v>0.2</v>
      </c>
      <c r="K225" s="2">
        <v>0.2576</v>
      </c>
      <c r="L225" s="2">
        <v>0.86</v>
      </c>
      <c r="M225" s="2">
        <v>0</v>
      </c>
      <c r="N225" s="2">
        <v>1</v>
      </c>
      <c r="O225" s="2">
        <v>1</v>
      </c>
      <c r="P225" s="65">
        <v>2</v>
      </c>
    </row>
    <row r="226" spans="1:16" ht="13.2" x14ac:dyDescent="0.25">
      <c r="A226" s="7">
        <v>835</v>
      </c>
      <c r="B226" s="3">
        <v>40581</v>
      </c>
      <c r="C226" s="2">
        <v>1</v>
      </c>
      <c r="D226" s="2">
        <v>0</v>
      </c>
      <c r="E226" s="2">
        <v>2</v>
      </c>
      <c r="F226" s="2">
        <v>5</v>
      </c>
      <c r="G226" s="2" t="b">
        <v>0</v>
      </c>
      <c r="H226" s="2">
        <v>1</v>
      </c>
      <c r="I226" s="2">
        <v>1</v>
      </c>
      <c r="J226" s="2">
        <v>0.2</v>
      </c>
      <c r="K226" s="2">
        <v>0.2576</v>
      </c>
      <c r="L226" s="2">
        <v>0.86</v>
      </c>
      <c r="M226" s="2">
        <v>0</v>
      </c>
      <c r="N226" s="2">
        <v>1</v>
      </c>
      <c r="O226" s="2">
        <v>9</v>
      </c>
      <c r="P226" s="65">
        <v>10</v>
      </c>
    </row>
    <row r="227" spans="1:16" ht="13.2" x14ac:dyDescent="0.25">
      <c r="A227" s="7">
        <v>836</v>
      </c>
      <c r="B227" s="3">
        <v>40581</v>
      </c>
      <c r="C227" s="2">
        <v>1</v>
      </c>
      <c r="D227" s="2">
        <v>0</v>
      </c>
      <c r="E227" s="2">
        <v>2</v>
      </c>
      <c r="F227" s="2">
        <v>6</v>
      </c>
      <c r="G227" s="2" t="b">
        <v>0</v>
      </c>
      <c r="H227" s="2">
        <v>1</v>
      </c>
      <c r="I227" s="2">
        <v>1</v>
      </c>
      <c r="J227" s="2">
        <v>0.18</v>
      </c>
      <c r="K227" s="2">
        <v>0.2424</v>
      </c>
      <c r="L227" s="2">
        <v>0.93</v>
      </c>
      <c r="M227" s="2">
        <v>0</v>
      </c>
      <c r="N227" s="2">
        <v>1</v>
      </c>
      <c r="O227" s="2">
        <v>29</v>
      </c>
      <c r="P227" s="65">
        <v>30</v>
      </c>
    </row>
    <row r="228" spans="1:16" ht="13.2" x14ac:dyDescent="0.25">
      <c r="A228" s="7">
        <v>837</v>
      </c>
      <c r="B228" s="3">
        <v>40581</v>
      </c>
      <c r="C228" s="2">
        <v>1</v>
      </c>
      <c r="D228" s="2">
        <v>0</v>
      </c>
      <c r="E228" s="2">
        <v>2</v>
      </c>
      <c r="F228" s="2">
        <v>7</v>
      </c>
      <c r="G228" s="2" t="b">
        <v>0</v>
      </c>
      <c r="H228" s="2">
        <v>1</v>
      </c>
      <c r="I228" s="2">
        <v>1</v>
      </c>
      <c r="J228" s="2">
        <v>0.18</v>
      </c>
      <c r="K228" s="2">
        <v>0.2424</v>
      </c>
      <c r="L228" s="2">
        <v>0.86</v>
      </c>
      <c r="M228" s="2">
        <v>0</v>
      </c>
      <c r="N228" s="2">
        <v>6</v>
      </c>
      <c r="O228" s="2">
        <v>89</v>
      </c>
      <c r="P228" s="65">
        <v>95</v>
      </c>
    </row>
    <row r="229" spans="1:16" ht="13.2" x14ac:dyDescent="0.25">
      <c r="A229" s="7">
        <v>838</v>
      </c>
      <c r="B229" s="3">
        <v>40581</v>
      </c>
      <c r="C229" s="2">
        <v>1</v>
      </c>
      <c r="D229" s="2">
        <v>0</v>
      </c>
      <c r="E229" s="2">
        <v>2</v>
      </c>
      <c r="F229" s="2">
        <v>8</v>
      </c>
      <c r="G229" s="2" t="b">
        <v>0</v>
      </c>
      <c r="H229" s="2">
        <v>1</v>
      </c>
      <c r="I229" s="2">
        <v>2</v>
      </c>
      <c r="J229" s="2">
        <v>0.16</v>
      </c>
      <c r="K229" s="2">
        <v>0.2273</v>
      </c>
      <c r="L229" s="2">
        <v>1</v>
      </c>
      <c r="M229" s="2">
        <v>0</v>
      </c>
      <c r="N229" s="2">
        <v>7</v>
      </c>
      <c r="O229" s="2">
        <v>223</v>
      </c>
      <c r="P229" s="65">
        <v>230</v>
      </c>
    </row>
    <row r="230" spans="1:16" ht="13.2" x14ac:dyDescent="0.25">
      <c r="A230" s="7">
        <v>839</v>
      </c>
      <c r="B230" s="3">
        <v>40581</v>
      </c>
      <c r="C230" s="2">
        <v>1</v>
      </c>
      <c r="D230" s="2">
        <v>0</v>
      </c>
      <c r="E230" s="2">
        <v>2</v>
      </c>
      <c r="F230" s="2">
        <v>9</v>
      </c>
      <c r="G230" s="2" t="b">
        <v>0</v>
      </c>
      <c r="H230" s="2">
        <v>1</v>
      </c>
      <c r="I230" s="2">
        <v>1</v>
      </c>
      <c r="J230" s="2">
        <v>0.22</v>
      </c>
      <c r="K230" s="2">
        <v>0.2727</v>
      </c>
      <c r="L230" s="2">
        <v>0.8</v>
      </c>
      <c r="M230" s="2">
        <v>0</v>
      </c>
      <c r="N230" s="2">
        <v>3</v>
      </c>
      <c r="O230" s="2">
        <v>115</v>
      </c>
      <c r="P230" s="65">
        <v>118</v>
      </c>
    </row>
    <row r="231" spans="1:16" ht="13.2" x14ac:dyDescent="0.25">
      <c r="A231" s="7">
        <v>840</v>
      </c>
      <c r="B231" s="3">
        <v>40581</v>
      </c>
      <c r="C231" s="2">
        <v>1</v>
      </c>
      <c r="D231" s="2">
        <v>0</v>
      </c>
      <c r="E231" s="2">
        <v>2</v>
      </c>
      <c r="F231" s="2">
        <v>10</v>
      </c>
      <c r="G231" s="2" t="b">
        <v>0</v>
      </c>
      <c r="H231" s="2">
        <v>1</v>
      </c>
      <c r="I231" s="2">
        <v>1</v>
      </c>
      <c r="J231" s="2">
        <v>0.24</v>
      </c>
      <c r="K231" s="2">
        <v>0.2576</v>
      </c>
      <c r="L231" s="2">
        <v>0.75</v>
      </c>
      <c r="M231" s="2">
        <v>0.1045</v>
      </c>
      <c r="N231" s="2">
        <v>6</v>
      </c>
      <c r="O231" s="2">
        <v>49</v>
      </c>
      <c r="P231" s="65">
        <v>55</v>
      </c>
    </row>
    <row r="232" spans="1:16" ht="13.2" x14ac:dyDescent="0.25">
      <c r="A232" s="7">
        <v>841</v>
      </c>
      <c r="B232" s="3">
        <v>40581</v>
      </c>
      <c r="C232" s="2">
        <v>1</v>
      </c>
      <c r="D232" s="2">
        <v>0</v>
      </c>
      <c r="E232" s="2">
        <v>2</v>
      </c>
      <c r="F232" s="2">
        <v>11</v>
      </c>
      <c r="G232" s="2" t="b">
        <v>0</v>
      </c>
      <c r="H232" s="2">
        <v>1</v>
      </c>
      <c r="I232" s="2">
        <v>1</v>
      </c>
      <c r="J232" s="2">
        <v>0.3</v>
      </c>
      <c r="K232" s="2">
        <v>0.31819999999999998</v>
      </c>
      <c r="L232" s="2">
        <v>0.65</v>
      </c>
      <c r="M232" s="2">
        <v>8.9599999999999999E-2</v>
      </c>
      <c r="N232" s="2">
        <v>11</v>
      </c>
      <c r="O232" s="2">
        <v>36</v>
      </c>
      <c r="P232" s="65">
        <v>47</v>
      </c>
    </row>
    <row r="233" spans="1:16" ht="13.2" x14ac:dyDescent="0.25">
      <c r="A233" s="7">
        <v>842</v>
      </c>
      <c r="B233" s="3">
        <v>40581</v>
      </c>
      <c r="C233" s="2">
        <v>1</v>
      </c>
      <c r="D233" s="2">
        <v>0</v>
      </c>
      <c r="E233" s="2">
        <v>2</v>
      </c>
      <c r="F233" s="2">
        <v>12</v>
      </c>
      <c r="G233" s="2" t="b">
        <v>0</v>
      </c>
      <c r="H233" s="2">
        <v>1</v>
      </c>
      <c r="I233" s="2">
        <v>2</v>
      </c>
      <c r="J233" s="2">
        <v>0.32</v>
      </c>
      <c r="K233" s="2">
        <v>0.34849999999999998</v>
      </c>
      <c r="L233" s="2">
        <v>0.62</v>
      </c>
      <c r="M233" s="2">
        <v>0</v>
      </c>
      <c r="N233" s="2">
        <v>7</v>
      </c>
      <c r="O233" s="2">
        <v>59</v>
      </c>
      <c r="P233" s="65">
        <v>66</v>
      </c>
    </row>
    <row r="234" spans="1:16" ht="13.2" x14ac:dyDescent="0.25">
      <c r="A234" s="7">
        <v>843</v>
      </c>
      <c r="B234" s="3">
        <v>40581</v>
      </c>
      <c r="C234" s="2">
        <v>1</v>
      </c>
      <c r="D234" s="2">
        <v>0</v>
      </c>
      <c r="E234" s="2">
        <v>2</v>
      </c>
      <c r="F234" s="2">
        <v>13</v>
      </c>
      <c r="G234" s="2" t="b">
        <v>0</v>
      </c>
      <c r="H234" s="2">
        <v>1</v>
      </c>
      <c r="I234" s="2">
        <v>2</v>
      </c>
      <c r="J234" s="2">
        <v>0.36</v>
      </c>
      <c r="K234" s="2">
        <v>0.36359999999999998</v>
      </c>
      <c r="L234" s="2">
        <v>0.56999999999999995</v>
      </c>
      <c r="M234" s="2">
        <v>8.9599999999999999E-2</v>
      </c>
      <c r="N234" s="2">
        <v>10</v>
      </c>
      <c r="O234" s="2">
        <v>54</v>
      </c>
      <c r="P234" s="65">
        <v>64</v>
      </c>
    </row>
    <row r="235" spans="1:16" ht="13.2" x14ac:dyDescent="0.25">
      <c r="A235" s="7">
        <v>844</v>
      </c>
      <c r="B235" s="3">
        <v>40581</v>
      </c>
      <c r="C235" s="2">
        <v>1</v>
      </c>
      <c r="D235" s="2">
        <v>0</v>
      </c>
      <c r="E235" s="2">
        <v>2</v>
      </c>
      <c r="F235" s="2">
        <v>14</v>
      </c>
      <c r="G235" s="2" t="b">
        <v>0</v>
      </c>
      <c r="H235" s="2">
        <v>1</v>
      </c>
      <c r="I235" s="2">
        <v>2</v>
      </c>
      <c r="J235" s="2">
        <v>0.36</v>
      </c>
      <c r="K235" s="2">
        <v>0.36359999999999998</v>
      </c>
      <c r="L235" s="2">
        <v>0.56999999999999995</v>
      </c>
      <c r="M235" s="2">
        <v>8.9599999999999999E-2</v>
      </c>
      <c r="N235" s="2">
        <v>8</v>
      </c>
      <c r="O235" s="2">
        <v>52</v>
      </c>
      <c r="P235" s="65">
        <v>60</v>
      </c>
    </row>
    <row r="236" spans="1:16" ht="13.2" x14ac:dyDescent="0.25">
      <c r="A236" s="7">
        <v>845</v>
      </c>
      <c r="B236" s="3">
        <v>40581</v>
      </c>
      <c r="C236" s="2">
        <v>1</v>
      </c>
      <c r="D236" s="2">
        <v>0</v>
      </c>
      <c r="E236" s="2">
        <v>2</v>
      </c>
      <c r="F236" s="2">
        <v>15</v>
      </c>
      <c r="G236" s="2" t="b">
        <v>0</v>
      </c>
      <c r="H236" s="2">
        <v>1</v>
      </c>
      <c r="I236" s="2">
        <v>2</v>
      </c>
      <c r="J236" s="2">
        <v>0.38</v>
      </c>
      <c r="K236" s="2">
        <v>0.39389999999999997</v>
      </c>
      <c r="L236" s="2">
        <v>0.54</v>
      </c>
      <c r="M236" s="2">
        <v>8.9599999999999999E-2</v>
      </c>
      <c r="N236" s="2">
        <v>4</v>
      </c>
      <c r="O236" s="2">
        <v>46</v>
      </c>
      <c r="P236" s="65">
        <v>50</v>
      </c>
    </row>
    <row r="237" spans="1:16" ht="13.2" x14ac:dyDescent="0.25">
      <c r="A237" s="7">
        <v>846</v>
      </c>
      <c r="B237" s="3">
        <v>40581</v>
      </c>
      <c r="C237" s="2">
        <v>1</v>
      </c>
      <c r="D237" s="2">
        <v>0</v>
      </c>
      <c r="E237" s="2">
        <v>2</v>
      </c>
      <c r="F237" s="2">
        <v>16</v>
      </c>
      <c r="G237" s="2" t="b">
        <v>0</v>
      </c>
      <c r="H237" s="2">
        <v>1</v>
      </c>
      <c r="I237" s="2">
        <v>2</v>
      </c>
      <c r="J237" s="2">
        <v>0.36</v>
      </c>
      <c r="K237" s="2">
        <v>0.34849999999999998</v>
      </c>
      <c r="L237" s="2">
        <v>0.56999999999999995</v>
      </c>
      <c r="M237" s="2">
        <v>0.1343</v>
      </c>
      <c r="N237" s="2">
        <v>16</v>
      </c>
      <c r="O237" s="2">
        <v>98</v>
      </c>
      <c r="P237" s="65">
        <v>114</v>
      </c>
    </row>
    <row r="238" spans="1:16" ht="13.2" x14ac:dyDescent="0.25">
      <c r="A238" s="7">
        <v>847</v>
      </c>
      <c r="B238" s="3">
        <v>40581</v>
      </c>
      <c r="C238" s="2">
        <v>1</v>
      </c>
      <c r="D238" s="2">
        <v>0</v>
      </c>
      <c r="E238" s="2">
        <v>2</v>
      </c>
      <c r="F238" s="2">
        <v>17</v>
      </c>
      <c r="G238" s="2" t="b">
        <v>0</v>
      </c>
      <c r="H238" s="2">
        <v>1</v>
      </c>
      <c r="I238" s="2">
        <v>2</v>
      </c>
      <c r="J238" s="2">
        <v>0.32</v>
      </c>
      <c r="K238" s="2">
        <v>0.31819999999999998</v>
      </c>
      <c r="L238" s="2">
        <v>0.7</v>
      </c>
      <c r="M238" s="2">
        <v>0.16420000000000001</v>
      </c>
      <c r="N238" s="2">
        <v>9</v>
      </c>
      <c r="O238" s="2">
        <v>207</v>
      </c>
      <c r="P238" s="65">
        <v>216</v>
      </c>
    </row>
    <row r="239" spans="1:16" ht="13.2" x14ac:dyDescent="0.25">
      <c r="A239" s="7">
        <v>848</v>
      </c>
      <c r="B239" s="3">
        <v>40581</v>
      </c>
      <c r="C239" s="2">
        <v>1</v>
      </c>
      <c r="D239" s="2">
        <v>0</v>
      </c>
      <c r="E239" s="2">
        <v>2</v>
      </c>
      <c r="F239" s="2">
        <v>18</v>
      </c>
      <c r="G239" s="2" t="b">
        <v>0</v>
      </c>
      <c r="H239" s="2">
        <v>1</v>
      </c>
      <c r="I239" s="2">
        <v>2</v>
      </c>
      <c r="J239" s="2">
        <v>0.34</v>
      </c>
      <c r="K239" s="2">
        <v>0.33329999999999999</v>
      </c>
      <c r="L239" s="2">
        <v>0.66</v>
      </c>
      <c r="M239" s="2">
        <v>0.1343</v>
      </c>
      <c r="N239" s="2">
        <v>5</v>
      </c>
      <c r="O239" s="2">
        <v>170</v>
      </c>
      <c r="P239" s="65">
        <v>175</v>
      </c>
    </row>
    <row r="240" spans="1:16" ht="13.2" x14ac:dyDescent="0.25">
      <c r="A240" s="7">
        <v>849</v>
      </c>
      <c r="B240" s="3">
        <v>40581</v>
      </c>
      <c r="C240" s="2">
        <v>1</v>
      </c>
      <c r="D240" s="2">
        <v>0</v>
      </c>
      <c r="E240" s="2">
        <v>2</v>
      </c>
      <c r="F240" s="2">
        <v>19</v>
      </c>
      <c r="G240" s="2" t="b">
        <v>0</v>
      </c>
      <c r="H240" s="2">
        <v>1</v>
      </c>
      <c r="I240" s="2">
        <v>2</v>
      </c>
      <c r="J240" s="2">
        <v>0.32</v>
      </c>
      <c r="K240" s="2">
        <v>0.34849999999999998</v>
      </c>
      <c r="L240" s="2">
        <v>0.7</v>
      </c>
      <c r="M240" s="2">
        <v>0</v>
      </c>
      <c r="N240" s="2">
        <v>5</v>
      </c>
      <c r="O240" s="2">
        <v>123</v>
      </c>
      <c r="P240" s="65">
        <v>128</v>
      </c>
    </row>
    <row r="241" spans="1:16" ht="13.2" x14ac:dyDescent="0.25">
      <c r="A241" s="7">
        <v>850</v>
      </c>
      <c r="B241" s="3">
        <v>40581</v>
      </c>
      <c r="C241" s="2">
        <v>1</v>
      </c>
      <c r="D241" s="2">
        <v>0</v>
      </c>
      <c r="E241" s="2">
        <v>2</v>
      </c>
      <c r="F241" s="2">
        <v>20</v>
      </c>
      <c r="G241" s="2" t="b">
        <v>0</v>
      </c>
      <c r="H241" s="2">
        <v>1</v>
      </c>
      <c r="I241" s="2">
        <v>2</v>
      </c>
      <c r="J241" s="2">
        <v>0.32</v>
      </c>
      <c r="K241" s="2">
        <v>0.33329999999999999</v>
      </c>
      <c r="L241" s="2">
        <v>0.7</v>
      </c>
      <c r="M241" s="2">
        <v>0.1045</v>
      </c>
      <c r="N241" s="2">
        <v>6</v>
      </c>
      <c r="O241" s="2">
        <v>82</v>
      </c>
      <c r="P241" s="65">
        <v>88</v>
      </c>
    </row>
    <row r="242" spans="1:16" ht="13.2" x14ac:dyDescent="0.25">
      <c r="A242" s="7">
        <v>851</v>
      </c>
      <c r="B242" s="3">
        <v>40581</v>
      </c>
      <c r="C242" s="2">
        <v>1</v>
      </c>
      <c r="D242" s="2">
        <v>0</v>
      </c>
      <c r="E242" s="2">
        <v>2</v>
      </c>
      <c r="F242" s="2">
        <v>21</v>
      </c>
      <c r="G242" s="2" t="b">
        <v>0</v>
      </c>
      <c r="H242" s="2">
        <v>1</v>
      </c>
      <c r="I242" s="2">
        <v>1</v>
      </c>
      <c r="J242" s="2">
        <v>0.32</v>
      </c>
      <c r="K242" s="2">
        <v>0.34849999999999998</v>
      </c>
      <c r="L242" s="2">
        <v>0.7</v>
      </c>
      <c r="M242" s="2">
        <v>0</v>
      </c>
      <c r="N242" s="2">
        <v>3</v>
      </c>
      <c r="O242" s="2">
        <v>75</v>
      </c>
      <c r="P242" s="65">
        <v>78</v>
      </c>
    </row>
    <row r="243" spans="1:16" ht="13.2" x14ac:dyDescent="0.25">
      <c r="A243" s="7">
        <v>852</v>
      </c>
      <c r="B243" s="3">
        <v>40581</v>
      </c>
      <c r="C243" s="2">
        <v>1</v>
      </c>
      <c r="D243" s="2">
        <v>0</v>
      </c>
      <c r="E243" s="2">
        <v>2</v>
      </c>
      <c r="F243" s="2">
        <v>22</v>
      </c>
      <c r="G243" s="2" t="b">
        <v>0</v>
      </c>
      <c r="H243" s="2">
        <v>1</v>
      </c>
      <c r="I243" s="2">
        <v>1</v>
      </c>
      <c r="J243" s="2">
        <v>0.28000000000000003</v>
      </c>
      <c r="K243" s="2">
        <v>0.30299999999999999</v>
      </c>
      <c r="L243" s="2">
        <v>0.81</v>
      </c>
      <c r="M243" s="2">
        <v>8.9599999999999999E-2</v>
      </c>
      <c r="N243" s="2">
        <v>3</v>
      </c>
      <c r="O243" s="2">
        <v>34</v>
      </c>
      <c r="P243" s="65">
        <v>37</v>
      </c>
    </row>
    <row r="244" spans="1:16" ht="13.2" x14ac:dyDescent="0.25">
      <c r="A244" s="7">
        <v>853</v>
      </c>
      <c r="B244" s="3">
        <v>40581</v>
      </c>
      <c r="C244" s="2">
        <v>1</v>
      </c>
      <c r="D244" s="2">
        <v>0</v>
      </c>
      <c r="E244" s="2">
        <v>2</v>
      </c>
      <c r="F244" s="2">
        <v>23</v>
      </c>
      <c r="G244" s="2" t="b">
        <v>0</v>
      </c>
      <c r="H244" s="2">
        <v>1</v>
      </c>
      <c r="I244" s="2">
        <v>2</v>
      </c>
      <c r="J244" s="2">
        <v>0.3</v>
      </c>
      <c r="K244" s="2">
        <v>0.33329999999999999</v>
      </c>
      <c r="L244" s="2">
        <v>0.81</v>
      </c>
      <c r="M244" s="2">
        <v>0</v>
      </c>
      <c r="N244" s="2">
        <v>6</v>
      </c>
      <c r="O244" s="2">
        <v>19</v>
      </c>
      <c r="P244" s="65">
        <v>25</v>
      </c>
    </row>
    <row r="245" spans="1:16" ht="13.2" x14ac:dyDescent="0.25">
      <c r="A245" s="7">
        <v>854</v>
      </c>
      <c r="B245" s="3">
        <v>40582</v>
      </c>
      <c r="C245" s="2">
        <v>1</v>
      </c>
      <c r="D245" s="2">
        <v>0</v>
      </c>
      <c r="E245" s="2">
        <v>2</v>
      </c>
      <c r="F245" s="2">
        <v>0</v>
      </c>
      <c r="G245" s="2" t="b">
        <v>0</v>
      </c>
      <c r="H245" s="2">
        <v>2</v>
      </c>
      <c r="I245" s="2">
        <v>2</v>
      </c>
      <c r="J245" s="2">
        <v>0.28000000000000003</v>
      </c>
      <c r="K245" s="2">
        <v>0.31819999999999998</v>
      </c>
      <c r="L245" s="2">
        <v>0.87</v>
      </c>
      <c r="M245" s="2">
        <v>0</v>
      </c>
      <c r="N245" s="2">
        <v>4</v>
      </c>
      <c r="O245" s="2">
        <v>6</v>
      </c>
      <c r="P245" s="65">
        <v>10</v>
      </c>
    </row>
    <row r="246" spans="1:16" ht="13.2" x14ac:dyDescent="0.25">
      <c r="A246" s="7">
        <v>855</v>
      </c>
      <c r="B246" s="3">
        <v>40582</v>
      </c>
      <c r="C246" s="2">
        <v>1</v>
      </c>
      <c r="D246" s="2">
        <v>0</v>
      </c>
      <c r="E246" s="2">
        <v>2</v>
      </c>
      <c r="F246" s="2">
        <v>1</v>
      </c>
      <c r="G246" s="2" t="b">
        <v>0</v>
      </c>
      <c r="H246" s="2">
        <v>2</v>
      </c>
      <c r="I246" s="2">
        <v>2</v>
      </c>
      <c r="J246" s="2">
        <v>0.28000000000000003</v>
      </c>
      <c r="K246" s="2">
        <v>0.31819999999999998</v>
      </c>
      <c r="L246" s="2">
        <v>0.87</v>
      </c>
      <c r="M246" s="2">
        <v>0</v>
      </c>
      <c r="N246" s="2">
        <v>0</v>
      </c>
      <c r="O246" s="2">
        <v>4</v>
      </c>
      <c r="P246" s="65">
        <v>4</v>
      </c>
    </row>
    <row r="247" spans="1:16" ht="13.2" x14ac:dyDescent="0.25">
      <c r="A247" s="7">
        <v>856</v>
      </c>
      <c r="B247" s="3">
        <v>40582</v>
      </c>
      <c r="C247" s="2">
        <v>1</v>
      </c>
      <c r="D247" s="2">
        <v>0</v>
      </c>
      <c r="E247" s="2">
        <v>2</v>
      </c>
      <c r="F247" s="2">
        <v>2</v>
      </c>
      <c r="G247" s="2" t="b">
        <v>0</v>
      </c>
      <c r="H247" s="2">
        <v>2</v>
      </c>
      <c r="I247" s="2">
        <v>2</v>
      </c>
      <c r="J247" s="2">
        <v>0.26</v>
      </c>
      <c r="K247" s="2">
        <v>0.2727</v>
      </c>
      <c r="L247" s="2">
        <v>0.93</v>
      </c>
      <c r="M247" s="2">
        <v>0.1045</v>
      </c>
      <c r="N247" s="2">
        <v>1</v>
      </c>
      <c r="O247" s="2">
        <v>1</v>
      </c>
      <c r="P247" s="65">
        <v>2</v>
      </c>
    </row>
    <row r="248" spans="1:16" ht="13.2" x14ac:dyDescent="0.25">
      <c r="A248" s="7">
        <v>857</v>
      </c>
      <c r="B248" s="3">
        <v>40582</v>
      </c>
      <c r="C248" s="2">
        <v>1</v>
      </c>
      <c r="D248" s="2">
        <v>0</v>
      </c>
      <c r="E248" s="2">
        <v>2</v>
      </c>
      <c r="F248" s="2">
        <v>3</v>
      </c>
      <c r="G248" s="2" t="b">
        <v>0</v>
      </c>
      <c r="H248" s="2">
        <v>2</v>
      </c>
      <c r="I248" s="2">
        <v>3</v>
      </c>
      <c r="J248" s="2">
        <v>0.28000000000000003</v>
      </c>
      <c r="K248" s="2">
        <v>0.2727</v>
      </c>
      <c r="L248" s="2">
        <v>0.93</v>
      </c>
      <c r="M248" s="2">
        <v>0.16420000000000001</v>
      </c>
      <c r="N248" s="2">
        <v>0</v>
      </c>
      <c r="O248" s="2">
        <v>1</v>
      </c>
      <c r="P248" s="65">
        <v>1</v>
      </c>
    </row>
    <row r="249" spans="1:16" ht="13.2" x14ac:dyDescent="0.25">
      <c r="A249" s="7">
        <v>858</v>
      </c>
      <c r="B249" s="3">
        <v>40582</v>
      </c>
      <c r="C249" s="2">
        <v>1</v>
      </c>
      <c r="D249" s="2">
        <v>0</v>
      </c>
      <c r="E249" s="2">
        <v>2</v>
      </c>
      <c r="F249" s="2">
        <v>4</v>
      </c>
      <c r="G249" s="2" t="b">
        <v>0</v>
      </c>
      <c r="H249" s="2">
        <v>2</v>
      </c>
      <c r="I249" s="2">
        <v>1</v>
      </c>
      <c r="J249" s="2">
        <v>0.26</v>
      </c>
      <c r="K249" s="2">
        <v>0.2576</v>
      </c>
      <c r="L249" s="2">
        <v>0.93</v>
      </c>
      <c r="M249" s="2">
        <v>0.16420000000000001</v>
      </c>
      <c r="N249" s="2">
        <v>0</v>
      </c>
      <c r="O249" s="2">
        <v>3</v>
      </c>
      <c r="P249" s="65">
        <v>3</v>
      </c>
    </row>
    <row r="250" spans="1:16" ht="13.2" x14ac:dyDescent="0.25">
      <c r="A250" s="7">
        <v>859</v>
      </c>
      <c r="B250" s="3">
        <v>40582</v>
      </c>
      <c r="C250" s="2">
        <v>1</v>
      </c>
      <c r="D250" s="2">
        <v>0</v>
      </c>
      <c r="E250" s="2">
        <v>2</v>
      </c>
      <c r="F250" s="2">
        <v>5</v>
      </c>
      <c r="G250" s="2" t="b">
        <v>0</v>
      </c>
      <c r="H250" s="2">
        <v>2</v>
      </c>
      <c r="I250" s="2">
        <v>1</v>
      </c>
      <c r="J250" s="2">
        <v>0.26</v>
      </c>
      <c r="K250" s="2">
        <v>0.2273</v>
      </c>
      <c r="L250" s="2">
        <v>0.81</v>
      </c>
      <c r="M250" s="2">
        <v>0.32840000000000003</v>
      </c>
      <c r="N250" s="2">
        <v>0</v>
      </c>
      <c r="O250" s="2">
        <v>2</v>
      </c>
      <c r="P250" s="65">
        <v>2</v>
      </c>
    </row>
    <row r="251" spans="1:16" ht="13.2" x14ac:dyDescent="0.25">
      <c r="A251" s="7">
        <v>860</v>
      </c>
      <c r="B251" s="3">
        <v>40582</v>
      </c>
      <c r="C251" s="2">
        <v>1</v>
      </c>
      <c r="D251" s="2">
        <v>0</v>
      </c>
      <c r="E251" s="2">
        <v>2</v>
      </c>
      <c r="F251" s="2">
        <v>6</v>
      </c>
      <c r="G251" s="2" t="b">
        <v>0</v>
      </c>
      <c r="H251" s="2">
        <v>2</v>
      </c>
      <c r="I251" s="2">
        <v>1</v>
      </c>
      <c r="J251" s="2">
        <v>0.26</v>
      </c>
      <c r="K251" s="2">
        <v>0.2273</v>
      </c>
      <c r="L251" s="2">
        <v>0.7</v>
      </c>
      <c r="M251" s="2">
        <v>0.32840000000000003</v>
      </c>
      <c r="N251" s="2">
        <v>0</v>
      </c>
      <c r="O251" s="2">
        <v>39</v>
      </c>
      <c r="P251" s="65">
        <v>39</v>
      </c>
    </row>
    <row r="252" spans="1:16" ht="13.2" x14ac:dyDescent="0.25">
      <c r="A252" s="7">
        <v>861</v>
      </c>
      <c r="B252" s="3">
        <v>40582</v>
      </c>
      <c r="C252" s="2">
        <v>1</v>
      </c>
      <c r="D252" s="2">
        <v>0</v>
      </c>
      <c r="E252" s="2">
        <v>2</v>
      </c>
      <c r="F252" s="2">
        <v>7</v>
      </c>
      <c r="G252" s="2" t="b">
        <v>0</v>
      </c>
      <c r="H252" s="2">
        <v>2</v>
      </c>
      <c r="I252" s="2">
        <v>1</v>
      </c>
      <c r="J252" s="2">
        <v>0.24</v>
      </c>
      <c r="K252" s="2">
        <v>0.19700000000000001</v>
      </c>
      <c r="L252" s="2">
        <v>0.65</v>
      </c>
      <c r="M252" s="2">
        <v>0.41789999999999999</v>
      </c>
      <c r="N252" s="2">
        <v>3</v>
      </c>
      <c r="O252" s="2">
        <v>97</v>
      </c>
      <c r="P252" s="65">
        <v>100</v>
      </c>
    </row>
    <row r="253" spans="1:16" ht="13.2" x14ac:dyDescent="0.25">
      <c r="A253" s="7">
        <v>862</v>
      </c>
      <c r="B253" s="3">
        <v>40582</v>
      </c>
      <c r="C253" s="2">
        <v>1</v>
      </c>
      <c r="D253" s="2">
        <v>0</v>
      </c>
      <c r="E253" s="2">
        <v>2</v>
      </c>
      <c r="F253" s="2">
        <v>8</v>
      </c>
      <c r="G253" s="2" t="b">
        <v>0</v>
      </c>
      <c r="H253" s="2">
        <v>2</v>
      </c>
      <c r="I253" s="2">
        <v>1</v>
      </c>
      <c r="J253" s="2">
        <v>0.24</v>
      </c>
      <c r="K253" s="2">
        <v>0.19700000000000001</v>
      </c>
      <c r="L253" s="2">
        <v>0.56000000000000005</v>
      </c>
      <c r="M253" s="2">
        <v>0.49249999999999999</v>
      </c>
      <c r="N253" s="2">
        <v>7</v>
      </c>
      <c r="O253" s="2">
        <v>236</v>
      </c>
      <c r="P253" s="65">
        <v>243</v>
      </c>
    </row>
    <row r="254" spans="1:16" ht="13.2" x14ac:dyDescent="0.25">
      <c r="A254" s="7">
        <v>863</v>
      </c>
      <c r="B254" s="3">
        <v>40582</v>
      </c>
      <c r="C254" s="2">
        <v>1</v>
      </c>
      <c r="D254" s="2">
        <v>0</v>
      </c>
      <c r="E254" s="2">
        <v>2</v>
      </c>
      <c r="F254" s="2">
        <v>9</v>
      </c>
      <c r="G254" s="2" t="b">
        <v>0</v>
      </c>
      <c r="H254" s="2">
        <v>2</v>
      </c>
      <c r="I254" s="2">
        <v>1</v>
      </c>
      <c r="J254" s="2">
        <v>0.24</v>
      </c>
      <c r="K254" s="2">
        <v>0.19700000000000001</v>
      </c>
      <c r="L254" s="2">
        <v>0.52</v>
      </c>
      <c r="M254" s="2">
        <v>0.49249999999999999</v>
      </c>
      <c r="N254" s="2">
        <v>7</v>
      </c>
      <c r="O254" s="2">
        <v>128</v>
      </c>
      <c r="P254" s="65">
        <v>135</v>
      </c>
    </row>
    <row r="255" spans="1:16" ht="13.2" x14ac:dyDescent="0.25">
      <c r="A255" s="7">
        <v>864</v>
      </c>
      <c r="B255" s="3">
        <v>40582</v>
      </c>
      <c r="C255" s="2">
        <v>1</v>
      </c>
      <c r="D255" s="2">
        <v>0</v>
      </c>
      <c r="E255" s="2">
        <v>2</v>
      </c>
      <c r="F255" s="2">
        <v>10</v>
      </c>
      <c r="G255" s="2" t="b">
        <v>0</v>
      </c>
      <c r="H255" s="2">
        <v>2</v>
      </c>
      <c r="I255" s="2">
        <v>1</v>
      </c>
      <c r="J255" s="2">
        <v>0.22</v>
      </c>
      <c r="K255" s="2">
        <v>0.18179999999999999</v>
      </c>
      <c r="L255" s="2">
        <v>0.47</v>
      </c>
      <c r="M255" s="2">
        <v>0.55220000000000002</v>
      </c>
      <c r="N255" s="2">
        <v>4</v>
      </c>
      <c r="O255" s="2">
        <v>44</v>
      </c>
      <c r="P255" s="65">
        <v>48</v>
      </c>
    </row>
    <row r="256" spans="1:16" ht="13.2" x14ac:dyDescent="0.25">
      <c r="A256" s="7">
        <v>865</v>
      </c>
      <c r="B256" s="3">
        <v>40582</v>
      </c>
      <c r="C256" s="2">
        <v>1</v>
      </c>
      <c r="D256" s="2">
        <v>0</v>
      </c>
      <c r="E256" s="2">
        <v>2</v>
      </c>
      <c r="F256" s="2">
        <v>11</v>
      </c>
      <c r="G256" s="2" t="b">
        <v>0</v>
      </c>
      <c r="H256" s="2">
        <v>2</v>
      </c>
      <c r="I256" s="2">
        <v>1</v>
      </c>
      <c r="J256" s="2">
        <v>0.22</v>
      </c>
      <c r="K256" s="2">
        <v>0.18179999999999999</v>
      </c>
      <c r="L256" s="2">
        <v>0.47</v>
      </c>
      <c r="M256" s="2">
        <v>0.4627</v>
      </c>
      <c r="N256" s="2">
        <v>1</v>
      </c>
      <c r="O256" s="2">
        <v>49</v>
      </c>
      <c r="P256" s="65">
        <v>50</v>
      </c>
    </row>
    <row r="257" spans="1:16" ht="13.2" x14ac:dyDescent="0.25">
      <c r="A257" s="7">
        <v>866</v>
      </c>
      <c r="B257" s="3">
        <v>40582</v>
      </c>
      <c r="C257" s="2">
        <v>1</v>
      </c>
      <c r="D257" s="2">
        <v>0</v>
      </c>
      <c r="E257" s="2">
        <v>2</v>
      </c>
      <c r="F257" s="2">
        <v>12</v>
      </c>
      <c r="G257" s="2" t="b">
        <v>0</v>
      </c>
      <c r="H257" s="2">
        <v>2</v>
      </c>
      <c r="I257" s="2">
        <v>1</v>
      </c>
      <c r="J257" s="2">
        <v>0.24</v>
      </c>
      <c r="K257" s="2">
        <v>0.19700000000000001</v>
      </c>
      <c r="L257" s="2">
        <v>0.38</v>
      </c>
      <c r="M257" s="2">
        <v>0.49249999999999999</v>
      </c>
      <c r="N257" s="2">
        <v>2</v>
      </c>
      <c r="O257" s="2">
        <v>63</v>
      </c>
      <c r="P257" s="65">
        <v>65</v>
      </c>
    </row>
    <row r="258" spans="1:16" ht="13.2" x14ac:dyDescent="0.25">
      <c r="A258" s="7">
        <v>867</v>
      </c>
      <c r="B258" s="3">
        <v>40582</v>
      </c>
      <c r="C258" s="2">
        <v>1</v>
      </c>
      <c r="D258" s="2">
        <v>0</v>
      </c>
      <c r="E258" s="2">
        <v>2</v>
      </c>
      <c r="F258" s="2">
        <v>13</v>
      </c>
      <c r="G258" s="2" t="b">
        <v>0</v>
      </c>
      <c r="H258" s="2">
        <v>2</v>
      </c>
      <c r="I258" s="2">
        <v>2</v>
      </c>
      <c r="J258" s="2">
        <v>0.24</v>
      </c>
      <c r="K258" s="2">
        <v>0.19700000000000001</v>
      </c>
      <c r="L258" s="2">
        <v>0.32</v>
      </c>
      <c r="M258" s="2">
        <v>0.44779999999999998</v>
      </c>
      <c r="N258" s="2">
        <v>2</v>
      </c>
      <c r="O258" s="2">
        <v>48</v>
      </c>
      <c r="P258" s="65">
        <v>50</v>
      </c>
    </row>
    <row r="259" spans="1:16" ht="13.2" x14ac:dyDescent="0.25">
      <c r="A259" s="7">
        <v>868</v>
      </c>
      <c r="B259" s="3">
        <v>40582</v>
      </c>
      <c r="C259" s="2">
        <v>1</v>
      </c>
      <c r="D259" s="2">
        <v>0</v>
      </c>
      <c r="E259" s="2">
        <v>2</v>
      </c>
      <c r="F259" s="2">
        <v>14</v>
      </c>
      <c r="G259" s="2" t="b">
        <v>0</v>
      </c>
      <c r="H259" s="2">
        <v>2</v>
      </c>
      <c r="I259" s="2">
        <v>1</v>
      </c>
      <c r="J259" s="2">
        <v>0.22</v>
      </c>
      <c r="K259" s="2">
        <v>0.19700000000000001</v>
      </c>
      <c r="L259" s="2">
        <v>0.37</v>
      </c>
      <c r="M259" s="2">
        <v>0.41789999999999999</v>
      </c>
      <c r="N259" s="2">
        <v>3</v>
      </c>
      <c r="O259" s="2">
        <v>61</v>
      </c>
      <c r="P259" s="65">
        <v>64</v>
      </c>
    </row>
    <row r="260" spans="1:16" ht="13.2" x14ac:dyDescent="0.25">
      <c r="A260" s="7">
        <v>869</v>
      </c>
      <c r="B260" s="3">
        <v>40582</v>
      </c>
      <c r="C260" s="2">
        <v>1</v>
      </c>
      <c r="D260" s="2">
        <v>0</v>
      </c>
      <c r="E260" s="2">
        <v>2</v>
      </c>
      <c r="F260" s="2">
        <v>15</v>
      </c>
      <c r="G260" s="2" t="b">
        <v>0</v>
      </c>
      <c r="H260" s="2">
        <v>2</v>
      </c>
      <c r="I260" s="2">
        <v>1</v>
      </c>
      <c r="J260" s="2">
        <v>0.22</v>
      </c>
      <c r="K260" s="2">
        <v>0.19700000000000001</v>
      </c>
      <c r="L260" s="2">
        <v>0.35</v>
      </c>
      <c r="M260" s="2">
        <v>0.3881</v>
      </c>
      <c r="N260" s="2">
        <v>6</v>
      </c>
      <c r="O260" s="2">
        <v>45</v>
      </c>
      <c r="P260" s="65">
        <v>51</v>
      </c>
    </row>
    <row r="261" spans="1:16" ht="13.2" x14ac:dyDescent="0.25">
      <c r="A261" s="7">
        <v>870</v>
      </c>
      <c r="B261" s="3">
        <v>40582</v>
      </c>
      <c r="C261" s="2">
        <v>1</v>
      </c>
      <c r="D261" s="2">
        <v>0</v>
      </c>
      <c r="E261" s="2">
        <v>2</v>
      </c>
      <c r="F261" s="2">
        <v>16</v>
      </c>
      <c r="G261" s="2" t="b">
        <v>0</v>
      </c>
      <c r="H261" s="2">
        <v>2</v>
      </c>
      <c r="I261" s="2">
        <v>1</v>
      </c>
      <c r="J261" s="2">
        <v>0.22</v>
      </c>
      <c r="K261" s="2">
        <v>0.18179999999999999</v>
      </c>
      <c r="L261" s="2">
        <v>0.35</v>
      </c>
      <c r="M261" s="2">
        <v>0.52239999999999998</v>
      </c>
      <c r="N261" s="2">
        <v>4</v>
      </c>
      <c r="O261" s="2">
        <v>79</v>
      </c>
      <c r="P261" s="65">
        <v>83</v>
      </c>
    </row>
    <row r="262" spans="1:16" ht="13.2" x14ac:dyDescent="0.25">
      <c r="A262" s="7">
        <v>871</v>
      </c>
      <c r="B262" s="3">
        <v>40582</v>
      </c>
      <c r="C262" s="2">
        <v>1</v>
      </c>
      <c r="D262" s="2">
        <v>0</v>
      </c>
      <c r="E262" s="2">
        <v>2</v>
      </c>
      <c r="F262" s="2">
        <v>17</v>
      </c>
      <c r="G262" s="2" t="b">
        <v>0</v>
      </c>
      <c r="H262" s="2">
        <v>2</v>
      </c>
      <c r="I262" s="2">
        <v>1</v>
      </c>
      <c r="J262" s="2">
        <v>0.22</v>
      </c>
      <c r="K262" s="2">
        <v>0.18179999999999999</v>
      </c>
      <c r="L262" s="2">
        <v>0.32</v>
      </c>
      <c r="M262" s="2">
        <v>0.58209999999999995</v>
      </c>
      <c r="N262" s="2">
        <v>4</v>
      </c>
      <c r="O262" s="2">
        <v>172</v>
      </c>
      <c r="P262" s="65">
        <v>176</v>
      </c>
    </row>
    <row r="263" spans="1:16" ht="13.2" x14ac:dyDescent="0.25">
      <c r="A263" s="7">
        <v>872</v>
      </c>
      <c r="B263" s="3">
        <v>40582</v>
      </c>
      <c r="C263" s="2">
        <v>1</v>
      </c>
      <c r="D263" s="2">
        <v>0</v>
      </c>
      <c r="E263" s="2">
        <v>2</v>
      </c>
      <c r="F263" s="2">
        <v>18</v>
      </c>
      <c r="G263" s="2" t="b">
        <v>0</v>
      </c>
      <c r="H263" s="2">
        <v>2</v>
      </c>
      <c r="I263" s="2">
        <v>1</v>
      </c>
      <c r="J263" s="2">
        <v>0.2</v>
      </c>
      <c r="K263" s="2">
        <v>0.18179999999999999</v>
      </c>
      <c r="L263" s="2">
        <v>0.32</v>
      </c>
      <c r="M263" s="2">
        <v>0.3881</v>
      </c>
      <c r="N263" s="2">
        <v>1</v>
      </c>
      <c r="O263" s="2">
        <v>151</v>
      </c>
      <c r="P263" s="65">
        <v>152</v>
      </c>
    </row>
    <row r="264" spans="1:16" ht="13.2" x14ac:dyDescent="0.25">
      <c r="A264" s="7">
        <v>873</v>
      </c>
      <c r="B264" s="3">
        <v>40582</v>
      </c>
      <c r="C264" s="2">
        <v>1</v>
      </c>
      <c r="D264" s="2">
        <v>0</v>
      </c>
      <c r="E264" s="2">
        <v>2</v>
      </c>
      <c r="F264" s="2">
        <v>19</v>
      </c>
      <c r="G264" s="2" t="b">
        <v>0</v>
      </c>
      <c r="H264" s="2">
        <v>2</v>
      </c>
      <c r="I264" s="2">
        <v>1</v>
      </c>
      <c r="J264" s="2">
        <v>0.16</v>
      </c>
      <c r="K264" s="2">
        <v>0.1212</v>
      </c>
      <c r="L264" s="2">
        <v>0.4</v>
      </c>
      <c r="M264" s="2">
        <v>0.4627</v>
      </c>
      <c r="N264" s="2">
        <v>1</v>
      </c>
      <c r="O264" s="2">
        <v>100</v>
      </c>
      <c r="P264" s="65">
        <v>101</v>
      </c>
    </row>
    <row r="265" spans="1:16" ht="13.2" x14ac:dyDescent="0.25">
      <c r="A265" s="7">
        <v>874</v>
      </c>
      <c r="B265" s="3">
        <v>40582</v>
      </c>
      <c r="C265" s="2">
        <v>1</v>
      </c>
      <c r="D265" s="2">
        <v>0</v>
      </c>
      <c r="E265" s="2">
        <v>2</v>
      </c>
      <c r="F265" s="2">
        <v>20</v>
      </c>
      <c r="G265" s="2" t="b">
        <v>0</v>
      </c>
      <c r="H265" s="2">
        <v>2</v>
      </c>
      <c r="I265" s="2">
        <v>1</v>
      </c>
      <c r="J265" s="2">
        <v>0.16</v>
      </c>
      <c r="K265" s="2">
        <v>0.13639999999999999</v>
      </c>
      <c r="L265" s="2">
        <v>0.4</v>
      </c>
      <c r="M265" s="2">
        <v>0.32840000000000003</v>
      </c>
      <c r="N265" s="2">
        <v>3</v>
      </c>
      <c r="O265" s="2">
        <v>53</v>
      </c>
      <c r="P265" s="65">
        <v>56</v>
      </c>
    </row>
    <row r="266" spans="1:16" ht="13.2" x14ac:dyDescent="0.25">
      <c r="A266" s="7">
        <v>875</v>
      </c>
      <c r="B266" s="3">
        <v>40582</v>
      </c>
      <c r="C266" s="2">
        <v>1</v>
      </c>
      <c r="D266" s="2">
        <v>0</v>
      </c>
      <c r="E266" s="2">
        <v>2</v>
      </c>
      <c r="F266" s="2">
        <v>21</v>
      </c>
      <c r="G266" s="2" t="b">
        <v>0</v>
      </c>
      <c r="H266" s="2">
        <v>2</v>
      </c>
      <c r="I266" s="2">
        <v>1</v>
      </c>
      <c r="J266" s="2">
        <v>0.14000000000000001</v>
      </c>
      <c r="K266" s="2">
        <v>0.1061</v>
      </c>
      <c r="L266" s="2">
        <v>0.33</v>
      </c>
      <c r="M266" s="2">
        <v>0.4627</v>
      </c>
      <c r="N266" s="2">
        <v>8</v>
      </c>
      <c r="O266" s="2">
        <v>46</v>
      </c>
      <c r="P266" s="65">
        <v>54</v>
      </c>
    </row>
    <row r="267" spans="1:16" ht="13.2" x14ac:dyDescent="0.25">
      <c r="A267" s="7">
        <v>876</v>
      </c>
      <c r="B267" s="3">
        <v>40582</v>
      </c>
      <c r="C267" s="2">
        <v>1</v>
      </c>
      <c r="D267" s="2">
        <v>0</v>
      </c>
      <c r="E267" s="2">
        <v>2</v>
      </c>
      <c r="F267" s="2">
        <v>22</v>
      </c>
      <c r="G267" s="2" t="b">
        <v>0</v>
      </c>
      <c r="H267" s="2">
        <v>2</v>
      </c>
      <c r="I267" s="2">
        <v>1</v>
      </c>
      <c r="J267" s="2">
        <v>0.12</v>
      </c>
      <c r="K267" s="2">
        <v>0.1061</v>
      </c>
      <c r="L267" s="2">
        <v>0.33</v>
      </c>
      <c r="M267" s="2">
        <v>0.35820000000000002</v>
      </c>
      <c r="N267" s="2">
        <v>0</v>
      </c>
      <c r="O267" s="2">
        <v>29</v>
      </c>
      <c r="P267" s="65">
        <v>29</v>
      </c>
    </row>
    <row r="268" spans="1:16" ht="13.2" x14ac:dyDescent="0.25">
      <c r="A268" s="7">
        <v>877</v>
      </c>
      <c r="B268" s="3">
        <v>40582</v>
      </c>
      <c r="C268" s="2">
        <v>1</v>
      </c>
      <c r="D268" s="2">
        <v>0</v>
      </c>
      <c r="E268" s="2">
        <v>2</v>
      </c>
      <c r="F268" s="2">
        <v>23</v>
      </c>
      <c r="G268" s="2" t="b">
        <v>0</v>
      </c>
      <c r="H268" s="2">
        <v>2</v>
      </c>
      <c r="I268" s="2">
        <v>1</v>
      </c>
      <c r="J268" s="2">
        <v>0.12</v>
      </c>
      <c r="K268" s="2">
        <v>0.1061</v>
      </c>
      <c r="L268" s="2">
        <v>0.33</v>
      </c>
      <c r="M268" s="2">
        <v>0.32840000000000003</v>
      </c>
      <c r="N268" s="2">
        <v>3</v>
      </c>
      <c r="O268" s="2">
        <v>9</v>
      </c>
      <c r="P268" s="65">
        <v>12</v>
      </c>
    </row>
    <row r="269" spans="1:16" ht="13.2" x14ac:dyDescent="0.25">
      <c r="A269" s="7">
        <v>878</v>
      </c>
      <c r="B269" s="3">
        <v>40583</v>
      </c>
      <c r="C269" s="2">
        <v>1</v>
      </c>
      <c r="D269" s="2">
        <v>0</v>
      </c>
      <c r="E269" s="2">
        <v>2</v>
      </c>
      <c r="F269" s="2">
        <v>0</v>
      </c>
      <c r="G269" s="2" t="b">
        <v>0</v>
      </c>
      <c r="H269" s="2">
        <v>3</v>
      </c>
      <c r="I269" s="2">
        <v>1</v>
      </c>
      <c r="J269" s="2">
        <v>0.1</v>
      </c>
      <c r="K269" s="2">
        <v>7.5800000000000006E-2</v>
      </c>
      <c r="L269" s="2">
        <v>0.36</v>
      </c>
      <c r="M269" s="2">
        <v>0.35820000000000002</v>
      </c>
      <c r="N269" s="2">
        <v>0</v>
      </c>
      <c r="O269" s="2">
        <v>17</v>
      </c>
      <c r="P269" s="65">
        <v>17</v>
      </c>
    </row>
    <row r="270" spans="1:16" ht="13.2" x14ac:dyDescent="0.25">
      <c r="A270" s="7">
        <v>879</v>
      </c>
      <c r="B270" s="3">
        <v>40583</v>
      </c>
      <c r="C270" s="2">
        <v>1</v>
      </c>
      <c r="D270" s="2">
        <v>0</v>
      </c>
      <c r="E270" s="2">
        <v>2</v>
      </c>
      <c r="F270" s="2">
        <v>1</v>
      </c>
      <c r="G270" s="2" t="b">
        <v>0</v>
      </c>
      <c r="H270" s="2">
        <v>3</v>
      </c>
      <c r="I270" s="2">
        <v>1</v>
      </c>
      <c r="J270" s="2">
        <v>0.1</v>
      </c>
      <c r="K270" s="2">
        <v>0.1061</v>
      </c>
      <c r="L270" s="2">
        <v>0.36</v>
      </c>
      <c r="M270" s="2">
        <v>0.22389999999999999</v>
      </c>
      <c r="N270" s="2">
        <v>0</v>
      </c>
      <c r="O270" s="2">
        <v>7</v>
      </c>
      <c r="P270" s="65">
        <v>7</v>
      </c>
    </row>
    <row r="271" spans="1:16" ht="13.2" x14ac:dyDescent="0.25">
      <c r="A271" s="7">
        <v>880</v>
      </c>
      <c r="B271" s="3">
        <v>40583</v>
      </c>
      <c r="C271" s="2">
        <v>1</v>
      </c>
      <c r="D271" s="2">
        <v>0</v>
      </c>
      <c r="E271" s="2">
        <v>2</v>
      </c>
      <c r="F271" s="2">
        <v>2</v>
      </c>
      <c r="G271" s="2" t="b">
        <v>0</v>
      </c>
      <c r="H271" s="2">
        <v>3</v>
      </c>
      <c r="I271" s="2">
        <v>1</v>
      </c>
      <c r="J271" s="2">
        <v>0.08</v>
      </c>
      <c r="K271" s="2">
        <v>7.5800000000000006E-2</v>
      </c>
      <c r="L271" s="2">
        <v>0.38</v>
      </c>
      <c r="M271" s="2">
        <v>0.28360000000000002</v>
      </c>
      <c r="N271" s="2">
        <v>1</v>
      </c>
      <c r="O271" s="2">
        <v>2</v>
      </c>
      <c r="P271" s="65">
        <v>3</v>
      </c>
    </row>
    <row r="272" spans="1:16" ht="13.2" x14ac:dyDescent="0.25">
      <c r="A272" s="7">
        <v>881</v>
      </c>
      <c r="B272" s="3">
        <v>40583</v>
      </c>
      <c r="C272" s="2">
        <v>1</v>
      </c>
      <c r="D272" s="2">
        <v>0</v>
      </c>
      <c r="E272" s="2">
        <v>2</v>
      </c>
      <c r="F272" s="2">
        <v>3</v>
      </c>
      <c r="G272" s="2" t="b">
        <v>0</v>
      </c>
      <c r="H272" s="2">
        <v>3</v>
      </c>
      <c r="I272" s="2">
        <v>1</v>
      </c>
      <c r="J272" s="2">
        <v>0.06</v>
      </c>
      <c r="K272" s="2">
        <v>7.5800000000000006E-2</v>
      </c>
      <c r="L272" s="2">
        <v>0.45</v>
      </c>
      <c r="M272" s="2">
        <v>0.1343</v>
      </c>
      <c r="N272" s="2">
        <v>0</v>
      </c>
      <c r="O272" s="2">
        <v>2</v>
      </c>
      <c r="P272" s="65">
        <v>2</v>
      </c>
    </row>
    <row r="273" spans="1:16" ht="13.2" x14ac:dyDescent="0.25">
      <c r="A273" s="7">
        <v>882</v>
      </c>
      <c r="B273" s="3">
        <v>40583</v>
      </c>
      <c r="C273" s="2">
        <v>1</v>
      </c>
      <c r="D273" s="2">
        <v>0</v>
      </c>
      <c r="E273" s="2">
        <v>2</v>
      </c>
      <c r="F273" s="2">
        <v>5</v>
      </c>
      <c r="G273" s="2" t="b">
        <v>0</v>
      </c>
      <c r="H273" s="2">
        <v>3</v>
      </c>
      <c r="I273" s="2">
        <v>1</v>
      </c>
      <c r="J273" s="2">
        <v>0.06</v>
      </c>
      <c r="K273" s="2">
        <v>0.1061</v>
      </c>
      <c r="L273" s="2">
        <v>0.45</v>
      </c>
      <c r="M273" s="2">
        <v>0.1045</v>
      </c>
      <c r="N273" s="2">
        <v>0</v>
      </c>
      <c r="O273" s="2">
        <v>7</v>
      </c>
      <c r="P273" s="65">
        <v>7</v>
      </c>
    </row>
    <row r="274" spans="1:16" ht="13.2" x14ac:dyDescent="0.25">
      <c r="A274" s="7">
        <v>883</v>
      </c>
      <c r="B274" s="3">
        <v>40583</v>
      </c>
      <c r="C274" s="2">
        <v>1</v>
      </c>
      <c r="D274" s="2">
        <v>0</v>
      </c>
      <c r="E274" s="2">
        <v>2</v>
      </c>
      <c r="F274" s="2">
        <v>6</v>
      </c>
      <c r="G274" s="2" t="b">
        <v>0</v>
      </c>
      <c r="H274" s="2">
        <v>3</v>
      </c>
      <c r="I274" s="2">
        <v>1</v>
      </c>
      <c r="J274" s="2">
        <v>0.06</v>
      </c>
      <c r="K274" s="2">
        <v>0.1515</v>
      </c>
      <c r="L274" s="2">
        <v>0.45</v>
      </c>
      <c r="M274" s="2">
        <v>0</v>
      </c>
      <c r="N274" s="2">
        <v>0</v>
      </c>
      <c r="O274" s="2">
        <v>43</v>
      </c>
      <c r="P274" s="65">
        <v>43</v>
      </c>
    </row>
    <row r="275" spans="1:16" ht="13.2" x14ac:dyDescent="0.25">
      <c r="A275" s="7">
        <v>884</v>
      </c>
      <c r="B275" s="3">
        <v>40583</v>
      </c>
      <c r="C275" s="2">
        <v>1</v>
      </c>
      <c r="D275" s="2">
        <v>0</v>
      </c>
      <c r="E275" s="2">
        <v>2</v>
      </c>
      <c r="F275" s="2">
        <v>7</v>
      </c>
      <c r="G275" s="2" t="b">
        <v>0</v>
      </c>
      <c r="H275" s="2">
        <v>3</v>
      </c>
      <c r="I275" s="2">
        <v>1</v>
      </c>
      <c r="J275" s="2">
        <v>0.06</v>
      </c>
      <c r="K275" s="2">
        <v>0.1061</v>
      </c>
      <c r="L275" s="2">
        <v>0.49</v>
      </c>
      <c r="M275" s="2">
        <v>0.1045</v>
      </c>
      <c r="N275" s="2">
        <v>4</v>
      </c>
      <c r="O275" s="2">
        <v>95</v>
      </c>
      <c r="P275" s="65">
        <v>99</v>
      </c>
    </row>
    <row r="276" spans="1:16" ht="13.2" x14ac:dyDescent="0.25">
      <c r="A276" s="7">
        <v>885</v>
      </c>
      <c r="B276" s="3">
        <v>40583</v>
      </c>
      <c r="C276" s="2">
        <v>1</v>
      </c>
      <c r="D276" s="2">
        <v>0</v>
      </c>
      <c r="E276" s="2">
        <v>2</v>
      </c>
      <c r="F276" s="2">
        <v>8</v>
      </c>
      <c r="G276" s="2" t="b">
        <v>0</v>
      </c>
      <c r="H276" s="2">
        <v>3</v>
      </c>
      <c r="I276" s="2">
        <v>1</v>
      </c>
      <c r="J276" s="2">
        <v>0.1</v>
      </c>
      <c r="K276" s="2">
        <v>0.13639999999999999</v>
      </c>
      <c r="L276" s="2">
        <v>0.42</v>
      </c>
      <c r="M276" s="2">
        <v>0</v>
      </c>
      <c r="N276" s="2">
        <v>1</v>
      </c>
      <c r="O276" s="2">
        <v>198</v>
      </c>
      <c r="P276" s="65">
        <v>199</v>
      </c>
    </row>
    <row r="277" spans="1:16" ht="13.2" x14ac:dyDescent="0.25">
      <c r="A277" s="7">
        <v>886</v>
      </c>
      <c r="B277" s="3">
        <v>40583</v>
      </c>
      <c r="C277" s="2">
        <v>1</v>
      </c>
      <c r="D277" s="2">
        <v>0</v>
      </c>
      <c r="E277" s="2">
        <v>2</v>
      </c>
      <c r="F277" s="2">
        <v>9</v>
      </c>
      <c r="G277" s="2" t="b">
        <v>0</v>
      </c>
      <c r="H277" s="2">
        <v>3</v>
      </c>
      <c r="I277" s="2">
        <v>1</v>
      </c>
      <c r="J277" s="2">
        <v>0.12</v>
      </c>
      <c r="K277" s="2">
        <v>0.13639999999999999</v>
      </c>
      <c r="L277" s="2">
        <v>0.39</v>
      </c>
      <c r="M277" s="2">
        <v>0.16420000000000001</v>
      </c>
      <c r="N277" s="2">
        <v>4</v>
      </c>
      <c r="O277" s="2">
        <v>119</v>
      </c>
      <c r="P277" s="65">
        <v>123</v>
      </c>
    </row>
    <row r="278" spans="1:16" ht="13.2" x14ac:dyDescent="0.25">
      <c r="A278" s="7">
        <v>887</v>
      </c>
      <c r="B278" s="3">
        <v>40583</v>
      </c>
      <c r="C278" s="2">
        <v>1</v>
      </c>
      <c r="D278" s="2">
        <v>0</v>
      </c>
      <c r="E278" s="2">
        <v>2</v>
      </c>
      <c r="F278" s="2">
        <v>10</v>
      </c>
      <c r="G278" s="2" t="b">
        <v>0</v>
      </c>
      <c r="H278" s="2">
        <v>3</v>
      </c>
      <c r="I278" s="2">
        <v>1</v>
      </c>
      <c r="J278" s="2">
        <v>0.14000000000000001</v>
      </c>
      <c r="K278" s="2">
        <v>0.18179999999999999</v>
      </c>
      <c r="L278" s="2">
        <v>0.36</v>
      </c>
      <c r="M278" s="2">
        <v>0</v>
      </c>
      <c r="N278" s="2">
        <v>8</v>
      </c>
      <c r="O278" s="2">
        <v>51</v>
      </c>
      <c r="P278" s="65">
        <v>59</v>
      </c>
    </row>
    <row r="279" spans="1:16" ht="13.2" x14ac:dyDescent="0.25">
      <c r="A279" s="7">
        <v>888</v>
      </c>
      <c r="B279" s="3">
        <v>40583</v>
      </c>
      <c r="C279" s="2">
        <v>1</v>
      </c>
      <c r="D279" s="2">
        <v>0</v>
      </c>
      <c r="E279" s="2">
        <v>2</v>
      </c>
      <c r="F279" s="2">
        <v>11</v>
      </c>
      <c r="G279" s="2" t="b">
        <v>0</v>
      </c>
      <c r="H279" s="2">
        <v>3</v>
      </c>
      <c r="I279" s="2">
        <v>2</v>
      </c>
      <c r="J279" s="2">
        <v>0.14000000000000001</v>
      </c>
      <c r="K279" s="2">
        <v>0.1515</v>
      </c>
      <c r="L279" s="2">
        <v>0.43</v>
      </c>
      <c r="M279" s="2">
        <v>0.16420000000000001</v>
      </c>
      <c r="N279" s="2">
        <v>1</v>
      </c>
      <c r="O279" s="2">
        <v>40</v>
      </c>
      <c r="P279" s="65">
        <v>41</v>
      </c>
    </row>
    <row r="280" spans="1:16" ht="13.2" x14ac:dyDescent="0.25">
      <c r="A280" s="7">
        <v>889</v>
      </c>
      <c r="B280" s="3">
        <v>40583</v>
      </c>
      <c r="C280" s="2">
        <v>1</v>
      </c>
      <c r="D280" s="2">
        <v>0</v>
      </c>
      <c r="E280" s="2">
        <v>2</v>
      </c>
      <c r="F280" s="2">
        <v>12</v>
      </c>
      <c r="G280" s="2" t="b">
        <v>0</v>
      </c>
      <c r="H280" s="2">
        <v>3</v>
      </c>
      <c r="I280" s="2">
        <v>2</v>
      </c>
      <c r="J280" s="2">
        <v>0.18</v>
      </c>
      <c r="K280" s="2">
        <v>0.18179999999999999</v>
      </c>
      <c r="L280" s="2">
        <v>0.4</v>
      </c>
      <c r="M280" s="2">
        <v>0.22389999999999999</v>
      </c>
      <c r="N280" s="2">
        <v>4</v>
      </c>
      <c r="O280" s="2">
        <v>57</v>
      </c>
      <c r="P280" s="65">
        <v>61</v>
      </c>
    </row>
    <row r="281" spans="1:16" ht="13.2" x14ac:dyDescent="0.25">
      <c r="A281" s="7">
        <v>890</v>
      </c>
      <c r="B281" s="3">
        <v>40583</v>
      </c>
      <c r="C281" s="2">
        <v>1</v>
      </c>
      <c r="D281" s="2">
        <v>0</v>
      </c>
      <c r="E281" s="2">
        <v>2</v>
      </c>
      <c r="F281" s="2">
        <v>13</v>
      </c>
      <c r="G281" s="2" t="b">
        <v>0</v>
      </c>
      <c r="H281" s="2">
        <v>3</v>
      </c>
      <c r="I281" s="2">
        <v>1</v>
      </c>
      <c r="J281" s="2">
        <v>0.18</v>
      </c>
      <c r="K281" s="2">
        <v>0.16669999999999999</v>
      </c>
      <c r="L281" s="2">
        <v>0.4</v>
      </c>
      <c r="M281" s="2">
        <v>0.25369999999999998</v>
      </c>
      <c r="N281" s="2">
        <v>2</v>
      </c>
      <c r="O281" s="2">
        <v>67</v>
      </c>
      <c r="P281" s="65">
        <v>69</v>
      </c>
    </row>
    <row r="282" spans="1:16" ht="13.2" x14ac:dyDescent="0.25">
      <c r="A282" s="7">
        <v>891</v>
      </c>
      <c r="B282" s="3">
        <v>40583</v>
      </c>
      <c r="C282" s="2">
        <v>1</v>
      </c>
      <c r="D282" s="2">
        <v>0</v>
      </c>
      <c r="E282" s="2">
        <v>2</v>
      </c>
      <c r="F282" s="2">
        <v>14</v>
      </c>
      <c r="G282" s="2" t="b">
        <v>0</v>
      </c>
      <c r="H282" s="2">
        <v>3</v>
      </c>
      <c r="I282" s="2">
        <v>1</v>
      </c>
      <c r="J282" s="2">
        <v>0.2</v>
      </c>
      <c r="K282" s="2">
        <v>0.18179999999999999</v>
      </c>
      <c r="L282" s="2">
        <v>0.34</v>
      </c>
      <c r="M282" s="2">
        <v>0.29849999999999999</v>
      </c>
      <c r="N282" s="2">
        <v>2</v>
      </c>
      <c r="O282" s="2">
        <v>56</v>
      </c>
      <c r="P282" s="65">
        <v>58</v>
      </c>
    </row>
    <row r="283" spans="1:16" ht="13.2" x14ac:dyDescent="0.25">
      <c r="A283" s="7">
        <v>892</v>
      </c>
      <c r="B283" s="3">
        <v>40583</v>
      </c>
      <c r="C283" s="2">
        <v>1</v>
      </c>
      <c r="D283" s="2">
        <v>0</v>
      </c>
      <c r="E283" s="2">
        <v>2</v>
      </c>
      <c r="F283" s="2">
        <v>15</v>
      </c>
      <c r="G283" s="2" t="b">
        <v>0</v>
      </c>
      <c r="H283" s="2">
        <v>3</v>
      </c>
      <c r="I283" s="2">
        <v>2</v>
      </c>
      <c r="J283" s="2">
        <v>0.2</v>
      </c>
      <c r="K283" s="2">
        <v>0.18179999999999999</v>
      </c>
      <c r="L283" s="2">
        <v>0.34</v>
      </c>
      <c r="M283" s="2">
        <v>0.28360000000000002</v>
      </c>
      <c r="N283" s="2">
        <v>3</v>
      </c>
      <c r="O283" s="2">
        <v>61</v>
      </c>
      <c r="P283" s="65">
        <v>64</v>
      </c>
    </row>
    <row r="284" spans="1:16" ht="13.2" x14ac:dyDescent="0.25">
      <c r="A284" s="7">
        <v>893</v>
      </c>
      <c r="B284" s="3">
        <v>40583</v>
      </c>
      <c r="C284" s="2">
        <v>1</v>
      </c>
      <c r="D284" s="2">
        <v>0</v>
      </c>
      <c r="E284" s="2">
        <v>2</v>
      </c>
      <c r="F284" s="2">
        <v>16</v>
      </c>
      <c r="G284" s="2" t="b">
        <v>0</v>
      </c>
      <c r="H284" s="2">
        <v>3</v>
      </c>
      <c r="I284" s="2">
        <v>2</v>
      </c>
      <c r="J284" s="2">
        <v>0.2</v>
      </c>
      <c r="K284" s="2">
        <v>0.19700000000000001</v>
      </c>
      <c r="L284" s="2">
        <v>0.37</v>
      </c>
      <c r="M284" s="2">
        <v>0.25369999999999998</v>
      </c>
      <c r="N284" s="2">
        <v>7</v>
      </c>
      <c r="O284" s="2">
        <v>72</v>
      </c>
      <c r="P284" s="65">
        <v>79</v>
      </c>
    </row>
    <row r="285" spans="1:16" ht="13.2" x14ac:dyDescent="0.25">
      <c r="A285" s="7">
        <v>894</v>
      </c>
      <c r="B285" s="3">
        <v>40583</v>
      </c>
      <c r="C285" s="2">
        <v>1</v>
      </c>
      <c r="D285" s="2">
        <v>0</v>
      </c>
      <c r="E285" s="2">
        <v>2</v>
      </c>
      <c r="F285" s="2">
        <v>17</v>
      </c>
      <c r="G285" s="2" t="b">
        <v>0</v>
      </c>
      <c r="H285" s="2">
        <v>3</v>
      </c>
      <c r="I285" s="2">
        <v>2</v>
      </c>
      <c r="J285" s="2">
        <v>0.2</v>
      </c>
      <c r="K285" s="2">
        <v>0.19700000000000001</v>
      </c>
      <c r="L285" s="2">
        <v>0.34</v>
      </c>
      <c r="M285" s="2">
        <v>0.25369999999999998</v>
      </c>
      <c r="N285" s="2">
        <v>9</v>
      </c>
      <c r="O285" s="2">
        <v>157</v>
      </c>
      <c r="P285" s="65">
        <v>166</v>
      </c>
    </row>
    <row r="286" spans="1:16" ht="13.2" x14ac:dyDescent="0.25">
      <c r="A286" s="7">
        <v>895</v>
      </c>
      <c r="B286" s="3">
        <v>40583</v>
      </c>
      <c r="C286" s="2">
        <v>1</v>
      </c>
      <c r="D286" s="2">
        <v>0</v>
      </c>
      <c r="E286" s="2">
        <v>2</v>
      </c>
      <c r="F286" s="2">
        <v>18</v>
      </c>
      <c r="G286" s="2" t="b">
        <v>0</v>
      </c>
      <c r="H286" s="2">
        <v>3</v>
      </c>
      <c r="I286" s="2">
        <v>2</v>
      </c>
      <c r="J286" s="2">
        <v>0.18</v>
      </c>
      <c r="K286" s="2">
        <v>0.16669999999999999</v>
      </c>
      <c r="L286" s="2">
        <v>0.47</v>
      </c>
      <c r="M286" s="2">
        <v>0.29849999999999999</v>
      </c>
      <c r="N286" s="2">
        <v>2</v>
      </c>
      <c r="O286" s="2">
        <v>168</v>
      </c>
      <c r="P286" s="65">
        <v>170</v>
      </c>
    </row>
    <row r="287" spans="1:16" ht="13.2" x14ac:dyDescent="0.25">
      <c r="A287" s="7">
        <v>896</v>
      </c>
      <c r="B287" s="3">
        <v>40583</v>
      </c>
      <c r="C287" s="2">
        <v>1</v>
      </c>
      <c r="D287" s="2">
        <v>0</v>
      </c>
      <c r="E287" s="2">
        <v>2</v>
      </c>
      <c r="F287" s="2">
        <v>19</v>
      </c>
      <c r="G287" s="2" t="b">
        <v>0</v>
      </c>
      <c r="H287" s="2">
        <v>3</v>
      </c>
      <c r="I287" s="2">
        <v>3</v>
      </c>
      <c r="J287" s="2">
        <v>0.14000000000000001</v>
      </c>
      <c r="K287" s="2">
        <v>0.1212</v>
      </c>
      <c r="L287" s="2">
        <v>0.86</v>
      </c>
      <c r="M287" s="2">
        <v>0.25369999999999998</v>
      </c>
      <c r="N287" s="2">
        <v>1</v>
      </c>
      <c r="O287" s="2">
        <v>87</v>
      </c>
      <c r="P287" s="65">
        <v>88</v>
      </c>
    </row>
    <row r="288" spans="1:16" ht="13.2" x14ac:dyDescent="0.25">
      <c r="A288" s="7">
        <v>897</v>
      </c>
      <c r="B288" s="3">
        <v>40583</v>
      </c>
      <c r="C288" s="2">
        <v>1</v>
      </c>
      <c r="D288" s="2">
        <v>0</v>
      </c>
      <c r="E288" s="2">
        <v>2</v>
      </c>
      <c r="F288" s="2">
        <v>20</v>
      </c>
      <c r="G288" s="2" t="b">
        <v>0</v>
      </c>
      <c r="H288" s="2">
        <v>3</v>
      </c>
      <c r="I288" s="2">
        <v>3</v>
      </c>
      <c r="J288" s="2">
        <v>0.14000000000000001</v>
      </c>
      <c r="K288" s="2">
        <v>0.1515</v>
      </c>
      <c r="L288" s="2">
        <v>0.86</v>
      </c>
      <c r="M288" s="2">
        <v>0.16420000000000001</v>
      </c>
      <c r="N288" s="2">
        <v>0</v>
      </c>
      <c r="O288" s="2">
        <v>84</v>
      </c>
      <c r="P288" s="65">
        <v>84</v>
      </c>
    </row>
    <row r="289" spans="1:16" ht="13.2" x14ac:dyDescent="0.25">
      <c r="A289" s="7">
        <v>898</v>
      </c>
      <c r="B289" s="3">
        <v>40583</v>
      </c>
      <c r="C289" s="2">
        <v>1</v>
      </c>
      <c r="D289" s="2">
        <v>0</v>
      </c>
      <c r="E289" s="2">
        <v>2</v>
      </c>
      <c r="F289" s="2">
        <v>21</v>
      </c>
      <c r="G289" s="2" t="b">
        <v>0</v>
      </c>
      <c r="H289" s="2">
        <v>3</v>
      </c>
      <c r="I289" s="2">
        <v>2</v>
      </c>
      <c r="J289" s="2">
        <v>0.14000000000000001</v>
      </c>
      <c r="K289" s="2">
        <v>0.1515</v>
      </c>
      <c r="L289" s="2">
        <v>0.86</v>
      </c>
      <c r="M289" s="2">
        <v>0.16420000000000001</v>
      </c>
      <c r="N289" s="2">
        <v>0</v>
      </c>
      <c r="O289" s="2">
        <v>83</v>
      </c>
      <c r="P289" s="65">
        <v>83</v>
      </c>
    </row>
    <row r="290" spans="1:16" ht="13.2" x14ac:dyDescent="0.25">
      <c r="A290" s="7">
        <v>899</v>
      </c>
      <c r="B290" s="3">
        <v>40583</v>
      </c>
      <c r="C290" s="2">
        <v>1</v>
      </c>
      <c r="D290" s="2">
        <v>0</v>
      </c>
      <c r="E290" s="2">
        <v>2</v>
      </c>
      <c r="F290" s="2">
        <v>22</v>
      </c>
      <c r="G290" s="2" t="b">
        <v>0</v>
      </c>
      <c r="H290" s="2">
        <v>3</v>
      </c>
      <c r="I290" s="2">
        <v>3</v>
      </c>
      <c r="J290" s="2">
        <v>0.16</v>
      </c>
      <c r="K290" s="2">
        <v>0.16669999999999999</v>
      </c>
      <c r="L290" s="2">
        <v>0.8</v>
      </c>
      <c r="M290" s="2">
        <v>0.16420000000000001</v>
      </c>
      <c r="N290" s="2">
        <v>4</v>
      </c>
      <c r="O290" s="2">
        <v>42</v>
      </c>
      <c r="P290" s="65">
        <v>46</v>
      </c>
    </row>
    <row r="291" spans="1:16" ht="13.2" x14ac:dyDescent="0.25">
      <c r="A291" s="7">
        <v>900</v>
      </c>
      <c r="B291" s="3">
        <v>40583</v>
      </c>
      <c r="C291" s="2">
        <v>1</v>
      </c>
      <c r="D291" s="2">
        <v>0</v>
      </c>
      <c r="E291" s="2">
        <v>2</v>
      </c>
      <c r="F291" s="2">
        <v>23</v>
      </c>
      <c r="G291" s="2" t="b">
        <v>0</v>
      </c>
      <c r="H291" s="2">
        <v>3</v>
      </c>
      <c r="I291" s="2">
        <v>3</v>
      </c>
      <c r="J291" s="2">
        <v>0.16</v>
      </c>
      <c r="K291" s="2">
        <v>0.1515</v>
      </c>
      <c r="L291" s="2">
        <v>0.8</v>
      </c>
      <c r="M291" s="2">
        <v>0.19400000000000001</v>
      </c>
      <c r="N291" s="2">
        <v>0</v>
      </c>
      <c r="O291" s="2">
        <v>37</v>
      </c>
      <c r="P291" s="65">
        <v>37</v>
      </c>
    </row>
    <row r="292" spans="1:16" ht="13.2" x14ac:dyDescent="0.25">
      <c r="A292" s="7">
        <v>901</v>
      </c>
      <c r="B292" s="3">
        <v>40584</v>
      </c>
      <c r="C292" s="2">
        <v>1</v>
      </c>
      <c r="D292" s="2">
        <v>0</v>
      </c>
      <c r="E292" s="2">
        <v>2</v>
      </c>
      <c r="F292" s="2">
        <v>0</v>
      </c>
      <c r="G292" s="2" t="b">
        <v>0</v>
      </c>
      <c r="H292" s="2">
        <v>4</v>
      </c>
      <c r="I292" s="2">
        <v>3</v>
      </c>
      <c r="J292" s="2">
        <v>0.14000000000000001</v>
      </c>
      <c r="K292" s="2">
        <v>0.13639999999999999</v>
      </c>
      <c r="L292" s="2">
        <v>0.86</v>
      </c>
      <c r="M292" s="2">
        <v>0.19400000000000001</v>
      </c>
      <c r="N292" s="2">
        <v>0</v>
      </c>
      <c r="O292" s="2">
        <v>16</v>
      </c>
      <c r="P292" s="65">
        <v>16</v>
      </c>
    </row>
    <row r="293" spans="1:16" ht="13.2" x14ac:dyDescent="0.25">
      <c r="A293" s="7">
        <v>902</v>
      </c>
      <c r="B293" s="3">
        <v>40584</v>
      </c>
      <c r="C293" s="2">
        <v>1</v>
      </c>
      <c r="D293" s="2">
        <v>0</v>
      </c>
      <c r="E293" s="2">
        <v>2</v>
      </c>
      <c r="F293" s="2">
        <v>1</v>
      </c>
      <c r="G293" s="2" t="b">
        <v>0</v>
      </c>
      <c r="H293" s="2">
        <v>4</v>
      </c>
      <c r="I293" s="2">
        <v>3</v>
      </c>
      <c r="J293" s="2">
        <v>0.14000000000000001</v>
      </c>
      <c r="K293" s="2">
        <v>0.1515</v>
      </c>
      <c r="L293" s="2">
        <v>0.8</v>
      </c>
      <c r="M293" s="2">
        <v>0.1343</v>
      </c>
      <c r="N293" s="2">
        <v>0</v>
      </c>
      <c r="O293" s="2">
        <v>7</v>
      </c>
      <c r="P293" s="65">
        <v>7</v>
      </c>
    </row>
    <row r="294" spans="1:16" ht="13.2" x14ac:dyDescent="0.25">
      <c r="A294" s="7">
        <v>903</v>
      </c>
      <c r="B294" s="3">
        <v>40584</v>
      </c>
      <c r="C294" s="2">
        <v>1</v>
      </c>
      <c r="D294" s="2">
        <v>0</v>
      </c>
      <c r="E294" s="2">
        <v>2</v>
      </c>
      <c r="F294" s="2">
        <v>2</v>
      </c>
      <c r="G294" s="2" t="b">
        <v>0</v>
      </c>
      <c r="H294" s="2">
        <v>4</v>
      </c>
      <c r="I294" s="2">
        <v>3</v>
      </c>
      <c r="J294" s="2">
        <v>0.14000000000000001</v>
      </c>
      <c r="K294" s="2">
        <v>0.1515</v>
      </c>
      <c r="L294" s="2">
        <v>0.8</v>
      </c>
      <c r="M294" s="2">
        <v>0.1343</v>
      </c>
      <c r="N294" s="2">
        <v>0</v>
      </c>
      <c r="O294" s="2">
        <v>3</v>
      </c>
      <c r="P294" s="65">
        <v>3</v>
      </c>
    </row>
    <row r="295" spans="1:16" ht="13.2" x14ac:dyDescent="0.25">
      <c r="A295" s="7">
        <v>904</v>
      </c>
      <c r="B295" s="3">
        <v>40584</v>
      </c>
      <c r="C295" s="2">
        <v>1</v>
      </c>
      <c r="D295" s="2">
        <v>0</v>
      </c>
      <c r="E295" s="2">
        <v>2</v>
      </c>
      <c r="F295" s="2">
        <v>4</v>
      </c>
      <c r="G295" s="2" t="b">
        <v>0</v>
      </c>
      <c r="H295" s="2">
        <v>4</v>
      </c>
      <c r="I295" s="2">
        <v>2</v>
      </c>
      <c r="J295" s="2">
        <v>0.14000000000000001</v>
      </c>
      <c r="K295" s="2">
        <v>0.13639999999999999</v>
      </c>
      <c r="L295" s="2">
        <v>0.59</v>
      </c>
      <c r="M295" s="2">
        <v>0.22389999999999999</v>
      </c>
      <c r="N295" s="2">
        <v>0</v>
      </c>
      <c r="O295" s="2">
        <v>1</v>
      </c>
      <c r="P295" s="65">
        <v>1</v>
      </c>
    </row>
    <row r="296" spans="1:16" ht="13.2" x14ac:dyDescent="0.25">
      <c r="A296" s="7">
        <v>905</v>
      </c>
      <c r="B296" s="3">
        <v>40584</v>
      </c>
      <c r="C296" s="2">
        <v>1</v>
      </c>
      <c r="D296" s="2">
        <v>0</v>
      </c>
      <c r="E296" s="2">
        <v>2</v>
      </c>
      <c r="F296" s="2">
        <v>5</v>
      </c>
      <c r="G296" s="2" t="b">
        <v>0</v>
      </c>
      <c r="H296" s="2">
        <v>4</v>
      </c>
      <c r="I296" s="2">
        <v>2</v>
      </c>
      <c r="J296" s="2">
        <v>0.12</v>
      </c>
      <c r="K296" s="2">
        <v>0.1212</v>
      </c>
      <c r="L296" s="2">
        <v>0.5</v>
      </c>
      <c r="M296" s="2">
        <v>0.22389999999999999</v>
      </c>
      <c r="N296" s="2">
        <v>0</v>
      </c>
      <c r="O296" s="2">
        <v>6</v>
      </c>
      <c r="P296" s="65">
        <v>6</v>
      </c>
    </row>
    <row r="297" spans="1:16" ht="13.2" x14ac:dyDescent="0.25">
      <c r="A297" s="7">
        <v>906</v>
      </c>
      <c r="B297" s="3">
        <v>40584</v>
      </c>
      <c r="C297" s="2">
        <v>1</v>
      </c>
      <c r="D297" s="2">
        <v>0</v>
      </c>
      <c r="E297" s="2">
        <v>2</v>
      </c>
      <c r="F297" s="2">
        <v>6</v>
      </c>
      <c r="G297" s="2" t="b">
        <v>0</v>
      </c>
      <c r="H297" s="2">
        <v>4</v>
      </c>
      <c r="I297" s="2">
        <v>2</v>
      </c>
      <c r="J297" s="2">
        <v>0.12</v>
      </c>
      <c r="K297" s="2">
        <v>0.1212</v>
      </c>
      <c r="L297" s="2">
        <v>0.54</v>
      </c>
      <c r="M297" s="2">
        <v>0.28360000000000002</v>
      </c>
      <c r="N297" s="2">
        <v>0</v>
      </c>
      <c r="O297" s="2">
        <v>26</v>
      </c>
      <c r="P297" s="65">
        <v>26</v>
      </c>
    </row>
    <row r="298" spans="1:16" ht="13.2" x14ac:dyDescent="0.25">
      <c r="A298" s="7">
        <v>907</v>
      </c>
      <c r="B298" s="3">
        <v>40584</v>
      </c>
      <c r="C298" s="2">
        <v>1</v>
      </c>
      <c r="D298" s="2">
        <v>0</v>
      </c>
      <c r="E298" s="2">
        <v>2</v>
      </c>
      <c r="F298" s="2">
        <v>7</v>
      </c>
      <c r="G298" s="2" t="b">
        <v>0</v>
      </c>
      <c r="H298" s="2">
        <v>4</v>
      </c>
      <c r="I298" s="2">
        <v>1</v>
      </c>
      <c r="J298" s="2">
        <v>0.1</v>
      </c>
      <c r="K298" s="2">
        <v>7.5800000000000006E-2</v>
      </c>
      <c r="L298" s="2">
        <v>0.5</v>
      </c>
      <c r="M298" s="2">
        <v>0.41789999999999999</v>
      </c>
      <c r="N298" s="2">
        <v>0</v>
      </c>
      <c r="O298" s="2">
        <v>99</v>
      </c>
      <c r="P298" s="65">
        <v>99</v>
      </c>
    </row>
    <row r="299" spans="1:16" ht="13.2" x14ac:dyDescent="0.25">
      <c r="A299" s="7">
        <v>908</v>
      </c>
      <c r="B299" s="3">
        <v>40584</v>
      </c>
      <c r="C299" s="2">
        <v>1</v>
      </c>
      <c r="D299" s="2">
        <v>0</v>
      </c>
      <c r="E299" s="2">
        <v>2</v>
      </c>
      <c r="F299" s="2">
        <v>8</v>
      </c>
      <c r="G299" s="2" t="b">
        <v>0</v>
      </c>
      <c r="H299" s="2">
        <v>4</v>
      </c>
      <c r="I299" s="2">
        <v>1</v>
      </c>
      <c r="J299" s="2">
        <v>0.1</v>
      </c>
      <c r="K299" s="2">
        <v>7.5800000000000006E-2</v>
      </c>
      <c r="L299" s="2">
        <v>0.49</v>
      </c>
      <c r="M299" s="2">
        <v>0.32840000000000003</v>
      </c>
      <c r="N299" s="2">
        <v>5</v>
      </c>
      <c r="O299" s="2">
        <v>173</v>
      </c>
      <c r="P299" s="65">
        <v>178</v>
      </c>
    </row>
    <row r="300" spans="1:16" ht="13.2" x14ac:dyDescent="0.25">
      <c r="A300" s="7">
        <v>909</v>
      </c>
      <c r="B300" s="3">
        <v>40584</v>
      </c>
      <c r="C300" s="2">
        <v>1</v>
      </c>
      <c r="D300" s="2">
        <v>0</v>
      </c>
      <c r="E300" s="2">
        <v>2</v>
      </c>
      <c r="F300" s="2">
        <v>9</v>
      </c>
      <c r="G300" s="2" t="b">
        <v>0</v>
      </c>
      <c r="H300" s="2">
        <v>4</v>
      </c>
      <c r="I300" s="2">
        <v>1</v>
      </c>
      <c r="J300" s="2">
        <v>0.12</v>
      </c>
      <c r="K300" s="2">
        <v>0.1061</v>
      </c>
      <c r="L300" s="2">
        <v>0.42</v>
      </c>
      <c r="M300" s="2">
        <v>0.35820000000000002</v>
      </c>
      <c r="N300" s="2">
        <v>1</v>
      </c>
      <c r="O300" s="2">
        <v>121</v>
      </c>
      <c r="P300" s="65">
        <v>122</v>
      </c>
    </row>
    <row r="301" spans="1:16" ht="13.2" x14ac:dyDescent="0.25">
      <c r="A301" s="7">
        <v>910</v>
      </c>
      <c r="B301" s="3">
        <v>40584</v>
      </c>
      <c r="C301" s="2">
        <v>1</v>
      </c>
      <c r="D301" s="2">
        <v>0</v>
      </c>
      <c r="E301" s="2">
        <v>2</v>
      </c>
      <c r="F301" s="2">
        <v>10</v>
      </c>
      <c r="G301" s="2" t="b">
        <v>0</v>
      </c>
      <c r="H301" s="2">
        <v>4</v>
      </c>
      <c r="I301" s="2">
        <v>1</v>
      </c>
      <c r="J301" s="2">
        <v>0.12</v>
      </c>
      <c r="K301" s="2">
        <v>0.1061</v>
      </c>
      <c r="L301" s="2">
        <v>0.42</v>
      </c>
      <c r="M301" s="2">
        <v>0.29849999999999999</v>
      </c>
      <c r="N301" s="2">
        <v>1</v>
      </c>
      <c r="O301" s="2">
        <v>34</v>
      </c>
      <c r="P301" s="65">
        <v>35</v>
      </c>
    </row>
    <row r="302" spans="1:16" ht="13.2" x14ac:dyDescent="0.25">
      <c r="A302" s="7">
        <v>911</v>
      </c>
      <c r="B302" s="3">
        <v>40584</v>
      </c>
      <c r="C302" s="2">
        <v>1</v>
      </c>
      <c r="D302" s="2">
        <v>0</v>
      </c>
      <c r="E302" s="2">
        <v>2</v>
      </c>
      <c r="F302" s="2">
        <v>11</v>
      </c>
      <c r="G302" s="2" t="b">
        <v>0</v>
      </c>
      <c r="H302" s="2">
        <v>4</v>
      </c>
      <c r="I302" s="2">
        <v>1</v>
      </c>
      <c r="J302" s="2">
        <v>0.14000000000000001</v>
      </c>
      <c r="K302" s="2">
        <v>0.1212</v>
      </c>
      <c r="L302" s="2">
        <v>0.39</v>
      </c>
      <c r="M302" s="2">
        <v>0.35820000000000002</v>
      </c>
      <c r="N302" s="2">
        <v>1</v>
      </c>
      <c r="O302" s="2">
        <v>44</v>
      </c>
      <c r="P302" s="65">
        <v>45</v>
      </c>
    </row>
    <row r="303" spans="1:16" ht="13.2" x14ac:dyDescent="0.25">
      <c r="A303" s="7">
        <v>912</v>
      </c>
      <c r="B303" s="3">
        <v>40584</v>
      </c>
      <c r="C303" s="2">
        <v>1</v>
      </c>
      <c r="D303" s="2">
        <v>0</v>
      </c>
      <c r="E303" s="2">
        <v>2</v>
      </c>
      <c r="F303" s="2">
        <v>12</v>
      </c>
      <c r="G303" s="2" t="b">
        <v>0</v>
      </c>
      <c r="H303" s="2">
        <v>4</v>
      </c>
      <c r="I303" s="2">
        <v>1</v>
      </c>
      <c r="J303" s="2">
        <v>0.16</v>
      </c>
      <c r="K303" s="2">
        <v>0.13639999999999999</v>
      </c>
      <c r="L303" s="2">
        <v>0.34</v>
      </c>
      <c r="M303" s="2">
        <v>0.3881</v>
      </c>
      <c r="N303" s="2">
        <v>4</v>
      </c>
      <c r="O303" s="2">
        <v>65</v>
      </c>
      <c r="P303" s="65">
        <v>69</v>
      </c>
    </row>
    <row r="304" spans="1:16" ht="13.2" x14ac:dyDescent="0.25">
      <c r="A304" s="7">
        <v>913</v>
      </c>
      <c r="B304" s="3">
        <v>40584</v>
      </c>
      <c r="C304" s="2">
        <v>1</v>
      </c>
      <c r="D304" s="2">
        <v>0</v>
      </c>
      <c r="E304" s="2">
        <v>2</v>
      </c>
      <c r="F304" s="2">
        <v>13</v>
      </c>
      <c r="G304" s="2" t="b">
        <v>0</v>
      </c>
      <c r="H304" s="2">
        <v>4</v>
      </c>
      <c r="I304" s="2">
        <v>1</v>
      </c>
      <c r="J304" s="2">
        <v>0.18</v>
      </c>
      <c r="K304" s="2">
        <v>0.16669999999999999</v>
      </c>
      <c r="L304" s="2">
        <v>0.28999999999999998</v>
      </c>
      <c r="M304" s="2">
        <v>0.29849999999999999</v>
      </c>
      <c r="N304" s="2">
        <v>3</v>
      </c>
      <c r="O304" s="2">
        <v>59</v>
      </c>
      <c r="P304" s="65">
        <v>62</v>
      </c>
    </row>
    <row r="305" spans="1:16" ht="13.2" x14ac:dyDescent="0.25">
      <c r="A305" s="7">
        <v>914</v>
      </c>
      <c r="B305" s="3">
        <v>40584</v>
      </c>
      <c r="C305" s="2">
        <v>1</v>
      </c>
      <c r="D305" s="2">
        <v>0</v>
      </c>
      <c r="E305" s="2">
        <v>2</v>
      </c>
      <c r="F305" s="2">
        <v>14</v>
      </c>
      <c r="G305" s="2" t="b">
        <v>0</v>
      </c>
      <c r="H305" s="2">
        <v>4</v>
      </c>
      <c r="I305" s="2">
        <v>1</v>
      </c>
      <c r="J305" s="2">
        <v>0.2</v>
      </c>
      <c r="K305" s="2">
        <v>0.18179999999999999</v>
      </c>
      <c r="L305" s="2">
        <v>0.27</v>
      </c>
      <c r="M305" s="2">
        <v>0.28360000000000002</v>
      </c>
      <c r="N305" s="2">
        <v>6</v>
      </c>
      <c r="O305" s="2">
        <v>42</v>
      </c>
      <c r="P305" s="65">
        <v>48</v>
      </c>
    </row>
    <row r="306" spans="1:16" ht="13.2" x14ac:dyDescent="0.25">
      <c r="A306" s="7">
        <v>915</v>
      </c>
      <c r="B306" s="3">
        <v>40584</v>
      </c>
      <c r="C306" s="2">
        <v>1</v>
      </c>
      <c r="D306" s="2">
        <v>0</v>
      </c>
      <c r="E306" s="2">
        <v>2</v>
      </c>
      <c r="F306" s="2">
        <v>15</v>
      </c>
      <c r="G306" s="2" t="b">
        <v>0</v>
      </c>
      <c r="H306" s="2">
        <v>4</v>
      </c>
      <c r="I306" s="2">
        <v>1</v>
      </c>
      <c r="J306" s="2">
        <v>0.2</v>
      </c>
      <c r="K306" s="2">
        <v>0.19700000000000001</v>
      </c>
      <c r="L306" s="2">
        <v>0.25</v>
      </c>
      <c r="M306" s="2">
        <v>0.25369999999999998</v>
      </c>
      <c r="N306" s="2">
        <v>0</v>
      </c>
      <c r="O306" s="2">
        <v>50</v>
      </c>
      <c r="P306" s="65">
        <v>50</v>
      </c>
    </row>
    <row r="307" spans="1:16" ht="13.2" x14ac:dyDescent="0.25">
      <c r="A307" s="7">
        <v>916</v>
      </c>
      <c r="B307" s="3">
        <v>40584</v>
      </c>
      <c r="C307" s="2">
        <v>1</v>
      </c>
      <c r="D307" s="2">
        <v>0</v>
      </c>
      <c r="E307" s="2">
        <v>2</v>
      </c>
      <c r="F307" s="2">
        <v>16</v>
      </c>
      <c r="G307" s="2" t="b">
        <v>0</v>
      </c>
      <c r="H307" s="2">
        <v>4</v>
      </c>
      <c r="I307" s="2">
        <v>1</v>
      </c>
      <c r="J307" s="2">
        <v>0.2</v>
      </c>
      <c r="K307" s="2">
        <v>0.18179999999999999</v>
      </c>
      <c r="L307" s="2">
        <v>0.27</v>
      </c>
      <c r="M307" s="2">
        <v>0.29849999999999999</v>
      </c>
      <c r="N307" s="2">
        <v>4</v>
      </c>
      <c r="O307" s="2">
        <v>76</v>
      </c>
      <c r="P307" s="65">
        <v>80</v>
      </c>
    </row>
    <row r="308" spans="1:16" ht="13.2" x14ac:dyDescent="0.25">
      <c r="A308" s="7">
        <v>917</v>
      </c>
      <c r="B308" s="3">
        <v>40584</v>
      </c>
      <c r="C308" s="2">
        <v>1</v>
      </c>
      <c r="D308" s="2">
        <v>0</v>
      </c>
      <c r="E308" s="2">
        <v>2</v>
      </c>
      <c r="F308" s="2">
        <v>17</v>
      </c>
      <c r="G308" s="2" t="b">
        <v>0</v>
      </c>
      <c r="H308" s="2">
        <v>4</v>
      </c>
      <c r="I308" s="2">
        <v>1</v>
      </c>
      <c r="J308" s="2">
        <v>0.18</v>
      </c>
      <c r="K308" s="2">
        <v>0.18179999999999999</v>
      </c>
      <c r="L308" s="2">
        <v>0.26</v>
      </c>
      <c r="M308" s="2">
        <v>0.19400000000000001</v>
      </c>
      <c r="N308" s="2">
        <v>6</v>
      </c>
      <c r="O308" s="2">
        <v>159</v>
      </c>
      <c r="P308" s="65">
        <v>165</v>
      </c>
    </row>
    <row r="309" spans="1:16" ht="13.2" x14ac:dyDescent="0.25">
      <c r="A309" s="7">
        <v>918</v>
      </c>
      <c r="B309" s="3">
        <v>40584</v>
      </c>
      <c r="C309" s="2">
        <v>1</v>
      </c>
      <c r="D309" s="2">
        <v>0</v>
      </c>
      <c r="E309" s="2">
        <v>2</v>
      </c>
      <c r="F309" s="2">
        <v>18</v>
      </c>
      <c r="G309" s="2" t="b">
        <v>0</v>
      </c>
      <c r="H309" s="2">
        <v>4</v>
      </c>
      <c r="I309" s="2">
        <v>1</v>
      </c>
      <c r="J309" s="2">
        <v>0.16</v>
      </c>
      <c r="K309" s="2">
        <v>0.18179999999999999</v>
      </c>
      <c r="L309" s="2">
        <v>0.28000000000000003</v>
      </c>
      <c r="M309" s="2">
        <v>0.1343</v>
      </c>
      <c r="N309" s="2">
        <v>3</v>
      </c>
      <c r="O309" s="2">
        <v>157</v>
      </c>
      <c r="P309" s="65">
        <v>160</v>
      </c>
    </row>
    <row r="310" spans="1:16" ht="13.2" x14ac:dyDescent="0.25">
      <c r="A310" s="7">
        <v>919</v>
      </c>
      <c r="B310" s="3">
        <v>40584</v>
      </c>
      <c r="C310" s="2">
        <v>1</v>
      </c>
      <c r="D310" s="2">
        <v>0</v>
      </c>
      <c r="E310" s="2">
        <v>2</v>
      </c>
      <c r="F310" s="2">
        <v>19</v>
      </c>
      <c r="G310" s="2" t="b">
        <v>0</v>
      </c>
      <c r="H310" s="2">
        <v>4</v>
      </c>
      <c r="I310" s="2">
        <v>1</v>
      </c>
      <c r="J310" s="2">
        <v>0.14000000000000001</v>
      </c>
      <c r="K310" s="2">
        <v>0.16669999999999999</v>
      </c>
      <c r="L310" s="2">
        <v>0.28000000000000003</v>
      </c>
      <c r="M310" s="2">
        <v>0.1045</v>
      </c>
      <c r="N310" s="2">
        <v>2</v>
      </c>
      <c r="O310" s="2">
        <v>110</v>
      </c>
      <c r="P310" s="65">
        <v>112</v>
      </c>
    </row>
    <row r="311" spans="1:16" ht="13.2" x14ac:dyDescent="0.25">
      <c r="A311" s="7">
        <v>920</v>
      </c>
      <c r="B311" s="3">
        <v>40584</v>
      </c>
      <c r="C311" s="2">
        <v>1</v>
      </c>
      <c r="D311" s="2">
        <v>0</v>
      </c>
      <c r="E311" s="2">
        <v>2</v>
      </c>
      <c r="F311" s="2">
        <v>20</v>
      </c>
      <c r="G311" s="2" t="b">
        <v>0</v>
      </c>
      <c r="H311" s="2">
        <v>4</v>
      </c>
      <c r="I311" s="2">
        <v>1</v>
      </c>
      <c r="J311" s="2">
        <v>0.14000000000000001</v>
      </c>
      <c r="K311" s="2">
        <v>0.18179999999999999</v>
      </c>
      <c r="L311" s="2">
        <v>0.31</v>
      </c>
      <c r="M311" s="2">
        <v>8.9599999999999999E-2</v>
      </c>
      <c r="N311" s="2">
        <v>4</v>
      </c>
      <c r="O311" s="2">
        <v>93</v>
      </c>
      <c r="P311" s="65">
        <v>97</v>
      </c>
    </row>
    <row r="312" spans="1:16" ht="13.2" x14ac:dyDescent="0.25">
      <c r="A312" s="7">
        <v>921</v>
      </c>
      <c r="B312" s="3">
        <v>40584</v>
      </c>
      <c r="C312" s="2">
        <v>1</v>
      </c>
      <c r="D312" s="2">
        <v>0</v>
      </c>
      <c r="E312" s="2">
        <v>2</v>
      </c>
      <c r="F312" s="2">
        <v>21</v>
      </c>
      <c r="G312" s="2" t="b">
        <v>0</v>
      </c>
      <c r="H312" s="2">
        <v>4</v>
      </c>
      <c r="I312" s="2">
        <v>1</v>
      </c>
      <c r="J312" s="2">
        <v>0.14000000000000001</v>
      </c>
      <c r="K312" s="2">
        <v>0.21210000000000001</v>
      </c>
      <c r="L312" s="2">
        <v>0.39</v>
      </c>
      <c r="M312" s="2">
        <v>0</v>
      </c>
      <c r="N312" s="2">
        <v>2</v>
      </c>
      <c r="O312" s="2">
        <v>70</v>
      </c>
      <c r="P312" s="65">
        <v>72</v>
      </c>
    </row>
    <row r="313" spans="1:16" ht="13.2" x14ac:dyDescent="0.25">
      <c r="A313" s="7">
        <v>922</v>
      </c>
      <c r="B313" s="3">
        <v>40584</v>
      </c>
      <c r="C313" s="2">
        <v>1</v>
      </c>
      <c r="D313" s="2">
        <v>0</v>
      </c>
      <c r="E313" s="2">
        <v>2</v>
      </c>
      <c r="F313" s="2">
        <v>22</v>
      </c>
      <c r="G313" s="2" t="b">
        <v>0</v>
      </c>
      <c r="H313" s="2">
        <v>4</v>
      </c>
      <c r="I313" s="2">
        <v>1</v>
      </c>
      <c r="J313" s="2">
        <v>0.12</v>
      </c>
      <c r="K313" s="2">
        <v>0.19700000000000001</v>
      </c>
      <c r="L313" s="2">
        <v>0.39</v>
      </c>
      <c r="M313" s="2">
        <v>0</v>
      </c>
      <c r="N313" s="2">
        <v>4</v>
      </c>
      <c r="O313" s="2">
        <v>47</v>
      </c>
      <c r="P313" s="65">
        <v>51</v>
      </c>
    </row>
    <row r="314" spans="1:16" ht="13.2" x14ac:dyDescent="0.25">
      <c r="A314" s="7">
        <v>923</v>
      </c>
      <c r="B314" s="3">
        <v>40584</v>
      </c>
      <c r="C314" s="2">
        <v>1</v>
      </c>
      <c r="D314" s="2">
        <v>0</v>
      </c>
      <c r="E314" s="2">
        <v>2</v>
      </c>
      <c r="F314" s="2">
        <v>23</v>
      </c>
      <c r="G314" s="2" t="b">
        <v>0</v>
      </c>
      <c r="H314" s="2">
        <v>4</v>
      </c>
      <c r="I314" s="2">
        <v>1</v>
      </c>
      <c r="J314" s="2">
        <v>0.12</v>
      </c>
      <c r="K314" s="2">
        <v>0.1515</v>
      </c>
      <c r="L314" s="2">
        <v>0.42</v>
      </c>
      <c r="M314" s="2">
        <v>0.1045</v>
      </c>
      <c r="N314" s="2">
        <v>1</v>
      </c>
      <c r="O314" s="2">
        <v>33</v>
      </c>
      <c r="P314" s="65">
        <v>34</v>
      </c>
    </row>
    <row r="315" spans="1:16" ht="13.2" x14ac:dyDescent="0.25">
      <c r="A315" s="7">
        <v>924</v>
      </c>
      <c r="B315" s="3">
        <v>40585</v>
      </c>
      <c r="C315" s="2">
        <v>1</v>
      </c>
      <c r="D315" s="2">
        <v>0</v>
      </c>
      <c r="E315" s="2">
        <v>2</v>
      </c>
      <c r="F315" s="2">
        <v>0</v>
      </c>
      <c r="G315" s="2" t="b">
        <v>0</v>
      </c>
      <c r="H315" s="2">
        <v>5</v>
      </c>
      <c r="I315" s="2">
        <v>1</v>
      </c>
      <c r="J315" s="2">
        <v>0.1</v>
      </c>
      <c r="K315" s="2">
        <v>0.13639999999999999</v>
      </c>
      <c r="L315" s="2">
        <v>0.49</v>
      </c>
      <c r="M315" s="2">
        <v>0.1045</v>
      </c>
      <c r="N315" s="2">
        <v>2</v>
      </c>
      <c r="O315" s="2">
        <v>12</v>
      </c>
      <c r="P315" s="65">
        <v>14</v>
      </c>
    </row>
    <row r="316" spans="1:16" ht="13.2" x14ac:dyDescent="0.25">
      <c r="A316" s="7">
        <v>925</v>
      </c>
      <c r="B316" s="3">
        <v>40585</v>
      </c>
      <c r="C316" s="2">
        <v>1</v>
      </c>
      <c r="D316" s="2">
        <v>0</v>
      </c>
      <c r="E316" s="2">
        <v>2</v>
      </c>
      <c r="F316" s="2">
        <v>1</v>
      </c>
      <c r="G316" s="2" t="b">
        <v>0</v>
      </c>
      <c r="H316" s="2">
        <v>5</v>
      </c>
      <c r="I316" s="2">
        <v>1</v>
      </c>
      <c r="J316" s="2">
        <v>0.1</v>
      </c>
      <c r="K316" s="2">
        <v>0.13639999999999999</v>
      </c>
      <c r="L316" s="2">
        <v>0.54</v>
      </c>
      <c r="M316" s="2">
        <v>8.9599999999999999E-2</v>
      </c>
      <c r="N316" s="2">
        <v>1</v>
      </c>
      <c r="O316" s="2">
        <v>6</v>
      </c>
      <c r="P316" s="65">
        <v>7</v>
      </c>
    </row>
    <row r="317" spans="1:16" ht="13.2" x14ac:dyDescent="0.25">
      <c r="A317" s="7">
        <v>926</v>
      </c>
      <c r="B317" s="3">
        <v>40585</v>
      </c>
      <c r="C317" s="2">
        <v>1</v>
      </c>
      <c r="D317" s="2">
        <v>0</v>
      </c>
      <c r="E317" s="2">
        <v>2</v>
      </c>
      <c r="F317" s="2">
        <v>2</v>
      </c>
      <c r="G317" s="2" t="b">
        <v>0</v>
      </c>
      <c r="H317" s="2">
        <v>5</v>
      </c>
      <c r="I317" s="2">
        <v>1</v>
      </c>
      <c r="J317" s="2">
        <v>0.1</v>
      </c>
      <c r="K317" s="2">
        <v>0.13639999999999999</v>
      </c>
      <c r="L317" s="2">
        <v>0.54</v>
      </c>
      <c r="M317" s="2">
        <v>8.9599999999999999E-2</v>
      </c>
      <c r="N317" s="2">
        <v>0</v>
      </c>
      <c r="O317" s="2">
        <v>3</v>
      </c>
      <c r="P317" s="65">
        <v>3</v>
      </c>
    </row>
    <row r="318" spans="1:16" ht="13.2" x14ac:dyDescent="0.25">
      <c r="A318" s="7">
        <v>927</v>
      </c>
      <c r="B318" s="3">
        <v>40585</v>
      </c>
      <c r="C318" s="2">
        <v>1</v>
      </c>
      <c r="D318" s="2">
        <v>0</v>
      </c>
      <c r="E318" s="2">
        <v>2</v>
      </c>
      <c r="F318" s="2">
        <v>5</v>
      </c>
      <c r="G318" s="2" t="b">
        <v>0</v>
      </c>
      <c r="H318" s="2">
        <v>5</v>
      </c>
      <c r="I318" s="2">
        <v>1</v>
      </c>
      <c r="J318" s="2">
        <v>0.08</v>
      </c>
      <c r="K318" s="2">
        <v>0.1212</v>
      </c>
      <c r="L318" s="2">
        <v>0.63</v>
      </c>
      <c r="M318" s="2">
        <v>8.9599999999999999E-2</v>
      </c>
      <c r="N318" s="2">
        <v>0</v>
      </c>
      <c r="O318" s="2">
        <v>4</v>
      </c>
      <c r="P318" s="65">
        <v>4</v>
      </c>
    </row>
    <row r="319" spans="1:16" ht="13.2" x14ac:dyDescent="0.25">
      <c r="A319" s="7">
        <v>928</v>
      </c>
      <c r="B319" s="3">
        <v>40585</v>
      </c>
      <c r="C319" s="2">
        <v>1</v>
      </c>
      <c r="D319" s="2">
        <v>0</v>
      </c>
      <c r="E319" s="2">
        <v>2</v>
      </c>
      <c r="F319" s="2">
        <v>6</v>
      </c>
      <c r="G319" s="2" t="b">
        <v>0</v>
      </c>
      <c r="H319" s="2">
        <v>5</v>
      </c>
      <c r="I319" s="2">
        <v>1</v>
      </c>
      <c r="J319" s="2">
        <v>0.1</v>
      </c>
      <c r="K319" s="2">
        <v>0.18179999999999999</v>
      </c>
      <c r="L319" s="2">
        <v>0.68</v>
      </c>
      <c r="M319" s="2">
        <v>0</v>
      </c>
      <c r="N319" s="2">
        <v>1</v>
      </c>
      <c r="O319" s="2">
        <v>23</v>
      </c>
      <c r="P319" s="65">
        <v>24</v>
      </c>
    </row>
    <row r="320" spans="1:16" ht="13.2" x14ac:dyDescent="0.25">
      <c r="A320" s="7">
        <v>929</v>
      </c>
      <c r="B320" s="3">
        <v>40585</v>
      </c>
      <c r="C320" s="2">
        <v>1</v>
      </c>
      <c r="D320" s="2">
        <v>0</v>
      </c>
      <c r="E320" s="2">
        <v>2</v>
      </c>
      <c r="F320" s="2">
        <v>7</v>
      </c>
      <c r="G320" s="2" t="b">
        <v>0</v>
      </c>
      <c r="H320" s="2">
        <v>5</v>
      </c>
      <c r="I320" s="2">
        <v>1</v>
      </c>
      <c r="J320" s="2">
        <v>0.08</v>
      </c>
      <c r="K320" s="2">
        <v>0.16669999999999999</v>
      </c>
      <c r="L320" s="2">
        <v>0.73</v>
      </c>
      <c r="M320" s="2">
        <v>0</v>
      </c>
      <c r="N320" s="2">
        <v>1</v>
      </c>
      <c r="O320" s="2">
        <v>73</v>
      </c>
      <c r="P320" s="65">
        <v>74</v>
      </c>
    </row>
    <row r="321" spans="1:16" ht="13.2" x14ac:dyDescent="0.25">
      <c r="A321" s="7">
        <v>930</v>
      </c>
      <c r="B321" s="3">
        <v>40585</v>
      </c>
      <c r="C321" s="2">
        <v>1</v>
      </c>
      <c r="D321" s="2">
        <v>0</v>
      </c>
      <c r="E321" s="2">
        <v>2</v>
      </c>
      <c r="F321" s="2">
        <v>8</v>
      </c>
      <c r="G321" s="2" t="b">
        <v>0</v>
      </c>
      <c r="H321" s="2">
        <v>5</v>
      </c>
      <c r="I321" s="2">
        <v>1</v>
      </c>
      <c r="J321" s="2">
        <v>0.1</v>
      </c>
      <c r="K321" s="2">
        <v>0.1212</v>
      </c>
      <c r="L321" s="2">
        <v>0.74</v>
      </c>
      <c r="M321" s="2">
        <v>0.16420000000000001</v>
      </c>
      <c r="N321" s="2">
        <v>4</v>
      </c>
      <c r="O321" s="2">
        <v>212</v>
      </c>
      <c r="P321" s="65">
        <v>216</v>
      </c>
    </row>
    <row r="322" spans="1:16" ht="13.2" x14ac:dyDescent="0.25">
      <c r="A322" s="7">
        <v>931</v>
      </c>
      <c r="B322" s="3">
        <v>40585</v>
      </c>
      <c r="C322" s="2">
        <v>1</v>
      </c>
      <c r="D322" s="2">
        <v>0</v>
      </c>
      <c r="E322" s="2">
        <v>2</v>
      </c>
      <c r="F322" s="2">
        <v>9</v>
      </c>
      <c r="G322" s="2" t="b">
        <v>0</v>
      </c>
      <c r="H322" s="2">
        <v>5</v>
      </c>
      <c r="I322" s="2">
        <v>1</v>
      </c>
      <c r="J322" s="2">
        <v>0.12</v>
      </c>
      <c r="K322" s="2">
        <v>0.1212</v>
      </c>
      <c r="L322" s="2">
        <v>0.74</v>
      </c>
      <c r="M322" s="2">
        <v>0.22389999999999999</v>
      </c>
      <c r="N322" s="2">
        <v>8</v>
      </c>
      <c r="O322" s="2">
        <v>132</v>
      </c>
      <c r="P322" s="65">
        <v>140</v>
      </c>
    </row>
    <row r="323" spans="1:16" ht="13.2" x14ac:dyDescent="0.25">
      <c r="A323" s="7">
        <v>932</v>
      </c>
      <c r="B323" s="3">
        <v>40585</v>
      </c>
      <c r="C323" s="2">
        <v>1</v>
      </c>
      <c r="D323" s="2">
        <v>0</v>
      </c>
      <c r="E323" s="2">
        <v>2</v>
      </c>
      <c r="F323" s="2">
        <v>10</v>
      </c>
      <c r="G323" s="2" t="b">
        <v>0</v>
      </c>
      <c r="H323" s="2">
        <v>5</v>
      </c>
      <c r="I323" s="2">
        <v>1</v>
      </c>
      <c r="J323" s="2">
        <v>0.14000000000000001</v>
      </c>
      <c r="K323" s="2">
        <v>0.13639999999999999</v>
      </c>
      <c r="L323" s="2">
        <v>0.69</v>
      </c>
      <c r="M323" s="2">
        <v>0.19400000000000001</v>
      </c>
      <c r="N323" s="2">
        <v>5</v>
      </c>
      <c r="O323" s="2">
        <v>39</v>
      </c>
      <c r="P323" s="65">
        <v>44</v>
      </c>
    </row>
    <row r="324" spans="1:16" ht="13.2" x14ac:dyDescent="0.25">
      <c r="A324" s="7">
        <v>933</v>
      </c>
      <c r="B324" s="3">
        <v>40585</v>
      </c>
      <c r="C324" s="2">
        <v>1</v>
      </c>
      <c r="D324" s="2">
        <v>0</v>
      </c>
      <c r="E324" s="2">
        <v>2</v>
      </c>
      <c r="F324" s="2">
        <v>11</v>
      </c>
      <c r="G324" s="2" t="b">
        <v>0</v>
      </c>
      <c r="H324" s="2">
        <v>5</v>
      </c>
      <c r="I324" s="2">
        <v>1</v>
      </c>
      <c r="J324" s="2">
        <v>0.22</v>
      </c>
      <c r="K324" s="2">
        <v>0.2273</v>
      </c>
      <c r="L324" s="2">
        <v>0.47</v>
      </c>
      <c r="M324" s="2">
        <v>0.1343</v>
      </c>
      <c r="N324" s="2">
        <v>12</v>
      </c>
      <c r="O324" s="2">
        <v>52</v>
      </c>
      <c r="P324" s="65">
        <v>64</v>
      </c>
    </row>
    <row r="325" spans="1:16" ht="13.2" x14ac:dyDescent="0.25">
      <c r="A325" s="7">
        <v>934</v>
      </c>
      <c r="B325" s="3">
        <v>40585</v>
      </c>
      <c r="C325" s="2">
        <v>1</v>
      </c>
      <c r="D325" s="2">
        <v>0</v>
      </c>
      <c r="E325" s="2">
        <v>2</v>
      </c>
      <c r="F325" s="2">
        <v>12</v>
      </c>
      <c r="G325" s="2" t="b">
        <v>0</v>
      </c>
      <c r="H325" s="2">
        <v>5</v>
      </c>
      <c r="I325" s="2">
        <v>1</v>
      </c>
      <c r="J325" s="2">
        <v>0.22</v>
      </c>
      <c r="K325" s="2">
        <v>0.2273</v>
      </c>
      <c r="L325" s="2">
        <v>0.47</v>
      </c>
      <c r="M325" s="2">
        <v>0.1343</v>
      </c>
      <c r="N325" s="2">
        <v>7</v>
      </c>
      <c r="O325" s="2">
        <v>64</v>
      </c>
      <c r="P325" s="65">
        <v>71</v>
      </c>
    </row>
    <row r="326" spans="1:16" ht="13.2" x14ac:dyDescent="0.25">
      <c r="A326" s="7">
        <v>935</v>
      </c>
      <c r="B326" s="3">
        <v>40585</v>
      </c>
      <c r="C326" s="2">
        <v>1</v>
      </c>
      <c r="D326" s="2">
        <v>0</v>
      </c>
      <c r="E326" s="2">
        <v>2</v>
      </c>
      <c r="F326" s="2">
        <v>13</v>
      </c>
      <c r="G326" s="2" t="b">
        <v>0</v>
      </c>
      <c r="H326" s="2">
        <v>5</v>
      </c>
      <c r="I326" s="2">
        <v>1</v>
      </c>
      <c r="J326" s="2">
        <v>0.24</v>
      </c>
      <c r="K326" s="2">
        <v>0.2273</v>
      </c>
      <c r="L326" s="2">
        <v>0.35</v>
      </c>
      <c r="M326" s="2">
        <v>0.19400000000000001</v>
      </c>
      <c r="N326" s="2">
        <v>21</v>
      </c>
      <c r="O326" s="2">
        <v>89</v>
      </c>
      <c r="P326" s="65">
        <v>110</v>
      </c>
    </row>
    <row r="327" spans="1:16" ht="13.2" x14ac:dyDescent="0.25">
      <c r="A327" s="7">
        <v>936</v>
      </c>
      <c r="B327" s="3">
        <v>40585</v>
      </c>
      <c r="C327" s="2">
        <v>1</v>
      </c>
      <c r="D327" s="2">
        <v>0</v>
      </c>
      <c r="E327" s="2">
        <v>2</v>
      </c>
      <c r="F327" s="2">
        <v>14</v>
      </c>
      <c r="G327" s="2" t="b">
        <v>0</v>
      </c>
      <c r="H327" s="2">
        <v>5</v>
      </c>
      <c r="I327" s="2">
        <v>1</v>
      </c>
      <c r="J327" s="2">
        <v>0.3</v>
      </c>
      <c r="K327" s="2">
        <v>0.28789999999999999</v>
      </c>
      <c r="L327" s="2">
        <v>0.26</v>
      </c>
      <c r="M327" s="2">
        <v>0.25369999999999998</v>
      </c>
      <c r="N327" s="2">
        <v>17</v>
      </c>
      <c r="O327" s="2">
        <v>67</v>
      </c>
      <c r="P327" s="65">
        <v>84</v>
      </c>
    </row>
    <row r="328" spans="1:16" ht="13.2" x14ac:dyDescent="0.25">
      <c r="A328" s="7">
        <v>937</v>
      </c>
      <c r="B328" s="3">
        <v>40585</v>
      </c>
      <c r="C328" s="2">
        <v>1</v>
      </c>
      <c r="D328" s="2">
        <v>0</v>
      </c>
      <c r="E328" s="2">
        <v>2</v>
      </c>
      <c r="F328" s="2">
        <v>15</v>
      </c>
      <c r="G328" s="2" t="b">
        <v>0</v>
      </c>
      <c r="H328" s="2">
        <v>5</v>
      </c>
      <c r="I328" s="2">
        <v>1</v>
      </c>
      <c r="J328" s="2">
        <v>0.32</v>
      </c>
      <c r="K328" s="2">
        <v>0.31819999999999998</v>
      </c>
      <c r="L328" s="2">
        <v>0.21</v>
      </c>
      <c r="M328" s="2">
        <v>0.16420000000000001</v>
      </c>
      <c r="N328" s="2">
        <v>12</v>
      </c>
      <c r="O328" s="2">
        <v>62</v>
      </c>
      <c r="P328" s="65">
        <v>74</v>
      </c>
    </row>
    <row r="329" spans="1:16" ht="13.2" x14ac:dyDescent="0.25">
      <c r="A329" s="7">
        <v>938</v>
      </c>
      <c r="B329" s="3">
        <v>40585</v>
      </c>
      <c r="C329" s="2">
        <v>1</v>
      </c>
      <c r="D329" s="2">
        <v>0</v>
      </c>
      <c r="E329" s="2">
        <v>2</v>
      </c>
      <c r="F329" s="2">
        <v>16</v>
      </c>
      <c r="G329" s="2" t="b">
        <v>0</v>
      </c>
      <c r="H329" s="2">
        <v>5</v>
      </c>
      <c r="I329" s="2">
        <v>1</v>
      </c>
      <c r="J329" s="2">
        <v>0.3</v>
      </c>
      <c r="K329" s="2">
        <v>0.28789999999999999</v>
      </c>
      <c r="L329" s="2">
        <v>0.28000000000000003</v>
      </c>
      <c r="M329" s="2">
        <v>0.19400000000000001</v>
      </c>
      <c r="N329" s="2">
        <v>14</v>
      </c>
      <c r="O329" s="2">
        <v>111</v>
      </c>
      <c r="P329" s="65">
        <v>125</v>
      </c>
    </row>
    <row r="330" spans="1:16" ht="13.2" x14ac:dyDescent="0.25">
      <c r="A330" s="7">
        <v>939</v>
      </c>
      <c r="B330" s="3">
        <v>40585</v>
      </c>
      <c r="C330" s="2">
        <v>1</v>
      </c>
      <c r="D330" s="2">
        <v>0</v>
      </c>
      <c r="E330" s="2">
        <v>2</v>
      </c>
      <c r="F330" s="2">
        <v>17</v>
      </c>
      <c r="G330" s="2" t="b">
        <v>0</v>
      </c>
      <c r="H330" s="2">
        <v>5</v>
      </c>
      <c r="I330" s="2">
        <v>1</v>
      </c>
      <c r="J330" s="2">
        <v>0.3</v>
      </c>
      <c r="K330" s="2">
        <v>0.33329999999999999</v>
      </c>
      <c r="L330" s="2">
        <v>0.24</v>
      </c>
      <c r="M330" s="2">
        <v>0</v>
      </c>
      <c r="N330" s="2">
        <v>18</v>
      </c>
      <c r="O330" s="2">
        <v>193</v>
      </c>
      <c r="P330" s="65">
        <v>211</v>
      </c>
    </row>
    <row r="331" spans="1:16" ht="13.2" x14ac:dyDescent="0.25">
      <c r="A331" s="7">
        <v>940</v>
      </c>
      <c r="B331" s="3">
        <v>40585</v>
      </c>
      <c r="C331" s="2">
        <v>1</v>
      </c>
      <c r="D331" s="2">
        <v>0</v>
      </c>
      <c r="E331" s="2">
        <v>2</v>
      </c>
      <c r="F331" s="2">
        <v>18</v>
      </c>
      <c r="G331" s="2" t="b">
        <v>0</v>
      </c>
      <c r="H331" s="2">
        <v>5</v>
      </c>
      <c r="I331" s="2">
        <v>1</v>
      </c>
      <c r="J331" s="2">
        <v>0.28000000000000003</v>
      </c>
      <c r="K331" s="2">
        <v>0.31819999999999998</v>
      </c>
      <c r="L331" s="2">
        <v>0.28000000000000003</v>
      </c>
      <c r="M331" s="2">
        <v>0</v>
      </c>
      <c r="N331" s="2">
        <v>9</v>
      </c>
      <c r="O331" s="2">
        <v>165</v>
      </c>
      <c r="P331" s="65">
        <v>174</v>
      </c>
    </row>
    <row r="332" spans="1:16" ht="13.2" x14ac:dyDescent="0.25">
      <c r="A332" s="7">
        <v>941</v>
      </c>
      <c r="B332" s="3">
        <v>40585</v>
      </c>
      <c r="C332" s="2">
        <v>1</v>
      </c>
      <c r="D332" s="2">
        <v>0</v>
      </c>
      <c r="E332" s="2">
        <v>2</v>
      </c>
      <c r="F332" s="2">
        <v>19</v>
      </c>
      <c r="G332" s="2" t="b">
        <v>0</v>
      </c>
      <c r="H332" s="2">
        <v>5</v>
      </c>
      <c r="I332" s="2">
        <v>1</v>
      </c>
      <c r="J332" s="2">
        <v>0.26</v>
      </c>
      <c r="K332" s="2">
        <v>0.30299999999999999</v>
      </c>
      <c r="L332" s="2">
        <v>0.33</v>
      </c>
      <c r="M332" s="2">
        <v>0</v>
      </c>
      <c r="N332" s="2">
        <v>7</v>
      </c>
      <c r="O332" s="2">
        <v>94</v>
      </c>
      <c r="P332" s="65">
        <v>101</v>
      </c>
    </row>
    <row r="333" spans="1:16" ht="13.2" x14ac:dyDescent="0.25">
      <c r="A333" s="7">
        <v>942</v>
      </c>
      <c r="B333" s="3">
        <v>40585</v>
      </c>
      <c r="C333" s="2">
        <v>1</v>
      </c>
      <c r="D333" s="2">
        <v>0</v>
      </c>
      <c r="E333" s="2">
        <v>2</v>
      </c>
      <c r="F333" s="2">
        <v>20</v>
      </c>
      <c r="G333" s="2" t="b">
        <v>0</v>
      </c>
      <c r="H333" s="2">
        <v>5</v>
      </c>
      <c r="I333" s="2">
        <v>1</v>
      </c>
      <c r="J333" s="2">
        <v>0.22</v>
      </c>
      <c r="K333" s="2">
        <v>0.2273</v>
      </c>
      <c r="L333" s="2">
        <v>0.55000000000000004</v>
      </c>
      <c r="M333" s="2">
        <v>0.1343</v>
      </c>
      <c r="N333" s="2">
        <v>2</v>
      </c>
      <c r="O333" s="2">
        <v>61</v>
      </c>
      <c r="P333" s="65">
        <v>63</v>
      </c>
    </row>
    <row r="334" spans="1:16" ht="13.2" x14ac:dyDescent="0.25">
      <c r="A334" s="7">
        <v>943</v>
      </c>
      <c r="B334" s="3">
        <v>40585</v>
      </c>
      <c r="C334" s="2">
        <v>1</v>
      </c>
      <c r="D334" s="2">
        <v>0</v>
      </c>
      <c r="E334" s="2">
        <v>2</v>
      </c>
      <c r="F334" s="2">
        <v>21</v>
      </c>
      <c r="G334" s="2" t="b">
        <v>0</v>
      </c>
      <c r="H334" s="2">
        <v>5</v>
      </c>
      <c r="I334" s="2">
        <v>1</v>
      </c>
      <c r="J334" s="2">
        <v>0.2</v>
      </c>
      <c r="K334" s="2">
        <v>0.21210000000000001</v>
      </c>
      <c r="L334" s="2">
        <v>0.59</v>
      </c>
      <c r="M334" s="2">
        <v>0.1343</v>
      </c>
      <c r="N334" s="2">
        <v>1</v>
      </c>
      <c r="O334" s="2">
        <v>46</v>
      </c>
      <c r="P334" s="65">
        <v>47</v>
      </c>
    </row>
    <row r="335" spans="1:16" ht="13.2" x14ac:dyDescent="0.25">
      <c r="A335" s="7">
        <v>944</v>
      </c>
      <c r="B335" s="3">
        <v>40585</v>
      </c>
      <c r="C335" s="2">
        <v>1</v>
      </c>
      <c r="D335" s="2">
        <v>0</v>
      </c>
      <c r="E335" s="2">
        <v>2</v>
      </c>
      <c r="F335" s="2">
        <v>22</v>
      </c>
      <c r="G335" s="2" t="b">
        <v>0</v>
      </c>
      <c r="H335" s="2">
        <v>5</v>
      </c>
      <c r="I335" s="2">
        <v>1</v>
      </c>
      <c r="J335" s="2">
        <v>0.2</v>
      </c>
      <c r="K335" s="2">
        <v>0.2273</v>
      </c>
      <c r="L335" s="2">
        <v>0.64</v>
      </c>
      <c r="M335" s="2">
        <v>8.9599999999999999E-2</v>
      </c>
      <c r="N335" s="2">
        <v>2</v>
      </c>
      <c r="O335" s="2">
        <v>41</v>
      </c>
      <c r="P335" s="65">
        <v>43</v>
      </c>
    </row>
    <row r="336" spans="1:16" ht="13.2" x14ac:dyDescent="0.25">
      <c r="A336" s="7">
        <v>945</v>
      </c>
      <c r="B336" s="3">
        <v>40585</v>
      </c>
      <c r="C336" s="2">
        <v>1</v>
      </c>
      <c r="D336" s="2">
        <v>0</v>
      </c>
      <c r="E336" s="2">
        <v>2</v>
      </c>
      <c r="F336" s="2">
        <v>23</v>
      </c>
      <c r="G336" s="2" t="b">
        <v>0</v>
      </c>
      <c r="H336" s="2">
        <v>5</v>
      </c>
      <c r="I336" s="2">
        <v>1</v>
      </c>
      <c r="J336" s="2">
        <v>0.18</v>
      </c>
      <c r="K336" s="2">
        <v>0.2424</v>
      </c>
      <c r="L336" s="2">
        <v>0.69</v>
      </c>
      <c r="M336" s="2">
        <v>0</v>
      </c>
      <c r="N336" s="2">
        <v>5</v>
      </c>
      <c r="O336" s="2">
        <v>48</v>
      </c>
      <c r="P336" s="65">
        <v>53</v>
      </c>
    </row>
    <row r="337" spans="1:16" ht="13.2" x14ac:dyDescent="0.25">
      <c r="A337" s="7">
        <v>946</v>
      </c>
      <c r="B337" s="3">
        <v>40586</v>
      </c>
      <c r="C337" s="2">
        <v>1</v>
      </c>
      <c r="D337" s="2">
        <v>0</v>
      </c>
      <c r="E337" s="2">
        <v>2</v>
      </c>
      <c r="F337" s="2">
        <v>0</v>
      </c>
      <c r="G337" s="2" t="b">
        <v>0</v>
      </c>
      <c r="H337" s="2">
        <v>6</v>
      </c>
      <c r="I337" s="2">
        <v>1</v>
      </c>
      <c r="J337" s="2">
        <v>0.16</v>
      </c>
      <c r="K337" s="2">
        <v>0.19700000000000001</v>
      </c>
      <c r="L337" s="2">
        <v>0.69</v>
      </c>
      <c r="M337" s="2">
        <v>8.9599999999999999E-2</v>
      </c>
      <c r="N337" s="2">
        <v>3</v>
      </c>
      <c r="O337" s="2">
        <v>27</v>
      </c>
      <c r="P337" s="65">
        <v>30</v>
      </c>
    </row>
    <row r="338" spans="1:16" ht="13.2" x14ac:dyDescent="0.25">
      <c r="A338" s="7">
        <v>947</v>
      </c>
      <c r="B338" s="3">
        <v>40586</v>
      </c>
      <c r="C338" s="2">
        <v>1</v>
      </c>
      <c r="D338" s="2">
        <v>0</v>
      </c>
      <c r="E338" s="2">
        <v>2</v>
      </c>
      <c r="F338" s="2">
        <v>1</v>
      </c>
      <c r="G338" s="2" t="b">
        <v>0</v>
      </c>
      <c r="H338" s="2">
        <v>6</v>
      </c>
      <c r="I338" s="2">
        <v>1</v>
      </c>
      <c r="J338" s="2">
        <v>0.14000000000000001</v>
      </c>
      <c r="K338" s="2">
        <v>0.21210000000000001</v>
      </c>
      <c r="L338" s="2">
        <v>0.86</v>
      </c>
      <c r="M338" s="2">
        <v>0</v>
      </c>
      <c r="N338" s="2">
        <v>2</v>
      </c>
      <c r="O338" s="2">
        <v>22</v>
      </c>
      <c r="P338" s="65">
        <v>24</v>
      </c>
    </row>
    <row r="339" spans="1:16" ht="13.2" x14ac:dyDescent="0.25">
      <c r="A339" s="7">
        <v>948</v>
      </c>
      <c r="B339" s="3">
        <v>40586</v>
      </c>
      <c r="C339" s="2">
        <v>1</v>
      </c>
      <c r="D339" s="2">
        <v>0</v>
      </c>
      <c r="E339" s="2">
        <v>2</v>
      </c>
      <c r="F339" s="2">
        <v>2</v>
      </c>
      <c r="G339" s="2" t="b">
        <v>0</v>
      </c>
      <c r="H339" s="2">
        <v>6</v>
      </c>
      <c r="I339" s="2">
        <v>1</v>
      </c>
      <c r="J339" s="2">
        <v>0.14000000000000001</v>
      </c>
      <c r="K339" s="2">
        <v>0.21210000000000001</v>
      </c>
      <c r="L339" s="2">
        <v>0.8</v>
      </c>
      <c r="M339" s="2">
        <v>0</v>
      </c>
      <c r="N339" s="2">
        <v>2</v>
      </c>
      <c r="O339" s="2">
        <v>13</v>
      </c>
      <c r="P339" s="65">
        <v>15</v>
      </c>
    </row>
    <row r="340" spans="1:16" ht="13.2" x14ac:dyDescent="0.25">
      <c r="A340" s="7">
        <v>949</v>
      </c>
      <c r="B340" s="3">
        <v>40586</v>
      </c>
      <c r="C340" s="2">
        <v>1</v>
      </c>
      <c r="D340" s="2">
        <v>0</v>
      </c>
      <c r="E340" s="2">
        <v>2</v>
      </c>
      <c r="F340" s="2">
        <v>3</v>
      </c>
      <c r="G340" s="2" t="b">
        <v>0</v>
      </c>
      <c r="H340" s="2">
        <v>6</v>
      </c>
      <c r="I340" s="2">
        <v>1</v>
      </c>
      <c r="J340" s="2">
        <v>0.12</v>
      </c>
      <c r="K340" s="2">
        <v>0.19700000000000001</v>
      </c>
      <c r="L340" s="2">
        <v>0.8</v>
      </c>
      <c r="M340" s="2">
        <v>0</v>
      </c>
      <c r="N340" s="2">
        <v>3</v>
      </c>
      <c r="O340" s="2">
        <v>7</v>
      </c>
      <c r="P340" s="65">
        <v>10</v>
      </c>
    </row>
    <row r="341" spans="1:16" ht="13.2" x14ac:dyDescent="0.25">
      <c r="A341" s="7">
        <v>950</v>
      </c>
      <c r="B341" s="3">
        <v>40586</v>
      </c>
      <c r="C341" s="2">
        <v>1</v>
      </c>
      <c r="D341" s="2">
        <v>0</v>
      </c>
      <c r="E341" s="2">
        <v>2</v>
      </c>
      <c r="F341" s="2">
        <v>4</v>
      </c>
      <c r="G341" s="2" t="b">
        <v>0</v>
      </c>
      <c r="H341" s="2">
        <v>6</v>
      </c>
      <c r="I341" s="2">
        <v>1</v>
      </c>
      <c r="J341" s="2">
        <v>0.12</v>
      </c>
      <c r="K341" s="2">
        <v>0.16669999999999999</v>
      </c>
      <c r="L341" s="2">
        <v>0.74</v>
      </c>
      <c r="M341" s="2">
        <v>8.9599999999999999E-2</v>
      </c>
      <c r="N341" s="2">
        <v>0</v>
      </c>
      <c r="O341" s="2">
        <v>4</v>
      </c>
      <c r="P341" s="65">
        <v>4</v>
      </c>
    </row>
    <row r="342" spans="1:16" ht="13.2" x14ac:dyDescent="0.25">
      <c r="A342" s="7">
        <v>951</v>
      </c>
      <c r="B342" s="3">
        <v>40586</v>
      </c>
      <c r="C342" s="2">
        <v>1</v>
      </c>
      <c r="D342" s="2">
        <v>0</v>
      </c>
      <c r="E342" s="2">
        <v>2</v>
      </c>
      <c r="F342" s="2">
        <v>5</v>
      </c>
      <c r="G342" s="2" t="b">
        <v>0</v>
      </c>
      <c r="H342" s="2">
        <v>6</v>
      </c>
      <c r="I342" s="2">
        <v>1</v>
      </c>
      <c r="J342" s="2">
        <v>0.12</v>
      </c>
      <c r="K342" s="2">
        <v>0.16669999999999999</v>
      </c>
      <c r="L342" s="2">
        <v>0.74</v>
      </c>
      <c r="M342" s="2">
        <v>8.9599999999999999E-2</v>
      </c>
      <c r="N342" s="2">
        <v>0</v>
      </c>
      <c r="O342" s="2">
        <v>1</v>
      </c>
      <c r="P342" s="65">
        <v>1</v>
      </c>
    </row>
    <row r="343" spans="1:16" ht="13.2" x14ac:dyDescent="0.25">
      <c r="A343" s="7">
        <v>952</v>
      </c>
      <c r="B343" s="3">
        <v>40586</v>
      </c>
      <c r="C343" s="2">
        <v>1</v>
      </c>
      <c r="D343" s="2">
        <v>0</v>
      </c>
      <c r="E343" s="2">
        <v>2</v>
      </c>
      <c r="F343" s="2">
        <v>6</v>
      </c>
      <c r="G343" s="2" t="b">
        <v>0</v>
      </c>
      <c r="H343" s="2">
        <v>6</v>
      </c>
      <c r="I343" s="2">
        <v>1</v>
      </c>
      <c r="J343" s="2">
        <v>0.12</v>
      </c>
      <c r="K343" s="2">
        <v>0.13639999999999999</v>
      </c>
      <c r="L343" s="2">
        <v>0.93</v>
      </c>
      <c r="M343" s="2">
        <v>0.19400000000000001</v>
      </c>
      <c r="N343" s="2">
        <v>1</v>
      </c>
      <c r="O343" s="2">
        <v>1</v>
      </c>
      <c r="P343" s="65">
        <v>2</v>
      </c>
    </row>
    <row r="344" spans="1:16" ht="13.2" x14ac:dyDescent="0.25">
      <c r="A344" s="7">
        <v>953</v>
      </c>
      <c r="B344" s="3">
        <v>40586</v>
      </c>
      <c r="C344" s="2">
        <v>1</v>
      </c>
      <c r="D344" s="2">
        <v>0</v>
      </c>
      <c r="E344" s="2">
        <v>2</v>
      </c>
      <c r="F344" s="2">
        <v>7</v>
      </c>
      <c r="G344" s="2" t="b">
        <v>0</v>
      </c>
      <c r="H344" s="2">
        <v>6</v>
      </c>
      <c r="I344" s="2">
        <v>1</v>
      </c>
      <c r="J344" s="2">
        <v>0.12</v>
      </c>
      <c r="K344" s="2">
        <v>0.1515</v>
      </c>
      <c r="L344" s="2">
        <v>0.8</v>
      </c>
      <c r="M344" s="2">
        <v>0.1045</v>
      </c>
      <c r="N344" s="2">
        <v>2</v>
      </c>
      <c r="O344" s="2">
        <v>9</v>
      </c>
      <c r="P344" s="65">
        <v>11</v>
      </c>
    </row>
    <row r="345" spans="1:16" ht="13.2" x14ac:dyDescent="0.25">
      <c r="A345" s="7">
        <v>954</v>
      </c>
      <c r="B345" s="3">
        <v>40586</v>
      </c>
      <c r="C345" s="2">
        <v>1</v>
      </c>
      <c r="D345" s="2">
        <v>0</v>
      </c>
      <c r="E345" s="2">
        <v>2</v>
      </c>
      <c r="F345" s="2">
        <v>8</v>
      </c>
      <c r="G345" s="2" t="b">
        <v>0</v>
      </c>
      <c r="H345" s="2">
        <v>6</v>
      </c>
      <c r="I345" s="2">
        <v>1</v>
      </c>
      <c r="J345" s="2">
        <v>0.14000000000000001</v>
      </c>
      <c r="K345" s="2">
        <v>0.1515</v>
      </c>
      <c r="L345" s="2">
        <v>0.86</v>
      </c>
      <c r="M345" s="2">
        <v>0.1343</v>
      </c>
      <c r="N345" s="2">
        <v>2</v>
      </c>
      <c r="O345" s="2">
        <v>28</v>
      </c>
      <c r="P345" s="65">
        <v>30</v>
      </c>
    </row>
    <row r="346" spans="1:16" ht="13.2" x14ac:dyDescent="0.25">
      <c r="A346" s="7">
        <v>955</v>
      </c>
      <c r="B346" s="3">
        <v>40586</v>
      </c>
      <c r="C346" s="2">
        <v>1</v>
      </c>
      <c r="D346" s="2">
        <v>0</v>
      </c>
      <c r="E346" s="2">
        <v>2</v>
      </c>
      <c r="F346" s="2">
        <v>9</v>
      </c>
      <c r="G346" s="2" t="b">
        <v>0</v>
      </c>
      <c r="H346" s="2">
        <v>6</v>
      </c>
      <c r="I346" s="2">
        <v>1</v>
      </c>
      <c r="J346" s="2">
        <v>0.16</v>
      </c>
      <c r="K346" s="2">
        <v>0.18179999999999999</v>
      </c>
      <c r="L346" s="2">
        <v>0.64</v>
      </c>
      <c r="M346" s="2">
        <v>0.1343</v>
      </c>
      <c r="N346" s="2">
        <v>5</v>
      </c>
      <c r="O346" s="2">
        <v>38</v>
      </c>
      <c r="P346" s="65">
        <v>43</v>
      </c>
    </row>
    <row r="347" spans="1:16" ht="13.2" x14ac:dyDescent="0.25">
      <c r="A347" s="7">
        <v>956</v>
      </c>
      <c r="B347" s="3">
        <v>40586</v>
      </c>
      <c r="C347" s="2">
        <v>1</v>
      </c>
      <c r="D347" s="2">
        <v>0</v>
      </c>
      <c r="E347" s="2">
        <v>2</v>
      </c>
      <c r="F347" s="2">
        <v>10</v>
      </c>
      <c r="G347" s="2" t="b">
        <v>0</v>
      </c>
      <c r="H347" s="2">
        <v>6</v>
      </c>
      <c r="I347" s="2">
        <v>1</v>
      </c>
      <c r="J347" s="2">
        <v>0.22</v>
      </c>
      <c r="K347" s="2">
        <v>0.21210000000000001</v>
      </c>
      <c r="L347" s="2">
        <v>0.41</v>
      </c>
      <c r="M347" s="2">
        <v>0.25369999999999998</v>
      </c>
      <c r="N347" s="2">
        <v>13</v>
      </c>
      <c r="O347" s="2">
        <v>71</v>
      </c>
      <c r="P347" s="65">
        <v>84</v>
      </c>
    </row>
    <row r="348" spans="1:16" ht="13.2" x14ac:dyDescent="0.25">
      <c r="A348" s="7">
        <v>957</v>
      </c>
      <c r="B348" s="3">
        <v>40586</v>
      </c>
      <c r="C348" s="2">
        <v>1</v>
      </c>
      <c r="D348" s="2">
        <v>0</v>
      </c>
      <c r="E348" s="2">
        <v>2</v>
      </c>
      <c r="F348" s="2">
        <v>11</v>
      </c>
      <c r="G348" s="2" t="b">
        <v>0</v>
      </c>
      <c r="H348" s="2">
        <v>6</v>
      </c>
      <c r="I348" s="2">
        <v>1</v>
      </c>
      <c r="J348" s="2">
        <v>0.3</v>
      </c>
      <c r="K348" s="2">
        <v>0.2727</v>
      </c>
      <c r="L348" s="2">
        <v>0.28000000000000003</v>
      </c>
      <c r="M348" s="2">
        <v>0.32840000000000003</v>
      </c>
      <c r="N348" s="2">
        <v>30</v>
      </c>
      <c r="O348" s="2">
        <v>84</v>
      </c>
      <c r="P348" s="65">
        <v>114</v>
      </c>
    </row>
    <row r="349" spans="1:16" ht="13.2" x14ac:dyDescent="0.25">
      <c r="A349" s="7">
        <v>958</v>
      </c>
      <c r="B349" s="3">
        <v>40586</v>
      </c>
      <c r="C349" s="2">
        <v>1</v>
      </c>
      <c r="D349" s="2">
        <v>0</v>
      </c>
      <c r="E349" s="2">
        <v>2</v>
      </c>
      <c r="F349" s="2">
        <v>12</v>
      </c>
      <c r="G349" s="2" t="b">
        <v>0</v>
      </c>
      <c r="H349" s="2">
        <v>6</v>
      </c>
      <c r="I349" s="2">
        <v>1</v>
      </c>
      <c r="J349" s="2">
        <v>0.3</v>
      </c>
      <c r="K349" s="2">
        <v>0.2727</v>
      </c>
      <c r="L349" s="2">
        <v>0.39</v>
      </c>
      <c r="M349" s="2">
        <v>0.4627</v>
      </c>
      <c r="N349" s="2">
        <v>27</v>
      </c>
      <c r="O349" s="2">
        <v>93</v>
      </c>
      <c r="P349" s="65">
        <v>120</v>
      </c>
    </row>
    <row r="350" spans="1:16" ht="13.2" x14ac:dyDescent="0.25">
      <c r="A350" s="7">
        <v>959</v>
      </c>
      <c r="B350" s="3">
        <v>40586</v>
      </c>
      <c r="C350" s="2">
        <v>1</v>
      </c>
      <c r="D350" s="2">
        <v>0</v>
      </c>
      <c r="E350" s="2">
        <v>2</v>
      </c>
      <c r="F350" s="2">
        <v>13</v>
      </c>
      <c r="G350" s="2" t="b">
        <v>0</v>
      </c>
      <c r="H350" s="2">
        <v>6</v>
      </c>
      <c r="I350" s="2">
        <v>1</v>
      </c>
      <c r="J350" s="2">
        <v>0.3</v>
      </c>
      <c r="K350" s="2">
        <v>0.2727</v>
      </c>
      <c r="L350" s="2">
        <v>0.39</v>
      </c>
      <c r="M350" s="2">
        <v>0.41789999999999999</v>
      </c>
      <c r="N350" s="2">
        <v>32</v>
      </c>
      <c r="O350" s="2">
        <v>103</v>
      </c>
      <c r="P350" s="65">
        <v>135</v>
      </c>
    </row>
    <row r="351" spans="1:16" ht="13.2" x14ac:dyDescent="0.25">
      <c r="A351" s="7">
        <v>960</v>
      </c>
      <c r="B351" s="3">
        <v>40586</v>
      </c>
      <c r="C351" s="2">
        <v>1</v>
      </c>
      <c r="D351" s="2">
        <v>0</v>
      </c>
      <c r="E351" s="2">
        <v>2</v>
      </c>
      <c r="F351" s="2">
        <v>14</v>
      </c>
      <c r="G351" s="2" t="b">
        <v>0</v>
      </c>
      <c r="H351" s="2">
        <v>6</v>
      </c>
      <c r="I351" s="2">
        <v>1</v>
      </c>
      <c r="J351" s="2">
        <v>0.34</v>
      </c>
      <c r="K351" s="2">
        <v>0.31819999999999998</v>
      </c>
      <c r="L351" s="2">
        <v>0.31</v>
      </c>
      <c r="M351" s="2">
        <v>0.28360000000000002</v>
      </c>
      <c r="N351" s="2">
        <v>30</v>
      </c>
      <c r="O351" s="2">
        <v>90</v>
      </c>
      <c r="P351" s="65">
        <v>120</v>
      </c>
    </row>
    <row r="352" spans="1:16" ht="13.2" x14ac:dyDescent="0.25">
      <c r="A352" s="7">
        <v>961</v>
      </c>
      <c r="B352" s="3">
        <v>40586</v>
      </c>
      <c r="C352" s="2">
        <v>1</v>
      </c>
      <c r="D352" s="2">
        <v>0</v>
      </c>
      <c r="E352" s="2">
        <v>2</v>
      </c>
      <c r="F352" s="2">
        <v>15</v>
      </c>
      <c r="G352" s="2" t="b">
        <v>0</v>
      </c>
      <c r="H352" s="2">
        <v>6</v>
      </c>
      <c r="I352" s="2">
        <v>1</v>
      </c>
      <c r="J352" s="2">
        <v>0.34</v>
      </c>
      <c r="K352" s="2">
        <v>0.30299999999999999</v>
      </c>
      <c r="L352" s="2">
        <v>0.28999999999999998</v>
      </c>
      <c r="M352" s="2">
        <v>0.41789999999999999</v>
      </c>
      <c r="N352" s="2">
        <v>47</v>
      </c>
      <c r="O352" s="2">
        <v>127</v>
      </c>
      <c r="P352" s="65">
        <v>174</v>
      </c>
    </row>
    <row r="353" spans="1:16" ht="13.2" x14ac:dyDescent="0.25">
      <c r="A353" s="7">
        <v>962</v>
      </c>
      <c r="B353" s="3">
        <v>40586</v>
      </c>
      <c r="C353" s="2">
        <v>1</v>
      </c>
      <c r="D353" s="2">
        <v>0</v>
      </c>
      <c r="E353" s="2">
        <v>2</v>
      </c>
      <c r="F353" s="2">
        <v>16</v>
      </c>
      <c r="G353" s="2" t="b">
        <v>0</v>
      </c>
      <c r="H353" s="2">
        <v>6</v>
      </c>
      <c r="I353" s="2">
        <v>1</v>
      </c>
      <c r="J353" s="2">
        <v>0.34</v>
      </c>
      <c r="K353" s="2">
        <v>0.30299999999999999</v>
      </c>
      <c r="L353" s="2">
        <v>0.28999999999999998</v>
      </c>
      <c r="M353" s="2">
        <v>0.41789999999999999</v>
      </c>
      <c r="N353" s="2">
        <v>42</v>
      </c>
      <c r="O353" s="2">
        <v>103</v>
      </c>
      <c r="P353" s="65">
        <v>145</v>
      </c>
    </row>
    <row r="354" spans="1:16" ht="13.2" x14ac:dyDescent="0.25">
      <c r="A354" s="7">
        <v>963</v>
      </c>
      <c r="B354" s="3">
        <v>40586</v>
      </c>
      <c r="C354" s="2">
        <v>1</v>
      </c>
      <c r="D354" s="2">
        <v>0</v>
      </c>
      <c r="E354" s="2">
        <v>2</v>
      </c>
      <c r="F354" s="2">
        <v>17</v>
      </c>
      <c r="G354" s="2" t="b">
        <v>0</v>
      </c>
      <c r="H354" s="2">
        <v>6</v>
      </c>
      <c r="I354" s="2">
        <v>1</v>
      </c>
      <c r="J354" s="2">
        <v>0.32</v>
      </c>
      <c r="K354" s="2">
        <v>0.28789999999999999</v>
      </c>
      <c r="L354" s="2">
        <v>0.31</v>
      </c>
      <c r="M354" s="2">
        <v>0.52239999999999998</v>
      </c>
      <c r="N354" s="2">
        <v>24</v>
      </c>
      <c r="O354" s="2">
        <v>113</v>
      </c>
      <c r="P354" s="65">
        <v>137</v>
      </c>
    </row>
    <row r="355" spans="1:16" ht="13.2" x14ac:dyDescent="0.25">
      <c r="A355" s="7">
        <v>964</v>
      </c>
      <c r="B355" s="3">
        <v>40586</v>
      </c>
      <c r="C355" s="2">
        <v>1</v>
      </c>
      <c r="D355" s="2">
        <v>0</v>
      </c>
      <c r="E355" s="2">
        <v>2</v>
      </c>
      <c r="F355" s="2">
        <v>18</v>
      </c>
      <c r="G355" s="2" t="b">
        <v>0</v>
      </c>
      <c r="H355" s="2">
        <v>6</v>
      </c>
      <c r="I355" s="2">
        <v>1</v>
      </c>
      <c r="J355" s="2">
        <v>0.28000000000000003</v>
      </c>
      <c r="K355" s="2">
        <v>0.2576</v>
      </c>
      <c r="L355" s="2">
        <v>0.38</v>
      </c>
      <c r="M355" s="2">
        <v>0.32840000000000003</v>
      </c>
      <c r="N355" s="2">
        <v>4</v>
      </c>
      <c r="O355" s="2">
        <v>60</v>
      </c>
      <c r="P355" s="65">
        <v>64</v>
      </c>
    </row>
    <row r="356" spans="1:16" ht="13.2" x14ac:dyDescent="0.25">
      <c r="A356" s="7">
        <v>965</v>
      </c>
      <c r="B356" s="3">
        <v>40586</v>
      </c>
      <c r="C356" s="2">
        <v>1</v>
      </c>
      <c r="D356" s="2">
        <v>0</v>
      </c>
      <c r="E356" s="2">
        <v>2</v>
      </c>
      <c r="F356" s="2">
        <v>19</v>
      </c>
      <c r="G356" s="2" t="b">
        <v>0</v>
      </c>
      <c r="H356" s="2">
        <v>6</v>
      </c>
      <c r="I356" s="2">
        <v>1</v>
      </c>
      <c r="J356" s="2">
        <v>0.28000000000000003</v>
      </c>
      <c r="K356" s="2">
        <v>0.2727</v>
      </c>
      <c r="L356" s="2">
        <v>0.38</v>
      </c>
      <c r="M356" s="2">
        <v>0.16420000000000001</v>
      </c>
      <c r="N356" s="2">
        <v>2</v>
      </c>
      <c r="O356" s="2">
        <v>39</v>
      </c>
      <c r="P356" s="65">
        <v>41</v>
      </c>
    </row>
    <row r="357" spans="1:16" ht="13.2" x14ac:dyDescent="0.25">
      <c r="A357" s="7">
        <v>966</v>
      </c>
      <c r="B357" s="3">
        <v>40586</v>
      </c>
      <c r="C357" s="2">
        <v>1</v>
      </c>
      <c r="D357" s="2">
        <v>0</v>
      </c>
      <c r="E357" s="2">
        <v>2</v>
      </c>
      <c r="F357" s="2">
        <v>20</v>
      </c>
      <c r="G357" s="2" t="b">
        <v>0</v>
      </c>
      <c r="H357" s="2">
        <v>6</v>
      </c>
      <c r="I357" s="2">
        <v>1</v>
      </c>
      <c r="J357" s="2">
        <v>0.26</v>
      </c>
      <c r="K357" s="2">
        <v>0.2576</v>
      </c>
      <c r="L357" s="2">
        <v>0.41</v>
      </c>
      <c r="M357" s="2">
        <v>0.22389999999999999</v>
      </c>
      <c r="N357" s="2">
        <v>1</v>
      </c>
      <c r="O357" s="2">
        <v>39</v>
      </c>
      <c r="P357" s="65">
        <v>40</v>
      </c>
    </row>
    <row r="358" spans="1:16" ht="13.2" x14ac:dyDescent="0.25">
      <c r="A358" s="7">
        <v>967</v>
      </c>
      <c r="B358" s="3">
        <v>40586</v>
      </c>
      <c r="C358" s="2">
        <v>1</v>
      </c>
      <c r="D358" s="2">
        <v>0</v>
      </c>
      <c r="E358" s="2">
        <v>2</v>
      </c>
      <c r="F358" s="2">
        <v>21</v>
      </c>
      <c r="G358" s="2" t="b">
        <v>0</v>
      </c>
      <c r="H358" s="2">
        <v>6</v>
      </c>
      <c r="I358" s="2">
        <v>1</v>
      </c>
      <c r="J358" s="2">
        <v>0.26</v>
      </c>
      <c r="K358" s="2">
        <v>0.30299999999999999</v>
      </c>
      <c r="L358" s="2">
        <v>0.41</v>
      </c>
      <c r="M358" s="2">
        <v>0</v>
      </c>
      <c r="N358" s="2">
        <v>9</v>
      </c>
      <c r="O358" s="2">
        <v>42</v>
      </c>
      <c r="P358" s="65">
        <v>51</v>
      </c>
    </row>
    <row r="359" spans="1:16" ht="13.2" x14ac:dyDescent="0.25">
      <c r="A359" s="7">
        <v>968</v>
      </c>
      <c r="B359" s="3">
        <v>40586</v>
      </c>
      <c r="C359" s="2">
        <v>1</v>
      </c>
      <c r="D359" s="2">
        <v>0</v>
      </c>
      <c r="E359" s="2">
        <v>2</v>
      </c>
      <c r="F359" s="2">
        <v>22</v>
      </c>
      <c r="G359" s="2" t="b">
        <v>0</v>
      </c>
      <c r="H359" s="2">
        <v>6</v>
      </c>
      <c r="I359" s="2">
        <v>1</v>
      </c>
      <c r="J359" s="2">
        <v>0.24</v>
      </c>
      <c r="K359" s="2">
        <v>0.2576</v>
      </c>
      <c r="L359" s="2">
        <v>0.44</v>
      </c>
      <c r="M359" s="2">
        <v>8.9599999999999999E-2</v>
      </c>
      <c r="N359" s="2">
        <v>6</v>
      </c>
      <c r="O359" s="2">
        <v>39</v>
      </c>
      <c r="P359" s="65">
        <v>45</v>
      </c>
    </row>
    <row r="360" spans="1:16" ht="13.2" x14ac:dyDescent="0.25">
      <c r="A360" s="7">
        <v>969</v>
      </c>
      <c r="B360" s="3">
        <v>40586</v>
      </c>
      <c r="C360" s="2">
        <v>1</v>
      </c>
      <c r="D360" s="2">
        <v>0</v>
      </c>
      <c r="E360" s="2">
        <v>2</v>
      </c>
      <c r="F360" s="2">
        <v>23</v>
      </c>
      <c r="G360" s="2" t="b">
        <v>0</v>
      </c>
      <c r="H360" s="2">
        <v>6</v>
      </c>
      <c r="I360" s="2">
        <v>1</v>
      </c>
      <c r="J360" s="2">
        <v>0.22</v>
      </c>
      <c r="K360" s="2">
        <v>0.2273</v>
      </c>
      <c r="L360" s="2">
        <v>0.51</v>
      </c>
      <c r="M360" s="2">
        <v>0.1343</v>
      </c>
      <c r="N360" s="2">
        <v>1</v>
      </c>
      <c r="O360" s="2">
        <v>31</v>
      </c>
      <c r="P360" s="65">
        <v>32</v>
      </c>
    </row>
    <row r="361" spans="1:16" ht="13.2" x14ac:dyDescent="0.25">
      <c r="A361" s="7">
        <v>970</v>
      </c>
      <c r="B361" s="3">
        <v>40587</v>
      </c>
      <c r="C361" s="2">
        <v>1</v>
      </c>
      <c r="D361" s="2">
        <v>0</v>
      </c>
      <c r="E361" s="2">
        <v>2</v>
      </c>
      <c r="F361" s="2">
        <v>0</v>
      </c>
      <c r="G361" s="2" t="b">
        <v>0</v>
      </c>
      <c r="H361" s="2">
        <v>0</v>
      </c>
      <c r="I361" s="2">
        <v>1</v>
      </c>
      <c r="J361" s="2">
        <v>0.2</v>
      </c>
      <c r="K361" s="2">
        <v>0.2273</v>
      </c>
      <c r="L361" s="2">
        <v>0.64</v>
      </c>
      <c r="M361" s="2">
        <v>0.1045</v>
      </c>
      <c r="N361" s="2">
        <v>5</v>
      </c>
      <c r="O361" s="2">
        <v>34</v>
      </c>
      <c r="P361" s="65">
        <v>39</v>
      </c>
    </row>
    <row r="362" spans="1:16" ht="13.2" x14ac:dyDescent="0.25">
      <c r="A362" s="7">
        <v>971</v>
      </c>
      <c r="B362" s="3">
        <v>40587</v>
      </c>
      <c r="C362" s="2">
        <v>1</v>
      </c>
      <c r="D362" s="2">
        <v>0</v>
      </c>
      <c r="E362" s="2">
        <v>2</v>
      </c>
      <c r="F362" s="2">
        <v>1</v>
      </c>
      <c r="G362" s="2" t="b">
        <v>0</v>
      </c>
      <c r="H362" s="2">
        <v>0</v>
      </c>
      <c r="I362" s="2">
        <v>1</v>
      </c>
      <c r="J362" s="2">
        <v>0.2</v>
      </c>
      <c r="K362" s="2">
        <v>0.2273</v>
      </c>
      <c r="L362" s="2">
        <v>0.59</v>
      </c>
      <c r="M362" s="2">
        <v>8.9599999999999999E-2</v>
      </c>
      <c r="N362" s="2">
        <v>1</v>
      </c>
      <c r="O362" s="2">
        <v>23</v>
      </c>
      <c r="P362" s="65">
        <v>24</v>
      </c>
    </row>
    <row r="363" spans="1:16" ht="13.2" x14ac:dyDescent="0.25">
      <c r="A363" s="7">
        <v>972</v>
      </c>
      <c r="B363" s="3">
        <v>40587</v>
      </c>
      <c r="C363" s="2">
        <v>1</v>
      </c>
      <c r="D363" s="2">
        <v>0</v>
      </c>
      <c r="E363" s="2">
        <v>2</v>
      </c>
      <c r="F363" s="2">
        <v>2</v>
      </c>
      <c r="G363" s="2" t="b">
        <v>0</v>
      </c>
      <c r="H363" s="2">
        <v>0</v>
      </c>
      <c r="I363" s="2">
        <v>2</v>
      </c>
      <c r="J363" s="2">
        <v>0.2</v>
      </c>
      <c r="K363" s="2">
        <v>0.2273</v>
      </c>
      <c r="L363" s="2">
        <v>0.75</v>
      </c>
      <c r="M363" s="2">
        <v>8.9599999999999999E-2</v>
      </c>
      <c r="N363" s="2">
        <v>1</v>
      </c>
      <c r="O363" s="2">
        <v>19</v>
      </c>
      <c r="P363" s="65">
        <v>20</v>
      </c>
    </row>
    <row r="364" spans="1:16" ht="13.2" x14ac:dyDescent="0.25">
      <c r="A364" s="7">
        <v>973</v>
      </c>
      <c r="B364" s="3">
        <v>40587</v>
      </c>
      <c r="C364" s="2">
        <v>1</v>
      </c>
      <c r="D364" s="2">
        <v>0</v>
      </c>
      <c r="E364" s="2">
        <v>2</v>
      </c>
      <c r="F364" s="2">
        <v>3</v>
      </c>
      <c r="G364" s="2" t="b">
        <v>0</v>
      </c>
      <c r="H364" s="2">
        <v>0</v>
      </c>
      <c r="I364" s="2">
        <v>2</v>
      </c>
      <c r="J364" s="2">
        <v>0.2</v>
      </c>
      <c r="K364" s="2">
        <v>0.2273</v>
      </c>
      <c r="L364" s="2">
        <v>0.69</v>
      </c>
      <c r="M364" s="2">
        <v>0.1045</v>
      </c>
      <c r="N364" s="2">
        <v>4</v>
      </c>
      <c r="O364" s="2">
        <v>8</v>
      </c>
      <c r="P364" s="65">
        <v>12</v>
      </c>
    </row>
    <row r="365" spans="1:16" ht="13.2" x14ac:dyDescent="0.25">
      <c r="A365" s="7">
        <v>974</v>
      </c>
      <c r="B365" s="3">
        <v>40587</v>
      </c>
      <c r="C365" s="2">
        <v>1</v>
      </c>
      <c r="D365" s="2">
        <v>0</v>
      </c>
      <c r="E365" s="2">
        <v>2</v>
      </c>
      <c r="F365" s="2">
        <v>4</v>
      </c>
      <c r="G365" s="2" t="b">
        <v>0</v>
      </c>
      <c r="H365" s="2">
        <v>0</v>
      </c>
      <c r="I365" s="2">
        <v>2</v>
      </c>
      <c r="J365" s="2">
        <v>0.2</v>
      </c>
      <c r="K365" s="2">
        <v>0.21210000000000001</v>
      </c>
      <c r="L365" s="2">
        <v>0.69</v>
      </c>
      <c r="M365" s="2">
        <v>0.16420000000000001</v>
      </c>
      <c r="N365" s="2">
        <v>0</v>
      </c>
      <c r="O365" s="2">
        <v>2</v>
      </c>
      <c r="P365" s="65">
        <v>2</v>
      </c>
    </row>
    <row r="366" spans="1:16" ht="13.2" x14ac:dyDescent="0.25">
      <c r="A366" s="7">
        <v>975</v>
      </c>
      <c r="B366" s="3">
        <v>40587</v>
      </c>
      <c r="C366" s="2">
        <v>1</v>
      </c>
      <c r="D366" s="2">
        <v>0</v>
      </c>
      <c r="E366" s="2">
        <v>2</v>
      </c>
      <c r="F366" s="2">
        <v>6</v>
      </c>
      <c r="G366" s="2" t="b">
        <v>0</v>
      </c>
      <c r="H366" s="2">
        <v>0</v>
      </c>
      <c r="I366" s="2">
        <v>2</v>
      </c>
      <c r="J366" s="2">
        <v>0.2</v>
      </c>
      <c r="K366" s="2">
        <v>0.21210000000000001</v>
      </c>
      <c r="L366" s="2">
        <v>0.69</v>
      </c>
      <c r="M366" s="2">
        <v>0.1343</v>
      </c>
      <c r="N366" s="2">
        <v>2</v>
      </c>
      <c r="O366" s="2">
        <v>3</v>
      </c>
      <c r="P366" s="65">
        <v>5</v>
      </c>
    </row>
    <row r="367" spans="1:16" ht="13.2" x14ac:dyDescent="0.25">
      <c r="A367" s="7">
        <v>976</v>
      </c>
      <c r="B367" s="3">
        <v>40587</v>
      </c>
      <c r="C367" s="2">
        <v>1</v>
      </c>
      <c r="D367" s="2">
        <v>0</v>
      </c>
      <c r="E367" s="2">
        <v>2</v>
      </c>
      <c r="F367" s="2">
        <v>7</v>
      </c>
      <c r="G367" s="2" t="b">
        <v>0</v>
      </c>
      <c r="H367" s="2">
        <v>0</v>
      </c>
      <c r="I367" s="2">
        <v>2</v>
      </c>
      <c r="J367" s="2">
        <v>0.22</v>
      </c>
      <c r="K367" s="2">
        <v>0.2727</v>
      </c>
      <c r="L367" s="2">
        <v>0.55000000000000004</v>
      </c>
      <c r="M367" s="2">
        <v>0</v>
      </c>
      <c r="N367" s="2">
        <v>0</v>
      </c>
      <c r="O367" s="2">
        <v>3</v>
      </c>
      <c r="P367" s="65">
        <v>3</v>
      </c>
    </row>
    <row r="368" spans="1:16" ht="13.2" x14ac:dyDescent="0.25">
      <c r="A368" s="7">
        <v>977</v>
      </c>
      <c r="B368" s="3">
        <v>40587</v>
      </c>
      <c r="C368" s="2">
        <v>1</v>
      </c>
      <c r="D368" s="2">
        <v>0</v>
      </c>
      <c r="E368" s="2">
        <v>2</v>
      </c>
      <c r="F368" s="2">
        <v>8</v>
      </c>
      <c r="G368" s="2" t="b">
        <v>0</v>
      </c>
      <c r="H368" s="2">
        <v>0</v>
      </c>
      <c r="I368" s="2">
        <v>2</v>
      </c>
      <c r="J368" s="2">
        <v>0.22</v>
      </c>
      <c r="K368" s="2">
        <v>0.2273</v>
      </c>
      <c r="L368" s="2">
        <v>0.64</v>
      </c>
      <c r="M368" s="2">
        <v>0.19400000000000001</v>
      </c>
      <c r="N368" s="2">
        <v>1</v>
      </c>
      <c r="O368" s="2">
        <v>11</v>
      </c>
      <c r="P368" s="65">
        <v>12</v>
      </c>
    </row>
    <row r="369" spans="1:16" ht="13.2" x14ac:dyDescent="0.25">
      <c r="A369" s="7">
        <v>978</v>
      </c>
      <c r="B369" s="3">
        <v>40587</v>
      </c>
      <c r="C369" s="2">
        <v>1</v>
      </c>
      <c r="D369" s="2">
        <v>0</v>
      </c>
      <c r="E369" s="2">
        <v>2</v>
      </c>
      <c r="F369" s="2">
        <v>9</v>
      </c>
      <c r="G369" s="2" t="b">
        <v>0</v>
      </c>
      <c r="H369" s="2">
        <v>0</v>
      </c>
      <c r="I369" s="2">
        <v>2</v>
      </c>
      <c r="J369" s="2">
        <v>0.24</v>
      </c>
      <c r="K369" s="2">
        <v>0.2273</v>
      </c>
      <c r="L369" s="2">
        <v>0.6</v>
      </c>
      <c r="M369" s="2">
        <v>0.22389999999999999</v>
      </c>
      <c r="N369" s="2">
        <v>12</v>
      </c>
      <c r="O369" s="2">
        <v>35</v>
      </c>
      <c r="P369" s="65">
        <v>47</v>
      </c>
    </row>
    <row r="370" spans="1:16" ht="13.2" x14ac:dyDescent="0.25">
      <c r="A370" s="7">
        <v>979</v>
      </c>
      <c r="B370" s="3">
        <v>40587</v>
      </c>
      <c r="C370" s="2">
        <v>1</v>
      </c>
      <c r="D370" s="2">
        <v>0</v>
      </c>
      <c r="E370" s="2">
        <v>2</v>
      </c>
      <c r="F370" s="2">
        <v>10</v>
      </c>
      <c r="G370" s="2" t="b">
        <v>0</v>
      </c>
      <c r="H370" s="2">
        <v>0</v>
      </c>
      <c r="I370" s="2">
        <v>1</v>
      </c>
      <c r="J370" s="2">
        <v>0.3</v>
      </c>
      <c r="K370" s="2">
        <v>0.2727</v>
      </c>
      <c r="L370" s="2">
        <v>0.45</v>
      </c>
      <c r="M370" s="2">
        <v>0.32840000000000003</v>
      </c>
      <c r="N370" s="2">
        <v>19</v>
      </c>
      <c r="O370" s="2">
        <v>86</v>
      </c>
      <c r="P370" s="65">
        <v>105</v>
      </c>
    </row>
    <row r="371" spans="1:16" ht="13.2" x14ac:dyDescent="0.25">
      <c r="A371" s="7">
        <v>980</v>
      </c>
      <c r="B371" s="3">
        <v>40587</v>
      </c>
      <c r="C371" s="2">
        <v>1</v>
      </c>
      <c r="D371" s="2">
        <v>0</v>
      </c>
      <c r="E371" s="2">
        <v>2</v>
      </c>
      <c r="F371" s="2">
        <v>11</v>
      </c>
      <c r="G371" s="2" t="b">
        <v>0</v>
      </c>
      <c r="H371" s="2">
        <v>0</v>
      </c>
      <c r="I371" s="2">
        <v>1</v>
      </c>
      <c r="J371" s="2">
        <v>0.32</v>
      </c>
      <c r="K371" s="2">
        <v>0.28789999999999999</v>
      </c>
      <c r="L371" s="2">
        <v>0.39</v>
      </c>
      <c r="M371" s="2">
        <v>0.44779999999999998</v>
      </c>
      <c r="N371" s="2">
        <v>26</v>
      </c>
      <c r="O371" s="2">
        <v>86</v>
      </c>
      <c r="P371" s="65">
        <v>112</v>
      </c>
    </row>
    <row r="372" spans="1:16" ht="13.2" x14ac:dyDescent="0.25">
      <c r="A372" s="7">
        <v>981</v>
      </c>
      <c r="B372" s="3">
        <v>40587</v>
      </c>
      <c r="C372" s="2">
        <v>1</v>
      </c>
      <c r="D372" s="2">
        <v>0</v>
      </c>
      <c r="E372" s="2">
        <v>2</v>
      </c>
      <c r="F372" s="2">
        <v>12</v>
      </c>
      <c r="G372" s="2" t="b">
        <v>0</v>
      </c>
      <c r="H372" s="2">
        <v>0</v>
      </c>
      <c r="I372" s="2">
        <v>1</v>
      </c>
      <c r="J372" s="2">
        <v>0.36</v>
      </c>
      <c r="K372" s="2">
        <v>0.31819999999999998</v>
      </c>
      <c r="L372" s="2">
        <v>0.32</v>
      </c>
      <c r="M372" s="2">
        <v>0.4627</v>
      </c>
      <c r="N372" s="2">
        <v>58</v>
      </c>
      <c r="O372" s="2">
        <v>94</v>
      </c>
      <c r="P372" s="65">
        <v>152</v>
      </c>
    </row>
    <row r="373" spans="1:16" ht="13.2" x14ac:dyDescent="0.25">
      <c r="A373" s="7">
        <v>982</v>
      </c>
      <c r="B373" s="3">
        <v>40587</v>
      </c>
      <c r="C373" s="2">
        <v>1</v>
      </c>
      <c r="D373" s="2">
        <v>0</v>
      </c>
      <c r="E373" s="2">
        <v>2</v>
      </c>
      <c r="F373" s="2">
        <v>13</v>
      </c>
      <c r="G373" s="2" t="b">
        <v>0</v>
      </c>
      <c r="H373" s="2">
        <v>0</v>
      </c>
      <c r="I373" s="2">
        <v>1</v>
      </c>
      <c r="J373" s="2">
        <v>0.38</v>
      </c>
      <c r="K373" s="2">
        <v>0.39389999999999997</v>
      </c>
      <c r="L373" s="2">
        <v>0.28999999999999998</v>
      </c>
      <c r="M373" s="2">
        <v>0.35820000000000002</v>
      </c>
      <c r="N373" s="2">
        <v>62</v>
      </c>
      <c r="O373" s="2">
        <v>92</v>
      </c>
      <c r="P373" s="65">
        <v>154</v>
      </c>
    </row>
    <row r="374" spans="1:16" ht="13.2" x14ac:dyDescent="0.25">
      <c r="A374" s="7">
        <v>983</v>
      </c>
      <c r="B374" s="3">
        <v>40587</v>
      </c>
      <c r="C374" s="2">
        <v>1</v>
      </c>
      <c r="D374" s="2">
        <v>0</v>
      </c>
      <c r="E374" s="2">
        <v>2</v>
      </c>
      <c r="F374" s="2">
        <v>14</v>
      </c>
      <c r="G374" s="2" t="b">
        <v>0</v>
      </c>
      <c r="H374" s="2">
        <v>0</v>
      </c>
      <c r="I374" s="2">
        <v>2</v>
      </c>
      <c r="J374" s="2">
        <v>0.4</v>
      </c>
      <c r="K374" s="2">
        <v>0.40910000000000002</v>
      </c>
      <c r="L374" s="2">
        <v>0.3</v>
      </c>
      <c r="M374" s="2">
        <v>0.41789999999999999</v>
      </c>
      <c r="N374" s="2">
        <v>51</v>
      </c>
      <c r="O374" s="2">
        <v>110</v>
      </c>
      <c r="P374" s="65">
        <v>161</v>
      </c>
    </row>
    <row r="375" spans="1:16" ht="13.2" x14ac:dyDescent="0.25">
      <c r="A375" s="7">
        <v>984</v>
      </c>
      <c r="B375" s="3">
        <v>40587</v>
      </c>
      <c r="C375" s="2">
        <v>1</v>
      </c>
      <c r="D375" s="2">
        <v>0</v>
      </c>
      <c r="E375" s="2">
        <v>2</v>
      </c>
      <c r="F375" s="2">
        <v>15</v>
      </c>
      <c r="G375" s="2" t="b">
        <v>0</v>
      </c>
      <c r="H375" s="2">
        <v>0</v>
      </c>
      <c r="I375" s="2">
        <v>2</v>
      </c>
      <c r="J375" s="2">
        <v>0.4</v>
      </c>
      <c r="K375" s="2">
        <v>0.40910000000000002</v>
      </c>
      <c r="L375" s="2">
        <v>0.3</v>
      </c>
      <c r="M375" s="2">
        <v>0.29849999999999999</v>
      </c>
      <c r="N375" s="2">
        <v>40</v>
      </c>
      <c r="O375" s="2">
        <v>122</v>
      </c>
      <c r="P375" s="65">
        <v>162</v>
      </c>
    </row>
    <row r="376" spans="1:16" ht="13.2" x14ac:dyDescent="0.25">
      <c r="A376" s="7">
        <v>985</v>
      </c>
      <c r="B376" s="3">
        <v>40587</v>
      </c>
      <c r="C376" s="2">
        <v>1</v>
      </c>
      <c r="D376" s="2">
        <v>0</v>
      </c>
      <c r="E376" s="2">
        <v>2</v>
      </c>
      <c r="F376" s="2">
        <v>16</v>
      </c>
      <c r="G376" s="2" t="b">
        <v>0</v>
      </c>
      <c r="H376" s="2">
        <v>0</v>
      </c>
      <c r="I376" s="2">
        <v>2</v>
      </c>
      <c r="J376" s="2">
        <v>0.42</v>
      </c>
      <c r="K376" s="2">
        <v>0.42420000000000002</v>
      </c>
      <c r="L376" s="2">
        <v>0.28000000000000003</v>
      </c>
      <c r="M376" s="2">
        <v>0.32840000000000003</v>
      </c>
      <c r="N376" s="2">
        <v>28</v>
      </c>
      <c r="O376" s="2">
        <v>106</v>
      </c>
      <c r="P376" s="65">
        <v>134</v>
      </c>
    </row>
    <row r="377" spans="1:16" ht="13.2" x14ac:dyDescent="0.25">
      <c r="A377" s="7">
        <v>986</v>
      </c>
      <c r="B377" s="3">
        <v>40587</v>
      </c>
      <c r="C377" s="2">
        <v>1</v>
      </c>
      <c r="D377" s="2">
        <v>0</v>
      </c>
      <c r="E377" s="2">
        <v>2</v>
      </c>
      <c r="F377" s="2">
        <v>17</v>
      </c>
      <c r="G377" s="2" t="b">
        <v>0</v>
      </c>
      <c r="H377" s="2">
        <v>0</v>
      </c>
      <c r="I377" s="2">
        <v>1</v>
      </c>
      <c r="J377" s="2">
        <v>0.42</v>
      </c>
      <c r="K377" s="2">
        <v>0.42420000000000002</v>
      </c>
      <c r="L377" s="2">
        <v>0.28000000000000003</v>
      </c>
      <c r="M377" s="2">
        <v>0.32840000000000003</v>
      </c>
      <c r="N377" s="2">
        <v>30</v>
      </c>
      <c r="O377" s="2">
        <v>95</v>
      </c>
      <c r="P377" s="65">
        <v>125</v>
      </c>
    </row>
    <row r="378" spans="1:16" ht="13.2" x14ac:dyDescent="0.25">
      <c r="A378" s="7">
        <v>987</v>
      </c>
      <c r="B378" s="3">
        <v>40587</v>
      </c>
      <c r="C378" s="2">
        <v>1</v>
      </c>
      <c r="D378" s="2">
        <v>0</v>
      </c>
      <c r="E378" s="2">
        <v>2</v>
      </c>
      <c r="F378" s="2">
        <v>18</v>
      </c>
      <c r="G378" s="2" t="b">
        <v>0</v>
      </c>
      <c r="H378" s="2">
        <v>0</v>
      </c>
      <c r="I378" s="2">
        <v>1</v>
      </c>
      <c r="J378" s="2">
        <v>0.4</v>
      </c>
      <c r="K378" s="2">
        <v>0.40910000000000002</v>
      </c>
      <c r="L378" s="2">
        <v>0.32</v>
      </c>
      <c r="M378" s="2">
        <v>0.29849999999999999</v>
      </c>
      <c r="N378" s="2">
        <v>17</v>
      </c>
      <c r="O378" s="2">
        <v>78</v>
      </c>
      <c r="P378" s="65">
        <v>95</v>
      </c>
    </row>
    <row r="379" spans="1:16" ht="13.2" x14ac:dyDescent="0.25">
      <c r="A379" s="7">
        <v>988</v>
      </c>
      <c r="B379" s="3">
        <v>40587</v>
      </c>
      <c r="C379" s="2">
        <v>1</v>
      </c>
      <c r="D379" s="2">
        <v>0</v>
      </c>
      <c r="E379" s="2">
        <v>2</v>
      </c>
      <c r="F379" s="2">
        <v>19</v>
      </c>
      <c r="G379" s="2" t="b">
        <v>0</v>
      </c>
      <c r="H379" s="2">
        <v>0</v>
      </c>
      <c r="I379" s="2">
        <v>1</v>
      </c>
      <c r="J379" s="2">
        <v>0.4</v>
      </c>
      <c r="K379" s="2">
        <v>0.40910000000000002</v>
      </c>
      <c r="L379" s="2">
        <v>0.35</v>
      </c>
      <c r="M379" s="2">
        <v>0.28360000000000002</v>
      </c>
      <c r="N379" s="2">
        <v>11</v>
      </c>
      <c r="O379" s="2">
        <v>50</v>
      </c>
      <c r="P379" s="65">
        <v>61</v>
      </c>
    </row>
    <row r="380" spans="1:16" ht="13.2" x14ac:dyDescent="0.25">
      <c r="A380" s="7">
        <v>989</v>
      </c>
      <c r="B380" s="3">
        <v>40587</v>
      </c>
      <c r="C380" s="2">
        <v>1</v>
      </c>
      <c r="D380" s="2">
        <v>0</v>
      </c>
      <c r="E380" s="2">
        <v>2</v>
      </c>
      <c r="F380" s="2">
        <v>20</v>
      </c>
      <c r="G380" s="2" t="b">
        <v>0</v>
      </c>
      <c r="H380" s="2">
        <v>0</v>
      </c>
      <c r="I380" s="2">
        <v>1</v>
      </c>
      <c r="J380" s="2">
        <v>0.4</v>
      </c>
      <c r="K380" s="2">
        <v>0.40910000000000002</v>
      </c>
      <c r="L380" s="2">
        <v>0.35</v>
      </c>
      <c r="M380" s="2">
        <v>0.32840000000000003</v>
      </c>
      <c r="N380" s="2">
        <v>15</v>
      </c>
      <c r="O380" s="2">
        <v>32</v>
      </c>
      <c r="P380" s="65">
        <v>47</v>
      </c>
    </row>
    <row r="381" spans="1:16" ht="13.2" x14ac:dyDescent="0.25">
      <c r="A381" s="7">
        <v>990</v>
      </c>
      <c r="B381" s="3">
        <v>40587</v>
      </c>
      <c r="C381" s="2">
        <v>1</v>
      </c>
      <c r="D381" s="2">
        <v>0</v>
      </c>
      <c r="E381" s="2">
        <v>2</v>
      </c>
      <c r="F381" s="2">
        <v>21</v>
      </c>
      <c r="G381" s="2" t="b">
        <v>0</v>
      </c>
      <c r="H381" s="2">
        <v>0</v>
      </c>
      <c r="I381" s="2">
        <v>1</v>
      </c>
      <c r="J381" s="2">
        <v>0.4</v>
      </c>
      <c r="K381" s="2">
        <v>0.40910000000000002</v>
      </c>
      <c r="L381" s="2">
        <v>0.35</v>
      </c>
      <c r="M381" s="2">
        <v>0.35820000000000002</v>
      </c>
      <c r="N381" s="2">
        <v>6</v>
      </c>
      <c r="O381" s="2">
        <v>45</v>
      </c>
      <c r="P381" s="65">
        <v>51</v>
      </c>
    </row>
    <row r="382" spans="1:16" ht="13.2" x14ac:dyDescent="0.25">
      <c r="A382" s="7">
        <v>991</v>
      </c>
      <c r="B382" s="3">
        <v>40587</v>
      </c>
      <c r="C382" s="2">
        <v>1</v>
      </c>
      <c r="D382" s="2">
        <v>0</v>
      </c>
      <c r="E382" s="2">
        <v>2</v>
      </c>
      <c r="F382" s="2">
        <v>22</v>
      </c>
      <c r="G382" s="2" t="b">
        <v>0</v>
      </c>
      <c r="H382" s="2">
        <v>0</v>
      </c>
      <c r="I382" s="2">
        <v>1</v>
      </c>
      <c r="J382" s="2">
        <v>0.4</v>
      </c>
      <c r="K382" s="2">
        <v>0.40910000000000002</v>
      </c>
      <c r="L382" s="2">
        <v>0.35</v>
      </c>
      <c r="M382" s="2">
        <v>0.29849999999999999</v>
      </c>
      <c r="N382" s="2">
        <v>5</v>
      </c>
      <c r="O382" s="2">
        <v>31</v>
      </c>
      <c r="P382" s="65">
        <v>36</v>
      </c>
    </row>
    <row r="383" spans="1:16" ht="13.2" x14ac:dyDescent="0.25">
      <c r="A383" s="7">
        <v>992</v>
      </c>
      <c r="B383" s="3">
        <v>40587</v>
      </c>
      <c r="C383" s="2">
        <v>1</v>
      </c>
      <c r="D383" s="2">
        <v>0</v>
      </c>
      <c r="E383" s="2">
        <v>2</v>
      </c>
      <c r="F383" s="2">
        <v>23</v>
      </c>
      <c r="G383" s="2" t="b">
        <v>0</v>
      </c>
      <c r="H383" s="2">
        <v>0</v>
      </c>
      <c r="I383" s="2">
        <v>1</v>
      </c>
      <c r="J383" s="2">
        <v>0.4</v>
      </c>
      <c r="K383" s="2">
        <v>0.40910000000000002</v>
      </c>
      <c r="L383" s="2">
        <v>0.35</v>
      </c>
      <c r="M383" s="2">
        <v>0.35820000000000002</v>
      </c>
      <c r="N383" s="2">
        <v>3</v>
      </c>
      <c r="O383" s="2">
        <v>27</v>
      </c>
      <c r="P383" s="65">
        <v>30</v>
      </c>
    </row>
    <row r="384" spans="1:16" ht="13.2" x14ac:dyDescent="0.25">
      <c r="A384" s="7">
        <v>993</v>
      </c>
      <c r="B384" s="3">
        <v>40588</v>
      </c>
      <c r="C384" s="2">
        <v>1</v>
      </c>
      <c r="D384" s="2">
        <v>0</v>
      </c>
      <c r="E384" s="2">
        <v>2</v>
      </c>
      <c r="F384" s="2">
        <v>0</v>
      </c>
      <c r="G384" s="2" t="b">
        <v>0</v>
      </c>
      <c r="H384" s="2">
        <v>1</v>
      </c>
      <c r="I384" s="2">
        <v>1</v>
      </c>
      <c r="J384" s="2">
        <v>0.38</v>
      </c>
      <c r="K384" s="2">
        <v>0.39389999999999997</v>
      </c>
      <c r="L384" s="2">
        <v>0.37</v>
      </c>
      <c r="M384" s="2">
        <v>0.35820000000000002</v>
      </c>
      <c r="N384" s="2">
        <v>3</v>
      </c>
      <c r="O384" s="2">
        <v>8</v>
      </c>
      <c r="P384" s="65">
        <v>11</v>
      </c>
    </row>
    <row r="385" spans="1:16" ht="13.2" x14ac:dyDescent="0.25">
      <c r="A385" s="7">
        <v>994</v>
      </c>
      <c r="B385" s="3">
        <v>40588</v>
      </c>
      <c r="C385" s="2">
        <v>1</v>
      </c>
      <c r="D385" s="2">
        <v>0</v>
      </c>
      <c r="E385" s="2">
        <v>2</v>
      </c>
      <c r="F385" s="2">
        <v>1</v>
      </c>
      <c r="G385" s="2" t="b">
        <v>0</v>
      </c>
      <c r="H385" s="2">
        <v>1</v>
      </c>
      <c r="I385" s="2">
        <v>1</v>
      </c>
      <c r="J385" s="2">
        <v>0.38</v>
      </c>
      <c r="K385" s="2">
        <v>0.39389999999999997</v>
      </c>
      <c r="L385" s="2">
        <v>0.37</v>
      </c>
      <c r="M385" s="2">
        <v>0.35820000000000002</v>
      </c>
      <c r="N385" s="2">
        <v>1</v>
      </c>
      <c r="O385" s="2">
        <v>6</v>
      </c>
      <c r="P385" s="65">
        <v>7</v>
      </c>
    </row>
    <row r="386" spans="1:16" ht="13.2" x14ac:dyDescent="0.25">
      <c r="A386" s="7">
        <v>995</v>
      </c>
      <c r="B386" s="3">
        <v>40588</v>
      </c>
      <c r="C386" s="2">
        <v>1</v>
      </c>
      <c r="D386" s="2">
        <v>0</v>
      </c>
      <c r="E386" s="2">
        <v>2</v>
      </c>
      <c r="F386" s="2">
        <v>2</v>
      </c>
      <c r="G386" s="2" t="b">
        <v>0</v>
      </c>
      <c r="H386" s="2">
        <v>1</v>
      </c>
      <c r="I386" s="2">
        <v>1</v>
      </c>
      <c r="J386" s="2">
        <v>0.36</v>
      </c>
      <c r="K386" s="2">
        <v>0.33329999999999999</v>
      </c>
      <c r="L386" s="2">
        <v>0.4</v>
      </c>
      <c r="M386" s="2">
        <v>0.29849999999999999</v>
      </c>
      <c r="N386" s="2">
        <v>0</v>
      </c>
      <c r="O386" s="2">
        <v>2</v>
      </c>
      <c r="P386" s="65">
        <v>2</v>
      </c>
    </row>
    <row r="387" spans="1:16" ht="13.2" x14ac:dyDescent="0.25">
      <c r="A387" s="7">
        <v>996</v>
      </c>
      <c r="B387" s="3">
        <v>40588</v>
      </c>
      <c r="C387" s="2">
        <v>1</v>
      </c>
      <c r="D387" s="2">
        <v>0</v>
      </c>
      <c r="E387" s="2">
        <v>2</v>
      </c>
      <c r="F387" s="2">
        <v>3</v>
      </c>
      <c r="G387" s="2" t="b">
        <v>0</v>
      </c>
      <c r="H387" s="2">
        <v>1</v>
      </c>
      <c r="I387" s="2">
        <v>1</v>
      </c>
      <c r="J387" s="2">
        <v>0.34</v>
      </c>
      <c r="K387" s="2">
        <v>0.31819999999999998</v>
      </c>
      <c r="L387" s="2">
        <v>0.46</v>
      </c>
      <c r="M387" s="2">
        <v>0.22389999999999999</v>
      </c>
      <c r="N387" s="2">
        <v>1</v>
      </c>
      <c r="O387" s="2">
        <v>1</v>
      </c>
      <c r="P387" s="65">
        <v>2</v>
      </c>
    </row>
    <row r="388" spans="1:16" ht="13.2" x14ac:dyDescent="0.25">
      <c r="A388" s="7">
        <v>997</v>
      </c>
      <c r="B388" s="3">
        <v>40588</v>
      </c>
      <c r="C388" s="2">
        <v>1</v>
      </c>
      <c r="D388" s="2">
        <v>0</v>
      </c>
      <c r="E388" s="2">
        <v>2</v>
      </c>
      <c r="F388" s="2">
        <v>4</v>
      </c>
      <c r="G388" s="2" t="b">
        <v>0</v>
      </c>
      <c r="H388" s="2">
        <v>1</v>
      </c>
      <c r="I388" s="2">
        <v>1</v>
      </c>
      <c r="J388" s="2">
        <v>0.32</v>
      </c>
      <c r="K388" s="2">
        <v>0.30299999999999999</v>
      </c>
      <c r="L388" s="2">
        <v>0.53</v>
      </c>
      <c r="M388" s="2">
        <v>0.28360000000000002</v>
      </c>
      <c r="N388" s="2">
        <v>0</v>
      </c>
      <c r="O388" s="2">
        <v>2</v>
      </c>
      <c r="P388" s="65">
        <v>2</v>
      </c>
    </row>
    <row r="389" spans="1:16" ht="13.2" x14ac:dyDescent="0.25">
      <c r="A389" s="7">
        <v>998</v>
      </c>
      <c r="B389" s="3">
        <v>40588</v>
      </c>
      <c r="C389" s="2">
        <v>1</v>
      </c>
      <c r="D389" s="2">
        <v>0</v>
      </c>
      <c r="E389" s="2">
        <v>2</v>
      </c>
      <c r="F389" s="2">
        <v>5</v>
      </c>
      <c r="G389" s="2" t="b">
        <v>0</v>
      </c>
      <c r="H389" s="2">
        <v>1</v>
      </c>
      <c r="I389" s="2">
        <v>1</v>
      </c>
      <c r="J389" s="2">
        <v>0.32</v>
      </c>
      <c r="K389" s="2">
        <v>0.30299999999999999</v>
      </c>
      <c r="L389" s="2">
        <v>0.53</v>
      </c>
      <c r="M389" s="2">
        <v>0.28360000000000002</v>
      </c>
      <c r="N389" s="2">
        <v>0</v>
      </c>
      <c r="O389" s="2">
        <v>3</v>
      </c>
      <c r="P389" s="65">
        <v>3</v>
      </c>
    </row>
    <row r="390" spans="1:16" ht="13.2" x14ac:dyDescent="0.25">
      <c r="A390" s="7">
        <v>999</v>
      </c>
      <c r="B390" s="3">
        <v>40588</v>
      </c>
      <c r="C390" s="2">
        <v>1</v>
      </c>
      <c r="D390" s="2">
        <v>0</v>
      </c>
      <c r="E390" s="2">
        <v>2</v>
      </c>
      <c r="F390" s="2">
        <v>6</v>
      </c>
      <c r="G390" s="2" t="b">
        <v>0</v>
      </c>
      <c r="H390" s="2">
        <v>1</v>
      </c>
      <c r="I390" s="2">
        <v>1</v>
      </c>
      <c r="J390" s="2">
        <v>0.34</v>
      </c>
      <c r="K390" s="2">
        <v>0.30299999999999999</v>
      </c>
      <c r="L390" s="2">
        <v>0.46</v>
      </c>
      <c r="M390" s="2">
        <v>0.29849999999999999</v>
      </c>
      <c r="N390" s="2">
        <v>1</v>
      </c>
      <c r="O390" s="2">
        <v>25</v>
      </c>
      <c r="P390" s="65">
        <v>26</v>
      </c>
    </row>
    <row r="391" spans="1:16" ht="13.2" x14ac:dyDescent="0.25">
      <c r="A391" s="9">
        <v>1000</v>
      </c>
      <c r="B391" s="10">
        <v>40588</v>
      </c>
      <c r="C391" s="11">
        <v>1</v>
      </c>
      <c r="D391" s="11">
        <v>0</v>
      </c>
      <c r="E391" s="11">
        <v>2</v>
      </c>
      <c r="F391" s="11">
        <v>7</v>
      </c>
      <c r="G391" s="11" t="b">
        <v>0</v>
      </c>
      <c r="H391" s="11">
        <v>1</v>
      </c>
      <c r="I391" s="11">
        <v>1</v>
      </c>
      <c r="J391" s="11">
        <v>0.34</v>
      </c>
      <c r="K391" s="11">
        <v>0.30299999999999999</v>
      </c>
      <c r="L391" s="11">
        <v>0.46</v>
      </c>
      <c r="M391" s="11">
        <v>0.29849999999999999</v>
      </c>
      <c r="N391" s="11">
        <v>2</v>
      </c>
      <c r="O391" s="11">
        <v>96</v>
      </c>
      <c r="P391" s="66">
        <v>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895908-AB86-438A-8E38-D858A40C23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Dataset_1</vt:lpstr>
      <vt:lpstr>Findings on DB1</vt:lpstr>
      <vt:lpstr>Dataset_2</vt:lpstr>
      <vt:lpstr>Findings on DB2</vt:lpstr>
      <vt:lpstr>Merged Database 1&amp;2</vt:lpstr>
      <vt:lpstr>Analysis on DB1&amp;2</vt:lpstr>
      <vt:lpstr>Sheet4</vt:lpstr>
      <vt:lpstr>Combined Dataset</vt:lpstr>
      <vt:lpstr>Dashboard Final</vt:lpstr>
      <vt:lpstr>Descriptive Data</vt:lpstr>
      <vt:lpstr>dataset_3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Shilpa Singh</cp:lastModifiedBy>
  <cp:lastPrinted>2026-07-16T07:50:59Z</cp:lastPrinted>
  <dcterms:modified xsi:type="dcterms:W3CDTF">2026-07-25T14:25:45Z</dcterms:modified>
</cp:coreProperties>
</file>